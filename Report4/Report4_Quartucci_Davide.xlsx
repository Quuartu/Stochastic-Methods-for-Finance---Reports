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quartucci/Desktop/Unipd MSc/First year/Second semester/SM for Finance/Report4/"/>
    </mc:Choice>
  </mc:AlternateContent>
  <xr:revisionPtr revIDLastSave="0" documentId="13_ncr:1_{789966C3-0156-4646-8E08-9FD279B7B5BB}" xr6:coauthVersionLast="47" xr6:coauthVersionMax="47" xr10:uidLastSave="{00000000-0000-0000-0000-000000000000}"/>
  <bookViews>
    <workbookView xWindow="60" yWindow="660" windowWidth="28600" windowHeight="17320" activeTab="1" xr2:uid="{93FD64CF-4DF9-2044-A603-D1C56A89F347}"/>
  </bookViews>
  <sheets>
    <sheet name="VaR_Model" sheetId="1" r:id="rId1"/>
    <sheet name="Dashboard" sheetId="7" r:id="rId2"/>
    <sheet name="DAX" sheetId="5" r:id="rId3"/>
    <sheet name="FTSE MIB" sheetId="6" r:id="rId4"/>
  </sheets>
  <definedNames>
    <definedName name="_xlchart.v1.0" hidden="1">VaR_Model!$U$2</definedName>
    <definedName name="_xlchart.v1.1" hidden="1">VaR_Model!$U$3:$U$10002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 a="1"/>
  <c r="R3" i="1" s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F53" i="1" s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E4" i="1"/>
  <c r="D4" i="1"/>
  <c r="F37" i="1" l="1"/>
  <c r="F33" i="1"/>
  <c r="F21" i="1"/>
  <c r="F17" i="1"/>
  <c r="F72" i="1"/>
  <c r="F70" i="1"/>
  <c r="F66" i="1"/>
  <c r="F62" i="1"/>
  <c r="F117" i="1"/>
  <c r="F101" i="1"/>
  <c r="F97" i="1"/>
  <c r="F85" i="1"/>
  <c r="F81" i="1"/>
  <c r="F120" i="1"/>
  <c r="F104" i="1"/>
  <c r="F107" i="1"/>
  <c r="F114" i="1"/>
  <c r="F43" i="1"/>
  <c r="F40" i="1"/>
  <c r="F87" i="1"/>
  <c r="F52" i="1"/>
  <c r="F125" i="1"/>
  <c r="F48" i="1"/>
  <c r="F56" i="1"/>
  <c r="F50" i="1"/>
  <c r="F126" i="1"/>
  <c r="F63" i="1"/>
  <c r="F59" i="1"/>
  <c r="F24" i="1"/>
  <c r="F8" i="1"/>
  <c r="F23" i="1"/>
  <c r="F109" i="1"/>
  <c r="F61" i="1"/>
  <c r="F116" i="1"/>
  <c r="F112" i="1"/>
  <c r="F88" i="1"/>
  <c r="F45" i="1"/>
  <c r="F123" i="1"/>
  <c r="F68" i="1"/>
  <c r="F64" i="1"/>
  <c r="F5" i="1"/>
  <c r="F95" i="1"/>
  <c r="F91" i="1"/>
  <c r="F84" i="1"/>
  <c r="F80" i="1"/>
  <c r="F49" i="1"/>
  <c r="F38" i="1"/>
  <c r="F34" i="1"/>
  <c r="F30" i="1"/>
  <c r="F11" i="1"/>
  <c r="F113" i="1"/>
  <c r="F102" i="1"/>
  <c r="F98" i="1"/>
  <c r="F94" i="1"/>
  <c r="F75" i="1"/>
  <c r="F29" i="1"/>
  <c r="F18" i="1"/>
  <c r="G14" i="7"/>
  <c r="L8" i="7" s="1"/>
  <c r="B9" i="7"/>
  <c r="N3" i="1" s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B11" i="7" s="1"/>
  <c r="G15" i="7"/>
  <c r="L9" i="7" s="1"/>
  <c r="G16" i="7"/>
  <c r="L10" i="7" s="1"/>
  <c r="B10" i="7"/>
  <c r="B8" i="7"/>
  <c r="F93" i="1"/>
  <c r="F82" i="1"/>
  <c r="F55" i="1"/>
  <c r="F36" i="1"/>
  <c r="F32" i="1"/>
  <c r="F13" i="1"/>
  <c r="H14" i="7"/>
  <c r="M8" i="7" s="1"/>
  <c r="H15" i="7"/>
  <c r="M9" i="7" s="1"/>
  <c r="H16" i="7"/>
  <c r="M10" i="7" s="1"/>
  <c r="C9" i="7"/>
  <c r="O3" i="1" s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C11" i="7" s="1"/>
  <c r="C10" i="7"/>
  <c r="C8" i="7"/>
  <c r="F119" i="1"/>
  <c r="F100" i="1"/>
  <c r="F96" i="1"/>
  <c r="F77" i="1"/>
  <c r="F69" i="1"/>
  <c r="F65" i="1"/>
  <c r="F27" i="1"/>
  <c r="F20" i="1"/>
  <c r="F16" i="1"/>
  <c r="F110" i="1"/>
  <c r="F103" i="1"/>
  <c r="F78" i="1"/>
  <c r="F71" i="1"/>
  <c r="F46" i="1"/>
  <c r="F39" i="1"/>
  <c r="F14" i="1"/>
  <c r="F7" i="1"/>
  <c r="F124" i="1"/>
  <c r="F106" i="1"/>
  <c r="F99" i="1"/>
  <c r="F92" i="1"/>
  <c r="F74" i="1"/>
  <c r="F67" i="1"/>
  <c r="F60" i="1"/>
  <c r="F42" i="1"/>
  <c r="F35" i="1"/>
  <c r="F28" i="1"/>
  <c r="F10" i="1"/>
  <c r="F4" i="1"/>
  <c r="F105" i="1"/>
  <c r="F73" i="1"/>
  <c r="F41" i="1"/>
  <c r="F31" i="1"/>
  <c r="F9" i="1"/>
  <c r="F6" i="1"/>
  <c r="F122" i="1"/>
  <c r="F115" i="1"/>
  <c r="F108" i="1"/>
  <c r="F90" i="1"/>
  <c r="F83" i="1"/>
  <c r="F76" i="1"/>
  <c r="F58" i="1"/>
  <c r="F51" i="1"/>
  <c r="F44" i="1"/>
  <c r="F26" i="1"/>
  <c r="F19" i="1"/>
  <c r="F12" i="1"/>
  <c r="F121" i="1"/>
  <c r="F118" i="1"/>
  <c r="F111" i="1"/>
  <c r="F89" i="1"/>
  <c r="F86" i="1"/>
  <c r="F79" i="1"/>
  <c r="F57" i="1"/>
  <c r="F54" i="1"/>
  <c r="F47" i="1"/>
  <c r="F25" i="1"/>
  <c r="F22" i="1"/>
  <c r="F15" i="1"/>
  <c r="T392" i="1" l="1"/>
  <c r="C13" i="7"/>
  <c r="C12" i="7"/>
  <c r="C14" i="7"/>
  <c r="S244" i="1"/>
  <c r="B14" i="7"/>
  <c r="B13" i="7"/>
  <c r="B12" i="7"/>
  <c r="L17" i="7"/>
  <c r="B17" i="7"/>
  <c r="B15" i="7"/>
  <c r="B16" i="7"/>
  <c r="C15" i="7"/>
  <c r="C17" i="7"/>
  <c r="C16" i="7"/>
  <c r="S443" i="1"/>
  <c r="S92" i="1"/>
  <c r="S221" i="1"/>
  <c r="S18" i="1"/>
  <c r="S426" i="1"/>
  <c r="T371" i="1"/>
  <c r="T216" i="1"/>
  <c r="T481" i="1"/>
  <c r="T175" i="1"/>
  <c r="S264" i="1"/>
  <c r="T358" i="1"/>
  <c r="T450" i="1"/>
  <c r="T212" i="1"/>
  <c r="T16" i="1"/>
  <c r="T354" i="1"/>
  <c r="S315" i="1"/>
  <c r="T639" i="1"/>
  <c r="T57" i="1"/>
  <c r="T196" i="1"/>
  <c r="T647" i="1"/>
  <c r="T414" i="1"/>
  <c r="T183" i="1"/>
  <c r="T231" i="1"/>
  <c r="T459" i="1"/>
  <c r="T347" i="1"/>
  <c r="T419" i="1"/>
  <c r="T323" i="1"/>
  <c r="T262" i="1"/>
  <c r="T20" i="1"/>
  <c r="T93" i="1"/>
  <c r="T623" i="1"/>
  <c r="T118" i="1"/>
  <c r="T98" i="1"/>
  <c r="T638" i="1"/>
  <c r="T494" i="1"/>
  <c r="T227" i="1"/>
  <c r="T511" i="1"/>
  <c r="T244" i="1"/>
  <c r="T36" i="1"/>
  <c r="T280" i="1"/>
  <c r="T575" i="1"/>
  <c r="T241" i="1"/>
  <c r="T59" i="1"/>
  <c r="T94" i="1"/>
  <c r="T652" i="1"/>
  <c r="T532" i="1"/>
  <c r="T251" i="1"/>
  <c r="T456" i="1"/>
  <c r="T201" i="1"/>
  <c r="T255" i="1"/>
  <c r="T60" i="1"/>
  <c r="T303" i="1"/>
  <c r="T556" i="1"/>
  <c r="T205" i="1"/>
  <c r="T30" i="1"/>
  <c r="T49" i="1"/>
  <c r="T700" i="1"/>
  <c r="T551" i="1"/>
  <c r="T436" i="1"/>
  <c r="T272" i="1"/>
  <c r="T27" i="1"/>
  <c r="T68" i="1"/>
  <c r="T326" i="1"/>
  <c r="T492" i="1"/>
  <c r="T162" i="1"/>
  <c r="T17" i="1"/>
  <c r="T33" i="1"/>
  <c r="T716" i="1"/>
  <c r="T576" i="1"/>
  <c r="T506" i="1"/>
  <c r="T254" i="1"/>
  <c r="T78" i="1"/>
  <c r="T84" i="1"/>
  <c r="T330" i="1"/>
  <c r="T446" i="1"/>
  <c r="T18" i="1"/>
  <c r="T270" i="1"/>
  <c r="T225" i="1"/>
  <c r="T844" i="1"/>
  <c r="T297" i="1"/>
  <c r="T601" i="1"/>
  <c r="T451" i="1"/>
  <c r="T153" i="1"/>
  <c r="T188" i="1"/>
  <c r="T174" i="1"/>
  <c r="T420" i="1"/>
  <c r="T11" i="1"/>
  <c r="T256" i="1"/>
  <c r="T362" i="1"/>
  <c r="T21" i="1"/>
  <c r="T336" i="1"/>
  <c r="T126" i="1"/>
  <c r="T401" i="1"/>
  <c r="T261" i="1"/>
  <c r="T217" i="1"/>
  <c r="T267" i="1"/>
  <c r="T41" i="1"/>
  <c r="T238" i="1"/>
  <c r="T86" i="1"/>
  <c r="T418" i="1"/>
  <c r="T684" i="1"/>
  <c r="T79" i="1"/>
  <c r="T538" i="1"/>
  <c r="T363" i="1"/>
  <c r="T348" i="1"/>
  <c r="T219" i="1"/>
  <c r="T443" i="1"/>
  <c r="T383" i="1"/>
  <c r="T150" i="1"/>
  <c r="T515" i="1"/>
  <c r="T132" i="1"/>
  <c r="T107" i="1"/>
  <c r="T83" i="1"/>
  <c r="T542" i="1"/>
  <c r="T355" i="1"/>
  <c r="T123" i="1"/>
  <c r="T167" i="1"/>
  <c r="T13" i="1"/>
  <c r="T155" i="1"/>
  <c r="T512" i="1"/>
  <c r="T780" i="1"/>
  <c r="T399" i="1"/>
  <c r="T582" i="1"/>
  <c r="T622" i="1"/>
  <c r="T520" i="1"/>
  <c r="T469" i="1"/>
  <c r="T226" i="1"/>
  <c r="T181" i="1"/>
  <c r="T148" i="1"/>
  <c r="S98" i="1"/>
  <c r="T176" i="1"/>
  <c r="T31" i="1"/>
  <c r="T517" i="1"/>
  <c r="T331" i="1"/>
  <c r="T80" i="1"/>
  <c r="T138" i="1"/>
  <c r="T320" i="1"/>
  <c r="T142" i="1"/>
  <c r="T131" i="1"/>
  <c r="T557" i="1"/>
  <c r="T812" i="1"/>
  <c r="T427" i="1"/>
  <c r="T588" i="1"/>
  <c r="T23" i="1"/>
  <c r="T589" i="1"/>
  <c r="T574" i="1"/>
  <c r="T173" i="1"/>
  <c r="T447" i="1"/>
  <c r="T230" i="1"/>
  <c r="T164" i="1"/>
  <c r="T264" i="1"/>
  <c r="T14" i="1"/>
  <c r="T514" i="1"/>
  <c r="T269" i="1"/>
  <c r="T62" i="1"/>
  <c r="T129" i="1"/>
  <c r="T281" i="1"/>
  <c r="T133" i="1"/>
  <c r="T165" i="1"/>
  <c r="T612" i="1"/>
  <c r="T828" i="1"/>
  <c r="T445" i="1"/>
  <c r="T158" i="1"/>
  <c r="T185" i="1"/>
  <c r="T595" i="1"/>
  <c r="T645" i="1"/>
  <c r="T111" i="1"/>
  <c r="T390" i="1"/>
  <c r="T377" i="1"/>
  <c r="S328" i="1"/>
  <c r="S219" i="1"/>
  <c r="S231" i="1"/>
  <c r="T305" i="1"/>
  <c r="T437" i="1"/>
  <c r="T48" i="1"/>
  <c r="T282" i="1"/>
  <c r="S278" i="1"/>
  <c r="S50" i="1"/>
  <c r="S6" i="1"/>
  <c r="S15" i="1"/>
  <c r="T491" i="1"/>
  <c r="T389" i="1"/>
  <c r="T88" i="1"/>
  <c r="T209" i="1"/>
  <c r="T368" i="1"/>
  <c r="T141" i="1"/>
  <c r="T403" i="1"/>
  <c r="T35" i="1"/>
  <c r="T100" i="1"/>
  <c r="S42" i="1"/>
  <c r="S140" i="1"/>
  <c r="S139" i="1"/>
  <c r="T200" i="1"/>
  <c r="T115" i="1"/>
  <c r="T607" i="1"/>
  <c r="T478" i="1"/>
  <c r="T291" i="1"/>
  <c r="T152" i="1"/>
  <c r="T242" i="1"/>
  <c r="T110" i="1"/>
  <c r="T309" i="1"/>
  <c r="T198" i="1"/>
  <c r="T77" i="1"/>
  <c r="T296" i="1"/>
  <c r="T594" i="1"/>
  <c r="T748" i="1"/>
  <c r="T184" i="1"/>
  <c r="T502" i="1"/>
  <c r="T5" i="1"/>
  <c r="T526" i="1"/>
  <c r="T364" i="1"/>
  <c r="T669" i="1"/>
  <c r="T510" i="1"/>
  <c r="T378" i="1"/>
  <c r="T474" i="1"/>
  <c r="T189" i="1"/>
  <c r="T342" i="1"/>
  <c r="T293" i="1"/>
  <c r="T438" i="1"/>
  <c r="T124" i="1"/>
  <c r="S251" i="1"/>
  <c r="S417" i="1"/>
  <c r="T258" i="1"/>
  <c r="T99" i="1"/>
  <c r="T583" i="1"/>
  <c r="T449" i="1"/>
  <c r="T279" i="1"/>
  <c r="T128" i="1"/>
  <c r="T203" i="1"/>
  <c r="T82" i="1"/>
  <c r="T288" i="1"/>
  <c r="T159" i="1"/>
  <c r="T54" i="1"/>
  <c r="T335" i="1"/>
  <c r="T600" i="1"/>
  <c r="T764" i="1"/>
  <c r="T290" i="1"/>
  <c r="T509" i="1"/>
  <c r="T101" i="1"/>
  <c r="T610" i="1"/>
  <c r="T400" i="1"/>
  <c r="T685" i="1"/>
  <c r="T568" i="1"/>
  <c r="T349" i="1"/>
  <c r="T461" i="1"/>
  <c r="T75" i="1"/>
  <c r="T329" i="1"/>
  <c r="T37" i="1"/>
  <c r="T504" i="1"/>
  <c r="T52" i="1"/>
  <c r="T116" i="1"/>
  <c r="T180" i="1"/>
  <c r="S176" i="1"/>
  <c r="S152" i="1"/>
  <c r="S289" i="1"/>
  <c r="S372" i="1"/>
  <c r="S143" i="1"/>
  <c r="T4" i="1"/>
  <c r="T70" i="1"/>
  <c r="T253" i="1"/>
  <c r="T317" i="1"/>
  <c r="T104" i="1"/>
  <c r="T6" i="1"/>
  <c r="T591" i="1"/>
  <c r="T528" i="1"/>
  <c r="T452" i="1"/>
  <c r="T387" i="1"/>
  <c r="T283" i="1"/>
  <c r="T222" i="1"/>
  <c r="T134" i="1"/>
  <c r="T39" i="1"/>
  <c r="T228" i="1"/>
  <c r="T147" i="1"/>
  <c r="T102" i="1"/>
  <c r="T22" i="1"/>
  <c r="T295" i="1"/>
  <c r="T245" i="1"/>
  <c r="T190" i="1"/>
  <c r="T105" i="1"/>
  <c r="T63" i="1"/>
  <c r="T64" i="1"/>
  <c r="T312" i="1"/>
  <c r="T430" i="1"/>
  <c r="T541" i="1"/>
  <c r="T606" i="1"/>
  <c r="T668" i="1"/>
  <c r="T732" i="1"/>
  <c r="T796" i="1"/>
  <c r="T860" i="1"/>
  <c r="T276" i="1"/>
  <c r="T374" i="1"/>
  <c r="T468" i="1"/>
  <c r="T519" i="1"/>
  <c r="T570" i="1"/>
  <c r="T633" i="1"/>
  <c r="T206" i="1"/>
  <c r="T395" i="1"/>
  <c r="T545" i="1"/>
  <c r="T43" i="1"/>
  <c r="T322" i="1"/>
  <c r="T415" i="1"/>
  <c r="T555" i="1"/>
  <c r="T653" i="1"/>
  <c r="T197" i="1"/>
  <c r="T381" i="1"/>
  <c r="T552" i="1"/>
  <c r="T656" i="1"/>
  <c r="T423" i="1"/>
  <c r="T318" i="1"/>
  <c r="T192" i="1"/>
  <c r="T47" i="1"/>
  <c r="T421" i="1"/>
  <c r="T294" i="1"/>
  <c r="T127" i="1"/>
  <c r="T477" i="1"/>
  <c r="T379" i="1"/>
  <c r="T314" i="1"/>
  <c r="T74" i="1"/>
  <c r="T170" i="1"/>
  <c r="T119" i="1"/>
  <c r="T356" i="1"/>
  <c r="T376" i="1"/>
  <c r="T229" i="1"/>
  <c r="S353" i="1"/>
  <c r="S25" i="1"/>
  <c r="S79" i="1"/>
  <c r="S193" i="1"/>
  <c r="T321" i="1"/>
  <c r="T435" i="1"/>
  <c r="T544" i="1"/>
  <c r="T609" i="1"/>
  <c r="T676" i="1"/>
  <c r="T740" i="1"/>
  <c r="T804" i="1"/>
  <c r="T868" i="1"/>
  <c r="T284" i="1"/>
  <c r="T384" i="1"/>
  <c r="T476" i="1"/>
  <c r="T522" i="1"/>
  <c r="T573" i="1"/>
  <c r="T644" i="1"/>
  <c r="T218" i="1"/>
  <c r="T405" i="1"/>
  <c r="T564" i="1"/>
  <c r="T178" i="1"/>
  <c r="T341" i="1"/>
  <c r="T428" i="1"/>
  <c r="T586" i="1"/>
  <c r="T661" i="1"/>
  <c r="T210" i="1"/>
  <c r="T465" i="1"/>
  <c r="T565" i="1"/>
  <c r="T664" i="1"/>
  <c r="T396" i="1"/>
  <c r="T278" i="1"/>
  <c r="T186" i="1"/>
  <c r="T484" i="1"/>
  <c r="T411" i="1"/>
  <c r="T285" i="1"/>
  <c r="T91" i="1"/>
  <c r="T457" i="1"/>
  <c r="T372" i="1"/>
  <c r="T268" i="1"/>
  <c r="T65" i="1"/>
  <c r="T213" i="1"/>
  <c r="T154" i="1"/>
  <c r="T373" i="1"/>
  <c r="T458" i="1"/>
  <c r="T543" i="1"/>
  <c r="S322" i="1"/>
  <c r="T12" i="1"/>
  <c r="T76" i="1"/>
  <c r="T140" i="1"/>
  <c r="T204" i="1"/>
  <c r="S379" i="1"/>
  <c r="S342" i="1"/>
  <c r="S202" i="1"/>
  <c r="S72" i="1"/>
  <c r="S545" i="1"/>
  <c r="T135" i="1"/>
  <c r="T275" i="1"/>
  <c r="T334" i="1"/>
  <c r="T58" i="1"/>
  <c r="T631" i="1"/>
  <c r="T567" i="1"/>
  <c r="T503" i="1"/>
  <c r="T440" i="1"/>
  <c r="T338" i="1"/>
  <c r="T265" i="1"/>
  <c r="T199" i="1"/>
  <c r="T87" i="1"/>
  <c r="T274" i="1"/>
  <c r="T179" i="1"/>
  <c r="T122" i="1"/>
  <c r="T50" i="1"/>
  <c r="T8" i="1"/>
  <c r="T277" i="1"/>
  <c r="T224" i="1"/>
  <c r="T151" i="1"/>
  <c r="T90" i="1"/>
  <c r="T45" i="1"/>
  <c r="T215" i="1"/>
  <c r="T340" i="1"/>
  <c r="T471" i="1"/>
  <c r="T560" i="1"/>
  <c r="T627" i="1"/>
  <c r="T692" i="1"/>
  <c r="T756" i="1"/>
  <c r="T820" i="1"/>
  <c r="T53" i="1"/>
  <c r="T327" i="1"/>
  <c r="T422" i="1"/>
  <c r="T499" i="1"/>
  <c r="T535" i="1"/>
  <c r="T579" i="1"/>
  <c r="T67" i="1"/>
  <c r="T306" i="1"/>
  <c r="T431" i="1"/>
  <c r="T619" i="1"/>
  <c r="T208" i="1"/>
  <c r="T359" i="1"/>
  <c r="T495" i="1"/>
  <c r="T592" i="1"/>
  <c r="T677" i="1"/>
  <c r="T316" i="1"/>
  <c r="T483" i="1"/>
  <c r="T571" i="1"/>
  <c r="T466" i="1"/>
  <c r="T382" i="1"/>
  <c r="T266" i="1"/>
  <c r="T117" i="1"/>
  <c r="T464" i="1"/>
  <c r="T394" i="1"/>
  <c r="T223" i="1"/>
  <c r="T66" i="1"/>
  <c r="T444" i="1"/>
  <c r="T346" i="1"/>
  <c r="T239" i="1"/>
  <c r="T40" i="1"/>
  <c r="T29" i="1"/>
  <c r="T191" i="1"/>
  <c r="T393" i="1"/>
  <c r="T635" i="1"/>
  <c r="T61" i="1"/>
  <c r="T28" i="1"/>
  <c r="T92" i="1"/>
  <c r="T156" i="1"/>
  <c r="T220" i="1"/>
  <c r="S507" i="1"/>
  <c r="S73" i="1"/>
  <c r="S165" i="1"/>
  <c r="S295" i="1"/>
  <c r="S206" i="1"/>
  <c r="T9" i="1"/>
  <c r="T193" i="1"/>
  <c r="T298" i="1"/>
  <c r="T125" i="1"/>
  <c r="T25" i="1"/>
  <c r="T615" i="1"/>
  <c r="T553" i="1"/>
  <c r="T489" i="1"/>
  <c r="T417" i="1"/>
  <c r="T324" i="1"/>
  <c r="T246" i="1"/>
  <c r="T157" i="1"/>
  <c r="T69" i="1"/>
  <c r="T260" i="1"/>
  <c r="T171" i="1"/>
  <c r="T114" i="1"/>
  <c r="T34" i="1"/>
  <c r="T313" i="1"/>
  <c r="T263" i="1"/>
  <c r="T207" i="1"/>
  <c r="T137" i="1"/>
  <c r="T81" i="1"/>
  <c r="T240" i="1"/>
  <c r="T409" i="1"/>
  <c r="T498" i="1"/>
  <c r="T597" i="1"/>
  <c r="T641" i="1"/>
  <c r="T708" i="1"/>
  <c r="T772" i="1"/>
  <c r="T836" i="1"/>
  <c r="T146" i="1"/>
  <c r="T352" i="1"/>
  <c r="T439" i="1"/>
  <c r="T505" i="1"/>
  <c r="T548" i="1"/>
  <c r="T585" i="1"/>
  <c r="T136" i="1"/>
  <c r="T353" i="1"/>
  <c r="T523" i="1"/>
  <c r="T625" i="1"/>
  <c r="T234" i="1"/>
  <c r="T391" i="1"/>
  <c r="T513" i="1"/>
  <c r="T598" i="1"/>
  <c r="T85" i="1"/>
  <c r="T343" i="1"/>
  <c r="T500" i="1"/>
  <c r="T634" i="1"/>
  <c r="T453" i="1"/>
  <c r="T367" i="1"/>
  <c r="T237" i="1"/>
  <c r="T103" i="1"/>
  <c r="T454" i="1"/>
  <c r="T310" i="1"/>
  <c r="T202" i="1"/>
  <c r="T42" i="1"/>
  <c r="T397" i="1"/>
  <c r="T333" i="1"/>
  <c r="T195" i="1"/>
  <c r="T96" i="1"/>
  <c r="T51" i="1"/>
  <c r="T247" i="1"/>
  <c r="T485" i="1"/>
  <c r="S442" i="1"/>
  <c r="T44" i="1"/>
  <c r="T108" i="1"/>
  <c r="T172" i="1"/>
  <c r="S109" i="1"/>
  <c r="S85" i="1"/>
  <c r="S225" i="1"/>
  <c r="S308" i="1"/>
  <c r="S207" i="1"/>
  <c r="T46" i="1"/>
  <c r="T214" i="1"/>
  <c r="T308" i="1"/>
  <c r="T109" i="1"/>
  <c r="T7" i="1"/>
  <c r="T599" i="1"/>
  <c r="T531" i="1"/>
  <c r="T472" i="1"/>
  <c r="T408" i="1"/>
  <c r="T287" i="1"/>
  <c r="T232" i="1"/>
  <c r="T145" i="1"/>
  <c r="T56" i="1"/>
  <c r="T235" i="1"/>
  <c r="T163" i="1"/>
  <c r="T106" i="1"/>
  <c r="T26" i="1"/>
  <c r="T302" i="1"/>
  <c r="T249" i="1"/>
  <c r="T194" i="1"/>
  <c r="T121" i="1"/>
  <c r="T72" i="1"/>
  <c r="T38" i="1"/>
  <c r="T304" i="1"/>
  <c r="T426" i="1"/>
  <c r="T525" i="1"/>
  <c r="T603" i="1"/>
  <c r="T660" i="1"/>
  <c r="T724" i="1"/>
  <c r="T788" i="1"/>
  <c r="T852" i="1"/>
  <c r="T233" i="1"/>
  <c r="T369" i="1"/>
  <c r="T463" i="1"/>
  <c r="T516" i="1"/>
  <c r="T554" i="1"/>
  <c r="T630" i="1"/>
  <c r="T177" i="1"/>
  <c r="T380" i="1"/>
  <c r="T529" i="1"/>
  <c r="T32" i="1"/>
  <c r="T315" i="1"/>
  <c r="T410" i="1"/>
  <c r="T539" i="1"/>
  <c r="T642" i="1"/>
  <c r="T187" i="1"/>
  <c r="T370" i="1"/>
  <c r="T549" i="1"/>
  <c r="T648" i="1"/>
  <c r="T433" i="1"/>
  <c r="T328" i="1"/>
  <c r="T221" i="1"/>
  <c r="T55" i="1"/>
  <c r="T424" i="1"/>
  <c r="T300" i="1"/>
  <c r="T182" i="1"/>
  <c r="T480" i="1"/>
  <c r="T386" i="1"/>
  <c r="T319" i="1"/>
  <c r="T97" i="1"/>
  <c r="T161" i="1"/>
  <c r="T89" i="1"/>
  <c r="T351" i="1"/>
  <c r="T366" i="1"/>
  <c r="S118" i="1"/>
  <c r="S339" i="1"/>
  <c r="S531" i="1"/>
  <c r="S161" i="1"/>
  <c r="S238" i="1"/>
  <c r="S58" i="1"/>
  <c r="S249" i="1"/>
  <c r="S441" i="1"/>
  <c r="S174" i="1"/>
  <c r="S10" i="1"/>
  <c r="S211" i="1"/>
  <c r="S183" i="1"/>
  <c r="S14" i="1"/>
  <c r="S365" i="1"/>
  <c r="S7" i="1"/>
  <c r="S60" i="1"/>
  <c r="S170" i="1"/>
  <c r="S235" i="1"/>
  <c r="S299" i="1"/>
  <c r="S363" i="1"/>
  <c r="S427" i="1"/>
  <c r="S491" i="1"/>
  <c r="S555" i="1"/>
  <c r="S36" i="1"/>
  <c r="S146" i="1"/>
  <c r="S213" i="1"/>
  <c r="S262" i="1"/>
  <c r="S326" i="1"/>
  <c r="S390" i="1"/>
  <c r="S67" i="1"/>
  <c r="S134" i="1"/>
  <c r="S201" i="1"/>
  <c r="S273" i="1"/>
  <c r="S337" i="1"/>
  <c r="S401" i="1"/>
  <c r="S465" i="1"/>
  <c r="S49" i="1"/>
  <c r="S116" i="1"/>
  <c r="S228" i="1"/>
  <c r="S292" i="1"/>
  <c r="S356" i="1"/>
  <c r="S19" i="1"/>
  <c r="S86" i="1"/>
  <c r="S153" i="1"/>
  <c r="S220" i="1"/>
  <c r="S279" i="1"/>
  <c r="S343" i="1"/>
  <c r="S68" i="1"/>
  <c r="S159" i="1"/>
  <c r="S95" i="1"/>
  <c r="S31" i="1"/>
  <c r="S66" i="1"/>
  <c r="S133" i="1"/>
  <c r="S200" i="1"/>
  <c r="S248" i="1"/>
  <c r="S312" i="1"/>
  <c r="S44" i="1"/>
  <c r="S384" i="1"/>
  <c r="S506" i="1"/>
  <c r="S618" i="1"/>
  <c r="S114" i="1"/>
  <c r="S106" i="1"/>
  <c r="S173" i="1"/>
  <c r="S243" i="1"/>
  <c r="S307" i="1"/>
  <c r="S371" i="1"/>
  <c r="S435" i="1"/>
  <c r="S499" i="1"/>
  <c r="S563" i="1"/>
  <c r="S82" i="1"/>
  <c r="S149" i="1"/>
  <c r="S216" i="1"/>
  <c r="S270" i="1"/>
  <c r="S334" i="1"/>
  <c r="S398" i="1"/>
  <c r="S70" i="1"/>
  <c r="S137" i="1"/>
  <c r="S204" i="1"/>
  <c r="S281" i="1"/>
  <c r="S345" i="1"/>
  <c r="S409" i="1"/>
  <c r="S473" i="1"/>
  <c r="S52" i="1"/>
  <c r="S162" i="1"/>
  <c r="S236" i="1"/>
  <c r="S300" i="1"/>
  <c r="S364" i="1"/>
  <c r="S22" i="1"/>
  <c r="S89" i="1"/>
  <c r="S156" i="1"/>
  <c r="S223" i="1"/>
  <c r="S287" i="1"/>
  <c r="S4" i="1"/>
  <c r="S215" i="1"/>
  <c r="S151" i="1"/>
  <c r="S87" i="1"/>
  <c r="S23" i="1"/>
  <c r="S69" i="1"/>
  <c r="S136" i="1"/>
  <c r="S203" i="1"/>
  <c r="S256" i="1"/>
  <c r="S320" i="1"/>
  <c r="S178" i="1"/>
  <c r="S423" i="1"/>
  <c r="S509" i="1"/>
  <c r="S253" i="1"/>
  <c r="S448" i="1"/>
  <c r="S45" i="1"/>
  <c r="S112" i="1"/>
  <c r="S179" i="1"/>
  <c r="S259" i="1"/>
  <c r="S323" i="1"/>
  <c r="S387" i="1"/>
  <c r="S451" i="1"/>
  <c r="S515" i="1"/>
  <c r="S21" i="1"/>
  <c r="S88" i="1"/>
  <c r="S155" i="1"/>
  <c r="S222" i="1"/>
  <c r="S286" i="1"/>
  <c r="S350" i="1"/>
  <c r="S9" i="1"/>
  <c r="S76" i="1"/>
  <c r="S186" i="1"/>
  <c r="S233" i="1"/>
  <c r="S297" i="1"/>
  <c r="S361" i="1"/>
  <c r="S425" i="1"/>
  <c r="S34" i="1"/>
  <c r="S101" i="1"/>
  <c r="S168" i="1"/>
  <c r="S252" i="1"/>
  <c r="S316" i="1"/>
  <c r="S380" i="1"/>
  <c r="S28" i="1"/>
  <c r="S138" i="1"/>
  <c r="S205" i="1"/>
  <c r="S239" i="1"/>
  <c r="S303" i="1"/>
  <c r="S53" i="1"/>
  <c r="S199" i="1"/>
  <c r="S135" i="1"/>
  <c r="S71" i="1"/>
  <c r="S8" i="1"/>
  <c r="S75" i="1"/>
  <c r="S142" i="1"/>
  <c r="S209" i="1"/>
  <c r="S272" i="1"/>
  <c r="S336" i="1"/>
  <c r="S349" i="1"/>
  <c r="S429" i="1"/>
  <c r="S548" i="1"/>
  <c r="S187" i="1"/>
  <c r="S584" i="1"/>
  <c r="S48" i="1"/>
  <c r="S115" i="1"/>
  <c r="S182" i="1"/>
  <c r="S267" i="1"/>
  <c r="S331" i="1"/>
  <c r="S395" i="1"/>
  <c r="S459" i="1"/>
  <c r="S523" i="1"/>
  <c r="S24" i="1"/>
  <c r="S91" i="1"/>
  <c r="S158" i="1"/>
  <c r="S230" i="1"/>
  <c r="S294" i="1"/>
  <c r="S358" i="1"/>
  <c r="S12" i="1"/>
  <c r="S122" i="1"/>
  <c r="S189" i="1"/>
  <c r="S241" i="1"/>
  <c r="S305" i="1"/>
  <c r="S369" i="1"/>
  <c r="S433" i="1"/>
  <c r="S37" i="1"/>
  <c r="S104" i="1"/>
  <c r="S171" i="1"/>
  <c r="S260" i="1"/>
  <c r="S324" i="1"/>
  <c r="S388" i="1"/>
  <c r="S74" i="1"/>
  <c r="S141" i="1"/>
  <c r="S208" i="1"/>
  <c r="S247" i="1"/>
  <c r="S311" i="1"/>
  <c r="S56" i="1"/>
  <c r="S191" i="1"/>
  <c r="S127" i="1"/>
  <c r="S63" i="1"/>
  <c r="S11" i="1"/>
  <c r="S78" i="1"/>
  <c r="S145" i="1"/>
  <c r="S212" i="1"/>
  <c r="S280" i="1"/>
  <c r="S344" i="1"/>
  <c r="S352" i="1"/>
  <c r="S461" i="1"/>
  <c r="S559" i="1"/>
  <c r="S274" i="1"/>
  <c r="S580" i="1"/>
  <c r="S432" i="1"/>
  <c r="S51" i="1"/>
  <c r="S275" i="1"/>
  <c r="S467" i="1"/>
  <c r="S94" i="1"/>
  <c r="S366" i="1"/>
  <c r="S192" i="1"/>
  <c r="S377" i="1"/>
  <c r="S107" i="1"/>
  <c r="S332" i="1"/>
  <c r="S144" i="1"/>
  <c r="S319" i="1"/>
  <c r="S119" i="1"/>
  <c r="S148" i="1"/>
  <c r="S288" i="1"/>
  <c r="S481" i="1"/>
  <c r="S54" i="1"/>
  <c r="S121" i="1"/>
  <c r="S188" i="1"/>
  <c r="S283" i="1"/>
  <c r="S347" i="1"/>
  <c r="S411" i="1"/>
  <c r="S475" i="1"/>
  <c r="S539" i="1"/>
  <c r="S30" i="1"/>
  <c r="S97" i="1"/>
  <c r="S164" i="1"/>
  <c r="S246" i="1"/>
  <c r="S310" i="1"/>
  <c r="S374" i="1"/>
  <c r="S61" i="1"/>
  <c r="S128" i="1"/>
  <c r="S195" i="1"/>
  <c r="S257" i="1"/>
  <c r="S321" i="1"/>
  <c r="S385" i="1"/>
  <c r="S449" i="1"/>
  <c r="S43" i="1"/>
  <c r="S110" i="1"/>
  <c r="S177" i="1"/>
  <c r="S276" i="1"/>
  <c r="S340" i="1"/>
  <c r="S13" i="1"/>
  <c r="S80" i="1"/>
  <c r="S147" i="1"/>
  <c r="S214" i="1"/>
  <c r="S263" i="1"/>
  <c r="S327" i="1"/>
  <c r="S62" i="1"/>
  <c r="S175" i="1"/>
  <c r="S111" i="1"/>
  <c r="S47" i="1"/>
  <c r="S17" i="1"/>
  <c r="S84" i="1"/>
  <c r="S194" i="1"/>
  <c r="S232" i="1"/>
  <c r="S296" i="1"/>
  <c r="S368" i="1"/>
  <c r="S484" i="1"/>
  <c r="S578" i="1"/>
  <c r="S163" i="1"/>
  <c r="S415" i="1"/>
  <c r="T611" i="1"/>
  <c r="S185" i="1"/>
  <c r="S403" i="1"/>
  <c r="S27" i="1"/>
  <c r="S302" i="1"/>
  <c r="S125" i="1"/>
  <c r="S313" i="1"/>
  <c r="S40" i="1"/>
  <c r="S268" i="1"/>
  <c r="S77" i="1"/>
  <c r="S255" i="1"/>
  <c r="S59" i="1"/>
  <c r="S55" i="1"/>
  <c r="S81" i="1"/>
  <c r="S224" i="1"/>
  <c r="S5" i="1"/>
  <c r="S570" i="1"/>
  <c r="S242" i="1"/>
  <c r="S57" i="1"/>
  <c r="S124" i="1"/>
  <c r="S227" i="1"/>
  <c r="S291" i="1"/>
  <c r="S355" i="1"/>
  <c r="S419" i="1"/>
  <c r="S483" i="1"/>
  <c r="S547" i="1"/>
  <c r="S33" i="1"/>
  <c r="S100" i="1"/>
  <c r="S210" i="1"/>
  <c r="S254" i="1"/>
  <c r="S318" i="1"/>
  <c r="S382" i="1"/>
  <c r="S64" i="1"/>
  <c r="S131" i="1"/>
  <c r="S198" i="1"/>
  <c r="S265" i="1"/>
  <c r="S329" i="1"/>
  <c r="S393" i="1"/>
  <c r="S457" i="1"/>
  <c r="S46" i="1"/>
  <c r="S113" i="1"/>
  <c r="S180" i="1"/>
  <c r="S284" i="1"/>
  <c r="S348" i="1"/>
  <c r="S16" i="1"/>
  <c r="S83" i="1"/>
  <c r="S150" i="1"/>
  <c r="S217" i="1"/>
  <c r="S271" i="1"/>
  <c r="S335" i="1"/>
  <c r="S65" i="1"/>
  <c r="S167" i="1"/>
  <c r="S103" i="1"/>
  <c r="S39" i="1"/>
  <c r="S20" i="1"/>
  <c r="S130" i="1"/>
  <c r="S197" i="1"/>
  <c r="S240" i="1"/>
  <c r="S304" i="1"/>
  <c r="S29" i="1"/>
  <c r="S381" i="1"/>
  <c r="S495" i="1"/>
  <c r="S610" i="1"/>
  <c r="S129" i="1"/>
  <c r="S458" i="1"/>
  <c r="S534" i="1"/>
  <c r="S602" i="1"/>
  <c r="S306" i="1"/>
  <c r="S26" i="1"/>
  <c r="S453" i="1"/>
  <c r="S615" i="1"/>
  <c r="S444" i="1"/>
  <c r="S172" i="1"/>
  <c r="S399" i="1"/>
  <c r="S564" i="1"/>
  <c r="S359" i="1"/>
  <c r="S258" i="1"/>
  <c r="S330" i="1"/>
  <c r="S250" i="1"/>
  <c r="S556" i="1"/>
  <c r="S309" i="1"/>
  <c r="S354" i="1"/>
  <c r="S282" i="1"/>
  <c r="S218" i="1"/>
  <c r="S540" i="1"/>
  <c r="S285" i="1"/>
  <c r="S586" i="1"/>
  <c r="S126" i="1"/>
  <c r="S102" i="1"/>
  <c r="S184" i="1"/>
  <c r="S181" i="1"/>
  <c r="S535" i="1"/>
  <c r="S234" i="1"/>
  <c r="S455" i="1"/>
  <c r="S520" i="1"/>
  <c r="S594" i="1"/>
  <c r="S38" i="1"/>
  <c r="S41" i="1"/>
  <c r="S629" i="1"/>
  <c r="S472" i="1"/>
  <c r="S120" i="1"/>
  <c r="S196" i="1"/>
  <c r="S341" i="1"/>
  <c r="T562" i="1"/>
  <c r="S464" i="1"/>
  <c r="S261" i="1"/>
  <c r="S622" i="1"/>
  <c r="S560" i="1"/>
  <c r="S466" i="1"/>
  <c r="T271" i="1"/>
  <c r="T527" i="1"/>
  <c r="T425" i="1"/>
  <c r="S35" i="1"/>
  <c r="S190" i="1"/>
  <c r="S277" i="1"/>
  <c r="S317" i="1"/>
  <c r="S383" i="1"/>
  <c r="S394" i="1"/>
  <c r="S406" i="1"/>
  <c r="S418" i="1"/>
  <c r="S437" i="1"/>
  <c r="S446" i="1"/>
  <c r="S474" i="1"/>
  <c r="S504" i="1"/>
  <c r="S518" i="1"/>
  <c r="S530" i="1"/>
  <c r="S536" i="1"/>
  <c r="S542" i="1"/>
  <c r="S549" i="1"/>
  <c r="S567" i="1"/>
  <c r="S573" i="1"/>
  <c r="S579" i="1"/>
  <c r="S590" i="1"/>
  <c r="S596" i="1"/>
  <c r="S601" i="1"/>
  <c r="S606" i="1"/>
  <c r="S611" i="1"/>
  <c r="S633" i="1"/>
  <c r="S641" i="1"/>
  <c r="S649" i="1"/>
  <c r="S670" i="1"/>
  <c r="S673" i="1"/>
  <c r="S679" i="1"/>
  <c r="S694" i="1"/>
  <c r="S708" i="1"/>
  <c r="S711" i="1"/>
  <c r="S717" i="1"/>
  <c r="S720" i="1"/>
  <c r="S740" i="1"/>
  <c r="S743" i="1"/>
  <c r="S746" i="1"/>
  <c r="S749" i="1"/>
  <c r="S226" i="1"/>
  <c r="S266" i="1"/>
  <c r="S367" i="1"/>
  <c r="S400" i="1"/>
  <c r="S422" i="1"/>
  <c r="S456" i="1"/>
  <c r="S478" i="1"/>
  <c r="S488" i="1"/>
  <c r="S497" i="1"/>
  <c r="S503" i="1"/>
  <c r="S512" i="1"/>
  <c r="S526" i="1"/>
  <c r="S532" i="1"/>
  <c r="S538" i="1"/>
  <c r="S546" i="1"/>
  <c r="S574" i="1"/>
  <c r="S587" i="1"/>
  <c r="S593" i="1"/>
  <c r="S600" i="1"/>
  <c r="S612" i="1"/>
  <c r="S631" i="1"/>
  <c r="S646" i="1"/>
  <c r="S653" i="1"/>
  <c r="S680" i="1"/>
  <c r="S683" i="1"/>
  <c r="S697" i="1"/>
  <c r="S700" i="1"/>
  <c r="S710" i="1"/>
  <c r="S713" i="1"/>
  <c r="S730" i="1"/>
  <c r="S750" i="1"/>
  <c r="S759" i="1"/>
  <c r="S776" i="1"/>
  <c r="S782" i="1"/>
  <c r="S785" i="1"/>
  <c r="S796" i="1"/>
  <c r="S799" i="1"/>
  <c r="S90" i="1"/>
  <c r="S157" i="1"/>
  <c r="S229" i="1"/>
  <c r="S269" i="1"/>
  <c r="S314" i="1"/>
  <c r="S346" i="1"/>
  <c r="S414" i="1"/>
  <c r="S424" i="1"/>
  <c r="S434" i="1"/>
  <c r="S447" i="1"/>
  <c r="S469" i="1"/>
  <c r="S479" i="1"/>
  <c r="S513" i="1"/>
  <c r="S519" i="1"/>
  <c r="S527" i="1"/>
  <c r="S554" i="1"/>
  <c r="S561" i="1"/>
  <c r="S569" i="1"/>
  <c r="S613" i="1"/>
  <c r="S632" i="1"/>
  <c r="S637" i="1"/>
  <c r="S650" i="1"/>
  <c r="S654" i="1"/>
  <c r="S661" i="1"/>
  <c r="S666" i="1"/>
  <c r="S677" i="1"/>
  <c r="S687" i="1"/>
  <c r="S690" i="1"/>
  <c r="S707" i="1"/>
  <c r="S727" i="1"/>
  <c r="S734" i="1"/>
  <c r="S737" i="1"/>
  <c r="S744" i="1"/>
  <c r="S747" i="1"/>
  <c r="S753" i="1"/>
  <c r="S756" i="1"/>
  <c r="S762" i="1"/>
  <c r="S765" i="1"/>
  <c r="S779" i="1"/>
  <c r="S93" i="1"/>
  <c r="S160" i="1"/>
  <c r="S325" i="1"/>
  <c r="S351" i="1"/>
  <c r="S370" i="1"/>
  <c r="S416" i="1"/>
  <c r="S438" i="1"/>
  <c r="S460" i="1"/>
  <c r="S470" i="1"/>
  <c r="S480" i="1"/>
  <c r="S489" i="1"/>
  <c r="S498" i="1"/>
  <c r="S521" i="1"/>
  <c r="S533" i="1"/>
  <c r="S541" i="1"/>
  <c r="S562" i="1"/>
  <c r="S99" i="1"/>
  <c r="S237" i="1"/>
  <c r="S373" i="1"/>
  <c r="S391" i="1"/>
  <c r="S404" i="1"/>
  <c r="S428" i="1"/>
  <c r="S439" i="1"/>
  <c r="S462" i="1"/>
  <c r="S490" i="1"/>
  <c r="S500" i="1"/>
  <c r="S514" i="1"/>
  <c r="S528" i="1"/>
  <c r="S550" i="1"/>
  <c r="S245" i="1"/>
  <c r="S293" i="1"/>
  <c r="S357" i="1"/>
  <c r="S405" i="1"/>
  <c r="S440" i="1"/>
  <c r="S450" i="1"/>
  <c r="S471" i="1"/>
  <c r="S482" i="1"/>
  <c r="S501" i="1"/>
  <c r="S516" i="1"/>
  <c r="S298" i="1"/>
  <c r="S376" i="1"/>
  <c r="S412" i="1"/>
  <c r="S494" i="1"/>
  <c r="S517" i="1"/>
  <c r="S571" i="1"/>
  <c r="S581" i="1"/>
  <c r="S589" i="1"/>
  <c r="S620" i="1"/>
  <c r="S626" i="1"/>
  <c r="S645" i="1"/>
  <c r="S660" i="1"/>
  <c r="S667" i="1"/>
  <c r="S672" i="1"/>
  <c r="S676" i="1"/>
  <c r="S681" i="1"/>
  <c r="S695" i="1"/>
  <c r="S703" i="1"/>
  <c r="S712" i="1"/>
  <c r="S716" i="1"/>
  <c r="S735" i="1"/>
  <c r="S760" i="1"/>
  <c r="S767" i="1"/>
  <c r="S775" i="1"/>
  <c r="S802" i="1"/>
  <c r="S805" i="1"/>
  <c r="S816" i="1"/>
  <c r="S827" i="1"/>
  <c r="S830" i="1"/>
  <c r="S841" i="1"/>
  <c r="S852" i="1"/>
  <c r="S855" i="1"/>
  <c r="S866" i="1"/>
  <c r="S869" i="1"/>
  <c r="S877" i="1"/>
  <c r="S885" i="1"/>
  <c r="S893" i="1"/>
  <c r="S901" i="1"/>
  <c r="S909" i="1"/>
  <c r="S917" i="1"/>
  <c r="S925" i="1"/>
  <c r="S933" i="1"/>
  <c r="S941" i="1"/>
  <c r="S949" i="1"/>
  <c r="S957" i="1"/>
  <c r="S965" i="1"/>
  <c r="S973" i="1"/>
  <c r="S981" i="1"/>
  <c r="S989" i="1"/>
  <c r="S997" i="1"/>
  <c r="S1005" i="1"/>
  <c r="S1013" i="1"/>
  <c r="S1021" i="1"/>
  <c r="S1029" i="1"/>
  <c r="S1037" i="1"/>
  <c r="S1045" i="1"/>
  <c r="S1053" i="1"/>
  <c r="S1061" i="1"/>
  <c r="S1069" i="1"/>
  <c r="S1077" i="1"/>
  <c r="S1085" i="1"/>
  <c r="S1093" i="1"/>
  <c r="S301" i="1"/>
  <c r="S378" i="1"/>
  <c r="S420" i="1"/>
  <c r="S445" i="1"/>
  <c r="S476" i="1"/>
  <c r="S582" i="1"/>
  <c r="S598" i="1"/>
  <c r="S607" i="1"/>
  <c r="S621" i="1"/>
  <c r="S627" i="1"/>
  <c r="S634" i="1"/>
  <c r="S640" i="1"/>
  <c r="S651" i="1"/>
  <c r="S656" i="1"/>
  <c r="S662" i="1"/>
  <c r="S686" i="1"/>
  <c r="S691" i="1"/>
  <c r="S699" i="1"/>
  <c r="S704" i="1"/>
  <c r="S726" i="1"/>
  <c r="S739" i="1"/>
  <c r="S748" i="1"/>
  <c r="S752" i="1"/>
  <c r="S768" i="1"/>
  <c r="S790" i="1"/>
  <c r="S793" i="1"/>
  <c r="S808" i="1"/>
  <c r="S819" i="1"/>
  <c r="S822" i="1"/>
  <c r="S833" i="1"/>
  <c r="S844" i="1"/>
  <c r="S847" i="1"/>
  <c r="S858" i="1"/>
  <c r="S861" i="1"/>
  <c r="S872" i="1"/>
  <c r="S880" i="1"/>
  <c r="S888" i="1"/>
  <c r="S896" i="1"/>
  <c r="S904" i="1"/>
  <c r="S912" i="1"/>
  <c r="S920" i="1"/>
  <c r="S928" i="1"/>
  <c r="S936" i="1"/>
  <c r="S944" i="1"/>
  <c r="S333" i="1"/>
  <c r="S421" i="1"/>
  <c r="S452" i="1"/>
  <c r="S477" i="1"/>
  <c r="S502" i="1"/>
  <c r="S522" i="1"/>
  <c r="S537" i="1"/>
  <c r="S551" i="1"/>
  <c r="S565" i="1"/>
  <c r="S591" i="1"/>
  <c r="S599" i="1"/>
  <c r="S608" i="1"/>
  <c r="S628" i="1"/>
  <c r="S647" i="1"/>
  <c r="S657" i="1"/>
  <c r="S663" i="1"/>
  <c r="S678" i="1"/>
  <c r="S682" i="1"/>
  <c r="S709" i="1"/>
  <c r="S718" i="1"/>
  <c r="S722" i="1"/>
  <c r="S731" i="1"/>
  <c r="S757" i="1"/>
  <c r="S764" i="1"/>
  <c r="S772" i="1"/>
  <c r="S780" i="1"/>
  <c r="S784" i="1"/>
  <c r="S787" i="1"/>
  <c r="S797" i="1"/>
  <c r="S800" i="1"/>
  <c r="S811" i="1"/>
  <c r="S814" i="1"/>
  <c r="S825" i="1"/>
  <c r="S338" i="1"/>
  <c r="S392" i="1"/>
  <c r="S485" i="1"/>
  <c r="S524" i="1"/>
  <c r="S552" i="1"/>
  <c r="S575" i="1"/>
  <c r="S583" i="1"/>
  <c r="S592" i="1"/>
  <c r="S32" i="1"/>
  <c r="S396" i="1"/>
  <c r="S430" i="1"/>
  <c r="S454" i="1"/>
  <c r="S486" i="1"/>
  <c r="S508" i="1"/>
  <c r="S525" i="1"/>
  <c r="S553" i="1"/>
  <c r="S566" i="1"/>
  <c r="S577" i="1"/>
  <c r="S609" i="1"/>
  <c r="S105" i="1"/>
  <c r="S408" i="1"/>
  <c r="S463" i="1"/>
  <c r="S492" i="1"/>
  <c r="S511" i="1"/>
  <c r="S529" i="1"/>
  <c r="S543" i="1"/>
  <c r="S558" i="1"/>
  <c r="S604" i="1"/>
  <c r="S619" i="1"/>
  <c r="S638" i="1"/>
  <c r="S644" i="1"/>
  <c r="S665" i="1"/>
  <c r="S675" i="1"/>
  <c r="S684" i="1"/>
  <c r="S693" i="1"/>
  <c r="S698" i="1"/>
  <c r="S702" i="1"/>
  <c r="S715" i="1"/>
  <c r="S738" i="1"/>
  <c r="S742" i="1"/>
  <c r="S751" i="1"/>
  <c r="S132" i="1"/>
  <c r="S585" i="1"/>
  <c r="S616" i="1"/>
  <c r="S642" i="1"/>
  <c r="S652" i="1"/>
  <c r="S674" i="1"/>
  <c r="S701" i="1"/>
  <c r="S736" i="1"/>
  <c r="S745" i="1"/>
  <c r="S771" i="1"/>
  <c r="S789" i="1"/>
  <c r="S826" i="1"/>
  <c r="S845" i="1"/>
  <c r="S856" i="1"/>
  <c r="S863" i="1"/>
  <c r="S867" i="1"/>
  <c r="S874" i="1"/>
  <c r="S878" i="1"/>
  <c r="S892" i="1"/>
  <c r="S906" i="1"/>
  <c r="S910" i="1"/>
  <c r="S924" i="1"/>
  <c r="S938" i="1"/>
  <c r="S942" i="1"/>
  <c r="S952" i="1"/>
  <c r="S955" i="1"/>
  <c r="S958" i="1"/>
  <c r="S961" i="1"/>
  <c r="S964" i="1"/>
  <c r="S967" i="1"/>
  <c r="S970" i="1"/>
  <c r="S1016" i="1"/>
  <c r="S1019" i="1"/>
  <c r="S1022" i="1"/>
  <c r="S1025" i="1"/>
  <c r="S1028" i="1"/>
  <c r="S1031" i="1"/>
  <c r="S468" i="1"/>
  <c r="S544" i="1"/>
  <c r="S588" i="1"/>
  <c r="S617" i="1"/>
  <c r="S643" i="1"/>
  <c r="S692" i="1"/>
  <c r="S719" i="1"/>
  <c r="S766" i="1"/>
  <c r="S804" i="1"/>
  <c r="S809" i="1"/>
  <c r="S813" i="1"/>
  <c r="S834" i="1"/>
  <c r="S853" i="1"/>
  <c r="S864" i="1"/>
  <c r="S871" i="1"/>
  <c r="S875" i="1"/>
  <c r="S889" i="1"/>
  <c r="S903" i="1"/>
  <c r="S907" i="1"/>
  <c r="S921" i="1"/>
  <c r="S935" i="1"/>
  <c r="S939" i="1"/>
  <c r="S992" i="1"/>
  <c r="S995" i="1"/>
  <c r="S360" i="1"/>
  <c r="S487" i="1"/>
  <c r="S557" i="1"/>
  <c r="S595" i="1"/>
  <c r="S630" i="1"/>
  <c r="S664" i="1"/>
  <c r="S728" i="1"/>
  <c r="S754" i="1"/>
  <c r="S761" i="1"/>
  <c r="S773" i="1"/>
  <c r="S778" i="1"/>
  <c r="S791" i="1"/>
  <c r="S795" i="1"/>
  <c r="S818" i="1"/>
  <c r="S823" i="1"/>
  <c r="S831" i="1"/>
  <c r="S838" i="1"/>
  <c r="S842" i="1"/>
  <c r="S849" i="1"/>
  <c r="S860" i="1"/>
  <c r="S882" i="1"/>
  <c r="S886" i="1"/>
  <c r="S900" i="1"/>
  <c r="S914" i="1"/>
  <c r="S918" i="1"/>
  <c r="S932" i="1"/>
  <c r="S946" i="1"/>
  <c r="S968" i="1"/>
  <c r="S971" i="1"/>
  <c r="S974" i="1"/>
  <c r="S977" i="1"/>
  <c r="S980" i="1"/>
  <c r="S983" i="1"/>
  <c r="S986" i="1"/>
  <c r="S362" i="1"/>
  <c r="S493" i="1"/>
  <c r="S597" i="1"/>
  <c r="S655" i="1"/>
  <c r="S685" i="1"/>
  <c r="S721" i="1"/>
  <c r="S729" i="1"/>
  <c r="S774" i="1"/>
  <c r="S801" i="1"/>
  <c r="S806" i="1"/>
  <c r="S839" i="1"/>
  <c r="S846" i="1"/>
  <c r="S850" i="1"/>
  <c r="S857" i="1"/>
  <c r="S868" i="1"/>
  <c r="S879" i="1"/>
  <c r="S883" i="1"/>
  <c r="S897" i="1"/>
  <c r="S911" i="1"/>
  <c r="S915" i="1"/>
  <c r="S929" i="1"/>
  <c r="S943" i="1"/>
  <c r="S947" i="1"/>
  <c r="S950" i="1"/>
  <c r="S953" i="1"/>
  <c r="S956" i="1"/>
  <c r="S959" i="1"/>
  <c r="S962" i="1"/>
  <c r="S397" i="1"/>
  <c r="S603" i="1"/>
  <c r="S623" i="1"/>
  <c r="S635" i="1"/>
  <c r="S658" i="1"/>
  <c r="S668" i="1"/>
  <c r="S696" i="1"/>
  <c r="S705" i="1"/>
  <c r="S714" i="1"/>
  <c r="S741" i="1"/>
  <c r="S755" i="1"/>
  <c r="S769" i="1"/>
  <c r="S781" i="1"/>
  <c r="S786" i="1"/>
  <c r="S810" i="1"/>
  <c r="S815" i="1"/>
  <c r="S828" i="1"/>
  <c r="S835" i="1"/>
  <c r="S854" i="1"/>
  <c r="S865" i="1"/>
  <c r="S876" i="1"/>
  <c r="S890" i="1"/>
  <c r="S894" i="1"/>
  <c r="S908" i="1"/>
  <c r="S922" i="1"/>
  <c r="S926" i="1"/>
  <c r="S940" i="1"/>
  <c r="S984" i="1"/>
  <c r="S987" i="1"/>
  <c r="S990" i="1"/>
  <c r="S993" i="1"/>
  <c r="S996" i="1"/>
  <c r="S999" i="1"/>
  <c r="S1002" i="1"/>
  <c r="S410" i="1"/>
  <c r="S605" i="1"/>
  <c r="S636" i="1"/>
  <c r="S648" i="1"/>
  <c r="S431" i="1"/>
  <c r="S624" i="1"/>
  <c r="S659" i="1"/>
  <c r="S671" i="1"/>
  <c r="S706" i="1"/>
  <c r="S724" i="1"/>
  <c r="S733" i="1"/>
  <c r="S758" i="1"/>
  <c r="S763" i="1"/>
  <c r="S788" i="1"/>
  <c r="S798" i="1"/>
  <c r="S803" i="1"/>
  <c r="S807" i="1"/>
  <c r="S829" i="1"/>
  <c r="S840" i="1"/>
  <c r="S851" i="1"/>
  <c r="S870" i="1"/>
  <c r="S884" i="1"/>
  <c r="S898" i="1"/>
  <c r="S902" i="1"/>
  <c r="S916" i="1"/>
  <c r="S930" i="1"/>
  <c r="S934" i="1"/>
  <c r="S948" i="1"/>
  <c r="S951" i="1"/>
  <c r="S954" i="1"/>
  <c r="S1000" i="1"/>
  <c r="S1003" i="1"/>
  <c r="S899" i="1"/>
  <c r="S913" i="1"/>
  <c r="S927" i="1"/>
  <c r="S979" i="1"/>
  <c r="S991" i="1"/>
  <c r="S1001" i="1"/>
  <c r="S1011" i="1"/>
  <c r="S1032" i="1"/>
  <c r="S1035" i="1"/>
  <c r="S1038" i="1"/>
  <c r="S1041" i="1"/>
  <c r="S1044" i="1"/>
  <c r="S1047" i="1"/>
  <c r="S1050" i="1"/>
  <c r="S1096" i="1"/>
  <c r="S1099" i="1"/>
  <c r="S1107" i="1"/>
  <c r="S1115" i="1"/>
  <c r="S1123" i="1"/>
  <c r="S1131" i="1"/>
  <c r="S1139" i="1"/>
  <c r="S1147" i="1"/>
  <c r="S1155" i="1"/>
  <c r="S1163" i="1"/>
  <c r="S1171" i="1"/>
  <c r="S1179" i="1"/>
  <c r="S1187" i="1"/>
  <c r="S1195" i="1"/>
  <c r="S1203" i="1"/>
  <c r="S1211" i="1"/>
  <c r="S1219" i="1"/>
  <c r="S1227" i="1"/>
  <c r="S1235" i="1"/>
  <c r="S1243" i="1"/>
  <c r="S1251" i="1"/>
  <c r="S1259" i="1"/>
  <c r="S1267" i="1"/>
  <c r="S1275" i="1"/>
  <c r="S1283" i="1"/>
  <c r="S1291" i="1"/>
  <c r="S1299" i="1"/>
  <c r="S1307" i="1"/>
  <c r="S1315" i="1"/>
  <c r="S1323" i="1"/>
  <c r="S1331" i="1"/>
  <c r="S1339" i="1"/>
  <c r="S1347" i="1"/>
  <c r="S1355" i="1"/>
  <c r="S1363" i="1"/>
  <c r="S1371" i="1"/>
  <c r="S1379" i="1"/>
  <c r="S1387" i="1"/>
  <c r="S1395" i="1"/>
  <c r="S1403" i="1"/>
  <c r="S1411" i="1"/>
  <c r="S1419" i="1"/>
  <c r="S669" i="1"/>
  <c r="S792" i="1"/>
  <c r="S843" i="1"/>
  <c r="S873" i="1"/>
  <c r="S887" i="1"/>
  <c r="S969" i="1"/>
  <c r="S1008" i="1"/>
  <c r="S1018" i="1"/>
  <c r="S1072" i="1"/>
  <c r="S1075" i="1"/>
  <c r="S1078" i="1"/>
  <c r="S1081" i="1"/>
  <c r="S1084" i="1"/>
  <c r="S1087" i="1"/>
  <c r="S1090" i="1"/>
  <c r="S1102" i="1"/>
  <c r="S1110" i="1"/>
  <c r="S1118" i="1"/>
  <c r="S1126" i="1"/>
  <c r="S1134" i="1"/>
  <c r="S1142" i="1"/>
  <c r="S1150" i="1"/>
  <c r="S1158" i="1"/>
  <c r="S1166" i="1"/>
  <c r="S1174" i="1"/>
  <c r="S1182" i="1"/>
  <c r="S1190" i="1"/>
  <c r="S1198" i="1"/>
  <c r="S1206" i="1"/>
  <c r="S1214" i="1"/>
  <c r="S1222" i="1"/>
  <c r="S1230" i="1"/>
  <c r="S1238" i="1"/>
  <c r="S1246" i="1"/>
  <c r="S1254" i="1"/>
  <c r="S1262" i="1"/>
  <c r="S1270" i="1"/>
  <c r="S1278" i="1"/>
  <c r="S1286" i="1"/>
  <c r="S1294" i="1"/>
  <c r="S1302" i="1"/>
  <c r="S1310" i="1"/>
  <c r="S1318" i="1"/>
  <c r="S1326" i="1"/>
  <c r="S1334" i="1"/>
  <c r="S1342" i="1"/>
  <c r="S1350" i="1"/>
  <c r="S1358" i="1"/>
  <c r="S1366" i="1"/>
  <c r="S1374" i="1"/>
  <c r="S1382" i="1"/>
  <c r="S1390" i="1"/>
  <c r="S1398" i="1"/>
  <c r="S1406" i="1"/>
  <c r="S1414" i="1"/>
  <c r="S770" i="1"/>
  <c r="S794" i="1"/>
  <c r="S812" i="1"/>
  <c r="S859" i="1"/>
  <c r="S931" i="1"/>
  <c r="S945" i="1"/>
  <c r="S982" i="1"/>
  <c r="S994" i="1"/>
  <c r="S1015" i="1"/>
  <c r="S1048" i="1"/>
  <c r="S1051" i="1"/>
  <c r="S1054" i="1"/>
  <c r="S1057" i="1"/>
  <c r="S1060" i="1"/>
  <c r="S1063" i="1"/>
  <c r="S1066" i="1"/>
  <c r="S1105" i="1"/>
  <c r="S1113" i="1"/>
  <c r="S1121" i="1"/>
  <c r="S1129" i="1"/>
  <c r="S1137" i="1"/>
  <c r="S1145" i="1"/>
  <c r="S1153" i="1"/>
  <c r="S1161" i="1"/>
  <c r="S1169" i="1"/>
  <c r="S1177" i="1"/>
  <c r="S1185" i="1"/>
  <c r="S1193" i="1"/>
  <c r="S1201" i="1"/>
  <c r="S1209" i="1"/>
  <c r="S1217" i="1"/>
  <c r="S1225" i="1"/>
  <c r="S614" i="1"/>
  <c r="S832" i="1"/>
  <c r="S862" i="1"/>
  <c r="S891" i="1"/>
  <c r="S905" i="1"/>
  <c r="S919" i="1"/>
  <c r="S960" i="1"/>
  <c r="S972" i="1"/>
  <c r="S1004" i="1"/>
  <c r="S1012" i="1"/>
  <c r="S1026" i="1"/>
  <c r="S1033" i="1"/>
  <c r="S1036" i="1"/>
  <c r="S1039" i="1"/>
  <c r="S1042" i="1"/>
  <c r="S1088" i="1"/>
  <c r="S1091" i="1"/>
  <c r="S1094" i="1"/>
  <c r="S1097" i="1"/>
  <c r="S1100" i="1"/>
  <c r="S1108" i="1"/>
  <c r="S1116" i="1"/>
  <c r="S1124" i="1"/>
  <c r="S1132" i="1"/>
  <c r="S1140" i="1"/>
  <c r="S1148" i="1"/>
  <c r="S1156" i="1"/>
  <c r="S1164" i="1"/>
  <c r="S1172" i="1"/>
  <c r="S1180" i="1"/>
  <c r="S1188" i="1"/>
  <c r="S1196" i="1"/>
  <c r="S1204" i="1"/>
  <c r="S1212" i="1"/>
  <c r="S1220" i="1"/>
  <c r="S1228" i="1"/>
  <c r="S625" i="1"/>
  <c r="S777" i="1"/>
  <c r="S817" i="1"/>
  <c r="S848" i="1"/>
  <c r="S985" i="1"/>
  <c r="S1009" i="1"/>
  <c r="S1023" i="1"/>
  <c r="S1030" i="1"/>
  <c r="S1064" i="1"/>
  <c r="S1067" i="1"/>
  <c r="S1070" i="1"/>
  <c r="S1073" i="1"/>
  <c r="S1076" i="1"/>
  <c r="S1079" i="1"/>
  <c r="S1082" i="1"/>
  <c r="S1103" i="1"/>
  <c r="S1111" i="1"/>
  <c r="S1119" i="1"/>
  <c r="S1127" i="1"/>
  <c r="S1135" i="1"/>
  <c r="S1143" i="1"/>
  <c r="S1151" i="1"/>
  <c r="S1159" i="1"/>
  <c r="S1167" i="1"/>
  <c r="S1175" i="1"/>
  <c r="S1183" i="1"/>
  <c r="S1191" i="1"/>
  <c r="S1199" i="1"/>
  <c r="S1207" i="1"/>
  <c r="S1215" i="1"/>
  <c r="S1223" i="1"/>
  <c r="S1231" i="1"/>
  <c r="S639" i="1"/>
  <c r="S688" i="1"/>
  <c r="S723" i="1"/>
  <c r="S820" i="1"/>
  <c r="S836" i="1"/>
  <c r="S689" i="1"/>
  <c r="S725" i="1"/>
  <c r="S783" i="1"/>
  <c r="S821" i="1"/>
  <c r="S837" i="1"/>
  <c r="S881" i="1"/>
  <c r="S895" i="1"/>
  <c r="S976" i="1"/>
  <c r="S988" i="1"/>
  <c r="S1010" i="1"/>
  <c r="S1017" i="1"/>
  <c r="S1024" i="1"/>
  <c r="S1034" i="1"/>
  <c r="S732" i="1"/>
  <c r="S824" i="1"/>
  <c r="S978" i="1"/>
  <c r="S1058" i="1"/>
  <c r="S1065" i="1"/>
  <c r="S1098" i="1"/>
  <c r="S1106" i="1"/>
  <c r="S1112" i="1"/>
  <c r="S1141" i="1"/>
  <c r="S1170" i="1"/>
  <c r="S1176" i="1"/>
  <c r="S1205" i="1"/>
  <c r="S1233" i="1"/>
  <c r="S1247" i="1"/>
  <c r="S1261" i="1"/>
  <c r="S1265" i="1"/>
  <c r="S1279" i="1"/>
  <c r="S1293" i="1"/>
  <c r="S1297" i="1"/>
  <c r="S1311" i="1"/>
  <c r="S1325" i="1"/>
  <c r="S1329" i="1"/>
  <c r="S1343" i="1"/>
  <c r="S1357" i="1"/>
  <c r="S1361" i="1"/>
  <c r="S1375" i="1"/>
  <c r="S1389" i="1"/>
  <c r="S1393" i="1"/>
  <c r="S1407" i="1"/>
  <c r="S1429" i="1"/>
  <c r="S1437" i="1"/>
  <c r="S1445" i="1"/>
  <c r="S1453" i="1"/>
  <c r="S1461" i="1"/>
  <c r="S1469" i="1"/>
  <c r="S1477" i="1"/>
  <c r="S1485" i="1"/>
  <c r="S1493" i="1"/>
  <c r="S1501" i="1"/>
  <c r="S1509" i="1"/>
  <c r="S1517" i="1"/>
  <c r="S1525" i="1"/>
  <c r="S1533" i="1"/>
  <c r="S1541" i="1"/>
  <c r="S1549" i="1"/>
  <c r="S1557" i="1"/>
  <c r="S1565" i="1"/>
  <c r="S1573" i="1"/>
  <c r="S1581" i="1"/>
  <c r="S1589" i="1"/>
  <c r="S1597" i="1"/>
  <c r="S1605" i="1"/>
  <c r="S1613" i="1"/>
  <c r="S1621" i="1"/>
  <c r="S1629" i="1"/>
  <c r="S1637" i="1"/>
  <c r="S1645" i="1"/>
  <c r="S1653" i="1"/>
  <c r="S1661" i="1"/>
  <c r="S1669" i="1"/>
  <c r="S1677" i="1"/>
  <c r="S1685" i="1"/>
  <c r="S1693" i="1"/>
  <c r="S1701" i="1"/>
  <c r="S1709" i="1"/>
  <c r="S1717" i="1"/>
  <c r="S1725" i="1"/>
  <c r="S1733" i="1"/>
  <c r="S1741" i="1"/>
  <c r="S1749" i="1"/>
  <c r="S1757" i="1"/>
  <c r="S1765" i="1"/>
  <c r="S1773" i="1"/>
  <c r="S1781" i="1"/>
  <c r="S1789" i="1"/>
  <c r="S1797" i="1"/>
  <c r="S1805" i="1"/>
  <c r="S1813" i="1"/>
  <c r="S1821" i="1"/>
  <c r="S1829" i="1"/>
  <c r="S1837" i="1"/>
  <c r="S1845" i="1"/>
  <c r="S1853" i="1"/>
  <c r="S1861" i="1"/>
  <c r="S1869" i="1"/>
  <c r="S1877" i="1"/>
  <c r="S1885" i="1"/>
  <c r="S1893" i="1"/>
  <c r="S1901" i="1"/>
  <c r="S937" i="1"/>
  <c r="S1027" i="1"/>
  <c r="S1040" i="1"/>
  <c r="S1074" i="1"/>
  <c r="S1083" i="1"/>
  <c r="S1114" i="1"/>
  <c r="S1120" i="1"/>
  <c r="S1149" i="1"/>
  <c r="S1178" i="1"/>
  <c r="S1184" i="1"/>
  <c r="S1213" i="1"/>
  <c r="S1240" i="1"/>
  <c r="S1244" i="1"/>
  <c r="S1258" i="1"/>
  <c r="S1272" i="1"/>
  <c r="S1276" i="1"/>
  <c r="S1290" i="1"/>
  <c r="S1304" i="1"/>
  <c r="S1308" i="1"/>
  <c r="S1322" i="1"/>
  <c r="S1336" i="1"/>
  <c r="S1340" i="1"/>
  <c r="S1354" i="1"/>
  <c r="S1368" i="1"/>
  <c r="S1372" i="1"/>
  <c r="S1386" i="1"/>
  <c r="S1400" i="1"/>
  <c r="S1404" i="1"/>
  <c r="S1418" i="1"/>
  <c r="S1421" i="1"/>
  <c r="S1424" i="1"/>
  <c r="S1014" i="1"/>
  <c r="S1052" i="1"/>
  <c r="S1059" i="1"/>
  <c r="S1092" i="1"/>
  <c r="S1122" i="1"/>
  <c r="S1128" i="1"/>
  <c r="S1157" i="1"/>
  <c r="S1186" i="1"/>
  <c r="S1192" i="1"/>
  <c r="S1221" i="1"/>
  <c r="S1237" i="1"/>
  <c r="S1241" i="1"/>
  <c r="S1255" i="1"/>
  <c r="S1269" i="1"/>
  <c r="S1273" i="1"/>
  <c r="S1287" i="1"/>
  <c r="S1301" i="1"/>
  <c r="S1305" i="1"/>
  <c r="S1319" i="1"/>
  <c r="S1333" i="1"/>
  <c r="S1337" i="1"/>
  <c r="S1351" i="1"/>
  <c r="S1365" i="1"/>
  <c r="S1369" i="1"/>
  <c r="S1383" i="1"/>
  <c r="S1397" i="1"/>
  <c r="S1401" i="1"/>
  <c r="S1415" i="1"/>
  <c r="S1427" i="1"/>
  <c r="S1435" i="1"/>
  <c r="S1443" i="1"/>
  <c r="S1451" i="1"/>
  <c r="S1459" i="1"/>
  <c r="S1467" i="1"/>
  <c r="S1475" i="1"/>
  <c r="S1483" i="1"/>
  <c r="S1491" i="1"/>
  <c r="S1499" i="1"/>
  <c r="S1507" i="1"/>
  <c r="S1515" i="1"/>
  <c r="S1523" i="1"/>
  <c r="S1531" i="1"/>
  <c r="S1539" i="1"/>
  <c r="S1547" i="1"/>
  <c r="S1555" i="1"/>
  <c r="S1563" i="1"/>
  <c r="S1571" i="1"/>
  <c r="S1579" i="1"/>
  <c r="S1587" i="1"/>
  <c r="S1595" i="1"/>
  <c r="S1603" i="1"/>
  <c r="S1611" i="1"/>
  <c r="S1619" i="1"/>
  <c r="S1627" i="1"/>
  <c r="S1635" i="1"/>
  <c r="S1643" i="1"/>
  <c r="S998" i="1"/>
  <c r="S1043" i="1"/>
  <c r="S1068" i="1"/>
  <c r="S1101" i="1"/>
  <c r="S1130" i="1"/>
  <c r="S1136" i="1"/>
  <c r="S1165" i="1"/>
  <c r="S1194" i="1"/>
  <c r="S1200" i="1"/>
  <c r="S1229" i="1"/>
  <c r="S1234" i="1"/>
  <c r="S1248" i="1"/>
  <c r="S1252" i="1"/>
  <c r="S1266" i="1"/>
  <c r="S1280" i="1"/>
  <c r="S1284" i="1"/>
  <c r="S1298" i="1"/>
  <c r="S1312" i="1"/>
  <c r="S1316" i="1"/>
  <c r="S1330" i="1"/>
  <c r="S1344" i="1"/>
  <c r="S1348" i="1"/>
  <c r="S1362" i="1"/>
  <c r="S1376" i="1"/>
  <c r="S1380" i="1"/>
  <c r="S1394" i="1"/>
  <c r="S1408" i="1"/>
  <c r="S1412" i="1"/>
  <c r="S1422" i="1"/>
  <c r="S1430" i="1"/>
  <c r="S1438" i="1"/>
  <c r="S1446" i="1"/>
  <c r="S1454" i="1"/>
  <c r="S1462" i="1"/>
  <c r="S1470" i="1"/>
  <c r="S1478" i="1"/>
  <c r="S1486" i="1"/>
  <c r="S1494" i="1"/>
  <c r="S1502" i="1"/>
  <c r="S1510" i="1"/>
  <c r="S1518" i="1"/>
  <c r="S1526" i="1"/>
  <c r="S1534" i="1"/>
  <c r="S1542" i="1"/>
  <c r="S1550" i="1"/>
  <c r="S1558" i="1"/>
  <c r="S1566" i="1"/>
  <c r="S1574" i="1"/>
  <c r="S1582" i="1"/>
  <c r="S1590" i="1"/>
  <c r="S1598" i="1"/>
  <c r="S1606" i="1"/>
  <c r="S1614" i="1"/>
  <c r="S1622" i="1"/>
  <c r="S1630" i="1"/>
  <c r="S1638" i="1"/>
  <c r="S1086" i="1"/>
  <c r="S1109" i="1"/>
  <c r="S1138" i="1"/>
  <c r="S1144" i="1"/>
  <c r="S1173" i="1"/>
  <c r="S1202" i="1"/>
  <c r="S1208" i="1"/>
  <c r="S1245" i="1"/>
  <c r="S1249" i="1"/>
  <c r="S1263" i="1"/>
  <c r="S1277" i="1"/>
  <c r="S1281" i="1"/>
  <c r="S1295" i="1"/>
  <c r="S1309" i="1"/>
  <c r="S1313" i="1"/>
  <c r="S1327" i="1"/>
  <c r="S1341" i="1"/>
  <c r="S1345" i="1"/>
  <c r="S1359" i="1"/>
  <c r="S1373" i="1"/>
  <c r="S1377" i="1"/>
  <c r="S1391" i="1"/>
  <c r="S1405" i="1"/>
  <c r="S1409" i="1"/>
  <c r="S1425" i="1"/>
  <c r="S1433" i="1"/>
  <c r="S1441" i="1"/>
  <c r="S1449" i="1"/>
  <c r="S1457" i="1"/>
  <c r="S1465" i="1"/>
  <c r="S1473" i="1"/>
  <c r="S1481" i="1"/>
  <c r="S1489" i="1"/>
  <c r="S1497" i="1"/>
  <c r="S1505" i="1"/>
  <c r="S1513" i="1"/>
  <c r="S1521" i="1"/>
  <c r="S1529" i="1"/>
  <c r="S1537" i="1"/>
  <c r="S1545" i="1"/>
  <c r="S1553" i="1"/>
  <c r="S1561" i="1"/>
  <c r="S1569" i="1"/>
  <c r="S1577" i="1"/>
  <c r="S1585" i="1"/>
  <c r="S1593" i="1"/>
  <c r="S1601" i="1"/>
  <c r="S1609" i="1"/>
  <c r="S1617" i="1"/>
  <c r="S1625" i="1"/>
  <c r="S1633" i="1"/>
  <c r="S1641" i="1"/>
  <c r="S963" i="1"/>
  <c r="S1006" i="1"/>
  <c r="S1020" i="1"/>
  <c r="S1046" i="1"/>
  <c r="S1055" i="1"/>
  <c r="S1062" i="1"/>
  <c r="S1095" i="1"/>
  <c r="S1117" i="1"/>
  <c r="S1146" i="1"/>
  <c r="S1152" i="1"/>
  <c r="S1181" i="1"/>
  <c r="S1210" i="1"/>
  <c r="S966" i="1"/>
  <c r="S1007" i="1"/>
  <c r="S1071" i="1"/>
  <c r="S1080" i="1"/>
  <c r="S1125" i="1"/>
  <c r="S1154" i="1"/>
  <c r="S1160" i="1"/>
  <c r="S1189" i="1"/>
  <c r="S1218" i="1"/>
  <c r="S1224" i="1"/>
  <c r="S1239" i="1"/>
  <c r="S1253" i="1"/>
  <c r="S1257" i="1"/>
  <c r="S1271" i="1"/>
  <c r="S1285" i="1"/>
  <c r="S1289" i="1"/>
  <c r="S1303" i="1"/>
  <c r="S1317" i="1"/>
  <c r="S1321" i="1"/>
  <c r="S1335" i="1"/>
  <c r="S1349" i="1"/>
  <c r="S1353" i="1"/>
  <c r="S1367" i="1"/>
  <c r="S1381" i="1"/>
  <c r="S1385" i="1"/>
  <c r="S1399" i="1"/>
  <c r="S1413" i="1"/>
  <c r="S1417" i="1"/>
  <c r="S1420" i="1"/>
  <c r="S1423" i="1"/>
  <c r="S923" i="1"/>
  <c r="S975" i="1"/>
  <c r="S1049" i="1"/>
  <c r="S1056" i="1"/>
  <c r="S1089" i="1"/>
  <c r="S1104" i="1"/>
  <c r="S1133" i="1"/>
  <c r="S1162" i="1"/>
  <c r="S1168" i="1"/>
  <c r="S1197" i="1"/>
  <c r="S1232" i="1"/>
  <c r="S1332" i="1"/>
  <c r="S1346" i="1"/>
  <c r="S1360" i="1"/>
  <c r="S1432" i="1"/>
  <c r="S1448" i="1"/>
  <c r="S1464" i="1"/>
  <c r="S1480" i="1"/>
  <c r="S1496" i="1"/>
  <c r="S1512" i="1"/>
  <c r="S1528" i="1"/>
  <c r="S1544" i="1"/>
  <c r="S1560" i="1"/>
  <c r="S1576" i="1"/>
  <c r="S1592" i="1"/>
  <c r="S1608" i="1"/>
  <c r="S1624" i="1"/>
  <c r="S1640" i="1"/>
  <c r="S1664" i="1"/>
  <c r="S1667" i="1"/>
  <c r="S1670" i="1"/>
  <c r="S1673" i="1"/>
  <c r="S1676" i="1"/>
  <c r="S1679" i="1"/>
  <c r="S1682" i="1"/>
  <c r="S1728" i="1"/>
  <c r="S1731" i="1"/>
  <c r="S1734" i="1"/>
  <c r="S1737" i="1"/>
  <c r="S1740" i="1"/>
  <c r="S1743" i="1"/>
  <c r="S1746" i="1"/>
  <c r="S1792" i="1"/>
  <c r="S1795" i="1"/>
  <c r="S1798" i="1"/>
  <c r="S1801" i="1"/>
  <c r="S1804" i="1"/>
  <c r="S1807" i="1"/>
  <c r="S1810" i="1"/>
  <c r="S1856" i="1"/>
  <c r="S1859" i="1"/>
  <c r="S1862" i="1"/>
  <c r="S1865" i="1"/>
  <c r="S1868" i="1"/>
  <c r="S1871" i="1"/>
  <c r="S1874" i="1"/>
  <c r="S1913" i="1"/>
  <c r="S1921" i="1"/>
  <c r="S1929" i="1"/>
  <c r="S1937" i="1"/>
  <c r="S1945" i="1"/>
  <c r="S1953" i="1"/>
  <c r="S1961" i="1"/>
  <c r="S1969" i="1"/>
  <c r="S1977" i="1"/>
  <c r="S1985" i="1"/>
  <c r="S1993" i="1"/>
  <c r="S2001" i="1"/>
  <c r="S2009" i="1"/>
  <c r="S2017" i="1"/>
  <c r="S2025" i="1"/>
  <c r="S2033" i="1"/>
  <c r="S2041" i="1"/>
  <c r="S2049" i="1"/>
  <c r="S2057" i="1"/>
  <c r="S2065" i="1"/>
  <c r="S2073" i="1"/>
  <c r="S2081" i="1"/>
  <c r="S2089" i="1"/>
  <c r="S2097" i="1"/>
  <c r="S2105" i="1"/>
  <c r="S2113" i="1"/>
  <c r="S2121" i="1"/>
  <c r="S2129" i="1"/>
  <c r="S2137" i="1"/>
  <c r="S2145" i="1"/>
  <c r="S2153" i="1"/>
  <c r="S2161" i="1"/>
  <c r="S2169" i="1"/>
  <c r="S2177" i="1"/>
  <c r="S2185" i="1"/>
  <c r="S2193" i="1"/>
  <c r="S1292" i="1"/>
  <c r="S1306" i="1"/>
  <c r="S1320" i="1"/>
  <c r="S1428" i="1"/>
  <c r="S1444" i="1"/>
  <c r="S1460" i="1"/>
  <c r="S1476" i="1"/>
  <c r="S1492" i="1"/>
  <c r="S1508" i="1"/>
  <c r="S1524" i="1"/>
  <c r="S1540" i="1"/>
  <c r="S1556" i="1"/>
  <c r="S1572" i="1"/>
  <c r="S1588" i="1"/>
  <c r="S1604" i="1"/>
  <c r="S1620" i="1"/>
  <c r="S1636" i="1"/>
  <c r="S1649" i="1"/>
  <c r="S1652" i="1"/>
  <c r="S1655" i="1"/>
  <c r="S1658" i="1"/>
  <c r="S1704" i="1"/>
  <c r="S1707" i="1"/>
  <c r="S1710" i="1"/>
  <c r="S1713" i="1"/>
  <c r="S1236" i="1"/>
  <c r="S1250" i="1"/>
  <c r="S1264" i="1"/>
  <c r="S1364" i="1"/>
  <c r="S1378" i="1"/>
  <c r="S1392" i="1"/>
  <c r="S1439" i="1"/>
  <c r="S1455" i="1"/>
  <c r="S1471" i="1"/>
  <c r="S1487" i="1"/>
  <c r="S1503" i="1"/>
  <c r="S1519" i="1"/>
  <c r="S1535" i="1"/>
  <c r="S1551" i="1"/>
  <c r="S1567" i="1"/>
  <c r="S1583" i="1"/>
  <c r="S1599" i="1"/>
  <c r="S1615" i="1"/>
  <c r="S1631" i="1"/>
  <c r="S1646" i="1"/>
  <c r="S1680" i="1"/>
  <c r="S1683" i="1"/>
  <c r="S1686" i="1"/>
  <c r="S1689" i="1"/>
  <c r="S1692" i="1"/>
  <c r="S1695" i="1"/>
  <c r="S1698" i="1"/>
  <c r="S1744" i="1"/>
  <c r="S1747" i="1"/>
  <c r="S1750" i="1"/>
  <c r="S1753" i="1"/>
  <c r="S1756" i="1"/>
  <c r="S1759" i="1"/>
  <c r="S1762" i="1"/>
  <c r="S1808" i="1"/>
  <c r="S1811" i="1"/>
  <c r="S1814" i="1"/>
  <c r="S1817" i="1"/>
  <c r="S1820" i="1"/>
  <c r="S1823" i="1"/>
  <c r="S1826" i="1"/>
  <c r="S1872" i="1"/>
  <c r="S1875" i="1"/>
  <c r="S1878" i="1"/>
  <c r="S1881" i="1"/>
  <c r="S1884" i="1"/>
  <c r="S1887" i="1"/>
  <c r="S1890" i="1"/>
  <c r="S1911" i="1"/>
  <c r="S1919" i="1"/>
  <c r="S1216" i="1"/>
  <c r="S1324" i="1"/>
  <c r="S1338" i="1"/>
  <c r="S1352" i="1"/>
  <c r="S1434" i="1"/>
  <c r="S1450" i="1"/>
  <c r="S1466" i="1"/>
  <c r="S1482" i="1"/>
  <c r="S1498" i="1"/>
  <c r="S1514" i="1"/>
  <c r="S1530" i="1"/>
  <c r="S1546" i="1"/>
  <c r="S1562" i="1"/>
  <c r="S1578" i="1"/>
  <c r="S1594" i="1"/>
  <c r="S1610" i="1"/>
  <c r="S1626" i="1"/>
  <c r="S1642" i="1"/>
  <c r="S1656" i="1"/>
  <c r="S1659" i="1"/>
  <c r="S1662" i="1"/>
  <c r="S1665" i="1"/>
  <c r="S1668" i="1"/>
  <c r="S1671" i="1"/>
  <c r="S1674" i="1"/>
  <c r="S1720" i="1"/>
  <c r="S1723" i="1"/>
  <c r="S1726" i="1"/>
  <c r="S1729" i="1"/>
  <c r="S1732" i="1"/>
  <c r="S1735" i="1"/>
  <c r="S1738" i="1"/>
  <c r="S1784" i="1"/>
  <c r="S1787" i="1"/>
  <c r="S1790" i="1"/>
  <c r="S1793" i="1"/>
  <c r="S1796" i="1"/>
  <c r="S1799" i="1"/>
  <c r="S1802" i="1"/>
  <c r="S1848" i="1"/>
  <c r="S1851" i="1"/>
  <c r="S1854" i="1"/>
  <c r="S1857" i="1"/>
  <c r="S1860" i="1"/>
  <c r="S1863" i="1"/>
  <c r="S1866" i="1"/>
  <c r="S1914" i="1"/>
  <c r="S1268" i="1"/>
  <c r="S1282" i="1"/>
  <c r="S1296" i="1"/>
  <c r="S1396" i="1"/>
  <c r="S1410" i="1"/>
  <c r="S1440" i="1"/>
  <c r="S1456" i="1"/>
  <c r="S1472" i="1"/>
  <c r="S1488" i="1"/>
  <c r="S1504" i="1"/>
  <c r="S1520" i="1"/>
  <c r="S1536" i="1"/>
  <c r="S1552" i="1"/>
  <c r="S1568" i="1"/>
  <c r="S1584" i="1"/>
  <c r="S1600" i="1"/>
  <c r="S1616" i="1"/>
  <c r="S1632" i="1"/>
  <c r="S1647" i="1"/>
  <c r="S1650" i="1"/>
  <c r="S1696" i="1"/>
  <c r="S1699" i="1"/>
  <c r="S1702" i="1"/>
  <c r="S1705" i="1"/>
  <c r="S1708" i="1"/>
  <c r="S1711" i="1"/>
  <c r="S1714" i="1"/>
  <c r="S1760" i="1"/>
  <c r="S1763" i="1"/>
  <c r="S1766" i="1"/>
  <c r="S1769" i="1"/>
  <c r="S1772" i="1"/>
  <c r="S1775" i="1"/>
  <c r="S1778" i="1"/>
  <c r="S1824" i="1"/>
  <c r="S1827" i="1"/>
  <c r="S1830" i="1"/>
  <c r="S1833" i="1"/>
  <c r="S1836" i="1"/>
  <c r="S1839" i="1"/>
  <c r="S1842" i="1"/>
  <c r="S1888" i="1"/>
  <c r="S1891" i="1"/>
  <c r="S1894" i="1"/>
  <c r="S1897" i="1"/>
  <c r="S1900" i="1"/>
  <c r="S1903" i="1"/>
  <c r="S1906" i="1"/>
  <c r="S1909" i="1"/>
  <c r="S1917" i="1"/>
  <c r="S1242" i="1"/>
  <c r="S1256" i="1"/>
  <c r="S1356" i="1"/>
  <c r="S1370" i="1"/>
  <c r="S1384" i="1"/>
  <c r="S1436" i="1"/>
  <c r="S1452" i="1"/>
  <c r="S1468" i="1"/>
  <c r="S1226" i="1"/>
  <c r="S1300" i="1"/>
  <c r="S1314" i="1"/>
  <c r="S1328" i="1"/>
  <c r="S1431" i="1"/>
  <c r="S1447" i="1"/>
  <c r="S1463" i="1"/>
  <c r="S1479" i="1"/>
  <c r="S1260" i="1"/>
  <c r="S1274" i="1"/>
  <c r="S1288" i="1"/>
  <c r="S1388" i="1"/>
  <c r="S1402" i="1"/>
  <c r="S1416" i="1"/>
  <c r="S1426" i="1"/>
  <c r="S1442" i="1"/>
  <c r="S1458" i="1"/>
  <c r="S1474" i="1"/>
  <c r="S1490" i="1"/>
  <c r="S1506" i="1"/>
  <c r="S1522" i="1"/>
  <c r="S1538" i="1"/>
  <c r="S1554" i="1"/>
  <c r="S1570" i="1"/>
  <c r="S1586" i="1"/>
  <c r="S1602" i="1"/>
  <c r="S1618" i="1"/>
  <c r="S1634" i="1"/>
  <c r="S1688" i="1"/>
  <c r="S1691" i="1"/>
  <c r="S1694" i="1"/>
  <c r="S1697" i="1"/>
  <c r="S1700" i="1"/>
  <c r="S1703" i="1"/>
  <c r="S1706" i="1"/>
  <c r="S1484" i="1"/>
  <c r="S1548" i="1"/>
  <c r="S1612" i="1"/>
  <c r="S1675" i="1"/>
  <c r="S1687" i="1"/>
  <c r="S1779" i="1"/>
  <c r="S1785" i="1"/>
  <c r="S1791" i="1"/>
  <c r="S1840" i="1"/>
  <c r="S1846" i="1"/>
  <c r="S1852" i="1"/>
  <c r="S1858" i="1"/>
  <c r="S1907" i="1"/>
  <c r="S1956" i="1"/>
  <c r="S1959" i="1"/>
  <c r="S1962" i="1"/>
  <c r="S1965" i="1"/>
  <c r="S1968" i="1"/>
  <c r="S1971" i="1"/>
  <c r="S1974" i="1"/>
  <c r="S2020" i="1"/>
  <c r="S2023" i="1"/>
  <c r="S2026" i="1"/>
  <c r="S2029" i="1"/>
  <c r="S2032" i="1"/>
  <c r="S2035" i="1"/>
  <c r="S2038" i="1"/>
  <c r="S2084" i="1"/>
  <c r="S2087" i="1"/>
  <c r="S2090" i="1"/>
  <c r="S2093" i="1"/>
  <c r="S2096" i="1"/>
  <c r="S2099" i="1"/>
  <c r="S2102" i="1"/>
  <c r="S2148" i="1"/>
  <c r="S2151" i="1"/>
  <c r="S2154" i="1"/>
  <c r="S2157" i="1"/>
  <c r="S2160" i="1"/>
  <c r="S2163" i="1"/>
  <c r="S2166" i="1"/>
  <c r="S2199" i="1"/>
  <c r="S2207" i="1"/>
  <c r="S2215" i="1"/>
  <c r="S2223" i="1"/>
  <c r="S2231" i="1"/>
  <c r="S2239" i="1"/>
  <c r="S2247" i="1"/>
  <c r="S2255" i="1"/>
  <c r="S2263" i="1"/>
  <c r="S2271" i="1"/>
  <c r="S2279" i="1"/>
  <c r="S2287" i="1"/>
  <c r="S2295" i="1"/>
  <c r="S2303" i="1"/>
  <c r="S2311" i="1"/>
  <c r="S2319" i="1"/>
  <c r="S2327" i="1"/>
  <c r="S2335" i="1"/>
  <c r="S2343" i="1"/>
  <c r="S2351" i="1"/>
  <c r="S2359" i="1"/>
  <c r="S2367" i="1"/>
  <c r="S2375" i="1"/>
  <c r="S2383" i="1"/>
  <c r="S2391" i="1"/>
  <c r="S2399" i="1"/>
  <c r="S2407" i="1"/>
  <c r="S2415" i="1"/>
  <c r="S2423" i="1"/>
  <c r="S2431" i="1"/>
  <c r="S2439" i="1"/>
  <c r="S2447" i="1"/>
  <c r="S2455" i="1"/>
  <c r="S2463" i="1"/>
  <c r="S2471" i="1"/>
  <c r="S2479" i="1"/>
  <c r="S2487" i="1"/>
  <c r="S2495" i="1"/>
  <c r="S2503" i="1"/>
  <c r="S2511" i="1"/>
  <c r="S2519" i="1"/>
  <c r="S1527" i="1"/>
  <c r="S1591" i="1"/>
  <c r="S1651" i="1"/>
  <c r="S1663" i="1"/>
  <c r="S1712" i="1"/>
  <c r="S1721" i="1"/>
  <c r="S1755" i="1"/>
  <c r="S1761" i="1"/>
  <c r="S1767" i="1"/>
  <c r="S1816" i="1"/>
  <c r="S1822" i="1"/>
  <c r="S1828" i="1"/>
  <c r="S1834" i="1"/>
  <c r="S1883" i="1"/>
  <c r="S1889" i="1"/>
  <c r="S1895" i="1"/>
  <c r="S1918" i="1"/>
  <c r="S1932" i="1"/>
  <c r="S1935" i="1"/>
  <c r="S1938" i="1"/>
  <c r="S1941" i="1"/>
  <c r="S1944" i="1"/>
  <c r="S1947" i="1"/>
  <c r="S1950" i="1"/>
  <c r="S1996" i="1"/>
  <c r="S1999" i="1"/>
  <c r="S2002" i="1"/>
  <c r="S2005" i="1"/>
  <c r="S2008" i="1"/>
  <c r="S2011" i="1"/>
  <c r="S2014" i="1"/>
  <c r="S2060" i="1"/>
  <c r="S2063" i="1"/>
  <c r="S2066" i="1"/>
  <c r="S1532" i="1"/>
  <c r="S1596" i="1"/>
  <c r="S1678" i="1"/>
  <c r="S1690" i="1"/>
  <c r="S1722" i="1"/>
  <c r="S1730" i="1"/>
  <c r="S1768" i="1"/>
  <c r="S1774" i="1"/>
  <c r="S1780" i="1"/>
  <c r="S1786" i="1"/>
  <c r="S1835" i="1"/>
  <c r="S1841" i="1"/>
  <c r="S1847" i="1"/>
  <c r="S1896" i="1"/>
  <c r="S1902" i="1"/>
  <c r="S1908" i="1"/>
  <c r="S1923" i="1"/>
  <c r="S1926" i="1"/>
  <c r="S1972" i="1"/>
  <c r="S1975" i="1"/>
  <c r="S1978" i="1"/>
  <c r="S1981" i="1"/>
  <c r="S1984" i="1"/>
  <c r="S1987" i="1"/>
  <c r="S1990" i="1"/>
  <c r="S2036" i="1"/>
  <c r="S2039" i="1"/>
  <c r="S2042" i="1"/>
  <c r="S2045" i="1"/>
  <c r="S2048" i="1"/>
  <c r="S2051" i="1"/>
  <c r="S2054" i="1"/>
  <c r="S2100" i="1"/>
  <c r="S2103" i="1"/>
  <c r="S2106" i="1"/>
  <c r="S2109" i="1"/>
  <c r="S2112" i="1"/>
  <c r="S2115" i="1"/>
  <c r="S2118" i="1"/>
  <c r="S2164" i="1"/>
  <c r="S2167" i="1"/>
  <c r="S2170" i="1"/>
  <c r="S2173" i="1"/>
  <c r="S2176" i="1"/>
  <c r="S2179" i="1"/>
  <c r="S2182" i="1"/>
  <c r="S2197" i="1"/>
  <c r="S2205" i="1"/>
  <c r="S2213" i="1"/>
  <c r="S2221" i="1"/>
  <c r="S2229" i="1"/>
  <c r="S2237" i="1"/>
  <c r="S2245" i="1"/>
  <c r="S2253" i="1"/>
  <c r="S2261" i="1"/>
  <c r="S2269" i="1"/>
  <c r="S2277" i="1"/>
  <c r="S1511" i="1"/>
  <c r="S1575" i="1"/>
  <c r="S1639" i="1"/>
  <c r="S1654" i="1"/>
  <c r="S1666" i="1"/>
  <c r="S1715" i="1"/>
  <c r="S1739" i="1"/>
  <c r="S1745" i="1"/>
  <c r="S1751" i="1"/>
  <c r="S1800" i="1"/>
  <c r="S1806" i="1"/>
  <c r="S1812" i="1"/>
  <c r="S1818" i="1"/>
  <c r="S1867" i="1"/>
  <c r="S1873" i="1"/>
  <c r="S1879" i="1"/>
  <c r="S1920" i="1"/>
  <c r="S1948" i="1"/>
  <c r="S1951" i="1"/>
  <c r="S1954" i="1"/>
  <c r="S1957" i="1"/>
  <c r="S1960" i="1"/>
  <c r="S1963" i="1"/>
  <c r="S1966" i="1"/>
  <c r="S2012" i="1"/>
  <c r="S2015" i="1"/>
  <c r="S2018" i="1"/>
  <c r="S2021" i="1"/>
  <c r="S2024" i="1"/>
  <c r="S2027" i="1"/>
  <c r="S2030" i="1"/>
  <c r="S2076" i="1"/>
  <c r="S2079" i="1"/>
  <c r="S2082" i="1"/>
  <c r="S2085" i="1"/>
  <c r="S2088" i="1"/>
  <c r="S2091" i="1"/>
  <c r="S2094" i="1"/>
  <c r="S2140" i="1"/>
  <c r="S2143" i="1"/>
  <c r="S2146" i="1"/>
  <c r="S2149" i="1"/>
  <c r="S2152" i="1"/>
  <c r="S2155" i="1"/>
  <c r="S2158" i="1"/>
  <c r="S2200" i="1"/>
  <c r="S2208" i="1"/>
  <c r="S2216" i="1"/>
  <c r="S2224" i="1"/>
  <c r="S2232" i="1"/>
  <c r="S2240" i="1"/>
  <c r="S2248" i="1"/>
  <c r="S2256" i="1"/>
  <c r="S2264" i="1"/>
  <c r="S2272" i="1"/>
  <c r="S2280" i="1"/>
  <c r="S1516" i="1"/>
  <c r="S1580" i="1"/>
  <c r="S1681" i="1"/>
  <c r="S1716" i="1"/>
  <c r="S1724" i="1"/>
  <c r="S1776" i="1"/>
  <c r="S1782" i="1"/>
  <c r="S1788" i="1"/>
  <c r="S1794" i="1"/>
  <c r="S1843" i="1"/>
  <c r="S1849" i="1"/>
  <c r="S1855" i="1"/>
  <c r="S1904" i="1"/>
  <c r="S1915" i="1"/>
  <c r="S1924" i="1"/>
  <c r="S1927" i="1"/>
  <c r="S1930" i="1"/>
  <c r="S1933" i="1"/>
  <c r="S1936" i="1"/>
  <c r="S1939" i="1"/>
  <c r="S1942" i="1"/>
  <c r="S1988" i="1"/>
  <c r="S1991" i="1"/>
  <c r="S1994" i="1"/>
  <c r="S1997" i="1"/>
  <c r="S2000" i="1"/>
  <c r="S2003" i="1"/>
  <c r="S2006" i="1"/>
  <c r="S2052" i="1"/>
  <c r="S2055" i="1"/>
  <c r="S2058" i="1"/>
  <c r="S2061" i="1"/>
  <c r="S2064" i="1"/>
  <c r="S2067" i="1"/>
  <c r="S2070" i="1"/>
  <c r="S2116" i="1"/>
  <c r="S2119" i="1"/>
  <c r="S2122" i="1"/>
  <c r="S2125" i="1"/>
  <c r="S2128" i="1"/>
  <c r="S2131" i="1"/>
  <c r="S2134" i="1"/>
  <c r="S2180" i="1"/>
  <c r="S2183" i="1"/>
  <c r="S2186" i="1"/>
  <c r="S2189" i="1"/>
  <c r="S2192" i="1"/>
  <c r="S2195" i="1"/>
  <c r="S2203" i="1"/>
  <c r="S2211" i="1"/>
  <c r="S2219" i="1"/>
  <c r="S2227" i="1"/>
  <c r="S2235" i="1"/>
  <c r="S2243" i="1"/>
  <c r="S2251" i="1"/>
  <c r="S2259" i="1"/>
  <c r="S2267" i="1"/>
  <c r="S2275" i="1"/>
  <c r="S2283" i="1"/>
  <c r="S1495" i="1"/>
  <c r="S1559" i="1"/>
  <c r="S1623" i="1"/>
  <c r="S1644" i="1"/>
  <c r="S1657" i="1"/>
  <c r="S1752" i="1"/>
  <c r="S1758" i="1"/>
  <c r="S1764" i="1"/>
  <c r="S1770" i="1"/>
  <c r="S1500" i="1"/>
  <c r="S1564" i="1"/>
  <c r="S1628" i="1"/>
  <c r="S1672" i="1"/>
  <c r="S1684" i="1"/>
  <c r="S1718" i="1"/>
  <c r="S1771" i="1"/>
  <c r="S1777" i="1"/>
  <c r="S1783" i="1"/>
  <c r="S1543" i="1"/>
  <c r="S1607" i="1"/>
  <c r="S1648" i="1"/>
  <c r="S1660" i="1"/>
  <c r="S1719" i="1"/>
  <c r="S1727" i="1"/>
  <c r="S1736" i="1"/>
  <c r="S1742" i="1"/>
  <c r="S1748" i="1"/>
  <c r="S1754" i="1"/>
  <c r="S1803" i="1"/>
  <c r="S1809" i="1"/>
  <c r="S1815" i="1"/>
  <c r="S1864" i="1"/>
  <c r="S1870" i="1"/>
  <c r="S1876" i="1"/>
  <c r="S1882" i="1"/>
  <c r="S1912" i="1"/>
  <c r="S1922" i="1"/>
  <c r="S1925" i="1"/>
  <c r="S1928" i="1"/>
  <c r="S1931" i="1"/>
  <c r="S1934" i="1"/>
  <c r="S1980" i="1"/>
  <c r="S1983" i="1"/>
  <c r="S1986" i="1"/>
  <c r="S1989" i="1"/>
  <c r="S1992" i="1"/>
  <c r="S1995" i="1"/>
  <c r="S1998" i="1"/>
  <c r="S2044" i="1"/>
  <c r="S2047" i="1"/>
  <c r="S2050" i="1"/>
  <c r="S2053" i="1"/>
  <c r="S2056" i="1"/>
  <c r="S2059" i="1"/>
  <c r="S2062" i="1"/>
  <c r="S1850" i="1"/>
  <c r="S1899" i="1"/>
  <c r="S1946" i="1"/>
  <c r="S1958" i="1"/>
  <c r="S2007" i="1"/>
  <c r="S2019" i="1"/>
  <c r="S2092" i="1"/>
  <c r="S2098" i="1"/>
  <c r="S2104" i="1"/>
  <c r="S2110" i="1"/>
  <c r="S2159" i="1"/>
  <c r="S2165" i="1"/>
  <c r="S2171" i="1"/>
  <c r="S2206" i="1"/>
  <c r="S2222" i="1"/>
  <c r="S2238" i="1"/>
  <c r="S2254" i="1"/>
  <c r="S2270" i="1"/>
  <c r="S2284" i="1"/>
  <c r="S2330" i="1"/>
  <c r="S2333" i="1"/>
  <c r="S2336" i="1"/>
  <c r="S2339" i="1"/>
  <c r="S2342" i="1"/>
  <c r="S2345" i="1"/>
  <c r="S2348" i="1"/>
  <c r="S2394" i="1"/>
  <c r="S2397" i="1"/>
  <c r="S2400" i="1"/>
  <c r="S2403" i="1"/>
  <c r="S2406" i="1"/>
  <c r="S2409" i="1"/>
  <c r="S2412" i="1"/>
  <c r="S2458" i="1"/>
  <c r="S2461" i="1"/>
  <c r="S2464" i="1"/>
  <c r="S2467" i="1"/>
  <c r="S2470" i="1"/>
  <c r="S2473" i="1"/>
  <c r="S2476" i="1"/>
  <c r="S2527" i="1"/>
  <c r="S2535" i="1"/>
  <c r="S2543" i="1"/>
  <c r="S2551" i="1"/>
  <c r="S2559" i="1"/>
  <c r="S2567" i="1"/>
  <c r="S2575" i="1"/>
  <c r="S2583" i="1"/>
  <c r="S2591" i="1"/>
  <c r="S2599" i="1"/>
  <c r="S2607" i="1"/>
  <c r="S2615" i="1"/>
  <c r="S2623" i="1"/>
  <c r="S2631" i="1"/>
  <c r="S2639" i="1"/>
  <c r="S2647" i="1"/>
  <c r="S2655" i="1"/>
  <c r="S2663" i="1"/>
  <c r="S2671" i="1"/>
  <c r="S2679" i="1"/>
  <c r="S2687" i="1"/>
  <c r="S2695" i="1"/>
  <c r="S2703" i="1"/>
  <c r="S2711" i="1"/>
  <c r="S2719" i="1"/>
  <c r="S2727" i="1"/>
  <c r="S2735" i="1"/>
  <c r="S2743" i="1"/>
  <c r="S2751" i="1"/>
  <c r="S2759" i="1"/>
  <c r="S2767" i="1"/>
  <c r="S2775" i="1"/>
  <c r="S2783" i="1"/>
  <c r="S2791" i="1"/>
  <c r="S2799" i="1"/>
  <c r="S2807" i="1"/>
  <c r="S2815" i="1"/>
  <c r="S2823" i="1"/>
  <c r="S2831" i="1"/>
  <c r="S2839" i="1"/>
  <c r="S2847" i="1"/>
  <c r="S1831" i="1"/>
  <c r="S1880" i="1"/>
  <c r="S1973" i="1"/>
  <c r="S2034" i="1"/>
  <c r="S2046" i="1"/>
  <c r="S2068" i="1"/>
  <c r="S2074" i="1"/>
  <c r="S2080" i="1"/>
  <c r="S2086" i="1"/>
  <c r="S2135" i="1"/>
  <c r="S2141" i="1"/>
  <c r="S2147" i="1"/>
  <c r="S2201" i="1"/>
  <c r="S2217" i="1"/>
  <c r="S2233" i="1"/>
  <c r="S2249" i="1"/>
  <c r="S2265" i="1"/>
  <c r="S2281" i="1"/>
  <c r="S2306" i="1"/>
  <c r="S2309" i="1"/>
  <c r="S2312" i="1"/>
  <c r="S2315" i="1"/>
  <c r="S2318" i="1"/>
  <c r="S2321" i="1"/>
  <c r="S2324" i="1"/>
  <c r="S2370" i="1"/>
  <c r="S2373" i="1"/>
  <c r="S2376" i="1"/>
  <c r="S2379" i="1"/>
  <c r="S2382" i="1"/>
  <c r="S2385" i="1"/>
  <c r="S2388" i="1"/>
  <c r="S1832" i="1"/>
  <c r="S1905" i="1"/>
  <c r="S1949" i="1"/>
  <c r="S2010" i="1"/>
  <c r="S2022" i="1"/>
  <c r="S2111" i="1"/>
  <c r="S2117" i="1"/>
  <c r="S2123" i="1"/>
  <c r="S2172" i="1"/>
  <c r="S2178" i="1"/>
  <c r="S2184" i="1"/>
  <c r="S2190" i="1"/>
  <c r="S2196" i="1"/>
  <c r="S2212" i="1"/>
  <c r="S2228" i="1"/>
  <c r="S2244" i="1"/>
  <c r="S2260" i="1"/>
  <c r="S2276" i="1"/>
  <c r="S2285" i="1"/>
  <c r="S2288" i="1"/>
  <c r="S2291" i="1"/>
  <c r="S2294" i="1"/>
  <c r="S2297" i="1"/>
  <c r="S2300" i="1"/>
  <c r="S2346" i="1"/>
  <c r="S2349" i="1"/>
  <c r="S2352" i="1"/>
  <c r="S2355" i="1"/>
  <c r="S2358" i="1"/>
  <c r="S2361" i="1"/>
  <c r="S2364" i="1"/>
  <c r="S2410" i="1"/>
  <c r="S2413" i="1"/>
  <c r="S2416" i="1"/>
  <c r="S2419" i="1"/>
  <c r="S2422" i="1"/>
  <c r="S2425" i="1"/>
  <c r="S2428" i="1"/>
  <c r="S2474" i="1"/>
  <c r="S2477" i="1"/>
  <c r="S2480" i="1"/>
  <c r="S2483" i="1"/>
  <c r="S2486" i="1"/>
  <c r="S2489" i="1"/>
  <c r="S2492" i="1"/>
  <c r="S2525" i="1"/>
  <c r="S2533" i="1"/>
  <c r="S2541" i="1"/>
  <c r="S2549" i="1"/>
  <c r="S2557" i="1"/>
  <c r="S2565" i="1"/>
  <c r="S2573" i="1"/>
  <c r="S2581" i="1"/>
  <c r="S2589" i="1"/>
  <c r="S2597" i="1"/>
  <c r="S2605" i="1"/>
  <c r="S2613" i="1"/>
  <c r="S1886" i="1"/>
  <c r="S1910" i="1"/>
  <c r="S1964" i="1"/>
  <c r="S1976" i="1"/>
  <c r="S2037" i="1"/>
  <c r="S2069" i="1"/>
  <c r="S2075" i="1"/>
  <c r="S2124" i="1"/>
  <c r="S2130" i="1"/>
  <c r="S2136" i="1"/>
  <c r="S2142" i="1"/>
  <c r="S2191" i="1"/>
  <c r="S2202" i="1"/>
  <c r="S2218" i="1"/>
  <c r="S2234" i="1"/>
  <c r="S2250" i="1"/>
  <c r="S2266" i="1"/>
  <c r="S2282" i="1"/>
  <c r="S2322" i="1"/>
  <c r="S2325" i="1"/>
  <c r="S2328" i="1"/>
  <c r="S2331" i="1"/>
  <c r="S2334" i="1"/>
  <c r="S2337" i="1"/>
  <c r="S2340" i="1"/>
  <c r="S2386" i="1"/>
  <c r="S2389" i="1"/>
  <c r="S2392" i="1"/>
  <c r="S2395" i="1"/>
  <c r="S2398" i="1"/>
  <c r="S2401" i="1"/>
  <c r="S2404" i="1"/>
  <c r="S2450" i="1"/>
  <c r="S2453" i="1"/>
  <c r="S2456" i="1"/>
  <c r="S2459" i="1"/>
  <c r="S2462" i="1"/>
  <c r="S2465" i="1"/>
  <c r="S2468" i="1"/>
  <c r="S2514" i="1"/>
  <c r="S2517" i="1"/>
  <c r="S2520" i="1"/>
  <c r="S2528" i="1"/>
  <c r="S2536" i="1"/>
  <c r="S2544" i="1"/>
  <c r="S2552" i="1"/>
  <c r="S2560" i="1"/>
  <c r="S2568" i="1"/>
  <c r="S2576" i="1"/>
  <c r="S2584" i="1"/>
  <c r="S2592" i="1"/>
  <c r="S1838" i="1"/>
  <c r="S1940" i="1"/>
  <c r="S1952" i="1"/>
  <c r="S2013" i="1"/>
  <c r="S2095" i="1"/>
  <c r="S2101" i="1"/>
  <c r="S2107" i="1"/>
  <c r="S2156" i="1"/>
  <c r="S2162" i="1"/>
  <c r="S2168" i="1"/>
  <c r="S2174" i="1"/>
  <c r="S2198" i="1"/>
  <c r="S2214" i="1"/>
  <c r="S2230" i="1"/>
  <c r="S2246" i="1"/>
  <c r="S2262" i="1"/>
  <c r="S2278" i="1"/>
  <c r="S2298" i="1"/>
  <c r="S2301" i="1"/>
  <c r="S2304" i="1"/>
  <c r="S2307" i="1"/>
  <c r="S2310" i="1"/>
  <c r="S2313" i="1"/>
  <c r="S2316" i="1"/>
  <c r="S2362" i="1"/>
  <c r="S2365" i="1"/>
  <c r="S2368" i="1"/>
  <c r="S2371" i="1"/>
  <c r="S2374" i="1"/>
  <c r="S2377" i="1"/>
  <c r="S2380" i="1"/>
  <c r="S2426" i="1"/>
  <c r="S2429" i="1"/>
  <c r="S2432" i="1"/>
  <c r="S2435" i="1"/>
  <c r="S2438" i="1"/>
  <c r="S2441" i="1"/>
  <c r="S2444" i="1"/>
  <c r="S2490" i="1"/>
  <c r="S2493" i="1"/>
  <c r="S2496" i="1"/>
  <c r="S2499" i="1"/>
  <c r="S2502" i="1"/>
  <c r="S2505" i="1"/>
  <c r="S2508" i="1"/>
  <c r="S2523" i="1"/>
  <c r="S2531" i="1"/>
  <c r="S2539" i="1"/>
  <c r="S2547" i="1"/>
  <c r="S2555" i="1"/>
  <c r="S2563" i="1"/>
  <c r="S2571" i="1"/>
  <c r="S2579" i="1"/>
  <c r="S2587" i="1"/>
  <c r="S2595" i="1"/>
  <c r="S2603" i="1"/>
  <c r="S2611" i="1"/>
  <c r="S2619" i="1"/>
  <c r="S2627" i="1"/>
  <c r="S2635" i="1"/>
  <c r="S1819" i="1"/>
  <c r="S1892" i="1"/>
  <c r="S1967" i="1"/>
  <c r="S1979" i="1"/>
  <c r="S2028" i="1"/>
  <c r="S2040" i="1"/>
  <c r="S2071" i="1"/>
  <c r="S2077" i="1"/>
  <c r="S2083" i="1"/>
  <c r="S2132" i="1"/>
  <c r="S2138" i="1"/>
  <c r="S2144" i="1"/>
  <c r="S1844" i="1"/>
  <c r="S1916" i="1"/>
  <c r="S1943" i="1"/>
  <c r="S1955" i="1"/>
  <c r="S2004" i="1"/>
  <c r="S2016" i="1"/>
  <c r="S2108" i="1"/>
  <c r="S2114" i="1"/>
  <c r="S2120" i="1"/>
  <c r="S2126" i="1"/>
  <c r="S1825" i="1"/>
  <c r="S1898" i="1"/>
  <c r="S1970" i="1"/>
  <c r="S1982" i="1"/>
  <c r="S2031" i="1"/>
  <c r="S2043" i="1"/>
  <c r="S2072" i="1"/>
  <c r="S2078" i="1"/>
  <c r="S2127" i="1"/>
  <c r="S2133" i="1"/>
  <c r="S2139" i="1"/>
  <c r="S2188" i="1"/>
  <c r="S2194" i="1"/>
  <c r="S2210" i="1"/>
  <c r="S2226" i="1"/>
  <c r="S2242" i="1"/>
  <c r="S2258" i="1"/>
  <c r="S2274" i="1"/>
  <c r="S2290" i="1"/>
  <c r="S2293" i="1"/>
  <c r="S2296" i="1"/>
  <c r="S2299" i="1"/>
  <c r="S2302" i="1"/>
  <c r="S2305" i="1"/>
  <c r="S2308" i="1"/>
  <c r="S2354" i="1"/>
  <c r="S2357" i="1"/>
  <c r="S2360" i="1"/>
  <c r="S2363" i="1"/>
  <c r="S2366" i="1"/>
  <c r="S2369" i="1"/>
  <c r="S2372" i="1"/>
  <c r="S2418" i="1"/>
  <c r="S2421" i="1"/>
  <c r="S2424" i="1"/>
  <c r="S2427" i="1"/>
  <c r="S2430" i="1"/>
  <c r="S2150" i="1"/>
  <c r="S2241" i="1"/>
  <c r="S2344" i="1"/>
  <c r="S2356" i="1"/>
  <c r="S2405" i="1"/>
  <c r="S2417" i="1"/>
  <c r="S2466" i="1"/>
  <c r="S2472" i="1"/>
  <c r="S2478" i="1"/>
  <c r="S2484" i="1"/>
  <c r="S2526" i="1"/>
  <c r="S2542" i="1"/>
  <c r="S2558" i="1"/>
  <c r="S2574" i="1"/>
  <c r="S2590" i="1"/>
  <c r="S2600" i="1"/>
  <c r="S2604" i="1"/>
  <c r="S2617" i="1"/>
  <c r="S2621" i="1"/>
  <c r="S2628" i="1"/>
  <c r="S2642" i="1"/>
  <c r="S2645" i="1"/>
  <c r="S2648" i="1"/>
  <c r="S2651" i="1"/>
  <c r="S2654" i="1"/>
  <c r="S2657" i="1"/>
  <c r="S2660" i="1"/>
  <c r="S2706" i="1"/>
  <c r="S2709" i="1"/>
  <c r="S2712" i="1"/>
  <c r="S2715" i="1"/>
  <c r="S2718" i="1"/>
  <c r="S2721" i="1"/>
  <c r="S2724" i="1"/>
  <c r="S2770" i="1"/>
  <c r="S2773" i="1"/>
  <c r="S2776" i="1"/>
  <c r="S2779" i="1"/>
  <c r="S2782" i="1"/>
  <c r="S2785" i="1"/>
  <c r="S2788" i="1"/>
  <c r="S2834" i="1"/>
  <c r="S2837" i="1"/>
  <c r="S2840" i="1"/>
  <c r="S2843" i="1"/>
  <c r="S2846" i="1"/>
  <c r="S2849" i="1"/>
  <c r="S2857" i="1"/>
  <c r="S2865" i="1"/>
  <c r="S2873" i="1"/>
  <c r="S2881" i="1"/>
  <c r="S2889" i="1"/>
  <c r="S2897" i="1"/>
  <c r="S2905" i="1"/>
  <c r="S2913" i="1"/>
  <c r="S2921" i="1"/>
  <c r="S2929" i="1"/>
  <c r="S2937" i="1"/>
  <c r="S2945" i="1"/>
  <c r="S2953" i="1"/>
  <c r="S2961" i="1"/>
  <c r="S2969" i="1"/>
  <c r="S2977" i="1"/>
  <c r="S2985" i="1"/>
  <c r="S2993" i="1"/>
  <c r="S3001" i="1"/>
  <c r="S3009" i="1"/>
  <c r="S3017" i="1"/>
  <c r="S3025" i="1"/>
  <c r="S3033" i="1"/>
  <c r="S3041" i="1"/>
  <c r="S3049" i="1"/>
  <c r="S3057" i="1"/>
  <c r="S3065" i="1"/>
  <c r="S3073" i="1"/>
  <c r="S3081" i="1"/>
  <c r="S3089" i="1"/>
  <c r="S3097" i="1"/>
  <c r="S3105" i="1"/>
  <c r="S3113" i="1"/>
  <c r="S3121" i="1"/>
  <c r="S3129" i="1"/>
  <c r="S3137" i="1"/>
  <c r="S3145" i="1"/>
  <c r="S3153" i="1"/>
  <c r="S3161" i="1"/>
  <c r="S3169" i="1"/>
  <c r="S3177" i="1"/>
  <c r="S3185" i="1"/>
  <c r="S3193" i="1"/>
  <c r="S3201" i="1"/>
  <c r="S3209" i="1"/>
  <c r="S3217" i="1"/>
  <c r="S3225" i="1"/>
  <c r="S2175" i="1"/>
  <c r="S2220" i="1"/>
  <c r="S2320" i="1"/>
  <c r="S2332" i="1"/>
  <c r="S2381" i="1"/>
  <c r="S2393" i="1"/>
  <c r="S2442" i="1"/>
  <c r="S2448" i="1"/>
  <c r="S2454" i="1"/>
  <c r="S2460" i="1"/>
  <c r="S2509" i="1"/>
  <c r="S2515" i="1"/>
  <c r="S2521" i="1"/>
  <c r="S2537" i="1"/>
  <c r="S2553" i="1"/>
  <c r="S2569" i="1"/>
  <c r="S2585" i="1"/>
  <c r="S2609" i="1"/>
  <c r="S2625" i="1"/>
  <c r="S2632" i="1"/>
  <c r="S2682" i="1"/>
  <c r="S2685" i="1"/>
  <c r="S2688" i="1"/>
  <c r="S2691" i="1"/>
  <c r="S2694" i="1"/>
  <c r="S2697" i="1"/>
  <c r="S2700" i="1"/>
  <c r="S2746" i="1"/>
  <c r="S2749" i="1"/>
  <c r="S2752" i="1"/>
  <c r="S2755" i="1"/>
  <c r="S2758" i="1"/>
  <c r="S2761" i="1"/>
  <c r="S2764" i="1"/>
  <c r="S2225" i="1"/>
  <c r="S2286" i="1"/>
  <c r="S2347" i="1"/>
  <c r="S2408" i="1"/>
  <c r="S2420" i="1"/>
  <c r="S2436" i="1"/>
  <c r="S2485" i="1"/>
  <c r="S2491" i="1"/>
  <c r="S2497" i="1"/>
  <c r="S2532" i="1"/>
  <c r="S2548" i="1"/>
  <c r="S2564" i="1"/>
  <c r="S2580" i="1"/>
  <c r="S2596" i="1"/>
  <c r="S2601" i="1"/>
  <c r="S2614" i="1"/>
  <c r="S2618" i="1"/>
  <c r="S2622" i="1"/>
  <c r="S2629" i="1"/>
  <c r="S2636" i="1"/>
  <c r="S2658" i="1"/>
  <c r="S2661" i="1"/>
  <c r="S2664" i="1"/>
  <c r="S2667" i="1"/>
  <c r="S2670" i="1"/>
  <c r="S2673" i="1"/>
  <c r="S2676" i="1"/>
  <c r="S2722" i="1"/>
  <c r="S2725" i="1"/>
  <c r="S2728" i="1"/>
  <c r="S2731" i="1"/>
  <c r="S2734" i="1"/>
  <c r="S2737" i="1"/>
  <c r="S2740" i="1"/>
  <c r="S2786" i="1"/>
  <c r="S2789" i="1"/>
  <c r="S2792" i="1"/>
  <c r="S2795" i="1"/>
  <c r="S2798" i="1"/>
  <c r="S2801" i="1"/>
  <c r="S2804" i="1"/>
  <c r="S2855" i="1"/>
  <c r="S2863" i="1"/>
  <c r="S2871" i="1"/>
  <c r="S2879" i="1"/>
  <c r="S2887" i="1"/>
  <c r="S2895" i="1"/>
  <c r="S2903" i="1"/>
  <c r="S2911" i="1"/>
  <c r="S2919" i="1"/>
  <c r="S2927" i="1"/>
  <c r="S2935" i="1"/>
  <c r="S2943" i="1"/>
  <c r="S2951" i="1"/>
  <c r="S2959" i="1"/>
  <c r="S2181" i="1"/>
  <c r="S2204" i="1"/>
  <c r="S2268" i="1"/>
  <c r="S2323" i="1"/>
  <c r="S2384" i="1"/>
  <c r="S2396" i="1"/>
  <c r="S2437" i="1"/>
  <c r="S2443" i="1"/>
  <c r="S2449" i="1"/>
  <c r="S2498" i="1"/>
  <c r="S2504" i="1"/>
  <c r="S2510" i="1"/>
  <c r="S2516" i="1"/>
  <c r="S2522" i="1"/>
  <c r="S2538" i="1"/>
  <c r="S2554" i="1"/>
  <c r="S2570" i="1"/>
  <c r="S2586" i="1"/>
  <c r="S2606" i="1"/>
  <c r="S2610" i="1"/>
  <c r="S2626" i="1"/>
  <c r="S2633" i="1"/>
  <c r="S2640" i="1"/>
  <c r="S2643" i="1"/>
  <c r="S2646" i="1"/>
  <c r="S2649" i="1"/>
  <c r="S2652" i="1"/>
  <c r="S2698" i="1"/>
  <c r="S2701" i="1"/>
  <c r="S2704" i="1"/>
  <c r="S2707" i="1"/>
  <c r="S2710" i="1"/>
  <c r="S2713" i="1"/>
  <c r="S2716" i="1"/>
  <c r="S2762" i="1"/>
  <c r="S2765" i="1"/>
  <c r="S2768" i="1"/>
  <c r="S2771" i="1"/>
  <c r="S2774" i="1"/>
  <c r="S2777" i="1"/>
  <c r="S2780" i="1"/>
  <c r="S2826" i="1"/>
  <c r="S2829" i="1"/>
  <c r="S2832" i="1"/>
  <c r="S2835" i="1"/>
  <c r="S2838" i="1"/>
  <c r="S2841" i="1"/>
  <c r="S2844" i="1"/>
  <c r="S2850" i="1"/>
  <c r="S2858" i="1"/>
  <c r="S2866" i="1"/>
  <c r="S2874" i="1"/>
  <c r="S2882" i="1"/>
  <c r="S2890" i="1"/>
  <c r="S2898" i="1"/>
  <c r="S2906" i="1"/>
  <c r="S2914" i="1"/>
  <c r="S2922" i="1"/>
  <c r="S2930" i="1"/>
  <c r="S2938" i="1"/>
  <c r="S2946" i="1"/>
  <c r="S2954" i="1"/>
  <c r="S2962" i="1"/>
  <c r="S2209" i="1"/>
  <c r="S2273" i="1"/>
  <c r="S2289" i="1"/>
  <c r="S2338" i="1"/>
  <c r="S2350" i="1"/>
  <c r="S2411" i="1"/>
  <c r="S2469" i="1"/>
  <c r="S2475" i="1"/>
  <c r="S2481" i="1"/>
  <c r="S2534" i="1"/>
  <c r="S2550" i="1"/>
  <c r="S2566" i="1"/>
  <c r="S2582" i="1"/>
  <c r="S2598" i="1"/>
  <c r="S2602" i="1"/>
  <c r="S2630" i="1"/>
  <c r="S2637" i="1"/>
  <c r="S2674" i="1"/>
  <c r="S2677" i="1"/>
  <c r="S2680" i="1"/>
  <c r="S2683" i="1"/>
  <c r="S2686" i="1"/>
  <c r="S2689" i="1"/>
  <c r="S2692" i="1"/>
  <c r="S2738" i="1"/>
  <c r="S2741" i="1"/>
  <c r="S2744" i="1"/>
  <c r="S2747" i="1"/>
  <c r="S2750" i="1"/>
  <c r="S2753" i="1"/>
  <c r="S2756" i="1"/>
  <c r="S2802" i="1"/>
  <c r="S2805" i="1"/>
  <c r="S2808" i="1"/>
  <c r="S2811" i="1"/>
  <c r="S2814" i="1"/>
  <c r="S2817" i="1"/>
  <c r="S2820" i="1"/>
  <c r="S2853" i="1"/>
  <c r="S2861" i="1"/>
  <c r="S2869" i="1"/>
  <c r="S2877" i="1"/>
  <c r="S2885" i="1"/>
  <c r="S2893" i="1"/>
  <c r="S2901" i="1"/>
  <c r="S2909" i="1"/>
  <c r="S2917" i="1"/>
  <c r="S2925" i="1"/>
  <c r="S2933" i="1"/>
  <c r="S2941" i="1"/>
  <c r="S2949" i="1"/>
  <c r="S2957" i="1"/>
  <c r="S2187" i="1"/>
  <c r="S2252" i="1"/>
  <c r="S2314" i="1"/>
  <c r="S2326" i="1"/>
  <c r="S2387" i="1"/>
  <c r="S2445" i="1"/>
  <c r="S2451" i="1"/>
  <c r="S2457" i="1"/>
  <c r="S2236" i="1"/>
  <c r="S2317" i="1"/>
  <c r="S2329" i="1"/>
  <c r="S2378" i="1"/>
  <c r="S2390" i="1"/>
  <c r="S2434" i="1"/>
  <c r="S2440" i="1"/>
  <c r="S2446" i="1"/>
  <c r="S2452" i="1"/>
  <c r="S2501" i="1"/>
  <c r="S2507" i="1"/>
  <c r="S2513" i="1"/>
  <c r="S2530" i="1"/>
  <c r="S2546" i="1"/>
  <c r="S2562" i="1"/>
  <c r="S2578" i="1"/>
  <c r="S2594" i="1"/>
  <c r="S2608" i="1"/>
  <c r="S2612" i="1"/>
  <c r="S2624" i="1"/>
  <c r="S2666" i="1"/>
  <c r="S2669" i="1"/>
  <c r="S2672" i="1"/>
  <c r="S2675" i="1"/>
  <c r="S2678" i="1"/>
  <c r="S2681" i="1"/>
  <c r="S2684" i="1"/>
  <c r="S2730" i="1"/>
  <c r="S2733" i="1"/>
  <c r="S2736" i="1"/>
  <c r="S2739" i="1"/>
  <c r="S2742" i="1"/>
  <c r="S2745" i="1"/>
  <c r="S2748" i="1"/>
  <c r="S2794" i="1"/>
  <c r="S2797" i="1"/>
  <c r="S2800" i="1"/>
  <c r="S2803" i="1"/>
  <c r="S2806" i="1"/>
  <c r="S2809" i="1"/>
  <c r="S2812" i="1"/>
  <c r="S2854" i="1"/>
  <c r="S2862" i="1"/>
  <c r="S2414" i="1"/>
  <c r="S2500" i="1"/>
  <c r="S2524" i="1"/>
  <c r="S2588" i="1"/>
  <c r="S2638" i="1"/>
  <c r="S2699" i="1"/>
  <c r="S2760" i="1"/>
  <c r="S2772" i="1"/>
  <c r="S2819" i="1"/>
  <c r="S2827" i="1"/>
  <c r="S2851" i="1"/>
  <c r="S2872" i="1"/>
  <c r="S2888" i="1"/>
  <c r="S2904" i="1"/>
  <c r="S2920" i="1"/>
  <c r="S2936" i="1"/>
  <c r="S2952" i="1"/>
  <c r="S2972" i="1"/>
  <c r="S2975" i="1"/>
  <c r="S2978" i="1"/>
  <c r="S2981" i="1"/>
  <c r="S2984" i="1"/>
  <c r="S2987" i="1"/>
  <c r="S2990" i="1"/>
  <c r="S3036" i="1"/>
  <c r="S3039" i="1"/>
  <c r="S3042" i="1"/>
  <c r="S3045" i="1"/>
  <c r="S3048" i="1"/>
  <c r="S3051" i="1"/>
  <c r="S3054" i="1"/>
  <c r="S3100" i="1"/>
  <c r="S3103" i="1"/>
  <c r="S3106" i="1"/>
  <c r="S3109" i="1"/>
  <c r="S3112" i="1"/>
  <c r="S3115" i="1"/>
  <c r="S3118" i="1"/>
  <c r="S3164" i="1"/>
  <c r="S3167" i="1"/>
  <c r="S3170" i="1"/>
  <c r="S3173" i="1"/>
  <c r="S3176" i="1"/>
  <c r="S3179" i="1"/>
  <c r="S3182" i="1"/>
  <c r="S3228" i="1"/>
  <c r="S3236" i="1"/>
  <c r="S3244" i="1"/>
  <c r="S3252" i="1"/>
  <c r="S3260" i="1"/>
  <c r="S3268" i="1"/>
  <c r="S3276" i="1"/>
  <c r="S3284" i="1"/>
  <c r="S3292" i="1"/>
  <c r="S3300" i="1"/>
  <c r="S3308" i="1"/>
  <c r="S3316" i="1"/>
  <c r="S3324" i="1"/>
  <c r="S3332" i="1"/>
  <c r="S3340" i="1"/>
  <c r="S3348" i="1"/>
  <c r="S3356" i="1"/>
  <c r="S3364" i="1"/>
  <c r="S3372" i="1"/>
  <c r="S3380" i="1"/>
  <c r="S3388" i="1"/>
  <c r="S3396" i="1"/>
  <c r="S3404" i="1"/>
  <c r="S3412" i="1"/>
  <c r="S3420" i="1"/>
  <c r="S3428" i="1"/>
  <c r="S3436" i="1"/>
  <c r="S3444" i="1"/>
  <c r="S3452" i="1"/>
  <c r="S3460" i="1"/>
  <c r="S3468" i="1"/>
  <c r="S3476" i="1"/>
  <c r="S3484" i="1"/>
  <c r="S3492" i="1"/>
  <c r="S3500" i="1"/>
  <c r="S3508" i="1"/>
  <c r="S3516" i="1"/>
  <c r="S3524" i="1"/>
  <c r="S3532" i="1"/>
  <c r="S3540" i="1"/>
  <c r="S3548" i="1"/>
  <c r="S3556" i="1"/>
  <c r="S3564" i="1"/>
  <c r="S3572" i="1"/>
  <c r="S3580" i="1"/>
  <c r="S3588" i="1"/>
  <c r="S3596" i="1"/>
  <c r="S3604" i="1"/>
  <c r="S3612" i="1"/>
  <c r="S3620" i="1"/>
  <c r="S3628" i="1"/>
  <c r="S3636" i="1"/>
  <c r="S3644" i="1"/>
  <c r="S3652" i="1"/>
  <c r="S3660" i="1"/>
  <c r="S3668" i="1"/>
  <c r="S3676" i="1"/>
  <c r="S3684" i="1"/>
  <c r="S3692" i="1"/>
  <c r="S3700" i="1"/>
  <c r="S3708" i="1"/>
  <c r="S3716" i="1"/>
  <c r="S3724" i="1"/>
  <c r="S3732" i="1"/>
  <c r="S3740" i="1"/>
  <c r="S3748" i="1"/>
  <c r="S3756" i="1"/>
  <c r="S3764" i="1"/>
  <c r="S2506" i="1"/>
  <c r="S2529" i="1"/>
  <c r="S2593" i="1"/>
  <c r="S2653" i="1"/>
  <c r="S2665" i="1"/>
  <c r="S2714" i="1"/>
  <c r="S2726" i="1"/>
  <c r="S2787" i="1"/>
  <c r="S2796" i="1"/>
  <c r="S2828" i="1"/>
  <c r="S2836" i="1"/>
  <c r="S2845" i="1"/>
  <c r="S2852" i="1"/>
  <c r="S2859" i="1"/>
  <c r="S2883" i="1"/>
  <c r="S2899" i="1"/>
  <c r="S2915" i="1"/>
  <c r="S2931" i="1"/>
  <c r="S2947" i="1"/>
  <c r="S2963" i="1"/>
  <c r="S2966" i="1"/>
  <c r="S3012" i="1"/>
  <c r="S3015" i="1"/>
  <c r="S3018" i="1"/>
  <c r="S3021" i="1"/>
  <c r="S3024" i="1"/>
  <c r="S3027" i="1"/>
  <c r="S3030" i="1"/>
  <c r="S3076" i="1"/>
  <c r="S3079" i="1"/>
  <c r="S3082" i="1"/>
  <c r="S3085" i="1"/>
  <c r="S3088" i="1"/>
  <c r="S3091" i="1"/>
  <c r="S3094" i="1"/>
  <c r="S3140" i="1"/>
  <c r="S3143" i="1"/>
  <c r="S3146" i="1"/>
  <c r="S3149" i="1"/>
  <c r="S3152" i="1"/>
  <c r="S3155" i="1"/>
  <c r="S3158" i="1"/>
  <c r="S3204" i="1"/>
  <c r="S3207" i="1"/>
  <c r="S3210" i="1"/>
  <c r="S3213" i="1"/>
  <c r="S3216" i="1"/>
  <c r="S3219" i="1"/>
  <c r="S3222" i="1"/>
  <c r="S3231" i="1"/>
  <c r="S3239" i="1"/>
  <c r="S3247" i="1"/>
  <c r="S2341" i="1"/>
  <c r="S2433" i="1"/>
  <c r="S2482" i="1"/>
  <c r="S2572" i="1"/>
  <c r="S2641" i="1"/>
  <c r="S2690" i="1"/>
  <c r="S2702" i="1"/>
  <c r="S2763" i="1"/>
  <c r="S2813" i="1"/>
  <c r="S2821" i="1"/>
  <c r="S2860" i="1"/>
  <c r="S2867" i="1"/>
  <c r="S2878" i="1"/>
  <c r="S2894" i="1"/>
  <c r="S2910" i="1"/>
  <c r="S2926" i="1"/>
  <c r="S2942" i="1"/>
  <c r="S2958" i="1"/>
  <c r="S2988" i="1"/>
  <c r="S2991" i="1"/>
  <c r="S2994" i="1"/>
  <c r="S2997" i="1"/>
  <c r="S3000" i="1"/>
  <c r="S3003" i="1"/>
  <c r="S3006" i="1"/>
  <c r="S3052" i="1"/>
  <c r="S3055" i="1"/>
  <c r="S3058" i="1"/>
  <c r="S3061" i="1"/>
  <c r="S3064" i="1"/>
  <c r="S3067" i="1"/>
  <c r="S3070" i="1"/>
  <c r="S3116" i="1"/>
  <c r="S3119" i="1"/>
  <c r="S3122" i="1"/>
  <c r="S3125" i="1"/>
  <c r="S3128" i="1"/>
  <c r="S3131" i="1"/>
  <c r="S3134" i="1"/>
  <c r="S3180" i="1"/>
  <c r="S3183" i="1"/>
  <c r="S3186" i="1"/>
  <c r="S3189" i="1"/>
  <c r="S3192" i="1"/>
  <c r="S3195" i="1"/>
  <c r="S3198" i="1"/>
  <c r="S3234" i="1"/>
  <c r="S3242" i="1"/>
  <c r="S3250" i="1"/>
  <c r="S3258" i="1"/>
  <c r="S3266" i="1"/>
  <c r="S3274" i="1"/>
  <c r="S3282" i="1"/>
  <c r="S3290" i="1"/>
  <c r="S3298" i="1"/>
  <c r="S3306" i="1"/>
  <c r="S3314" i="1"/>
  <c r="S3322" i="1"/>
  <c r="S3330" i="1"/>
  <c r="S3338" i="1"/>
  <c r="S3346" i="1"/>
  <c r="S3354" i="1"/>
  <c r="S3362" i="1"/>
  <c r="S3370" i="1"/>
  <c r="S3378" i="1"/>
  <c r="S3386" i="1"/>
  <c r="S3394" i="1"/>
  <c r="S3402" i="1"/>
  <c r="S3410" i="1"/>
  <c r="S3418" i="1"/>
  <c r="S3426" i="1"/>
  <c r="S3434" i="1"/>
  <c r="S3442" i="1"/>
  <c r="S3450" i="1"/>
  <c r="S3458" i="1"/>
  <c r="S3466" i="1"/>
  <c r="S3474" i="1"/>
  <c r="S3482" i="1"/>
  <c r="S3490" i="1"/>
  <c r="S3498" i="1"/>
  <c r="S3506" i="1"/>
  <c r="S3514" i="1"/>
  <c r="S2353" i="1"/>
  <c r="S2512" i="1"/>
  <c r="S2577" i="1"/>
  <c r="S2656" i="1"/>
  <c r="S2668" i="1"/>
  <c r="S2717" i="1"/>
  <c r="S2729" i="1"/>
  <c r="S2778" i="1"/>
  <c r="S2790" i="1"/>
  <c r="S2822" i="1"/>
  <c r="S2830" i="1"/>
  <c r="S2868" i="1"/>
  <c r="S2884" i="1"/>
  <c r="S2900" i="1"/>
  <c r="S2916" i="1"/>
  <c r="S2932" i="1"/>
  <c r="S2948" i="1"/>
  <c r="S2964" i="1"/>
  <c r="S2967" i="1"/>
  <c r="S2970" i="1"/>
  <c r="S2973" i="1"/>
  <c r="S2976" i="1"/>
  <c r="S2979" i="1"/>
  <c r="S2982" i="1"/>
  <c r="S3028" i="1"/>
  <c r="S3031" i="1"/>
  <c r="S3034" i="1"/>
  <c r="S3037" i="1"/>
  <c r="S3040" i="1"/>
  <c r="S3043" i="1"/>
  <c r="S3046" i="1"/>
  <c r="S3092" i="1"/>
  <c r="S3095" i="1"/>
  <c r="S3098" i="1"/>
  <c r="S3101" i="1"/>
  <c r="S3104" i="1"/>
  <c r="S3107" i="1"/>
  <c r="S3110" i="1"/>
  <c r="S3156" i="1"/>
  <c r="S3159" i="1"/>
  <c r="S3162" i="1"/>
  <c r="S3165" i="1"/>
  <c r="S3168" i="1"/>
  <c r="S3171" i="1"/>
  <c r="S3174" i="1"/>
  <c r="S3220" i="1"/>
  <c r="S3223" i="1"/>
  <c r="S3226" i="1"/>
  <c r="S3229" i="1"/>
  <c r="S3237" i="1"/>
  <c r="S3245" i="1"/>
  <c r="S3253" i="1"/>
  <c r="S3261" i="1"/>
  <c r="S3269" i="1"/>
  <c r="S3277" i="1"/>
  <c r="S3285" i="1"/>
  <c r="S3293" i="1"/>
  <c r="S3301" i="1"/>
  <c r="S3309" i="1"/>
  <c r="S3317" i="1"/>
  <c r="S3325" i="1"/>
  <c r="S3333" i="1"/>
  <c r="S3341" i="1"/>
  <c r="S3349" i="1"/>
  <c r="S3357" i="1"/>
  <c r="S3365" i="1"/>
  <c r="S3373" i="1"/>
  <c r="S3381" i="1"/>
  <c r="S3389" i="1"/>
  <c r="S3397" i="1"/>
  <c r="S3405" i="1"/>
  <c r="S3413" i="1"/>
  <c r="S3421" i="1"/>
  <c r="S3429" i="1"/>
  <c r="S3437" i="1"/>
  <c r="S3445" i="1"/>
  <c r="S3453" i="1"/>
  <c r="S3461" i="1"/>
  <c r="S3469" i="1"/>
  <c r="S2257" i="1"/>
  <c r="S2488" i="1"/>
  <c r="S2556" i="1"/>
  <c r="S2616" i="1"/>
  <c r="S2644" i="1"/>
  <c r="S2693" i="1"/>
  <c r="S2705" i="1"/>
  <c r="S2754" i="1"/>
  <c r="S2766" i="1"/>
  <c r="S2848" i="1"/>
  <c r="S2880" i="1"/>
  <c r="S2896" i="1"/>
  <c r="S2912" i="1"/>
  <c r="S2928" i="1"/>
  <c r="S2944" i="1"/>
  <c r="S2960" i="1"/>
  <c r="S3004" i="1"/>
  <c r="S3007" i="1"/>
  <c r="S3010" i="1"/>
  <c r="S3013" i="1"/>
  <c r="S3016" i="1"/>
  <c r="S3019" i="1"/>
  <c r="S3022" i="1"/>
  <c r="S3068" i="1"/>
  <c r="S3071" i="1"/>
  <c r="S3074" i="1"/>
  <c r="S3077" i="1"/>
  <c r="S3080" i="1"/>
  <c r="S3083" i="1"/>
  <c r="S3086" i="1"/>
  <c r="S3132" i="1"/>
  <c r="S3135" i="1"/>
  <c r="S3138" i="1"/>
  <c r="S3141" i="1"/>
  <c r="S3144" i="1"/>
  <c r="S3147" i="1"/>
  <c r="S3150" i="1"/>
  <c r="S3196" i="1"/>
  <c r="S3199" i="1"/>
  <c r="S3202" i="1"/>
  <c r="S3205" i="1"/>
  <c r="S3208" i="1"/>
  <c r="S3211" i="1"/>
  <c r="S3214" i="1"/>
  <c r="S3232" i="1"/>
  <c r="S3240" i="1"/>
  <c r="S3248" i="1"/>
  <c r="S2518" i="1"/>
  <c r="S2561" i="1"/>
  <c r="S2634" i="1"/>
  <c r="S2659" i="1"/>
  <c r="S2720" i="1"/>
  <c r="S2732" i="1"/>
  <c r="S2781" i="1"/>
  <c r="S2816" i="1"/>
  <c r="S2824" i="1"/>
  <c r="S2856" i="1"/>
  <c r="S2875" i="1"/>
  <c r="S2891" i="1"/>
  <c r="S2907" i="1"/>
  <c r="S2292" i="1"/>
  <c r="S2494" i="1"/>
  <c r="S2540" i="1"/>
  <c r="S2620" i="1"/>
  <c r="S2696" i="1"/>
  <c r="S2708" i="1"/>
  <c r="S2757" i="1"/>
  <c r="S2769" i="1"/>
  <c r="S2793" i="1"/>
  <c r="S2825" i="1"/>
  <c r="S2833" i="1"/>
  <c r="S2842" i="1"/>
  <c r="S2864" i="1"/>
  <c r="S2870" i="1"/>
  <c r="S2886" i="1"/>
  <c r="S2902" i="1"/>
  <c r="S2402" i="1"/>
  <c r="S2545" i="1"/>
  <c r="S2650" i="1"/>
  <c r="S2662" i="1"/>
  <c r="S2723" i="1"/>
  <c r="S2784" i="1"/>
  <c r="S2810" i="1"/>
  <c r="S2818" i="1"/>
  <c r="S2876" i="1"/>
  <c r="S2892" i="1"/>
  <c r="S2908" i="1"/>
  <c r="S2924" i="1"/>
  <c r="S2940" i="1"/>
  <c r="S2956" i="1"/>
  <c r="S2996" i="1"/>
  <c r="S2999" i="1"/>
  <c r="S3002" i="1"/>
  <c r="S3005" i="1"/>
  <c r="S3008" i="1"/>
  <c r="S3011" i="1"/>
  <c r="S3014" i="1"/>
  <c r="S3060" i="1"/>
  <c r="S3063" i="1"/>
  <c r="S3066" i="1"/>
  <c r="S3069" i="1"/>
  <c r="S3072" i="1"/>
  <c r="S3075" i="1"/>
  <c r="S3078" i="1"/>
  <c r="S3124" i="1"/>
  <c r="S3127" i="1"/>
  <c r="S3130" i="1"/>
  <c r="S3133" i="1"/>
  <c r="S3136" i="1"/>
  <c r="S3139" i="1"/>
  <c r="S3142" i="1"/>
  <c r="S3188" i="1"/>
  <c r="S3191" i="1"/>
  <c r="S3194" i="1"/>
  <c r="S3197" i="1"/>
  <c r="S3200" i="1"/>
  <c r="S3203" i="1"/>
  <c r="S3206" i="1"/>
  <c r="S3233" i="1"/>
  <c r="S3241" i="1"/>
  <c r="S3249" i="1"/>
  <c r="S3257" i="1"/>
  <c r="S3265" i="1"/>
  <c r="S3273" i="1"/>
  <c r="S3281" i="1"/>
  <c r="S3289" i="1"/>
  <c r="S3297" i="1"/>
  <c r="S3305" i="1"/>
  <c r="S3313" i="1"/>
  <c r="S2939" i="1"/>
  <c r="S2986" i="1"/>
  <c r="S2998" i="1"/>
  <c r="S3047" i="1"/>
  <c r="S3059" i="1"/>
  <c r="S3108" i="1"/>
  <c r="S3120" i="1"/>
  <c r="S3181" i="1"/>
  <c r="S3251" i="1"/>
  <c r="S3263" i="1"/>
  <c r="S3279" i="1"/>
  <c r="S3295" i="1"/>
  <c r="S3311" i="1"/>
  <c r="S3337" i="1"/>
  <c r="S3350" i="1"/>
  <c r="S3363" i="1"/>
  <c r="S3367" i="1"/>
  <c r="S3376" i="1"/>
  <c r="S3401" i="1"/>
  <c r="S3414" i="1"/>
  <c r="S3427" i="1"/>
  <c r="S3431" i="1"/>
  <c r="S3440" i="1"/>
  <c r="S3465" i="1"/>
  <c r="S3481" i="1"/>
  <c r="S3485" i="1"/>
  <c r="S3499" i="1"/>
  <c r="S3513" i="1"/>
  <c r="S3517" i="1"/>
  <c r="S3551" i="1"/>
  <c r="S3554" i="1"/>
  <c r="S3557" i="1"/>
  <c r="S3560" i="1"/>
  <c r="S3563" i="1"/>
  <c r="S3566" i="1"/>
  <c r="S3569" i="1"/>
  <c r="S3615" i="1"/>
  <c r="S3618" i="1"/>
  <c r="S3621" i="1"/>
  <c r="S3624" i="1"/>
  <c r="S3627" i="1"/>
  <c r="S3630" i="1"/>
  <c r="S3633" i="1"/>
  <c r="S3679" i="1"/>
  <c r="S3682" i="1"/>
  <c r="S3685" i="1"/>
  <c r="S3688" i="1"/>
  <c r="S3691" i="1"/>
  <c r="S3694" i="1"/>
  <c r="S3697" i="1"/>
  <c r="S3743" i="1"/>
  <c r="S3746" i="1"/>
  <c r="S3749" i="1"/>
  <c r="S3752" i="1"/>
  <c r="S3755" i="1"/>
  <c r="S3758" i="1"/>
  <c r="S3761" i="1"/>
  <c r="S3767" i="1"/>
  <c r="S3775" i="1"/>
  <c r="S3783" i="1"/>
  <c r="S3791" i="1"/>
  <c r="S3799" i="1"/>
  <c r="S3807" i="1"/>
  <c r="S3815" i="1"/>
  <c r="S3823" i="1"/>
  <c r="S3831" i="1"/>
  <c r="S3839" i="1"/>
  <c r="S3847" i="1"/>
  <c r="S3855" i="1"/>
  <c r="S3863" i="1"/>
  <c r="S3871" i="1"/>
  <c r="S3879" i="1"/>
  <c r="S3887" i="1"/>
  <c r="S3895" i="1"/>
  <c r="S3903" i="1"/>
  <c r="S3911" i="1"/>
  <c r="S3919" i="1"/>
  <c r="S3927" i="1"/>
  <c r="S3935" i="1"/>
  <c r="S3943" i="1"/>
  <c r="S3951" i="1"/>
  <c r="S3959" i="1"/>
  <c r="S3967" i="1"/>
  <c r="S3975" i="1"/>
  <c r="S3983" i="1"/>
  <c r="S3991" i="1"/>
  <c r="S3999" i="1"/>
  <c r="S4007" i="1"/>
  <c r="S4015" i="1"/>
  <c r="S4023" i="1"/>
  <c r="S4031" i="1"/>
  <c r="S4039" i="1"/>
  <c r="S4047" i="1"/>
  <c r="S4055" i="1"/>
  <c r="S4063" i="1"/>
  <c r="S4071" i="1"/>
  <c r="S4079" i="1"/>
  <c r="S4087" i="1"/>
  <c r="S4095" i="1"/>
  <c r="S4103" i="1"/>
  <c r="S4111" i="1"/>
  <c r="S4119" i="1"/>
  <c r="S4127" i="1"/>
  <c r="S4135" i="1"/>
  <c r="S4143" i="1"/>
  <c r="S4151" i="1"/>
  <c r="S4159" i="1"/>
  <c r="S4167" i="1"/>
  <c r="S4175" i="1"/>
  <c r="S4183" i="1"/>
  <c r="S4191" i="1"/>
  <c r="S4199" i="1"/>
  <c r="S4207" i="1"/>
  <c r="S4215" i="1"/>
  <c r="S4223" i="1"/>
  <c r="S2918" i="1"/>
  <c r="S2974" i="1"/>
  <c r="S3023" i="1"/>
  <c r="S3035" i="1"/>
  <c r="S3084" i="1"/>
  <c r="S3096" i="1"/>
  <c r="S3157" i="1"/>
  <c r="S3218" i="1"/>
  <c r="S3230" i="1"/>
  <c r="S3264" i="1"/>
  <c r="S3280" i="1"/>
  <c r="S3296" i="1"/>
  <c r="S3312" i="1"/>
  <c r="S3329" i="1"/>
  <c r="S3342" i="1"/>
  <c r="S3355" i="1"/>
  <c r="S3359" i="1"/>
  <c r="S3368" i="1"/>
  <c r="S3393" i="1"/>
  <c r="S3406" i="1"/>
  <c r="S3419" i="1"/>
  <c r="S3423" i="1"/>
  <c r="S3432" i="1"/>
  <c r="S3457" i="1"/>
  <c r="S3470" i="1"/>
  <c r="S3478" i="1"/>
  <c r="S3496" i="1"/>
  <c r="S3503" i="1"/>
  <c r="S3510" i="1"/>
  <c r="S3527" i="1"/>
  <c r="S3530" i="1"/>
  <c r="S3533" i="1"/>
  <c r="S3536" i="1"/>
  <c r="S3539" i="1"/>
  <c r="S3542" i="1"/>
  <c r="S3545" i="1"/>
  <c r="S3591" i="1"/>
  <c r="S3594" i="1"/>
  <c r="S3597" i="1"/>
  <c r="S3600" i="1"/>
  <c r="S3603" i="1"/>
  <c r="S3606" i="1"/>
  <c r="S3609" i="1"/>
  <c r="S3655" i="1"/>
  <c r="S3658" i="1"/>
  <c r="S3661" i="1"/>
  <c r="S3664" i="1"/>
  <c r="S3667" i="1"/>
  <c r="S3670" i="1"/>
  <c r="S3673" i="1"/>
  <c r="S2923" i="1"/>
  <c r="S2989" i="1"/>
  <c r="S3050" i="1"/>
  <c r="S3062" i="1"/>
  <c r="S3111" i="1"/>
  <c r="S3123" i="1"/>
  <c r="S3172" i="1"/>
  <c r="S3184" i="1"/>
  <c r="S3243" i="1"/>
  <c r="S3259" i="1"/>
  <c r="S3275" i="1"/>
  <c r="S3291" i="1"/>
  <c r="S3307" i="1"/>
  <c r="S3321" i="1"/>
  <c r="S3334" i="1"/>
  <c r="S3347" i="1"/>
  <c r="S3351" i="1"/>
  <c r="S3360" i="1"/>
  <c r="S3385" i="1"/>
  <c r="S3398" i="1"/>
  <c r="S3411" i="1"/>
  <c r="S3415" i="1"/>
  <c r="S3424" i="1"/>
  <c r="S3449" i="1"/>
  <c r="S3462" i="1"/>
  <c r="S3475" i="1"/>
  <c r="S3489" i="1"/>
  <c r="S3493" i="1"/>
  <c r="S3507" i="1"/>
  <c r="S3521" i="1"/>
  <c r="S3567" i="1"/>
  <c r="S3570" i="1"/>
  <c r="S3573" i="1"/>
  <c r="S3576" i="1"/>
  <c r="S3579" i="1"/>
  <c r="S3582" i="1"/>
  <c r="S3585" i="1"/>
  <c r="S3631" i="1"/>
  <c r="S3634" i="1"/>
  <c r="S3637" i="1"/>
  <c r="S3640" i="1"/>
  <c r="S3643" i="1"/>
  <c r="S3646" i="1"/>
  <c r="S3649" i="1"/>
  <c r="S3695" i="1"/>
  <c r="S3698" i="1"/>
  <c r="S3701" i="1"/>
  <c r="S3704" i="1"/>
  <c r="S3707" i="1"/>
  <c r="S3710" i="1"/>
  <c r="S3713" i="1"/>
  <c r="S3759" i="1"/>
  <c r="S3762" i="1"/>
  <c r="S3765" i="1"/>
  <c r="S3773" i="1"/>
  <c r="S3781" i="1"/>
  <c r="S3789" i="1"/>
  <c r="S3797" i="1"/>
  <c r="S3805" i="1"/>
  <c r="S3813" i="1"/>
  <c r="S3821" i="1"/>
  <c r="S3829" i="1"/>
  <c r="S3837" i="1"/>
  <c r="S3845" i="1"/>
  <c r="S3853" i="1"/>
  <c r="S3861" i="1"/>
  <c r="S3869" i="1"/>
  <c r="S3877" i="1"/>
  <c r="S3885" i="1"/>
  <c r="S2965" i="1"/>
  <c r="S3026" i="1"/>
  <c r="S3038" i="1"/>
  <c r="S3087" i="1"/>
  <c r="S3099" i="1"/>
  <c r="S3148" i="1"/>
  <c r="S3160" i="1"/>
  <c r="S3221" i="1"/>
  <c r="S3254" i="1"/>
  <c r="S3270" i="1"/>
  <c r="S3286" i="1"/>
  <c r="S3302" i="1"/>
  <c r="S3326" i="1"/>
  <c r="S3339" i="1"/>
  <c r="S3343" i="1"/>
  <c r="S3352" i="1"/>
  <c r="S3377" i="1"/>
  <c r="S3390" i="1"/>
  <c r="S3403" i="1"/>
  <c r="S3407" i="1"/>
  <c r="S3416" i="1"/>
  <c r="S3441" i="1"/>
  <c r="S3454" i="1"/>
  <c r="S3467" i="1"/>
  <c r="S3471" i="1"/>
  <c r="S3479" i="1"/>
  <c r="S3486" i="1"/>
  <c r="S3504" i="1"/>
  <c r="S3511" i="1"/>
  <c r="S3518" i="1"/>
  <c r="S3543" i="1"/>
  <c r="S3546" i="1"/>
  <c r="S3549" i="1"/>
  <c r="S3552" i="1"/>
  <c r="S3555" i="1"/>
  <c r="S3558" i="1"/>
  <c r="S3561" i="1"/>
  <c r="S3607" i="1"/>
  <c r="S3610" i="1"/>
  <c r="S3613" i="1"/>
  <c r="S3616" i="1"/>
  <c r="S3619" i="1"/>
  <c r="S3622" i="1"/>
  <c r="S3625" i="1"/>
  <c r="S3671" i="1"/>
  <c r="S3674" i="1"/>
  <c r="S3677" i="1"/>
  <c r="S3680" i="1"/>
  <c r="S3683" i="1"/>
  <c r="S3686" i="1"/>
  <c r="S3689" i="1"/>
  <c r="S3735" i="1"/>
  <c r="S3738" i="1"/>
  <c r="S3741" i="1"/>
  <c r="S3744" i="1"/>
  <c r="S3747" i="1"/>
  <c r="S3750" i="1"/>
  <c r="S3753" i="1"/>
  <c r="S3768" i="1"/>
  <c r="S3776" i="1"/>
  <c r="S3784" i="1"/>
  <c r="S3792" i="1"/>
  <c r="S3800" i="1"/>
  <c r="S3808" i="1"/>
  <c r="S3816" i="1"/>
  <c r="S3824" i="1"/>
  <c r="S3832" i="1"/>
  <c r="S3840" i="1"/>
  <c r="S3848" i="1"/>
  <c r="S3856" i="1"/>
  <c r="S3864" i="1"/>
  <c r="S3872" i="1"/>
  <c r="S3880" i="1"/>
  <c r="S2980" i="1"/>
  <c r="S2992" i="1"/>
  <c r="S3053" i="1"/>
  <c r="S3114" i="1"/>
  <c r="S3126" i="1"/>
  <c r="S3175" i="1"/>
  <c r="S3187" i="1"/>
  <c r="S3235" i="1"/>
  <c r="S3255" i="1"/>
  <c r="S3271" i="1"/>
  <c r="S3287" i="1"/>
  <c r="S3303" i="1"/>
  <c r="S3318" i="1"/>
  <c r="S3331" i="1"/>
  <c r="S3335" i="1"/>
  <c r="S3344" i="1"/>
  <c r="S3369" i="1"/>
  <c r="S3382" i="1"/>
  <c r="S3395" i="1"/>
  <c r="S3399" i="1"/>
  <c r="S3408" i="1"/>
  <c r="S3433" i="1"/>
  <c r="S3446" i="1"/>
  <c r="S3459" i="1"/>
  <c r="S3463" i="1"/>
  <c r="S3472" i="1"/>
  <c r="S3483" i="1"/>
  <c r="S3497" i="1"/>
  <c r="S3501" i="1"/>
  <c r="S3515" i="1"/>
  <c r="S3522" i="1"/>
  <c r="S3525" i="1"/>
  <c r="S3528" i="1"/>
  <c r="S3531" i="1"/>
  <c r="S3534" i="1"/>
  <c r="S3537" i="1"/>
  <c r="S3583" i="1"/>
  <c r="S3586" i="1"/>
  <c r="S3589" i="1"/>
  <c r="S3592" i="1"/>
  <c r="S3595" i="1"/>
  <c r="S3598" i="1"/>
  <c r="S3601" i="1"/>
  <c r="S3647" i="1"/>
  <c r="S3650" i="1"/>
  <c r="S3653" i="1"/>
  <c r="S3656" i="1"/>
  <c r="S3659" i="1"/>
  <c r="S3662" i="1"/>
  <c r="S3665" i="1"/>
  <c r="S3711" i="1"/>
  <c r="S3714" i="1"/>
  <c r="S3717" i="1"/>
  <c r="S3720" i="1"/>
  <c r="S3723" i="1"/>
  <c r="S3726" i="1"/>
  <c r="S3729" i="1"/>
  <c r="S3771" i="1"/>
  <c r="S3779" i="1"/>
  <c r="S3787" i="1"/>
  <c r="S3795" i="1"/>
  <c r="S3803" i="1"/>
  <c r="S3811" i="1"/>
  <c r="S3819" i="1"/>
  <c r="S3827" i="1"/>
  <c r="S3835" i="1"/>
  <c r="S3843" i="1"/>
  <c r="S3851" i="1"/>
  <c r="S3859" i="1"/>
  <c r="S3867" i="1"/>
  <c r="S3875" i="1"/>
  <c r="S2950" i="1"/>
  <c r="S2968" i="1"/>
  <c r="S3029" i="1"/>
  <c r="S3090" i="1"/>
  <c r="S3102" i="1"/>
  <c r="S3151" i="1"/>
  <c r="S3163" i="1"/>
  <c r="S3212" i="1"/>
  <c r="S3224" i="1"/>
  <c r="S3246" i="1"/>
  <c r="S3256" i="1"/>
  <c r="S3272" i="1"/>
  <c r="S3288" i="1"/>
  <c r="S3304" i="1"/>
  <c r="S2955" i="1"/>
  <c r="S2983" i="1"/>
  <c r="S2995" i="1"/>
  <c r="S3044" i="1"/>
  <c r="S3056" i="1"/>
  <c r="S3117" i="1"/>
  <c r="S3178" i="1"/>
  <c r="S3190" i="1"/>
  <c r="S3267" i="1"/>
  <c r="S3283" i="1"/>
  <c r="S3299" i="1"/>
  <c r="S3315" i="1"/>
  <c r="S3319" i="1"/>
  <c r="S2934" i="1"/>
  <c r="S2971" i="1"/>
  <c r="S3020" i="1"/>
  <c r="S3032" i="1"/>
  <c r="S3093" i="1"/>
  <c r="S3154" i="1"/>
  <c r="S3166" i="1"/>
  <c r="S3215" i="1"/>
  <c r="S3227" i="1"/>
  <c r="S3238" i="1"/>
  <c r="S3262" i="1"/>
  <c r="S3278" i="1"/>
  <c r="S3294" i="1"/>
  <c r="S3310" i="1"/>
  <c r="S3320" i="1"/>
  <c r="S3345" i="1"/>
  <c r="S3358" i="1"/>
  <c r="S3371" i="1"/>
  <c r="S3375" i="1"/>
  <c r="S3384" i="1"/>
  <c r="S3409" i="1"/>
  <c r="S3422" i="1"/>
  <c r="S3435" i="1"/>
  <c r="S3439" i="1"/>
  <c r="S3448" i="1"/>
  <c r="S3473" i="1"/>
  <c r="S3488" i="1"/>
  <c r="S3495" i="1"/>
  <c r="S3502" i="1"/>
  <c r="S3520" i="1"/>
  <c r="S3523" i="1"/>
  <c r="S3526" i="1"/>
  <c r="S3529" i="1"/>
  <c r="S3575" i="1"/>
  <c r="S3578" i="1"/>
  <c r="S3581" i="1"/>
  <c r="S3584" i="1"/>
  <c r="S3587" i="1"/>
  <c r="S3590" i="1"/>
  <c r="S3593" i="1"/>
  <c r="S3639" i="1"/>
  <c r="S3642" i="1"/>
  <c r="S3645" i="1"/>
  <c r="S3648" i="1"/>
  <c r="S3651" i="1"/>
  <c r="S3654" i="1"/>
  <c r="S3657" i="1"/>
  <c r="S3323" i="1"/>
  <c r="S3374" i="1"/>
  <c r="S3391" i="1"/>
  <c r="S3425" i="1"/>
  <c r="S3519" i="1"/>
  <c r="S3568" i="1"/>
  <c r="S3629" i="1"/>
  <c r="S3641" i="1"/>
  <c r="S3719" i="1"/>
  <c r="S3725" i="1"/>
  <c r="S3731" i="1"/>
  <c r="S3737" i="1"/>
  <c r="S3778" i="1"/>
  <c r="S3794" i="1"/>
  <c r="S3810" i="1"/>
  <c r="S3826" i="1"/>
  <c r="S3842" i="1"/>
  <c r="S3858" i="1"/>
  <c r="S3874" i="1"/>
  <c r="S3930" i="1"/>
  <c r="S3933" i="1"/>
  <c r="S3936" i="1"/>
  <c r="S3939" i="1"/>
  <c r="S3942" i="1"/>
  <c r="S3945" i="1"/>
  <c r="S3948" i="1"/>
  <c r="S3994" i="1"/>
  <c r="S3997" i="1"/>
  <c r="S4000" i="1"/>
  <c r="S4003" i="1"/>
  <c r="S4006" i="1"/>
  <c r="S4009" i="1"/>
  <c r="S4012" i="1"/>
  <c r="S4058" i="1"/>
  <c r="S4061" i="1"/>
  <c r="S4064" i="1"/>
  <c r="S4067" i="1"/>
  <c r="S4070" i="1"/>
  <c r="S4073" i="1"/>
  <c r="S4076" i="1"/>
  <c r="S4122" i="1"/>
  <c r="S4125" i="1"/>
  <c r="S4128" i="1"/>
  <c r="S4131" i="1"/>
  <c r="S4134" i="1"/>
  <c r="S4137" i="1"/>
  <c r="S4140" i="1"/>
  <c r="S4186" i="1"/>
  <c r="S4189" i="1"/>
  <c r="S4192" i="1"/>
  <c r="S4195" i="1"/>
  <c r="S4198" i="1"/>
  <c r="S4201" i="1"/>
  <c r="S4204" i="1"/>
  <c r="S4228" i="1"/>
  <c r="S4236" i="1"/>
  <c r="S4244" i="1"/>
  <c r="S4252" i="1"/>
  <c r="S4260" i="1"/>
  <c r="S4268" i="1"/>
  <c r="S4276" i="1"/>
  <c r="S4284" i="1"/>
  <c r="S4292" i="1"/>
  <c r="S4300" i="1"/>
  <c r="S4308" i="1"/>
  <c r="S4316" i="1"/>
  <c r="S4324" i="1"/>
  <c r="S4332" i="1"/>
  <c r="S4340" i="1"/>
  <c r="S4348" i="1"/>
  <c r="S4356" i="1"/>
  <c r="S4364" i="1"/>
  <c r="S4372" i="1"/>
  <c r="S4380" i="1"/>
  <c r="S4388" i="1"/>
  <c r="S4396" i="1"/>
  <c r="S4404" i="1"/>
  <c r="S4412" i="1"/>
  <c r="S4420" i="1"/>
  <c r="S4428" i="1"/>
  <c r="S4436" i="1"/>
  <c r="S4444" i="1"/>
  <c r="S4452" i="1"/>
  <c r="S4460" i="1"/>
  <c r="S4468" i="1"/>
  <c r="S4476" i="1"/>
  <c r="S4484" i="1"/>
  <c r="S4492" i="1"/>
  <c r="S4500" i="1"/>
  <c r="S4508" i="1"/>
  <c r="S4516" i="1"/>
  <c r="S3392" i="1"/>
  <c r="S3443" i="1"/>
  <c r="S3477" i="1"/>
  <c r="S3491" i="1"/>
  <c r="S3505" i="1"/>
  <c r="S3544" i="1"/>
  <c r="S3605" i="1"/>
  <c r="S3617" i="1"/>
  <c r="S3666" i="1"/>
  <c r="S3678" i="1"/>
  <c r="S3690" i="1"/>
  <c r="S3696" i="1"/>
  <c r="S3702" i="1"/>
  <c r="S3751" i="1"/>
  <c r="S3757" i="1"/>
  <c r="S3763" i="1"/>
  <c r="S3774" i="1"/>
  <c r="S3790" i="1"/>
  <c r="S3806" i="1"/>
  <c r="S3822" i="1"/>
  <c r="S3838" i="1"/>
  <c r="S3854" i="1"/>
  <c r="S3870" i="1"/>
  <c r="S3884" i="1"/>
  <c r="S3906" i="1"/>
  <c r="S3909" i="1"/>
  <c r="S3912" i="1"/>
  <c r="S3915" i="1"/>
  <c r="S3918" i="1"/>
  <c r="S3921" i="1"/>
  <c r="S3924" i="1"/>
  <c r="S3970" i="1"/>
  <c r="S3973" i="1"/>
  <c r="S3976" i="1"/>
  <c r="S3979" i="1"/>
  <c r="S3982" i="1"/>
  <c r="S3985" i="1"/>
  <c r="S3988" i="1"/>
  <c r="S4034" i="1"/>
  <c r="S4037" i="1"/>
  <c r="S4040" i="1"/>
  <c r="S4043" i="1"/>
  <c r="S4046" i="1"/>
  <c r="S4049" i="1"/>
  <c r="S4052" i="1"/>
  <c r="S4098" i="1"/>
  <c r="S4101" i="1"/>
  <c r="S4104" i="1"/>
  <c r="S4107" i="1"/>
  <c r="S4110" i="1"/>
  <c r="S4113" i="1"/>
  <c r="S4116" i="1"/>
  <c r="S4162" i="1"/>
  <c r="S4165" i="1"/>
  <c r="S4168" i="1"/>
  <c r="S4171" i="1"/>
  <c r="S4174" i="1"/>
  <c r="S4177" i="1"/>
  <c r="S4180" i="1"/>
  <c r="S4231" i="1"/>
  <c r="S4239" i="1"/>
  <c r="S4247" i="1"/>
  <c r="S4255" i="1"/>
  <c r="S4263" i="1"/>
  <c r="S4271" i="1"/>
  <c r="S4279" i="1"/>
  <c r="S4287" i="1"/>
  <c r="S4295" i="1"/>
  <c r="S4303" i="1"/>
  <c r="S4311" i="1"/>
  <c r="S4319" i="1"/>
  <c r="S4327" i="1"/>
  <c r="S4335" i="1"/>
  <c r="S4343" i="1"/>
  <c r="S4351" i="1"/>
  <c r="S4359" i="1"/>
  <c r="S4367" i="1"/>
  <c r="S4375" i="1"/>
  <c r="S4383" i="1"/>
  <c r="S4391" i="1"/>
  <c r="S4399" i="1"/>
  <c r="S4407" i="1"/>
  <c r="S4415" i="1"/>
  <c r="S4423" i="1"/>
  <c r="S4431" i="1"/>
  <c r="S4439" i="1"/>
  <c r="S4447" i="1"/>
  <c r="S4455" i="1"/>
  <c r="S4463" i="1"/>
  <c r="S4471" i="1"/>
  <c r="S4479" i="1"/>
  <c r="S4487" i="1"/>
  <c r="S4495" i="1"/>
  <c r="S4503" i="1"/>
  <c r="S4511" i="1"/>
  <c r="S3327" i="1"/>
  <c r="S3361" i="1"/>
  <c r="S3464" i="1"/>
  <c r="S3480" i="1"/>
  <c r="S3494" i="1"/>
  <c r="S3559" i="1"/>
  <c r="S3571" i="1"/>
  <c r="S3632" i="1"/>
  <c r="S3727" i="1"/>
  <c r="S3733" i="1"/>
  <c r="S3739" i="1"/>
  <c r="S3745" i="1"/>
  <c r="S3769" i="1"/>
  <c r="S3785" i="1"/>
  <c r="S3801" i="1"/>
  <c r="S3817" i="1"/>
  <c r="S3833" i="1"/>
  <c r="S3849" i="1"/>
  <c r="S3865" i="1"/>
  <c r="S3881" i="1"/>
  <c r="S3888" i="1"/>
  <c r="S3891" i="1"/>
  <c r="S3894" i="1"/>
  <c r="S3897" i="1"/>
  <c r="S3900" i="1"/>
  <c r="S3946" i="1"/>
  <c r="S3949" i="1"/>
  <c r="S3952" i="1"/>
  <c r="S3955" i="1"/>
  <c r="S3958" i="1"/>
  <c r="S3961" i="1"/>
  <c r="S3964" i="1"/>
  <c r="S4010" i="1"/>
  <c r="S4013" i="1"/>
  <c r="S4016" i="1"/>
  <c r="S4019" i="1"/>
  <c r="S4022" i="1"/>
  <c r="S4025" i="1"/>
  <c r="S4028" i="1"/>
  <c r="S4074" i="1"/>
  <c r="S4077" i="1"/>
  <c r="S4080" i="1"/>
  <c r="S4083" i="1"/>
  <c r="S4086" i="1"/>
  <c r="S4089" i="1"/>
  <c r="S4092" i="1"/>
  <c r="S4138" i="1"/>
  <c r="S4141" i="1"/>
  <c r="S4144" i="1"/>
  <c r="S4147" i="1"/>
  <c r="S4150" i="1"/>
  <c r="S4153" i="1"/>
  <c r="S4156" i="1"/>
  <c r="S4202" i="1"/>
  <c r="S4205" i="1"/>
  <c r="S4208" i="1"/>
  <c r="S4211" i="1"/>
  <c r="S4214" i="1"/>
  <c r="S4217" i="1"/>
  <c r="S4220" i="1"/>
  <c r="S4226" i="1"/>
  <c r="S4234" i="1"/>
  <c r="S4242" i="1"/>
  <c r="S4250" i="1"/>
  <c r="S4258" i="1"/>
  <c r="S4266" i="1"/>
  <c r="S4274" i="1"/>
  <c r="S4282" i="1"/>
  <c r="S3328" i="1"/>
  <c r="S3379" i="1"/>
  <c r="S3430" i="1"/>
  <c r="S3447" i="1"/>
  <c r="S3509" i="1"/>
  <c r="S3535" i="1"/>
  <c r="S3547" i="1"/>
  <c r="S3608" i="1"/>
  <c r="S3669" i="1"/>
  <c r="S3681" i="1"/>
  <c r="S3703" i="1"/>
  <c r="S3709" i="1"/>
  <c r="S3715" i="1"/>
  <c r="S3721" i="1"/>
  <c r="S3780" i="1"/>
  <c r="S3796" i="1"/>
  <c r="S3812" i="1"/>
  <c r="S3828" i="1"/>
  <c r="S3844" i="1"/>
  <c r="S3860" i="1"/>
  <c r="S3876" i="1"/>
  <c r="S3922" i="1"/>
  <c r="S3925" i="1"/>
  <c r="S3928" i="1"/>
  <c r="S3931" i="1"/>
  <c r="S3934" i="1"/>
  <c r="S3937" i="1"/>
  <c r="S3940" i="1"/>
  <c r="S3986" i="1"/>
  <c r="S3989" i="1"/>
  <c r="S3992" i="1"/>
  <c r="S3995" i="1"/>
  <c r="S3998" i="1"/>
  <c r="S4001" i="1"/>
  <c r="S4004" i="1"/>
  <c r="S4050" i="1"/>
  <c r="S4053" i="1"/>
  <c r="S4056" i="1"/>
  <c r="S4059" i="1"/>
  <c r="S4062" i="1"/>
  <c r="S4065" i="1"/>
  <c r="S4068" i="1"/>
  <c r="S4114" i="1"/>
  <c r="S4117" i="1"/>
  <c r="S4120" i="1"/>
  <c r="S4123" i="1"/>
  <c r="S4126" i="1"/>
  <c r="S4129" i="1"/>
  <c r="S4132" i="1"/>
  <c r="S4178" i="1"/>
  <c r="S4181" i="1"/>
  <c r="S4184" i="1"/>
  <c r="S4187" i="1"/>
  <c r="S4190" i="1"/>
  <c r="S4193" i="1"/>
  <c r="S4196" i="1"/>
  <c r="S4229" i="1"/>
  <c r="S4237" i="1"/>
  <c r="S4245" i="1"/>
  <c r="S4253" i="1"/>
  <c r="S4261" i="1"/>
  <c r="S4269" i="1"/>
  <c r="S4277" i="1"/>
  <c r="S4285" i="1"/>
  <c r="S3400" i="1"/>
  <c r="S3451" i="1"/>
  <c r="S3512" i="1"/>
  <c r="S3562" i="1"/>
  <c r="S3574" i="1"/>
  <c r="S3623" i="1"/>
  <c r="S3635" i="1"/>
  <c r="S3722" i="1"/>
  <c r="S3728" i="1"/>
  <c r="S3734" i="1"/>
  <c r="S3770" i="1"/>
  <c r="S3786" i="1"/>
  <c r="S3802" i="1"/>
  <c r="S3818" i="1"/>
  <c r="S3834" i="1"/>
  <c r="S3850" i="1"/>
  <c r="S3866" i="1"/>
  <c r="S3882" i="1"/>
  <c r="S3898" i="1"/>
  <c r="S3901" i="1"/>
  <c r="S3904" i="1"/>
  <c r="S3907" i="1"/>
  <c r="S3910" i="1"/>
  <c r="S3913" i="1"/>
  <c r="S3916" i="1"/>
  <c r="S3962" i="1"/>
  <c r="S3965" i="1"/>
  <c r="S3968" i="1"/>
  <c r="S3971" i="1"/>
  <c r="S3974" i="1"/>
  <c r="S3977" i="1"/>
  <c r="S3980" i="1"/>
  <c r="S4026" i="1"/>
  <c r="S4029" i="1"/>
  <c r="S4032" i="1"/>
  <c r="S4035" i="1"/>
  <c r="S4038" i="1"/>
  <c r="S4041" i="1"/>
  <c r="S4044" i="1"/>
  <c r="S4090" i="1"/>
  <c r="S4093" i="1"/>
  <c r="S4096" i="1"/>
  <c r="S4099" i="1"/>
  <c r="S4102" i="1"/>
  <c r="S4105" i="1"/>
  <c r="S4108" i="1"/>
  <c r="S4154" i="1"/>
  <c r="S4157" i="1"/>
  <c r="S4160" i="1"/>
  <c r="S4163" i="1"/>
  <c r="S4166" i="1"/>
  <c r="S4169" i="1"/>
  <c r="S4172" i="1"/>
  <c r="S4218" i="1"/>
  <c r="S4221" i="1"/>
  <c r="S4224" i="1"/>
  <c r="S4232" i="1"/>
  <c r="S4240" i="1"/>
  <c r="S4248" i="1"/>
  <c r="S4256" i="1"/>
  <c r="S4264" i="1"/>
  <c r="S4272" i="1"/>
  <c r="S4280" i="1"/>
  <c r="S4288" i="1"/>
  <c r="S4296" i="1"/>
  <c r="S3366" i="1"/>
  <c r="S3383" i="1"/>
  <c r="S3417" i="1"/>
  <c r="S3538" i="1"/>
  <c r="S3550" i="1"/>
  <c r="S3599" i="1"/>
  <c r="S3611" i="1"/>
  <c r="S3672" i="1"/>
  <c r="S3693" i="1"/>
  <c r="S3699" i="1"/>
  <c r="S3705" i="1"/>
  <c r="S3754" i="1"/>
  <c r="S3336" i="1"/>
  <c r="S3387" i="1"/>
  <c r="S3438" i="1"/>
  <c r="S3455" i="1"/>
  <c r="S3487" i="1"/>
  <c r="S3565" i="1"/>
  <c r="S3577" i="1"/>
  <c r="S3626" i="1"/>
  <c r="S3638" i="1"/>
  <c r="S3687" i="1"/>
  <c r="S3730" i="1"/>
  <c r="S3736" i="1"/>
  <c r="S3742" i="1"/>
  <c r="S3777" i="1"/>
  <c r="S3793" i="1"/>
  <c r="S3809" i="1"/>
  <c r="S3825" i="1"/>
  <c r="S3841" i="1"/>
  <c r="S3857" i="1"/>
  <c r="S3873" i="1"/>
  <c r="S3883" i="1"/>
  <c r="S3914" i="1"/>
  <c r="S3917" i="1"/>
  <c r="S3920" i="1"/>
  <c r="S3923" i="1"/>
  <c r="S3926" i="1"/>
  <c r="S3929" i="1"/>
  <c r="S3932" i="1"/>
  <c r="S3978" i="1"/>
  <c r="S3981" i="1"/>
  <c r="S3984" i="1"/>
  <c r="S3987" i="1"/>
  <c r="S3990" i="1"/>
  <c r="S3993" i="1"/>
  <c r="S3996" i="1"/>
  <c r="S4042" i="1"/>
  <c r="S4045" i="1"/>
  <c r="S4048" i="1"/>
  <c r="S4051" i="1"/>
  <c r="S4054" i="1"/>
  <c r="S4057" i="1"/>
  <c r="S4060" i="1"/>
  <c r="S4106" i="1"/>
  <c r="S4109" i="1"/>
  <c r="S4112" i="1"/>
  <c r="S4115" i="1"/>
  <c r="S4118" i="1"/>
  <c r="S4121" i="1"/>
  <c r="S4124" i="1"/>
  <c r="S4170" i="1"/>
  <c r="S4173" i="1"/>
  <c r="S4176" i="1"/>
  <c r="S4179" i="1"/>
  <c r="S4182" i="1"/>
  <c r="S4185" i="1"/>
  <c r="S4188" i="1"/>
  <c r="S3675" i="1"/>
  <c r="S3788" i="1"/>
  <c r="S3852" i="1"/>
  <c r="S3890" i="1"/>
  <c r="S3902" i="1"/>
  <c r="S3963" i="1"/>
  <c r="S4024" i="1"/>
  <c r="S4036" i="1"/>
  <c r="S4085" i="1"/>
  <c r="S4097" i="1"/>
  <c r="S4146" i="1"/>
  <c r="S4158" i="1"/>
  <c r="S4227" i="1"/>
  <c r="S4233" i="1"/>
  <c r="S4262" i="1"/>
  <c r="S4290" i="1"/>
  <c r="S4294" i="1"/>
  <c r="S4305" i="1"/>
  <c r="S4309" i="1"/>
  <c r="S4323" i="1"/>
  <c r="S4337" i="1"/>
  <c r="S4341" i="1"/>
  <c r="S4355" i="1"/>
  <c r="S4369" i="1"/>
  <c r="S4373" i="1"/>
  <c r="S4387" i="1"/>
  <c r="S4401" i="1"/>
  <c r="S4405" i="1"/>
  <c r="S4419" i="1"/>
  <c r="S4433" i="1"/>
  <c r="S4437" i="1"/>
  <c r="S4451" i="1"/>
  <c r="S4465" i="1"/>
  <c r="S4469" i="1"/>
  <c r="S4483" i="1"/>
  <c r="S4497" i="1"/>
  <c r="S4501" i="1"/>
  <c r="S4515" i="1"/>
  <c r="S4518" i="1"/>
  <c r="S4521" i="1"/>
  <c r="S4529" i="1"/>
  <c r="S4537" i="1"/>
  <c r="S4545" i="1"/>
  <c r="S4553" i="1"/>
  <c r="S4561" i="1"/>
  <c r="S4569" i="1"/>
  <c r="S4577" i="1"/>
  <c r="S4585" i="1"/>
  <c r="S4593" i="1"/>
  <c r="S4601" i="1"/>
  <c r="S4609" i="1"/>
  <c r="S4617" i="1"/>
  <c r="S4625" i="1"/>
  <c r="S4633" i="1"/>
  <c r="S4641" i="1"/>
  <c r="S4649" i="1"/>
  <c r="S4657" i="1"/>
  <c r="S4665" i="1"/>
  <c r="S4673" i="1"/>
  <c r="S4681" i="1"/>
  <c r="S4689" i="1"/>
  <c r="S4697" i="1"/>
  <c r="S4705" i="1"/>
  <c r="S4713" i="1"/>
  <c r="S4721" i="1"/>
  <c r="S4729" i="1"/>
  <c r="S4737" i="1"/>
  <c r="S4745" i="1"/>
  <c r="S4753" i="1"/>
  <c r="S4761" i="1"/>
  <c r="S4769" i="1"/>
  <c r="S4777" i="1"/>
  <c r="S4785" i="1"/>
  <c r="S4793" i="1"/>
  <c r="S4801" i="1"/>
  <c r="S4809" i="1"/>
  <c r="S4817" i="1"/>
  <c r="S4825" i="1"/>
  <c r="S4833" i="1"/>
  <c r="S4841" i="1"/>
  <c r="S4849" i="1"/>
  <c r="S4857" i="1"/>
  <c r="S4865" i="1"/>
  <c r="S4873" i="1"/>
  <c r="S4881" i="1"/>
  <c r="S4889" i="1"/>
  <c r="S4897" i="1"/>
  <c r="S4905" i="1"/>
  <c r="S4913" i="1"/>
  <c r="S4921" i="1"/>
  <c r="S4929" i="1"/>
  <c r="S4937" i="1"/>
  <c r="S4945" i="1"/>
  <c r="S4953" i="1"/>
  <c r="S4961" i="1"/>
  <c r="S4969" i="1"/>
  <c r="S4977" i="1"/>
  <c r="S4985" i="1"/>
  <c r="S4993" i="1"/>
  <c r="S5001" i="1"/>
  <c r="S5009" i="1"/>
  <c r="S5017" i="1"/>
  <c r="S5025" i="1"/>
  <c r="S5033" i="1"/>
  <c r="S5041" i="1"/>
  <c r="S5049" i="1"/>
  <c r="S5057" i="1"/>
  <c r="S5065" i="1"/>
  <c r="S5073" i="1"/>
  <c r="S5081" i="1"/>
  <c r="S5089" i="1"/>
  <c r="S5097" i="1"/>
  <c r="S5105" i="1"/>
  <c r="S5113" i="1"/>
  <c r="S5121" i="1"/>
  <c r="S5129" i="1"/>
  <c r="S5137" i="1"/>
  <c r="S5145" i="1"/>
  <c r="S5153" i="1"/>
  <c r="S5161" i="1"/>
  <c r="S5169" i="1"/>
  <c r="S5177" i="1"/>
  <c r="S5185" i="1"/>
  <c r="S5193" i="1"/>
  <c r="S5201" i="1"/>
  <c r="S5209" i="1"/>
  <c r="S5217" i="1"/>
  <c r="S5225" i="1"/>
  <c r="S5233" i="1"/>
  <c r="S5241" i="1"/>
  <c r="S5249" i="1"/>
  <c r="S5257" i="1"/>
  <c r="S5265" i="1"/>
  <c r="S5273" i="1"/>
  <c r="S5281" i="1"/>
  <c r="S5289" i="1"/>
  <c r="S5297" i="1"/>
  <c r="S5305" i="1"/>
  <c r="S5313" i="1"/>
  <c r="S5321" i="1"/>
  <c r="S5329" i="1"/>
  <c r="S5337" i="1"/>
  <c r="S5345" i="1"/>
  <c r="S5353" i="1"/>
  <c r="S5361" i="1"/>
  <c r="S5369" i="1"/>
  <c r="S5377" i="1"/>
  <c r="S5385" i="1"/>
  <c r="S5393" i="1"/>
  <c r="S5401" i="1"/>
  <c r="S5409" i="1"/>
  <c r="S5417" i="1"/>
  <c r="S5425" i="1"/>
  <c r="S5433" i="1"/>
  <c r="S5441" i="1"/>
  <c r="S5449" i="1"/>
  <c r="S5457" i="1"/>
  <c r="S5465" i="1"/>
  <c r="S5473" i="1"/>
  <c r="S5481" i="1"/>
  <c r="S5489" i="1"/>
  <c r="S5497" i="1"/>
  <c r="S3353" i="1"/>
  <c r="S3814" i="1"/>
  <c r="S3878" i="1"/>
  <c r="S3892" i="1"/>
  <c r="S3941" i="1"/>
  <c r="S3953" i="1"/>
  <c r="S4002" i="1"/>
  <c r="S4014" i="1"/>
  <c r="S4075" i="1"/>
  <c r="S4136" i="1"/>
  <c r="S4148" i="1"/>
  <c r="S4197" i="1"/>
  <c r="S4209" i="1"/>
  <c r="S4219" i="1"/>
  <c r="S4235" i="1"/>
  <c r="S4241" i="1"/>
  <c r="S4270" i="1"/>
  <c r="S4302" i="1"/>
  <c r="S4306" i="1"/>
  <c r="S4320" i="1"/>
  <c r="S4334" i="1"/>
  <c r="S4338" i="1"/>
  <c r="S4352" i="1"/>
  <c r="S4366" i="1"/>
  <c r="S4370" i="1"/>
  <c r="S4384" i="1"/>
  <c r="S4398" i="1"/>
  <c r="S4402" i="1"/>
  <c r="S4416" i="1"/>
  <c r="S4430" i="1"/>
  <c r="S4434" i="1"/>
  <c r="S4448" i="1"/>
  <c r="S4462" i="1"/>
  <c r="S4466" i="1"/>
  <c r="S4480" i="1"/>
  <c r="S4494" i="1"/>
  <c r="S4498" i="1"/>
  <c r="S4512" i="1"/>
  <c r="S4524" i="1"/>
  <c r="S4532" i="1"/>
  <c r="S4540" i="1"/>
  <c r="S4548" i="1"/>
  <c r="S4556" i="1"/>
  <c r="S4564" i="1"/>
  <c r="S4572" i="1"/>
  <c r="S4580" i="1"/>
  <c r="S4588" i="1"/>
  <c r="S4596" i="1"/>
  <c r="S4604" i="1"/>
  <c r="S4612" i="1"/>
  <c r="S4620" i="1"/>
  <c r="S4628" i="1"/>
  <c r="S4636" i="1"/>
  <c r="S4644" i="1"/>
  <c r="S4652" i="1"/>
  <c r="S4660" i="1"/>
  <c r="S4668" i="1"/>
  <c r="S4676" i="1"/>
  <c r="S4684" i="1"/>
  <c r="S4692" i="1"/>
  <c r="S4700" i="1"/>
  <c r="S4708" i="1"/>
  <c r="S4716" i="1"/>
  <c r="S4724" i="1"/>
  <c r="S4732" i="1"/>
  <c r="S4740" i="1"/>
  <c r="S4748" i="1"/>
  <c r="S4756" i="1"/>
  <c r="S4764" i="1"/>
  <c r="S4772" i="1"/>
  <c r="S4780" i="1"/>
  <c r="S4788" i="1"/>
  <c r="S4796" i="1"/>
  <c r="S4804" i="1"/>
  <c r="S4812" i="1"/>
  <c r="S4820" i="1"/>
  <c r="S4828" i="1"/>
  <c r="S4836" i="1"/>
  <c r="S4844" i="1"/>
  <c r="S4852" i="1"/>
  <c r="S4860" i="1"/>
  <c r="S4868" i="1"/>
  <c r="S4876" i="1"/>
  <c r="S4884" i="1"/>
  <c r="S4892" i="1"/>
  <c r="S4900" i="1"/>
  <c r="S3602" i="1"/>
  <c r="S3772" i="1"/>
  <c r="S3836" i="1"/>
  <c r="S3893" i="1"/>
  <c r="S3905" i="1"/>
  <c r="S3954" i="1"/>
  <c r="S3966" i="1"/>
  <c r="S4027" i="1"/>
  <c r="S4088" i="1"/>
  <c r="S4100" i="1"/>
  <c r="S4149" i="1"/>
  <c r="S4161" i="1"/>
  <c r="S4210" i="1"/>
  <c r="S4243" i="1"/>
  <c r="S4249" i="1"/>
  <c r="S4278" i="1"/>
  <c r="S4291" i="1"/>
  <c r="S4299" i="1"/>
  <c r="S4313" i="1"/>
  <c r="S4317" i="1"/>
  <c r="S4331" i="1"/>
  <c r="S4345" i="1"/>
  <c r="S4349" i="1"/>
  <c r="S4363" i="1"/>
  <c r="S4377" i="1"/>
  <c r="S4381" i="1"/>
  <c r="S4395" i="1"/>
  <c r="S4409" i="1"/>
  <c r="S4413" i="1"/>
  <c r="S4427" i="1"/>
  <c r="S4441" i="1"/>
  <c r="S4445" i="1"/>
  <c r="S4459" i="1"/>
  <c r="S4473" i="1"/>
  <c r="S4477" i="1"/>
  <c r="S4491" i="1"/>
  <c r="S4505" i="1"/>
  <c r="S4509" i="1"/>
  <c r="S4519" i="1"/>
  <c r="S4527" i="1"/>
  <c r="S4535" i="1"/>
  <c r="S4543" i="1"/>
  <c r="S4551" i="1"/>
  <c r="S4559" i="1"/>
  <c r="S4567" i="1"/>
  <c r="S4575" i="1"/>
  <c r="S4583" i="1"/>
  <c r="S4591" i="1"/>
  <c r="S4599" i="1"/>
  <c r="S4607" i="1"/>
  <c r="S4615" i="1"/>
  <c r="S4623" i="1"/>
  <c r="S4631" i="1"/>
  <c r="S4639" i="1"/>
  <c r="S4647" i="1"/>
  <c r="S4655" i="1"/>
  <c r="S4663" i="1"/>
  <c r="S4671" i="1"/>
  <c r="S4679" i="1"/>
  <c r="S4687" i="1"/>
  <c r="S4695" i="1"/>
  <c r="S4703" i="1"/>
  <c r="S4711" i="1"/>
  <c r="S4719" i="1"/>
  <c r="S4727" i="1"/>
  <c r="S4735" i="1"/>
  <c r="S4743" i="1"/>
  <c r="S4751" i="1"/>
  <c r="S4759" i="1"/>
  <c r="S4767" i="1"/>
  <c r="S4775" i="1"/>
  <c r="S4783" i="1"/>
  <c r="S4791" i="1"/>
  <c r="S4799" i="1"/>
  <c r="S4807" i="1"/>
  <c r="S4815" i="1"/>
  <c r="S4823" i="1"/>
  <c r="S4831" i="1"/>
  <c r="S4839" i="1"/>
  <c r="S4847" i="1"/>
  <c r="S4855" i="1"/>
  <c r="S4863" i="1"/>
  <c r="S4871" i="1"/>
  <c r="S4879" i="1"/>
  <c r="S4887" i="1"/>
  <c r="S4895" i="1"/>
  <c r="S4903" i="1"/>
  <c r="S4911" i="1"/>
  <c r="S4919" i="1"/>
  <c r="S4927" i="1"/>
  <c r="S4935" i="1"/>
  <c r="S4943" i="1"/>
  <c r="S4951" i="1"/>
  <c r="S4959" i="1"/>
  <c r="S4967" i="1"/>
  <c r="S4975" i="1"/>
  <c r="S4983" i="1"/>
  <c r="S4991" i="1"/>
  <c r="S4999" i="1"/>
  <c r="S5007" i="1"/>
  <c r="S5015" i="1"/>
  <c r="S5023" i="1"/>
  <c r="S5031" i="1"/>
  <c r="S5039" i="1"/>
  <c r="S5047" i="1"/>
  <c r="S5055" i="1"/>
  <c r="S5063" i="1"/>
  <c r="S3614" i="1"/>
  <c r="S3798" i="1"/>
  <c r="S3862" i="1"/>
  <c r="S3944" i="1"/>
  <c r="S3956" i="1"/>
  <c r="S4005" i="1"/>
  <c r="S4017" i="1"/>
  <c r="S4066" i="1"/>
  <c r="S4078" i="1"/>
  <c r="S4139" i="1"/>
  <c r="S4200" i="1"/>
  <c r="S4212" i="1"/>
  <c r="S4251" i="1"/>
  <c r="S4257" i="1"/>
  <c r="S4286" i="1"/>
  <c r="S4310" i="1"/>
  <c r="S4314" i="1"/>
  <c r="S4328" i="1"/>
  <c r="S4342" i="1"/>
  <c r="S4346" i="1"/>
  <c r="S4360" i="1"/>
  <c r="S4374" i="1"/>
  <c r="S4378" i="1"/>
  <c r="S4392" i="1"/>
  <c r="S4406" i="1"/>
  <c r="S4410" i="1"/>
  <c r="S4424" i="1"/>
  <c r="S4438" i="1"/>
  <c r="S4442" i="1"/>
  <c r="S4456" i="1"/>
  <c r="S4470" i="1"/>
  <c r="S4474" i="1"/>
  <c r="S4488" i="1"/>
  <c r="S4502" i="1"/>
  <c r="S4506" i="1"/>
  <c r="S4522" i="1"/>
  <c r="S4530" i="1"/>
  <c r="S4538" i="1"/>
  <c r="S4546" i="1"/>
  <c r="S4554" i="1"/>
  <c r="S4562" i="1"/>
  <c r="S4570" i="1"/>
  <c r="S4578" i="1"/>
  <c r="S4586" i="1"/>
  <c r="S4594" i="1"/>
  <c r="S4602" i="1"/>
  <c r="S4610" i="1"/>
  <c r="S4618" i="1"/>
  <c r="S4626" i="1"/>
  <c r="S4634" i="1"/>
  <c r="S4642" i="1"/>
  <c r="S4650" i="1"/>
  <c r="S4658" i="1"/>
  <c r="S4666" i="1"/>
  <c r="S4674" i="1"/>
  <c r="S4682" i="1"/>
  <c r="S4690" i="1"/>
  <c r="S4698" i="1"/>
  <c r="S4706" i="1"/>
  <c r="S4714" i="1"/>
  <c r="S4722" i="1"/>
  <c r="S4730" i="1"/>
  <c r="S4738" i="1"/>
  <c r="S4746" i="1"/>
  <c r="S4754" i="1"/>
  <c r="S4762" i="1"/>
  <c r="S4770" i="1"/>
  <c r="S4778" i="1"/>
  <c r="S4786" i="1"/>
  <c r="S4794" i="1"/>
  <c r="S4802" i="1"/>
  <c r="S4810" i="1"/>
  <c r="S4818" i="1"/>
  <c r="S4826" i="1"/>
  <c r="S4834" i="1"/>
  <c r="S4842" i="1"/>
  <c r="S4850" i="1"/>
  <c r="S4858" i="1"/>
  <c r="S4866" i="1"/>
  <c r="S4874" i="1"/>
  <c r="S4882" i="1"/>
  <c r="S4890" i="1"/>
  <c r="S4898" i="1"/>
  <c r="S4906" i="1"/>
  <c r="S4914" i="1"/>
  <c r="S4922" i="1"/>
  <c r="S4930" i="1"/>
  <c r="S4938" i="1"/>
  <c r="S4946" i="1"/>
  <c r="S4954" i="1"/>
  <c r="S4962" i="1"/>
  <c r="S4970" i="1"/>
  <c r="S4978" i="1"/>
  <c r="S4986" i="1"/>
  <c r="S4994" i="1"/>
  <c r="S5002" i="1"/>
  <c r="S5010" i="1"/>
  <c r="S5018" i="1"/>
  <c r="S5026" i="1"/>
  <c r="S5034" i="1"/>
  <c r="S5042" i="1"/>
  <c r="S5050" i="1"/>
  <c r="S5058" i="1"/>
  <c r="S5066" i="1"/>
  <c r="S3706" i="1"/>
  <c r="S3820" i="1"/>
  <c r="S3896" i="1"/>
  <c r="S3908" i="1"/>
  <c r="S3957" i="1"/>
  <c r="S3969" i="1"/>
  <c r="S4018" i="1"/>
  <c r="S4030" i="1"/>
  <c r="S4091" i="1"/>
  <c r="S4152" i="1"/>
  <c r="S4164" i="1"/>
  <c r="S4213" i="1"/>
  <c r="S4222" i="1"/>
  <c r="S4230" i="1"/>
  <c r="S4259" i="1"/>
  <c r="S4265" i="1"/>
  <c r="S4307" i="1"/>
  <c r="S4321" i="1"/>
  <c r="S4325" i="1"/>
  <c r="S4339" i="1"/>
  <c r="S4353" i="1"/>
  <c r="S4357" i="1"/>
  <c r="S4371" i="1"/>
  <c r="S4385" i="1"/>
  <c r="S4389" i="1"/>
  <c r="S4403" i="1"/>
  <c r="S4417" i="1"/>
  <c r="S4421" i="1"/>
  <c r="S4435" i="1"/>
  <c r="S4449" i="1"/>
  <c r="S4453" i="1"/>
  <c r="S4467" i="1"/>
  <c r="S4481" i="1"/>
  <c r="S4485" i="1"/>
  <c r="S4499" i="1"/>
  <c r="S4513" i="1"/>
  <c r="S4525" i="1"/>
  <c r="S4533" i="1"/>
  <c r="S4541" i="1"/>
  <c r="S4549" i="1"/>
  <c r="S4557" i="1"/>
  <c r="S4565" i="1"/>
  <c r="S4573" i="1"/>
  <c r="S4581" i="1"/>
  <c r="S4589" i="1"/>
  <c r="S4597" i="1"/>
  <c r="S4605" i="1"/>
  <c r="S4613" i="1"/>
  <c r="S4621" i="1"/>
  <c r="S4629" i="1"/>
  <c r="S4637" i="1"/>
  <c r="S4645" i="1"/>
  <c r="S4653" i="1"/>
  <c r="S4661" i="1"/>
  <c r="S4669" i="1"/>
  <c r="S4677" i="1"/>
  <c r="S4685" i="1"/>
  <c r="S4693" i="1"/>
  <c r="S4701" i="1"/>
  <c r="S4709" i="1"/>
  <c r="S4717" i="1"/>
  <c r="S4725" i="1"/>
  <c r="S4733" i="1"/>
  <c r="S4741" i="1"/>
  <c r="S4749" i="1"/>
  <c r="S4757" i="1"/>
  <c r="S4765" i="1"/>
  <c r="S4773" i="1"/>
  <c r="S4781" i="1"/>
  <c r="S4789" i="1"/>
  <c r="S4797" i="1"/>
  <c r="S4805" i="1"/>
  <c r="S4813" i="1"/>
  <c r="S4821" i="1"/>
  <c r="S4829" i="1"/>
  <c r="S4837" i="1"/>
  <c r="S4845" i="1"/>
  <c r="S4853" i="1"/>
  <c r="S4861" i="1"/>
  <c r="S4869" i="1"/>
  <c r="S4877" i="1"/>
  <c r="S4885" i="1"/>
  <c r="S4893" i="1"/>
  <c r="S4901" i="1"/>
  <c r="S4909" i="1"/>
  <c r="S4917" i="1"/>
  <c r="S4925" i="1"/>
  <c r="S4933" i="1"/>
  <c r="S4941" i="1"/>
  <c r="S4949" i="1"/>
  <c r="S4957" i="1"/>
  <c r="S4965" i="1"/>
  <c r="S4973" i="1"/>
  <c r="S4981" i="1"/>
  <c r="S4989" i="1"/>
  <c r="S4997" i="1"/>
  <c r="S5005" i="1"/>
  <c r="S5013" i="1"/>
  <c r="S5021" i="1"/>
  <c r="S5029" i="1"/>
  <c r="S5037" i="1"/>
  <c r="S5045" i="1"/>
  <c r="S5053" i="1"/>
  <c r="S5061" i="1"/>
  <c r="S5069" i="1"/>
  <c r="S3541" i="1"/>
  <c r="S3712" i="1"/>
  <c r="S3760" i="1"/>
  <c r="S3782" i="1"/>
  <c r="S3846" i="1"/>
  <c r="S3886" i="1"/>
  <c r="S3947" i="1"/>
  <c r="S4008" i="1"/>
  <c r="S4020" i="1"/>
  <c r="S4069" i="1"/>
  <c r="S4081" i="1"/>
  <c r="S4130" i="1"/>
  <c r="S4142" i="1"/>
  <c r="S4203" i="1"/>
  <c r="S4238" i="1"/>
  <c r="S4267" i="1"/>
  <c r="S4273" i="1"/>
  <c r="S4304" i="1"/>
  <c r="S4318" i="1"/>
  <c r="S4322" i="1"/>
  <c r="S4336" i="1"/>
  <c r="S4350" i="1"/>
  <c r="S4354" i="1"/>
  <c r="S4368" i="1"/>
  <c r="S4382" i="1"/>
  <c r="S4386" i="1"/>
  <c r="S4400" i="1"/>
  <c r="S4414" i="1"/>
  <c r="S4418" i="1"/>
  <c r="S3553" i="1"/>
  <c r="S3718" i="1"/>
  <c r="S3804" i="1"/>
  <c r="S3868" i="1"/>
  <c r="S3899" i="1"/>
  <c r="S3960" i="1"/>
  <c r="S3972" i="1"/>
  <c r="S4021" i="1"/>
  <c r="S4033" i="1"/>
  <c r="S4082" i="1"/>
  <c r="S4094" i="1"/>
  <c r="S4155" i="1"/>
  <c r="S4216" i="1"/>
  <c r="S4246" i="1"/>
  <c r="S4275" i="1"/>
  <c r="S4281" i="1"/>
  <c r="S4293" i="1"/>
  <c r="S4297" i="1"/>
  <c r="S4301" i="1"/>
  <c r="S4315" i="1"/>
  <c r="S4329" i="1"/>
  <c r="S4333" i="1"/>
  <c r="S4347" i="1"/>
  <c r="S4361" i="1"/>
  <c r="S4365" i="1"/>
  <c r="S4379" i="1"/>
  <c r="S4393" i="1"/>
  <c r="S4397" i="1"/>
  <c r="S4411" i="1"/>
  <c r="S3456" i="1"/>
  <c r="S3663" i="1"/>
  <c r="S3766" i="1"/>
  <c r="S3830" i="1"/>
  <c r="S3889" i="1"/>
  <c r="S3938" i="1"/>
  <c r="S3950" i="1"/>
  <c r="S4011" i="1"/>
  <c r="S4072" i="1"/>
  <c r="S4084" i="1"/>
  <c r="S4133" i="1"/>
  <c r="S4145" i="1"/>
  <c r="S4194" i="1"/>
  <c r="S4206" i="1"/>
  <c r="S4225" i="1"/>
  <c r="S4254" i="1"/>
  <c r="S4283" i="1"/>
  <c r="S4289" i="1"/>
  <c r="S4298" i="1"/>
  <c r="S4312" i="1"/>
  <c r="S4326" i="1"/>
  <c r="S4330" i="1"/>
  <c r="S4344" i="1"/>
  <c r="S4358" i="1"/>
  <c r="S4362" i="1"/>
  <c r="S4376" i="1"/>
  <c r="S4390" i="1"/>
  <c r="S4394" i="1"/>
  <c r="S4408" i="1"/>
  <c r="S4422" i="1"/>
  <c r="S4426" i="1"/>
  <c r="S4440" i="1"/>
  <c r="S4454" i="1"/>
  <c r="S4458" i="1"/>
  <c r="S4472" i="1"/>
  <c r="S4486" i="1"/>
  <c r="S4490" i="1"/>
  <c r="S4504" i="1"/>
  <c r="S4526" i="1"/>
  <c r="S4534" i="1"/>
  <c r="S4542" i="1"/>
  <c r="S4550" i="1"/>
  <c r="S4558" i="1"/>
  <c r="S4566" i="1"/>
  <c r="S4574" i="1"/>
  <c r="S4582" i="1"/>
  <c r="S4590" i="1"/>
  <c r="S4598" i="1"/>
  <c r="S4606" i="1"/>
  <c r="S4614" i="1"/>
  <c r="S4622" i="1"/>
  <c r="S4630" i="1"/>
  <c r="S4638" i="1"/>
  <c r="S4646" i="1"/>
  <c r="S4654" i="1"/>
  <c r="S4662" i="1"/>
  <c r="S4670" i="1"/>
  <c r="S4678" i="1"/>
  <c r="S4686" i="1"/>
  <c r="S4694" i="1"/>
  <c r="S4702" i="1"/>
  <c r="S4710" i="1"/>
  <c r="S4718" i="1"/>
  <c r="S4726" i="1"/>
  <c r="S4734" i="1"/>
  <c r="S4742" i="1"/>
  <c r="S4750" i="1"/>
  <c r="S4758" i="1"/>
  <c r="S4766" i="1"/>
  <c r="S4774" i="1"/>
  <c r="S4782" i="1"/>
  <c r="S4790" i="1"/>
  <c r="S4798" i="1"/>
  <c r="S4806" i="1"/>
  <c r="S4814" i="1"/>
  <c r="S4822" i="1"/>
  <c r="S4830" i="1"/>
  <c r="S4838" i="1"/>
  <c r="S4846" i="1"/>
  <c r="S4854" i="1"/>
  <c r="S4862" i="1"/>
  <c r="S4870" i="1"/>
  <c r="S4878" i="1"/>
  <c r="S4886" i="1"/>
  <c r="S4894" i="1"/>
  <c r="S4902" i="1"/>
  <c r="S4910" i="1"/>
  <c r="S4918" i="1"/>
  <c r="S4926" i="1"/>
  <c r="S4934" i="1"/>
  <c r="S4461" i="1"/>
  <c r="S4475" i="1"/>
  <c r="S4489" i="1"/>
  <c r="S4539" i="1"/>
  <c r="S4571" i="1"/>
  <c r="S4603" i="1"/>
  <c r="S4635" i="1"/>
  <c r="S4667" i="1"/>
  <c r="S4699" i="1"/>
  <c r="S4731" i="1"/>
  <c r="S4763" i="1"/>
  <c r="S4795" i="1"/>
  <c r="S4827" i="1"/>
  <c r="S4859" i="1"/>
  <c r="S4891" i="1"/>
  <c r="S4932" i="1"/>
  <c r="S4939" i="1"/>
  <c r="S4955" i="1"/>
  <c r="S4971" i="1"/>
  <c r="S4987" i="1"/>
  <c r="S5003" i="1"/>
  <c r="S5019" i="1"/>
  <c r="S5035" i="1"/>
  <c r="S5051" i="1"/>
  <c r="S5067" i="1"/>
  <c r="S5071" i="1"/>
  <c r="S5108" i="1"/>
  <c r="S5111" i="1"/>
  <c r="S5114" i="1"/>
  <c r="S5117" i="1"/>
  <c r="S5120" i="1"/>
  <c r="S5123" i="1"/>
  <c r="S5126" i="1"/>
  <c r="S5172" i="1"/>
  <c r="S5175" i="1"/>
  <c r="S5178" i="1"/>
  <c r="S5181" i="1"/>
  <c r="S5184" i="1"/>
  <c r="S5187" i="1"/>
  <c r="S5190" i="1"/>
  <c r="S5236" i="1"/>
  <c r="S5239" i="1"/>
  <c r="S5242" i="1"/>
  <c r="S5245" i="1"/>
  <c r="S5248" i="1"/>
  <c r="S5251" i="1"/>
  <c r="S5254" i="1"/>
  <c r="S5300" i="1"/>
  <c r="S5303" i="1"/>
  <c r="S5306" i="1"/>
  <c r="S5309" i="1"/>
  <c r="S5312" i="1"/>
  <c r="S5315" i="1"/>
  <c r="S5318" i="1"/>
  <c r="S5364" i="1"/>
  <c r="S5367" i="1"/>
  <c r="S5370" i="1"/>
  <c r="S5373" i="1"/>
  <c r="S5376" i="1"/>
  <c r="S5379" i="1"/>
  <c r="S5382" i="1"/>
  <c r="S5428" i="1"/>
  <c r="S5431" i="1"/>
  <c r="S5434" i="1"/>
  <c r="S5437" i="1"/>
  <c r="S5440" i="1"/>
  <c r="S5443" i="1"/>
  <c r="S5446" i="1"/>
  <c r="S5492" i="1"/>
  <c r="S5495" i="1"/>
  <c r="S5498" i="1"/>
  <c r="S5501" i="1"/>
  <c r="S5504" i="1"/>
  <c r="S5512" i="1"/>
  <c r="S5520" i="1"/>
  <c r="S5528" i="1"/>
  <c r="S5536" i="1"/>
  <c r="S5544" i="1"/>
  <c r="S5552" i="1"/>
  <c r="S5560" i="1"/>
  <c r="S5568" i="1"/>
  <c r="S5576" i="1"/>
  <c r="S5584" i="1"/>
  <c r="S5592" i="1"/>
  <c r="S5600" i="1"/>
  <c r="S5608" i="1"/>
  <c r="S5616" i="1"/>
  <c r="S5624" i="1"/>
  <c r="S5632" i="1"/>
  <c r="S5640" i="1"/>
  <c r="S5648" i="1"/>
  <c r="S5656" i="1"/>
  <c r="S5664" i="1"/>
  <c r="S5672" i="1"/>
  <c r="S5680" i="1"/>
  <c r="S5688" i="1"/>
  <c r="S5696" i="1"/>
  <c r="S5704" i="1"/>
  <c r="S5712" i="1"/>
  <c r="S5720" i="1"/>
  <c r="S5728" i="1"/>
  <c r="S5736" i="1"/>
  <c r="S5744" i="1"/>
  <c r="S5752" i="1"/>
  <c r="S5760" i="1"/>
  <c r="S5768" i="1"/>
  <c r="S5776" i="1"/>
  <c r="S5784" i="1"/>
  <c r="S5792" i="1"/>
  <c r="S5800" i="1"/>
  <c r="S5808" i="1"/>
  <c r="S5816" i="1"/>
  <c r="S5824" i="1"/>
  <c r="S5832" i="1"/>
  <c r="S5840" i="1"/>
  <c r="S5848" i="1"/>
  <c r="S5856" i="1"/>
  <c r="S5864" i="1"/>
  <c r="S5872" i="1"/>
  <c r="S5880" i="1"/>
  <c r="S5888" i="1"/>
  <c r="S5896" i="1"/>
  <c r="S5904" i="1"/>
  <c r="S5912" i="1"/>
  <c r="S5920" i="1"/>
  <c r="S5928" i="1"/>
  <c r="S5936" i="1"/>
  <c r="S5944" i="1"/>
  <c r="S5952" i="1"/>
  <c r="S5960" i="1"/>
  <c r="S5968" i="1"/>
  <c r="S5976" i="1"/>
  <c r="S5984" i="1"/>
  <c r="S5992" i="1"/>
  <c r="S6000" i="1"/>
  <c r="S6008" i="1"/>
  <c r="S6016" i="1"/>
  <c r="S6024" i="1"/>
  <c r="S6032" i="1"/>
  <c r="S6040" i="1"/>
  <c r="S6048" i="1"/>
  <c r="S6056" i="1"/>
  <c r="S6064" i="1"/>
  <c r="S6072" i="1"/>
  <c r="S6080" i="1"/>
  <c r="S6088" i="1"/>
  <c r="S4450" i="1"/>
  <c r="S4464" i="1"/>
  <c r="S4478" i="1"/>
  <c r="S4520" i="1"/>
  <c r="S4552" i="1"/>
  <c r="S4584" i="1"/>
  <c r="S4616" i="1"/>
  <c r="S4648" i="1"/>
  <c r="S4680" i="1"/>
  <c r="S4712" i="1"/>
  <c r="S4744" i="1"/>
  <c r="S4776" i="1"/>
  <c r="S4808" i="1"/>
  <c r="S4840" i="1"/>
  <c r="S4872" i="1"/>
  <c r="S4904" i="1"/>
  <c r="S4912" i="1"/>
  <c r="S4950" i="1"/>
  <c r="S4966" i="1"/>
  <c r="S4982" i="1"/>
  <c r="S4998" i="1"/>
  <c r="S5014" i="1"/>
  <c r="S5030" i="1"/>
  <c r="S5046" i="1"/>
  <c r="S5062" i="1"/>
  <c r="S5084" i="1"/>
  <c r="S5087" i="1"/>
  <c r="S5090" i="1"/>
  <c r="S5093" i="1"/>
  <c r="S5096" i="1"/>
  <c r="S5099" i="1"/>
  <c r="S5102" i="1"/>
  <c r="S5148" i="1"/>
  <c r="S5151" i="1"/>
  <c r="S5154" i="1"/>
  <c r="S5157" i="1"/>
  <c r="S5160" i="1"/>
  <c r="S5163" i="1"/>
  <c r="S5166" i="1"/>
  <c r="S5212" i="1"/>
  <c r="S5215" i="1"/>
  <c r="S5218" i="1"/>
  <c r="S5221" i="1"/>
  <c r="S5224" i="1"/>
  <c r="S5227" i="1"/>
  <c r="S5230" i="1"/>
  <c r="S5276" i="1"/>
  <c r="S5279" i="1"/>
  <c r="S5282" i="1"/>
  <c r="S5285" i="1"/>
  <c r="S5288" i="1"/>
  <c r="S5291" i="1"/>
  <c r="S5294" i="1"/>
  <c r="S5340" i="1"/>
  <c r="S5343" i="1"/>
  <c r="S5346" i="1"/>
  <c r="S5349" i="1"/>
  <c r="S5352" i="1"/>
  <c r="S5355" i="1"/>
  <c r="S5358" i="1"/>
  <c r="S5404" i="1"/>
  <c r="S5407" i="1"/>
  <c r="S5410" i="1"/>
  <c r="S5413" i="1"/>
  <c r="S5416" i="1"/>
  <c r="S5419" i="1"/>
  <c r="S5422" i="1"/>
  <c r="S5468" i="1"/>
  <c r="S5471" i="1"/>
  <c r="S5474" i="1"/>
  <c r="S5477" i="1"/>
  <c r="S5480" i="1"/>
  <c r="S5483" i="1"/>
  <c r="S5486" i="1"/>
  <c r="S5507" i="1"/>
  <c r="S4493" i="1"/>
  <c r="S4507" i="1"/>
  <c r="S4531" i="1"/>
  <c r="S4563" i="1"/>
  <c r="S4595" i="1"/>
  <c r="S4627" i="1"/>
  <c r="S4659" i="1"/>
  <c r="S4691" i="1"/>
  <c r="S4723" i="1"/>
  <c r="S4755" i="1"/>
  <c r="S4787" i="1"/>
  <c r="S4819" i="1"/>
  <c r="S4851" i="1"/>
  <c r="S4883" i="1"/>
  <c r="S4920" i="1"/>
  <c r="S4940" i="1"/>
  <c r="S4956" i="1"/>
  <c r="S4972" i="1"/>
  <c r="S4988" i="1"/>
  <c r="S5004" i="1"/>
  <c r="S5020" i="1"/>
  <c r="S5036" i="1"/>
  <c r="S5052" i="1"/>
  <c r="S5068" i="1"/>
  <c r="S5072" i="1"/>
  <c r="S5075" i="1"/>
  <c r="S5078" i="1"/>
  <c r="S5124" i="1"/>
  <c r="S5127" i="1"/>
  <c r="S5130" i="1"/>
  <c r="S5133" i="1"/>
  <c r="S5136" i="1"/>
  <c r="S5139" i="1"/>
  <c r="S5142" i="1"/>
  <c r="S5188" i="1"/>
  <c r="S5191" i="1"/>
  <c r="S5194" i="1"/>
  <c r="S5197" i="1"/>
  <c r="S5200" i="1"/>
  <c r="S5203" i="1"/>
  <c r="S5206" i="1"/>
  <c r="S5252" i="1"/>
  <c r="S5255" i="1"/>
  <c r="S5258" i="1"/>
  <c r="S5261" i="1"/>
  <c r="S5264" i="1"/>
  <c r="S5267" i="1"/>
  <c r="S5270" i="1"/>
  <c r="S5316" i="1"/>
  <c r="S5319" i="1"/>
  <c r="S5322" i="1"/>
  <c r="S5325" i="1"/>
  <c r="S5328" i="1"/>
  <c r="S5331" i="1"/>
  <c r="S5334" i="1"/>
  <c r="S5380" i="1"/>
  <c r="S5383" i="1"/>
  <c r="S5386" i="1"/>
  <c r="S5389" i="1"/>
  <c r="S5392" i="1"/>
  <c r="S5395" i="1"/>
  <c r="S5398" i="1"/>
  <c r="S5444" i="1"/>
  <c r="S5447" i="1"/>
  <c r="S5450" i="1"/>
  <c r="S5453" i="1"/>
  <c r="S5456" i="1"/>
  <c r="S5459" i="1"/>
  <c r="S5462" i="1"/>
  <c r="S5510" i="1"/>
  <c r="S5518" i="1"/>
  <c r="S5526" i="1"/>
  <c r="S5534" i="1"/>
  <c r="S5542" i="1"/>
  <c r="S5550" i="1"/>
  <c r="S5558" i="1"/>
  <c r="S5566" i="1"/>
  <c r="S5574" i="1"/>
  <c r="S5582" i="1"/>
  <c r="S5590" i="1"/>
  <c r="S5598" i="1"/>
  <c r="S5606" i="1"/>
  <c r="S5614" i="1"/>
  <c r="S5622" i="1"/>
  <c r="S5630" i="1"/>
  <c r="S5638" i="1"/>
  <c r="S5646" i="1"/>
  <c r="S5654" i="1"/>
  <c r="S5662" i="1"/>
  <c r="S5670" i="1"/>
  <c r="S5678" i="1"/>
  <c r="S5686" i="1"/>
  <c r="S5694" i="1"/>
  <c r="S5702" i="1"/>
  <c r="S5710" i="1"/>
  <c r="S5718" i="1"/>
  <c r="S5726" i="1"/>
  <c r="S5734" i="1"/>
  <c r="S5742" i="1"/>
  <c r="S5750" i="1"/>
  <c r="S5758" i="1"/>
  <c r="S5766" i="1"/>
  <c r="S5774" i="1"/>
  <c r="S5782" i="1"/>
  <c r="S5790" i="1"/>
  <c r="S5798" i="1"/>
  <c r="S5806" i="1"/>
  <c r="S5814" i="1"/>
  <c r="S5822" i="1"/>
  <c r="S5830" i="1"/>
  <c r="S5838" i="1"/>
  <c r="S4482" i="1"/>
  <c r="S4496" i="1"/>
  <c r="S4510" i="1"/>
  <c r="S4544" i="1"/>
  <c r="S4576" i="1"/>
  <c r="S4608" i="1"/>
  <c r="S4640" i="1"/>
  <c r="S4672" i="1"/>
  <c r="S4704" i="1"/>
  <c r="S4736" i="1"/>
  <c r="S4768" i="1"/>
  <c r="S4800" i="1"/>
  <c r="S4832" i="1"/>
  <c r="S4864" i="1"/>
  <c r="S4896" i="1"/>
  <c r="S4928" i="1"/>
  <c r="S4952" i="1"/>
  <c r="S4968" i="1"/>
  <c r="S4984" i="1"/>
  <c r="S5000" i="1"/>
  <c r="S5016" i="1"/>
  <c r="S5032" i="1"/>
  <c r="S5048" i="1"/>
  <c r="S5064" i="1"/>
  <c r="S5100" i="1"/>
  <c r="S5103" i="1"/>
  <c r="S5106" i="1"/>
  <c r="S5109" i="1"/>
  <c r="S5112" i="1"/>
  <c r="S5115" i="1"/>
  <c r="S5118" i="1"/>
  <c r="S5164" i="1"/>
  <c r="S5167" i="1"/>
  <c r="S5170" i="1"/>
  <c r="S5173" i="1"/>
  <c r="S5176" i="1"/>
  <c r="S5179" i="1"/>
  <c r="S5182" i="1"/>
  <c r="S5228" i="1"/>
  <c r="S5231" i="1"/>
  <c r="S5234" i="1"/>
  <c r="S5237" i="1"/>
  <c r="S5240" i="1"/>
  <c r="S5243" i="1"/>
  <c r="S5246" i="1"/>
  <c r="S5292" i="1"/>
  <c r="S5295" i="1"/>
  <c r="S5298" i="1"/>
  <c r="S5301" i="1"/>
  <c r="S5304" i="1"/>
  <c r="S5307" i="1"/>
  <c r="S5310" i="1"/>
  <c r="S5356" i="1"/>
  <c r="S5359" i="1"/>
  <c r="S5362" i="1"/>
  <c r="S5365" i="1"/>
  <c r="S5368" i="1"/>
  <c r="S5371" i="1"/>
  <c r="S5374" i="1"/>
  <c r="S5420" i="1"/>
  <c r="S5423" i="1"/>
  <c r="S5426" i="1"/>
  <c r="S5429" i="1"/>
  <c r="S5432" i="1"/>
  <c r="S5435" i="1"/>
  <c r="S5438" i="1"/>
  <c r="S5484" i="1"/>
  <c r="S5487" i="1"/>
  <c r="S5490" i="1"/>
  <c r="S5493" i="1"/>
  <c r="S5496" i="1"/>
  <c r="S5499" i="1"/>
  <c r="S5502" i="1"/>
  <c r="S5505" i="1"/>
  <c r="S5513" i="1"/>
  <c r="S5521" i="1"/>
  <c r="S5529" i="1"/>
  <c r="S5537" i="1"/>
  <c r="S5545" i="1"/>
  <c r="S5553" i="1"/>
  <c r="S5561" i="1"/>
  <c r="S5569" i="1"/>
  <c r="S5577" i="1"/>
  <c r="S5585" i="1"/>
  <c r="S5593" i="1"/>
  <c r="S5601" i="1"/>
  <c r="S5609" i="1"/>
  <c r="S5617" i="1"/>
  <c r="S5625" i="1"/>
  <c r="S5633" i="1"/>
  <c r="S5641" i="1"/>
  <c r="S5649" i="1"/>
  <c r="S5657" i="1"/>
  <c r="S5665" i="1"/>
  <c r="S5673" i="1"/>
  <c r="S5681" i="1"/>
  <c r="S4425" i="1"/>
  <c r="S4523" i="1"/>
  <c r="S4555" i="1"/>
  <c r="S4587" i="1"/>
  <c r="S4619" i="1"/>
  <c r="S4651" i="1"/>
  <c r="S4683" i="1"/>
  <c r="S4715" i="1"/>
  <c r="S4747" i="1"/>
  <c r="S4779" i="1"/>
  <c r="S4811" i="1"/>
  <c r="S4843" i="1"/>
  <c r="S4875" i="1"/>
  <c r="S4907" i="1"/>
  <c r="S4936" i="1"/>
  <c r="S4947" i="1"/>
  <c r="S4963" i="1"/>
  <c r="S4979" i="1"/>
  <c r="S4995" i="1"/>
  <c r="S5011" i="1"/>
  <c r="S5027" i="1"/>
  <c r="S5043" i="1"/>
  <c r="S5059" i="1"/>
  <c r="S5076" i="1"/>
  <c r="S5079" i="1"/>
  <c r="S5082" i="1"/>
  <c r="S5085" i="1"/>
  <c r="S5088" i="1"/>
  <c r="S5091" i="1"/>
  <c r="S5094" i="1"/>
  <c r="S5140" i="1"/>
  <c r="S5143" i="1"/>
  <c r="S5146" i="1"/>
  <c r="S5149" i="1"/>
  <c r="S5152" i="1"/>
  <c r="S5155" i="1"/>
  <c r="S5158" i="1"/>
  <c r="S5204" i="1"/>
  <c r="S5207" i="1"/>
  <c r="S5210" i="1"/>
  <c r="S5213" i="1"/>
  <c r="S5216" i="1"/>
  <c r="S5219" i="1"/>
  <c r="S5222" i="1"/>
  <c r="S5268" i="1"/>
  <c r="S5271" i="1"/>
  <c r="S5274" i="1"/>
  <c r="S5277" i="1"/>
  <c r="S5280" i="1"/>
  <c r="S5283" i="1"/>
  <c r="S5286" i="1"/>
  <c r="S5332" i="1"/>
  <c r="S5335" i="1"/>
  <c r="S5338" i="1"/>
  <c r="S5341" i="1"/>
  <c r="S5344" i="1"/>
  <c r="S5347" i="1"/>
  <c r="S5350" i="1"/>
  <c r="S5396" i="1"/>
  <c r="S5399" i="1"/>
  <c r="S5402" i="1"/>
  <c r="S5405" i="1"/>
  <c r="S5408" i="1"/>
  <c r="S5411" i="1"/>
  <c r="S5414" i="1"/>
  <c r="S5460" i="1"/>
  <c r="S5463" i="1"/>
  <c r="S5466" i="1"/>
  <c r="S5469" i="1"/>
  <c r="S5472" i="1"/>
  <c r="S5475" i="1"/>
  <c r="S5478" i="1"/>
  <c r="S5508" i="1"/>
  <c r="S5516" i="1"/>
  <c r="S5524" i="1"/>
  <c r="S5532" i="1"/>
  <c r="S5540" i="1"/>
  <c r="S5548" i="1"/>
  <c r="S5556" i="1"/>
  <c r="S5564" i="1"/>
  <c r="S5572" i="1"/>
  <c r="S5580" i="1"/>
  <c r="S5588" i="1"/>
  <c r="S5596" i="1"/>
  <c r="S5604" i="1"/>
  <c r="S5612" i="1"/>
  <c r="S5620" i="1"/>
  <c r="S5628" i="1"/>
  <c r="S5636" i="1"/>
  <c r="S5644" i="1"/>
  <c r="S5652" i="1"/>
  <c r="S5660" i="1"/>
  <c r="S5668" i="1"/>
  <c r="S5676" i="1"/>
  <c r="S5684" i="1"/>
  <c r="S4514" i="1"/>
  <c r="S4536" i="1"/>
  <c r="S4568" i="1"/>
  <c r="S4600" i="1"/>
  <c r="S4632" i="1"/>
  <c r="S4664" i="1"/>
  <c r="S4696" i="1"/>
  <c r="S4728" i="1"/>
  <c r="S4760" i="1"/>
  <c r="S4792" i="1"/>
  <c r="S4824" i="1"/>
  <c r="S4856" i="1"/>
  <c r="S4888" i="1"/>
  <c r="S4908" i="1"/>
  <c r="S4915" i="1"/>
  <c r="S4942" i="1"/>
  <c r="S4958" i="1"/>
  <c r="S4429" i="1"/>
  <c r="S4443" i="1"/>
  <c r="S4457" i="1"/>
  <c r="S4547" i="1"/>
  <c r="S4579" i="1"/>
  <c r="S4611" i="1"/>
  <c r="S4643" i="1"/>
  <c r="S4675" i="1"/>
  <c r="S4707" i="1"/>
  <c r="S4739" i="1"/>
  <c r="S4771" i="1"/>
  <c r="S4803" i="1"/>
  <c r="S4835" i="1"/>
  <c r="S4867" i="1"/>
  <c r="S4899" i="1"/>
  <c r="S4916" i="1"/>
  <c r="S4923" i="1"/>
  <c r="S4948" i="1"/>
  <c r="S4964" i="1"/>
  <c r="S4432" i="1"/>
  <c r="S4446" i="1"/>
  <c r="S4517" i="1"/>
  <c r="S4528" i="1"/>
  <c r="S4560" i="1"/>
  <c r="S4592" i="1"/>
  <c r="S4624" i="1"/>
  <c r="S4656" i="1"/>
  <c r="S4688" i="1"/>
  <c r="S4720" i="1"/>
  <c r="S4752" i="1"/>
  <c r="S4784" i="1"/>
  <c r="S4816" i="1"/>
  <c r="S4848" i="1"/>
  <c r="S4880" i="1"/>
  <c r="S4924" i="1"/>
  <c r="S4931" i="1"/>
  <c r="S4944" i="1"/>
  <c r="S4960" i="1"/>
  <c r="S4976" i="1"/>
  <c r="S4992" i="1"/>
  <c r="S5008" i="1"/>
  <c r="S5024" i="1"/>
  <c r="S5040" i="1"/>
  <c r="S5056" i="1"/>
  <c r="S5074" i="1"/>
  <c r="S5077" i="1"/>
  <c r="S5080" i="1"/>
  <c r="S5083" i="1"/>
  <c r="S5086" i="1"/>
  <c r="S5132" i="1"/>
  <c r="S5135" i="1"/>
  <c r="S5138" i="1"/>
  <c r="S5141" i="1"/>
  <c r="S5144" i="1"/>
  <c r="S5147" i="1"/>
  <c r="S5150" i="1"/>
  <c r="S5196" i="1"/>
  <c r="S5199" i="1"/>
  <c r="S5202" i="1"/>
  <c r="S5205" i="1"/>
  <c r="S5208" i="1"/>
  <c r="S5211" i="1"/>
  <c r="S5214" i="1"/>
  <c r="S5260" i="1"/>
  <c r="S5263" i="1"/>
  <c r="S5266" i="1"/>
  <c r="S5269" i="1"/>
  <c r="S5272" i="1"/>
  <c r="S5275" i="1"/>
  <c r="S5278" i="1"/>
  <c r="S5324" i="1"/>
  <c r="S5327" i="1"/>
  <c r="S5330" i="1"/>
  <c r="S5333" i="1"/>
  <c r="S5336" i="1"/>
  <c r="S5339" i="1"/>
  <c r="S5342" i="1"/>
  <c r="S5388" i="1"/>
  <c r="S5391" i="1"/>
  <c r="S5394" i="1"/>
  <c r="S5397" i="1"/>
  <c r="S5400" i="1"/>
  <c r="S5403" i="1"/>
  <c r="S5406" i="1"/>
  <c r="S5452" i="1"/>
  <c r="S5455" i="1"/>
  <c r="S5458" i="1"/>
  <c r="S5461" i="1"/>
  <c r="S5464" i="1"/>
  <c r="S5467" i="1"/>
  <c r="S5470" i="1"/>
  <c r="S5509" i="1"/>
  <c r="S5517" i="1"/>
  <c r="S5012" i="1"/>
  <c r="S5098" i="1"/>
  <c r="S5110" i="1"/>
  <c r="S5159" i="1"/>
  <c r="S5171" i="1"/>
  <c r="S5220" i="1"/>
  <c r="S5232" i="1"/>
  <c r="S5293" i="1"/>
  <c r="S5354" i="1"/>
  <c r="S5366" i="1"/>
  <c r="S5415" i="1"/>
  <c r="S5427" i="1"/>
  <c r="S5476" i="1"/>
  <c r="S5488" i="1"/>
  <c r="S5519" i="1"/>
  <c r="S5530" i="1"/>
  <c r="S5546" i="1"/>
  <c r="S5562" i="1"/>
  <c r="S5578" i="1"/>
  <c r="S5594" i="1"/>
  <c r="S5610" i="1"/>
  <c r="S5626" i="1"/>
  <c r="S5642" i="1"/>
  <c r="S5658" i="1"/>
  <c r="S5674" i="1"/>
  <c r="S5700" i="1"/>
  <c r="S5707" i="1"/>
  <c r="S5714" i="1"/>
  <c r="S5732" i="1"/>
  <c r="S5739" i="1"/>
  <c r="S5746" i="1"/>
  <c r="S5764" i="1"/>
  <c r="S5771" i="1"/>
  <c r="S5778" i="1"/>
  <c r="S5796" i="1"/>
  <c r="S5803" i="1"/>
  <c r="S5810" i="1"/>
  <c r="S5828" i="1"/>
  <c r="S5835" i="1"/>
  <c r="S5851" i="1"/>
  <c r="S5854" i="1"/>
  <c r="S5857" i="1"/>
  <c r="S5860" i="1"/>
  <c r="S5863" i="1"/>
  <c r="S5866" i="1"/>
  <c r="S5869" i="1"/>
  <c r="S5915" i="1"/>
  <c r="S5918" i="1"/>
  <c r="S5921" i="1"/>
  <c r="S5924" i="1"/>
  <c r="S5927" i="1"/>
  <c r="S5930" i="1"/>
  <c r="S5933" i="1"/>
  <c r="S5979" i="1"/>
  <c r="S5982" i="1"/>
  <c r="S5985" i="1"/>
  <c r="S5988" i="1"/>
  <c r="S5991" i="1"/>
  <c r="S5994" i="1"/>
  <c r="S5997" i="1"/>
  <c r="S6043" i="1"/>
  <c r="S6046" i="1"/>
  <c r="S6049" i="1"/>
  <c r="S6052" i="1"/>
  <c r="S6055" i="1"/>
  <c r="S6058" i="1"/>
  <c r="S6061" i="1"/>
  <c r="S6094" i="1"/>
  <c r="S6102" i="1"/>
  <c r="S6110" i="1"/>
  <c r="S6118" i="1"/>
  <c r="S6126" i="1"/>
  <c r="S6134" i="1"/>
  <c r="S6142" i="1"/>
  <c r="S6150" i="1"/>
  <c r="S6158" i="1"/>
  <c r="S6166" i="1"/>
  <c r="S6174" i="1"/>
  <c r="S6182" i="1"/>
  <c r="S6190" i="1"/>
  <c r="S6198" i="1"/>
  <c r="S6206" i="1"/>
  <c r="S6214" i="1"/>
  <c r="S6222" i="1"/>
  <c r="S6230" i="1"/>
  <c r="S6238" i="1"/>
  <c r="S6246" i="1"/>
  <c r="S6254" i="1"/>
  <c r="S6262" i="1"/>
  <c r="S6270" i="1"/>
  <c r="S6278" i="1"/>
  <c r="S6286" i="1"/>
  <c r="S6294" i="1"/>
  <c r="S6302" i="1"/>
  <c r="S6310" i="1"/>
  <c r="S6318" i="1"/>
  <c r="S6326" i="1"/>
  <c r="S6334" i="1"/>
  <c r="S6342" i="1"/>
  <c r="S6350" i="1"/>
  <c r="S6358" i="1"/>
  <c r="S6366" i="1"/>
  <c r="S6374" i="1"/>
  <c r="S6382" i="1"/>
  <c r="S6390" i="1"/>
  <c r="S6398" i="1"/>
  <c r="S6406" i="1"/>
  <c r="S6414" i="1"/>
  <c r="S6422" i="1"/>
  <c r="S6430" i="1"/>
  <c r="S6438" i="1"/>
  <c r="S6446" i="1"/>
  <c r="S6454" i="1"/>
  <c r="S6462" i="1"/>
  <c r="S6470" i="1"/>
  <c r="S6478" i="1"/>
  <c r="S6486" i="1"/>
  <c r="S6494" i="1"/>
  <c r="S6502" i="1"/>
  <c r="S6510" i="1"/>
  <c r="S6518" i="1"/>
  <c r="S6526" i="1"/>
  <c r="S6534" i="1"/>
  <c r="S6542" i="1"/>
  <c r="S6550" i="1"/>
  <c r="S6558" i="1"/>
  <c r="S6566" i="1"/>
  <c r="S6574" i="1"/>
  <c r="S6582" i="1"/>
  <c r="S6590" i="1"/>
  <c r="S6598" i="1"/>
  <c r="S6606" i="1"/>
  <c r="S6614" i="1"/>
  <c r="S6622" i="1"/>
  <c r="S6630" i="1"/>
  <c r="S6638" i="1"/>
  <c r="S6646" i="1"/>
  <c r="S6654" i="1"/>
  <c r="S6662" i="1"/>
  <c r="S6670" i="1"/>
  <c r="S6678" i="1"/>
  <c r="S6686" i="1"/>
  <c r="S6694" i="1"/>
  <c r="S6702" i="1"/>
  <c r="S6710" i="1"/>
  <c r="S6718" i="1"/>
  <c r="S6726" i="1"/>
  <c r="S6734" i="1"/>
  <c r="S6742" i="1"/>
  <c r="S6750" i="1"/>
  <c r="S6758" i="1"/>
  <c r="S6766" i="1"/>
  <c r="S6774" i="1"/>
  <c r="S6782" i="1"/>
  <c r="S6790" i="1"/>
  <c r="S6798" i="1"/>
  <c r="S6806" i="1"/>
  <c r="S6814" i="1"/>
  <c r="S6822" i="1"/>
  <c r="S6830" i="1"/>
  <c r="S6838" i="1"/>
  <c r="S6846" i="1"/>
  <c r="S6854" i="1"/>
  <c r="S6862" i="1"/>
  <c r="S6870" i="1"/>
  <c r="S6878" i="1"/>
  <c r="S6886" i="1"/>
  <c r="S6894" i="1"/>
  <c r="S4974" i="1"/>
  <c r="S5038" i="1"/>
  <c r="S5125" i="1"/>
  <c r="S5186" i="1"/>
  <c r="S5198" i="1"/>
  <c r="S5247" i="1"/>
  <c r="S5259" i="1"/>
  <c r="S5308" i="1"/>
  <c r="S5320" i="1"/>
  <c r="S5381" i="1"/>
  <c r="S5442" i="1"/>
  <c r="S5454" i="1"/>
  <c r="S5503" i="1"/>
  <c r="S5525" i="1"/>
  <c r="S5541" i="1"/>
  <c r="S5557" i="1"/>
  <c r="S5573" i="1"/>
  <c r="S5589" i="1"/>
  <c r="S5605" i="1"/>
  <c r="S5621" i="1"/>
  <c r="S5637" i="1"/>
  <c r="S5653" i="1"/>
  <c r="S5669" i="1"/>
  <c r="S5685" i="1"/>
  <c r="S5693" i="1"/>
  <c r="S5697" i="1"/>
  <c r="S5711" i="1"/>
  <c r="S5725" i="1"/>
  <c r="S5729" i="1"/>
  <c r="S5743" i="1"/>
  <c r="S5757" i="1"/>
  <c r="S5761" i="1"/>
  <c r="S5775" i="1"/>
  <c r="S5789" i="1"/>
  <c r="S5793" i="1"/>
  <c r="S5807" i="1"/>
  <c r="S5821" i="1"/>
  <c r="S5825" i="1"/>
  <c r="S5839" i="1"/>
  <c r="S5842" i="1"/>
  <c r="S5845" i="1"/>
  <c r="S5891" i="1"/>
  <c r="S5894" i="1"/>
  <c r="S5897" i="1"/>
  <c r="S5900" i="1"/>
  <c r="S5903" i="1"/>
  <c r="S5906" i="1"/>
  <c r="S5909" i="1"/>
  <c r="S5955" i="1"/>
  <c r="S5958" i="1"/>
  <c r="S5961" i="1"/>
  <c r="S5964" i="1"/>
  <c r="S5967" i="1"/>
  <c r="S5970" i="1"/>
  <c r="S5973" i="1"/>
  <c r="S6019" i="1"/>
  <c r="S6022" i="1"/>
  <c r="S6025" i="1"/>
  <c r="S6028" i="1"/>
  <c r="S6031" i="1"/>
  <c r="S6034" i="1"/>
  <c r="S6037" i="1"/>
  <c r="S6083" i="1"/>
  <c r="S6086" i="1"/>
  <c r="S6089" i="1"/>
  <c r="S6097" i="1"/>
  <c r="S6105" i="1"/>
  <c r="S6113" i="1"/>
  <c r="S6121" i="1"/>
  <c r="S6129" i="1"/>
  <c r="S6137" i="1"/>
  <c r="S6145" i="1"/>
  <c r="S6153" i="1"/>
  <c r="S6161" i="1"/>
  <c r="S6169" i="1"/>
  <c r="S6177" i="1"/>
  <c r="S6185" i="1"/>
  <c r="S6193" i="1"/>
  <c r="S6201" i="1"/>
  <c r="S6209" i="1"/>
  <c r="S6217" i="1"/>
  <c r="S6225" i="1"/>
  <c r="S6233" i="1"/>
  <c r="S6241" i="1"/>
  <c r="S6249" i="1"/>
  <c r="S6257" i="1"/>
  <c r="S4996" i="1"/>
  <c r="S5060" i="1"/>
  <c r="S5101" i="1"/>
  <c r="S5162" i="1"/>
  <c r="S5174" i="1"/>
  <c r="S5223" i="1"/>
  <c r="S5235" i="1"/>
  <c r="S5284" i="1"/>
  <c r="S5296" i="1"/>
  <c r="S5357" i="1"/>
  <c r="S5418" i="1"/>
  <c r="S5430" i="1"/>
  <c r="S5479" i="1"/>
  <c r="S5491" i="1"/>
  <c r="S5531" i="1"/>
  <c r="S5547" i="1"/>
  <c r="S5563" i="1"/>
  <c r="S5579" i="1"/>
  <c r="S5595" i="1"/>
  <c r="S5611" i="1"/>
  <c r="S5627" i="1"/>
  <c r="S5643" i="1"/>
  <c r="S5659" i="1"/>
  <c r="S5675" i="1"/>
  <c r="S5690" i="1"/>
  <c r="S5708" i="1"/>
  <c r="S5715" i="1"/>
  <c r="S5722" i="1"/>
  <c r="S5740" i="1"/>
  <c r="S5747" i="1"/>
  <c r="S5754" i="1"/>
  <c r="S5772" i="1"/>
  <c r="S5779" i="1"/>
  <c r="S5786" i="1"/>
  <c r="S5804" i="1"/>
  <c r="S5811" i="1"/>
  <c r="S5818" i="1"/>
  <c r="S5836" i="1"/>
  <c r="S5867" i="1"/>
  <c r="S5870" i="1"/>
  <c r="S5873" i="1"/>
  <c r="S5876" i="1"/>
  <c r="S5879" i="1"/>
  <c r="S5882" i="1"/>
  <c r="S5885" i="1"/>
  <c r="S5931" i="1"/>
  <c r="S5934" i="1"/>
  <c r="S5937" i="1"/>
  <c r="S5940" i="1"/>
  <c r="S5943" i="1"/>
  <c r="S5946" i="1"/>
  <c r="S5949" i="1"/>
  <c r="S5995" i="1"/>
  <c r="S5998" i="1"/>
  <c r="S6001" i="1"/>
  <c r="S6004" i="1"/>
  <c r="S6007" i="1"/>
  <c r="S6010" i="1"/>
  <c r="S6013" i="1"/>
  <c r="S6059" i="1"/>
  <c r="S6062" i="1"/>
  <c r="S6065" i="1"/>
  <c r="S6068" i="1"/>
  <c r="S6071" i="1"/>
  <c r="S6074" i="1"/>
  <c r="S6077" i="1"/>
  <c r="S6092" i="1"/>
  <c r="S6100" i="1"/>
  <c r="S6108" i="1"/>
  <c r="S6116" i="1"/>
  <c r="S6124" i="1"/>
  <c r="S6132" i="1"/>
  <c r="S6140" i="1"/>
  <c r="S6148" i="1"/>
  <c r="S6156" i="1"/>
  <c r="S6164" i="1"/>
  <c r="S6172" i="1"/>
  <c r="S6180" i="1"/>
  <c r="S6188" i="1"/>
  <c r="S6196" i="1"/>
  <c r="S6204" i="1"/>
  <c r="S6212" i="1"/>
  <c r="S6220" i="1"/>
  <c r="S6228" i="1"/>
  <c r="S6236" i="1"/>
  <c r="S6244" i="1"/>
  <c r="S6252" i="1"/>
  <c r="S6260" i="1"/>
  <c r="S6268" i="1"/>
  <c r="S6276" i="1"/>
  <c r="S6284" i="1"/>
  <c r="S6292" i="1"/>
  <c r="S6300" i="1"/>
  <c r="S6308" i="1"/>
  <c r="S6316" i="1"/>
  <c r="S6324" i="1"/>
  <c r="S6332" i="1"/>
  <c r="S6340" i="1"/>
  <c r="S6348" i="1"/>
  <c r="S6356" i="1"/>
  <c r="S6364" i="1"/>
  <c r="S6372" i="1"/>
  <c r="S6380" i="1"/>
  <c r="S6388" i="1"/>
  <c r="S6396" i="1"/>
  <c r="S6404" i="1"/>
  <c r="S6412" i="1"/>
  <c r="S6420" i="1"/>
  <c r="S6428" i="1"/>
  <c r="S6436" i="1"/>
  <c r="S6444" i="1"/>
  <c r="S6452" i="1"/>
  <c r="S6460" i="1"/>
  <c r="S6468" i="1"/>
  <c r="S5022" i="1"/>
  <c r="S5116" i="1"/>
  <c r="S5128" i="1"/>
  <c r="S5189" i="1"/>
  <c r="S5250" i="1"/>
  <c r="S5262" i="1"/>
  <c r="S5311" i="1"/>
  <c r="S5323" i="1"/>
  <c r="S5372" i="1"/>
  <c r="S5384" i="1"/>
  <c r="S5445" i="1"/>
  <c r="S5514" i="1"/>
  <c r="S5527" i="1"/>
  <c r="S5543" i="1"/>
  <c r="S5559" i="1"/>
  <c r="S5575" i="1"/>
  <c r="S5591" i="1"/>
  <c r="S5607" i="1"/>
  <c r="S5623" i="1"/>
  <c r="S5639" i="1"/>
  <c r="S5655" i="1"/>
  <c r="S5671" i="1"/>
  <c r="S5687" i="1"/>
  <c r="S5701" i="1"/>
  <c r="S5705" i="1"/>
  <c r="S5719" i="1"/>
  <c r="S5733" i="1"/>
  <c r="S5737" i="1"/>
  <c r="S5751" i="1"/>
  <c r="S5765" i="1"/>
  <c r="S5769" i="1"/>
  <c r="S5783" i="1"/>
  <c r="S5797" i="1"/>
  <c r="S5801" i="1"/>
  <c r="S5815" i="1"/>
  <c r="S5829" i="1"/>
  <c r="S5833" i="1"/>
  <c r="S5843" i="1"/>
  <c r="S5846" i="1"/>
  <c r="S5849" i="1"/>
  <c r="S5852" i="1"/>
  <c r="S5855" i="1"/>
  <c r="S5858" i="1"/>
  <c r="S5861" i="1"/>
  <c r="S5907" i="1"/>
  <c r="S5910" i="1"/>
  <c r="S5913" i="1"/>
  <c r="S5916" i="1"/>
  <c r="S5919" i="1"/>
  <c r="S5922" i="1"/>
  <c r="S5925" i="1"/>
  <c r="S5971" i="1"/>
  <c r="S5974" i="1"/>
  <c r="S5977" i="1"/>
  <c r="S5980" i="1"/>
  <c r="S5983" i="1"/>
  <c r="S5986" i="1"/>
  <c r="S5989" i="1"/>
  <c r="S6035" i="1"/>
  <c r="S6038" i="1"/>
  <c r="S6041" i="1"/>
  <c r="S6044" i="1"/>
  <c r="S6047" i="1"/>
  <c r="S6050" i="1"/>
  <c r="S6053" i="1"/>
  <c r="S6095" i="1"/>
  <c r="S6103" i="1"/>
  <c r="S6111" i="1"/>
  <c r="S6119" i="1"/>
  <c r="S6127" i="1"/>
  <c r="S6135" i="1"/>
  <c r="S6143" i="1"/>
  <c r="S6151" i="1"/>
  <c r="S6159" i="1"/>
  <c r="S6167" i="1"/>
  <c r="S6175" i="1"/>
  <c r="S6183" i="1"/>
  <c r="S6191" i="1"/>
  <c r="S6199" i="1"/>
  <c r="S6207" i="1"/>
  <c r="S6215" i="1"/>
  <c r="S6223" i="1"/>
  <c r="S6231" i="1"/>
  <c r="S6239" i="1"/>
  <c r="S6247" i="1"/>
  <c r="S6255" i="1"/>
  <c r="S6263" i="1"/>
  <c r="S6271" i="1"/>
  <c r="S6279" i="1"/>
  <c r="S6287" i="1"/>
  <c r="S6295" i="1"/>
  <c r="S6303" i="1"/>
  <c r="S6311" i="1"/>
  <c r="S6319" i="1"/>
  <c r="S6327" i="1"/>
  <c r="S6335" i="1"/>
  <c r="S6343" i="1"/>
  <c r="S6351" i="1"/>
  <c r="S6359" i="1"/>
  <c r="S6367" i="1"/>
  <c r="S6375" i="1"/>
  <c r="S6383" i="1"/>
  <c r="S6391" i="1"/>
  <c r="S6399" i="1"/>
  <c r="S6407" i="1"/>
  <c r="S6415" i="1"/>
  <c r="S6423" i="1"/>
  <c r="S6431" i="1"/>
  <c r="S6439" i="1"/>
  <c r="S6447" i="1"/>
  <c r="S6455" i="1"/>
  <c r="S6463" i="1"/>
  <c r="S4980" i="1"/>
  <c r="S5044" i="1"/>
  <c r="S5092" i="1"/>
  <c r="S5104" i="1"/>
  <c r="S5165" i="1"/>
  <c r="S5226" i="1"/>
  <c r="S5238" i="1"/>
  <c r="S5287" i="1"/>
  <c r="S5299" i="1"/>
  <c r="S5348" i="1"/>
  <c r="S5360" i="1"/>
  <c r="S5421" i="1"/>
  <c r="S5482" i="1"/>
  <c r="S5494" i="1"/>
  <c r="S5506" i="1"/>
  <c r="S5515" i="1"/>
  <c r="S5522" i="1"/>
  <c r="S5538" i="1"/>
  <c r="S5554" i="1"/>
  <c r="S5570" i="1"/>
  <c r="S5586" i="1"/>
  <c r="S5602" i="1"/>
  <c r="S5618" i="1"/>
  <c r="S5634" i="1"/>
  <c r="S5650" i="1"/>
  <c r="S5666" i="1"/>
  <c r="S5682" i="1"/>
  <c r="S5691" i="1"/>
  <c r="S5698" i="1"/>
  <c r="S5716" i="1"/>
  <c r="S5723" i="1"/>
  <c r="S5730" i="1"/>
  <c r="S5748" i="1"/>
  <c r="S5755" i="1"/>
  <c r="S5762" i="1"/>
  <c r="S5780" i="1"/>
  <c r="S5787" i="1"/>
  <c r="S5794" i="1"/>
  <c r="S5812" i="1"/>
  <c r="S5819" i="1"/>
  <c r="S5826" i="1"/>
  <c r="S5883" i="1"/>
  <c r="S5886" i="1"/>
  <c r="S5889" i="1"/>
  <c r="S5892" i="1"/>
  <c r="S5895" i="1"/>
  <c r="S5898" i="1"/>
  <c r="S5901" i="1"/>
  <c r="S5947" i="1"/>
  <c r="S5950" i="1"/>
  <c r="S5953" i="1"/>
  <c r="S5956" i="1"/>
  <c r="S5959" i="1"/>
  <c r="S5962" i="1"/>
  <c r="S5965" i="1"/>
  <c r="S6011" i="1"/>
  <c r="S6014" i="1"/>
  <c r="S6017" i="1"/>
  <c r="S6020" i="1"/>
  <c r="S6023" i="1"/>
  <c r="S6026" i="1"/>
  <c r="S6029" i="1"/>
  <c r="S6075" i="1"/>
  <c r="S6078" i="1"/>
  <c r="S6081" i="1"/>
  <c r="S6084" i="1"/>
  <c r="S6087" i="1"/>
  <c r="S6090" i="1"/>
  <c r="S6098" i="1"/>
  <c r="S6106" i="1"/>
  <c r="S6114" i="1"/>
  <c r="S6122" i="1"/>
  <c r="S6130" i="1"/>
  <c r="S6138" i="1"/>
  <c r="S6146" i="1"/>
  <c r="S6154" i="1"/>
  <c r="S6162" i="1"/>
  <c r="S6170" i="1"/>
  <c r="S6178" i="1"/>
  <c r="S6186" i="1"/>
  <c r="S6194" i="1"/>
  <c r="S6202" i="1"/>
  <c r="S6210" i="1"/>
  <c r="S6218" i="1"/>
  <c r="S6226" i="1"/>
  <c r="S6234" i="1"/>
  <c r="S6242" i="1"/>
  <c r="S6250" i="1"/>
  <c r="S6258" i="1"/>
  <c r="S6266" i="1"/>
  <c r="S6274" i="1"/>
  <c r="S6282" i="1"/>
  <c r="S6290" i="1"/>
  <c r="S6298" i="1"/>
  <c r="S6306" i="1"/>
  <c r="S6314" i="1"/>
  <c r="S6322" i="1"/>
  <c r="S6330" i="1"/>
  <c r="S6338" i="1"/>
  <c r="S6346" i="1"/>
  <c r="S6354" i="1"/>
  <c r="S6362" i="1"/>
  <c r="S6370" i="1"/>
  <c r="S6378" i="1"/>
  <c r="S6386" i="1"/>
  <c r="S6394" i="1"/>
  <c r="S6402" i="1"/>
  <c r="S6410" i="1"/>
  <c r="S6418" i="1"/>
  <c r="S6426" i="1"/>
  <c r="S6434" i="1"/>
  <c r="S6442" i="1"/>
  <c r="S6450" i="1"/>
  <c r="S6458" i="1"/>
  <c r="S6466" i="1"/>
  <c r="S5006" i="1"/>
  <c r="S5119" i="1"/>
  <c r="S5131" i="1"/>
  <c r="S5180" i="1"/>
  <c r="S5192" i="1"/>
  <c r="S5253" i="1"/>
  <c r="S5314" i="1"/>
  <c r="S5326" i="1"/>
  <c r="S5375" i="1"/>
  <c r="S5387" i="1"/>
  <c r="S5436" i="1"/>
  <c r="S5448" i="1"/>
  <c r="S5533" i="1"/>
  <c r="S5549" i="1"/>
  <c r="S5565" i="1"/>
  <c r="S5581" i="1"/>
  <c r="S5597" i="1"/>
  <c r="S5613" i="1"/>
  <c r="S5629" i="1"/>
  <c r="S5028" i="1"/>
  <c r="S5070" i="1"/>
  <c r="S5095" i="1"/>
  <c r="S5107" i="1"/>
  <c r="S5156" i="1"/>
  <c r="S5168" i="1"/>
  <c r="S5229" i="1"/>
  <c r="S5290" i="1"/>
  <c r="S5302" i="1"/>
  <c r="S5351" i="1"/>
  <c r="S5363" i="1"/>
  <c r="S5412" i="1"/>
  <c r="S5424" i="1"/>
  <c r="S5485" i="1"/>
  <c r="S5523" i="1"/>
  <c r="S5539" i="1"/>
  <c r="S5555" i="1"/>
  <c r="S5571" i="1"/>
  <c r="S5587" i="1"/>
  <c r="S4990" i="1"/>
  <c r="S5054" i="1"/>
  <c r="S5122" i="1"/>
  <c r="S5134" i="1"/>
  <c r="S5183" i="1"/>
  <c r="S5195" i="1"/>
  <c r="S5244" i="1"/>
  <c r="S5256" i="1"/>
  <c r="S5317" i="1"/>
  <c r="S5378" i="1"/>
  <c r="S5390" i="1"/>
  <c r="S5439" i="1"/>
  <c r="S5451" i="1"/>
  <c r="S5500" i="1"/>
  <c r="S5511" i="1"/>
  <c r="S5535" i="1"/>
  <c r="S5551" i="1"/>
  <c r="S5567" i="1"/>
  <c r="S5583" i="1"/>
  <c r="S5599" i="1"/>
  <c r="S5615" i="1"/>
  <c r="S5631" i="1"/>
  <c r="S5647" i="1"/>
  <c r="S5663" i="1"/>
  <c r="S5679" i="1"/>
  <c r="S5689" i="1"/>
  <c r="S5703" i="1"/>
  <c r="S5717" i="1"/>
  <c r="S5721" i="1"/>
  <c r="S5735" i="1"/>
  <c r="S5749" i="1"/>
  <c r="S5753" i="1"/>
  <c r="S5767" i="1"/>
  <c r="S5781" i="1"/>
  <c r="S5785" i="1"/>
  <c r="S5799" i="1"/>
  <c r="S5813" i="1"/>
  <c r="S5817" i="1"/>
  <c r="S5831" i="1"/>
  <c r="S5875" i="1"/>
  <c r="S5878" i="1"/>
  <c r="S5881" i="1"/>
  <c r="S5884" i="1"/>
  <c r="S5887" i="1"/>
  <c r="S5890" i="1"/>
  <c r="S5893" i="1"/>
  <c r="S5939" i="1"/>
  <c r="S5942" i="1"/>
  <c r="S5945" i="1"/>
  <c r="S5948" i="1"/>
  <c r="S5951" i="1"/>
  <c r="S5954" i="1"/>
  <c r="S5957" i="1"/>
  <c r="S6003" i="1"/>
  <c r="S6006" i="1"/>
  <c r="S6009" i="1"/>
  <c r="S6012" i="1"/>
  <c r="S6015" i="1"/>
  <c r="S6018" i="1"/>
  <c r="S6021" i="1"/>
  <c r="S6067" i="1"/>
  <c r="S6070" i="1"/>
  <c r="S6073" i="1"/>
  <c r="S6076" i="1"/>
  <c r="S6079" i="1"/>
  <c r="S6082" i="1"/>
  <c r="S6085" i="1"/>
  <c r="S6091" i="1"/>
  <c r="S6099" i="1"/>
  <c r="S6107" i="1"/>
  <c r="S6115" i="1"/>
  <c r="S6123" i="1"/>
  <c r="S6131" i="1"/>
  <c r="S6139" i="1"/>
  <c r="S6147" i="1"/>
  <c r="S6155" i="1"/>
  <c r="S6163" i="1"/>
  <c r="S6171" i="1"/>
  <c r="S6179" i="1"/>
  <c r="S6187" i="1"/>
  <c r="S6195" i="1"/>
  <c r="S6203" i="1"/>
  <c r="S6211" i="1"/>
  <c r="S6219" i="1"/>
  <c r="S6227" i="1"/>
  <c r="S6235" i="1"/>
  <c r="S6243" i="1"/>
  <c r="S6251" i="1"/>
  <c r="S6259" i="1"/>
  <c r="S6267" i="1"/>
  <c r="S6275" i="1"/>
  <c r="S6283" i="1"/>
  <c r="S6291" i="1"/>
  <c r="S6299" i="1"/>
  <c r="S6307" i="1"/>
  <c r="S6315" i="1"/>
  <c r="S6323" i="1"/>
  <c r="S6331" i="1"/>
  <c r="S6339" i="1"/>
  <c r="S6347" i="1"/>
  <c r="S5661" i="1"/>
  <c r="S5713" i="1"/>
  <c r="S5727" i="1"/>
  <c r="S5741" i="1"/>
  <c r="S5865" i="1"/>
  <c r="S5877" i="1"/>
  <c r="S5926" i="1"/>
  <c r="S5938" i="1"/>
  <c r="S5987" i="1"/>
  <c r="S5999" i="1"/>
  <c r="S6060" i="1"/>
  <c r="S6117" i="1"/>
  <c r="S6149" i="1"/>
  <c r="S6181" i="1"/>
  <c r="S6213" i="1"/>
  <c r="S6245" i="1"/>
  <c r="S6265" i="1"/>
  <c r="S6272" i="1"/>
  <c r="S6301" i="1"/>
  <c r="S6329" i="1"/>
  <c r="S6336" i="1"/>
  <c r="S6361" i="1"/>
  <c r="S6377" i="1"/>
  <c r="S6393" i="1"/>
  <c r="S6409" i="1"/>
  <c r="S6425" i="1"/>
  <c r="S6441" i="1"/>
  <c r="S6457" i="1"/>
  <c r="S6472" i="1"/>
  <c r="S6497" i="1"/>
  <c r="S6500" i="1"/>
  <c r="S6503" i="1"/>
  <c r="S6506" i="1"/>
  <c r="S6509" i="1"/>
  <c r="S6512" i="1"/>
  <c r="S6515" i="1"/>
  <c r="S6561" i="1"/>
  <c r="S6564" i="1"/>
  <c r="S6567" i="1"/>
  <c r="S6570" i="1"/>
  <c r="S6573" i="1"/>
  <c r="S6576" i="1"/>
  <c r="S6579" i="1"/>
  <c r="S6625" i="1"/>
  <c r="S6628" i="1"/>
  <c r="S6631" i="1"/>
  <c r="S6634" i="1"/>
  <c r="S6637" i="1"/>
  <c r="S6640" i="1"/>
  <c r="S6643" i="1"/>
  <c r="S6689" i="1"/>
  <c r="S6692" i="1"/>
  <c r="S6695" i="1"/>
  <c r="S6698" i="1"/>
  <c r="S6701" i="1"/>
  <c r="S6704" i="1"/>
  <c r="S6707" i="1"/>
  <c r="S6753" i="1"/>
  <c r="S6756" i="1"/>
  <c r="S6759" i="1"/>
  <c r="S6762" i="1"/>
  <c r="S6765" i="1"/>
  <c r="S6768" i="1"/>
  <c r="S6771" i="1"/>
  <c r="S6817" i="1"/>
  <c r="S6820" i="1"/>
  <c r="S6823" i="1"/>
  <c r="S6826" i="1"/>
  <c r="S6829" i="1"/>
  <c r="S6832" i="1"/>
  <c r="S6835" i="1"/>
  <c r="S6881" i="1"/>
  <c r="S6884" i="1"/>
  <c r="S6887" i="1"/>
  <c r="S6890" i="1"/>
  <c r="S6893" i="1"/>
  <c r="S6896" i="1"/>
  <c r="S6899" i="1"/>
  <c r="S6907" i="1"/>
  <c r="S6915" i="1"/>
  <c r="S6923" i="1"/>
  <c r="S6931" i="1"/>
  <c r="S6939" i="1"/>
  <c r="S6947" i="1"/>
  <c r="S6955" i="1"/>
  <c r="S6963" i="1"/>
  <c r="S6971" i="1"/>
  <c r="S6979" i="1"/>
  <c r="S6987" i="1"/>
  <c r="S6995" i="1"/>
  <c r="S7003" i="1"/>
  <c r="S7011" i="1"/>
  <c r="S7019" i="1"/>
  <c r="S7027" i="1"/>
  <c r="S7035" i="1"/>
  <c r="S7043" i="1"/>
  <c r="S7051" i="1"/>
  <c r="S7059" i="1"/>
  <c r="S7067" i="1"/>
  <c r="S7075" i="1"/>
  <c r="S7083" i="1"/>
  <c r="S7091" i="1"/>
  <c r="S5603" i="1"/>
  <c r="S5683" i="1"/>
  <c r="S5699" i="1"/>
  <c r="S5756" i="1"/>
  <c r="S5770" i="1"/>
  <c r="S5827" i="1"/>
  <c r="S5841" i="1"/>
  <c r="S5853" i="1"/>
  <c r="S5902" i="1"/>
  <c r="S5914" i="1"/>
  <c r="S5963" i="1"/>
  <c r="S5975" i="1"/>
  <c r="S6036" i="1"/>
  <c r="S5645" i="1"/>
  <c r="S5745" i="1"/>
  <c r="S5759" i="1"/>
  <c r="S5773" i="1"/>
  <c r="S5868" i="1"/>
  <c r="S5929" i="1"/>
  <c r="S5941" i="1"/>
  <c r="S5990" i="1"/>
  <c r="S6002" i="1"/>
  <c r="S6051" i="1"/>
  <c r="S6063" i="1"/>
  <c r="S6109" i="1"/>
  <c r="S6141" i="1"/>
  <c r="S6173" i="1"/>
  <c r="S6205" i="1"/>
  <c r="S6237" i="1"/>
  <c r="S5667" i="1"/>
  <c r="S5731" i="1"/>
  <c r="S5788" i="1"/>
  <c r="S5802" i="1"/>
  <c r="S5844" i="1"/>
  <c r="S5905" i="1"/>
  <c r="S5917" i="1"/>
  <c r="S5966" i="1"/>
  <c r="S5978" i="1"/>
  <c r="S6027" i="1"/>
  <c r="S6039" i="1"/>
  <c r="S6120" i="1"/>
  <c r="S6152" i="1"/>
  <c r="S6184" i="1"/>
  <c r="S6216" i="1"/>
  <c r="S6248" i="1"/>
  <c r="S6289" i="1"/>
  <c r="S6296" i="1"/>
  <c r="S6325" i="1"/>
  <c r="S6363" i="1"/>
  <c r="S6379" i="1"/>
  <c r="S6395" i="1"/>
  <c r="S6411" i="1"/>
  <c r="S6427" i="1"/>
  <c r="S6443" i="1"/>
  <c r="S6459" i="1"/>
  <c r="S6489" i="1"/>
  <c r="S6492" i="1"/>
  <c r="S6495" i="1"/>
  <c r="S6498" i="1"/>
  <c r="S6501" i="1"/>
  <c r="S6504" i="1"/>
  <c r="S6507" i="1"/>
  <c r="S6553" i="1"/>
  <c r="S6556" i="1"/>
  <c r="S6559" i="1"/>
  <c r="S6562" i="1"/>
  <c r="S6565" i="1"/>
  <c r="S6568" i="1"/>
  <c r="S6571" i="1"/>
  <c r="S6617" i="1"/>
  <c r="S6620" i="1"/>
  <c r="S6623" i="1"/>
  <c r="S6626" i="1"/>
  <c r="S6629" i="1"/>
  <c r="S6632" i="1"/>
  <c r="S6635" i="1"/>
  <c r="S6681" i="1"/>
  <c r="S6684" i="1"/>
  <c r="S6687" i="1"/>
  <c r="S6690" i="1"/>
  <c r="S6693" i="1"/>
  <c r="S6696" i="1"/>
  <c r="S6699" i="1"/>
  <c r="S5619" i="1"/>
  <c r="S5777" i="1"/>
  <c r="S5791" i="1"/>
  <c r="S5805" i="1"/>
  <c r="S5859" i="1"/>
  <c r="S5871" i="1"/>
  <c r="S5932" i="1"/>
  <c r="S5993" i="1"/>
  <c r="S6005" i="1"/>
  <c r="S6054" i="1"/>
  <c r="S6066" i="1"/>
  <c r="S6101" i="1"/>
  <c r="S6133" i="1"/>
  <c r="S6165" i="1"/>
  <c r="S6197" i="1"/>
  <c r="S6229" i="1"/>
  <c r="S6261" i="1"/>
  <c r="S6269" i="1"/>
  <c r="S6297" i="1"/>
  <c r="S6304" i="1"/>
  <c r="S6333" i="1"/>
  <c r="S6353" i="1"/>
  <c r="S6369" i="1"/>
  <c r="S6385" i="1"/>
  <c r="S6401" i="1"/>
  <c r="S6417" i="1"/>
  <c r="S6433" i="1"/>
  <c r="S6449" i="1"/>
  <c r="S6465" i="1"/>
  <c r="S6474" i="1"/>
  <c r="S6477" i="1"/>
  <c r="S6480" i="1"/>
  <c r="S6483" i="1"/>
  <c r="S6529" i="1"/>
  <c r="S6532" i="1"/>
  <c r="S6535" i="1"/>
  <c r="S6538" i="1"/>
  <c r="S6541" i="1"/>
  <c r="S6544" i="1"/>
  <c r="S6547" i="1"/>
  <c r="S6593" i="1"/>
  <c r="S6596" i="1"/>
  <c r="S6599" i="1"/>
  <c r="S6602" i="1"/>
  <c r="S6605" i="1"/>
  <c r="S6608" i="1"/>
  <c r="S6611" i="1"/>
  <c r="S6657" i="1"/>
  <c r="S6660" i="1"/>
  <c r="S6663" i="1"/>
  <c r="S6666" i="1"/>
  <c r="S6669" i="1"/>
  <c r="S6672" i="1"/>
  <c r="S6675" i="1"/>
  <c r="S6721" i="1"/>
  <c r="S6724" i="1"/>
  <c r="S5651" i="1"/>
  <c r="S5692" i="1"/>
  <c r="S5706" i="1"/>
  <c r="S5763" i="1"/>
  <c r="S5820" i="1"/>
  <c r="S5834" i="1"/>
  <c r="S5847" i="1"/>
  <c r="S5908" i="1"/>
  <c r="S5969" i="1"/>
  <c r="S5981" i="1"/>
  <c r="S6030" i="1"/>
  <c r="S6042" i="1"/>
  <c r="S6112" i="1"/>
  <c r="S6144" i="1"/>
  <c r="S6176" i="1"/>
  <c r="S6208" i="1"/>
  <c r="S6240" i="1"/>
  <c r="S6277" i="1"/>
  <c r="S6305" i="1"/>
  <c r="S6312" i="1"/>
  <c r="S6341" i="1"/>
  <c r="S6365" i="1"/>
  <c r="S6381" i="1"/>
  <c r="S6397" i="1"/>
  <c r="S6413" i="1"/>
  <c r="S6429" i="1"/>
  <c r="S6445" i="1"/>
  <c r="S6461" i="1"/>
  <c r="S6471" i="1"/>
  <c r="S6505" i="1"/>
  <c r="S6508" i="1"/>
  <c r="S6511" i="1"/>
  <c r="S6514" i="1"/>
  <c r="S6517" i="1"/>
  <c r="S6520" i="1"/>
  <c r="S6523" i="1"/>
  <c r="S6569" i="1"/>
  <c r="S6572" i="1"/>
  <c r="S6575" i="1"/>
  <c r="S6578" i="1"/>
  <c r="S6581" i="1"/>
  <c r="S6584" i="1"/>
  <c r="S6587" i="1"/>
  <c r="S6633" i="1"/>
  <c r="S6636" i="1"/>
  <c r="S6639" i="1"/>
  <c r="S6642" i="1"/>
  <c r="S6645" i="1"/>
  <c r="S6648" i="1"/>
  <c r="S6651" i="1"/>
  <c r="S6697" i="1"/>
  <c r="S6700" i="1"/>
  <c r="S6703" i="1"/>
  <c r="S6706" i="1"/>
  <c r="S6709" i="1"/>
  <c r="S6712" i="1"/>
  <c r="S6715" i="1"/>
  <c r="S5677" i="1"/>
  <c r="S5695" i="1"/>
  <c r="S5709" i="1"/>
  <c r="S5809" i="1"/>
  <c r="S5823" i="1"/>
  <c r="S5837" i="1"/>
  <c r="S5862" i="1"/>
  <c r="S5874" i="1"/>
  <c r="S5923" i="1"/>
  <c r="S5935" i="1"/>
  <c r="S5996" i="1"/>
  <c r="S5635" i="1"/>
  <c r="S5724" i="1"/>
  <c r="S5738" i="1"/>
  <c r="S5795" i="1"/>
  <c r="S5850" i="1"/>
  <c r="S5899" i="1"/>
  <c r="S5911" i="1"/>
  <c r="S5972" i="1"/>
  <c r="S6033" i="1"/>
  <c r="S6045" i="1"/>
  <c r="S6104" i="1"/>
  <c r="S6136" i="1"/>
  <c r="S6168" i="1"/>
  <c r="S6200" i="1"/>
  <c r="S6232" i="1"/>
  <c r="S6264" i="1"/>
  <c r="S6293" i="1"/>
  <c r="S6321" i="1"/>
  <c r="S6328" i="1"/>
  <c r="S6355" i="1"/>
  <c r="S6371" i="1"/>
  <c r="S6387" i="1"/>
  <c r="S6403" i="1"/>
  <c r="S6419" i="1"/>
  <c r="S6435" i="1"/>
  <c r="S6451" i="1"/>
  <c r="S6467" i="1"/>
  <c r="S6475" i="1"/>
  <c r="S6521" i="1"/>
  <c r="S6524" i="1"/>
  <c r="S6527" i="1"/>
  <c r="S6530" i="1"/>
  <c r="S6533" i="1"/>
  <c r="S6536" i="1"/>
  <c r="S6539" i="1"/>
  <c r="S6585" i="1"/>
  <c r="S6588" i="1"/>
  <c r="S6591" i="1"/>
  <c r="S6594" i="1"/>
  <c r="S6597" i="1"/>
  <c r="S6600" i="1"/>
  <c r="S6603" i="1"/>
  <c r="S6128" i="1"/>
  <c r="S6256" i="1"/>
  <c r="S6281" i="1"/>
  <c r="S6320" i="1"/>
  <c r="S6357" i="1"/>
  <c r="S6384" i="1"/>
  <c r="S6456" i="1"/>
  <c r="S6479" i="1"/>
  <c r="S6487" i="1"/>
  <c r="S6519" i="1"/>
  <c r="S6552" i="1"/>
  <c r="S6560" i="1"/>
  <c r="S6592" i="1"/>
  <c r="S6601" i="1"/>
  <c r="S6609" i="1"/>
  <c r="S6616" i="1"/>
  <c r="S6665" i="1"/>
  <c r="S6671" i="1"/>
  <c r="S6677" i="1"/>
  <c r="S6683" i="1"/>
  <c r="S6733" i="1"/>
  <c r="S6740" i="1"/>
  <c r="S6747" i="1"/>
  <c r="S6754" i="1"/>
  <c r="S6761" i="1"/>
  <c r="S6775" i="1"/>
  <c r="S6792" i="1"/>
  <c r="S6796" i="1"/>
  <c r="S6813" i="1"/>
  <c r="S6827" i="1"/>
  <c r="S6834" i="1"/>
  <c r="S6841" i="1"/>
  <c r="S6848" i="1"/>
  <c r="S6855" i="1"/>
  <c r="S6869" i="1"/>
  <c r="S6876" i="1"/>
  <c r="S6897" i="1"/>
  <c r="S6900" i="1"/>
  <c r="S6903" i="1"/>
  <c r="S6906" i="1"/>
  <c r="S6909" i="1"/>
  <c r="S6912" i="1"/>
  <c r="S6958" i="1"/>
  <c r="S6961" i="1"/>
  <c r="S6964" i="1"/>
  <c r="S6967" i="1"/>
  <c r="S6970" i="1"/>
  <c r="S6973" i="1"/>
  <c r="S6976" i="1"/>
  <c r="S7022" i="1"/>
  <c r="S7025" i="1"/>
  <c r="S7028" i="1"/>
  <c r="S7031" i="1"/>
  <c r="S7034" i="1"/>
  <c r="S7037" i="1"/>
  <c r="S7040" i="1"/>
  <c r="S7086" i="1"/>
  <c r="S7089" i="1"/>
  <c r="S7092" i="1"/>
  <c r="S7095" i="1"/>
  <c r="S7098" i="1"/>
  <c r="S7106" i="1"/>
  <c r="S7114" i="1"/>
  <c r="S7122" i="1"/>
  <c r="S7130" i="1"/>
  <c r="S7138" i="1"/>
  <c r="S7146" i="1"/>
  <c r="S7154" i="1"/>
  <c r="S7162" i="1"/>
  <c r="S7170" i="1"/>
  <c r="S7178" i="1"/>
  <c r="S7186" i="1"/>
  <c r="S7194" i="1"/>
  <c r="S7202" i="1"/>
  <c r="S7210" i="1"/>
  <c r="S7218" i="1"/>
  <c r="S7226" i="1"/>
  <c r="S7234" i="1"/>
  <c r="S7242" i="1"/>
  <c r="S7250" i="1"/>
  <c r="S7258" i="1"/>
  <c r="S7266" i="1"/>
  <c r="S7274" i="1"/>
  <c r="S7282" i="1"/>
  <c r="S7290" i="1"/>
  <c r="S7298" i="1"/>
  <c r="S7306" i="1"/>
  <c r="S7314" i="1"/>
  <c r="S7322" i="1"/>
  <c r="S7330" i="1"/>
  <c r="S7338" i="1"/>
  <c r="S7346" i="1"/>
  <c r="S7354" i="1"/>
  <c r="S7362" i="1"/>
  <c r="S7370" i="1"/>
  <c r="S7378" i="1"/>
  <c r="S7386" i="1"/>
  <c r="S7394" i="1"/>
  <c r="S7402" i="1"/>
  <c r="S7410" i="1"/>
  <c r="S7418" i="1"/>
  <c r="S7426" i="1"/>
  <c r="S7434" i="1"/>
  <c r="S7442" i="1"/>
  <c r="S7450" i="1"/>
  <c r="S7458" i="1"/>
  <c r="S7466" i="1"/>
  <c r="S7474" i="1"/>
  <c r="S7482" i="1"/>
  <c r="S7490" i="1"/>
  <c r="S7498" i="1"/>
  <c r="S7506" i="1"/>
  <c r="S7514" i="1"/>
  <c r="S7522" i="1"/>
  <c r="S7530" i="1"/>
  <c r="S7538" i="1"/>
  <c r="S7546" i="1"/>
  <c r="S7554" i="1"/>
  <c r="S7562" i="1"/>
  <c r="S7570" i="1"/>
  <c r="S7578" i="1"/>
  <c r="S7586" i="1"/>
  <c r="S7594" i="1"/>
  <c r="S7602" i="1"/>
  <c r="S7610" i="1"/>
  <c r="S7618" i="1"/>
  <c r="S7626" i="1"/>
  <c r="S7634" i="1"/>
  <c r="S7642" i="1"/>
  <c r="S7650" i="1"/>
  <c r="S7658" i="1"/>
  <c r="S7666" i="1"/>
  <c r="S7674" i="1"/>
  <c r="S7682" i="1"/>
  <c r="S7690" i="1"/>
  <c r="S7698" i="1"/>
  <c r="S7706" i="1"/>
  <c r="S7714" i="1"/>
  <c r="S7722" i="1"/>
  <c r="S7730" i="1"/>
  <c r="S7738" i="1"/>
  <c r="S6093" i="1"/>
  <c r="S6221" i="1"/>
  <c r="S6285" i="1"/>
  <c r="S6373" i="1"/>
  <c r="S6400" i="1"/>
  <c r="S6488" i="1"/>
  <c r="S6496" i="1"/>
  <c r="S6528" i="1"/>
  <c r="S6537" i="1"/>
  <c r="S6545" i="1"/>
  <c r="S6577" i="1"/>
  <c r="S6610" i="1"/>
  <c r="S6641" i="1"/>
  <c r="S6647" i="1"/>
  <c r="S6653" i="1"/>
  <c r="S6659" i="1"/>
  <c r="S6708" i="1"/>
  <c r="S6714" i="1"/>
  <c r="S6720" i="1"/>
  <c r="S6730" i="1"/>
  <c r="S6737" i="1"/>
  <c r="S6744" i="1"/>
  <c r="S6751" i="1"/>
  <c r="S6772" i="1"/>
  <c r="S6789" i="1"/>
  <c r="S6793" i="1"/>
  <c r="S6803" i="1"/>
  <c r="S6810" i="1"/>
  <c r="S6824" i="1"/>
  <c r="S6831" i="1"/>
  <c r="S6845" i="1"/>
  <c r="S6852" i="1"/>
  <c r="S6866" i="1"/>
  <c r="S6873" i="1"/>
  <c r="S6883" i="1"/>
  <c r="S6934" i="1"/>
  <c r="S6937" i="1"/>
  <c r="S6940" i="1"/>
  <c r="S6943" i="1"/>
  <c r="S6946" i="1"/>
  <c r="S6949" i="1"/>
  <c r="S6952" i="1"/>
  <c r="S6998" i="1"/>
  <c r="S7001" i="1"/>
  <c r="S7004" i="1"/>
  <c r="S7007" i="1"/>
  <c r="S7010" i="1"/>
  <c r="S7013" i="1"/>
  <c r="S7016" i="1"/>
  <c r="S7062" i="1"/>
  <c r="S7065" i="1"/>
  <c r="S7068" i="1"/>
  <c r="S7071" i="1"/>
  <c r="S7074" i="1"/>
  <c r="S7077" i="1"/>
  <c r="S7080" i="1"/>
  <c r="S7101" i="1"/>
  <c r="S7109" i="1"/>
  <c r="S7117" i="1"/>
  <c r="S7125" i="1"/>
  <c r="S7133" i="1"/>
  <c r="S7141" i="1"/>
  <c r="S7149" i="1"/>
  <c r="S7157" i="1"/>
  <c r="S7165" i="1"/>
  <c r="S7173" i="1"/>
  <c r="S7181" i="1"/>
  <c r="S7189" i="1"/>
  <c r="S7197" i="1"/>
  <c r="S7205" i="1"/>
  <c r="S7213" i="1"/>
  <c r="S7221" i="1"/>
  <c r="S7229" i="1"/>
  <c r="S7237" i="1"/>
  <c r="S7245" i="1"/>
  <c r="S7253" i="1"/>
  <c r="S7261" i="1"/>
  <c r="S7269" i="1"/>
  <c r="S7277" i="1"/>
  <c r="S7285" i="1"/>
  <c r="S7293" i="1"/>
  <c r="S7301" i="1"/>
  <c r="S7309" i="1"/>
  <c r="S7317" i="1"/>
  <c r="S7325" i="1"/>
  <c r="S7333" i="1"/>
  <c r="S7341" i="1"/>
  <c r="S7349" i="1"/>
  <c r="S7357" i="1"/>
  <c r="S7365" i="1"/>
  <c r="S7373" i="1"/>
  <c r="S7381" i="1"/>
  <c r="S7389" i="1"/>
  <c r="S7397" i="1"/>
  <c r="S7405" i="1"/>
  <c r="S7413" i="1"/>
  <c r="S7421" i="1"/>
  <c r="S7429" i="1"/>
  <c r="S7437" i="1"/>
  <c r="S7445" i="1"/>
  <c r="S7453" i="1"/>
  <c r="S7461" i="1"/>
  <c r="S7469" i="1"/>
  <c r="S7477" i="1"/>
  <c r="S7485" i="1"/>
  <c r="S7493" i="1"/>
  <c r="S7501" i="1"/>
  <c r="S7509" i="1"/>
  <c r="S7517" i="1"/>
  <c r="S7525" i="1"/>
  <c r="S7533" i="1"/>
  <c r="S7541" i="1"/>
  <c r="S7549" i="1"/>
  <c r="S6096" i="1"/>
  <c r="S6224" i="1"/>
  <c r="S6344" i="1"/>
  <c r="S6360" i="1"/>
  <c r="S6389" i="1"/>
  <c r="S6416" i="1"/>
  <c r="S6481" i="1"/>
  <c r="S6513" i="1"/>
  <c r="S6546" i="1"/>
  <c r="S6554" i="1"/>
  <c r="S6586" i="1"/>
  <c r="S6618" i="1"/>
  <c r="S6624" i="1"/>
  <c r="S6673" i="1"/>
  <c r="S6679" i="1"/>
  <c r="S6685" i="1"/>
  <c r="S6691" i="1"/>
  <c r="S6741" i="1"/>
  <c r="S6748" i="1"/>
  <c r="S6769" i="1"/>
  <c r="S6779" i="1"/>
  <c r="S6786" i="1"/>
  <c r="S6800" i="1"/>
  <c r="S6807" i="1"/>
  <c r="S6821" i="1"/>
  <c r="S6828" i="1"/>
  <c r="S6842" i="1"/>
  <c r="S6849" i="1"/>
  <c r="S6859" i="1"/>
  <c r="S6863" i="1"/>
  <c r="S6880" i="1"/>
  <c r="S6910" i="1"/>
  <c r="S6913" i="1"/>
  <c r="S6916" i="1"/>
  <c r="S6919" i="1"/>
  <c r="S6922" i="1"/>
  <c r="S6925" i="1"/>
  <c r="S6928" i="1"/>
  <c r="S6974" i="1"/>
  <c r="S6977" i="1"/>
  <c r="S6980" i="1"/>
  <c r="S6983" i="1"/>
  <c r="S6986" i="1"/>
  <c r="S6989" i="1"/>
  <c r="S6992" i="1"/>
  <c r="S7038" i="1"/>
  <c r="S7041" i="1"/>
  <c r="S7044" i="1"/>
  <c r="S7047" i="1"/>
  <c r="S7050" i="1"/>
  <c r="S7053" i="1"/>
  <c r="S7056" i="1"/>
  <c r="S7104" i="1"/>
  <c r="S7112" i="1"/>
  <c r="S7120" i="1"/>
  <c r="S7128" i="1"/>
  <c r="S7136" i="1"/>
  <c r="S7144" i="1"/>
  <c r="S7152" i="1"/>
  <c r="S7160" i="1"/>
  <c r="S7168" i="1"/>
  <c r="S7176" i="1"/>
  <c r="S7184" i="1"/>
  <c r="S7192" i="1"/>
  <c r="S7200" i="1"/>
  <c r="S7208" i="1"/>
  <c r="S7216" i="1"/>
  <c r="S7224" i="1"/>
  <c r="S7232" i="1"/>
  <c r="S7240" i="1"/>
  <c r="S7248" i="1"/>
  <c r="S7256" i="1"/>
  <c r="S7264" i="1"/>
  <c r="S7272" i="1"/>
  <c r="S7280" i="1"/>
  <c r="S7288" i="1"/>
  <c r="S7296" i="1"/>
  <c r="S7304" i="1"/>
  <c r="S7312" i="1"/>
  <c r="S7320" i="1"/>
  <c r="S7328" i="1"/>
  <c r="S7336" i="1"/>
  <c r="S7344" i="1"/>
  <c r="S7352" i="1"/>
  <c r="S7360" i="1"/>
  <c r="S7368" i="1"/>
  <c r="S7376" i="1"/>
  <c r="S7384" i="1"/>
  <c r="S7392" i="1"/>
  <c r="S7400" i="1"/>
  <c r="S7408" i="1"/>
  <c r="S7416" i="1"/>
  <c r="S7424" i="1"/>
  <c r="S6057" i="1"/>
  <c r="S6189" i="1"/>
  <c r="S6288" i="1"/>
  <c r="S6309" i="1"/>
  <c r="S6345" i="1"/>
  <c r="S6376" i="1"/>
  <c r="S6405" i="1"/>
  <c r="S6432" i="1"/>
  <c r="S6473" i="1"/>
  <c r="S6482" i="1"/>
  <c r="S6490" i="1"/>
  <c r="S6522" i="1"/>
  <c r="S6555" i="1"/>
  <c r="S6563" i="1"/>
  <c r="S6595" i="1"/>
  <c r="S6604" i="1"/>
  <c r="S6612" i="1"/>
  <c r="S6649" i="1"/>
  <c r="S6655" i="1"/>
  <c r="S6661" i="1"/>
  <c r="S6667" i="1"/>
  <c r="S6716" i="1"/>
  <c r="S6722" i="1"/>
  <c r="S6727" i="1"/>
  <c r="S6738" i="1"/>
  <c r="S6745" i="1"/>
  <c r="S6755" i="1"/>
  <c r="S6776" i="1"/>
  <c r="S6783" i="1"/>
  <c r="S6797" i="1"/>
  <c r="S6804" i="1"/>
  <c r="S6811" i="1"/>
  <c r="S6818" i="1"/>
  <c r="S6825" i="1"/>
  <c r="S6839" i="1"/>
  <c r="S6856" i="1"/>
  <c r="S6860" i="1"/>
  <c r="S6877" i="1"/>
  <c r="S6891" i="1"/>
  <c r="S6898" i="1"/>
  <c r="S6901" i="1"/>
  <c r="S6904" i="1"/>
  <c r="S6950" i="1"/>
  <c r="S6953" i="1"/>
  <c r="S6956" i="1"/>
  <c r="S6959" i="1"/>
  <c r="S6962" i="1"/>
  <c r="S6965" i="1"/>
  <c r="S6968" i="1"/>
  <c r="S7014" i="1"/>
  <c r="S7017" i="1"/>
  <c r="S7020" i="1"/>
  <c r="S7023" i="1"/>
  <c r="S7026" i="1"/>
  <c r="S7029" i="1"/>
  <c r="S7032" i="1"/>
  <c r="S7078" i="1"/>
  <c r="S7081" i="1"/>
  <c r="S7084" i="1"/>
  <c r="S7087" i="1"/>
  <c r="S7090" i="1"/>
  <c r="S7093" i="1"/>
  <c r="S7096" i="1"/>
  <c r="S7099" i="1"/>
  <c r="S7107" i="1"/>
  <c r="S7115" i="1"/>
  <c r="S7123" i="1"/>
  <c r="S7131" i="1"/>
  <c r="S7139" i="1"/>
  <c r="S7147" i="1"/>
  <c r="S7155" i="1"/>
  <c r="S7163" i="1"/>
  <c r="S7171" i="1"/>
  <c r="S7179" i="1"/>
  <c r="S7187" i="1"/>
  <c r="S7195" i="1"/>
  <c r="S7203" i="1"/>
  <c r="S7211" i="1"/>
  <c r="S7219" i="1"/>
  <c r="S7227" i="1"/>
  <c r="S7235" i="1"/>
  <c r="S7243" i="1"/>
  <c r="S7251" i="1"/>
  <c r="S7259" i="1"/>
  <c r="S7267" i="1"/>
  <c r="S7275" i="1"/>
  <c r="S7283" i="1"/>
  <c r="S7291" i="1"/>
  <c r="S7299" i="1"/>
  <c r="S7307" i="1"/>
  <c r="S7315" i="1"/>
  <c r="S7323" i="1"/>
  <c r="S7331" i="1"/>
  <c r="S6192" i="1"/>
  <c r="S6273" i="1"/>
  <c r="S6349" i="1"/>
  <c r="S6392" i="1"/>
  <c r="S6421" i="1"/>
  <c r="S6448" i="1"/>
  <c r="S6491" i="1"/>
  <c r="S6499" i="1"/>
  <c r="S6531" i="1"/>
  <c r="S6540" i="1"/>
  <c r="S6548" i="1"/>
  <c r="S6580" i="1"/>
  <c r="S6613" i="1"/>
  <c r="S6619" i="1"/>
  <c r="S6668" i="1"/>
  <c r="S6674" i="1"/>
  <c r="S6680" i="1"/>
  <c r="S6731" i="1"/>
  <c r="S6735" i="1"/>
  <c r="S6752" i="1"/>
  <c r="S6773" i="1"/>
  <c r="S6780" i="1"/>
  <c r="S6787" i="1"/>
  <c r="S6794" i="1"/>
  <c r="S6801" i="1"/>
  <c r="S6808" i="1"/>
  <c r="S6815" i="1"/>
  <c r="S6836" i="1"/>
  <c r="S6853" i="1"/>
  <c r="S6857" i="1"/>
  <c r="S6867" i="1"/>
  <c r="S6874" i="1"/>
  <c r="S6888" i="1"/>
  <c r="S6895" i="1"/>
  <c r="S6926" i="1"/>
  <c r="S6929" i="1"/>
  <c r="S6932" i="1"/>
  <c r="S6935" i="1"/>
  <c r="S6938" i="1"/>
  <c r="S6941" i="1"/>
  <c r="S6944" i="1"/>
  <c r="S6990" i="1"/>
  <c r="S6993" i="1"/>
  <c r="S6996" i="1"/>
  <c r="S6999" i="1"/>
  <c r="S7002" i="1"/>
  <c r="S7005" i="1"/>
  <c r="S7008" i="1"/>
  <c r="S7054" i="1"/>
  <c r="S7057" i="1"/>
  <c r="S7060" i="1"/>
  <c r="S7063" i="1"/>
  <c r="S7066" i="1"/>
  <c r="S7069" i="1"/>
  <c r="S7072" i="1"/>
  <c r="S7102" i="1"/>
  <c r="S7110" i="1"/>
  <c r="S7118" i="1"/>
  <c r="S7126" i="1"/>
  <c r="S7134" i="1"/>
  <c r="S7142" i="1"/>
  <c r="S7150" i="1"/>
  <c r="S7158" i="1"/>
  <c r="S7166" i="1"/>
  <c r="S6069" i="1"/>
  <c r="S6157" i="1"/>
  <c r="S6313" i="1"/>
  <c r="S6408" i="1"/>
  <c r="S6437" i="1"/>
  <c r="S6464" i="1"/>
  <c r="S6476" i="1"/>
  <c r="S6484" i="1"/>
  <c r="S6516" i="1"/>
  <c r="S6549" i="1"/>
  <c r="S6557" i="1"/>
  <c r="S6589" i="1"/>
  <c r="S6644" i="1"/>
  <c r="S6650" i="1"/>
  <c r="S6656" i="1"/>
  <c r="S6705" i="1"/>
  <c r="S6711" i="1"/>
  <c r="S6717" i="1"/>
  <c r="S6723" i="1"/>
  <c r="S6160" i="1"/>
  <c r="S6352" i="1"/>
  <c r="S6424" i="1"/>
  <c r="S6453" i="1"/>
  <c r="S6485" i="1"/>
  <c r="S6493" i="1"/>
  <c r="S6525" i="1"/>
  <c r="S6607" i="1"/>
  <c r="S6615" i="1"/>
  <c r="S6621" i="1"/>
  <c r="S6627" i="1"/>
  <c r="S6676" i="1"/>
  <c r="S6682" i="1"/>
  <c r="S6688" i="1"/>
  <c r="S6729" i="1"/>
  <c r="S6739" i="1"/>
  <c r="S6746" i="1"/>
  <c r="S6760" i="1"/>
  <c r="S6767" i="1"/>
  <c r="S6781" i="1"/>
  <c r="S6788" i="1"/>
  <c r="S6802" i="1"/>
  <c r="S6809" i="1"/>
  <c r="S6819" i="1"/>
  <c r="S6840" i="1"/>
  <c r="S6847" i="1"/>
  <c r="S6861" i="1"/>
  <c r="S6868" i="1"/>
  <c r="S6875" i="1"/>
  <c r="S6882" i="1"/>
  <c r="S6889" i="1"/>
  <c r="S6942" i="1"/>
  <c r="S6945" i="1"/>
  <c r="S6948" i="1"/>
  <c r="S6951" i="1"/>
  <c r="S6954" i="1"/>
  <c r="S6957" i="1"/>
  <c r="S6960" i="1"/>
  <c r="S7006" i="1"/>
  <c r="S7009" i="1"/>
  <c r="S7012" i="1"/>
  <c r="S7015" i="1"/>
  <c r="S7018" i="1"/>
  <c r="S7021" i="1"/>
  <c r="S7024" i="1"/>
  <c r="S7070" i="1"/>
  <c r="S7073" i="1"/>
  <c r="S7076" i="1"/>
  <c r="S7079" i="1"/>
  <c r="S7082" i="1"/>
  <c r="S7085" i="1"/>
  <c r="S7088" i="1"/>
  <c r="S7100" i="1"/>
  <c r="S7108" i="1"/>
  <c r="S7116" i="1"/>
  <c r="S7124" i="1"/>
  <c r="S7132" i="1"/>
  <c r="S7140" i="1"/>
  <c r="S6125" i="1"/>
  <c r="S6253" i="1"/>
  <c r="S6280" i="1"/>
  <c r="S6317" i="1"/>
  <c r="S6337" i="1"/>
  <c r="S6368" i="1"/>
  <c r="S6440" i="1"/>
  <c r="S6469" i="1"/>
  <c r="S6543" i="1"/>
  <c r="S6551" i="1"/>
  <c r="S6583" i="1"/>
  <c r="S6652" i="1"/>
  <c r="S6658" i="1"/>
  <c r="S6664" i="1"/>
  <c r="S6713" i="1"/>
  <c r="S6719" i="1"/>
  <c r="S6725" i="1"/>
  <c r="S6728" i="1"/>
  <c r="S6770" i="1"/>
  <c r="S6784" i="1"/>
  <c r="S6812" i="1"/>
  <c r="S6908" i="1"/>
  <c r="S6920" i="1"/>
  <c r="S6969" i="1"/>
  <c r="S6981" i="1"/>
  <c r="S7030" i="1"/>
  <c r="S7042" i="1"/>
  <c r="S7113" i="1"/>
  <c r="S7143" i="1"/>
  <c r="S7172" i="1"/>
  <c r="S7188" i="1"/>
  <c r="S7204" i="1"/>
  <c r="S7220" i="1"/>
  <c r="S7236" i="1"/>
  <c r="S7252" i="1"/>
  <c r="S7268" i="1"/>
  <c r="S7284" i="1"/>
  <c r="S7300" i="1"/>
  <c r="S7316" i="1"/>
  <c r="S7332" i="1"/>
  <c r="S7345" i="1"/>
  <c r="S7358" i="1"/>
  <c r="S7371" i="1"/>
  <c r="S7383" i="1"/>
  <c r="S7396" i="1"/>
  <c r="S7409" i="1"/>
  <c r="S7422" i="1"/>
  <c r="S7430" i="1"/>
  <c r="S7444" i="1"/>
  <c r="S7448" i="1"/>
  <c r="S7462" i="1"/>
  <c r="S7476" i="1"/>
  <c r="S7480" i="1"/>
  <c r="S7494" i="1"/>
  <c r="S7508" i="1"/>
  <c r="S7512" i="1"/>
  <c r="S7526" i="1"/>
  <c r="S7540" i="1"/>
  <c r="S7544" i="1"/>
  <c r="S7573" i="1"/>
  <c r="S7576" i="1"/>
  <c r="S7579" i="1"/>
  <c r="S7582" i="1"/>
  <c r="S7585" i="1"/>
  <c r="S7588" i="1"/>
  <c r="S7591" i="1"/>
  <c r="S7637" i="1"/>
  <c r="S7640" i="1"/>
  <c r="S7643" i="1"/>
  <c r="S7646" i="1"/>
  <c r="S7649" i="1"/>
  <c r="S7652" i="1"/>
  <c r="S7655" i="1"/>
  <c r="S7701" i="1"/>
  <c r="S7704" i="1"/>
  <c r="S7707" i="1"/>
  <c r="S7710" i="1"/>
  <c r="S7713" i="1"/>
  <c r="S7716" i="1"/>
  <c r="S7719" i="1"/>
  <c r="S7743" i="1"/>
  <c r="S7751" i="1"/>
  <c r="S7759" i="1"/>
  <c r="S7767" i="1"/>
  <c r="S7775" i="1"/>
  <c r="S7783" i="1"/>
  <c r="S7791" i="1"/>
  <c r="S7799" i="1"/>
  <c r="S7807" i="1"/>
  <c r="S7815" i="1"/>
  <c r="S7823" i="1"/>
  <c r="S7831" i="1"/>
  <c r="S7839" i="1"/>
  <c r="S7847" i="1"/>
  <c r="S7855" i="1"/>
  <c r="S7863" i="1"/>
  <c r="S7871" i="1"/>
  <c r="S7879" i="1"/>
  <c r="S7887" i="1"/>
  <c r="S7895" i="1"/>
  <c r="S7903" i="1"/>
  <c r="S7911" i="1"/>
  <c r="S7919" i="1"/>
  <c r="S7927" i="1"/>
  <c r="S7935" i="1"/>
  <c r="S7943" i="1"/>
  <c r="S7951" i="1"/>
  <c r="S7959" i="1"/>
  <c r="S7967" i="1"/>
  <c r="S7975" i="1"/>
  <c r="S7983" i="1"/>
  <c r="S7991" i="1"/>
  <c r="S7999" i="1"/>
  <c r="S8007" i="1"/>
  <c r="S8015" i="1"/>
  <c r="S8023" i="1"/>
  <c r="S8031" i="1"/>
  <c r="S8039" i="1"/>
  <c r="S8047" i="1"/>
  <c r="S8055" i="1"/>
  <c r="S8063" i="1"/>
  <c r="S8071" i="1"/>
  <c r="S8079" i="1"/>
  <c r="S8087" i="1"/>
  <c r="S8095" i="1"/>
  <c r="S8103" i="1"/>
  <c r="S8111" i="1"/>
  <c r="S8119" i="1"/>
  <c r="S8127" i="1"/>
  <c r="S8135" i="1"/>
  <c r="S8143" i="1"/>
  <c r="S8151" i="1"/>
  <c r="S8159" i="1"/>
  <c r="S8167" i="1"/>
  <c r="S8175" i="1"/>
  <c r="S8183" i="1"/>
  <c r="S8191" i="1"/>
  <c r="S8199" i="1"/>
  <c r="S8207" i="1"/>
  <c r="S8215" i="1"/>
  <c r="S8223" i="1"/>
  <c r="S8231" i="1"/>
  <c r="S8239" i="1"/>
  <c r="S8247" i="1"/>
  <c r="S8255" i="1"/>
  <c r="S8263" i="1"/>
  <c r="S8271" i="1"/>
  <c r="S8279" i="1"/>
  <c r="S8287" i="1"/>
  <c r="S8295" i="1"/>
  <c r="S8303" i="1"/>
  <c r="S8311" i="1"/>
  <c r="S8319" i="1"/>
  <c r="S8327" i="1"/>
  <c r="S8335" i="1"/>
  <c r="S8343" i="1"/>
  <c r="S8351" i="1"/>
  <c r="S8359" i="1"/>
  <c r="S8367" i="1"/>
  <c r="S8375" i="1"/>
  <c r="S8383" i="1"/>
  <c r="S8391" i="1"/>
  <c r="S8399" i="1"/>
  <c r="S8407" i="1"/>
  <c r="S8415" i="1"/>
  <c r="S8423" i="1"/>
  <c r="S8431" i="1"/>
  <c r="S8439" i="1"/>
  <c r="S8447" i="1"/>
  <c r="S8455" i="1"/>
  <c r="S8463" i="1"/>
  <c r="S8471" i="1"/>
  <c r="S8479" i="1"/>
  <c r="S8487" i="1"/>
  <c r="S8495" i="1"/>
  <c r="S8503" i="1"/>
  <c r="S8511" i="1"/>
  <c r="S8519" i="1"/>
  <c r="S8527" i="1"/>
  <c r="S8535" i="1"/>
  <c r="S8543" i="1"/>
  <c r="S8551" i="1"/>
  <c r="S8559" i="1"/>
  <c r="S8567" i="1"/>
  <c r="S8575" i="1"/>
  <c r="S8583" i="1"/>
  <c r="S8591" i="1"/>
  <c r="S8599" i="1"/>
  <c r="S8607" i="1"/>
  <c r="S8615" i="1"/>
  <c r="S8623" i="1"/>
  <c r="S8631" i="1"/>
  <c r="S8639" i="1"/>
  <c r="S8647" i="1"/>
  <c r="S8655" i="1"/>
  <c r="S8663" i="1"/>
  <c r="S8671" i="1"/>
  <c r="S8679" i="1"/>
  <c r="S8687" i="1"/>
  <c r="S8695" i="1"/>
  <c r="S8703" i="1"/>
  <c r="S8711" i="1"/>
  <c r="S8719" i="1"/>
  <c r="S8727" i="1"/>
  <c r="S8735" i="1"/>
  <c r="S8743" i="1"/>
  <c r="S8751" i="1"/>
  <c r="S8759" i="1"/>
  <c r="S8767" i="1"/>
  <c r="S8775" i="1"/>
  <c r="S8783" i="1"/>
  <c r="S8791" i="1"/>
  <c r="S8799" i="1"/>
  <c r="S8807" i="1"/>
  <c r="S8815" i="1"/>
  <c r="S8823" i="1"/>
  <c r="S8831" i="1"/>
  <c r="S8839" i="1"/>
  <c r="S6743" i="1"/>
  <c r="S6757" i="1"/>
  <c r="S6785" i="1"/>
  <c r="S6799" i="1"/>
  <c r="S6921" i="1"/>
  <c r="S6933" i="1"/>
  <c r="S6982" i="1"/>
  <c r="S6994" i="1"/>
  <c r="S7055" i="1"/>
  <c r="S7103" i="1"/>
  <c r="S7135" i="1"/>
  <c r="S7145" i="1"/>
  <c r="S7151" i="1"/>
  <c r="S7183" i="1"/>
  <c r="S7199" i="1"/>
  <c r="S7215" i="1"/>
  <c r="S7231" i="1"/>
  <c r="S7247" i="1"/>
  <c r="S7263" i="1"/>
  <c r="S7279" i="1"/>
  <c r="S7295" i="1"/>
  <c r="S7311" i="1"/>
  <c r="S7327" i="1"/>
  <c r="S7337" i="1"/>
  <c r="S7350" i="1"/>
  <c r="S7363" i="1"/>
  <c r="S7375" i="1"/>
  <c r="S7388" i="1"/>
  <c r="S7401" i="1"/>
  <c r="S7414" i="1"/>
  <c r="S7427" i="1"/>
  <c r="S7441" i="1"/>
  <c r="S7455" i="1"/>
  <c r="S7459" i="1"/>
  <c r="S7473" i="1"/>
  <c r="S7487" i="1"/>
  <c r="S7491" i="1"/>
  <c r="S7505" i="1"/>
  <c r="S7519" i="1"/>
  <c r="S7523" i="1"/>
  <c r="S7537" i="1"/>
  <c r="S7551" i="1"/>
  <c r="S7555" i="1"/>
  <c r="S7558" i="1"/>
  <c r="S7561" i="1"/>
  <c r="S7564" i="1"/>
  <c r="S7567" i="1"/>
  <c r="S7613" i="1"/>
  <c r="S7616" i="1"/>
  <c r="S7619" i="1"/>
  <c r="S7622" i="1"/>
  <c r="S7625" i="1"/>
  <c r="S7628" i="1"/>
  <c r="S7631" i="1"/>
  <c r="S7677" i="1"/>
  <c r="S7680" i="1"/>
  <c r="S7683" i="1"/>
  <c r="S7686" i="1"/>
  <c r="S7689" i="1"/>
  <c r="S7692" i="1"/>
  <c r="S7695" i="1"/>
  <c r="S7746" i="1"/>
  <c r="S7754" i="1"/>
  <c r="S7762" i="1"/>
  <c r="S7770" i="1"/>
  <c r="S7778" i="1"/>
  <c r="S7786" i="1"/>
  <c r="S7794" i="1"/>
  <c r="S7802" i="1"/>
  <c r="S7810" i="1"/>
  <c r="S7818" i="1"/>
  <c r="S7826" i="1"/>
  <c r="S7834" i="1"/>
  <c r="S7842" i="1"/>
  <c r="S7850" i="1"/>
  <c r="S7858" i="1"/>
  <c r="S7866" i="1"/>
  <c r="S7874" i="1"/>
  <c r="S7882" i="1"/>
  <c r="S7890" i="1"/>
  <c r="S7898" i="1"/>
  <c r="S7906" i="1"/>
  <c r="S7914" i="1"/>
  <c r="S7922" i="1"/>
  <c r="S7930" i="1"/>
  <c r="S7938" i="1"/>
  <c r="S7946" i="1"/>
  <c r="S7954" i="1"/>
  <c r="S7962" i="1"/>
  <c r="S7970" i="1"/>
  <c r="S7978" i="1"/>
  <c r="S7986" i="1"/>
  <c r="S7994" i="1"/>
  <c r="S8002" i="1"/>
  <c r="S8010" i="1"/>
  <c r="S8018" i="1"/>
  <c r="S8026" i="1"/>
  <c r="S8034" i="1"/>
  <c r="S8042" i="1"/>
  <c r="S8050" i="1"/>
  <c r="S8058" i="1"/>
  <c r="S8066" i="1"/>
  <c r="S8074" i="1"/>
  <c r="S8082" i="1"/>
  <c r="S8090" i="1"/>
  <c r="S8098" i="1"/>
  <c r="S8106" i="1"/>
  <c r="S8114" i="1"/>
  <c r="S8122" i="1"/>
  <c r="S8130" i="1"/>
  <c r="S8138" i="1"/>
  <c r="S8146" i="1"/>
  <c r="S6732" i="1"/>
  <c r="S6843" i="1"/>
  <c r="S6871" i="1"/>
  <c r="S6885" i="1"/>
  <c r="S6911" i="1"/>
  <c r="S6972" i="1"/>
  <c r="S6984" i="1"/>
  <c r="S7033" i="1"/>
  <c r="S7045" i="1"/>
  <c r="S7094" i="1"/>
  <c r="S7105" i="1"/>
  <c r="S7137" i="1"/>
  <c r="S7153" i="1"/>
  <c r="S7159" i="1"/>
  <c r="S7174" i="1"/>
  <c r="S7190" i="1"/>
  <c r="S7206" i="1"/>
  <c r="S7222" i="1"/>
  <c r="S7238" i="1"/>
  <c r="S7254" i="1"/>
  <c r="S7270" i="1"/>
  <c r="S7286" i="1"/>
  <c r="S7302" i="1"/>
  <c r="S7318" i="1"/>
  <c r="S7342" i="1"/>
  <c r="S7355" i="1"/>
  <c r="S7367" i="1"/>
  <c r="S7380" i="1"/>
  <c r="S7393" i="1"/>
  <c r="S7406" i="1"/>
  <c r="S7419" i="1"/>
  <c r="S7438" i="1"/>
  <c r="S7452" i="1"/>
  <c r="S7456" i="1"/>
  <c r="S7470" i="1"/>
  <c r="S7484" i="1"/>
  <c r="S7488" i="1"/>
  <c r="S7502" i="1"/>
  <c r="S7516" i="1"/>
  <c r="S7520" i="1"/>
  <c r="S7534" i="1"/>
  <c r="S7548" i="1"/>
  <c r="S7552" i="1"/>
  <c r="S7589" i="1"/>
  <c r="S7592" i="1"/>
  <c r="S7595" i="1"/>
  <c r="S7598" i="1"/>
  <c r="S7601" i="1"/>
  <c r="S7604" i="1"/>
  <c r="S7607" i="1"/>
  <c r="S7653" i="1"/>
  <c r="S7656" i="1"/>
  <c r="S7659" i="1"/>
  <c r="S7662" i="1"/>
  <c r="S7665" i="1"/>
  <c r="S7668" i="1"/>
  <c r="S7671" i="1"/>
  <c r="S7717" i="1"/>
  <c r="S7720" i="1"/>
  <c r="S7723" i="1"/>
  <c r="S7726" i="1"/>
  <c r="S7729" i="1"/>
  <c r="S7732" i="1"/>
  <c r="S7735" i="1"/>
  <c r="S7741" i="1"/>
  <c r="S7749" i="1"/>
  <c r="S7757" i="1"/>
  <c r="S7765" i="1"/>
  <c r="S7773" i="1"/>
  <c r="S7781" i="1"/>
  <c r="S7789" i="1"/>
  <c r="S7797" i="1"/>
  <c r="S7805" i="1"/>
  <c r="S7813" i="1"/>
  <c r="S7821" i="1"/>
  <c r="S7829" i="1"/>
  <c r="S7837" i="1"/>
  <c r="S7845" i="1"/>
  <c r="S7853" i="1"/>
  <c r="S7861" i="1"/>
  <c r="S7869" i="1"/>
  <c r="S7877" i="1"/>
  <c r="S7885" i="1"/>
  <c r="S7893" i="1"/>
  <c r="S7901" i="1"/>
  <c r="S7909" i="1"/>
  <c r="S7917" i="1"/>
  <c r="S7925" i="1"/>
  <c r="S7933" i="1"/>
  <c r="S7941" i="1"/>
  <c r="S7949" i="1"/>
  <c r="S7957" i="1"/>
  <c r="S7965" i="1"/>
  <c r="S7973" i="1"/>
  <c r="S7981" i="1"/>
  <c r="S7989" i="1"/>
  <c r="S7997" i="1"/>
  <c r="S8005" i="1"/>
  <c r="S8013" i="1"/>
  <c r="S8021" i="1"/>
  <c r="S8029" i="1"/>
  <c r="S8037" i="1"/>
  <c r="S8045" i="1"/>
  <c r="S8053" i="1"/>
  <c r="S8061" i="1"/>
  <c r="S8069" i="1"/>
  <c r="S8077" i="1"/>
  <c r="S8085" i="1"/>
  <c r="S8093" i="1"/>
  <c r="S8101" i="1"/>
  <c r="S8109" i="1"/>
  <c r="S8117" i="1"/>
  <c r="S8125" i="1"/>
  <c r="S8133" i="1"/>
  <c r="S8141" i="1"/>
  <c r="S8149" i="1"/>
  <c r="S8157" i="1"/>
  <c r="S8165" i="1"/>
  <c r="S8173" i="1"/>
  <c r="S8181" i="1"/>
  <c r="S8189" i="1"/>
  <c r="S8197" i="1"/>
  <c r="S8205" i="1"/>
  <c r="S8213" i="1"/>
  <c r="S8221" i="1"/>
  <c r="S8229" i="1"/>
  <c r="S8237" i="1"/>
  <c r="S8245" i="1"/>
  <c r="S8253" i="1"/>
  <c r="S8261" i="1"/>
  <c r="S8269" i="1"/>
  <c r="S8277" i="1"/>
  <c r="S8285" i="1"/>
  <c r="S8293" i="1"/>
  <c r="S8301" i="1"/>
  <c r="S8309" i="1"/>
  <c r="S8317" i="1"/>
  <c r="S8325" i="1"/>
  <c r="S6816" i="1"/>
  <c r="S6844" i="1"/>
  <c r="S6858" i="1"/>
  <c r="S6872" i="1"/>
  <c r="S6924" i="1"/>
  <c r="S6936" i="1"/>
  <c r="S6985" i="1"/>
  <c r="S6997" i="1"/>
  <c r="S7046" i="1"/>
  <c r="S7058" i="1"/>
  <c r="S7127" i="1"/>
  <c r="S7161" i="1"/>
  <c r="S7167" i="1"/>
  <c r="S7185" i="1"/>
  <c r="S7201" i="1"/>
  <c r="S7217" i="1"/>
  <c r="S7233" i="1"/>
  <c r="S7249" i="1"/>
  <c r="S7265" i="1"/>
  <c r="S7281" i="1"/>
  <c r="S7297" i="1"/>
  <c r="S7313" i="1"/>
  <c r="S7329" i="1"/>
  <c r="S7334" i="1"/>
  <c r="S7347" i="1"/>
  <c r="S7359" i="1"/>
  <c r="S7372" i="1"/>
  <c r="S7385" i="1"/>
  <c r="S7398" i="1"/>
  <c r="S7411" i="1"/>
  <c r="S7423" i="1"/>
  <c r="S7431" i="1"/>
  <c r="S7435" i="1"/>
  <c r="S7449" i="1"/>
  <c r="S7463" i="1"/>
  <c r="S7467" i="1"/>
  <c r="S7481" i="1"/>
  <c r="S7495" i="1"/>
  <c r="S7499" i="1"/>
  <c r="S7513" i="1"/>
  <c r="S7527" i="1"/>
  <c r="S7531" i="1"/>
  <c r="S7545" i="1"/>
  <c r="S7565" i="1"/>
  <c r="S7568" i="1"/>
  <c r="S7571" i="1"/>
  <c r="S7574" i="1"/>
  <c r="S7577" i="1"/>
  <c r="S7580" i="1"/>
  <c r="S7583" i="1"/>
  <c r="S7629" i="1"/>
  <c r="S7632" i="1"/>
  <c r="S7635" i="1"/>
  <c r="S7638" i="1"/>
  <c r="S7641" i="1"/>
  <c r="S7644" i="1"/>
  <c r="S7647" i="1"/>
  <c r="S7693" i="1"/>
  <c r="S7696" i="1"/>
  <c r="S7699" i="1"/>
  <c r="S7702" i="1"/>
  <c r="S7705" i="1"/>
  <c r="S7708" i="1"/>
  <c r="S7711" i="1"/>
  <c r="S7744" i="1"/>
  <c r="S7752" i="1"/>
  <c r="S7760" i="1"/>
  <c r="S7768" i="1"/>
  <c r="S7776" i="1"/>
  <c r="S7784" i="1"/>
  <c r="S7792" i="1"/>
  <c r="S7800" i="1"/>
  <c r="S7808" i="1"/>
  <c r="S7816" i="1"/>
  <c r="S7824" i="1"/>
  <c r="S7832" i="1"/>
  <c r="S7840" i="1"/>
  <c r="S7848" i="1"/>
  <c r="S7856" i="1"/>
  <c r="S7864" i="1"/>
  <c r="S7872" i="1"/>
  <c r="S7880" i="1"/>
  <c r="S7888" i="1"/>
  <c r="S7896" i="1"/>
  <c r="S7904" i="1"/>
  <c r="S7912" i="1"/>
  <c r="S7920" i="1"/>
  <c r="S7928" i="1"/>
  <c r="S7936" i="1"/>
  <c r="S7944" i="1"/>
  <c r="S7952" i="1"/>
  <c r="S7960" i="1"/>
  <c r="S7968" i="1"/>
  <c r="S7976" i="1"/>
  <c r="S7984" i="1"/>
  <c r="S7992" i="1"/>
  <c r="S8000" i="1"/>
  <c r="S8008" i="1"/>
  <c r="S8016" i="1"/>
  <c r="S8024" i="1"/>
  <c r="S8032" i="1"/>
  <c r="S8040" i="1"/>
  <c r="S8048" i="1"/>
  <c r="S8056" i="1"/>
  <c r="S8064" i="1"/>
  <c r="S8072" i="1"/>
  <c r="S8080" i="1"/>
  <c r="S8088" i="1"/>
  <c r="S8096" i="1"/>
  <c r="S8104" i="1"/>
  <c r="S8112" i="1"/>
  <c r="S8120" i="1"/>
  <c r="S8128" i="1"/>
  <c r="S8136" i="1"/>
  <c r="S8144" i="1"/>
  <c r="S8152" i="1"/>
  <c r="S8160" i="1"/>
  <c r="S8168" i="1"/>
  <c r="S8176" i="1"/>
  <c r="S8184" i="1"/>
  <c r="S8192" i="1"/>
  <c r="S8200" i="1"/>
  <c r="S8208" i="1"/>
  <c r="S8216" i="1"/>
  <c r="S8224" i="1"/>
  <c r="S8232" i="1"/>
  <c r="S8240" i="1"/>
  <c r="S8248" i="1"/>
  <c r="S8256" i="1"/>
  <c r="S8264" i="1"/>
  <c r="S8272" i="1"/>
  <c r="S8280" i="1"/>
  <c r="S8288" i="1"/>
  <c r="S8296" i="1"/>
  <c r="S8304" i="1"/>
  <c r="S8312" i="1"/>
  <c r="S8320" i="1"/>
  <c r="S8328" i="1"/>
  <c r="S6749" i="1"/>
  <c r="S6763" i="1"/>
  <c r="S6777" i="1"/>
  <c r="S6791" i="1"/>
  <c r="S6805" i="1"/>
  <c r="S6833" i="1"/>
  <c r="S6902" i="1"/>
  <c r="S6914" i="1"/>
  <c r="S6975" i="1"/>
  <c r="S7036" i="1"/>
  <c r="S7048" i="1"/>
  <c r="S7097" i="1"/>
  <c r="S7129" i="1"/>
  <c r="S7169" i="1"/>
  <c r="S7180" i="1"/>
  <c r="S7196" i="1"/>
  <c r="S7212" i="1"/>
  <c r="S7228" i="1"/>
  <c r="S7244" i="1"/>
  <c r="S7260" i="1"/>
  <c r="S7276" i="1"/>
  <c r="S7292" i="1"/>
  <c r="S7308" i="1"/>
  <c r="S7324" i="1"/>
  <c r="S7339" i="1"/>
  <c r="S7351" i="1"/>
  <c r="S7364" i="1"/>
  <c r="S7377" i="1"/>
  <c r="S7390" i="1"/>
  <c r="S7403" i="1"/>
  <c r="S7415" i="1"/>
  <c r="S7428" i="1"/>
  <c r="S7432" i="1"/>
  <c r="S7446" i="1"/>
  <c r="S7460" i="1"/>
  <c r="S7464" i="1"/>
  <c r="S7478" i="1"/>
  <c r="S7492" i="1"/>
  <c r="S7496" i="1"/>
  <c r="S7510" i="1"/>
  <c r="S7524" i="1"/>
  <c r="S7528" i="1"/>
  <c r="S7542" i="1"/>
  <c r="S7556" i="1"/>
  <c r="S7559" i="1"/>
  <c r="S7605" i="1"/>
  <c r="S7608" i="1"/>
  <c r="S7611" i="1"/>
  <c r="S7614" i="1"/>
  <c r="S7617" i="1"/>
  <c r="S7620" i="1"/>
  <c r="S7623" i="1"/>
  <c r="S7669" i="1"/>
  <c r="S7672" i="1"/>
  <c r="S7675" i="1"/>
  <c r="S7678" i="1"/>
  <c r="S7681" i="1"/>
  <c r="S7684" i="1"/>
  <c r="S7687" i="1"/>
  <c r="S7733" i="1"/>
  <c r="S7736" i="1"/>
  <c r="S7739" i="1"/>
  <c r="S7747" i="1"/>
  <c r="S7755" i="1"/>
  <c r="S7763" i="1"/>
  <c r="S7771" i="1"/>
  <c r="S7779" i="1"/>
  <c r="S7787" i="1"/>
  <c r="S7795" i="1"/>
  <c r="S7803" i="1"/>
  <c r="S7811" i="1"/>
  <c r="S7819" i="1"/>
  <c r="S7827" i="1"/>
  <c r="S7835" i="1"/>
  <c r="S7843" i="1"/>
  <c r="S7851" i="1"/>
  <c r="S7859" i="1"/>
  <c r="S7867" i="1"/>
  <c r="S7875" i="1"/>
  <c r="S7883" i="1"/>
  <c r="S7891" i="1"/>
  <c r="S7899" i="1"/>
  <c r="S7907" i="1"/>
  <c r="S7915" i="1"/>
  <c r="S7923" i="1"/>
  <c r="S7931" i="1"/>
  <c r="S7939" i="1"/>
  <c r="S7947" i="1"/>
  <c r="S7955" i="1"/>
  <c r="S7963" i="1"/>
  <c r="S7971" i="1"/>
  <c r="S7979" i="1"/>
  <c r="S7987" i="1"/>
  <c r="S7995" i="1"/>
  <c r="S8003" i="1"/>
  <c r="S8011" i="1"/>
  <c r="S8019" i="1"/>
  <c r="S8027" i="1"/>
  <c r="S8035" i="1"/>
  <c r="S8043" i="1"/>
  <c r="S8051" i="1"/>
  <c r="S8059" i="1"/>
  <c r="S8067" i="1"/>
  <c r="S8075" i="1"/>
  <c r="S8083" i="1"/>
  <c r="S8091" i="1"/>
  <c r="S8099" i="1"/>
  <c r="S8107" i="1"/>
  <c r="S8115" i="1"/>
  <c r="S8123" i="1"/>
  <c r="S8131" i="1"/>
  <c r="S8139" i="1"/>
  <c r="S8147" i="1"/>
  <c r="S8155" i="1"/>
  <c r="S8163" i="1"/>
  <c r="S8171" i="1"/>
  <c r="S8179" i="1"/>
  <c r="S8187" i="1"/>
  <c r="S8195" i="1"/>
  <c r="S8203" i="1"/>
  <c r="S8211" i="1"/>
  <c r="S8219" i="1"/>
  <c r="S8227" i="1"/>
  <c r="S8235" i="1"/>
  <c r="S8243" i="1"/>
  <c r="S8251" i="1"/>
  <c r="S8259" i="1"/>
  <c r="S8267" i="1"/>
  <c r="S8275" i="1"/>
  <c r="S8283" i="1"/>
  <c r="S8291" i="1"/>
  <c r="S8299" i="1"/>
  <c r="S8307" i="1"/>
  <c r="S8315" i="1"/>
  <c r="S8323" i="1"/>
  <c r="S6736" i="1"/>
  <c r="S6764" i="1"/>
  <c r="S6778" i="1"/>
  <c r="S6927" i="1"/>
  <c r="S6988" i="1"/>
  <c r="S7000" i="1"/>
  <c r="S7049" i="1"/>
  <c r="S7061" i="1"/>
  <c r="S7119" i="1"/>
  <c r="S7148" i="1"/>
  <c r="S7175" i="1"/>
  <c r="S7191" i="1"/>
  <c r="S7207" i="1"/>
  <c r="S7223" i="1"/>
  <c r="S7239" i="1"/>
  <c r="S7255" i="1"/>
  <c r="S7271" i="1"/>
  <c r="S7287" i="1"/>
  <c r="S7303" i="1"/>
  <c r="S7319" i="1"/>
  <c r="S7343" i="1"/>
  <c r="S7356" i="1"/>
  <c r="S7369" i="1"/>
  <c r="S7382" i="1"/>
  <c r="S7395" i="1"/>
  <c r="S7407" i="1"/>
  <c r="S7420" i="1"/>
  <c r="S7439" i="1"/>
  <c r="S7443" i="1"/>
  <c r="S7457" i="1"/>
  <c r="S7471" i="1"/>
  <c r="S7475" i="1"/>
  <c r="S7489" i="1"/>
  <c r="S7503" i="1"/>
  <c r="S7507" i="1"/>
  <c r="S6850" i="1"/>
  <c r="S6864" i="1"/>
  <c r="S6892" i="1"/>
  <c r="S6905" i="1"/>
  <c r="S6917" i="1"/>
  <c r="S6966" i="1"/>
  <c r="S6978" i="1"/>
  <c r="S7039" i="1"/>
  <c r="S7121" i="1"/>
  <c r="S7156" i="1"/>
  <c r="S7182" i="1"/>
  <c r="S7198" i="1"/>
  <c r="S7214" i="1"/>
  <c r="S7230" i="1"/>
  <c r="S7246" i="1"/>
  <c r="S7262" i="1"/>
  <c r="S7278" i="1"/>
  <c r="S7294" i="1"/>
  <c r="S7310" i="1"/>
  <c r="S7326" i="1"/>
  <c r="S7335" i="1"/>
  <c r="S7348" i="1"/>
  <c r="S7361" i="1"/>
  <c r="S7374" i="1"/>
  <c r="S7387" i="1"/>
  <c r="S7399" i="1"/>
  <c r="S7412" i="1"/>
  <c r="S7425" i="1"/>
  <c r="S7436" i="1"/>
  <c r="S7440" i="1"/>
  <c r="S7454" i="1"/>
  <c r="S7468" i="1"/>
  <c r="S7472" i="1"/>
  <c r="S7486" i="1"/>
  <c r="S7500" i="1"/>
  <c r="S7504" i="1"/>
  <c r="S6795" i="1"/>
  <c r="S6837" i="1"/>
  <c r="S6851" i="1"/>
  <c r="S6865" i="1"/>
  <c r="S6879" i="1"/>
  <c r="S6918" i="1"/>
  <c r="S6930" i="1"/>
  <c r="S6991" i="1"/>
  <c r="S7052" i="1"/>
  <c r="S7064" i="1"/>
  <c r="S7111" i="1"/>
  <c r="S7164" i="1"/>
  <c r="S7177" i="1"/>
  <c r="S7193" i="1"/>
  <c r="S7209" i="1"/>
  <c r="S7225" i="1"/>
  <c r="S7241" i="1"/>
  <c r="S7257" i="1"/>
  <c r="S7273" i="1"/>
  <c r="S7289" i="1"/>
  <c r="S7305" i="1"/>
  <c r="S7321" i="1"/>
  <c r="S7340" i="1"/>
  <c r="S7353" i="1"/>
  <c r="S7366" i="1"/>
  <c r="S7379" i="1"/>
  <c r="S7391" i="1"/>
  <c r="S7404" i="1"/>
  <c r="S7417" i="1"/>
  <c r="S7433" i="1"/>
  <c r="S7447" i="1"/>
  <c r="S7451" i="1"/>
  <c r="S7465" i="1"/>
  <c r="S7479" i="1"/>
  <c r="S7483" i="1"/>
  <c r="S7497" i="1"/>
  <c r="S7511" i="1"/>
  <c r="S7515" i="1"/>
  <c r="S7529" i="1"/>
  <c r="S7543" i="1"/>
  <c r="S7547" i="1"/>
  <c r="S7597" i="1"/>
  <c r="S7600" i="1"/>
  <c r="S7603" i="1"/>
  <c r="S7606" i="1"/>
  <c r="S7609" i="1"/>
  <c r="S7612" i="1"/>
  <c r="S7615" i="1"/>
  <c r="S7661" i="1"/>
  <c r="S7664" i="1"/>
  <c r="S7667" i="1"/>
  <c r="S7670" i="1"/>
  <c r="S7673" i="1"/>
  <c r="S7676" i="1"/>
  <c r="S7679" i="1"/>
  <c r="S7725" i="1"/>
  <c r="S7728" i="1"/>
  <c r="S7731" i="1"/>
  <c r="S7734" i="1"/>
  <c r="S7737" i="1"/>
  <c r="S7740" i="1"/>
  <c r="S7748" i="1"/>
  <c r="S7756" i="1"/>
  <c r="S7764" i="1"/>
  <c r="S7772" i="1"/>
  <c r="S7780" i="1"/>
  <c r="S7788" i="1"/>
  <c r="S7796" i="1"/>
  <c r="S7804" i="1"/>
  <c r="S7812" i="1"/>
  <c r="S7820" i="1"/>
  <c r="S7828" i="1"/>
  <c r="S7836" i="1"/>
  <c r="S7844" i="1"/>
  <c r="S7852" i="1"/>
  <c r="S7860" i="1"/>
  <c r="S7868" i="1"/>
  <c r="S7876" i="1"/>
  <c r="S7884" i="1"/>
  <c r="S7892" i="1"/>
  <c r="S7900" i="1"/>
  <c r="S7908" i="1"/>
  <c r="S7916" i="1"/>
  <c r="S7924" i="1"/>
  <c r="S7932" i="1"/>
  <c r="S7940" i="1"/>
  <c r="S7948" i="1"/>
  <c r="S7956" i="1"/>
  <c r="S7964" i="1"/>
  <c r="S7972" i="1"/>
  <c r="S7980" i="1"/>
  <c r="S7988" i="1"/>
  <c r="S7996" i="1"/>
  <c r="S8004" i="1"/>
  <c r="S8012" i="1"/>
  <c r="S8020" i="1"/>
  <c r="S8028" i="1"/>
  <c r="S8036" i="1"/>
  <c r="S8044" i="1"/>
  <c r="S8052" i="1"/>
  <c r="S8060" i="1"/>
  <c r="S8068" i="1"/>
  <c r="S8076" i="1"/>
  <c r="S8084" i="1"/>
  <c r="S8092" i="1"/>
  <c r="S8100" i="1"/>
  <c r="S8108" i="1"/>
  <c r="S8116" i="1"/>
  <c r="S8124" i="1"/>
  <c r="S8132" i="1"/>
  <c r="S8140" i="1"/>
  <c r="S8148" i="1"/>
  <c r="S7536" i="1"/>
  <c r="S7550" i="1"/>
  <c r="S7563" i="1"/>
  <c r="S7575" i="1"/>
  <c r="S7624" i="1"/>
  <c r="S7636" i="1"/>
  <c r="S7685" i="1"/>
  <c r="S7697" i="1"/>
  <c r="S7745" i="1"/>
  <c r="S7777" i="1"/>
  <c r="S7809" i="1"/>
  <c r="S7841" i="1"/>
  <c r="S7873" i="1"/>
  <c r="S7905" i="1"/>
  <c r="S7937" i="1"/>
  <c r="S7969" i="1"/>
  <c r="S8001" i="1"/>
  <c r="S8033" i="1"/>
  <c r="S8065" i="1"/>
  <c r="S8097" i="1"/>
  <c r="S8129" i="1"/>
  <c r="S8150" i="1"/>
  <c r="S8156" i="1"/>
  <c r="S8172" i="1"/>
  <c r="S8188" i="1"/>
  <c r="S8204" i="1"/>
  <c r="S8220" i="1"/>
  <c r="S8236" i="1"/>
  <c r="S8252" i="1"/>
  <c r="S8268" i="1"/>
  <c r="S8284" i="1"/>
  <c r="S8300" i="1"/>
  <c r="S8316" i="1"/>
  <c r="S8331" i="1"/>
  <c r="S8334" i="1"/>
  <c r="S8337" i="1"/>
  <c r="S8340" i="1"/>
  <c r="S8386" i="1"/>
  <c r="S8389" i="1"/>
  <c r="S8392" i="1"/>
  <c r="S8395" i="1"/>
  <c r="S8398" i="1"/>
  <c r="S8401" i="1"/>
  <c r="S8404" i="1"/>
  <c r="S8450" i="1"/>
  <c r="S8453" i="1"/>
  <c r="S8456" i="1"/>
  <c r="S8459" i="1"/>
  <c r="S8462" i="1"/>
  <c r="S8465" i="1"/>
  <c r="S8468" i="1"/>
  <c r="S8514" i="1"/>
  <c r="S8517" i="1"/>
  <c r="S8520" i="1"/>
  <c r="S8523" i="1"/>
  <c r="S8526" i="1"/>
  <c r="S8529" i="1"/>
  <c r="S8532" i="1"/>
  <c r="S8578" i="1"/>
  <c r="S8581" i="1"/>
  <c r="S8584" i="1"/>
  <c r="S8587" i="1"/>
  <c r="S8590" i="1"/>
  <c r="S8593" i="1"/>
  <c r="S8596" i="1"/>
  <c r="S8642" i="1"/>
  <c r="S8645" i="1"/>
  <c r="S8648" i="1"/>
  <c r="S8651" i="1"/>
  <c r="S8654" i="1"/>
  <c r="S8657" i="1"/>
  <c r="S8660" i="1"/>
  <c r="S8706" i="1"/>
  <c r="S8709" i="1"/>
  <c r="S8712" i="1"/>
  <c r="S8715" i="1"/>
  <c r="S8718" i="1"/>
  <c r="S8721" i="1"/>
  <c r="S8724" i="1"/>
  <c r="S8770" i="1"/>
  <c r="S8773" i="1"/>
  <c r="S8776" i="1"/>
  <c r="S8779" i="1"/>
  <c r="S8782" i="1"/>
  <c r="S8785" i="1"/>
  <c r="S8788" i="1"/>
  <c r="S8834" i="1"/>
  <c r="S8837" i="1"/>
  <c r="S8840" i="1"/>
  <c r="S8843" i="1"/>
  <c r="S8846" i="1"/>
  <c r="S8854" i="1"/>
  <c r="S8862" i="1"/>
  <c r="S8870" i="1"/>
  <c r="S8878" i="1"/>
  <c r="S8886" i="1"/>
  <c r="S8894" i="1"/>
  <c r="S8902" i="1"/>
  <c r="S8910" i="1"/>
  <c r="S8918" i="1"/>
  <c r="S8926" i="1"/>
  <c r="S8934" i="1"/>
  <c r="S8942" i="1"/>
  <c r="S8950" i="1"/>
  <c r="S8958" i="1"/>
  <c r="S8966" i="1"/>
  <c r="S8974" i="1"/>
  <c r="S8982" i="1"/>
  <c r="S8990" i="1"/>
  <c r="S8998" i="1"/>
  <c r="S9006" i="1"/>
  <c r="S9014" i="1"/>
  <c r="S9022" i="1"/>
  <c r="S9030" i="1"/>
  <c r="S9038" i="1"/>
  <c r="S9046" i="1"/>
  <c r="S9054" i="1"/>
  <c r="S9062" i="1"/>
  <c r="S9070" i="1"/>
  <c r="S9078" i="1"/>
  <c r="S9086" i="1"/>
  <c r="S9094" i="1"/>
  <c r="S9102" i="1"/>
  <c r="S9110" i="1"/>
  <c r="S9118" i="1"/>
  <c r="S9126" i="1"/>
  <c r="S9134" i="1"/>
  <c r="S9142" i="1"/>
  <c r="S9150" i="1"/>
  <c r="S9158" i="1"/>
  <c r="S9166" i="1"/>
  <c r="S9174" i="1"/>
  <c r="S9182" i="1"/>
  <c r="S9190" i="1"/>
  <c r="S9198" i="1"/>
  <c r="S9206" i="1"/>
  <c r="S9214" i="1"/>
  <c r="S9222" i="1"/>
  <c r="S9230" i="1"/>
  <c r="S9238" i="1"/>
  <c r="S9246" i="1"/>
  <c r="S9254" i="1"/>
  <c r="S9262" i="1"/>
  <c r="S9270" i="1"/>
  <c r="S9278" i="1"/>
  <c r="S9286" i="1"/>
  <c r="S9294" i="1"/>
  <c r="S9302" i="1"/>
  <c r="S9310" i="1"/>
  <c r="S9318" i="1"/>
  <c r="S9326" i="1"/>
  <c r="S9334" i="1"/>
  <c r="S9342" i="1"/>
  <c r="S9350" i="1"/>
  <c r="S9358" i="1"/>
  <c r="S9366" i="1"/>
  <c r="S9374" i="1"/>
  <c r="S9382" i="1"/>
  <c r="S9390" i="1"/>
  <c r="S9398" i="1"/>
  <c r="S9406" i="1"/>
  <c r="S9414" i="1"/>
  <c r="S9422" i="1"/>
  <c r="S9430" i="1"/>
  <c r="S9438" i="1"/>
  <c r="S9446" i="1"/>
  <c r="S9454" i="1"/>
  <c r="S9462" i="1"/>
  <c r="S9470" i="1"/>
  <c r="S9478" i="1"/>
  <c r="S9486" i="1"/>
  <c r="S9494" i="1"/>
  <c r="S9502" i="1"/>
  <c r="S9510" i="1"/>
  <c r="S9518" i="1"/>
  <c r="S9526" i="1"/>
  <c r="S9534" i="1"/>
  <c r="S7539" i="1"/>
  <c r="S7553" i="1"/>
  <c r="S7590" i="1"/>
  <c r="S7651" i="1"/>
  <c r="S7663" i="1"/>
  <c r="S7712" i="1"/>
  <c r="S7724" i="1"/>
  <c r="S7758" i="1"/>
  <c r="S7790" i="1"/>
  <c r="S7822" i="1"/>
  <c r="S7854" i="1"/>
  <c r="S7886" i="1"/>
  <c r="S7918" i="1"/>
  <c r="S7950" i="1"/>
  <c r="S7982" i="1"/>
  <c r="S8014" i="1"/>
  <c r="S8046" i="1"/>
  <c r="S8078" i="1"/>
  <c r="S8110" i="1"/>
  <c r="S8142" i="1"/>
  <c r="S8162" i="1"/>
  <c r="S8178" i="1"/>
  <c r="S8194" i="1"/>
  <c r="S8210" i="1"/>
  <c r="S8226" i="1"/>
  <c r="S8242" i="1"/>
  <c r="S8258" i="1"/>
  <c r="S8274" i="1"/>
  <c r="S8290" i="1"/>
  <c r="S8306" i="1"/>
  <c r="S8322" i="1"/>
  <c r="S8362" i="1"/>
  <c r="S8365" i="1"/>
  <c r="S8368" i="1"/>
  <c r="S8371" i="1"/>
  <c r="S8374" i="1"/>
  <c r="S8377" i="1"/>
  <c r="S8380" i="1"/>
  <c r="S8426" i="1"/>
  <c r="S8429" i="1"/>
  <c r="S8432" i="1"/>
  <c r="S8435" i="1"/>
  <c r="S8438" i="1"/>
  <c r="S8441" i="1"/>
  <c r="S8444" i="1"/>
  <c r="S8490" i="1"/>
  <c r="S8493" i="1"/>
  <c r="S8496" i="1"/>
  <c r="S8499" i="1"/>
  <c r="S8502" i="1"/>
  <c r="S8505" i="1"/>
  <c r="S8508" i="1"/>
  <c r="S8554" i="1"/>
  <c r="S8557" i="1"/>
  <c r="S8560" i="1"/>
  <c r="S8563" i="1"/>
  <c r="S8566" i="1"/>
  <c r="S8569" i="1"/>
  <c r="S8572" i="1"/>
  <c r="S8618" i="1"/>
  <c r="S8621" i="1"/>
  <c r="S8624" i="1"/>
  <c r="S8627" i="1"/>
  <c r="S8630" i="1"/>
  <c r="S8633" i="1"/>
  <c r="S8636" i="1"/>
  <c r="S8682" i="1"/>
  <c r="S8685" i="1"/>
  <c r="S8688" i="1"/>
  <c r="S8691" i="1"/>
  <c r="S8694" i="1"/>
  <c r="S8697" i="1"/>
  <c r="S8700" i="1"/>
  <c r="S8746" i="1"/>
  <c r="S8749" i="1"/>
  <c r="S8752" i="1"/>
  <c r="S8755" i="1"/>
  <c r="S8758" i="1"/>
  <c r="S8761" i="1"/>
  <c r="S8764" i="1"/>
  <c r="S8810" i="1"/>
  <c r="S8813" i="1"/>
  <c r="S8816" i="1"/>
  <c r="S8819" i="1"/>
  <c r="S8822" i="1"/>
  <c r="S8825" i="1"/>
  <c r="S8828" i="1"/>
  <c r="S8849" i="1"/>
  <c r="S8857" i="1"/>
  <c r="S8865" i="1"/>
  <c r="S8873" i="1"/>
  <c r="S8881" i="1"/>
  <c r="S8889" i="1"/>
  <c r="S8897" i="1"/>
  <c r="S8905" i="1"/>
  <c r="S8913" i="1"/>
  <c r="S8921" i="1"/>
  <c r="S8929" i="1"/>
  <c r="S8937" i="1"/>
  <c r="S8945" i="1"/>
  <c r="S8953" i="1"/>
  <c r="S8961" i="1"/>
  <c r="S8969" i="1"/>
  <c r="S8977" i="1"/>
  <c r="S8985" i="1"/>
  <c r="S8993" i="1"/>
  <c r="S9001" i="1"/>
  <c r="S9009" i="1"/>
  <c r="S9017" i="1"/>
  <c r="S9025" i="1"/>
  <c r="S9033" i="1"/>
  <c r="S9041" i="1"/>
  <c r="S9049" i="1"/>
  <c r="S9057" i="1"/>
  <c r="S9065" i="1"/>
  <c r="S9073" i="1"/>
  <c r="S9081" i="1"/>
  <c r="S9089" i="1"/>
  <c r="S9097" i="1"/>
  <c r="S7566" i="1"/>
  <c r="S7627" i="1"/>
  <c r="S7639" i="1"/>
  <c r="S7688" i="1"/>
  <c r="S7700" i="1"/>
  <c r="S7769" i="1"/>
  <c r="S7801" i="1"/>
  <c r="S7833" i="1"/>
  <c r="S7865" i="1"/>
  <c r="S7897" i="1"/>
  <c r="S7929" i="1"/>
  <c r="S7961" i="1"/>
  <c r="S7993" i="1"/>
  <c r="S8025" i="1"/>
  <c r="S8057" i="1"/>
  <c r="S8089" i="1"/>
  <c r="S8121" i="1"/>
  <c r="S8158" i="1"/>
  <c r="S8174" i="1"/>
  <c r="S8190" i="1"/>
  <c r="S8206" i="1"/>
  <c r="S8222" i="1"/>
  <c r="S8238" i="1"/>
  <c r="S8254" i="1"/>
  <c r="S8270" i="1"/>
  <c r="S8286" i="1"/>
  <c r="S8302" i="1"/>
  <c r="S8318" i="1"/>
  <c r="S8338" i="1"/>
  <c r="S8341" i="1"/>
  <c r="S8344" i="1"/>
  <c r="S8347" i="1"/>
  <c r="S8350" i="1"/>
  <c r="S8353" i="1"/>
  <c r="S8356" i="1"/>
  <c r="S8402" i="1"/>
  <c r="S8405" i="1"/>
  <c r="S8408" i="1"/>
  <c r="S8411" i="1"/>
  <c r="S8414" i="1"/>
  <c r="S8417" i="1"/>
  <c r="S8420" i="1"/>
  <c r="S8466" i="1"/>
  <c r="S8469" i="1"/>
  <c r="S8472" i="1"/>
  <c r="S8475" i="1"/>
  <c r="S8478" i="1"/>
  <c r="S8481" i="1"/>
  <c r="S8484" i="1"/>
  <c r="S8530" i="1"/>
  <c r="S8533" i="1"/>
  <c r="S8536" i="1"/>
  <c r="S8539" i="1"/>
  <c r="S8542" i="1"/>
  <c r="S8545" i="1"/>
  <c r="S8548" i="1"/>
  <c r="S8594" i="1"/>
  <c r="S8597" i="1"/>
  <c r="S8600" i="1"/>
  <c r="S8603" i="1"/>
  <c r="S8606" i="1"/>
  <c r="S8609" i="1"/>
  <c r="S8612" i="1"/>
  <c r="S8658" i="1"/>
  <c r="S8661" i="1"/>
  <c r="S8664" i="1"/>
  <c r="S8667" i="1"/>
  <c r="S8670" i="1"/>
  <c r="S8673" i="1"/>
  <c r="S8676" i="1"/>
  <c r="S8722" i="1"/>
  <c r="S8725" i="1"/>
  <c r="S8728" i="1"/>
  <c r="S8731" i="1"/>
  <c r="S8734" i="1"/>
  <c r="S8737" i="1"/>
  <c r="S8740" i="1"/>
  <c r="S8786" i="1"/>
  <c r="S8789" i="1"/>
  <c r="S8792" i="1"/>
  <c r="S8795" i="1"/>
  <c r="S8798" i="1"/>
  <c r="S8801" i="1"/>
  <c r="S8804" i="1"/>
  <c r="S8852" i="1"/>
  <c r="S8860" i="1"/>
  <c r="S8868" i="1"/>
  <c r="S8876" i="1"/>
  <c r="S8884" i="1"/>
  <c r="S8892" i="1"/>
  <c r="S8900" i="1"/>
  <c r="S8908" i="1"/>
  <c r="S8916" i="1"/>
  <c r="S8924" i="1"/>
  <c r="S8932" i="1"/>
  <c r="S8940" i="1"/>
  <c r="S8948" i="1"/>
  <c r="S8956" i="1"/>
  <c r="S8964" i="1"/>
  <c r="S8972" i="1"/>
  <c r="S8980" i="1"/>
  <c r="S8988" i="1"/>
  <c r="S8996" i="1"/>
  <c r="S9004" i="1"/>
  <c r="S9012" i="1"/>
  <c r="S9020" i="1"/>
  <c r="S9028" i="1"/>
  <c r="S9036" i="1"/>
  <c r="S9044" i="1"/>
  <c r="S9052" i="1"/>
  <c r="S9060" i="1"/>
  <c r="S9068" i="1"/>
  <c r="S9076" i="1"/>
  <c r="S9084" i="1"/>
  <c r="S9092" i="1"/>
  <c r="S9100" i="1"/>
  <c r="S7581" i="1"/>
  <c r="S7593" i="1"/>
  <c r="S7654" i="1"/>
  <c r="S7715" i="1"/>
  <c r="S7727" i="1"/>
  <c r="S7750" i="1"/>
  <c r="S7782" i="1"/>
  <c r="S7814" i="1"/>
  <c r="S7846" i="1"/>
  <c r="S7878" i="1"/>
  <c r="S7910" i="1"/>
  <c r="S7942" i="1"/>
  <c r="S7974" i="1"/>
  <c r="S8006" i="1"/>
  <c r="S8038" i="1"/>
  <c r="S8070" i="1"/>
  <c r="S8102" i="1"/>
  <c r="S8134" i="1"/>
  <c r="S8169" i="1"/>
  <c r="S8185" i="1"/>
  <c r="S8201" i="1"/>
  <c r="S8217" i="1"/>
  <c r="S8233" i="1"/>
  <c r="S8249" i="1"/>
  <c r="S8265" i="1"/>
  <c r="S8281" i="1"/>
  <c r="S8297" i="1"/>
  <c r="S8313" i="1"/>
  <c r="S8329" i="1"/>
  <c r="S8332" i="1"/>
  <c r="S8378" i="1"/>
  <c r="S8381" i="1"/>
  <c r="S8384" i="1"/>
  <c r="S8387" i="1"/>
  <c r="S8390" i="1"/>
  <c r="S8393" i="1"/>
  <c r="S8396" i="1"/>
  <c r="S8442" i="1"/>
  <c r="S8445" i="1"/>
  <c r="S8448" i="1"/>
  <c r="S8451" i="1"/>
  <c r="S8454" i="1"/>
  <c r="S8457" i="1"/>
  <c r="S8460" i="1"/>
  <c r="S8506" i="1"/>
  <c r="S8509" i="1"/>
  <c r="S8512" i="1"/>
  <c r="S8515" i="1"/>
  <c r="S8518" i="1"/>
  <c r="S8521" i="1"/>
  <c r="S8524" i="1"/>
  <c r="S8570" i="1"/>
  <c r="S8573" i="1"/>
  <c r="S8576" i="1"/>
  <c r="S8579" i="1"/>
  <c r="S8582" i="1"/>
  <c r="S8585" i="1"/>
  <c r="S8588" i="1"/>
  <c r="S8634" i="1"/>
  <c r="S8637" i="1"/>
  <c r="S8640" i="1"/>
  <c r="S8643" i="1"/>
  <c r="S8646" i="1"/>
  <c r="S8649" i="1"/>
  <c r="S8652" i="1"/>
  <c r="S8698" i="1"/>
  <c r="S8701" i="1"/>
  <c r="S8704" i="1"/>
  <c r="S8707" i="1"/>
  <c r="S8710" i="1"/>
  <c r="S8713" i="1"/>
  <c r="S8716" i="1"/>
  <c r="S8762" i="1"/>
  <c r="S8765" i="1"/>
  <c r="S8768" i="1"/>
  <c r="S8771" i="1"/>
  <c r="S8774" i="1"/>
  <c r="S8777" i="1"/>
  <c r="S8780" i="1"/>
  <c r="S8826" i="1"/>
  <c r="S8829" i="1"/>
  <c r="S8832" i="1"/>
  <c r="S8835" i="1"/>
  <c r="S8838" i="1"/>
  <c r="S8841" i="1"/>
  <c r="S8844" i="1"/>
  <c r="S8847" i="1"/>
  <c r="S8855" i="1"/>
  <c r="S8863" i="1"/>
  <c r="S8871" i="1"/>
  <c r="S8879" i="1"/>
  <c r="S8887" i="1"/>
  <c r="S8895" i="1"/>
  <c r="S8903" i="1"/>
  <c r="S8911" i="1"/>
  <c r="S8919" i="1"/>
  <c r="S8927" i="1"/>
  <c r="S8935" i="1"/>
  <c r="S8943" i="1"/>
  <c r="S8951" i="1"/>
  <c r="S8959" i="1"/>
  <c r="S8967" i="1"/>
  <c r="S8975" i="1"/>
  <c r="S8983" i="1"/>
  <c r="S8991" i="1"/>
  <c r="S8999" i="1"/>
  <c r="S9007" i="1"/>
  <c r="S9015" i="1"/>
  <c r="S7557" i="1"/>
  <c r="S7569" i="1"/>
  <c r="S7630" i="1"/>
  <c r="S7691" i="1"/>
  <c r="S7703" i="1"/>
  <c r="S7761" i="1"/>
  <c r="S7793" i="1"/>
  <c r="S7825" i="1"/>
  <c r="S7857" i="1"/>
  <c r="S7889" i="1"/>
  <c r="S7921" i="1"/>
  <c r="S7953" i="1"/>
  <c r="S7985" i="1"/>
  <c r="S8017" i="1"/>
  <c r="S8049" i="1"/>
  <c r="S8081" i="1"/>
  <c r="S8113" i="1"/>
  <c r="S8145" i="1"/>
  <c r="S8153" i="1"/>
  <c r="S8164" i="1"/>
  <c r="S8180" i="1"/>
  <c r="S8196" i="1"/>
  <c r="S8212" i="1"/>
  <c r="S8228" i="1"/>
  <c r="S7584" i="1"/>
  <c r="S7596" i="1"/>
  <c r="S7645" i="1"/>
  <c r="S7657" i="1"/>
  <c r="S7718" i="1"/>
  <c r="S7742" i="1"/>
  <c r="S7774" i="1"/>
  <c r="S7806" i="1"/>
  <c r="S7838" i="1"/>
  <c r="S7870" i="1"/>
  <c r="S7902" i="1"/>
  <c r="S7934" i="1"/>
  <c r="S7966" i="1"/>
  <c r="S7998" i="1"/>
  <c r="S8030" i="1"/>
  <c r="S8062" i="1"/>
  <c r="S8094" i="1"/>
  <c r="S8126" i="1"/>
  <c r="S8154" i="1"/>
  <c r="S8170" i="1"/>
  <c r="S8186" i="1"/>
  <c r="S8202" i="1"/>
  <c r="S8218" i="1"/>
  <c r="S8234" i="1"/>
  <c r="S7518" i="1"/>
  <c r="S7532" i="1"/>
  <c r="S7560" i="1"/>
  <c r="S7572" i="1"/>
  <c r="S7621" i="1"/>
  <c r="S7633" i="1"/>
  <c r="S7694" i="1"/>
  <c r="S7753" i="1"/>
  <c r="S7785" i="1"/>
  <c r="S7817" i="1"/>
  <c r="S7849" i="1"/>
  <c r="S7881" i="1"/>
  <c r="S7913" i="1"/>
  <c r="S7945" i="1"/>
  <c r="S7977" i="1"/>
  <c r="S8009" i="1"/>
  <c r="S8041" i="1"/>
  <c r="S8073" i="1"/>
  <c r="S8105" i="1"/>
  <c r="S8137" i="1"/>
  <c r="S8166" i="1"/>
  <c r="S8182" i="1"/>
  <c r="S8198" i="1"/>
  <c r="S8214" i="1"/>
  <c r="S8230" i="1"/>
  <c r="S8246" i="1"/>
  <c r="S8262" i="1"/>
  <c r="S8278" i="1"/>
  <c r="S8294" i="1"/>
  <c r="S8310" i="1"/>
  <c r="S8326" i="1"/>
  <c r="S8370" i="1"/>
  <c r="S8373" i="1"/>
  <c r="S8376" i="1"/>
  <c r="S8379" i="1"/>
  <c r="S8382" i="1"/>
  <c r="S8385" i="1"/>
  <c r="S8388" i="1"/>
  <c r="S8434" i="1"/>
  <c r="S8437" i="1"/>
  <c r="S8440" i="1"/>
  <c r="S8443" i="1"/>
  <c r="S8446" i="1"/>
  <c r="S8449" i="1"/>
  <c r="S8452" i="1"/>
  <c r="S8498" i="1"/>
  <c r="S8501" i="1"/>
  <c r="S8504" i="1"/>
  <c r="S8507" i="1"/>
  <c r="S8510" i="1"/>
  <c r="S8513" i="1"/>
  <c r="S8516" i="1"/>
  <c r="S8562" i="1"/>
  <c r="S8565" i="1"/>
  <c r="S8568" i="1"/>
  <c r="S8571" i="1"/>
  <c r="S8574" i="1"/>
  <c r="S8577" i="1"/>
  <c r="S8580" i="1"/>
  <c r="S8626" i="1"/>
  <c r="S8629" i="1"/>
  <c r="S8632" i="1"/>
  <c r="S8635" i="1"/>
  <c r="S8638" i="1"/>
  <c r="S8641" i="1"/>
  <c r="S8644" i="1"/>
  <c r="S8690" i="1"/>
  <c r="S8693" i="1"/>
  <c r="S8696" i="1"/>
  <c r="S8699" i="1"/>
  <c r="S8702" i="1"/>
  <c r="S8705" i="1"/>
  <c r="S8708" i="1"/>
  <c r="S8754" i="1"/>
  <c r="S8757" i="1"/>
  <c r="S8760" i="1"/>
  <c r="S8763" i="1"/>
  <c r="S8766" i="1"/>
  <c r="S8769" i="1"/>
  <c r="S8772" i="1"/>
  <c r="S8818" i="1"/>
  <c r="S8821" i="1"/>
  <c r="S8824" i="1"/>
  <c r="S8827" i="1"/>
  <c r="S8830" i="1"/>
  <c r="S8833" i="1"/>
  <c r="S8836" i="1"/>
  <c r="S8848" i="1"/>
  <c r="S8856" i="1"/>
  <c r="S8864" i="1"/>
  <c r="S8872" i="1"/>
  <c r="S8880" i="1"/>
  <c r="S8888" i="1"/>
  <c r="S8896" i="1"/>
  <c r="S8904" i="1"/>
  <c r="S8912" i="1"/>
  <c r="S8920" i="1"/>
  <c r="S8928" i="1"/>
  <c r="S8936" i="1"/>
  <c r="S8944" i="1"/>
  <c r="S8952" i="1"/>
  <c r="S8960" i="1"/>
  <c r="S8968" i="1"/>
  <c r="S8976" i="1"/>
  <c r="S8984" i="1"/>
  <c r="S8992" i="1"/>
  <c r="S9000" i="1"/>
  <c r="S9008" i="1"/>
  <c r="S9016" i="1"/>
  <c r="S9024" i="1"/>
  <c r="S9032" i="1"/>
  <c r="S9040" i="1"/>
  <c r="S9048" i="1"/>
  <c r="S9056" i="1"/>
  <c r="S7521" i="1"/>
  <c r="S7535" i="1"/>
  <c r="S7587" i="1"/>
  <c r="S7599" i="1"/>
  <c r="S7648" i="1"/>
  <c r="S7660" i="1"/>
  <c r="S7709" i="1"/>
  <c r="S7721" i="1"/>
  <c r="S7766" i="1"/>
  <c r="S7798" i="1"/>
  <c r="S7830" i="1"/>
  <c r="S7862" i="1"/>
  <c r="S7894" i="1"/>
  <c r="S7926" i="1"/>
  <c r="S7958" i="1"/>
  <c r="S7990" i="1"/>
  <c r="S8022" i="1"/>
  <c r="S8054" i="1"/>
  <c r="S8086" i="1"/>
  <c r="S8118" i="1"/>
  <c r="S8161" i="1"/>
  <c r="S8177" i="1"/>
  <c r="S8193" i="1"/>
  <c r="S8209" i="1"/>
  <c r="S8225" i="1"/>
  <c r="S8241" i="1"/>
  <c r="S8257" i="1"/>
  <c r="S8273" i="1"/>
  <c r="S8289" i="1"/>
  <c r="S8305" i="1"/>
  <c r="S8321" i="1"/>
  <c r="S8346" i="1"/>
  <c r="S8349" i="1"/>
  <c r="S8352" i="1"/>
  <c r="S8355" i="1"/>
  <c r="S8358" i="1"/>
  <c r="S8361" i="1"/>
  <c r="S8364" i="1"/>
  <c r="S8410" i="1"/>
  <c r="S8413" i="1"/>
  <c r="S8416" i="1"/>
  <c r="S8419" i="1"/>
  <c r="S8422" i="1"/>
  <c r="S8425" i="1"/>
  <c r="S8428" i="1"/>
  <c r="S8474" i="1"/>
  <c r="S8477" i="1"/>
  <c r="S8480" i="1"/>
  <c r="S8483" i="1"/>
  <c r="S8486" i="1"/>
  <c r="S8489" i="1"/>
  <c r="S8492" i="1"/>
  <c r="S8538" i="1"/>
  <c r="S8541" i="1"/>
  <c r="S8544" i="1"/>
  <c r="S8547" i="1"/>
  <c r="S8550" i="1"/>
  <c r="S8553" i="1"/>
  <c r="S8556" i="1"/>
  <c r="S8602" i="1"/>
  <c r="S8605" i="1"/>
  <c r="S8608" i="1"/>
  <c r="S8611" i="1"/>
  <c r="S8614" i="1"/>
  <c r="S8617" i="1"/>
  <c r="S8620" i="1"/>
  <c r="S8666" i="1"/>
  <c r="S8669" i="1"/>
  <c r="S8672" i="1"/>
  <c r="S8675" i="1"/>
  <c r="S8678" i="1"/>
  <c r="S8681" i="1"/>
  <c r="S8684" i="1"/>
  <c r="S8730" i="1"/>
  <c r="S8733" i="1"/>
  <c r="S8736" i="1"/>
  <c r="S8739" i="1"/>
  <c r="S8742" i="1"/>
  <c r="S8745" i="1"/>
  <c r="S8748" i="1"/>
  <c r="S8794" i="1"/>
  <c r="S8797" i="1"/>
  <c r="S8800" i="1"/>
  <c r="S8803" i="1"/>
  <c r="S8806" i="1"/>
  <c r="S8809" i="1"/>
  <c r="S8812" i="1"/>
  <c r="S8851" i="1"/>
  <c r="S8859" i="1"/>
  <c r="S8867" i="1"/>
  <c r="S8875" i="1"/>
  <c r="S8883" i="1"/>
  <c r="S8260" i="1"/>
  <c r="S8324" i="1"/>
  <c r="S8363" i="1"/>
  <c r="S8424" i="1"/>
  <c r="S8436" i="1"/>
  <c r="S8485" i="1"/>
  <c r="S8497" i="1"/>
  <c r="S8546" i="1"/>
  <c r="S8558" i="1"/>
  <c r="S8619" i="1"/>
  <c r="S8680" i="1"/>
  <c r="S8692" i="1"/>
  <c r="S8741" i="1"/>
  <c r="S8753" i="1"/>
  <c r="S8802" i="1"/>
  <c r="S8814" i="1"/>
  <c r="S8850" i="1"/>
  <c r="S8882" i="1"/>
  <c r="S8891" i="1"/>
  <c r="S8906" i="1"/>
  <c r="S8941" i="1"/>
  <c r="S8955" i="1"/>
  <c r="S8970" i="1"/>
  <c r="S9005" i="1"/>
  <c r="S9019" i="1"/>
  <c r="S9031" i="1"/>
  <c r="S9047" i="1"/>
  <c r="S9063" i="1"/>
  <c r="S9075" i="1"/>
  <c r="S9088" i="1"/>
  <c r="S9101" i="1"/>
  <c r="S9108" i="1"/>
  <c r="S9111" i="1"/>
  <c r="S9114" i="1"/>
  <c r="S9117" i="1"/>
  <c r="S9120" i="1"/>
  <c r="S9123" i="1"/>
  <c r="S9169" i="1"/>
  <c r="S9172" i="1"/>
  <c r="S9175" i="1"/>
  <c r="S9178" i="1"/>
  <c r="S9181" i="1"/>
  <c r="S9184" i="1"/>
  <c r="S9187" i="1"/>
  <c r="S9233" i="1"/>
  <c r="S9236" i="1"/>
  <c r="S9239" i="1"/>
  <c r="S9242" i="1"/>
  <c r="S9245" i="1"/>
  <c r="S9248" i="1"/>
  <c r="S9251" i="1"/>
  <c r="S9297" i="1"/>
  <c r="S9300" i="1"/>
  <c r="S9303" i="1"/>
  <c r="S9306" i="1"/>
  <c r="S9309" i="1"/>
  <c r="S9312" i="1"/>
  <c r="S9315" i="1"/>
  <c r="S9361" i="1"/>
  <c r="S9364" i="1"/>
  <c r="S9367" i="1"/>
  <c r="S9370" i="1"/>
  <c r="S9373" i="1"/>
  <c r="S9376" i="1"/>
  <c r="S9379" i="1"/>
  <c r="S9425" i="1"/>
  <c r="S9428" i="1"/>
  <c r="S9431" i="1"/>
  <c r="S9434" i="1"/>
  <c r="S9437" i="1"/>
  <c r="S9440" i="1"/>
  <c r="S9443" i="1"/>
  <c r="S9489" i="1"/>
  <c r="S9492" i="1"/>
  <c r="S9495" i="1"/>
  <c r="S9498" i="1"/>
  <c r="S9501" i="1"/>
  <c r="S9504" i="1"/>
  <c r="S9507" i="1"/>
  <c r="S9540" i="1"/>
  <c r="S9548" i="1"/>
  <c r="S9556" i="1"/>
  <c r="S9564" i="1"/>
  <c r="S9572" i="1"/>
  <c r="S9580" i="1"/>
  <c r="S9588" i="1"/>
  <c r="S9596" i="1"/>
  <c r="S9604" i="1"/>
  <c r="S9612" i="1"/>
  <c r="S9620" i="1"/>
  <c r="S9628" i="1"/>
  <c r="S9636" i="1"/>
  <c r="S9644" i="1"/>
  <c r="S9652" i="1"/>
  <c r="S9660" i="1"/>
  <c r="S9668" i="1"/>
  <c r="S9676" i="1"/>
  <c r="S9684" i="1"/>
  <c r="S9692" i="1"/>
  <c r="S9700" i="1"/>
  <c r="S9708" i="1"/>
  <c r="S9716" i="1"/>
  <c r="S9724" i="1"/>
  <c r="S9732" i="1"/>
  <c r="S9740" i="1"/>
  <c r="S9748" i="1"/>
  <c r="S9756" i="1"/>
  <c r="S9764" i="1"/>
  <c r="S9772" i="1"/>
  <c r="S9780" i="1"/>
  <c r="S9788" i="1"/>
  <c r="S9796" i="1"/>
  <c r="S9804" i="1"/>
  <c r="S9812" i="1"/>
  <c r="S9820" i="1"/>
  <c r="S9828" i="1"/>
  <c r="S9836" i="1"/>
  <c r="S9844" i="1"/>
  <c r="S9852" i="1"/>
  <c r="S9860" i="1"/>
  <c r="S9868" i="1"/>
  <c r="S9876" i="1"/>
  <c r="S9884" i="1"/>
  <c r="S9892" i="1"/>
  <c r="S9900" i="1"/>
  <c r="S9908" i="1"/>
  <c r="S9916" i="1"/>
  <c r="S9924" i="1"/>
  <c r="S9932" i="1"/>
  <c r="S9940" i="1"/>
  <c r="S9948" i="1"/>
  <c r="S9956" i="1"/>
  <c r="S9964" i="1"/>
  <c r="S9972" i="1"/>
  <c r="S9980" i="1"/>
  <c r="S9988" i="1"/>
  <c r="S9996" i="1"/>
  <c r="S9695" i="1"/>
  <c r="S9775" i="1"/>
  <c r="S9791" i="1"/>
  <c r="S9807" i="1"/>
  <c r="S9823" i="1"/>
  <c r="S9831" i="1"/>
  <c r="S9847" i="1"/>
  <c r="S9855" i="1"/>
  <c r="S9871" i="1"/>
  <c r="S9895" i="1"/>
  <c r="S9903" i="1"/>
  <c r="S9911" i="1"/>
  <c r="S9919" i="1"/>
  <c r="S9927" i="1"/>
  <c r="S9935" i="1"/>
  <c r="S9951" i="1"/>
  <c r="S9967" i="1"/>
  <c r="S9983" i="1"/>
  <c r="S9999" i="1"/>
  <c r="S9320" i="1"/>
  <c r="S9384" i="1"/>
  <c r="S9509" i="1"/>
  <c r="S9539" i="1"/>
  <c r="S9635" i="1"/>
  <c r="S9651" i="1"/>
  <c r="S9667" i="1"/>
  <c r="S9723" i="1"/>
  <c r="S9827" i="1"/>
  <c r="S9939" i="1"/>
  <c r="S9865" i="1"/>
  <c r="S9969" i="1"/>
  <c r="S3" i="1"/>
  <c r="S8282" i="1"/>
  <c r="S8339" i="1"/>
  <c r="S8400" i="1"/>
  <c r="S8412" i="1"/>
  <c r="S8461" i="1"/>
  <c r="S8473" i="1"/>
  <c r="S8522" i="1"/>
  <c r="S8534" i="1"/>
  <c r="S8595" i="1"/>
  <c r="S8656" i="1"/>
  <c r="S8668" i="1"/>
  <c r="S8717" i="1"/>
  <c r="S8729" i="1"/>
  <c r="S8778" i="1"/>
  <c r="S8790" i="1"/>
  <c r="S8861" i="1"/>
  <c r="S8899" i="1"/>
  <c r="S8914" i="1"/>
  <c r="S8949" i="1"/>
  <c r="S8963" i="1"/>
  <c r="S8978" i="1"/>
  <c r="S9013" i="1"/>
  <c r="S9026" i="1"/>
  <c r="S9042" i="1"/>
  <c r="S9058" i="1"/>
  <c r="S9067" i="1"/>
  <c r="S9080" i="1"/>
  <c r="S9093" i="1"/>
  <c r="S9105" i="1"/>
  <c r="S9145" i="1"/>
  <c r="S9148" i="1"/>
  <c r="S9151" i="1"/>
  <c r="S9154" i="1"/>
  <c r="S9157" i="1"/>
  <c r="S9160" i="1"/>
  <c r="S9163" i="1"/>
  <c r="S9209" i="1"/>
  <c r="S9212" i="1"/>
  <c r="S9215" i="1"/>
  <c r="S9218" i="1"/>
  <c r="S9221" i="1"/>
  <c r="S9224" i="1"/>
  <c r="S9227" i="1"/>
  <c r="S9273" i="1"/>
  <c r="S9276" i="1"/>
  <c r="S9279" i="1"/>
  <c r="S9282" i="1"/>
  <c r="S9285" i="1"/>
  <c r="S9288" i="1"/>
  <c r="S9291" i="1"/>
  <c r="S9337" i="1"/>
  <c r="S9340" i="1"/>
  <c r="S9343" i="1"/>
  <c r="S9346" i="1"/>
  <c r="S9349" i="1"/>
  <c r="S9352" i="1"/>
  <c r="S9355" i="1"/>
  <c r="S9401" i="1"/>
  <c r="S9404" i="1"/>
  <c r="S9407" i="1"/>
  <c r="S9410" i="1"/>
  <c r="S9413" i="1"/>
  <c r="S9416" i="1"/>
  <c r="S9419" i="1"/>
  <c r="S9465" i="1"/>
  <c r="S9468" i="1"/>
  <c r="S9471" i="1"/>
  <c r="S9474" i="1"/>
  <c r="S9477" i="1"/>
  <c r="S9480" i="1"/>
  <c r="S9483" i="1"/>
  <c r="S9529" i="1"/>
  <c r="S9532" i="1"/>
  <c r="S9535" i="1"/>
  <c r="S9543" i="1"/>
  <c r="S9551" i="1"/>
  <c r="S9559" i="1"/>
  <c r="S9567" i="1"/>
  <c r="S9575" i="1"/>
  <c r="S9583" i="1"/>
  <c r="S9591" i="1"/>
  <c r="S9599" i="1"/>
  <c r="S9607" i="1"/>
  <c r="S9615" i="1"/>
  <c r="S9623" i="1"/>
  <c r="S9631" i="1"/>
  <c r="S9639" i="1"/>
  <c r="S9647" i="1"/>
  <c r="S9655" i="1"/>
  <c r="S9663" i="1"/>
  <c r="S9671" i="1"/>
  <c r="S9679" i="1"/>
  <c r="S9687" i="1"/>
  <c r="S9703" i="1"/>
  <c r="S9711" i="1"/>
  <c r="S9719" i="1"/>
  <c r="S9727" i="1"/>
  <c r="S9735" i="1"/>
  <c r="S9743" i="1"/>
  <c r="S9751" i="1"/>
  <c r="S9759" i="1"/>
  <c r="S9767" i="1"/>
  <c r="S9783" i="1"/>
  <c r="S9799" i="1"/>
  <c r="S9815" i="1"/>
  <c r="S9839" i="1"/>
  <c r="S9863" i="1"/>
  <c r="S9879" i="1"/>
  <c r="S9887" i="1"/>
  <c r="S9943" i="1"/>
  <c r="S9959" i="1"/>
  <c r="S9975" i="1"/>
  <c r="S9991" i="1"/>
  <c r="S9323" i="1"/>
  <c r="S9381" i="1"/>
  <c r="S9512" i="1"/>
  <c r="S9731" i="1"/>
  <c r="S9763" i="1"/>
  <c r="S9787" i="1"/>
  <c r="S9811" i="1"/>
  <c r="S9987" i="1"/>
  <c r="S9929" i="1"/>
  <c r="S9993" i="1"/>
  <c r="S10001" i="1"/>
  <c r="S8244" i="1"/>
  <c r="S8308" i="1"/>
  <c r="S8354" i="1"/>
  <c r="S8366" i="1"/>
  <c r="S8427" i="1"/>
  <c r="S8488" i="1"/>
  <c r="S8500" i="1"/>
  <c r="S8549" i="1"/>
  <c r="S8561" i="1"/>
  <c r="S8610" i="1"/>
  <c r="S8622" i="1"/>
  <c r="S8683" i="1"/>
  <c r="S8744" i="1"/>
  <c r="S8756" i="1"/>
  <c r="S8805" i="1"/>
  <c r="S8817" i="1"/>
  <c r="S8874" i="1"/>
  <c r="S8893" i="1"/>
  <c r="S8907" i="1"/>
  <c r="S8922" i="1"/>
  <c r="S8957" i="1"/>
  <c r="S8971" i="1"/>
  <c r="S8986" i="1"/>
  <c r="S9021" i="1"/>
  <c r="S9037" i="1"/>
  <c r="S9053" i="1"/>
  <c r="S9072" i="1"/>
  <c r="S9085" i="1"/>
  <c r="S9098" i="1"/>
  <c r="S9121" i="1"/>
  <c r="S9124" i="1"/>
  <c r="S9127" i="1"/>
  <c r="S9130" i="1"/>
  <c r="S9133" i="1"/>
  <c r="S9136" i="1"/>
  <c r="S9139" i="1"/>
  <c r="S9185" i="1"/>
  <c r="S9188" i="1"/>
  <c r="S9191" i="1"/>
  <c r="S9194" i="1"/>
  <c r="S9197" i="1"/>
  <c r="S9200" i="1"/>
  <c r="S9203" i="1"/>
  <c r="S9249" i="1"/>
  <c r="S9252" i="1"/>
  <c r="S9255" i="1"/>
  <c r="S9258" i="1"/>
  <c r="S9261" i="1"/>
  <c r="S9264" i="1"/>
  <c r="S9267" i="1"/>
  <c r="S9313" i="1"/>
  <c r="S9316" i="1"/>
  <c r="S9319" i="1"/>
  <c r="S9322" i="1"/>
  <c r="S9325" i="1"/>
  <c r="S9328" i="1"/>
  <c r="S9331" i="1"/>
  <c r="S9377" i="1"/>
  <c r="S9380" i="1"/>
  <c r="S9383" i="1"/>
  <c r="S9386" i="1"/>
  <c r="S9389" i="1"/>
  <c r="S9392" i="1"/>
  <c r="S9395" i="1"/>
  <c r="S9441" i="1"/>
  <c r="S9444" i="1"/>
  <c r="S9447" i="1"/>
  <c r="S9450" i="1"/>
  <c r="S9453" i="1"/>
  <c r="S9456" i="1"/>
  <c r="S9459" i="1"/>
  <c r="S9505" i="1"/>
  <c r="S9508" i="1"/>
  <c r="S9511" i="1"/>
  <c r="S9514" i="1"/>
  <c r="S9517" i="1"/>
  <c r="S9520" i="1"/>
  <c r="S9523" i="1"/>
  <c r="S9538" i="1"/>
  <c r="S9546" i="1"/>
  <c r="S9554" i="1"/>
  <c r="S9562" i="1"/>
  <c r="S9570" i="1"/>
  <c r="S9578" i="1"/>
  <c r="S9586" i="1"/>
  <c r="S9594" i="1"/>
  <c r="S9602" i="1"/>
  <c r="S9610" i="1"/>
  <c r="S9618" i="1"/>
  <c r="S9626" i="1"/>
  <c r="S9634" i="1"/>
  <c r="S9642" i="1"/>
  <c r="S9650" i="1"/>
  <c r="S9658" i="1"/>
  <c r="S9666" i="1"/>
  <c r="S9674" i="1"/>
  <c r="S9682" i="1"/>
  <c r="S9690" i="1"/>
  <c r="S9698" i="1"/>
  <c r="S9706" i="1"/>
  <c r="S9714" i="1"/>
  <c r="S9722" i="1"/>
  <c r="S9730" i="1"/>
  <c r="S9738" i="1"/>
  <c r="S9746" i="1"/>
  <c r="S9754" i="1"/>
  <c r="S9762" i="1"/>
  <c r="S9770" i="1"/>
  <c r="S9778" i="1"/>
  <c r="S9786" i="1"/>
  <c r="S9794" i="1"/>
  <c r="S9802" i="1"/>
  <c r="S9810" i="1"/>
  <c r="S9818" i="1"/>
  <c r="S9826" i="1"/>
  <c r="S9834" i="1"/>
  <c r="S9842" i="1"/>
  <c r="S9850" i="1"/>
  <c r="S9858" i="1"/>
  <c r="S9866" i="1"/>
  <c r="S9874" i="1"/>
  <c r="S9882" i="1"/>
  <c r="S9890" i="1"/>
  <c r="S9898" i="1"/>
  <c r="S9906" i="1"/>
  <c r="S9914" i="1"/>
  <c r="S9922" i="1"/>
  <c r="S9930" i="1"/>
  <c r="S9938" i="1"/>
  <c r="S9946" i="1"/>
  <c r="S9954" i="1"/>
  <c r="S9962" i="1"/>
  <c r="S9970" i="1"/>
  <c r="S9978" i="1"/>
  <c r="S9986" i="1"/>
  <c r="S9994" i="1"/>
  <c r="S10002" i="1"/>
  <c r="S9515" i="1"/>
  <c r="S9563" i="1"/>
  <c r="S9715" i="1"/>
  <c r="S9779" i="1"/>
  <c r="S9795" i="1"/>
  <c r="S9859" i="1"/>
  <c r="S9875" i="1"/>
  <c r="S9907" i="1"/>
  <c r="S8266" i="1"/>
  <c r="S8330" i="1"/>
  <c r="S8342" i="1"/>
  <c r="S8403" i="1"/>
  <c r="S8464" i="1"/>
  <c r="S8476" i="1"/>
  <c r="S8525" i="1"/>
  <c r="S8537" i="1"/>
  <c r="S8586" i="1"/>
  <c r="S8598" i="1"/>
  <c r="S8659" i="1"/>
  <c r="S8720" i="1"/>
  <c r="S8732" i="1"/>
  <c r="S8781" i="1"/>
  <c r="S8793" i="1"/>
  <c r="S8842" i="1"/>
  <c r="S8853" i="1"/>
  <c r="S8885" i="1"/>
  <c r="S8901" i="1"/>
  <c r="S8915" i="1"/>
  <c r="S8930" i="1"/>
  <c r="S8965" i="1"/>
  <c r="S8979" i="1"/>
  <c r="S8994" i="1"/>
  <c r="S9027" i="1"/>
  <c r="S9043" i="1"/>
  <c r="S9059" i="1"/>
  <c r="S9064" i="1"/>
  <c r="S9077" i="1"/>
  <c r="S9090" i="1"/>
  <c r="S9106" i="1"/>
  <c r="S9109" i="1"/>
  <c r="S9112" i="1"/>
  <c r="S9115" i="1"/>
  <c r="S9161" i="1"/>
  <c r="S9164" i="1"/>
  <c r="S9167" i="1"/>
  <c r="S9170" i="1"/>
  <c r="S9173" i="1"/>
  <c r="S9176" i="1"/>
  <c r="S9179" i="1"/>
  <c r="S9225" i="1"/>
  <c r="S9228" i="1"/>
  <c r="S9231" i="1"/>
  <c r="S9234" i="1"/>
  <c r="S9237" i="1"/>
  <c r="S9240" i="1"/>
  <c r="S9243" i="1"/>
  <c r="S9289" i="1"/>
  <c r="S9292" i="1"/>
  <c r="S9295" i="1"/>
  <c r="S9298" i="1"/>
  <c r="S9301" i="1"/>
  <c r="S9304" i="1"/>
  <c r="S9307" i="1"/>
  <c r="S9353" i="1"/>
  <c r="S9356" i="1"/>
  <c r="S9359" i="1"/>
  <c r="S9362" i="1"/>
  <c r="S9365" i="1"/>
  <c r="S9368" i="1"/>
  <c r="S9371" i="1"/>
  <c r="S9417" i="1"/>
  <c r="S9420" i="1"/>
  <c r="S9423" i="1"/>
  <c r="S9426" i="1"/>
  <c r="S9429" i="1"/>
  <c r="S9432" i="1"/>
  <c r="S9435" i="1"/>
  <c r="S9481" i="1"/>
  <c r="S9484" i="1"/>
  <c r="S9487" i="1"/>
  <c r="S9490" i="1"/>
  <c r="S9493" i="1"/>
  <c r="S9496" i="1"/>
  <c r="S9499" i="1"/>
  <c r="S9541" i="1"/>
  <c r="S9549" i="1"/>
  <c r="S9557" i="1"/>
  <c r="S9565" i="1"/>
  <c r="S9573" i="1"/>
  <c r="S9581" i="1"/>
  <c r="S9589" i="1"/>
  <c r="S9597" i="1"/>
  <c r="S9605" i="1"/>
  <c r="S9613" i="1"/>
  <c r="S9621" i="1"/>
  <c r="S9629" i="1"/>
  <c r="S9637" i="1"/>
  <c r="S9645" i="1"/>
  <c r="S9653" i="1"/>
  <c r="S9661" i="1"/>
  <c r="S9669" i="1"/>
  <c r="S9677" i="1"/>
  <c r="S9685" i="1"/>
  <c r="S9693" i="1"/>
  <c r="S9701" i="1"/>
  <c r="S9709" i="1"/>
  <c r="S9717" i="1"/>
  <c r="S9725" i="1"/>
  <c r="S9733" i="1"/>
  <c r="S9741" i="1"/>
  <c r="S9749" i="1"/>
  <c r="S9757" i="1"/>
  <c r="S9765" i="1"/>
  <c r="S9773" i="1"/>
  <c r="S9781" i="1"/>
  <c r="S9789" i="1"/>
  <c r="S9797" i="1"/>
  <c r="S9805" i="1"/>
  <c r="S9813" i="1"/>
  <c r="S9821" i="1"/>
  <c r="S9829" i="1"/>
  <c r="S9837" i="1"/>
  <c r="S9845" i="1"/>
  <c r="S9853" i="1"/>
  <c r="S9861" i="1"/>
  <c r="S9869" i="1"/>
  <c r="S9877" i="1"/>
  <c r="S9885" i="1"/>
  <c r="S9893" i="1"/>
  <c r="S9901" i="1"/>
  <c r="S9909" i="1"/>
  <c r="S9917" i="1"/>
  <c r="S9925" i="1"/>
  <c r="S9933" i="1"/>
  <c r="S9941" i="1"/>
  <c r="S9949" i="1"/>
  <c r="S9957" i="1"/>
  <c r="S9965" i="1"/>
  <c r="S9973" i="1"/>
  <c r="S9981" i="1"/>
  <c r="S9989" i="1"/>
  <c r="S9997" i="1"/>
  <c r="S9436" i="1"/>
  <c r="S9442" i="1"/>
  <c r="S9451" i="1"/>
  <c r="S9547" i="1"/>
  <c r="S9555" i="1"/>
  <c r="S9587" i="1"/>
  <c r="S9595" i="1"/>
  <c r="S9619" i="1"/>
  <c r="S9747" i="1"/>
  <c r="S9803" i="1"/>
  <c r="S9819" i="1"/>
  <c r="S9835" i="1"/>
  <c r="S9851" i="1"/>
  <c r="S9867" i="1"/>
  <c r="S9923" i="1"/>
  <c r="S9971" i="1"/>
  <c r="S9873" i="1"/>
  <c r="S8292" i="1"/>
  <c r="S8357" i="1"/>
  <c r="S8369" i="1"/>
  <c r="S8418" i="1"/>
  <c r="S8430" i="1"/>
  <c r="S8491" i="1"/>
  <c r="S8552" i="1"/>
  <c r="S8564" i="1"/>
  <c r="S8613" i="1"/>
  <c r="S8625" i="1"/>
  <c r="S8674" i="1"/>
  <c r="S8686" i="1"/>
  <c r="S8747" i="1"/>
  <c r="S8808" i="1"/>
  <c r="S8820" i="1"/>
  <c r="S8866" i="1"/>
  <c r="S8909" i="1"/>
  <c r="S8923" i="1"/>
  <c r="S8938" i="1"/>
  <c r="S8973" i="1"/>
  <c r="S8987" i="1"/>
  <c r="S9002" i="1"/>
  <c r="S9023" i="1"/>
  <c r="S9039" i="1"/>
  <c r="S9055" i="1"/>
  <c r="S9069" i="1"/>
  <c r="S9082" i="1"/>
  <c r="S9095" i="1"/>
  <c r="S9103" i="1"/>
  <c r="S9137" i="1"/>
  <c r="S9140" i="1"/>
  <c r="S9143" i="1"/>
  <c r="S9146" i="1"/>
  <c r="S9149" i="1"/>
  <c r="S9152" i="1"/>
  <c r="S9155" i="1"/>
  <c r="S9201" i="1"/>
  <c r="S9204" i="1"/>
  <c r="S9207" i="1"/>
  <c r="S9210" i="1"/>
  <c r="S9213" i="1"/>
  <c r="S9216" i="1"/>
  <c r="S9219" i="1"/>
  <c r="S9265" i="1"/>
  <c r="S9268" i="1"/>
  <c r="S9271" i="1"/>
  <c r="S9274" i="1"/>
  <c r="S9277" i="1"/>
  <c r="S9280" i="1"/>
  <c r="S9283" i="1"/>
  <c r="S9329" i="1"/>
  <c r="S9332" i="1"/>
  <c r="S9335" i="1"/>
  <c r="S9338" i="1"/>
  <c r="S9341" i="1"/>
  <c r="S9344" i="1"/>
  <c r="S9347" i="1"/>
  <c r="S9393" i="1"/>
  <c r="S9396" i="1"/>
  <c r="S9399" i="1"/>
  <c r="S9402" i="1"/>
  <c r="S9405" i="1"/>
  <c r="S9408" i="1"/>
  <c r="S9411" i="1"/>
  <c r="S9457" i="1"/>
  <c r="S9460" i="1"/>
  <c r="S9463" i="1"/>
  <c r="S9466" i="1"/>
  <c r="S9469" i="1"/>
  <c r="S9472" i="1"/>
  <c r="S9475" i="1"/>
  <c r="S9521" i="1"/>
  <c r="S9524" i="1"/>
  <c r="S9527" i="1"/>
  <c r="S9530" i="1"/>
  <c r="S9533" i="1"/>
  <c r="S9536" i="1"/>
  <c r="S9544" i="1"/>
  <c r="S9552" i="1"/>
  <c r="S9560" i="1"/>
  <c r="S9568" i="1"/>
  <c r="S9576" i="1"/>
  <c r="S9584" i="1"/>
  <c r="S9592" i="1"/>
  <c r="S9600" i="1"/>
  <c r="S9608" i="1"/>
  <c r="S9616" i="1"/>
  <c r="S9624" i="1"/>
  <c r="S9632" i="1"/>
  <c r="S9640" i="1"/>
  <c r="S9648" i="1"/>
  <c r="S9656" i="1"/>
  <c r="S9664" i="1"/>
  <c r="S9672" i="1"/>
  <c r="S9680" i="1"/>
  <c r="S9688" i="1"/>
  <c r="S9696" i="1"/>
  <c r="S9704" i="1"/>
  <c r="S9712" i="1"/>
  <c r="S9720" i="1"/>
  <c r="S9728" i="1"/>
  <c r="S9736" i="1"/>
  <c r="S9744" i="1"/>
  <c r="S9752" i="1"/>
  <c r="S9760" i="1"/>
  <c r="S9768" i="1"/>
  <c r="S9776" i="1"/>
  <c r="S9784" i="1"/>
  <c r="S9792" i="1"/>
  <c r="S9800" i="1"/>
  <c r="S9808" i="1"/>
  <c r="S9816" i="1"/>
  <c r="S9824" i="1"/>
  <c r="S9832" i="1"/>
  <c r="S9840" i="1"/>
  <c r="S9848" i="1"/>
  <c r="S9856" i="1"/>
  <c r="S9864" i="1"/>
  <c r="S9872" i="1"/>
  <c r="S9880" i="1"/>
  <c r="S9888" i="1"/>
  <c r="S9896" i="1"/>
  <c r="S9904" i="1"/>
  <c r="S9912" i="1"/>
  <c r="S9920" i="1"/>
  <c r="S9928" i="1"/>
  <c r="S9936" i="1"/>
  <c r="S9944" i="1"/>
  <c r="S9952" i="1"/>
  <c r="S9960" i="1"/>
  <c r="S9968" i="1"/>
  <c r="S9976" i="1"/>
  <c r="S9984" i="1"/>
  <c r="S9992" i="1"/>
  <c r="S10000" i="1"/>
  <c r="S9256" i="1"/>
  <c r="S9387" i="1"/>
  <c r="S9433" i="1"/>
  <c r="S9439" i="1"/>
  <c r="S9445" i="1"/>
  <c r="S9497" i="1"/>
  <c r="S9500" i="1"/>
  <c r="S9503" i="1"/>
  <c r="S9506" i="1"/>
  <c r="S9571" i="1"/>
  <c r="S9579" i="1"/>
  <c r="S9603" i="1"/>
  <c r="S9611" i="1"/>
  <c r="S9627" i="1"/>
  <c r="S9643" i="1"/>
  <c r="S9659" i="1"/>
  <c r="S9675" i="1"/>
  <c r="S9691" i="1"/>
  <c r="S9707" i="1"/>
  <c r="S9843" i="1"/>
  <c r="S9883" i="1"/>
  <c r="S9899" i="1"/>
  <c r="S9931" i="1"/>
  <c r="S9947" i="1"/>
  <c r="S9955" i="1"/>
  <c r="S9963" i="1"/>
  <c r="S9979" i="1"/>
  <c r="S8250" i="1"/>
  <c r="S8314" i="1"/>
  <c r="S8333" i="1"/>
  <c r="S8345" i="1"/>
  <c r="S8394" i="1"/>
  <c r="S8406" i="1"/>
  <c r="S8467" i="1"/>
  <c r="S8528" i="1"/>
  <c r="S8540" i="1"/>
  <c r="S8589" i="1"/>
  <c r="S8601" i="1"/>
  <c r="S8650" i="1"/>
  <c r="S8662" i="1"/>
  <c r="S8723" i="1"/>
  <c r="S8784" i="1"/>
  <c r="S8796" i="1"/>
  <c r="S8845" i="1"/>
  <c r="S8877" i="1"/>
  <c r="S8917" i="1"/>
  <c r="S8931" i="1"/>
  <c r="S8946" i="1"/>
  <c r="S8981" i="1"/>
  <c r="S8995" i="1"/>
  <c r="S9010" i="1"/>
  <c r="S9034" i="1"/>
  <c r="S9050" i="1"/>
  <c r="S9074" i="1"/>
  <c r="S9087" i="1"/>
  <c r="S9099" i="1"/>
  <c r="S9113" i="1"/>
  <c r="S9116" i="1"/>
  <c r="S9119" i="1"/>
  <c r="S9122" i="1"/>
  <c r="S9125" i="1"/>
  <c r="S9128" i="1"/>
  <c r="S9131" i="1"/>
  <c r="S9177" i="1"/>
  <c r="S9180" i="1"/>
  <c r="S9183" i="1"/>
  <c r="S9186" i="1"/>
  <c r="S9189" i="1"/>
  <c r="S9192" i="1"/>
  <c r="S9195" i="1"/>
  <c r="S9241" i="1"/>
  <c r="S9244" i="1"/>
  <c r="S9247" i="1"/>
  <c r="S9250" i="1"/>
  <c r="S9253" i="1"/>
  <c r="S9259" i="1"/>
  <c r="S9305" i="1"/>
  <c r="S9308" i="1"/>
  <c r="S9311" i="1"/>
  <c r="S9314" i="1"/>
  <c r="S9317" i="1"/>
  <c r="S9369" i="1"/>
  <c r="S9372" i="1"/>
  <c r="S9375" i="1"/>
  <c r="S9378" i="1"/>
  <c r="S9448" i="1"/>
  <c r="S9683" i="1"/>
  <c r="S9699" i="1"/>
  <c r="S9739" i="1"/>
  <c r="S9755" i="1"/>
  <c r="S9771" i="1"/>
  <c r="S9891" i="1"/>
  <c r="S9915" i="1"/>
  <c r="S9995" i="1"/>
  <c r="S8276" i="1"/>
  <c r="S8360" i="1"/>
  <c r="S8372" i="1"/>
  <c r="S8421" i="1"/>
  <c r="S8433" i="1"/>
  <c r="S8482" i="1"/>
  <c r="S8494" i="1"/>
  <c r="S8555" i="1"/>
  <c r="S8616" i="1"/>
  <c r="S8628" i="1"/>
  <c r="S8677" i="1"/>
  <c r="S8689" i="1"/>
  <c r="S8738" i="1"/>
  <c r="S8750" i="1"/>
  <c r="S8811" i="1"/>
  <c r="S8858" i="1"/>
  <c r="S8890" i="1"/>
  <c r="S8925" i="1"/>
  <c r="S8939" i="1"/>
  <c r="S8954" i="1"/>
  <c r="S8989" i="1"/>
  <c r="S9003" i="1"/>
  <c r="S9018" i="1"/>
  <c r="S9029" i="1"/>
  <c r="S9045" i="1"/>
  <c r="S9061" i="1"/>
  <c r="S9066" i="1"/>
  <c r="S9079" i="1"/>
  <c r="S9091" i="1"/>
  <c r="S9107" i="1"/>
  <c r="S9153" i="1"/>
  <c r="S9156" i="1"/>
  <c r="S9159" i="1"/>
  <c r="S9162" i="1"/>
  <c r="S9165" i="1"/>
  <c r="S9168" i="1"/>
  <c r="S9171" i="1"/>
  <c r="S9217" i="1"/>
  <c r="S9220" i="1"/>
  <c r="S9223" i="1"/>
  <c r="S9226" i="1"/>
  <c r="S9229" i="1"/>
  <c r="S9232" i="1"/>
  <c r="S9235" i="1"/>
  <c r="S9281" i="1"/>
  <c r="S9284" i="1"/>
  <c r="S9287" i="1"/>
  <c r="S9290" i="1"/>
  <c r="S9293" i="1"/>
  <c r="S9296" i="1"/>
  <c r="S9299" i="1"/>
  <c r="S9345" i="1"/>
  <c r="S9348" i="1"/>
  <c r="S9351" i="1"/>
  <c r="S9354" i="1"/>
  <c r="S9357" i="1"/>
  <c r="S9360" i="1"/>
  <c r="S9363" i="1"/>
  <c r="S9409" i="1"/>
  <c r="S9412" i="1"/>
  <c r="S9415" i="1"/>
  <c r="S9418" i="1"/>
  <c r="S9421" i="1"/>
  <c r="S9424" i="1"/>
  <c r="S9427" i="1"/>
  <c r="S9473" i="1"/>
  <c r="S9476" i="1"/>
  <c r="S9479" i="1"/>
  <c r="S9482" i="1"/>
  <c r="S9485" i="1"/>
  <c r="S9488" i="1"/>
  <c r="S9491" i="1"/>
  <c r="S9542" i="1"/>
  <c r="S9550" i="1"/>
  <c r="S9558" i="1"/>
  <c r="S9566" i="1"/>
  <c r="S9574" i="1"/>
  <c r="S9582" i="1"/>
  <c r="S9590" i="1"/>
  <c r="S9598" i="1"/>
  <c r="S9606" i="1"/>
  <c r="S9614" i="1"/>
  <c r="S9622" i="1"/>
  <c r="S9630" i="1"/>
  <c r="S9638" i="1"/>
  <c r="S9646" i="1"/>
  <c r="S9654" i="1"/>
  <c r="S9662" i="1"/>
  <c r="S9670" i="1"/>
  <c r="S9678" i="1"/>
  <c r="S9686" i="1"/>
  <c r="S9694" i="1"/>
  <c r="S9702" i="1"/>
  <c r="S9710" i="1"/>
  <c r="S9718" i="1"/>
  <c r="S9726" i="1"/>
  <c r="S9734" i="1"/>
  <c r="S9742" i="1"/>
  <c r="S9750" i="1"/>
  <c r="S9758" i="1"/>
  <c r="S9766" i="1"/>
  <c r="S9774" i="1"/>
  <c r="S9782" i="1"/>
  <c r="S9790" i="1"/>
  <c r="S9798" i="1"/>
  <c r="S9806" i="1"/>
  <c r="S9814" i="1"/>
  <c r="S9822" i="1"/>
  <c r="S9830" i="1"/>
  <c r="S9838" i="1"/>
  <c r="S9846" i="1"/>
  <c r="S9854" i="1"/>
  <c r="S9862" i="1"/>
  <c r="S9870" i="1"/>
  <c r="S9878" i="1"/>
  <c r="S9886" i="1"/>
  <c r="S9894" i="1"/>
  <c r="S9902" i="1"/>
  <c r="S9910" i="1"/>
  <c r="S9918" i="1"/>
  <c r="S9926" i="1"/>
  <c r="S9934" i="1"/>
  <c r="S9942" i="1"/>
  <c r="S9950" i="1"/>
  <c r="S9958" i="1"/>
  <c r="S9966" i="1"/>
  <c r="S9974" i="1"/>
  <c r="S9982" i="1"/>
  <c r="S9990" i="1"/>
  <c r="S9998" i="1"/>
  <c r="S9385" i="1"/>
  <c r="S9394" i="1"/>
  <c r="S9400" i="1"/>
  <c r="S9449" i="1"/>
  <c r="S9452" i="1"/>
  <c r="S9458" i="1"/>
  <c r="S9461" i="1"/>
  <c r="S9464" i="1"/>
  <c r="S9467" i="1"/>
  <c r="S9513" i="1"/>
  <c r="S9516" i="1"/>
  <c r="S9519" i="1"/>
  <c r="S9522" i="1"/>
  <c r="S9525" i="1"/>
  <c r="S9528" i="1"/>
  <c r="S9537" i="1"/>
  <c r="S9545" i="1"/>
  <c r="S9553" i="1"/>
  <c r="S9561" i="1"/>
  <c r="S9569" i="1"/>
  <c r="S9577" i="1"/>
  <c r="S9593" i="1"/>
  <c r="S9601" i="1"/>
  <c r="S9617" i="1"/>
  <c r="S9625" i="1"/>
  <c r="S9633" i="1"/>
  <c r="S9641" i="1"/>
  <c r="S9665" i="1"/>
  <c r="S9681" i="1"/>
  <c r="S9697" i="1"/>
  <c r="S9713" i="1"/>
  <c r="S9721" i="1"/>
  <c r="S9737" i="1"/>
  <c r="S9753" i="1"/>
  <c r="S9761" i="1"/>
  <c r="S9769" i="1"/>
  <c r="S9793" i="1"/>
  <c r="S9801" i="1"/>
  <c r="S9809" i="1"/>
  <c r="S9833" i="1"/>
  <c r="S9841" i="1"/>
  <c r="S9857" i="1"/>
  <c r="S9889" i="1"/>
  <c r="S9905" i="1"/>
  <c r="S9913" i="1"/>
  <c r="S9921" i="1"/>
  <c r="S9945" i="1"/>
  <c r="S9953" i="1"/>
  <c r="S9961" i="1"/>
  <c r="S9977" i="1"/>
  <c r="S9985" i="1"/>
  <c r="S8298" i="1"/>
  <c r="S8336" i="1"/>
  <c r="S8348" i="1"/>
  <c r="S8397" i="1"/>
  <c r="S8409" i="1"/>
  <c r="S8458" i="1"/>
  <c r="S8470" i="1"/>
  <c r="S8531" i="1"/>
  <c r="S8592" i="1"/>
  <c r="S8604" i="1"/>
  <c r="S8653" i="1"/>
  <c r="S8665" i="1"/>
  <c r="S8714" i="1"/>
  <c r="S8726" i="1"/>
  <c r="S8787" i="1"/>
  <c r="S8869" i="1"/>
  <c r="S8898" i="1"/>
  <c r="S8933" i="1"/>
  <c r="S8947" i="1"/>
  <c r="S8962" i="1"/>
  <c r="S8997" i="1"/>
  <c r="S9011" i="1"/>
  <c r="S9035" i="1"/>
  <c r="S9051" i="1"/>
  <c r="S9071" i="1"/>
  <c r="S9083" i="1"/>
  <c r="S9096" i="1"/>
  <c r="S9104" i="1"/>
  <c r="S9129" i="1"/>
  <c r="S9132" i="1"/>
  <c r="S9135" i="1"/>
  <c r="S9138" i="1"/>
  <c r="S9141" i="1"/>
  <c r="S9144" i="1"/>
  <c r="S9147" i="1"/>
  <c r="S9193" i="1"/>
  <c r="S9196" i="1"/>
  <c r="S9199" i="1"/>
  <c r="S9202" i="1"/>
  <c r="S9205" i="1"/>
  <c r="S9208" i="1"/>
  <c r="S9211" i="1"/>
  <c r="S9257" i="1"/>
  <c r="S9260" i="1"/>
  <c r="S9263" i="1"/>
  <c r="S9266" i="1"/>
  <c r="S9269" i="1"/>
  <c r="S9272" i="1"/>
  <c r="S9275" i="1"/>
  <c r="S9321" i="1"/>
  <c r="S9324" i="1"/>
  <c r="S9327" i="1"/>
  <c r="S9330" i="1"/>
  <c r="S9333" i="1"/>
  <c r="S9336" i="1"/>
  <c r="S9339" i="1"/>
  <c r="S9388" i="1"/>
  <c r="S9391" i="1"/>
  <c r="S9397" i="1"/>
  <c r="S9403" i="1"/>
  <c r="S9455" i="1"/>
  <c r="S9531" i="1"/>
  <c r="S9585" i="1"/>
  <c r="S9609" i="1"/>
  <c r="S9649" i="1"/>
  <c r="S9657" i="1"/>
  <c r="S9673" i="1"/>
  <c r="S9689" i="1"/>
  <c r="S9705" i="1"/>
  <c r="S9729" i="1"/>
  <c r="S9745" i="1"/>
  <c r="S9777" i="1"/>
  <c r="S9785" i="1"/>
  <c r="S9817" i="1"/>
  <c r="S9825" i="1"/>
  <c r="S9849" i="1"/>
  <c r="S9881" i="1"/>
  <c r="S9897" i="1"/>
  <c r="S9937" i="1"/>
  <c r="T455" i="1"/>
  <c r="T613" i="1"/>
  <c r="T95" i="1"/>
  <c r="T259" i="1"/>
  <c r="T375" i="1"/>
  <c r="T460" i="1"/>
  <c r="T558" i="1"/>
  <c r="T604" i="1"/>
  <c r="T24" i="1"/>
  <c r="T286" i="1"/>
  <c r="T406" i="1"/>
  <c r="T533" i="1"/>
  <c r="T577" i="1"/>
  <c r="T508" i="1"/>
  <c r="T416" i="1"/>
  <c r="T345" i="1"/>
  <c r="T248" i="1"/>
  <c r="T166" i="1"/>
  <c r="T490" i="1"/>
  <c r="T441" i="1"/>
  <c r="T365" i="1"/>
  <c r="T257" i="1"/>
  <c r="T120" i="1"/>
  <c r="T496" i="1"/>
  <c r="T407" i="1"/>
  <c r="T357" i="1"/>
  <c r="T299" i="1"/>
  <c r="T143" i="1"/>
  <c r="T19" i="1"/>
  <c r="T301" i="1"/>
  <c r="T130" i="1"/>
  <c r="T289" i="1"/>
  <c r="T467" i="1"/>
  <c r="S386" i="1"/>
  <c r="S169" i="1"/>
  <c r="S436" i="1"/>
  <c r="S166" i="1"/>
  <c r="S576" i="1"/>
  <c r="S510" i="1"/>
  <c r="S402" i="1"/>
  <c r="S123" i="1"/>
  <c r="T632" i="1"/>
  <c r="I16" i="7"/>
  <c r="N10" i="7" s="1"/>
  <c r="I14" i="7"/>
  <c r="N8" i="7" s="1"/>
  <c r="D8" i="7"/>
  <c r="I15" i="7"/>
  <c r="N9" i="7" s="1"/>
  <c r="M17" i="7" s="1"/>
  <c r="N17" i="7" s="1"/>
  <c r="D9" i="7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D11" i="7" s="1"/>
  <c r="D10" i="7"/>
  <c r="T486" i="1"/>
  <c r="T616" i="1"/>
  <c r="T168" i="1"/>
  <c r="T292" i="1"/>
  <c r="T385" i="1"/>
  <c r="T482" i="1"/>
  <c r="T561" i="1"/>
  <c r="T628" i="1"/>
  <c r="T71" i="1"/>
  <c r="T307" i="1"/>
  <c r="T432" i="1"/>
  <c r="T536" i="1"/>
  <c r="T580" i="1"/>
  <c r="T473" i="1"/>
  <c r="T413" i="1"/>
  <c r="T337" i="1"/>
  <c r="T243" i="1"/>
  <c r="T149" i="1"/>
  <c r="T487" i="1"/>
  <c r="T434" i="1"/>
  <c r="T361" i="1"/>
  <c r="T250" i="1"/>
  <c r="T113" i="1"/>
  <c r="T493" i="1"/>
  <c r="T404" i="1"/>
  <c r="T350" i="1"/>
  <c r="T273" i="1"/>
  <c r="T112" i="1"/>
  <c r="T10" i="1"/>
  <c r="T15" i="1"/>
  <c r="T144" i="1"/>
  <c r="T311" i="1"/>
  <c r="T475" i="1"/>
  <c r="S290" i="1"/>
  <c r="T479" i="1"/>
  <c r="T593" i="1"/>
  <c r="S108" i="1"/>
  <c r="S413" i="1"/>
  <c r="S154" i="1"/>
  <c r="S572" i="1"/>
  <c r="S505" i="1"/>
  <c r="S389" i="1"/>
  <c r="T398" i="1"/>
  <c r="T332" i="1"/>
  <c r="S96" i="1"/>
  <c r="S407" i="1"/>
  <c r="S117" i="1"/>
  <c r="S568" i="1"/>
  <c r="S496" i="1"/>
  <c r="S375" i="1"/>
  <c r="T547" i="1"/>
  <c r="T344" i="1"/>
  <c r="T524" i="1"/>
  <c r="T620" i="1"/>
  <c r="T624" i="1"/>
  <c r="T637" i="1"/>
  <c r="T655" i="1"/>
  <c r="T662" i="1"/>
  <c r="T666" i="1"/>
  <c r="T690" i="1"/>
  <c r="T699" i="1"/>
  <c r="T702" i="1"/>
  <c r="T705" i="1"/>
  <c r="T728" i="1"/>
  <c r="T731" i="1"/>
  <c r="T737" i="1"/>
  <c r="T73" i="1"/>
  <c r="T412" i="1"/>
  <c r="T518" i="1"/>
  <c r="T581" i="1"/>
  <c r="T617" i="1"/>
  <c r="T626" i="1"/>
  <c r="T636" i="1"/>
  <c r="T657" i="1"/>
  <c r="T665" i="1"/>
  <c r="T673" i="1"/>
  <c r="T693" i="1"/>
  <c r="T703" i="1"/>
  <c r="T720" i="1"/>
  <c r="T723" i="1"/>
  <c r="T743" i="1"/>
  <c r="T767" i="1"/>
  <c r="T770" i="1"/>
  <c r="T773" i="1"/>
  <c r="T793" i="1"/>
  <c r="T388" i="1"/>
  <c r="T488" i="1"/>
  <c r="T497" i="1"/>
  <c r="T540" i="1"/>
  <c r="T546" i="1"/>
  <c r="T587" i="1"/>
  <c r="T646" i="1"/>
  <c r="T670" i="1"/>
  <c r="T680" i="1"/>
  <c r="T683" i="1"/>
  <c r="T694" i="1"/>
  <c r="T697" i="1"/>
  <c r="T710" i="1"/>
  <c r="T713" i="1"/>
  <c r="T717" i="1"/>
  <c r="T730" i="1"/>
  <c r="T750" i="1"/>
  <c r="T759" i="1"/>
  <c r="T776" i="1"/>
  <c r="T782" i="1"/>
  <c r="T236" i="1"/>
  <c r="T402" i="1"/>
  <c r="T448" i="1"/>
  <c r="T569" i="1"/>
  <c r="T160" i="1"/>
  <c r="T325" i="1"/>
  <c r="T470" i="1"/>
  <c r="T507" i="1"/>
  <c r="T521" i="1"/>
  <c r="T534" i="1"/>
  <c r="T169" i="1"/>
  <c r="T429" i="1"/>
  <c r="T462" i="1"/>
  <c r="T139" i="1"/>
  <c r="T442" i="1"/>
  <c r="T559" i="1"/>
  <c r="T605" i="1"/>
  <c r="T614" i="1"/>
  <c r="T689" i="1"/>
  <c r="T721" i="1"/>
  <c r="T725" i="1"/>
  <c r="T729" i="1"/>
  <c r="T755" i="1"/>
  <c r="T763" i="1"/>
  <c r="T771" i="1"/>
  <c r="T778" i="1"/>
  <c r="T783" i="1"/>
  <c r="T786" i="1"/>
  <c r="T799" i="1"/>
  <c r="T810" i="1"/>
  <c r="T813" i="1"/>
  <c r="T824" i="1"/>
  <c r="T835" i="1"/>
  <c r="T838" i="1"/>
  <c r="T849" i="1"/>
  <c r="T863" i="1"/>
  <c r="T874" i="1"/>
  <c r="T882" i="1"/>
  <c r="T890" i="1"/>
  <c r="T898" i="1"/>
  <c r="T906" i="1"/>
  <c r="T914" i="1"/>
  <c r="T922" i="1"/>
  <c r="T930" i="1"/>
  <c r="T938" i="1"/>
  <c r="T946" i="1"/>
  <c r="T954" i="1"/>
  <c r="T962" i="1"/>
  <c r="T970" i="1"/>
  <c r="T978" i="1"/>
  <c r="T986" i="1"/>
  <c r="T994" i="1"/>
  <c r="T1002" i="1"/>
  <c r="T1010" i="1"/>
  <c r="T1018" i="1"/>
  <c r="T1026" i="1"/>
  <c r="T1034" i="1"/>
  <c r="T1042" i="1"/>
  <c r="T1050" i="1"/>
  <c r="T1058" i="1"/>
  <c r="T1066" i="1"/>
  <c r="T1074" i="1"/>
  <c r="T1082" i="1"/>
  <c r="T1090" i="1"/>
  <c r="T1098" i="1"/>
  <c r="T501" i="1"/>
  <c r="T550" i="1"/>
  <c r="T563" i="1"/>
  <c r="T572" i="1"/>
  <c r="T590" i="1"/>
  <c r="T667" i="1"/>
  <c r="T672" i="1"/>
  <c r="T681" i="1"/>
  <c r="T695" i="1"/>
  <c r="T712" i="1"/>
  <c r="T735" i="1"/>
  <c r="T744" i="1"/>
  <c r="T760" i="1"/>
  <c r="T775" i="1"/>
  <c r="T779" i="1"/>
  <c r="T802" i="1"/>
  <c r="T805" i="1"/>
  <c r="T816" i="1"/>
  <c r="T827" i="1"/>
  <c r="T830" i="1"/>
  <c r="T841" i="1"/>
  <c r="T855" i="1"/>
  <c r="T866" i="1"/>
  <c r="T869" i="1"/>
  <c r="T877" i="1"/>
  <c r="T885" i="1"/>
  <c r="T893" i="1"/>
  <c r="T901" i="1"/>
  <c r="T909" i="1"/>
  <c r="T917" i="1"/>
  <c r="T925" i="1"/>
  <c r="T933" i="1"/>
  <c r="T941" i="1"/>
  <c r="T211" i="1"/>
  <c r="T621" i="1"/>
  <c r="T640" i="1"/>
  <c r="T651" i="1"/>
  <c r="T686" i="1"/>
  <c r="T691" i="1"/>
  <c r="T704" i="1"/>
  <c r="T726" i="1"/>
  <c r="T739" i="1"/>
  <c r="T752" i="1"/>
  <c r="T768" i="1"/>
  <c r="T790" i="1"/>
  <c r="T808" i="1"/>
  <c r="T819" i="1"/>
  <c r="T822" i="1"/>
  <c r="T537" i="1"/>
  <c r="T608" i="1"/>
  <c r="T252" i="1"/>
  <c r="T339" i="1"/>
  <c r="T584" i="1"/>
  <c r="T602" i="1"/>
  <c r="T360" i="1"/>
  <c r="T596" i="1"/>
  <c r="T649" i="1"/>
  <c r="T659" i="1"/>
  <c r="T671" i="1"/>
  <c r="T706" i="1"/>
  <c r="T711" i="1"/>
  <c r="T733" i="1"/>
  <c r="T746" i="1"/>
  <c r="T629" i="1"/>
  <c r="T663" i="1"/>
  <c r="T682" i="1"/>
  <c r="T709" i="1"/>
  <c r="T718" i="1"/>
  <c r="T727" i="1"/>
  <c r="T753" i="1"/>
  <c r="T777" i="1"/>
  <c r="T784" i="1"/>
  <c r="T794" i="1"/>
  <c r="T817" i="1"/>
  <c r="T821" i="1"/>
  <c r="T837" i="1"/>
  <c r="T848" i="1"/>
  <c r="T859" i="1"/>
  <c r="T881" i="1"/>
  <c r="T895" i="1"/>
  <c r="T899" i="1"/>
  <c r="T913" i="1"/>
  <c r="T927" i="1"/>
  <c r="T931" i="1"/>
  <c r="T945" i="1"/>
  <c r="T973" i="1"/>
  <c r="T976" i="1"/>
  <c r="T979" i="1"/>
  <c r="T982" i="1"/>
  <c r="T985" i="1"/>
  <c r="T988" i="1"/>
  <c r="T991" i="1"/>
  <c r="T674" i="1"/>
  <c r="T701" i="1"/>
  <c r="T736" i="1"/>
  <c r="T745" i="1"/>
  <c r="T789" i="1"/>
  <c r="T800" i="1"/>
  <c r="T826" i="1"/>
  <c r="T845" i="1"/>
  <c r="T856" i="1"/>
  <c r="T867" i="1"/>
  <c r="T878" i="1"/>
  <c r="T892" i="1"/>
  <c r="T896" i="1"/>
  <c r="T910" i="1"/>
  <c r="T924" i="1"/>
  <c r="T928" i="1"/>
  <c r="T942" i="1"/>
  <c r="T949" i="1"/>
  <c r="T952" i="1"/>
  <c r="T955" i="1"/>
  <c r="T958" i="1"/>
  <c r="T961" i="1"/>
  <c r="T964" i="1"/>
  <c r="T967" i="1"/>
  <c r="T618" i="1"/>
  <c r="T643" i="1"/>
  <c r="T654" i="1"/>
  <c r="T719" i="1"/>
  <c r="T766" i="1"/>
  <c r="T785" i="1"/>
  <c r="T809" i="1"/>
  <c r="T814" i="1"/>
  <c r="T834" i="1"/>
  <c r="T853" i="1"/>
  <c r="T864" i="1"/>
  <c r="T871" i="1"/>
  <c r="T875" i="1"/>
  <c r="T889" i="1"/>
  <c r="T903" i="1"/>
  <c r="T907" i="1"/>
  <c r="T921" i="1"/>
  <c r="T935" i="1"/>
  <c r="T939" i="1"/>
  <c r="T989" i="1"/>
  <c r="T992" i="1"/>
  <c r="T995" i="1"/>
  <c r="T998" i="1"/>
  <c r="T1001" i="1"/>
  <c r="T1004" i="1"/>
  <c r="T675" i="1"/>
  <c r="T738" i="1"/>
  <c r="T747" i="1"/>
  <c r="T754" i="1"/>
  <c r="T761" i="1"/>
  <c r="T791" i="1"/>
  <c r="T795" i="1"/>
  <c r="T818" i="1"/>
  <c r="T823" i="1"/>
  <c r="T831" i="1"/>
  <c r="T842" i="1"/>
  <c r="T861" i="1"/>
  <c r="T872" i="1"/>
  <c r="T886" i="1"/>
  <c r="T900" i="1"/>
  <c r="T904" i="1"/>
  <c r="T918" i="1"/>
  <c r="T932" i="1"/>
  <c r="T936" i="1"/>
  <c r="T965" i="1"/>
  <c r="T968" i="1"/>
  <c r="T971" i="1"/>
  <c r="T974" i="1"/>
  <c r="T977" i="1"/>
  <c r="T980" i="1"/>
  <c r="T983" i="1"/>
  <c r="T566" i="1"/>
  <c r="T678" i="1"/>
  <c r="T687" i="1"/>
  <c r="T722" i="1"/>
  <c r="T749" i="1"/>
  <c r="T762" i="1"/>
  <c r="T774" i="1"/>
  <c r="T797" i="1"/>
  <c r="T801" i="1"/>
  <c r="T806" i="1"/>
  <c r="T839" i="1"/>
  <c r="T846" i="1"/>
  <c r="T850" i="1"/>
  <c r="T857" i="1"/>
  <c r="T879" i="1"/>
  <c r="T883" i="1"/>
  <c r="T897" i="1"/>
  <c r="T911" i="1"/>
  <c r="T915" i="1"/>
  <c r="T929" i="1"/>
  <c r="T943" i="1"/>
  <c r="T947" i="1"/>
  <c r="T950" i="1"/>
  <c r="T953" i="1"/>
  <c r="T956" i="1"/>
  <c r="T959" i="1"/>
  <c r="T1005" i="1"/>
  <c r="T578" i="1"/>
  <c r="T679" i="1"/>
  <c r="T688" i="1"/>
  <c r="T792" i="1"/>
  <c r="T825" i="1"/>
  <c r="T832" i="1"/>
  <c r="T843" i="1"/>
  <c r="T862" i="1"/>
  <c r="T873" i="1"/>
  <c r="T887" i="1"/>
  <c r="T891" i="1"/>
  <c r="T905" i="1"/>
  <c r="T919" i="1"/>
  <c r="T923" i="1"/>
  <c r="T937" i="1"/>
  <c r="T957" i="1"/>
  <c r="T960" i="1"/>
  <c r="T963" i="1"/>
  <c r="T966" i="1"/>
  <c r="T969" i="1"/>
  <c r="T972" i="1"/>
  <c r="T975" i="1"/>
  <c r="T698" i="1"/>
  <c r="T734" i="1"/>
  <c r="T765" i="1"/>
  <c r="T807" i="1"/>
  <c r="T840" i="1"/>
  <c r="T870" i="1"/>
  <c r="T884" i="1"/>
  <c r="T1007" i="1"/>
  <c r="T1014" i="1"/>
  <c r="T1021" i="1"/>
  <c r="T1028" i="1"/>
  <c r="T1053" i="1"/>
  <c r="T1056" i="1"/>
  <c r="T1059" i="1"/>
  <c r="T1062" i="1"/>
  <c r="T1065" i="1"/>
  <c r="T1068" i="1"/>
  <c r="T1071" i="1"/>
  <c r="T1104" i="1"/>
  <c r="T1112" i="1"/>
  <c r="T1120" i="1"/>
  <c r="T1128" i="1"/>
  <c r="T1136" i="1"/>
  <c r="T1144" i="1"/>
  <c r="T1152" i="1"/>
  <c r="T1160" i="1"/>
  <c r="T1168" i="1"/>
  <c r="T1176" i="1"/>
  <c r="T1184" i="1"/>
  <c r="T1192" i="1"/>
  <c r="T1200" i="1"/>
  <c r="T1208" i="1"/>
  <c r="T1216" i="1"/>
  <c r="T1224" i="1"/>
  <c r="T1232" i="1"/>
  <c r="T1240" i="1"/>
  <c r="T1248" i="1"/>
  <c r="T1256" i="1"/>
  <c r="T1264" i="1"/>
  <c r="T1272" i="1"/>
  <c r="T1280" i="1"/>
  <c r="T1288" i="1"/>
  <c r="T1296" i="1"/>
  <c r="T1304" i="1"/>
  <c r="T1312" i="1"/>
  <c r="T1320" i="1"/>
  <c r="T1328" i="1"/>
  <c r="T1336" i="1"/>
  <c r="T1344" i="1"/>
  <c r="T1352" i="1"/>
  <c r="T1360" i="1"/>
  <c r="T1368" i="1"/>
  <c r="T1376" i="1"/>
  <c r="T1384" i="1"/>
  <c r="T1392" i="1"/>
  <c r="T1400" i="1"/>
  <c r="T1408" i="1"/>
  <c r="T1416" i="1"/>
  <c r="T530" i="1"/>
  <c r="T741" i="1"/>
  <c r="T769" i="1"/>
  <c r="T811" i="1"/>
  <c r="T858" i="1"/>
  <c r="T944" i="1"/>
  <c r="T981" i="1"/>
  <c r="T993" i="1"/>
  <c r="T1011" i="1"/>
  <c r="T1025" i="1"/>
  <c r="T1032" i="1"/>
  <c r="T1035" i="1"/>
  <c r="T1038" i="1"/>
  <c r="T1041" i="1"/>
  <c r="T1044" i="1"/>
  <c r="T1047" i="1"/>
  <c r="T1093" i="1"/>
  <c r="T1096" i="1"/>
  <c r="T1099" i="1"/>
  <c r="T1107" i="1"/>
  <c r="T1115" i="1"/>
  <c r="T1123" i="1"/>
  <c r="T1131" i="1"/>
  <c r="T1139" i="1"/>
  <c r="T1147" i="1"/>
  <c r="T1155" i="1"/>
  <c r="T1163" i="1"/>
  <c r="T1171" i="1"/>
  <c r="T1179" i="1"/>
  <c r="T1187" i="1"/>
  <c r="T1195" i="1"/>
  <c r="T1203" i="1"/>
  <c r="T1211" i="1"/>
  <c r="T1219" i="1"/>
  <c r="T1227" i="1"/>
  <c r="T1235" i="1"/>
  <c r="T1243" i="1"/>
  <c r="T1251" i="1"/>
  <c r="T1259" i="1"/>
  <c r="T1267" i="1"/>
  <c r="T1275" i="1"/>
  <c r="T1283" i="1"/>
  <c r="T1291" i="1"/>
  <c r="T1299" i="1"/>
  <c r="T1307" i="1"/>
  <c r="T1315" i="1"/>
  <c r="T1323" i="1"/>
  <c r="T1331" i="1"/>
  <c r="T1339" i="1"/>
  <c r="T1347" i="1"/>
  <c r="T1355" i="1"/>
  <c r="T1363" i="1"/>
  <c r="T1371" i="1"/>
  <c r="T1379" i="1"/>
  <c r="T1387" i="1"/>
  <c r="T1395" i="1"/>
  <c r="T1403" i="1"/>
  <c r="T1411" i="1"/>
  <c r="T707" i="1"/>
  <c r="T742" i="1"/>
  <c r="T829" i="1"/>
  <c r="T888" i="1"/>
  <c r="T902" i="1"/>
  <c r="T916" i="1"/>
  <c r="T1003" i="1"/>
  <c r="T1008" i="1"/>
  <c r="T1022" i="1"/>
  <c r="T1029" i="1"/>
  <c r="T1069" i="1"/>
  <c r="T1072" i="1"/>
  <c r="T1075" i="1"/>
  <c r="T1078" i="1"/>
  <c r="T1081" i="1"/>
  <c r="T1084" i="1"/>
  <c r="T1087" i="1"/>
  <c r="T1102" i="1"/>
  <c r="T1110" i="1"/>
  <c r="T1118" i="1"/>
  <c r="T1126" i="1"/>
  <c r="T1134" i="1"/>
  <c r="T1142" i="1"/>
  <c r="T1150" i="1"/>
  <c r="T1158" i="1"/>
  <c r="T1166" i="1"/>
  <c r="T1174" i="1"/>
  <c r="T1182" i="1"/>
  <c r="T1190" i="1"/>
  <c r="T1198" i="1"/>
  <c r="T1206" i="1"/>
  <c r="T1214" i="1"/>
  <c r="T1222" i="1"/>
  <c r="T1230" i="1"/>
  <c r="T714" i="1"/>
  <c r="T815" i="1"/>
  <c r="T847" i="1"/>
  <c r="T876" i="1"/>
  <c r="T984" i="1"/>
  <c r="T996" i="1"/>
  <c r="T1015" i="1"/>
  <c r="T1019" i="1"/>
  <c r="T1045" i="1"/>
  <c r="T1048" i="1"/>
  <c r="T1051" i="1"/>
  <c r="T1054" i="1"/>
  <c r="T1057" i="1"/>
  <c r="T1060" i="1"/>
  <c r="T1063" i="1"/>
  <c r="T1105" i="1"/>
  <c r="T1113" i="1"/>
  <c r="T1121" i="1"/>
  <c r="T1129" i="1"/>
  <c r="T1137" i="1"/>
  <c r="T1145" i="1"/>
  <c r="T1153" i="1"/>
  <c r="T1161" i="1"/>
  <c r="T1169" i="1"/>
  <c r="T1177" i="1"/>
  <c r="T1185" i="1"/>
  <c r="T1193" i="1"/>
  <c r="T1201" i="1"/>
  <c r="T1209" i="1"/>
  <c r="T1217" i="1"/>
  <c r="T1225" i="1"/>
  <c r="T715" i="1"/>
  <c r="T751" i="1"/>
  <c r="T798" i="1"/>
  <c r="T833" i="1"/>
  <c r="T920" i="1"/>
  <c r="T934" i="1"/>
  <c r="T948" i="1"/>
  <c r="T997" i="1"/>
  <c r="T1012" i="1"/>
  <c r="T1016" i="1"/>
  <c r="T1033" i="1"/>
  <c r="T1036" i="1"/>
  <c r="T1039" i="1"/>
  <c r="T1085" i="1"/>
  <c r="T1088" i="1"/>
  <c r="T1091" i="1"/>
  <c r="T1094" i="1"/>
  <c r="T1097" i="1"/>
  <c r="T1100" i="1"/>
  <c r="T1108" i="1"/>
  <c r="T1116" i="1"/>
  <c r="T1124" i="1"/>
  <c r="T1132" i="1"/>
  <c r="T1140" i="1"/>
  <c r="T1148" i="1"/>
  <c r="T1156" i="1"/>
  <c r="T1164" i="1"/>
  <c r="T1172" i="1"/>
  <c r="T1180" i="1"/>
  <c r="T1188" i="1"/>
  <c r="T1196" i="1"/>
  <c r="T1204" i="1"/>
  <c r="T1212" i="1"/>
  <c r="T1220" i="1"/>
  <c r="T1228" i="1"/>
  <c r="T757" i="1"/>
  <c r="T781" i="1"/>
  <c r="T865" i="1"/>
  <c r="T880" i="1"/>
  <c r="T650" i="1"/>
  <c r="T758" i="1"/>
  <c r="T803" i="1"/>
  <c r="T851" i="1"/>
  <c r="T951" i="1"/>
  <c r="T999" i="1"/>
  <c r="T1006" i="1"/>
  <c r="T1020" i="1"/>
  <c r="T1027" i="1"/>
  <c r="T1037" i="1"/>
  <c r="T1040" i="1"/>
  <c r="T1043" i="1"/>
  <c r="T1046" i="1"/>
  <c r="T658" i="1"/>
  <c r="T696" i="1"/>
  <c r="T787" i="1"/>
  <c r="T854" i="1"/>
  <c r="T926" i="1"/>
  <c r="T1024" i="1"/>
  <c r="T1049" i="1"/>
  <c r="T1089" i="1"/>
  <c r="T1127" i="1"/>
  <c r="T1133" i="1"/>
  <c r="T1162" i="1"/>
  <c r="T1191" i="1"/>
  <c r="T1197" i="1"/>
  <c r="T1226" i="1"/>
  <c r="T1236" i="1"/>
  <c r="T1250" i="1"/>
  <c r="T1254" i="1"/>
  <c r="T1268" i="1"/>
  <c r="T1282" i="1"/>
  <c r="T1286" i="1"/>
  <c r="T1300" i="1"/>
  <c r="T1314" i="1"/>
  <c r="T1318" i="1"/>
  <c r="T1332" i="1"/>
  <c r="T1346" i="1"/>
  <c r="T1350" i="1"/>
  <c r="T1364" i="1"/>
  <c r="T1378" i="1"/>
  <c r="T1382" i="1"/>
  <c r="T1396" i="1"/>
  <c r="T1410" i="1"/>
  <c r="T1414" i="1"/>
  <c r="T1426" i="1"/>
  <c r="T1434" i="1"/>
  <c r="T1442" i="1"/>
  <c r="T1450" i="1"/>
  <c r="T1458" i="1"/>
  <c r="T1466" i="1"/>
  <c r="T1474" i="1"/>
  <c r="T1482" i="1"/>
  <c r="T1490" i="1"/>
  <c r="T1498" i="1"/>
  <c r="T1506" i="1"/>
  <c r="T1514" i="1"/>
  <c r="T1522" i="1"/>
  <c r="T1530" i="1"/>
  <c r="T1538" i="1"/>
  <c r="T1546" i="1"/>
  <c r="T1554" i="1"/>
  <c r="T1562" i="1"/>
  <c r="T1570" i="1"/>
  <c r="T1578" i="1"/>
  <c r="T1586" i="1"/>
  <c r="T1594" i="1"/>
  <c r="T1602" i="1"/>
  <c r="T1610" i="1"/>
  <c r="T1618" i="1"/>
  <c r="T1626" i="1"/>
  <c r="T1634" i="1"/>
  <c r="T1642" i="1"/>
  <c r="T1650" i="1"/>
  <c r="T1658" i="1"/>
  <c r="T1666" i="1"/>
  <c r="T1674" i="1"/>
  <c r="T1682" i="1"/>
  <c r="T1690" i="1"/>
  <c r="T1698" i="1"/>
  <c r="T1706" i="1"/>
  <c r="T1714" i="1"/>
  <c r="T1722" i="1"/>
  <c r="T1730" i="1"/>
  <c r="T1738" i="1"/>
  <c r="T1746" i="1"/>
  <c r="T1754" i="1"/>
  <c r="T1762" i="1"/>
  <c r="T1770" i="1"/>
  <c r="T1778" i="1"/>
  <c r="T1786" i="1"/>
  <c r="T1794" i="1"/>
  <c r="T1802" i="1"/>
  <c r="T1810" i="1"/>
  <c r="T1818" i="1"/>
  <c r="T1826" i="1"/>
  <c r="T1834" i="1"/>
  <c r="T1842" i="1"/>
  <c r="T1850" i="1"/>
  <c r="T1858" i="1"/>
  <c r="T1866" i="1"/>
  <c r="T1874" i="1"/>
  <c r="T1882" i="1"/>
  <c r="T1890" i="1"/>
  <c r="T1898" i="1"/>
  <c r="T1906" i="1"/>
  <c r="T987" i="1"/>
  <c r="T1013" i="1"/>
  <c r="T1067" i="1"/>
  <c r="T1106" i="1"/>
  <c r="T1135" i="1"/>
  <c r="T1141" i="1"/>
  <c r="T1170" i="1"/>
  <c r="T1199" i="1"/>
  <c r="T1205" i="1"/>
  <c r="T1233" i="1"/>
  <c r="T1247" i="1"/>
  <c r="T1261" i="1"/>
  <c r="T1265" i="1"/>
  <c r="T1279" i="1"/>
  <c r="T1293" i="1"/>
  <c r="T1297" i="1"/>
  <c r="T1311" i="1"/>
  <c r="T1325" i="1"/>
  <c r="T1329" i="1"/>
  <c r="T1343" i="1"/>
  <c r="T1357" i="1"/>
  <c r="T1361" i="1"/>
  <c r="T1375" i="1"/>
  <c r="T1389" i="1"/>
  <c r="T1393" i="1"/>
  <c r="T1407" i="1"/>
  <c r="T940" i="1"/>
  <c r="T990" i="1"/>
  <c r="T1076" i="1"/>
  <c r="T1083" i="1"/>
  <c r="T1114" i="1"/>
  <c r="T1143" i="1"/>
  <c r="T1149" i="1"/>
  <c r="T1178" i="1"/>
  <c r="T1207" i="1"/>
  <c r="T1213" i="1"/>
  <c r="T1244" i="1"/>
  <c r="T1258" i="1"/>
  <c r="T1262" i="1"/>
  <c r="T1276" i="1"/>
  <c r="T1290" i="1"/>
  <c r="T1294" i="1"/>
  <c r="T1308" i="1"/>
  <c r="T1322" i="1"/>
  <c r="T1326" i="1"/>
  <c r="T1340" i="1"/>
  <c r="T1354" i="1"/>
  <c r="T1358" i="1"/>
  <c r="T1372" i="1"/>
  <c r="T1386" i="1"/>
  <c r="T1390" i="1"/>
  <c r="T1404" i="1"/>
  <c r="T1418" i="1"/>
  <c r="T1421" i="1"/>
  <c r="T1424" i="1"/>
  <c r="T1432" i="1"/>
  <c r="T1440" i="1"/>
  <c r="T1448" i="1"/>
  <c r="T1456" i="1"/>
  <c r="T1464" i="1"/>
  <c r="T1472" i="1"/>
  <c r="T1480" i="1"/>
  <c r="T1488" i="1"/>
  <c r="T1496" i="1"/>
  <c r="T1504" i="1"/>
  <c r="T1512" i="1"/>
  <c r="T1520" i="1"/>
  <c r="T1528" i="1"/>
  <c r="T1536" i="1"/>
  <c r="T1544" i="1"/>
  <c r="T1552" i="1"/>
  <c r="T1560" i="1"/>
  <c r="T1568" i="1"/>
  <c r="T1576" i="1"/>
  <c r="T1584" i="1"/>
  <c r="T1592" i="1"/>
  <c r="T1600" i="1"/>
  <c r="T1608" i="1"/>
  <c r="T1616" i="1"/>
  <c r="T1624" i="1"/>
  <c r="T1632" i="1"/>
  <c r="T1640" i="1"/>
  <c r="T894" i="1"/>
  <c r="T1030" i="1"/>
  <c r="T1052" i="1"/>
  <c r="T1061" i="1"/>
  <c r="T1092" i="1"/>
  <c r="T1122" i="1"/>
  <c r="T1151" i="1"/>
  <c r="T1157" i="1"/>
  <c r="T1186" i="1"/>
  <c r="T1215" i="1"/>
  <c r="T1221" i="1"/>
  <c r="T1237" i="1"/>
  <c r="T1241" i="1"/>
  <c r="T1255" i="1"/>
  <c r="T1269" i="1"/>
  <c r="T1273" i="1"/>
  <c r="T1287" i="1"/>
  <c r="T1301" i="1"/>
  <c r="T1305" i="1"/>
  <c r="T1319" i="1"/>
  <c r="T1333" i="1"/>
  <c r="T1337" i="1"/>
  <c r="T1351" i="1"/>
  <c r="T1365" i="1"/>
  <c r="T1369" i="1"/>
  <c r="T1383" i="1"/>
  <c r="T1397" i="1"/>
  <c r="T1401" i="1"/>
  <c r="T1415" i="1"/>
  <c r="T1427" i="1"/>
  <c r="T1435" i="1"/>
  <c r="T1443" i="1"/>
  <c r="T1451" i="1"/>
  <c r="T1459" i="1"/>
  <c r="T1467" i="1"/>
  <c r="T1475" i="1"/>
  <c r="T1483" i="1"/>
  <c r="T1491" i="1"/>
  <c r="T1499" i="1"/>
  <c r="T1507" i="1"/>
  <c r="T1515" i="1"/>
  <c r="T1523" i="1"/>
  <c r="T1531" i="1"/>
  <c r="T1539" i="1"/>
  <c r="T1547" i="1"/>
  <c r="T1555" i="1"/>
  <c r="T1563" i="1"/>
  <c r="T1571" i="1"/>
  <c r="T1579" i="1"/>
  <c r="T1587" i="1"/>
  <c r="T1595" i="1"/>
  <c r="T1603" i="1"/>
  <c r="T1611" i="1"/>
  <c r="T1619" i="1"/>
  <c r="T1627" i="1"/>
  <c r="T1635" i="1"/>
  <c r="T1000" i="1"/>
  <c r="T1017" i="1"/>
  <c r="T1031" i="1"/>
  <c r="T1070" i="1"/>
  <c r="T1077" i="1"/>
  <c r="T1101" i="1"/>
  <c r="T1130" i="1"/>
  <c r="T1159" i="1"/>
  <c r="T1165" i="1"/>
  <c r="T1194" i="1"/>
  <c r="T1223" i="1"/>
  <c r="T1229" i="1"/>
  <c r="T1234" i="1"/>
  <c r="T1238" i="1"/>
  <c r="T1252" i="1"/>
  <c r="T1266" i="1"/>
  <c r="T1270" i="1"/>
  <c r="T1284" i="1"/>
  <c r="T1298" i="1"/>
  <c r="T1302" i="1"/>
  <c r="T1316" i="1"/>
  <c r="T1330" i="1"/>
  <c r="T1334" i="1"/>
  <c r="T1348" i="1"/>
  <c r="T1362" i="1"/>
  <c r="T1366" i="1"/>
  <c r="T1380" i="1"/>
  <c r="T1394" i="1"/>
  <c r="T1398" i="1"/>
  <c r="T1412" i="1"/>
  <c r="T1419" i="1"/>
  <c r="T1422" i="1"/>
  <c r="T1430" i="1"/>
  <c r="T1438" i="1"/>
  <c r="T1446" i="1"/>
  <c r="T1454" i="1"/>
  <c r="T1462" i="1"/>
  <c r="T1470" i="1"/>
  <c r="T1478" i="1"/>
  <c r="T1486" i="1"/>
  <c r="T1494" i="1"/>
  <c r="T1502" i="1"/>
  <c r="T1510" i="1"/>
  <c r="T1518" i="1"/>
  <c r="T1526" i="1"/>
  <c r="T1534" i="1"/>
  <c r="T1542" i="1"/>
  <c r="T1550" i="1"/>
  <c r="T1558" i="1"/>
  <c r="T1566" i="1"/>
  <c r="T1574" i="1"/>
  <c r="T1582" i="1"/>
  <c r="T1590" i="1"/>
  <c r="T1598" i="1"/>
  <c r="T1606" i="1"/>
  <c r="T1614" i="1"/>
  <c r="T1622" i="1"/>
  <c r="T1630" i="1"/>
  <c r="T1638" i="1"/>
  <c r="T1646" i="1"/>
  <c r="T908" i="1"/>
  <c r="T1079" i="1"/>
  <c r="T1086" i="1"/>
  <c r="T1103" i="1"/>
  <c r="T1109" i="1"/>
  <c r="T1138" i="1"/>
  <c r="T1167" i="1"/>
  <c r="T1173" i="1"/>
  <c r="T1202" i="1"/>
  <c r="T912" i="1"/>
  <c r="T1055" i="1"/>
  <c r="T1064" i="1"/>
  <c r="T1095" i="1"/>
  <c r="T1111" i="1"/>
  <c r="T1117" i="1"/>
  <c r="T1146" i="1"/>
  <c r="T1175" i="1"/>
  <c r="T1181" i="1"/>
  <c r="T1210" i="1"/>
  <c r="T1242" i="1"/>
  <c r="T1246" i="1"/>
  <c r="T1260" i="1"/>
  <c r="T1274" i="1"/>
  <c r="T1278" i="1"/>
  <c r="T1292" i="1"/>
  <c r="T1306" i="1"/>
  <c r="T1310" i="1"/>
  <c r="T1324" i="1"/>
  <c r="T1338" i="1"/>
  <c r="T1342" i="1"/>
  <c r="T1356" i="1"/>
  <c r="T1370" i="1"/>
  <c r="T1374" i="1"/>
  <c r="T1388" i="1"/>
  <c r="T1402" i="1"/>
  <c r="T1406" i="1"/>
  <c r="T1009" i="1"/>
  <c r="T1023" i="1"/>
  <c r="T1073" i="1"/>
  <c r="T1080" i="1"/>
  <c r="T1119" i="1"/>
  <c r="T1125" i="1"/>
  <c r="T1154" i="1"/>
  <c r="T1183" i="1"/>
  <c r="T1189" i="1"/>
  <c r="T1289" i="1"/>
  <c r="T1303" i="1"/>
  <c r="T1317" i="1"/>
  <c r="T1417" i="1"/>
  <c r="T1437" i="1"/>
  <c r="T1453" i="1"/>
  <c r="T1469" i="1"/>
  <c r="T1485" i="1"/>
  <c r="T1501" i="1"/>
  <c r="T1517" i="1"/>
  <c r="T1533" i="1"/>
  <c r="T1549" i="1"/>
  <c r="T1565" i="1"/>
  <c r="T1581" i="1"/>
  <c r="T1597" i="1"/>
  <c r="T1613" i="1"/>
  <c r="T1629" i="1"/>
  <c r="T1685" i="1"/>
  <c r="T1688" i="1"/>
  <c r="T1691" i="1"/>
  <c r="T1694" i="1"/>
  <c r="T1697" i="1"/>
  <c r="T1700" i="1"/>
  <c r="T1703" i="1"/>
  <c r="T1749" i="1"/>
  <c r="T1752" i="1"/>
  <c r="T1755" i="1"/>
  <c r="T1758" i="1"/>
  <c r="T1761" i="1"/>
  <c r="T1764" i="1"/>
  <c r="T1767" i="1"/>
  <c r="T1813" i="1"/>
  <c r="T1816" i="1"/>
  <c r="T1819" i="1"/>
  <c r="T1822" i="1"/>
  <c r="T1825" i="1"/>
  <c r="T1828" i="1"/>
  <c r="T1831" i="1"/>
  <c r="T1877" i="1"/>
  <c r="T1880" i="1"/>
  <c r="T1883" i="1"/>
  <c r="T1886" i="1"/>
  <c r="T1889" i="1"/>
  <c r="T1892" i="1"/>
  <c r="T1895" i="1"/>
  <c r="T1910" i="1"/>
  <c r="T1918" i="1"/>
  <c r="T1926" i="1"/>
  <c r="T1934" i="1"/>
  <c r="T1942" i="1"/>
  <c r="T1950" i="1"/>
  <c r="T1958" i="1"/>
  <c r="T1966" i="1"/>
  <c r="T1974" i="1"/>
  <c r="T1982" i="1"/>
  <c r="T1990" i="1"/>
  <c r="T1998" i="1"/>
  <c r="T2006" i="1"/>
  <c r="T2014" i="1"/>
  <c r="T2022" i="1"/>
  <c r="T2030" i="1"/>
  <c r="T2038" i="1"/>
  <c r="T2046" i="1"/>
  <c r="T2054" i="1"/>
  <c r="T2062" i="1"/>
  <c r="T2070" i="1"/>
  <c r="T2078" i="1"/>
  <c r="T2086" i="1"/>
  <c r="T2094" i="1"/>
  <c r="T2102" i="1"/>
  <c r="T2110" i="1"/>
  <c r="T2118" i="1"/>
  <c r="T2126" i="1"/>
  <c r="T2134" i="1"/>
  <c r="T2142" i="1"/>
  <c r="T2150" i="1"/>
  <c r="T2158" i="1"/>
  <c r="T2166" i="1"/>
  <c r="T2174" i="1"/>
  <c r="T2182" i="1"/>
  <c r="T2190" i="1"/>
  <c r="T1249" i="1"/>
  <c r="T1263" i="1"/>
  <c r="T1277" i="1"/>
  <c r="T1377" i="1"/>
  <c r="T1391" i="1"/>
  <c r="T1405" i="1"/>
  <c r="T1433" i="1"/>
  <c r="T1449" i="1"/>
  <c r="T1465" i="1"/>
  <c r="T1481" i="1"/>
  <c r="T1497" i="1"/>
  <c r="T1513" i="1"/>
  <c r="T1529" i="1"/>
  <c r="T1545" i="1"/>
  <c r="T1561" i="1"/>
  <c r="T1577" i="1"/>
  <c r="T1593" i="1"/>
  <c r="T1609" i="1"/>
  <c r="T1625" i="1"/>
  <c r="T1641" i="1"/>
  <c r="T1645" i="1"/>
  <c r="T1661" i="1"/>
  <c r="T1664" i="1"/>
  <c r="T1667" i="1"/>
  <c r="T1670" i="1"/>
  <c r="T1673" i="1"/>
  <c r="T1676" i="1"/>
  <c r="T1679" i="1"/>
  <c r="T1321" i="1"/>
  <c r="T1335" i="1"/>
  <c r="T1349" i="1"/>
  <c r="T1420" i="1"/>
  <c r="T1428" i="1"/>
  <c r="T1444" i="1"/>
  <c r="T1460" i="1"/>
  <c r="T1476" i="1"/>
  <c r="T1492" i="1"/>
  <c r="T1508" i="1"/>
  <c r="T1524" i="1"/>
  <c r="T1540" i="1"/>
  <c r="T1556" i="1"/>
  <c r="T1572" i="1"/>
  <c r="T1588" i="1"/>
  <c r="T1604" i="1"/>
  <c r="T1620" i="1"/>
  <c r="T1636" i="1"/>
  <c r="T1649" i="1"/>
  <c r="T1652" i="1"/>
  <c r="T1655" i="1"/>
  <c r="T1701" i="1"/>
  <c r="T1704" i="1"/>
  <c r="T1707" i="1"/>
  <c r="T1710" i="1"/>
  <c r="T1713" i="1"/>
  <c r="T1716" i="1"/>
  <c r="T1719" i="1"/>
  <c r="T1765" i="1"/>
  <c r="T1768" i="1"/>
  <c r="T1771" i="1"/>
  <c r="T1774" i="1"/>
  <c r="T1777" i="1"/>
  <c r="T1780" i="1"/>
  <c r="T1783" i="1"/>
  <c r="T1829" i="1"/>
  <c r="T1832" i="1"/>
  <c r="T1835" i="1"/>
  <c r="T1838" i="1"/>
  <c r="T1841" i="1"/>
  <c r="T1844" i="1"/>
  <c r="T1847" i="1"/>
  <c r="T1893" i="1"/>
  <c r="T1896" i="1"/>
  <c r="T1899" i="1"/>
  <c r="T1902" i="1"/>
  <c r="T1905" i="1"/>
  <c r="T1908" i="1"/>
  <c r="T1916" i="1"/>
  <c r="T1281" i="1"/>
  <c r="T1295" i="1"/>
  <c r="T1309" i="1"/>
  <c r="T1409" i="1"/>
  <c r="T1439" i="1"/>
  <c r="T1455" i="1"/>
  <c r="T1471" i="1"/>
  <c r="T1487" i="1"/>
  <c r="T1503" i="1"/>
  <c r="T1519" i="1"/>
  <c r="T1535" i="1"/>
  <c r="T1551" i="1"/>
  <c r="T1567" i="1"/>
  <c r="T1583" i="1"/>
  <c r="T1599" i="1"/>
  <c r="T1615" i="1"/>
  <c r="T1631" i="1"/>
  <c r="T1677" i="1"/>
  <c r="T1680" i="1"/>
  <c r="T1683" i="1"/>
  <c r="T1686" i="1"/>
  <c r="T1689" i="1"/>
  <c r="T1692" i="1"/>
  <c r="T1695" i="1"/>
  <c r="T1741" i="1"/>
  <c r="T1744" i="1"/>
  <c r="T1747" i="1"/>
  <c r="T1750" i="1"/>
  <c r="T1753" i="1"/>
  <c r="T1756" i="1"/>
  <c r="T1759" i="1"/>
  <c r="T1805" i="1"/>
  <c r="T1808" i="1"/>
  <c r="T1811" i="1"/>
  <c r="T1814" i="1"/>
  <c r="T1817" i="1"/>
  <c r="T1820" i="1"/>
  <c r="T1823" i="1"/>
  <c r="T1869" i="1"/>
  <c r="T1872" i="1"/>
  <c r="T1875" i="1"/>
  <c r="T1878" i="1"/>
  <c r="T1881" i="1"/>
  <c r="T1884" i="1"/>
  <c r="T1887" i="1"/>
  <c r="T1911" i="1"/>
  <c r="T1919" i="1"/>
  <c r="T1218" i="1"/>
  <c r="T1239" i="1"/>
  <c r="T1253" i="1"/>
  <c r="T1353" i="1"/>
  <c r="T1367" i="1"/>
  <c r="T1381" i="1"/>
  <c r="T1423" i="1"/>
  <c r="T1429" i="1"/>
  <c r="T1445" i="1"/>
  <c r="T1461" i="1"/>
  <c r="T1477" i="1"/>
  <c r="T1493" i="1"/>
  <c r="T1509" i="1"/>
  <c r="T1525" i="1"/>
  <c r="T1541" i="1"/>
  <c r="T1557" i="1"/>
  <c r="T1573" i="1"/>
  <c r="T1589" i="1"/>
  <c r="T1605" i="1"/>
  <c r="T1621" i="1"/>
  <c r="T1637" i="1"/>
  <c r="T1653" i="1"/>
  <c r="T1656" i="1"/>
  <c r="T1659" i="1"/>
  <c r="T1662" i="1"/>
  <c r="T1665" i="1"/>
  <c r="T1668" i="1"/>
  <c r="T1671" i="1"/>
  <c r="T1717" i="1"/>
  <c r="T1720" i="1"/>
  <c r="T1723" i="1"/>
  <c r="T1726" i="1"/>
  <c r="T1729" i="1"/>
  <c r="T1732" i="1"/>
  <c r="T1735" i="1"/>
  <c r="T1781" i="1"/>
  <c r="T1784" i="1"/>
  <c r="T1787" i="1"/>
  <c r="T1790" i="1"/>
  <c r="T1793" i="1"/>
  <c r="T1796" i="1"/>
  <c r="T1799" i="1"/>
  <c r="T1845" i="1"/>
  <c r="T1848" i="1"/>
  <c r="T1851" i="1"/>
  <c r="T1854" i="1"/>
  <c r="T1857" i="1"/>
  <c r="T1860" i="1"/>
  <c r="T1863" i="1"/>
  <c r="T1914" i="1"/>
  <c r="T1313" i="1"/>
  <c r="T1327" i="1"/>
  <c r="T1341" i="1"/>
  <c r="T1425" i="1"/>
  <c r="T1441" i="1"/>
  <c r="T1457" i="1"/>
  <c r="T1473" i="1"/>
  <c r="T1257" i="1"/>
  <c r="T1271" i="1"/>
  <c r="T1285" i="1"/>
  <c r="T1385" i="1"/>
  <c r="T1399" i="1"/>
  <c r="T1413" i="1"/>
  <c r="T1436" i="1"/>
  <c r="T1452" i="1"/>
  <c r="T1468" i="1"/>
  <c r="T1231" i="1"/>
  <c r="T1245" i="1"/>
  <c r="T1345" i="1"/>
  <c r="T1359" i="1"/>
  <c r="T1373" i="1"/>
  <c r="T1431" i="1"/>
  <c r="T1447" i="1"/>
  <c r="T1463" i="1"/>
  <c r="T1479" i="1"/>
  <c r="T1495" i="1"/>
  <c r="T1511" i="1"/>
  <c r="T1527" i="1"/>
  <c r="T1543" i="1"/>
  <c r="T1559" i="1"/>
  <c r="T1575" i="1"/>
  <c r="T1591" i="1"/>
  <c r="T1607" i="1"/>
  <c r="T1623" i="1"/>
  <c r="T1639" i="1"/>
  <c r="T1644" i="1"/>
  <c r="T1648" i="1"/>
  <c r="T1651" i="1"/>
  <c r="T1654" i="1"/>
  <c r="T1657" i="1"/>
  <c r="T1660" i="1"/>
  <c r="T1663" i="1"/>
  <c r="T1709" i="1"/>
  <c r="T1712" i="1"/>
  <c r="T1715" i="1"/>
  <c r="T1718" i="1"/>
  <c r="T1721" i="1"/>
  <c r="T1724" i="1"/>
  <c r="T1727" i="1"/>
  <c r="T1505" i="1"/>
  <c r="T1569" i="1"/>
  <c r="T1633" i="1"/>
  <c r="T1699" i="1"/>
  <c r="T1711" i="1"/>
  <c r="T1728" i="1"/>
  <c r="T1736" i="1"/>
  <c r="T1742" i="1"/>
  <c r="T1748" i="1"/>
  <c r="T1797" i="1"/>
  <c r="T1803" i="1"/>
  <c r="T1809" i="1"/>
  <c r="T1815" i="1"/>
  <c r="T1864" i="1"/>
  <c r="T1870" i="1"/>
  <c r="T1876" i="1"/>
  <c r="T1912" i="1"/>
  <c r="T1922" i="1"/>
  <c r="T1925" i="1"/>
  <c r="T1928" i="1"/>
  <c r="T1931" i="1"/>
  <c r="T1977" i="1"/>
  <c r="T1980" i="1"/>
  <c r="T1983" i="1"/>
  <c r="T1986" i="1"/>
  <c r="T1989" i="1"/>
  <c r="T1992" i="1"/>
  <c r="T1995" i="1"/>
  <c r="T2041" i="1"/>
  <c r="T2044" i="1"/>
  <c r="T2047" i="1"/>
  <c r="T2050" i="1"/>
  <c r="T2053" i="1"/>
  <c r="T2056" i="1"/>
  <c r="T2059" i="1"/>
  <c r="T2105" i="1"/>
  <c r="T2108" i="1"/>
  <c r="T2111" i="1"/>
  <c r="T2114" i="1"/>
  <c r="T2117" i="1"/>
  <c r="T2120" i="1"/>
  <c r="T2123" i="1"/>
  <c r="T2169" i="1"/>
  <c r="T2172" i="1"/>
  <c r="T2175" i="1"/>
  <c r="T2178" i="1"/>
  <c r="T2181" i="1"/>
  <c r="T2184" i="1"/>
  <c r="T2187" i="1"/>
  <c r="T2196" i="1"/>
  <c r="T2204" i="1"/>
  <c r="T2212" i="1"/>
  <c r="T2220" i="1"/>
  <c r="T2228" i="1"/>
  <c r="T2236" i="1"/>
  <c r="T2244" i="1"/>
  <c r="T2252" i="1"/>
  <c r="T2260" i="1"/>
  <c r="T2268" i="1"/>
  <c r="T2276" i="1"/>
  <c r="T2284" i="1"/>
  <c r="T2292" i="1"/>
  <c r="T2300" i="1"/>
  <c r="T2308" i="1"/>
  <c r="T2316" i="1"/>
  <c r="T2324" i="1"/>
  <c r="T2332" i="1"/>
  <c r="T2340" i="1"/>
  <c r="T2348" i="1"/>
  <c r="T2356" i="1"/>
  <c r="T2364" i="1"/>
  <c r="T2372" i="1"/>
  <c r="T2380" i="1"/>
  <c r="T2388" i="1"/>
  <c r="T2396" i="1"/>
  <c r="T2404" i="1"/>
  <c r="T2412" i="1"/>
  <c r="T2420" i="1"/>
  <c r="T2428" i="1"/>
  <c r="T2436" i="1"/>
  <c r="T2444" i="1"/>
  <c r="T2452" i="1"/>
  <c r="T2460" i="1"/>
  <c r="T2468" i="1"/>
  <c r="T2476" i="1"/>
  <c r="T2484" i="1"/>
  <c r="T2492" i="1"/>
  <c r="T2500" i="1"/>
  <c r="T2508" i="1"/>
  <c r="T2516" i="1"/>
  <c r="T1484" i="1"/>
  <c r="T1548" i="1"/>
  <c r="T1612" i="1"/>
  <c r="T1675" i="1"/>
  <c r="T1687" i="1"/>
  <c r="T1773" i="1"/>
  <c r="T1779" i="1"/>
  <c r="T1785" i="1"/>
  <c r="T1791" i="1"/>
  <c r="T1840" i="1"/>
  <c r="T1846" i="1"/>
  <c r="T1852" i="1"/>
  <c r="T1901" i="1"/>
  <c r="T1907" i="1"/>
  <c r="T1953" i="1"/>
  <c r="T1956" i="1"/>
  <c r="T1959" i="1"/>
  <c r="T1962" i="1"/>
  <c r="T1965" i="1"/>
  <c r="T1968" i="1"/>
  <c r="T1971" i="1"/>
  <c r="T2017" i="1"/>
  <c r="T2020" i="1"/>
  <c r="T2023" i="1"/>
  <c r="T2026" i="1"/>
  <c r="T2029" i="1"/>
  <c r="T2032" i="1"/>
  <c r="T2035" i="1"/>
  <c r="T1489" i="1"/>
  <c r="T1553" i="1"/>
  <c r="T1617" i="1"/>
  <c r="T1702" i="1"/>
  <c r="T1737" i="1"/>
  <c r="T1743" i="1"/>
  <c r="T1792" i="1"/>
  <c r="T1798" i="1"/>
  <c r="T1804" i="1"/>
  <c r="T1853" i="1"/>
  <c r="T1859" i="1"/>
  <c r="T1865" i="1"/>
  <c r="T1871" i="1"/>
  <c r="T1913" i="1"/>
  <c r="T1929" i="1"/>
  <c r="T1932" i="1"/>
  <c r="T1935" i="1"/>
  <c r="T1938" i="1"/>
  <c r="T1941" i="1"/>
  <c r="T1944" i="1"/>
  <c r="T1947" i="1"/>
  <c r="T1993" i="1"/>
  <c r="T1996" i="1"/>
  <c r="T1999" i="1"/>
  <c r="T2002" i="1"/>
  <c r="T2005" i="1"/>
  <c r="T2008" i="1"/>
  <c r="T2011" i="1"/>
  <c r="T2057" i="1"/>
  <c r="T2060" i="1"/>
  <c r="T2063" i="1"/>
  <c r="T2066" i="1"/>
  <c r="T2069" i="1"/>
  <c r="T2072" i="1"/>
  <c r="T2075" i="1"/>
  <c r="T2121" i="1"/>
  <c r="T2124" i="1"/>
  <c r="T2127" i="1"/>
  <c r="T2130" i="1"/>
  <c r="T2133" i="1"/>
  <c r="T2136" i="1"/>
  <c r="T2139" i="1"/>
  <c r="T2185" i="1"/>
  <c r="T2188" i="1"/>
  <c r="T2191" i="1"/>
  <c r="T2194" i="1"/>
  <c r="T2202" i="1"/>
  <c r="T2210" i="1"/>
  <c r="T2218" i="1"/>
  <c r="T2226" i="1"/>
  <c r="T2234" i="1"/>
  <c r="T2242" i="1"/>
  <c r="T2250" i="1"/>
  <c r="T2258" i="1"/>
  <c r="T2266" i="1"/>
  <c r="T2274" i="1"/>
  <c r="T1532" i="1"/>
  <c r="T1596" i="1"/>
  <c r="T1678" i="1"/>
  <c r="T1731" i="1"/>
  <c r="T1757" i="1"/>
  <c r="T1763" i="1"/>
  <c r="T1769" i="1"/>
  <c r="T1775" i="1"/>
  <c r="T1824" i="1"/>
  <c r="T1830" i="1"/>
  <c r="T1836" i="1"/>
  <c r="T1885" i="1"/>
  <c r="T1891" i="1"/>
  <c r="T1897" i="1"/>
  <c r="T1903" i="1"/>
  <c r="T1909" i="1"/>
  <c r="T1923" i="1"/>
  <c r="T1969" i="1"/>
  <c r="T1972" i="1"/>
  <c r="T1975" i="1"/>
  <c r="T1978" i="1"/>
  <c r="T1981" i="1"/>
  <c r="T1984" i="1"/>
  <c r="T1987" i="1"/>
  <c r="T2033" i="1"/>
  <c r="T2036" i="1"/>
  <c r="T2039" i="1"/>
  <c r="T2042" i="1"/>
  <c r="T2045" i="1"/>
  <c r="T2048" i="1"/>
  <c r="T2051" i="1"/>
  <c r="T2097" i="1"/>
  <c r="T2100" i="1"/>
  <c r="T2103" i="1"/>
  <c r="T2106" i="1"/>
  <c r="T2109" i="1"/>
  <c r="T2112" i="1"/>
  <c r="T2115" i="1"/>
  <c r="T2161" i="1"/>
  <c r="T2164" i="1"/>
  <c r="T2167" i="1"/>
  <c r="T2170" i="1"/>
  <c r="T2173" i="1"/>
  <c r="T2176" i="1"/>
  <c r="T2179" i="1"/>
  <c r="T2197" i="1"/>
  <c r="T2205" i="1"/>
  <c r="T2213" i="1"/>
  <c r="T2221" i="1"/>
  <c r="T2229" i="1"/>
  <c r="T2237" i="1"/>
  <c r="T2245" i="1"/>
  <c r="T2253" i="1"/>
  <c r="T2261" i="1"/>
  <c r="T2269" i="1"/>
  <c r="T2277" i="1"/>
  <c r="T1537" i="1"/>
  <c r="T1601" i="1"/>
  <c r="T1643" i="1"/>
  <c r="T1693" i="1"/>
  <c r="T1705" i="1"/>
  <c r="T1739" i="1"/>
  <c r="T1745" i="1"/>
  <c r="T1751" i="1"/>
  <c r="T1800" i="1"/>
  <c r="T1806" i="1"/>
  <c r="T1812" i="1"/>
  <c r="T1861" i="1"/>
  <c r="T1867" i="1"/>
  <c r="T1873" i="1"/>
  <c r="T1879" i="1"/>
  <c r="T1920" i="1"/>
  <c r="T1945" i="1"/>
  <c r="T1948" i="1"/>
  <c r="T1951" i="1"/>
  <c r="T1954" i="1"/>
  <c r="T1957" i="1"/>
  <c r="T1960" i="1"/>
  <c r="T1963" i="1"/>
  <c r="T2009" i="1"/>
  <c r="T2012" i="1"/>
  <c r="T2015" i="1"/>
  <c r="T2018" i="1"/>
  <c r="T2021" i="1"/>
  <c r="T2024" i="1"/>
  <c r="T2027" i="1"/>
  <c r="T2073" i="1"/>
  <c r="T2076" i="1"/>
  <c r="T2079" i="1"/>
  <c r="T2082" i="1"/>
  <c r="T2085" i="1"/>
  <c r="T2088" i="1"/>
  <c r="T2091" i="1"/>
  <c r="T2137" i="1"/>
  <c r="T2140" i="1"/>
  <c r="T2143" i="1"/>
  <c r="T2146" i="1"/>
  <c r="T2149" i="1"/>
  <c r="T2152" i="1"/>
  <c r="T2155" i="1"/>
  <c r="T2200" i="1"/>
  <c r="T2208" i="1"/>
  <c r="T2216" i="1"/>
  <c r="T2224" i="1"/>
  <c r="T2232" i="1"/>
  <c r="T2240" i="1"/>
  <c r="T2248" i="1"/>
  <c r="T2256" i="1"/>
  <c r="T2264" i="1"/>
  <c r="T2272" i="1"/>
  <c r="T2280" i="1"/>
  <c r="T1516" i="1"/>
  <c r="T1580" i="1"/>
  <c r="T1669" i="1"/>
  <c r="T1681" i="1"/>
  <c r="T1725" i="1"/>
  <c r="T1733" i="1"/>
  <c r="T1776" i="1"/>
  <c r="T1782" i="1"/>
  <c r="T1788" i="1"/>
  <c r="T1521" i="1"/>
  <c r="T1585" i="1"/>
  <c r="T1647" i="1"/>
  <c r="T1696" i="1"/>
  <c r="T1708" i="1"/>
  <c r="T1734" i="1"/>
  <c r="T1740" i="1"/>
  <c r="T1789" i="1"/>
  <c r="T1795" i="1"/>
  <c r="T1500" i="1"/>
  <c r="T1564" i="1"/>
  <c r="T1628" i="1"/>
  <c r="T1672" i="1"/>
  <c r="T1684" i="1"/>
  <c r="T1760" i="1"/>
  <c r="T1766" i="1"/>
  <c r="T1772" i="1"/>
  <c r="T1821" i="1"/>
  <c r="T1827" i="1"/>
  <c r="T1833" i="1"/>
  <c r="T1839" i="1"/>
  <c r="T1888" i="1"/>
  <c r="T1894" i="1"/>
  <c r="T1900" i="1"/>
  <c r="T1917" i="1"/>
  <c r="T1937" i="1"/>
  <c r="T1940" i="1"/>
  <c r="T1943" i="1"/>
  <c r="T1946" i="1"/>
  <c r="T1949" i="1"/>
  <c r="T1952" i="1"/>
  <c r="T1955" i="1"/>
  <c r="T2001" i="1"/>
  <c r="T2004" i="1"/>
  <c r="T2007" i="1"/>
  <c r="T2010" i="1"/>
  <c r="T2013" i="1"/>
  <c r="T2016" i="1"/>
  <c r="T2019" i="1"/>
  <c r="T1801" i="1"/>
  <c r="T1921" i="1"/>
  <c r="T1970" i="1"/>
  <c r="T2031" i="1"/>
  <c r="T2043" i="1"/>
  <c r="T2067" i="1"/>
  <c r="T2116" i="1"/>
  <c r="T2122" i="1"/>
  <c r="T2128" i="1"/>
  <c r="T2177" i="1"/>
  <c r="T2183" i="1"/>
  <c r="T2189" i="1"/>
  <c r="T2195" i="1"/>
  <c r="T2211" i="1"/>
  <c r="T2227" i="1"/>
  <c r="T2243" i="1"/>
  <c r="T2259" i="1"/>
  <c r="T2275" i="1"/>
  <c r="T2287" i="1"/>
  <c r="T2290" i="1"/>
  <c r="T2293" i="1"/>
  <c r="T2296" i="1"/>
  <c r="T2299" i="1"/>
  <c r="T2302" i="1"/>
  <c r="T2305" i="1"/>
  <c r="T2351" i="1"/>
  <c r="T2354" i="1"/>
  <c r="T2357" i="1"/>
  <c r="T2360" i="1"/>
  <c r="T2363" i="1"/>
  <c r="T2366" i="1"/>
  <c r="T2369" i="1"/>
  <c r="T2415" i="1"/>
  <c r="T2418" i="1"/>
  <c r="T2421" i="1"/>
  <c r="T2424" i="1"/>
  <c r="T2427" i="1"/>
  <c r="T2430" i="1"/>
  <c r="T2433" i="1"/>
  <c r="T2479" i="1"/>
  <c r="T2482" i="1"/>
  <c r="T2485" i="1"/>
  <c r="T2488" i="1"/>
  <c r="T2491" i="1"/>
  <c r="T2494" i="1"/>
  <c r="T2497" i="1"/>
  <c r="T2524" i="1"/>
  <c r="T2532" i="1"/>
  <c r="T2540" i="1"/>
  <c r="T2548" i="1"/>
  <c r="T2556" i="1"/>
  <c r="T2564" i="1"/>
  <c r="T2572" i="1"/>
  <c r="T2580" i="1"/>
  <c r="T2588" i="1"/>
  <c r="T2596" i="1"/>
  <c r="T2604" i="1"/>
  <c r="T2612" i="1"/>
  <c r="T2620" i="1"/>
  <c r="T2628" i="1"/>
  <c r="T2636" i="1"/>
  <c r="T2644" i="1"/>
  <c r="T2652" i="1"/>
  <c r="T2660" i="1"/>
  <c r="T2668" i="1"/>
  <c r="T2676" i="1"/>
  <c r="T2684" i="1"/>
  <c r="T2692" i="1"/>
  <c r="T2700" i="1"/>
  <c r="T2708" i="1"/>
  <c r="T2716" i="1"/>
  <c r="T2724" i="1"/>
  <c r="T2732" i="1"/>
  <c r="T2740" i="1"/>
  <c r="T2748" i="1"/>
  <c r="T2756" i="1"/>
  <c r="T2764" i="1"/>
  <c r="T2772" i="1"/>
  <c r="T2780" i="1"/>
  <c r="T2788" i="1"/>
  <c r="T2796" i="1"/>
  <c r="T2804" i="1"/>
  <c r="T2812" i="1"/>
  <c r="T2820" i="1"/>
  <c r="T2828" i="1"/>
  <c r="T2836" i="1"/>
  <c r="T2844" i="1"/>
  <c r="T1855" i="1"/>
  <c r="T1904" i="1"/>
  <c r="T1924" i="1"/>
  <c r="T1936" i="1"/>
  <c r="T1985" i="1"/>
  <c r="T1997" i="1"/>
  <c r="T2058" i="1"/>
  <c r="T2092" i="1"/>
  <c r="T2098" i="1"/>
  <c r="T2104" i="1"/>
  <c r="T2153" i="1"/>
  <c r="T2159" i="1"/>
  <c r="T2165" i="1"/>
  <c r="T2171" i="1"/>
  <c r="T2206" i="1"/>
  <c r="T2222" i="1"/>
  <c r="T2238" i="1"/>
  <c r="T2254" i="1"/>
  <c r="T2270" i="1"/>
  <c r="T2327" i="1"/>
  <c r="T2330" i="1"/>
  <c r="T2333" i="1"/>
  <c r="T2336" i="1"/>
  <c r="T2339" i="1"/>
  <c r="T2342" i="1"/>
  <c r="T2345" i="1"/>
  <c r="T2391" i="1"/>
  <c r="T2394" i="1"/>
  <c r="T2397" i="1"/>
  <c r="T2400" i="1"/>
  <c r="T2403" i="1"/>
  <c r="T2406" i="1"/>
  <c r="T2409" i="1"/>
  <c r="T1807" i="1"/>
  <c r="T1856" i="1"/>
  <c r="T1961" i="1"/>
  <c r="T1973" i="1"/>
  <c r="T2034" i="1"/>
  <c r="T2068" i="1"/>
  <c r="T2074" i="1"/>
  <c r="T2080" i="1"/>
  <c r="T2129" i="1"/>
  <c r="T2135" i="1"/>
  <c r="T2141" i="1"/>
  <c r="T2147" i="1"/>
  <c r="T2201" i="1"/>
  <c r="T2217" i="1"/>
  <c r="T2233" i="1"/>
  <c r="T2249" i="1"/>
  <c r="T2265" i="1"/>
  <c r="T2281" i="1"/>
  <c r="T2303" i="1"/>
  <c r="T2306" i="1"/>
  <c r="T2309" i="1"/>
  <c r="T2312" i="1"/>
  <c r="T2315" i="1"/>
  <c r="T2318" i="1"/>
  <c r="T2321" i="1"/>
  <c r="T2367" i="1"/>
  <c r="T2370" i="1"/>
  <c r="T2373" i="1"/>
  <c r="T2376" i="1"/>
  <c r="T2379" i="1"/>
  <c r="T2382" i="1"/>
  <c r="T2385" i="1"/>
  <c r="T2431" i="1"/>
  <c r="T2434" i="1"/>
  <c r="T2437" i="1"/>
  <c r="T2440" i="1"/>
  <c r="T2443" i="1"/>
  <c r="T2446" i="1"/>
  <c r="T2449" i="1"/>
  <c r="T2495" i="1"/>
  <c r="T2498" i="1"/>
  <c r="T2501" i="1"/>
  <c r="T2504" i="1"/>
  <c r="T2507" i="1"/>
  <c r="T2510" i="1"/>
  <c r="T2513" i="1"/>
  <c r="T2522" i="1"/>
  <c r="T2530" i="1"/>
  <c r="T2538" i="1"/>
  <c r="T2546" i="1"/>
  <c r="T2554" i="1"/>
  <c r="T2562" i="1"/>
  <c r="T2570" i="1"/>
  <c r="T2578" i="1"/>
  <c r="T2586" i="1"/>
  <c r="T2594" i="1"/>
  <c r="T2602" i="1"/>
  <c r="T2610" i="1"/>
  <c r="T2618" i="1"/>
  <c r="T1837" i="1"/>
  <c r="T1927" i="1"/>
  <c r="T1939" i="1"/>
  <c r="T1988" i="1"/>
  <c r="T2000" i="1"/>
  <c r="T2049" i="1"/>
  <c r="T2061" i="1"/>
  <c r="T2081" i="1"/>
  <c r="T2087" i="1"/>
  <c r="T2093" i="1"/>
  <c r="T2099" i="1"/>
  <c r="T2148" i="1"/>
  <c r="T2154" i="1"/>
  <c r="T2160" i="1"/>
  <c r="T2207" i="1"/>
  <c r="T2223" i="1"/>
  <c r="T2239" i="1"/>
  <c r="T2255" i="1"/>
  <c r="T2271" i="1"/>
  <c r="T2285" i="1"/>
  <c r="T2288" i="1"/>
  <c r="T2291" i="1"/>
  <c r="T2294" i="1"/>
  <c r="T2297" i="1"/>
  <c r="T2343" i="1"/>
  <c r="T2346" i="1"/>
  <c r="T2349" i="1"/>
  <c r="T2352" i="1"/>
  <c r="T2355" i="1"/>
  <c r="T2358" i="1"/>
  <c r="T2361" i="1"/>
  <c r="T2407" i="1"/>
  <c r="T2410" i="1"/>
  <c r="T2413" i="1"/>
  <c r="T2416" i="1"/>
  <c r="T2419" i="1"/>
  <c r="T2422" i="1"/>
  <c r="T2425" i="1"/>
  <c r="T2471" i="1"/>
  <c r="T2474" i="1"/>
  <c r="T2477" i="1"/>
  <c r="T2480" i="1"/>
  <c r="T2483" i="1"/>
  <c r="T2486" i="1"/>
  <c r="T2489" i="1"/>
  <c r="T2525" i="1"/>
  <c r="T2533" i="1"/>
  <c r="T2541" i="1"/>
  <c r="T2549" i="1"/>
  <c r="T2557" i="1"/>
  <c r="T2565" i="1"/>
  <c r="T2573" i="1"/>
  <c r="T2581" i="1"/>
  <c r="T2589" i="1"/>
  <c r="T2597" i="1"/>
  <c r="T1862" i="1"/>
  <c r="T1964" i="1"/>
  <c r="T1976" i="1"/>
  <c r="T2025" i="1"/>
  <c r="T2037" i="1"/>
  <c r="T2113" i="1"/>
  <c r="T2119" i="1"/>
  <c r="T2125" i="1"/>
  <c r="T2131" i="1"/>
  <c r="T2180" i="1"/>
  <c r="T2186" i="1"/>
  <c r="T2192" i="1"/>
  <c r="T2203" i="1"/>
  <c r="T2219" i="1"/>
  <c r="T2235" i="1"/>
  <c r="T2251" i="1"/>
  <c r="T2267" i="1"/>
  <c r="T2282" i="1"/>
  <c r="T2319" i="1"/>
  <c r="T2322" i="1"/>
  <c r="T2325" i="1"/>
  <c r="T2328" i="1"/>
  <c r="T2331" i="1"/>
  <c r="T2334" i="1"/>
  <c r="T2337" i="1"/>
  <c r="T2383" i="1"/>
  <c r="T2386" i="1"/>
  <c r="T2389" i="1"/>
  <c r="T2392" i="1"/>
  <c r="T2395" i="1"/>
  <c r="T2398" i="1"/>
  <c r="T2401" i="1"/>
  <c r="T2447" i="1"/>
  <c r="T2450" i="1"/>
  <c r="T2453" i="1"/>
  <c r="T2456" i="1"/>
  <c r="T2459" i="1"/>
  <c r="T2462" i="1"/>
  <c r="T2465" i="1"/>
  <c r="T2511" i="1"/>
  <c r="T2514" i="1"/>
  <c r="T2517" i="1"/>
  <c r="T2520" i="1"/>
  <c r="T2528" i="1"/>
  <c r="T2536" i="1"/>
  <c r="T2544" i="1"/>
  <c r="T2552" i="1"/>
  <c r="T2560" i="1"/>
  <c r="T2568" i="1"/>
  <c r="T2576" i="1"/>
  <c r="T2584" i="1"/>
  <c r="T2592" i="1"/>
  <c r="T2600" i="1"/>
  <c r="T2608" i="1"/>
  <c r="T2616" i="1"/>
  <c r="T2624" i="1"/>
  <c r="T2632" i="1"/>
  <c r="T1843" i="1"/>
  <c r="T1915" i="1"/>
  <c r="T1930" i="1"/>
  <c r="T1991" i="1"/>
  <c r="T2003" i="1"/>
  <c r="T2052" i="1"/>
  <c r="T2064" i="1"/>
  <c r="T2089" i="1"/>
  <c r="T2095" i="1"/>
  <c r="T2101" i="1"/>
  <c r="T2107" i="1"/>
  <c r="T1868" i="1"/>
  <c r="T1967" i="1"/>
  <c r="T1979" i="1"/>
  <c r="T2028" i="1"/>
  <c r="T2040" i="1"/>
  <c r="T2071" i="1"/>
  <c r="T2077" i="1"/>
  <c r="T2083" i="1"/>
  <c r="T2132" i="1"/>
  <c r="T2138" i="1"/>
  <c r="T2144" i="1"/>
  <c r="T1849" i="1"/>
  <c r="T1933" i="1"/>
  <c r="T1994" i="1"/>
  <c r="T2055" i="1"/>
  <c r="T2065" i="1"/>
  <c r="T2084" i="1"/>
  <c r="T2090" i="1"/>
  <c r="T2096" i="1"/>
  <c r="T2145" i="1"/>
  <c r="T2151" i="1"/>
  <c r="T2157" i="1"/>
  <c r="T2163" i="1"/>
  <c r="T2199" i="1"/>
  <c r="T2215" i="1"/>
  <c r="T2231" i="1"/>
  <c r="T2247" i="1"/>
  <c r="T2263" i="1"/>
  <c r="T2279" i="1"/>
  <c r="T2311" i="1"/>
  <c r="T2314" i="1"/>
  <c r="T2317" i="1"/>
  <c r="T2320" i="1"/>
  <c r="T2323" i="1"/>
  <c r="T2326" i="1"/>
  <c r="T2329" i="1"/>
  <c r="T2375" i="1"/>
  <c r="T2378" i="1"/>
  <c r="T2381" i="1"/>
  <c r="T2384" i="1"/>
  <c r="T2387" i="1"/>
  <c r="T2390" i="1"/>
  <c r="T2393" i="1"/>
  <c r="T2198" i="1"/>
  <c r="T2262" i="1"/>
  <c r="T2295" i="1"/>
  <c r="T2307" i="1"/>
  <c r="T2368" i="1"/>
  <c r="T2435" i="1"/>
  <c r="T2441" i="1"/>
  <c r="T2490" i="1"/>
  <c r="T2496" i="1"/>
  <c r="T2502" i="1"/>
  <c r="T2531" i="1"/>
  <c r="T2547" i="1"/>
  <c r="T2563" i="1"/>
  <c r="T2579" i="1"/>
  <c r="T2595" i="1"/>
  <c r="T2635" i="1"/>
  <c r="T2663" i="1"/>
  <c r="T2666" i="1"/>
  <c r="T2669" i="1"/>
  <c r="T2672" i="1"/>
  <c r="T2675" i="1"/>
  <c r="T2678" i="1"/>
  <c r="T2681" i="1"/>
  <c r="T2727" i="1"/>
  <c r="T2730" i="1"/>
  <c r="T2733" i="1"/>
  <c r="T2736" i="1"/>
  <c r="T2739" i="1"/>
  <c r="T2742" i="1"/>
  <c r="T2745" i="1"/>
  <c r="T2791" i="1"/>
  <c r="T2794" i="1"/>
  <c r="T2797" i="1"/>
  <c r="T2800" i="1"/>
  <c r="T2803" i="1"/>
  <c r="T2806" i="1"/>
  <c r="T2809" i="1"/>
  <c r="T2854" i="1"/>
  <c r="T2862" i="1"/>
  <c r="T2870" i="1"/>
  <c r="T2878" i="1"/>
  <c r="T2886" i="1"/>
  <c r="T2894" i="1"/>
  <c r="T2902" i="1"/>
  <c r="T2910" i="1"/>
  <c r="T2918" i="1"/>
  <c r="T2926" i="1"/>
  <c r="T2934" i="1"/>
  <c r="T2942" i="1"/>
  <c r="T2950" i="1"/>
  <c r="T2958" i="1"/>
  <c r="T2966" i="1"/>
  <c r="T2974" i="1"/>
  <c r="T2982" i="1"/>
  <c r="T2990" i="1"/>
  <c r="T2998" i="1"/>
  <c r="T3006" i="1"/>
  <c r="T3014" i="1"/>
  <c r="T3022" i="1"/>
  <c r="T3030" i="1"/>
  <c r="T3038" i="1"/>
  <c r="T3046" i="1"/>
  <c r="T3054" i="1"/>
  <c r="T3062" i="1"/>
  <c r="T3070" i="1"/>
  <c r="T3078" i="1"/>
  <c r="T3086" i="1"/>
  <c r="T3094" i="1"/>
  <c r="T3102" i="1"/>
  <c r="T3110" i="1"/>
  <c r="T3118" i="1"/>
  <c r="T3126" i="1"/>
  <c r="T3134" i="1"/>
  <c r="T3142" i="1"/>
  <c r="T3150" i="1"/>
  <c r="T3158" i="1"/>
  <c r="T3166" i="1"/>
  <c r="T3174" i="1"/>
  <c r="T3182" i="1"/>
  <c r="T3190" i="1"/>
  <c r="T3198" i="1"/>
  <c r="T3206" i="1"/>
  <c r="T3214" i="1"/>
  <c r="T3222" i="1"/>
  <c r="T2241" i="1"/>
  <c r="T2283" i="1"/>
  <c r="T2344" i="1"/>
  <c r="T2405" i="1"/>
  <c r="T2417" i="1"/>
  <c r="T2429" i="1"/>
  <c r="T2466" i="1"/>
  <c r="T2472" i="1"/>
  <c r="T2478" i="1"/>
  <c r="T2526" i="1"/>
  <c r="T2542" i="1"/>
  <c r="T2558" i="1"/>
  <c r="T2574" i="1"/>
  <c r="T2590" i="1"/>
  <c r="T2613" i="1"/>
  <c r="T2617" i="1"/>
  <c r="T2621" i="1"/>
  <c r="T2639" i="1"/>
  <c r="T2642" i="1"/>
  <c r="T2645" i="1"/>
  <c r="T2648" i="1"/>
  <c r="T2651" i="1"/>
  <c r="T2654" i="1"/>
  <c r="T2657" i="1"/>
  <c r="T2703" i="1"/>
  <c r="T2706" i="1"/>
  <c r="T2709" i="1"/>
  <c r="T2712" i="1"/>
  <c r="T2715" i="1"/>
  <c r="T2718" i="1"/>
  <c r="T2721" i="1"/>
  <c r="T2767" i="1"/>
  <c r="T2770" i="1"/>
  <c r="T2773" i="1"/>
  <c r="T2776" i="1"/>
  <c r="T2779" i="1"/>
  <c r="T2782" i="1"/>
  <c r="T2785" i="1"/>
  <c r="T2156" i="1"/>
  <c r="T2246" i="1"/>
  <c r="T2298" i="1"/>
  <c r="T2310" i="1"/>
  <c r="T2359" i="1"/>
  <c r="T2371" i="1"/>
  <c r="T2442" i="1"/>
  <c r="T2448" i="1"/>
  <c r="T2454" i="1"/>
  <c r="T2503" i="1"/>
  <c r="T2509" i="1"/>
  <c r="T2515" i="1"/>
  <c r="T2521" i="1"/>
  <c r="T2537" i="1"/>
  <c r="T2553" i="1"/>
  <c r="T2569" i="1"/>
  <c r="T2585" i="1"/>
  <c r="T2605" i="1"/>
  <c r="T2609" i="1"/>
  <c r="T2625" i="1"/>
  <c r="T2679" i="1"/>
  <c r="T2682" i="1"/>
  <c r="T2685" i="1"/>
  <c r="T2688" i="1"/>
  <c r="T2691" i="1"/>
  <c r="T2694" i="1"/>
  <c r="T2697" i="1"/>
  <c r="T2743" i="1"/>
  <c r="T2746" i="1"/>
  <c r="T2749" i="1"/>
  <c r="T2752" i="1"/>
  <c r="T2755" i="1"/>
  <c r="T2758" i="1"/>
  <c r="T2761" i="1"/>
  <c r="T2807" i="1"/>
  <c r="T2810" i="1"/>
  <c r="T2813" i="1"/>
  <c r="T2816" i="1"/>
  <c r="T2819" i="1"/>
  <c r="T2822" i="1"/>
  <c r="T2825" i="1"/>
  <c r="T2852" i="1"/>
  <c r="T2860" i="1"/>
  <c r="T2868" i="1"/>
  <c r="T2876" i="1"/>
  <c r="T2884" i="1"/>
  <c r="T2892" i="1"/>
  <c r="T2900" i="1"/>
  <c r="T2908" i="1"/>
  <c r="T2916" i="1"/>
  <c r="T2924" i="1"/>
  <c r="T2932" i="1"/>
  <c r="T2940" i="1"/>
  <c r="T2948" i="1"/>
  <c r="T2956" i="1"/>
  <c r="T2225" i="1"/>
  <c r="T2286" i="1"/>
  <c r="T2335" i="1"/>
  <c r="T2347" i="1"/>
  <c r="T2408" i="1"/>
  <c r="T2455" i="1"/>
  <c r="T2461" i="1"/>
  <c r="T2467" i="1"/>
  <c r="T2473" i="1"/>
  <c r="T2527" i="1"/>
  <c r="T2543" i="1"/>
  <c r="T2559" i="1"/>
  <c r="T2575" i="1"/>
  <c r="T2591" i="1"/>
  <c r="T2601" i="1"/>
  <c r="T2614" i="1"/>
  <c r="T2622" i="1"/>
  <c r="T2629" i="1"/>
  <c r="T2655" i="1"/>
  <c r="T2658" i="1"/>
  <c r="T2661" i="1"/>
  <c r="T2664" i="1"/>
  <c r="T2667" i="1"/>
  <c r="T2670" i="1"/>
  <c r="T2673" i="1"/>
  <c r="T2719" i="1"/>
  <c r="T2722" i="1"/>
  <c r="T2725" i="1"/>
  <c r="T2728" i="1"/>
  <c r="T2731" i="1"/>
  <c r="T2734" i="1"/>
  <c r="T2737" i="1"/>
  <c r="T2783" i="1"/>
  <c r="T2786" i="1"/>
  <c r="T2789" i="1"/>
  <c r="T2792" i="1"/>
  <c r="T2795" i="1"/>
  <c r="T2798" i="1"/>
  <c r="T2801" i="1"/>
  <c r="T2847" i="1"/>
  <c r="T2855" i="1"/>
  <c r="T2863" i="1"/>
  <c r="T2871" i="1"/>
  <c r="T2879" i="1"/>
  <c r="T2887" i="1"/>
  <c r="T2895" i="1"/>
  <c r="T2903" i="1"/>
  <c r="T2911" i="1"/>
  <c r="T2919" i="1"/>
  <c r="T2927" i="1"/>
  <c r="T2935" i="1"/>
  <c r="T2943" i="1"/>
  <c r="T2951" i="1"/>
  <c r="T2959" i="1"/>
  <c r="T2162" i="1"/>
  <c r="T2230" i="1"/>
  <c r="T2301" i="1"/>
  <c r="T2313" i="1"/>
  <c r="T2362" i="1"/>
  <c r="T2374" i="1"/>
  <c r="T2423" i="1"/>
  <c r="T2432" i="1"/>
  <c r="T2438" i="1"/>
  <c r="T2487" i="1"/>
  <c r="T2493" i="1"/>
  <c r="T2499" i="1"/>
  <c r="T2505" i="1"/>
  <c r="T2523" i="1"/>
  <c r="T2539" i="1"/>
  <c r="T2555" i="1"/>
  <c r="T2571" i="1"/>
  <c r="T2587" i="1"/>
  <c r="T2606" i="1"/>
  <c r="T2619" i="1"/>
  <c r="T2626" i="1"/>
  <c r="T2633" i="1"/>
  <c r="T2640" i="1"/>
  <c r="T2643" i="1"/>
  <c r="T2646" i="1"/>
  <c r="T2649" i="1"/>
  <c r="T2695" i="1"/>
  <c r="T2698" i="1"/>
  <c r="T2701" i="1"/>
  <c r="T2704" i="1"/>
  <c r="T2707" i="1"/>
  <c r="T2710" i="1"/>
  <c r="T2713" i="1"/>
  <c r="T2759" i="1"/>
  <c r="T2762" i="1"/>
  <c r="T2765" i="1"/>
  <c r="T2768" i="1"/>
  <c r="T2771" i="1"/>
  <c r="T2774" i="1"/>
  <c r="T2777" i="1"/>
  <c r="T2823" i="1"/>
  <c r="T2826" i="1"/>
  <c r="T2829" i="1"/>
  <c r="T2832" i="1"/>
  <c r="T2835" i="1"/>
  <c r="T2838" i="1"/>
  <c r="T2841" i="1"/>
  <c r="T2850" i="1"/>
  <c r="T2858" i="1"/>
  <c r="T2866" i="1"/>
  <c r="T2874" i="1"/>
  <c r="T2882" i="1"/>
  <c r="T2890" i="1"/>
  <c r="T2898" i="1"/>
  <c r="T2906" i="1"/>
  <c r="T2914" i="1"/>
  <c r="T2922" i="1"/>
  <c r="T2930" i="1"/>
  <c r="T2938" i="1"/>
  <c r="T2946" i="1"/>
  <c r="T2954" i="1"/>
  <c r="T2962" i="1"/>
  <c r="T2209" i="1"/>
  <c r="T2273" i="1"/>
  <c r="T2289" i="1"/>
  <c r="T2338" i="1"/>
  <c r="T2350" i="1"/>
  <c r="T2399" i="1"/>
  <c r="T2411" i="1"/>
  <c r="T2463" i="1"/>
  <c r="T2469" i="1"/>
  <c r="T2475" i="1"/>
  <c r="T2481" i="1"/>
  <c r="T2193" i="1"/>
  <c r="T2257" i="1"/>
  <c r="T2341" i="1"/>
  <c r="T2353" i="1"/>
  <c r="T2402" i="1"/>
  <c r="T2414" i="1"/>
  <c r="T2458" i="1"/>
  <c r="T2464" i="1"/>
  <c r="T2470" i="1"/>
  <c r="T2519" i="1"/>
  <c r="T2535" i="1"/>
  <c r="T2551" i="1"/>
  <c r="T2567" i="1"/>
  <c r="T2583" i="1"/>
  <c r="T2599" i="1"/>
  <c r="T2631" i="1"/>
  <c r="T2638" i="1"/>
  <c r="T2641" i="1"/>
  <c r="T2687" i="1"/>
  <c r="T2690" i="1"/>
  <c r="T2693" i="1"/>
  <c r="T2696" i="1"/>
  <c r="T2699" i="1"/>
  <c r="T2702" i="1"/>
  <c r="T2705" i="1"/>
  <c r="T2751" i="1"/>
  <c r="T2754" i="1"/>
  <c r="T2757" i="1"/>
  <c r="T2760" i="1"/>
  <c r="T2763" i="1"/>
  <c r="T2766" i="1"/>
  <c r="T2769" i="1"/>
  <c r="T2815" i="1"/>
  <c r="T2818" i="1"/>
  <c r="T2821" i="1"/>
  <c r="T2824" i="1"/>
  <c r="T2827" i="1"/>
  <c r="T2830" i="1"/>
  <c r="T2833" i="1"/>
  <c r="T2851" i="1"/>
  <c r="T2859" i="1"/>
  <c r="T2867" i="1"/>
  <c r="T2168" i="1"/>
  <c r="T2545" i="1"/>
  <c r="T2607" i="1"/>
  <c r="T2650" i="1"/>
  <c r="T2662" i="1"/>
  <c r="T2711" i="1"/>
  <c r="T2723" i="1"/>
  <c r="T2784" i="1"/>
  <c r="T2811" i="1"/>
  <c r="T2843" i="1"/>
  <c r="T2865" i="1"/>
  <c r="T2877" i="1"/>
  <c r="T2893" i="1"/>
  <c r="T2909" i="1"/>
  <c r="T2925" i="1"/>
  <c r="T2941" i="1"/>
  <c r="T2957" i="1"/>
  <c r="T2993" i="1"/>
  <c r="T2996" i="1"/>
  <c r="T2999" i="1"/>
  <c r="T3002" i="1"/>
  <c r="T3005" i="1"/>
  <c r="T3008" i="1"/>
  <c r="T3011" i="1"/>
  <c r="T3057" i="1"/>
  <c r="T3060" i="1"/>
  <c r="T3063" i="1"/>
  <c r="T3066" i="1"/>
  <c r="T3069" i="1"/>
  <c r="T3072" i="1"/>
  <c r="T3075" i="1"/>
  <c r="T3121" i="1"/>
  <c r="T3124" i="1"/>
  <c r="T3127" i="1"/>
  <c r="T3130" i="1"/>
  <c r="T3133" i="1"/>
  <c r="T3136" i="1"/>
  <c r="T3139" i="1"/>
  <c r="T3185" i="1"/>
  <c r="T3188" i="1"/>
  <c r="T3191" i="1"/>
  <c r="T3194" i="1"/>
  <c r="T3197" i="1"/>
  <c r="T3200" i="1"/>
  <c r="T3203" i="1"/>
  <c r="T3233" i="1"/>
  <c r="T3241" i="1"/>
  <c r="T3249" i="1"/>
  <c r="T3257" i="1"/>
  <c r="T3265" i="1"/>
  <c r="T3273" i="1"/>
  <c r="T3281" i="1"/>
  <c r="T3289" i="1"/>
  <c r="T3297" i="1"/>
  <c r="T3305" i="1"/>
  <c r="T3313" i="1"/>
  <c r="T3321" i="1"/>
  <c r="T3329" i="1"/>
  <c r="T3337" i="1"/>
  <c r="T3345" i="1"/>
  <c r="T3353" i="1"/>
  <c r="T3361" i="1"/>
  <c r="T3369" i="1"/>
  <c r="T3377" i="1"/>
  <c r="T3385" i="1"/>
  <c r="T3393" i="1"/>
  <c r="T3401" i="1"/>
  <c r="T3409" i="1"/>
  <c r="T3417" i="1"/>
  <c r="T3425" i="1"/>
  <c r="T3433" i="1"/>
  <c r="T3441" i="1"/>
  <c r="T3449" i="1"/>
  <c r="T3457" i="1"/>
  <c r="T3465" i="1"/>
  <c r="T3473" i="1"/>
  <c r="T3481" i="1"/>
  <c r="T3489" i="1"/>
  <c r="T3497" i="1"/>
  <c r="T3505" i="1"/>
  <c r="T3513" i="1"/>
  <c r="T3521" i="1"/>
  <c r="T3529" i="1"/>
  <c r="T3537" i="1"/>
  <c r="T3545" i="1"/>
  <c r="T3553" i="1"/>
  <c r="T3561" i="1"/>
  <c r="T3569" i="1"/>
  <c r="T3577" i="1"/>
  <c r="T3585" i="1"/>
  <c r="T3593" i="1"/>
  <c r="T3601" i="1"/>
  <c r="T3609" i="1"/>
  <c r="T3617" i="1"/>
  <c r="T3625" i="1"/>
  <c r="T3633" i="1"/>
  <c r="T3641" i="1"/>
  <c r="T3649" i="1"/>
  <c r="T3657" i="1"/>
  <c r="T3665" i="1"/>
  <c r="T3673" i="1"/>
  <c r="T3681" i="1"/>
  <c r="T3689" i="1"/>
  <c r="T3697" i="1"/>
  <c r="T3705" i="1"/>
  <c r="T3713" i="1"/>
  <c r="T3721" i="1"/>
  <c r="T3729" i="1"/>
  <c r="T3737" i="1"/>
  <c r="T3745" i="1"/>
  <c r="T3753" i="1"/>
  <c r="T3761" i="1"/>
  <c r="T2426" i="1"/>
  <c r="T2550" i="1"/>
  <c r="T2611" i="1"/>
  <c r="T2677" i="1"/>
  <c r="T2689" i="1"/>
  <c r="T2738" i="1"/>
  <c r="T2750" i="1"/>
  <c r="T2872" i="1"/>
  <c r="T2888" i="1"/>
  <c r="T2904" i="1"/>
  <c r="T2920" i="1"/>
  <c r="T2936" i="1"/>
  <c r="T2952" i="1"/>
  <c r="T2969" i="1"/>
  <c r="T2972" i="1"/>
  <c r="T2975" i="1"/>
  <c r="T2978" i="1"/>
  <c r="T2981" i="1"/>
  <c r="T2984" i="1"/>
  <c r="T2987" i="1"/>
  <c r="T3033" i="1"/>
  <c r="T3036" i="1"/>
  <c r="T3039" i="1"/>
  <c r="T3042" i="1"/>
  <c r="T3045" i="1"/>
  <c r="T3048" i="1"/>
  <c r="T3051" i="1"/>
  <c r="T3097" i="1"/>
  <c r="T3100" i="1"/>
  <c r="T3103" i="1"/>
  <c r="T3106" i="1"/>
  <c r="T3109" i="1"/>
  <c r="T3112" i="1"/>
  <c r="T3115" i="1"/>
  <c r="T3161" i="1"/>
  <c r="T3164" i="1"/>
  <c r="T3167" i="1"/>
  <c r="T3170" i="1"/>
  <c r="T3173" i="1"/>
  <c r="T3176" i="1"/>
  <c r="T3179" i="1"/>
  <c r="T3225" i="1"/>
  <c r="T3228" i="1"/>
  <c r="T3236" i="1"/>
  <c r="T3244" i="1"/>
  <c r="T3252" i="1"/>
  <c r="T2214" i="1"/>
  <c r="T2506" i="1"/>
  <c r="T2529" i="1"/>
  <c r="T2593" i="1"/>
  <c r="T2627" i="1"/>
  <c r="T2653" i="1"/>
  <c r="T2665" i="1"/>
  <c r="T2714" i="1"/>
  <c r="T2726" i="1"/>
  <c r="T2775" i="1"/>
  <c r="T2787" i="1"/>
  <c r="T2805" i="1"/>
  <c r="T2837" i="1"/>
  <c r="T2845" i="1"/>
  <c r="T2853" i="1"/>
  <c r="T2883" i="1"/>
  <c r="T2899" i="1"/>
  <c r="T2915" i="1"/>
  <c r="T2931" i="1"/>
  <c r="T2947" i="1"/>
  <c r="T2963" i="1"/>
  <c r="T3009" i="1"/>
  <c r="T3012" i="1"/>
  <c r="T3015" i="1"/>
  <c r="T3018" i="1"/>
  <c r="T3021" i="1"/>
  <c r="T3024" i="1"/>
  <c r="T3027" i="1"/>
  <c r="T3073" i="1"/>
  <c r="T3076" i="1"/>
  <c r="T3079" i="1"/>
  <c r="T3082" i="1"/>
  <c r="T3085" i="1"/>
  <c r="T3088" i="1"/>
  <c r="T3091" i="1"/>
  <c r="T3137" i="1"/>
  <c r="T3140" i="1"/>
  <c r="T3143" i="1"/>
  <c r="T3146" i="1"/>
  <c r="T3149" i="1"/>
  <c r="T3152" i="1"/>
  <c r="T3155" i="1"/>
  <c r="T3201" i="1"/>
  <c r="T3204" i="1"/>
  <c r="T3207" i="1"/>
  <c r="T3210" i="1"/>
  <c r="T3213" i="1"/>
  <c r="T3216" i="1"/>
  <c r="T3219" i="1"/>
  <c r="T3231" i="1"/>
  <c r="T3239" i="1"/>
  <c r="T3247" i="1"/>
  <c r="T3255" i="1"/>
  <c r="T3263" i="1"/>
  <c r="T3271" i="1"/>
  <c r="T3279" i="1"/>
  <c r="T3287" i="1"/>
  <c r="T3295" i="1"/>
  <c r="T3303" i="1"/>
  <c r="T3311" i="1"/>
  <c r="T3319" i="1"/>
  <c r="T3327" i="1"/>
  <c r="T3335" i="1"/>
  <c r="T3343" i="1"/>
  <c r="T3351" i="1"/>
  <c r="T3359" i="1"/>
  <c r="T3367" i="1"/>
  <c r="T3375" i="1"/>
  <c r="T3383" i="1"/>
  <c r="T3391" i="1"/>
  <c r="T3399" i="1"/>
  <c r="T3407" i="1"/>
  <c r="T3415" i="1"/>
  <c r="T3423" i="1"/>
  <c r="T3431" i="1"/>
  <c r="T3439" i="1"/>
  <c r="T3447" i="1"/>
  <c r="T3455" i="1"/>
  <c r="T3463" i="1"/>
  <c r="T3471" i="1"/>
  <c r="T3479" i="1"/>
  <c r="T3487" i="1"/>
  <c r="T3495" i="1"/>
  <c r="T3503" i="1"/>
  <c r="T3511" i="1"/>
  <c r="T3519" i="1"/>
  <c r="T2439" i="1"/>
  <c r="T2534" i="1"/>
  <c r="T2598" i="1"/>
  <c r="T2615" i="1"/>
  <c r="T2630" i="1"/>
  <c r="T2680" i="1"/>
  <c r="T2741" i="1"/>
  <c r="T2753" i="1"/>
  <c r="T2814" i="1"/>
  <c r="T2846" i="1"/>
  <c r="T2861" i="1"/>
  <c r="T2873" i="1"/>
  <c r="T2889" i="1"/>
  <c r="T2905" i="1"/>
  <c r="T2921" i="1"/>
  <c r="T2937" i="1"/>
  <c r="T2953" i="1"/>
  <c r="T2985" i="1"/>
  <c r="T2988" i="1"/>
  <c r="T2991" i="1"/>
  <c r="T2994" i="1"/>
  <c r="T2997" i="1"/>
  <c r="T3000" i="1"/>
  <c r="T3003" i="1"/>
  <c r="T3049" i="1"/>
  <c r="T3052" i="1"/>
  <c r="T3055" i="1"/>
  <c r="T3058" i="1"/>
  <c r="T3061" i="1"/>
  <c r="T3064" i="1"/>
  <c r="T3067" i="1"/>
  <c r="T3113" i="1"/>
  <c r="T3116" i="1"/>
  <c r="T3119" i="1"/>
  <c r="T3122" i="1"/>
  <c r="T3125" i="1"/>
  <c r="T3128" i="1"/>
  <c r="T3131" i="1"/>
  <c r="T3177" i="1"/>
  <c r="T3180" i="1"/>
  <c r="T3183" i="1"/>
  <c r="T3186" i="1"/>
  <c r="T3189" i="1"/>
  <c r="T3192" i="1"/>
  <c r="T3195" i="1"/>
  <c r="T3234" i="1"/>
  <c r="T3242" i="1"/>
  <c r="T3250" i="1"/>
  <c r="T3258" i="1"/>
  <c r="T3266" i="1"/>
  <c r="T3274" i="1"/>
  <c r="T3282" i="1"/>
  <c r="T3290" i="1"/>
  <c r="T3298" i="1"/>
  <c r="T3306" i="1"/>
  <c r="T3314" i="1"/>
  <c r="T3322" i="1"/>
  <c r="T3330" i="1"/>
  <c r="T3338" i="1"/>
  <c r="T3346" i="1"/>
  <c r="T3354" i="1"/>
  <c r="T3362" i="1"/>
  <c r="T3370" i="1"/>
  <c r="T3378" i="1"/>
  <c r="T3386" i="1"/>
  <c r="T3394" i="1"/>
  <c r="T3402" i="1"/>
  <c r="T3410" i="1"/>
  <c r="T3418" i="1"/>
  <c r="T3426" i="1"/>
  <c r="T3434" i="1"/>
  <c r="T3442" i="1"/>
  <c r="T3450" i="1"/>
  <c r="T3458" i="1"/>
  <c r="T3466" i="1"/>
  <c r="T3474" i="1"/>
  <c r="T2365" i="1"/>
  <c r="T2445" i="1"/>
  <c r="T2512" i="1"/>
  <c r="T2577" i="1"/>
  <c r="T2656" i="1"/>
  <c r="T2717" i="1"/>
  <c r="T2729" i="1"/>
  <c r="T2778" i="1"/>
  <c r="T2790" i="1"/>
  <c r="T2799" i="1"/>
  <c r="T2831" i="1"/>
  <c r="T2839" i="1"/>
  <c r="T2869" i="1"/>
  <c r="T2885" i="1"/>
  <c r="T2901" i="1"/>
  <c r="T2917" i="1"/>
  <c r="T2933" i="1"/>
  <c r="T2949" i="1"/>
  <c r="T2964" i="1"/>
  <c r="T2967" i="1"/>
  <c r="T2970" i="1"/>
  <c r="T2973" i="1"/>
  <c r="T2976" i="1"/>
  <c r="T2979" i="1"/>
  <c r="T3025" i="1"/>
  <c r="T3028" i="1"/>
  <c r="T3031" i="1"/>
  <c r="T3034" i="1"/>
  <c r="T3037" i="1"/>
  <c r="T3040" i="1"/>
  <c r="T3043" i="1"/>
  <c r="T3089" i="1"/>
  <c r="T3092" i="1"/>
  <c r="T3095" i="1"/>
  <c r="T3098" i="1"/>
  <c r="T3101" i="1"/>
  <c r="T3104" i="1"/>
  <c r="T3107" i="1"/>
  <c r="T3153" i="1"/>
  <c r="T3156" i="1"/>
  <c r="T3159" i="1"/>
  <c r="T3162" i="1"/>
  <c r="T3165" i="1"/>
  <c r="T3168" i="1"/>
  <c r="T3171" i="1"/>
  <c r="T3217" i="1"/>
  <c r="T3220" i="1"/>
  <c r="T3223" i="1"/>
  <c r="T3226" i="1"/>
  <c r="T3229" i="1"/>
  <c r="T3237" i="1"/>
  <c r="T3245" i="1"/>
  <c r="T3253" i="1"/>
  <c r="T2278" i="1"/>
  <c r="T2377" i="1"/>
  <c r="T2451" i="1"/>
  <c r="T2582" i="1"/>
  <c r="T2671" i="1"/>
  <c r="T2683" i="1"/>
  <c r="T2744" i="1"/>
  <c r="T2808" i="1"/>
  <c r="T2840" i="1"/>
  <c r="T2848" i="1"/>
  <c r="T2880" i="1"/>
  <c r="T2896" i="1"/>
  <c r="T2912" i="1"/>
  <c r="T2457" i="1"/>
  <c r="T2518" i="1"/>
  <c r="T2561" i="1"/>
  <c r="T2603" i="1"/>
  <c r="T2634" i="1"/>
  <c r="T2647" i="1"/>
  <c r="T2659" i="1"/>
  <c r="T2720" i="1"/>
  <c r="T2781" i="1"/>
  <c r="T2817" i="1"/>
  <c r="T2849" i="1"/>
  <c r="T2856" i="1"/>
  <c r="T2875" i="1"/>
  <c r="T2891" i="1"/>
  <c r="T2907" i="1"/>
  <c r="T2304" i="1"/>
  <c r="T2566" i="1"/>
  <c r="T2623" i="1"/>
  <c r="T2637" i="1"/>
  <c r="T2674" i="1"/>
  <c r="T2686" i="1"/>
  <c r="T2735" i="1"/>
  <c r="T2747" i="1"/>
  <c r="T2793" i="1"/>
  <c r="T2802" i="1"/>
  <c r="T2834" i="1"/>
  <c r="T2842" i="1"/>
  <c r="T2857" i="1"/>
  <c r="T2864" i="1"/>
  <c r="T2881" i="1"/>
  <c r="T2897" i="1"/>
  <c r="T2913" i="1"/>
  <c r="T2929" i="1"/>
  <c r="T2945" i="1"/>
  <c r="T2961" i="1"/>
  <c r="T2965" i="1"/>
  <c r="T2968" i="1"/>
  <c r="T2971" i="1"/>
  <c r="T3017" i="1"/>
  <c r="T3020" i="1"/>
  <c r="T3023" i="1"/>
  <c r="T3026" i="1"/>
  <c r="T3029" i="1"/>
  <c r="T3032" i="1"/>
  <c r="T3035" i="1"/>
  <c r="T3081" i="1"/>
  <c r="T3084" i="1"/>
  <c r="T3087" i="1"/>
  <c r="T3090" i="1"/>
  <c r="T3093" i="1"/>
  <c r="T3096" i="1"/>
  <c r="T3099" i="1"/>
  <c r="T3145" i="1"/>
  <c r="T3148" i="1"/>
  <c r="T3151" i="1"/>
  <c r="T3154" i="1"/>
  <c r="T3157" i="1"/>
  <c r="T3160" i="1"/>
  <c r="T3163" i="1"/>
  <c r="T3209" i="1"/>
  <c r="T3212" i="1"/>
  <c r="T3215" i="1"/>
  <c r="T3218" i="1"/>
  <c r="T3221" i="1"/>
  <c r="T3224" i="1"/>
  <c r="T3227" i="1"/>
  <c r="T3230" i="1"/>
  <c r="T3238" i="1"/>
  <c r="T3246" i="1"/>
  <c r="T3254" i="1"/>
  <c r="T3262" i="1"/>
  <c r="T3270" i="1"/>
  <c r="T3278" i="1"/>
  <c r="T3286" i="1"/>
  <c r="T3294" i="1"/>
  <c r="T3302" i="1"/>
  <c r="T3310" i="1"/>
  <c r="T2960" i="1"/>
  <c r="T3010" i="1"/>
  <c r="T3071" i="1"/>
  <c r="T3083" i="1"/>
  <c r="T3132" i="1"/>
  <c r="T3144" i="1"/>
  <c r="T3193" i="1"/>
  <c r="T3205" i="1"/>
  <c r="T3240" i="1"/>
  <c r="T3268" i="1"/>
  <c r="T3284" i="1"/>
  <c r="T3300" i="1"/>
  <c r="T3320" i="1"/>
  <c r="T3324" i="1"/>
  <c r="T3333" i="1"/>
  <c r="T3358" i="1"/>
  <c r="T3371" i="1"/>
  <c r="T3384" i="1"/>
  <c r="T3388" i="1"/>
  <c r="T3397" i="1"/>
  <c r="T3422" i="1"/>
  <c r="T3435" i="1"/>
  <c r="T3448" i="1"/>
  <c r="T3452" i="1"/>
  <c r="T3461" i="1"/>
  <c r="T3488" i="1"/>
  <c r="T3502" i="1"/>
  <c r="T3506" i="1"/>
  <c r="T3520" i="1"/>
  <c r="T3523" i="1"/>
  <c r="T3526" i="1"/>
  <c r="T3572" i="1"/>
  <c r="T3575" i="1"/>
  <c r="T3578" i="1"/>
  <c r="T3581" i="1"/>
  <c r="T3584" i="1"/>
  <c r="T3587" i="1"/>
  <c r="T3590" i="1"/>
  <c r="T3636" i="1"/>
  <c r="T3639" i="1"/>
  <c r="T3642" i="1"/>
  <c r="T3645" i="1"/>
  <c r="T3648" i="1"/>
  <c r="T3651" i="1"/>
  <c r="T3654" i="1"/>
  <c r="T3700" i="1"/>
  <c r="T3703" i="1"/>
  <c r="T3706" i="1"/>
  <c r="T3709" i="1"/>
  <c r="T3712" i="1"/>
  <c r="T3715" i="1"/>
  <c r="T3718" i="1"/>
  <c r="T3764" i="1"/>
  <c r="T3772" i="1"/>
  <c r="T3780" i="1"/>
  <c r="T3788" i="1"/>
  <c r="T3796" i="1"/>
  <c r="T3804" i="1"/>
  <c r="T3812" i="1"/>
  <c r="T3820" i="1"/>
  <c r="T3828" i="1"/>
  <c r="T3836" i="1"/>
  <c r="T3844" i="1"/>
  <c r="T3852" i="1"/>
  <c r="T3860" i="1"/>
  <c r="T3868" i="1"/>
  <c r="T3876" i="1"/>
  <c r="T3884" i="1"/>
  <c r="T3892" i="1"/>
  <c r="T3900" i="1"/>
  <c r="T3908" i="1"/>
  <c r="T3916" i="1"/>
  <c r="T3924" i="1"/>
  <c r="T3932" i="1"/>
  <c r="T3940" i="1"/>
  <c r="T3948" i="1"/>
  <c r="T3956" i="1"/>
  <c r="T3964" i="1"/>
  <c r="T3972" i="1"/>
  <c r="T3980" i="1"/>
  <c r="T3988" i="1"/>
  <c r="T3996" i="1"/>
  <c r="T4004" i="1"/>
  <c r="T4012" i="1"/>
  <c r="T4020" i="1"/>
  <c r="T4028" i="1"/>
  <c r="T4036" i="1"/>
  <c r="T4044" i="1"/>
  <c r="T4052" i="1"/>
  <c r="T4060" i="1"/>
  <c r="T4068" i="1"/>
  <c r="T4076" i="1"/>
  <c r="T4084" i="1"/>
  <c r="T4092" i="1"/>
  <c r="T4100" i="1"/>
  <c r="T4108" i="1"/>
  <c r="T4116" i="1"/>
  <c r="T4124" i="1"/>
  <c r="T4132" i="1"/>
  <c r="T4140" i="1"/>
  <c r="T4148" i="1"/>
  <c r="T4156" i="1"/>
  <c r="T4164" i="1"/>
  <c r="T4172" i="1"/>
  <c r="T4180" i="1"/>
  <c r="T4188" i="1"/>
  <c r="T4196" i="1"/>
  <c r="T4204" i="1"/>
  <c r="T4212" i="1"/>
  <c r="T4220" i="1"/>
  <c r="T2939" i="1"/>
  <c r="T2986" i="1"/>
  <c r="T3047" i="1"/>
  <c r="T3059" i="1"/>
  <c r="T3108" i="1"/>
  <c r="T3120" i="1"/>
  <c r="T3169" i="1"/>
  <c r="T3181" i="1"/>
  <c r="T3251" i="1"/>
  <c r="T3269" i="1"/>
  <c r="T3285" i="1"/>
  <c r="T3301" i="1"/>
  <c r="T3316" i="1"/>
  <c r="T3325" i="1"/>
  <c r="T3350" i="1"/>
  <c r="T3363" i="1"/>
  <c r="T3376" i="1"/>
  <c r="T3380" i="1"/>
  <c r="T3389" i="1"/>
  <c r="T3414" i="1"/>
  <c r="T3427" i="1"/>
  <c r="T3440" i="1"/>
  <c r="T3444" i="1"/>
  <c r="T3453" i="1"/>
  <c r="T3485" i="1"/>
  <c r="T3492" i="1"/>
  <c r="T3499" i="1"/>
  <c r="T3517" i="1"/>
  <c r="T3548" i="1"/>
  <c r="T3551" i="1"/>
  <c r="T3554" i="1"/>
  <c r="T3557" i="1"/>
  <c r="T3560" i="1"/>
  <c r="T3563" i="1"/>
  <c r="T3566" i="1"/>
  <c r="T3612" i="1"/>
  <c r="T3615" i="1"/>
  <c r="T3618" i="1"/>
  <c r="T3621" i="1"/>
  <c r="T3624" i="1"/>
  <c r="T3627" i="1"/>
  <c r="T3630" i="1"/>
  <c r="T3676" i="1"/>
  <c r="T3679" i="1"/>
  <c r="T3682" i="1"/>
  <c r="T3685" i="1"/>
  <c r="T3688" i="1"/>
  <c r="T2944" i="1"/>
  <c r="T3001" i="1"/>
  <c r="T3013" i="1"/>
  <c r="T3074" i="1"/>
  <c r="T3135" i="1"/>
  <c r="T3147" i="1"/>
  <c r="T3196" i="1"/>
  <c r="T3208" i="1"/>
  <c r="T3232" i="1"/>
  <c r="T3264" i="1"/>
  <c r="T3280" i="1"/>
  <c r="T3296" i="1"/>
  <c r="T3312" i="1"/>
  <c r="T3317" i="1"/>
  <c r="T3342" i="1"/>
  <c r="T3355" i="1"/>
  <c r="T3368" i="1"/>
  <c r="T3372" i="1"/>
  <c r="T3381" i="1"/>
  <c r="T3406" i="1"/>
  <c r="T3419" i="1"/>
  <c r="T3432" i="1"/>
  <c r="T3436" i="1"/>
  <c r="T3445" i="1"/>
  <c r="T3470" i="1"/>
  <c r="T3478" i="1"/>
  <c r="T3482" i="1"/>
  <c r="T3496" i="1"/>
  <c r="T3510" i="1"/>
  <c r="T3514" i="1"/>
  <c r="T3524" i="1"/>
  <c r="T3527" i="1"/>
  <c r="T3530" i="1"/>
  <c r="T3533" i="1"/>
  <c r="T3536" i="1"/>
  <c r="T3539" i="1"/>
  <c r="T3542" i="1"/>
  <c r="T3588" i="1"/>
  <c r="T3591" i="1"/>
  <c r="T3594" i="1"/>
  <c r="T3597" i="1"/>
  <c r="T3600" i="1"/>
  <c r="T3603" i="1"/>
  <c r="T3606" i="1"/>
  <c r="T3652" i="1"/>
  <c r="T3655" i="1"/>
  <c r="T3658" i="1"/>
  <c r="T3661" i="1"/>
  <c r="T3664" i="1"/>
  <c r="T3667" i="1"/>
  <c r="T3670" i="1"/>
  <c r="T3716" i="1"/>
  <c r="T3719" i="1"/>
  <c r="T3722" i="1"/>
  <c r="T3725" i="1"/>
  <c r="T3728" i="1"/>
  <c r="T3731" i="1"/>
  <c r="T3734" i="1"/>
  <c r="T3770" i="1"/>
  <c r="T3778" i="1"/>
  <c r="T3786" i="1"/>
  <c r="T3794" i="1"/>
  <c r="T3802" i="1"/>
  <c r="T3810" i="1"/>
  <c r="T3818" i="1"/>
  <c r="T3826" i="1"/>
  <c r="T3834" i="1"/>
  <c r="T3842" i="1"/>
  <c r="T3850" i="1"/>
  <c r="T3858" i="1"/>
  <c r="T3866" i="1"/>
  <c r="T3874" i="1"/>
  <c r="T3882" i="1"/>
  <c r="T2923" i="1"/>
  <c r="T2977" i="1"/>
  <c r="T2989" i="1"/>
  <c r="T3050" i="1"/>
  <c r="T3111" i="1"/>
  <c r="T3123" i="1"/>
  <c r="T3172" i="1"/>
  <c r="T3184" i="1"/>
  <c r="T3243" i="1"/>
  <c r="T3259" i="1"/>
  <c r="T3275" i="1"/>
  <c r="T3291" i="1"/>
  <c r="T3307" i="1"/>
  <c r="T3334" i="1"/>
  <c r="T3347" i="1"/>
  <c r="T3360" i="1"/>
  <c r="T3364" i="1"/>
  <c r="T3373" i="1"/>
  <c r="T3398" i="1"/>
  <c r="T3411" i="1"/>
  <c r="T3424" i="1"/>
  <c r="T3428" i="1"/>
  <c r="T3437" i="1"/>
  <c r="T3462" i="1"/>
  <c r="T3475" i="1"/>
  <c r="T3493" i="1"/>
  <c r="T3500" i="1"/>
  <c r="T3507" i="1"/>
  <c r="T3564" i="1"/>
  <c r="T3567" i="1"/>
  <c r="T3570" i="1"/>
  <c r="T3573" i="1"/>
  <c r="T3576" i="1"/>
  <c r="T3579" i="1"/>
  <c r="T3582" i="1"/>
  <c r="T3628" i="1"/>
  <c r="T3631" i="1"/>
  <c r="T3634" i="1"/>
  <c r="T3637" i="1"/>
  <c r="T3640" i="1"/>
  <c r="T3643" i="1"/>
  <c r="T3646" i="1"/>
  <c r="T3692" i="1"/>
  <c r="T3695" i="1"/>
  <c r="T3698" i="1"/>
  <c r="T3701" i="1"/>
  <c r="T3704" i="1"/>
  <c r="T3707" i="1"/>
  <c r="T3710" i="1"/>
  <c r="T3756" i="1"/>
  <c r="T3759" i="1"/>
  <c r="T3762" i="1"/>
  <c r="T3765" i="1"/>
  <c r="T3773" i="1"/>
  <c r="T3781" i="1"/>
  <c r="T3789" i="1"/>
  <c r="T3797" i="1"/>
  <c r="T3805" i="1"/>
  <c r="T3813" i="1"/>
  <c r="T3821" i="1"/>
  <c r="T3829" i="1"/>
  <c r="T3837" i="1"/>
  <c r="T3845" i="1"/>
  <c r="T3853" i="1"/>
  <c r="T3861" i="1"/>
  <c r="T3869" i="1"/>
  <c r="T3877" i="1"/>
  <c r="T2928" i="1"/>
  <c r="T3004" i="1"/>
  <c r="T3016" i="1"/>
  <c r="T3065" i="1"/>
  <c r="T3077" i="1"/>
  <c r="T3138" i="1"/>
  <c r="T3199" i="1"/>
  <c r="T3211" i="1"/>
  <c r="T3260" i="1"/>
  <c r="T3276" i="1"/>
  <c r="T3292" i="1"/>
  <c r="T3308" i="1"/>
  <c r="T3326" i="1"/>
  <c r="T3339" i="1"/>
  <c r="T3352" i="1"/>
  <c r="T3356" i="1"/>
  <c r="T3365" i="1"/>
  <c r="T3390" i="1"/>
  <c r="T3403" i="1"/>
  <c r="T3416" i="1"/>
  <c r="T3420" i="1"/>
  <c r="T3429" i="1"/>
  <c r="T3454" i="1"/>
  <c r="T3467" i="1"/>
  <c r="T3486" i="1"/>
  <c r="T3490" i="1"/>
  <c r="T3504" i="1"/>
  <c r="T3518" i="1"/>
  <c r="T3540" i="1"/>
  <c r="T3543" i="1"/>
  <c r="T3546" i="1"/>
  <c r="T3549" i="1"/>
  <c r="T3552" i="1"/>
  <c r="T3555" i="1"/>
  <c r="T3558" i="1"/>
  <c r="T3604" i="1"/>
  <c r="T3607" i="1"/>
  <c r="T3610" i="1"/>
  <c r="T3613" i="1"/>
  <c r="T3616" i="1"/>
  <c r="T3619" i="1"/>
  <c r="T3622" i="1"/>
  <c r="T3668" i="1"/>
  <c r="T3671" i="1"/>
  <c r="T3674" i="1"/>
  <c r="T3677" i="1"/>
  <c r="T3680" i="1"/>
  <c r="T3683" i="1"/>
  <c r="T3686" i="1"/>
  <c r="T3732" i="1"/>
  <c r="T3735" i="1"/>
  <c r="T3738" i="1"/>
  <c r="T3741" i="1"/>
  <c r="T3744" i="1"/>
  <c r="T3747" i="1"/>
  <c r="T3750" i="1"/>
  <c r="T3768" i="1"/>
  <c r="T3776" i="1"/>
  <c r="T3784" i="1"/>
  <c r="T3792" i="1"/>
  <c r="T3800" i="1"/>
  <c r="T3808" i="1"/>
  <c r="T3816" i="1"/>
  <c r="T3824" i="1"/>
  <c r="T3832" i="1"/>
  <c r="T3840" i="1"/>
  <c r="T3848" i="1"/>
  <c r="T3856" i="1"/>
  <c r="T3864" i="1"/>
  <c r="T3872" i="1"/>
  <c r="T3880" i="1"/>
  <c r="T2980" i="1"/>
  <c r="T2992" i="1"/>
  <c r="T3041" i="1"/>
  <c r="T3053" i="1"/>
  <c r="T3114" i="1"/>
  <c r="T3175" i="1"/>
  <c r="T3187" i="1"/>
  <c r="T3235" i="1"/>
  <c r="T3261" i="1"/>
  <c r="T3277" i="1"/>
  <c r="T3293" i="1"/>
  <c r="T3309" i="1"/>
  <c r="T3318" i="1"/>
  <c r="T3007" i="1"/>
  <c r="T3019" i="1"/>
  <c r="T3068" i="1"/>
  <c r="T3080" i="1"/>
  <c r="T3129" i="1"/>
  <c r="T3141" i="1"/>
  <c r="T3202" i="1"/>
  <c r="T3248" i="1"/>
  <c r="T3256" i="1"/>
  <c r="T3272" i="1"/>
  <c r="T3288" i="1"/>
  <c r="T3304" i="1"/>
  <c r="T2955" i="1"/>
  <c r="T2983" i="1"/>
  <c r="T2995" i="1"/>
  <c r="T3044" i="1"/>
  <c r="T3056" i="1"/>
  <c r="T3105" i="1"/>
  <c r="T3117" i="1"/>
  <c r="T3178" i="1"/>
  <c r="T3267" i="1"/>
  <c r="T3283" i="1"/>
  <c r="T3299" i="1"/>
  <c r="T3315" i="1"/>
  <c r="T3328" i="1"/>
  <c r="T3332" i="1"/>
  <c r="T3341" i="1"/>
  <c r="T3366" i="1"/>
  <c r="T3379" i="1"/>
  <c r="T3392" i="1"/>
  <c r="T3396" i="1"/>
  <c r="T3405" i="1"/>
  <c r="T3430" i="1"/>
  <c r="T3443" i="1"/>
  <c r="T3456" i="1"/>
  <c r="T3460" i="1"/>
  <c r="T3469" i="1"/>
  <c r="T3477" i="1"/>
  <c r="T3484" i="1"/>
  <c r="T3491" i="1"/>
  <c r="T3509" i="1"/>
  <c r="T3516" i="1"/>
  <c r="T3532" i="1"/>
  <c r="T3535" i="1"/>
  <c r="T3538" i="1"/>
  <c r="T3541" i="1"/>
  <c r="T3544" i="1"/>
  <c r="T3547" i="1"/>
  <c r="T3550" i="1"/>
  <c r="T3596" i="1"/>
  <c r="T3599" i="1"/>
  <c r="T3602" i="1"/>
  <c r="T3605" i="1"/>
  <c r="T3608" i="1"/>
  <c r="T3611" i="1"/>
  <c r="T3614" i="1"/>
  <c r="T3660" i="1"/>
  <c r="T3663" i="1"/>
  <c r="T3666" i="1"/>
  <c r="T3669" i="1"/>
  <c r="T3672" i="1"/>
  <c r="T3675" i="1"/>
  <c r="T3678" i="1"/>
  <c r="T3357" i="1"/>
  <c r="T3408" i="1"/>
  <c r="T3459" i="1"/>
  <c r="T3476" i="1"/>
  <c r="T3531" i="1"/>
  <c r="T3580" i="1"/>
  <c r="T3592" i="1"/>
  <c r="T3653" i="1"/>
  <c r="T3694" i="1"/>
  <c r="T3743" i="1"/>
  <c r="T3749" i="1"/>
  <c r="T3755" i="1"/>
  <c r="T3767" i="1"/>
  <c r="T3783" i="1"/>
  <c r="T3799" i="1"/>
  <c r="T3815" i="1"/>
  <c r="T3831" i="1"/>
  <c r="T3847" i="1"/>
  <c r="T3863" i="1"/>
  <c r="T3879" i="1"/>
  <c r="T3887" i="1"/>
  <c r="T3890" i="1"/>
  <c r="T3893" i="1"/>
  <c r="T3896" i="1"/>
  <c r="T3899" i="1"/>
  <c r="T3902" i="1"/>
  <c r="T3905" i="1"/>
  <c r="T3951" i="1"/>
  <c r="T3954" i="1"/>
  <c r="T3957" i="1"/>
  <c r="T3960" i="1"/>
  <c r="T3963" i="1"/>
  <c r="T3966" i="1"/>
  <c r="T3969" i="1"/>
  <c r="T4015" i="1"/>
  <c r="T4018" i="1"/>
  <c r="T4021" i="1"/>
  <c r="T4024" i="1"/>
  <c r="T4027" i="1"/>
  <c r="T4030" i="1"/>
  <c r="T4033" i="1"/>
  <c r="T4079" i="1"/>
  <c r="T4082" i="1"/>
  <c r="T4085" i="1"/>
  <c r="T4088" i="1"/>
  <c r="T4091" i="1"/>
  <c r="T4094" i="1"/>
  <c r="T4097" i="1"/>
  <c r="T4143" i="1"/>
  <c r="T4146" i="1"/>
  <c r="T4149" i="1"/>
  <c r="T4152" i="1"/>
  <c r="T4155" i="1"/>
  <c r="T4158" i="1"/>
  <c r="T4161" i="1"/>
  <c r="T4207" i="1"/>
  <c r="T4210" i="1"/>
  <c r="T4213" i="1"/>
  <c r="T4216" i="1"/>
  <c r="T4219" i="1"/>
  <c r="T4222" i="1"/>
  <c r="T4225" i="1"/>
  <c r="T4233" i="1"/>
  <c r="T4241" i="1"/>
  <c r="T4249" i="1"/>
  <c r="T4257" i="1"/>
  <c r="T4265" i="1"/>
  <c r="T4273" i="1"/>
  <c r="T4281" i="1"/>
  <c r="T4289" i="1"/>
  <c r="T4297" i="1"/>
  <c r="T4305" i="1"/>
  <c r="T4313" i="1"/>
  <c r="T4321" i="1"/>
  <c r="T4329" i="1"/>
  <c r="T4337" i="1"/>
  <c r="T4345" i="1"/>
  <c r="T4353" i="1"/>
  <c r="T4361" i="1"/>
  <c r="T4369" i="1"/>
  <c r="T4377" i="1"/>
  <c r="T4385" i="1"/>
  <c r="T4393" i="1"/>
  <c r="T4401" i="1"/>
  <c r="T4409" i="1"/>
  <c r="T4417" i="1"/>
  <c r="T4425" i="1"/>
  <c r="T4433" i="1"/>
  <c r="T4441" i="1"/>
  <c r="T4449" i="1"/>
  <c r="T4457" i="1"/>
  <c r="T4465" i="1"/>
  <c r="T4473" i="1"/>
  <c r="T4481" i="1"/>
  <c r="T4489" i="1"/>
  <c r="T4497" i="1"/>
  <c r="T4505" i="1"/>
  <c r="T4513" i="1"/>
  <c r="T3323" i="1"/>
  <c r="T3340" i="1"/>
  <c r="T3374" i="1"/>
  <c r="T3556" i="1"/>
  <c r="T3568" i="1"/>
  <c r="T3629" i="1"/>
  <c r="T3708" i="1"/>
  <c r="T3714" i="1"/>
  <c r="T3720" i="1"/>
  <c r="T3726" i="1"/>
  <c r="T3779" i="1"/>
  <c r="T3795" i="1"/>
  <c r="T3811" i="1"/>
  <c r="T3827" i="1"/>
  <c r="T3843" i="1"/>
  <c r="T3859" i="1"/>
  <c r="T3875" i="1"/>
  <c r="T3927" i="1"/>
  <c r="T3930" i="1"/>
  <c r="T3933" i="1"/>
  <c r="T3936" i="1"/>
  <c r="T3939" i="1"/>
  <c r="T3942" i="1"/>
  <c r="T3945" i="1"/>
  <c r="T3991" i="1"/>
  <c r="T3994" i="1"/>
  <c r="T3997" i="1"/>
  <c r="T4000" i="1"/>
  <c r="T4003" i="1"/>
  <c r="T4006" i="1"/>
  <c r="T4009" i="1"/>
  <c r="T4055" i="1"/>
  <c r="T4058" i="1"/>
  <c r="T4061" i="1"/>
  <c r="T4064" i="1"/>
  <c r="T4067" i="1"/>
  <c r="T4070" i="1"/>
  <c r="T4073" i="1"/>
  <c r="T4119" i="1"/>
  <c r="T4122" i="1"/>
  <c r="T4125" i="1"/>
  <c r="T4128" i="1"/>
  <c r="T4131" i="1"/>
  <c r="T4134" i="1"/>
  <c r="T4137" i="1"/>
  <c r="T4183" i="1"/>
  <c r="T4186" i="1"/>
  <c r="T4189" i="1"/>
  <c r="T4192" i="1"/>
  <c r="T4195" i="1"/>
  <c r="T4198" i="1"/>
  <c r="T4201" i="1"/>
  <c r="T4228" i="1"/>
  <c r="T4236" i="1"/>
  <c r="T4244" i="1"/>
  <c r="T4252" i="1"/>
  <c r="T4260" i="1"/>
  <c r="T4268" i="1"/>
  <c r="T4276" i="1"/>
  <c r="T4284" i="1"/>
  <c r="T4292" i="1"/>
  <c r="T4300" i="1"/>
  <c r="T4308" i="1"/>
  <c r="T4316" i="1"/>
  <c r="T4324" i="1"/>
  <c r="T4332" i="1"/>
  <c r="T4340" i="1"/>
  <c r="T4348" i="1"/>
  <c r="T4356" i="1"/>
  <c r="T4364" i="1"/>
  <c r="T4372" i="1"/>
  <c r="T4380" i="1"/>
  <c r="T4388" i="1"/>
  <c r="T4396" i="1"/>
  <c r="T4404" i="1"/>
  <c r="T4412" i="1"/>
  <c r="T4420" i="1"/>
  <c r="T4428" i="1"/>
  <c r="T4436" i="1"/>
  <c r="T4444" i="1"/>
  <c r="T4452" i="1"/>
  <c r="T4460" i="1"/>
  <c r="T4468" i="1"/>
  <c r="T4476" i="1"/>
  <c r="T4484" i="1"/>
  <c r="T4492" i="1"/>
  <c r="T4500" i="1"/>
  <c r="T4508" i="1"/>
  <c r="T3344" i="1"/>
  <c r="T3395" i="1"/>
  <c r="T3412" i="1"/>
  <c r="T3446" i="1"/>
  <c r="T3508" i="1"/>
  <c r="T3522" i="1"/>
  <c r="T3534" i="1"/>
  <c r="T3583" i="1"/>
  <c r="T3595" i="1"/>
  <c r="T3644" i="1"/>
  <c r="T3656" i="1"/>
  <c r="T3690" i="1"/>
  <c r="T3696" i="1"/>
  <c r="T3702" i="1"/>
  <c r="T3751" i="1"/>
  <c r="T3757" i="1"/>
  <c r="T3763" i="1"/>
  <c r="T3774" i="1"/>
  <c r="T3790" i="1"/>
  <c r="T3806" i="1"/>
  <c r="T3822" i="1"/>
  <c r="T3838" i="1"/>
  <c r="T3854" i="1"/>
  <c r="T3870" i="1"/>
  <c r="T3903" i="1"/>
  <c r="T3906" i="1"/>
  <c r="T3909" i="1"/>
  <c r="T3912" i="1"/>
  <c r="T3915" i="1"/>
  <c r="T3918" i="1"/>
  <c r="T3921" i="1"/>
  <c r="T3967" i="1"/>
  <c r="T3970" i="1"/>
  <c r="T3973" i="1"/>
  <c r="T3976" i="1"/>
  <c r="T3979" i="1"/>
  <c r="T3982" i="1"/>
  <c r="T3985" i="1"/>
  <c r="T4031" i="1"/>
  <c r="T4034" i="1"/>
  <c r="T4037" i="1"/>
  <c r="T4040" i="1"/>
  <c r="T4043" i="1"/>
  <c r="T4046" i="1"/>
  <c r="T4049" i="1"/>
  <c r="T4095" i="1"/>
  <c r="T4098" i="1"/>
  <c r="T4101" i="1"/>
  <c r="T4104" i="1"/>
  <c r="T4107" i="1"/>
  <c r="T4110" i="1"/>
  <c r="T4113" i="1"/>
  <c r="T4159" i="1"/>
  <c r="T4162" i="1"/>
  <c r="T4165" i="1"/>
  <c r="T4168" i="1"/>
  <c r="T4171" i="1"/>
  <c r="T4174" i="1"/>
  <c r="T4177" i="1"/>
  <c r="T4223" i="1"/>
  <c r="T4231" i="1"/>
  <c r="T4239" i="1"/>
  <c r="T4247" i="1"/>
  <c r="T4255" i="1"/>
  <c r="T4263" i="1"/>
  <c r="T4271" i="1"/>
  <c r="T4279" i="1"/>
  <c r="T4287" i="1"/>
  <c r="T3413" i="1"/>
  <c r="T3464" i="1"/>
  <c r="T3480" i="1"/>
  <c r="T3494" i="1"/>
  <c r="T3559" i="1"/>
  <c r="T3571" i="1"/>
  <c r="T3620" i="1"/>
  <c r="T3632" i="1"/>
  <c r="T3727" i="1"/>
  <c r="T3733" i="1"/>
  <c r="T3739" i="1"/>
  <c r="T3769" i="1"/>
  <c r="T3785" i="1"/>
  <c r="T3801" i="1"/>
  <c r="T3817" i="1"/>
  <c r="T3833" i="1"/>
  <c r="T3849" i="1"/>
  <c r="T3865" i="1"/>
  <c r="T3881" i="1"/>
  <c r="T3885" i="1"/>
  <c r="T3888" i="1"/>
  <c r="T3891" i="1"/>
  <c r="T3894" i="1"/>
  <c r="T3897" i="1"/>
  <c r="T3943" i="1"/>
  <c r="T3946" i="1"/>
  <c r="T3949" i="1"/>
  <c r="T3952" i="1"/>
  <c r="T3955" i="1"/>
  <c r="T3958" i="1"/>
  <c r="T3961" i="1"/>
  <c r="T4007" i="1"/>
  <c r="T4010" i="1"/>
  <c r="T4013" i="1"/>
  <c r="T4016" i="1"/>
  <c r="T4019" i="1"/>
  <c r="T4022" i="1"/>
  <c r="T4025" i="1"/>
  <c r="T4071" i="1"/>
  <c r="T4074" i="1"/>
  <c r="T4077" i="1"/>
  <c r="T4080" i="1"/>
  <c r="T4083" i="1"/>
  <c r="T4086" i="1"/>
  <c r="T4089" i="1"/>
  <c r="T4135" i="1"/>
  <c r="T4138" i="1"/>
  <c r="T4141" i="1"/>
  <c r="T4144" i="1"/>
  <c r="T4147" i="1"/>
  <c r="T4150" i="1"/>
  <c r="T4153" i="1"/>
  <c r="T4199" i="1"/>
  <c r="T4202" i="1"/>
  <c r="T4205" i="1"/>
  <c r="T4208" i="1"/>
  <c r="T4211" i="1"/>
  <c r="T4214" i="1"/>
  <c r="T4217" i="1"/>
  <c r="T4226" i="1"/>
  <c r="T4234" i="1"/>
  <c r="T4242" i="1"/>
  <c r="T4250" i="1"/>
  <c r="T4258" i="1"/>
  <c r="T4266" i="1"/>
  <c r="T4274" i="1"/>
  <c r="T4282" i="1"/>
  <c r="T3331" i="1"/>
  <c r="T3348" i="1"/>
  <c r="T3382" i="1"/>
  <c r="T3483" i="1"/>
  <c r="T3525" i="1"/>
  <c r="T3586" i="1"/>
  <c r="T3598" i="1"/>
  <c r="T3647" i="1"/>
  <c r="T3659" i="1"/>
  <c r="T3691" i="1"/>
  <c r="T3740" i="1"/>
  <c r="T3746" i="1"/>
  <c r="T3752" i="1"/>
  <c r="T3758" i="1"/>
  <c r="T3775" i="1"/>
  <c r="T3791" i="1"/>
  <c r="T3807" i="1"/>
  <c r="T3823" i="1"/>
  <c r="T3839" i="1"/>
  <c r="T3855" i="1"/>
  <c r="T3871" i="1"/>
  <c r="T3919" i="1"/>
  <c r="T3922" i="1"/>
  <c r="T3925" i="1"/>
  <c r="T3928" i="1"/>
  <c r="T3931" i="1"/>
  <c r="T3934" i="1"/>
  <c r="T3937" i="1"/>
  <c r="T3983" i="1"/>
  <c r="T3986" i="1"/>
  <c r="T3989" i="1"/>
  <c r="T3992" i="1"/>
  <c r="T3995" i="1"/>
  <c r="T3998" i="1"/>
  <c r="T4001" i="1"/>
  <c r="T4047" i="1"/>
  <c r="T4050" i="1"/>
  <c r="T4053" i="1"/>
  <c r="T4056" i="1"/>
  <c r="T4059" i="1"/>
  <c r="T4062" i="1"/>
  <c r="T4065" i="1"/>
  <c r="T4111" i="1"/>
  <c r="T4114" i="1"/>
  <c r="T4117" i="1"/>
  <c r="T4120" i="1"/>
  <c r="T4123" i="1"/>
  <c r="T4126" i="1"/>
  <c r="T4129" i="1"/>
  <c r="T4175" i="1"/>
  <c r="T4178" i="1"/>
  <c r="T4181" i="1"/>
  <c r="T4184" i="1"/>
  <c r="T4187" i="1"/>
  <c r="T4190" i="1"/>
  <c r="T4193" i="1"/>
  <c r="T4229" i="1"/>
  <c r="T4237" i="1"/>
  <c r="T4245" i="1"/>
  <c r="T4253" i="1"/>
  <c r="T4261" i="1"/>
  <c r="T4269" i="1"/>
  <c r="T4277" i="1"/>
  <c r="T4285" i="1"/>
  <c r="T4293" i="1"/>
  <c r="T3349" i="1"/>
  <c r="T3400" i="1"/>
  <c r="T3451" i="1"/>
  <c r="T3468" i="1"/>
  <c r="T3498" i="1"/>
  <c r="T3512" i="1"/>
  <c r="T3562" i="1"/>
  <c r="T3574" i="1"/>
  <c r="T3623" i="1"/>
  <c r="T3635" i="1"/>
  <c r="T3684" i="1"/>
  <c r="T3711" i="1"/>
  <c r="T3717" i="1"/>
  <c r="T3723" i="1"/>
  <c r="T3421" i="1"/>
  <c r="T3472" i="1"/>
  <c r="T3501" i="1"/>
  <c r="T3515" i="1"/>
  <c r="T3528" i="1"/>
  <c r="T3589" i="1"/>
  <c r="T3650" i="1"/>
  <c r="T3662" i="1"/>
  <c r="T3693" i="1"/>
  <c r="T3699" i="1"/>
  <c r="T3748" i="1"/>
  <c r="T3754" i="1"/>
  <c r="T3760" i="1"/>
  <c r="T3766" i="1"/>
  <c r="T3782" i="1"/>
  <c r="T3798" i="1"/>
  <c r="T3814" i="1"/>
  <c r="T3830" i="1"/>
  <c r="T3846" i="1"/>
  <c r="T3862" i="1"/>
  <c r="T3878" i="1"/>
  <c r="T3886" i="1"/>
  <c r="T3889" i="1"/>
  <c r="T3935" i="1"/>
  <c r="T3938" i="1"/>
  <c r="T3941" i="1"/>
  <c r="T3944" i="1"/>
  <c r="T3947" i="1"/>
  <c r="T3950" i="1"/>
  <c r="T3953" i="1"/>
  <c r="T3999" i="1"/>
  <c r="T4002" i="1"/>
  <c r="T4005" i="1"/>
  <c r="T4008" i="1"/>
  <c r="T4011" i="1"/>
  <c r="T4014" i="1"/>
  <c r="T4017" i="1"/>
  <c r="T4063" i="1"/>
  <c r="T4066" i="1"/>
  <c r="T4069" i="1"/>
  <c r="T4072" i="1"/>
  <c r="T4075" i="1"/>
  <c r="T4078" i="1"/>
  <c r="T4081" i="1"/>
  <c r="T4127" i="1"/>
  <c r="T4130" i="1"/>
  <c r="T4133" i="1"/>
  <c r="T4136" i="1"/>
  <c r="T4139" i="1"/>
  <c r="T4142" i="1"/>
  <c r="T4145" i="1"/>
  <c r="T4191" i="1"/>
  <c r="T4194" i="1"/>
  <c r="T4197" i="1"/>
  <c r="T4200" i="1"/>
  <c r="T4203" i="1"/>
  <c r="T4206" i="1"/>
  <c r="T4209" i="1"/>
  <c r="T3336" i="1"/>
  <c r="T3730" i="1"/>
  <c r="T3809" i="1"/>
  <c r="T3873" i="1"/>
  <c r="T3914" i="1"/>
  <c r="T3926" i="1"/>
  <c r="T3975" i="1"/>
  <c r="T3987" i="1"/>
  <c r="T4048" i="1"/>
  <c r="T4109" i="1"/>
  <c r="T4121" i="1"/>
  <c r="T4170" i="1"/>
  <c r="T4182" i="1"/>
  <c r="T4248" i="1"/>
  <c r="T4254" i="1"/>
  <c r="T4283" i="1"/>
  <c r="T4298" i="1"/>
  <c r="T4312" i="1"/>
  <c r="T4326" i="1"/>
  <c r="T4330" i="1"/>
  <c r="T4344" i="1"/>
  <c r="T4358" i="1"/>
  <c r="T4362" i="1"/>
  <c r="T4376" i="1"/>
  <c r="T4390" i="1"/>
  <c r="T4394" i="1"/>
  <c r="T4408" i="1"/>
  <c r="T4422" i="1"/>
  <c r="T4426" i="1"/>
  <c r="T4440" i="1"/>
  <c r="T4454" i="1"/>
  <c r="T4458" i="1"/>
  <c r="T4472" i="1"/>
  <c r="T4486" i="1"/>
  <c r="T4490" i="1"/>
  <c r="T4504" i="1"/>
  <c r="T4526" i="1"/>
  <c r="T4534" i="1"/>
  <c r="T4542" i="1"/>
  <c r="T4550" i="1"/>
  <c r="T4558" i="1"/>
  <c r="T4566" i="1"/>
  <c r="T4574" i="1"/>
  <c r="T4582" i="1"/>
  <c r="T4590" i="1"/>
  <c r="T4598" i="1"/>
  <c r="T4606" i="1"/>
  <c r="T4614" i="1"/>
  <c r="T4622" i="1"/>
  <c r="T4630" i="1"/>
  <c r="T4638" i="1"/>
  <c r="T4646" i="1"/>
  <c r="T4654" i="1"/>
  <c r="T4662" i="1"/>
  <c r="T4670" i="1"/>
  <c r="T4678" i="1"/>
  <c r="T4686" i="1"/>
  <c r="T4694" i="1"/>
  <c r="T4702" i="1"/>
  <c r="T4710" i="1"/>
  <c r="T4718" i="1"/>
  <c r="T4726" i="1"/>
  <c r="T4734" i="1"/>
  <c r="T4742" i="1"/>
  <c r="T4750" i="1"/>
  <c r="T4758" i="1"/>
  <c r="T4766" i="1"/>
  <c r="T4774" i="1"/>
  <c r="T4782" i="1"/>
  <c r="T4790" i="1"/>
  <c r="T4798" i="1"/>
  <c r="T4806" i="1"/>
  <c r="T4814" i="1"/>
  <c r="T4822" i="1"/>
  <c r="T4830" i="1"/>
  <c r="T4838" i="1"/>
  <c r="T4846" i="1"/>
  <c r="T4854" i="1"/>
  <c r="T4862" i="1"/>
  <c r="T4870" i="1"/>
  <c r="T4878" i="1"/>
  <c r="T4886" i="1"/>
  <c r="T4894" i="1"/>
  <c r="T4902" i="1"/>
  <c r="T4910" i="1"/>
  <c r="T4918" i="1"/>
  <c r="T4926" i="1"/>
  <c r="T4934" i="1"/>
  <c r="T4942" i="1"/>
  <c r="T4950" i="1"/>
  <c r="T4958" i="1"/>
  <c r="T4966" i="1"/>
  <c r="T4974" i="1"/>
  <c r="T4982" i="1"/>
  <c r="T4990" i="1"/>
  <c r="T4998" i="1"/>
  <c r="T5006" i="1"/>
  <c r="T5014" i="1"/>
  <c r="T5022" i="1"/>
  <c r="T5030" i="1"/>
  <c r="T5038" i="1"/>
  <c r="T5046" i="1"/>
  <c r="T5054" i="1"/>
  <c r="T5062" i="1"/>
  <c r="T5070" i="1"/>
  <c r="T5078" i="1"/>
  <c r="T5086" i="1"/>
  <c r="T5094" i="1"/>
  <c r="T5102" i="1"/>
  <c r="T5110" i="1"/>
  <c r="T5118" i="1"/>
  <c r="T5126" i="1"/>
  <c r="T5134" i="1"/>
  <c r="T5142" i="1"/>
  <c r="T5150" i="1"/>
  <c r="T5158" i="1"/>
  <c r="T5166" i="1"/>
  <c r="T5174" i="1"/>
  <c r="T5182" i="1"/>
  <c r="T5190" i="1"/>
  <c r="T5198" i="1"/>
  <c r="T5206" i="1"/>
  <c r="T5214" i="1"/>
  <c r="T5222" i="1"/>
  <c r="T5230" i="1"/>
  <c r="T5238" i="1"/>
  <c r="T5246" i="1"/>
  <c r="T5254" i="1"/>
  <c r="T5262" i="1"/>
  <c r="T5270" i="1"/>
  <c r="T5278" i="1"/>
  <c r="T5286" i="1"/>
  <c r="T5294" i="1"/>
  <c r="T5302" i="1"/>
  <c r="T5310" i="1"/>
  <c r="T5318" i="1"/>
  <c r="T5326" i="1"/>
  <c r="T5334" i="1"/>
  <c r="T5342" i="1"/>
  <c r="T5350" i="1"/>
  <c r="T5358" i="1"/>
  <c r="T5366" i="1"/>
  <c r="T5374" i="1"/>
  <c r="T5382" i="1"/>
  <c r="T5390" i="1"/>
  <c r="T5398" i="1"/>
  <c r="T5406" i="1"/>
  <c r="T5414" i="1"/>
  <c r="T5422" i="1"/>
  <c r="T5430" i="1"/>
  <c r="T5438" i="1"/>
  <c r="T5446" i="1"/>
  <c r="T5454" i="1"/>
  <c r="T5462" i="1"/>
  <c r="T5470" i="1"/>
  <c r="T5478" i="1"/>
  <c r="T5486" i="1"/>
  <c r="T5494" i="1"/>
  <c r="T5502" i="1"/>
  <c r="T3687" i="1"/>
  <c r="T3736" i="1"/>
  <c r="T3771" i="1"/>
  <c r="T3835" i="1"/>
  <c r="T3904" i="1"/>
  <c r="T3965" i="1"/>
  <c r="T3977" i="1"/>
  <c r="T4026" i="1"/>
  <c r="T4038" i="1"/>
  <c r="T4087" i="1"/>
  <c r="T4099" i="1"/>
  <c r="T4160" i="1"/>
  <c r="T4227" i="1"/>
  <c r="T4256" i="1"/>
  <c r="T4262" i="1"/>
  <c r="T4290" i="1"/>
  <c r="T4294" i="1"/>
  <c r="T4309" i="1"/>
  <c r="T4323" i="1"/>
  <c r="T4327" i="1"/>
  <c r="T4341" i="1"/>
  <c r="T4355" i="1"/>
  <c r="T4359" i="1"/>
  <c r="T4373" i="1"/>
  <c r="T4387" i="1"/>
  <c r="T4391" i="1"/>
  <c r="T4405" i="1"/>
  <c r="T4419" i="1"/>
  <c r="T4423" i="1"/>
  <c r="T4437" i="1"/>
  <c r="T4451" i="1"/>
  <c r="T4455" i="1"/>
  <c r="T4469" i="1"/>
  <c r="T4483" i="1"/>
  <c r="T4487" i="1"/>
  <c r="T4501" i="1"/>
  <c r="T4515" i="1"/>
  <c r="T4518" i="1"/>
  <c r="T4521" i="1"/>
  <c r="T4529" i="1"/>
  <c r="T4537" i="1"/>
  <c r="T4545" i="1"/>
  <c r="T4553" i="1"/>
  <c r="T4561" i="1"/>
  <c r="T4569" i="1"/>
  <c r="T4577" i="1"/>
  <c r="T4585" i="1"/>
  <c r="T4593" i="1"/>
  <c r="T4601" i="1"/>
  <c r="T4609" i="1"/>
  <c r="T4617" i="1"/>
  <c r="T4625" i="1"/>
  <c r="T4633" i="1"/>
  <c r="T4641" i="1"/>
  <c r="T4649" i="1"/>
  <c r="T4657" i="1"/>
  <c r="T4665" i="1"/>
  <c r="T4673" i="1"/>
  <c r="T4681" i="1"/>
  <c r="T4689" i="1"/>
  <c r="T4697" i="1"/>
  <c r="T4705" i="1"/>
  <c r="T4713" i="1"/>
  <c r="T4721" i="1"/>
  <c r="T4729" i="1"/>
  <c r="T4737" i="1"/>
  <c r="T4745" i="1"/>
  <c r="T4753" i="1"/>
  <c r="T4761" i="1"/>
  <c r="T4769" i="1"/>
  <c r="T4777" i="1"/>
  <c r="T4785" i="1"/>
  <c r="T4793" i="1"/>
  <c r="T4801" i="1"/>
  <c r="T4809" i="1"/>
  <c r="T4817" i="1"/>
  <c r="T4825" i="1"/>
  <c r="T4833" i="1"/>
  <c r="T4841" i="1"/>
  <c r="T4849" i="1"/>
  <c r="T4857" i="1"/>
  <c r="T4865" i="1"/>
  <c r="T4873" i="1"/>
  <c r="T4881" i="1"/>
  <c r="T4889" i="1"/>
  <c r="T4897" i="1"/>
  <c r="T4905" i="1"/>
  <c r="T3742" i="1"/>
  <c r="T3793" i="1"/>
  <c r="T3857" i="1"/>
  <c r="T3917" i="1"/>
  <c r="T3929" i="1"/>
  <c r="T3978" i="1"/>
  <c r="T3990" i="1"/>
  <c r="T4039" i="1"/>
  <c r="T4051" i="1"/>
  <c r="T4112" i="1"/>
  <c r="T4173" i="1"/>
  <c r="T4185" i="1"/>
  <c r="T4221" i="1"/>
  <c r="T4235" i="1"/>
  <c r="T4264" i="1"/>
  <c r="T4270" i="1"/>
  <c r="T4295" i="1"/>
  <c r="T4302" i="1"/>
  <c r="T4306" i="1"/>
  <c r="T4320" i="1"/>
  <c r="T4334" i="1"/>
  <c r="T4338" i="1"/>
  <c r="T4352" i="1"/>
  <c r="T4366" i="1"/>
  <c r="T4370" i="1"/>
  <c r="T4384" i="1"/>
  <c r="T4398" i="1"/>
  <c r="T4402" i="1"/>
  <c r="T4416" i="1"/>
  <c r="T4430" i="1"/>
  <c r="T4434" i="1"/>
  <c r="T4448" i="1"/>
  <c r="T4462" i="1"/>
  <c r="T4466" i="1"/>
  <c r="T4480" i="1"/>
  <c r="T4494" i="1"/>
  <c r="T4498" i="1"/>
  <c r="T4512" i="1"/>
  <c r="T4524" i="1"/>
  <c r="T4532" i="1"/>
  <c r="T4540" i="1"/>
  <c r="T4548" i="1"/>
  <c r="T4556" i="1"/>
  <c r="T4564" i="1"/>
  <c r="T4572" i="1"/>
  <c r="T4580" i="1"/>
  <c r="T4588" i="1"/>
  <c r="T4596" i="1"/>
  <c r="T4604" i="1"/>
  <c r="T4612" i="1"/>
  <c r="T4620" i="1"/>
  <c r="T4628" i="1"/>
  <c r="T4636" i="1"/>
  <c r="T4644" i="1"/>
  <c r="T4652" i="1"/>
  <c r="T4660" i="1"/>
  <c r="T4668" i="1"/>
  <c r="T4676" i="1"/>
  <c r="T4684" i="1"/>
  <c r="T4692" i="1"/>
  <c r="T4700" i="1"/>
  <c r="T4708" i="1"/>
  <c r="T4716" i="1"/>
  <c r="T4724" i="1"/>
  <c r="T4732" i="1"/>
  <c r="T4740" i="1"/>
  <c r="T4748" i="1"/>
  <c r="T4756" i="1"/>
  <c r="T4764" i="1"/>
  <c r="T4772" i="1"/>
  <c r="T4780" i="1"/>
  <c r="T4788" i="1"/>
  <c r="T4796" i="1"/>
  <c r="T4804" i="1"/>
  <c r="T4812" i="1"/>
  <c r="T4820" i="1"/>
  <c r="T4828" i="1"/>
  <c r="T4836" i="1"/>
  <c r="T4844" i="1"/>
  <c r="T4852" i="1"/>
  <c r="T4860" i="1"/>
  <c r="T4868" i="1"/>
  <c r="T4876" i="1"/>
  <c r="T4884" i="1"/>
  <c r="T4892" i="1"/>
  <c r="T4900" i="1"/>
  <c r="T4908" i="1"/>
  <c r="T4916" i="1"/>
  <c r="T4924" i="1"/>
  <c r="T4932" i="1"/>
  <c r="T4940" i="1"/>
  <c r="T4948" i="1"/>
  <c r="T4956" i="1"/>
  <c r="T4964" i="1"/>
  <c r="T4972" i="1"/>
  <c r="T4980" i="1"/>
  <c r="T4988" i="1"/>
  <c r="T4996" i="1"/>
  <c r="T5004" i="1"/>
  <c r="T5012" i="1"/>
  <c r="T5020" i="1"/>
  <c r="T5028" i="1"/>
  <c r="T5036" i="1"/>
  <c r="T5044" i="1"/>
  <c r="T5052" i="1"/>
  <c r="T5060" i="1"/>
  <c r="T5068" i="1"/>
  <c r="T3387" i="1"/>
  <c r="T3819" i="1"/>
  <c r="T3895" i="1"/>
  <c r="T3907" i="1"/>
  <c r="T3968" i="1"/>
  <c r="T4029" i="1"/>
  <c r="T4041" i="1"/>
  <c r="T4090" i="1"/>
  <c r="T4102" i="1"/>
  <c r="T4151" i="1"/>
  <c r="T4163" i="1"/>
  <c r="T4243" i="1"/>
  <c r="T4272" i="1"/>
  <c r="T4278" i="1"/>
  <c r="T4291" i="1"/>
  <c r="T4299" i="1"/>
  <c r="T4303" i="1"/>
  <c r="T4317" i="1"/>
  <c r="T4331" i="1"/>
  <c r="T4335" i="1"/>
  <c r="T4349" i="1"/>
  <c r="T4363" i="1"/>
  <c r="T4367" i="1"/>
  <c r="T4381" i="1"/>
  <c r="T4395" i="1"/>
  <c r="T4399" i="1"/>
  <c r="T4413" i="1"/>
  <c r="T4427" i="1"/>
  <c r="T4431" i="1"/>
  <c r="T4445" i="1"/>
  <c r="T4459" i="1"/>
  <c r="T4463" i="1"/>
  <c r="T4477" i="1"/>
  <c r="T4491" i="1"/>
  <c r="T4495" i="1"/>
  <c r="T4509" i="1"/>
  <c r="T4516" i="1"/>
  <c r="T4519" i="1"/>
  <c r="T4527" i="1"/>
  <c r="T4535" i="1"/>
  <c r="T4543" i="1"/>
  <c r="T4551" i="1"/>
  <c r="T4559" i="1"/>
  <c r="T4567" i="1"/>
  <c r="T4575" i="1"/>
  <c r="T4583" i="1"/>
  <c r="T4591" i="1"/>
  <c r="T4599" i="1"/>
  <c r="T4607" i="1"/>
  <c r="T4615" i="1"/>
  <c r="T4623" i="1"/>
  <c r="T4631" i="1"/>
  <c r="T4639" i="1"/>
  <c r="T4647" i="1"/>
  <c r="T4655" i="1"/>
  <c r="T4663" i="1"/>
  <c r="T4671" i="1"/>
  <c r="T4679" i="1"/>
  <c r="T4687" i="1"/>
  <c r="T4695" i="1"/>
  <c r="T4703" i="1"/>
  <c r="T4711" i="1"/>
  <c r="T4719" i="1"/>
  <c r="T4727" i="1"/>
  <c r="T4735" i="1"/>
  <c r="T4743" i="1"/>
  <c r="T4751" i="1"/>
  <c r="T4759" i="1"/>
  <c r="T4767" i="1"/>
  <c r="T4775" i="1"/>
  <c r="T4783" i="1"/>
  <c r="T4791" i="1"/>
  <c r="T4799" i="1"/>
  <c r="T4807" i="1"/>
  <c r="T4815" i="1"/>
  <c r="T4823" i="1"/>
  <c r="T4831" i="1"/>
  <c r="T4839" i="1"/>
  <c r="T4847" i="1"/>
  <c r="T4855" i="1"/>
  <c r="T4863" i="1"/>
  <c r="T4871" i="1"/>
  <c r="T4879" i="1"/>
  <c r="T4887" i="1"/>
  <c r="T4895" i="1"/>
  <c r="T4903" i="1"/>
  <c r="T4911" i="1"/>
  <c r="T4919" i="1"/>
  <c r="T4927" i="1"/>
  <c r="T4935" i="1"/>
  <c r="T4943" i="1"/>
  <c r="T4951" i="1"/>
  <c r="T4959" i="1"/>
  <c r="T4967" i="1"/>
  <c r="T4975" i="1"/>
  <c r="T4983" i="1"/>
  <c r="T4991" i="1"/>
  <c r="T4999" i="1"/>
  <c r="T5007" i="1"/>
  <c r="T5015" i="1"/>
  <c r="T5023" i="1"/>
  <c r="T5031" i="1"/>
  <c r="T5039" i="1"/>
  <c r="T5047" i="1"/>
  <c r="T5055" i="1"/>
  <c r="T5063" i="1"/>
  <c r="T3404" i="1"/>
  <c r="T3626" i="1"/>
  <c r="T3777" i="1"/>
  <c r="T3841" i="1"/>
  <c r="T3883" i="1"/>
  <c r="T3920" i="1"/>
  <c r="T3981" i="1"/>
  <c r="T3993" i="1"/>
  <c r="T4042" i="1"/>
  <c r="T4054" i="1"/>
  <c r="T4103" i="1"/>
  <c r="T4115" i="1"/>
  <c r="T4176" i="1"/>
  <c r="T4251" i="1"/>
  <c r="T4280" i="1"/>
  <c r="T4286" i="1"/>
  <c r="T4296" i="1"/>
  <c r="T4310" i="1"/>
  <c r="T4314" i="1"/>
  <c r="T4328" i="1"/>
  <c r="T4342" i="1"/>
  <c r="T4346" i="1"/>
  <c r="T4360" i="1"/>
  <c r="T4374" i="1"/>
  <c r="T4378" i="1"/>
  <c r="T4392" i="1"/>
  <c r="T4406" i="1"/>
  <c r="T4410" i="1"/>
  <c r="T4424" i="1"/>
  <c r="T4438" i="1"/>
  <c r="T4442" i="1"/>
  <c r="T4456" i="1"/>
  <c r="T4470" i="1"/>
  <c r="T4474" i="1"/>
  <c r="T4488" i="1"/>
  <c r="T4502" i="1"/>
  <c r="T4506" i="1"/>
  <c r="T4522" i="1"/>
  <c r="T4530" i="1"/>
  <c r="T4538" i="1"/>
  <c r="T4546" i="1"/>
  <c r="T4554" i="1"/>
  <c r="T4562" i="1"/>
  <c r="T4570" i="1"/>
  <c r="T4578" i="1"/>
  <c r="T4586" i="1"/>
  <c r="T4594" i="1"/>
  <c r="T4602" i="1"/>
  <c r="T4610" i="1"/>
  <c r="T4618" i="1"/>
  <c r="T4626" i="1"/>
  <c r="T4634" i="1"/>
  <c r="T4642" i="1"/>
  <c r="T4650" i="1"/>
  <c r="T4658" i="1"/>
  <c r="T4666" i="1"/>
  <c r="T4674" i="1"/>
  <c r="T4682" i="1"/>
  <c r="T4690" i="1"/>
  <c r="T4698" i="1"/>
  <c r="T4706" i="1"/>
  <c r="T4714" i="1"/>
  <c r="T4722" i="1"/>
  <c r="T4730" i="1"/>
  <c r="T4738" i="1"/>
  <c r="T4746" i="1"/>
  <c r="T4754" i="1"/>
  <c r="T4762" i="1"/>
  <c r="T4770" i="1"/>
  <c r="T4778" i="1"/>
  <c r="T4786" i="1"/>
  <c r="T4794" i="1"/>
  <c r="T4802" i="1"/>
  <c r="T4810" i="1"/>
  <c r="T4818" i="1"/>
  <c r="T4826" i="1"/>
  <c r="T4834" i="1"/>
  <c r="T4842" i="1"/>
  <c r="T4850" i="1"/>
  <c r="T4858" i="1"/>
  <c r="T4866" i="1"/>
  <c r="T4874" i="1"/>
  <c r="T4882" i="1"/>
  <c r="T4890" i="1"/>
  <c r="T4898" i="1"/>
  <c r="T4906" i="1"/>
  <c r="T4914" i="1"/>
  <c r="T4922" i="1"/>
  <c r="T4930" i="1"/>
  <c r="T4938" i="1"/>
  <c r="T4946" i="1"/>
  <c r="T4954" i="1"/>
  <c r="T4962" i="1"/>
  <c r="T4970" i="1"/>
  <c r="T4978" i="1"/>
  <c r="T4986" i="1"/>
  <c r="T4994" i="1"/>
  <c r="T5002" i="1"/>
  <c r="T5010" i="1"/>
  <c r="T5018" i="1"/>
  <c r="T5026" i="1"/>
  <c r="T5034" i="1"/>
  <c r="T5042" i="1"/>
  <c r="T5050" i="1"/>
  <c r="T5058" i="1"/>
  <c r="T5066" i="1"/>
  <c r="T3638" i="1"/>
  <c r="T3803" i="1"/>
  <c r="T3867" i="1"/>
  <c r="T3898" i="1"/>
  <c r="T3910" i="1"/>
  <c r="T3959" i="1"/>
  <c r="T3971" i="1"/>
  <c r="T4032" i="1"/>
  <c r="T4093" i="1"/>
  <c r="T4105" i="1"/>
  <c r="T4154" i="1"/>
  <c r="T4166" i="1"/>
  <c r="T4215" i="1"/>
  <c r="T4224" i="1"/>
  <c r="T4230" i="1"/>
  <c r="T4259" i="1"/>
  <c r="T4288" i="1"/>
  <c r="T4307" i="1"/>
  <c r="T4311" i="1"/>
  <c r="T4325" i="1"/>
  <c r="T4339" i="1"/>
  <c r="T4343" i="1"/>
  <c r="T4357" i="1"/>
  <c r="T4371" i="1"/>
  <c r="T4375" i="1"/>
  <c r="T4389" i="1"/>
  <c r="T4403" i="1"/>
  <c r="T4407" i="1"/>
  <c r="T4421" i="1"/>
  <c r="T3438" i="1"/>
  <c r="T3825" i="1"/>
  <c r="T3911" i="1"/>
  <c r="T3923" i="1"/>
  <c r="T3984" i="1"/>
  <c r="T4045" i="1"/>
  <c r="T4057" i="1"/>
  <c r="T4106" i="1"/>
  <c r="T4118" i="1"/>
  <c r="T4167" i="1"/>
  <c r="T4179" i="1"/>
  <c r="T4232" i="1"/>
  <c r="T4238" i="1"/>
  <c r="T4267" i="1"/>
  <c r="T4304" i="1"/>
  <c r="T4318" i="1"/>
  <c r="T4322" i="1"/>
  <c r="T4336" i="1"/>
  <c r="T4350" i="1"/>
  <c r="T4354" i="1"/>
  <c r="T4368" i="1"/>
  <c r="T4382" i="1"/>
  <c r="T4386" i="1"/>
  <c r="T4400" i="1"/>
  <c r="T3565" i="1"/>
  <c r="T3724" i="1"/>
  <c r="T3787" i="1"/>
  <c r="T3851" i="1"/>
  <c r="T3901" i="1"/>
  <c r="T3913" i="1"/>
  <c r="T3962" i="1"/>
  <c r="T3974" i="1"/>
  <c r="T4023" i="1"/>
  <c r="T4035" i="1"/>
  <c r="T4096" i="1"/>
  <c r="T4157" i="1"/>
  <c r="T4169" i="1"/>
  <c r="T4218" i="1"/>
  <c r="T4240" i="1"/>
  <c r="T4246" i="1"/>
  <c r="T4275" i="1"/>
  <c r="T4301" i="1"/>
  <c r="T4315" i="1"/>
  <c r="T4319" i="1"/>
  <c r="T4333" i="1"/>
  <c r="T4347" i="1"/>
  <c r="T4351" i="1"/>
  <c r="T4365" i="1"/>
  <c r="T4379" i="1"/>
  <c r="T4383" i="1"/>
  <c r="T4397" i="1"/>
  <c r="T4411" i="1"/>
  <c r="T4415" i="1"/>
  <c r="T4429" i="1"/>
  <c r="T4443" i="1"/>
  <c r="T4447" i="1"/>
  <c r="T4461" i="1"/>
  <c r="T4475" i="1"/>
  <c r="T4479" i="1"/>
  <c r="T4493" i="1"/>
  <c r="T4507" i="1"/>
  <c r="T4511" i="1"/>
  <c r="T4523" i="1"/>
  <c r="T4531" i="1"/>
  <c r="T4539" i="1"/>
  <c r="T4547" i="1"/>
  <c r="T4555" i="1"/>
  <c r="T4563" i="1"/>
  <c r="T4571" i="1"/>
  <c r="T4579" i="1"/>
  <c r="T4587" i="1"/>
  <c r="T4595" i="1"/>
  <c r="T4603" i="1"/>
  <c r="T4611" i="1"/>
  <c r="T4619" i="1"/>
  <c r="T4627" i="1"/>
  <c r="T4635" i="1"/>
  <c r="T4643" i="1"/>
  <c r="T4651" i="1"/>
  <c r="T4659" i="1"/>
  <c r="T4667" i="1"/>
  <c r="T4675" i="1"/>
  <c r="T4683" i="1"/>
  <c r="T4691" i="1"/>
  <c r="T4699" i="1"/>
  <c r="T4707" i="1"/>
  <c r="T4715" i="1"/>
  <c r="T4723" i="1"/>
  <c r="T4731" i="1"/>
  <c r="T4739" i="1"/>
  <c r="T4747" i="1"/>
  <c r="T4755" i="1"/>
  <c r="T4763" i="1"/>
  <c r="T4771" i="1"/>
  <c r="T4779" i="1"/>
  <c r="T4787" i="1"/>
  <c r="T4795" i="1"/>
  <c r="T4803" i="1"/>
  <c r="T4811" i="1"/>
  <c r="T4819" i="1"/>
  <c r="T4827" i="1"/>
  <c r="T4835" i="1"/>
  <c r="T4843" i="1"/>
  <c r="T4851" i="1"/>
  <c r="T4859" i="1"/>
  <c r="T4867" i="1"/>
  <c r="T4875" i="1"/>
  <c r="T4883" i="1"/>
  <c r="T4891" i="1"/>
  <c r="T4899" i="1"/>
  <c r="T4907" i="1"/>
  <c r="T4915" i="1"/>
  <c r="T4923" i="1"/>
  <c r="T4931" i="1"/>
  <c r="T4414" i="1"/>
  <c r="T4432" i="1"/>
  <c r="T4446" i="1"/>
  <c r="T4517" i="1"/>
  <c r="T4528" i="1"/>
  <c r="T4560" i="1"/>
  <c r="T4592" i="1"/>
  <c r="T4624" i="1"/>
  <c r="T4656" i="1"/>
  <c r="T4688" i="1"/>
  <c r="T4720" i="1"/>
  <c r="T4752" i="1"/>
  <c r="T4784" i="1"/>
  <c r="T4816" i="1"/>
  <c r="T4848" i="1"/>
  <c r="T4880" i="1"/>
  <c r="T4925" i="1"/>
  <c r="T4944" i="1"/>
  <c r="T4960" i="1"/>
  <c r="T4976" i="1"/>
  <c r="T4992" i="1"/>
  <c r="T5008" i="1"/>
  <c r="T5024" i="1"/>
  <c r="T5040" i="1"/>
  <c r="T5056" i="1"/>
  <c r="T5074" i="1"/>
  <c r="T5077" i="1"/>
  <c r="T5080" i="1"/>
  <c r="T5083" i="1"/>
  <c r="T5129" i="1"/>
  <c r="T5132" i="1"/>
  <c r="T5135" i="1"/>
  <c r="T5138" i="1"/>
  <c r="T5141" i="1"/>
  <c r="T5144" i="1"/>
  <c r="T5147" i="1"/>
  <c r="T5193" i="1"/>
  <c r="T5196" i="1"/>
  <c r="T5199" i="1"/>
  <c r="T5202" i="1"/>
  <c r="T5205" i="1"/>
  <c r="T5208" i="1"/>
  <c r="T5211" i="1"/>
  <c r="T5257" i="1"/>
  <c r="T5260" i="1"/>
  <c r="T5263" i="1"/>
  <c r="T5266" i="1"/>
  <c r="T5269" i="1"/>
  <c r="T5272" i="1"/>
  <c r="T5275" i="1"/>
  <c r="T5321" i="1"/>
  <c r="T5324" i="1"/>
  <c r="T5327" i="1"/>
  <c r="T5330" i="1"/>
  <c r="T5333" i="1"/>
  <c r="T5336" i="1"/>
  <c r="T5339" i="1"/>
  <c r="T5385" i="1"/>
  <c r="T5388" i="1"/>
  <c r="T5391" i="1"/>
  <c r="T5394" i="1"/>
  <c r="T5397" i="1"/>
  <c r="T5400" i="1"/>
  <c r="T5403" i="1"/>
  <c r="T5449" i="1"/>
  <c r="T5452" i="1"/>
  <c r="T5455" i="1"/>
  <c r="T5458" i="1"/>
  <c r="T5461" i="1"/>
  <c r="T5464" i="1"/>
  <c r="T5467" i="1"/>
  <c r="T5509" i="1"/>
  <c r="T5517" i="1"/>
  <c r="T5525" i="1"/>
  <c r="T5533" i="1"/>
  <c r="T5541" i="1"/>
  <c r="T5549" i="1"/>
  <c r="T5557" i="1"/>
  <c r="T5565" i="1"/>
  <c r="T5573" i="1"/>
  <c r="T5581" i="1"/>
  <c r="T5589" i="1"/>
  <c r="T5597" i="1"/>
  <c r="T5605" i="1"/>
  <c r="T5613" i="1"/>
  <c r="T5621" i="1"/>
  <c r="T5629" i="1"/>
  <c r="T5637" i="1"/>
  <c r="T5645" i="1"/>
  <c r="T5653" i="1"/>
  <c r="T5661" i="1"/>
  <c r="T5669" i="1"/>
  <c r="T5677" i="1"/>
  <c r="T5685" i="1"/>
  <c r="T5693" i="1"/>
  <c r="T5701" i="1"/>
  <c r="T5709" i="1"/>
  <c r="T5717" i="1"/>
  <c r="T5725" i="1"/>
  <c r="T5733" i="1"/>
  <c r="T5741" i="1"/>
  <c r="T5749" i="1"/>
  <c r="T5757" i="1"/>
  <c r="T5765" i="1"/>
  <c r="T5773" i="1"/>
  <c r="T5781" i="1"/>
  <c r="T5789" i="1"/>
  <c r="T5797" i="1"/>
  <c r="T5805" i="1"/>
  <c r="T5813" i="1"/>
  <c r="T5821" i="1"/>
  <c r="T5829" i="1"/>
  <c r="T5837" i="1"/>
  <c r="T5845" i="1"/>
  <c r="T5853" i="1"/>
  <c r="T5861" i="1"/>
  <c r="T5869" i="1"/>
  <c r="T5877" i="1"/>
  <c r="T5885" i="1"/>
  <c r="T5893" i="1"/>
  <c r="T5901" i="1"/>
  <c r="T5909" i="1"/>
  <c r="T5917" i="1"/>
  <c r="T5925" i="1"/>
  <c r="T5933" i="1"/>
  <c r="T5941" i="1"/>
  <c r="T5949" i="1"/>
  <c r="T5957" i="1"/>
  <c r="T5965" i="1"/>
  <c r="T5973" i="1"/>
  <c r="T5981" i="1"/>
  <c r="T5989" i="1"/>
  <c r="T5997" i="1"/>
  <c r="T6005" i="1"/>
  <c r="T6013" i="1"/>
  <c r="T6021" i="1"/>
  <c r="T6029" i="1"/>
  <c r="T6037" i="1"/>
  <c r="T6045" i="1"/>
  <c r="T6053" i="1"/>
  <c r="T6061" i="1"/>
  <c r="T6069" i="1"/>
  <c r="T6077" i="1"/>
  <c r="T6085" i="1"/>
  <c r="T4418" i="1"/>
  <c r="T4435" i="1"/>
  <c r="T4541" i="1"/>
  <c r="T4573" i="1"/>
  <c r="T4605" i="1"/>
  <c r="T4637" i="1"/>
  <c r="T4669" i="1"/>
  <c r="T4701" i="1"/>
  <c r="T4733" i="1"/>
  <c r="T4765" i="1"/>
  <c r="T4797" i="1"/>
  <c r="T4829" i="1"/>
  <c r="T4861" i="1"/>
  <c r="T4893" i="1"/>
  <c r="T4933" i="1"/>
  <c r="T4939" i="1"/>
  <c r="T4955" i="1"/>
  <c r="T4971" i="1"/>
  <c r="T4987" i="1"/>
  <c r="T5003" i="1"/>
  <c r="T5019" i="1"/>
  <c r="T5035" i="1"/>
  <c r="T5051" i="1"/>
  <c r="T5067" i="1"/>
  <c r="T5071" i="1"/>
  <c r="T5105" i="1"/>
  <c r="T5108" i="1"/>
  <c r="T5111" i="1"/>
  <c r="T5114" i="1"/>
  <c r="T5117" i="1"/>
  <c r="T5120" i="1"/>
  <c r="T5123" i="1"/>
  <c r="T5169" i="1"/>
  <c r="T5172" i="1"/>
  <c r="T5175" i="1"/>
  <c r="T5178" i="1"/>
  <c r="T5181" i="1"/>
  <c r="T5184" i="1"/>
  <c r="T5187" i="1"/>
  <c r="T5233" i="1"/>
  <c r="T5236" i="1"/>
  <c r="T5239" i="1"/>
  <c r="T5242" i="1"/>
  <c r="T5245" i="1"/>
  <c r="T5248" i="1"/>
  <c r="T5251" i="1"/>
  <c r="T5297" i="1"/>
  <c r="T5300" i="1"/>
  <c r="T5303" i="1"/>
  <c r="T5306" i="1"/>
  <c r="T5309" i="1"/>
  <c r="T5312" i="1"/>
  <c r="T5315" i="1"/>
  <c r="T5361" i="1"/>
  <c r="T5364" i="1"/>
  <c r="T5367" i="1"/>
  <c r="T5370" i="1"/>
  <c r="T5373" i="1"/>
  <c r="T5376" i="1"/>
  <c r="T5379" i="1"/>
  <c r="T5425" i="1"/>
  <c r="T5428" i="1"/>
  <c r="T5431" i="1"/>
  <c r="T5434" i="1"/>
  <c r="T5437" i="1"/>
  <c r="T5440" i="1"/>
  <c r="T5443" i="1"/>
  <c r="T5489" i="1"/>
  <c r="T5492" i="1"/>
  <c r="T5495" i="1"/>
  <c r="T5498" i="1"/>
  <c r="T5501" i="1"/>
  <c r="T5504" i="1"/>
  <c r="T4450" i="1"/>
  <c r="T4464" i="1"/>
  <c r="T4478" i="1"/>
  <c r="T4520" i="1"/>
  <c r="T4552" i="1"/>
  <c r="T4584" i="1"/>
  <c r="T4616" i="1"/>
  <c r="T4648" i="1"/>
  <c r="T4680" i="1"/>
  <c r="T4712" i="1"/>
  <c r="T4744" i="1"/>
  <c r="T4776" i="1"/>
  <c r="T4808" i="1"/>
  <c r="T4840" i="1"/>
  <c r="T4872" i="1"/>
  <c r="T4904" i="1"/>
  <c r="T4912" i="1"/>
  <c r="T4945" i="1"/>
  <c r="T4961" i="1"/>
  <c r="T4977" i="1"/>
  <c r="T4993" i="1"/>
  <c r="T5009" i="1"/>
  <c r="T5025" i="1"/>
  <c r="T5041" i="1"/>
  <c r="T5057" i="1"/>
  <c r="T5081" i="1"/>
  <c r="T5084" i="1"/>
  <c r="T5087" i="1"/>
  <c r="T5090" i="1"/>
  <c r="T5093" i="1"/>
  <c r="T5096" i="1"/>
  <c r="T5099" i="1"/>
  <c r="T5145" i="1"/>
  <c r="T5148" i="1"/>
  <c r="T5151" i="1"/>
  <c r="T5154" i="1"/>
  <c r="T5157" i="1"/>
  <c r="T5160" i="1"/>
  <c r="T5163" i="1"/>
  <c r="T5209" i="1"/>
  <c r="T5212" i="1"/>
  <c r="T5215" i="1"/>
  <c r="T5218" i="1"/>
  <c r="T5221" i="1"/>
  <c r="T5224" i="1"/>
  <c r="T5227" i="1"/>
  <c r="T5273" i="1"/>
  <c r="T5276" i="1"/>
  <c r="T5279" i="1"/>
  <c r="T5282" i="1"/>
  <c r="T5285" i="1"/>
  <c r="T5288" i="1"/>
  <c r="T5291" i="1"/>
  <c r="T5337" i="1"/>
  <c r="T5340" i="1"/>
  <c r="T5343" i="1"/>
  <c r="T5346" i="1"/>
  <c r="T5349" i="1"/>
  <c r="T5352" i="1"/>
  <c r="T5355" i="1"/>
  <c r="T5401" i="1"/>
  <c r="T5404" i="1"/>
  <c r="T5407" i="1"/>
  <c r="T5410" i="1"/>
  <c r="T5413" i="1"/>
  <c r="T5416" i="1"/>
  <c r="T5419" i="1"/>
  <c r="T5465" i="1"/>
  <c r="T5468" i="1"/>
  <c r="T5471" i="1"/>
  <c r="T5474" i="1"/>
  <c r="T5477" i="1"/>
  <c r="T5480" i="1"/>
  <c r="T5483" i="1"/>
  <c r="T5507" i="1"/>
  <c r="T5515" i="1"/>
  <c r="T5523" i="1"/>
  <c r="T5531" i="1"/>
  <c r="T5539" i="1"/>
  <c r="T5547" i="1"/>
  <c r="T5555" i="1"/>
  <c r="T5563" i="1"/>
  <c r="T5571" i="1"/>
  <c r="T5579" i="1"/>
  <c r="T5587" i="1"/>
  <c r="T5595" i="1"/>
  <c r="T5603" i="1"/>
  <c r="T5611" i="1"/>
  <c r="T5619" i="1"/>
  <c r="T5627" i="1"/>
  <c r="T5635" i="1"/>
  <c r="T5643" i="1"/>
  <c r="T5651" i="1"/>
  <c r="T5659" i="1"/>
  <c r="T5667" i="1"/>
  <c r="T5675" i="1"/>
  <c r="T5683" i="1"/>
  <c r="T5691" i="1"/>
  <c r="T5699" i="1"/>
  <c r="T5707" i="1"/>
  <c r="T5715" i="1"/>
  <c r="T5723" i="1"/>
  <c r="T5731" i="1"/>
  <c r="T5739" i="1"/>
  <c r="T5747" i="1"/>
  <c r="T5755" i="1"/>
  <c r="T5763" i="1"/>
  <c r="T5771" i="1"/>
  <c r="T5779" i="1"/>
  <c r="T5787" i="1"/>
  <c r="T5795" i="1"/>
  <c r="T5803" i="1"/>
  <c r="T5811" i="1"/>
  <c r="T5819" i="1"/>
  <c r="T5827" i="1"/>
  <c r="T5835" i="1"/>
  <c r="T4439" i="1"/>
  <c r="T4453" i="1"/>
  <c r="T4467" i="1"/>
  <c r="T4533" i="1"/>
  <c r="T4565" i="1"/>
  <c r="T4597" i="1"/>
  <c r="T4629" i="1"/>
  <c r="T4661" i="1"/>
  <c r="T4693" i="1"/>
  <c r="T4725" i="1"/>
  <c r="T4757" i="1"/>
  <c r="T4789" i="1"/>
  <c r="T4821" i="1"/>
  <c r="T4853" i="1"/>
  <c r="T4885" i="1"/>
  <c r="T4913" i="1"/>
  <c r="T4920" i="1"/>
  <c r="T4941" i="1"/>
  <c r="T4957" i="1"/>
  <c r="T4973" i="1"/>
  <c r="T4989" i="1"/>
  <c r="T5005" i="1"/>
  <c r="T5021" i="1"/>
  <c r="T5037" i="1"/>
  <c r="T5053" i="1"/>
  <c r="T5072" i="1"/>
  <c r="T5075" i="1"/>
  <c r="T5121" i="1"/>
  <c r="T5124" i="1"/>
  <c r="T5127" i="1"/>
  <c r="T5130" i="1"/>
  <c r="T5133" i="1"/>
  <c r="T5136" i="1"/>
  <c r="T5139" i="1"/>
  <c r="T5185" i="1"/>
  <c r="T5188" i="1"/>
  <c r="T5191" i="1"/>
  <c r="T5194" i="1"/>
  <c r="T5197" i="1"/>
  <c r="T5200" i="1"/>
  <c r="T5203" i="1"/>
  <c r="T5249" i="1"/>
  <c r="T5252" i="1"/>
  <c r="T5255" i="1"/>
  <c r="T5258" i="1"/>
  <c r="T5261" i="1"/>
  <c r="T5264" i="1"/>
  <c r="T5267" i="1"/>
  <c r="T5313" i="1"/>
  <c r="T5316" i="1"/>
  <c r="T5319" i="1"/>
  <c r="T5322" i="1"/>
  <c r="T5325" i="1"/>
  <c r="T5328" i="1"/>
  <c r="T5331" i="1"/>
  <c r="T5377" i="1"/>
  <c r="T5380" i="1"/>
  <c r="T5383" i="1"/>
  <c r="T5386" i="1"/>
  <c r="T5389" i="1"/>
  <c r="T5392" i="1"/>
  <c r="T5395" i="1"/>
  <c r="T5441" i="1"/>
  <c r="T5444" i="1"/>
  <c r="T5447" i="1"/>
  <c r="T5450" i="1"/>
  <c r="T5453" i="1"/>
  <c r="T5456" i="1"/>
  <c r="T5459" i="1"/>
  <c r="T5510" i="1"/>
  <c r="T5518" i="1"/>
  <c r="T5526" i="1"/>
  <c r="T5534" i="1"/>
  <c r="T5542" i="1"/>
  <c r="T5550" i="1"/>
  <c r="T5558" i="1"/>
  <c r="T5566" i="1"/>
  <c r="T5574" i="1"/>
  <c r="T5582" i="1"/>
  <c r="T5590" i="1"/>
  <c r="T5598" i="1"/>
  <c r="T5606" i="1"/>
  <c r="T5614" i="1"/>
  <c r="T5622" i="1"/>
  <c r="T5630" i="1"/>
  <c r="T5638" i="1"/>
  <c r="T5646" i="1"/>
  <c r="T5654" i="1"/>
  <c r="T5662" i="1"/>
  <c r="T5670" i="1"/>
  <c r="T5678" i="1"/>
  <c r="T5686" i="1"/>
  <c r="T4482" i="1"/>
  <c r="T4496" i="1"/>
  <c r="T4510" i="1"/>
  <c r="T4544" i="1"/>
  <c r="T4576" i="1"/>
  <c r="T4608" i="1"/>
  <c r="T4640" i="1"/>
  <c r="T4672" i="1"/>
  <c r="T4704" i="1"/>
  <c r="T4736" i="1"/>
  <c r="T4768" i="1"/>
  <c r="T4800" i="1"/>
  <c r="T4832" i="1"/>
  <c r="T4864" i="1"/>
  <c r="T4896" i="1"/>
  <c r="T4921" i="1"/>
  <c r="T4928" i="1"/>
  <c r="T4952" i="1"/>
  <c r="T4968" i="1"/>
  <c r="T4984" i="1"/>
  <c r="T5000" i="1"/>
  <c r="T5016" i="1"/>
  <c r="T5032" i="1"/>
  <c r="T5048" i="1"/>
  <c r="T5064" i="1"/>
  <c r="T5069" i="1"/>
  <c r="T5097" i="1"/>
  <c r="T5100" i="1"/>
  <c r="T5103" i="1"/>
  <c r="T5106" i="1"/>
  <c r="T5109" i="1"/>
  <c r="T5112" i="1"/>
  <c r="T5115" i="1"/>
  <c r="T5161" i="1"/>
  <c r="T5164" i="1"/>
  <c r="T5167" i="1"/>
  <c r="T5170" i="1"/>
  <c r="T5173" i="1"/>
  <c r="T5176" i="1"/>
  <c r="T5179" i="1"/>
  <c r="T5225" i="1"/>
  <c r="T5228" i="1"/>
  <c r="T5231" i="1"/>
  <c r="T5234" i="1"/>
  <c r="T5237" i="1"/>
  <c r="T5240" i="1"/>
  <c r="T5243" i="1"/>
  <c r="T5289" i="1"/>
  <c r="T5292" i="1"/>
  <c r="T5295" i="1"/>
  <c r="T5298" i="1"/>
  <c r="T5301" i="1"/>
  <c r="T5304" i="1"/>
  <c r="T5307" i="1"/>
  <c r="T5353" i="1"/>
  <c r="T5356" i="1"/>
  <c r="T5359" i="1"/>
  <c r="T5362" i="1"/>
  <c r="T5365" i="1"/>
  <c r="T5368" i="1"/>
  <c r="T5371" i="1"/>
  <c r="T5417" i="1"/>
  <c r="T5420" i="1"/>
  <c r="T5423" i="1"/>
  <c r="T5426" i="1"/>
  <c r="T5429" i="1"/>
  <c r="T5432" i="1"/>
  <c r="T5435" i="1"/>
  <c r="T5481" i="1"/>
  <c r="T5484" i="1"/>
  <c r="T5487" i="1"/>
  <c r="T5490" i="1"/>
  <c r="T5493" i="1"/>
  <c r="T5496" i="1"/>
  <c r="T5499" i="1"/>
  <c r="T5505" i="1"/>
  <c r="T5513" i="1"/>
  <c r="T5521" i="1"/>
  <c r="T5529" i="1"/>
  <c r="T5537" i="1"/>
  <c r="T5545" i="1"/>
  <c r="T5553" i="1"/>
  <c r="T5561" i="1"/>
  <c r="T5569" i="1"/>
  <c r="T5577" i="1"/>
  <c r="T5585" i="1"/>
  <c r="T5593" i="1"/>
  <c r="T5601" i="1"/>
  <c r="T5609" i="1"/>
  <c r="T5617" i="1"/>
  <c r="T5625" i="1"/>
  <c r="T5633" i="1"/>
  <c r="T5641" i="1"/>
  <c r="T5649" i="1"/>
  <c r="T5657" i="1"/>
  <c r="T5665" i="1"/>
  <c r="T5673" i="1"/>
  <c r="T5681" i="1"/>
  <c r="T4471" i="1"/>
  <c r="T4485" i="1"/>
  <c r="T4499" i="1"/>
  <c r="T4525" i="1"/>
  <c r="T4557" i="1"/>
  <c r="T4589" i="1"/>
  <c r="T4621" i="1"/>
  <c r="T4653" i="1"/>
  <c r="T4685" i="1"/>
  <c r="T4717" i="1"/>
  <c r="T4749" i="1"/>
  <c r="T4781" i="1"/>
  <c r="T4813" i="1"/>
  <c r="T4845" i="1"/>
  <c r="T4877" i="1"/>
  <c r="T4929" i="1"/>
  <c r="T4936" i="1"/>
  <c r="T4947" i="1"/>
  <c r="T4963" i="1"/>
  <c r="T4514" i="1"/>
  <c r="T4536" i="1"/>
  <c r="T4568" i="1"/>
  <c r="T4600" i="1"/>
  <c r="T4632" i="1"/>
  <c r="T4664" i="1"/>
  <c r="T4696" i="1"/>
  <c r="T4728" i="1"/>
  <c r="T4760" i="1"/>
  <c r="T4792" i="1"/>
  <c r="T4824" i="1"/>
  <c r="T4856" i="1"/>
  <c r="T4888" i="1"/>
  <c r="T4909" i="1"/>
  <c r="T4937" i="1"/>
  <c r="T4953" i="1"/>
  <c r="T4503" i="1"/>
  <c r="T4549" i="1"/>
  <c r="T4581" i="1"/>
  <c r="T4613" i="1"/>
  <c r="T4645" i="1"/>
  <c r="T4677" i="1"/>
  <c r="T4709" i="1"/>
  <c r="T4741" i="1"/>
  <c r="T4773" i="1"/>
  <c r="T4805" i="1"/>
  <c r="T4837" i="1"/>
  <c r="T4869" i="1"/>
  <c r="T4901" i="1"/>
  <c r="T4917" i="1"/>
  <c r="T4949" i="1"/>
  <c r="T4965" i="1"/>
  <c r="T4981" i="1"/>
  <c r="T4997" i="1"/>
  <c r="T5013" i="1"/>
  <c r="T5029" i="1"/>
  <c r="T5045" i="1"/>
  <c r="T5061" i="1"/>
  <c r="T5089" i="1"/>
  <c r="T5092" i="1"/>
  <c r="T5095" i="1"/>
  <c r="T5098" i="1"/>
  <c r="T5101" i="1"/>
  <c r="T5104" i="1"/>
  <c r="T5107" i="1"/>
  <c r="T5153" i="1"/>
  <c r="T5156" i="1"/>
  <c r="T5159" i="1"/>
  <c r="T5162" i="1"/>
  <c r="T5165" i="1"/>
  <c r="T5168" i="1"/>
  <c r="T5171" i="1"/>
  <c r="T5217" i="1"/>
  <c r="T5220" i="1"/>
  <c r="T5223" i="1"/>
  <c r="T5226" i="1"/>
  <c r="T5229" i="1"/>
  <c r="T5232" i="1"/>
  <c r="T5235" i="1"/>
  <c r="T5281" i="1"/>
  <c r="T5284" i="1"/>
  <c r="T5287" i="1"/>
  <c r="T5290" i="1"/>
  <c r="T5293" i="1"/>
  <c r="T5296" i="1"/>
  <c r="T5299" i="1"/>
  <c r="T5345" i="1"/>
  <c r="T5348" i="1"/>
  <c r="T5351" i="1"/>
  <c r="T5354" i="1"/>
  <c r="T5357" i="1"/>
  <c r="T5360" i="1"/>
  <c r="T5363" i="1"/>
  <c r="T5409" i="1"/>
  <c r="T5412" i="1"/>
  <c r="T5415" i="1"/>
  <c r="T5418" i="1"/>
  <c r="T5421" i="1"/>
  <c r="T5424" i="1"/>
  <c r="T5427" i="1"/>
  <c r="T5473" i="1"/>
  <c r="T5476" i="1"/>
  <c r="T5479" i="1"/>
  <c r="T5482" i="1"/>
  <c r="T5485" i="1"/>
  <c r="T5488" i="1"/>
  <c r="T5491" i="1"/>
  <c r="T5506" i="1"/>
  <c r="T5514" i="1"/>
  <c r="T4969" i="1"/>
  <c r="T5033" i="1"/>
  <c r="T5122" i="1"/>
  <c r="T5183" i="1"/>
  <c r="T5195" i="1"/>
  <c r="T5244" i="1"/>
  <c r="T5256" i="1"/>
  <c r="T5305" i="1"/>
  <c r="T5317" i="1"/>
  <c r="T5378" i="1"/>
  <c r="T5439" i="1"/>
  <c r="T5451" i="1"/>
  <c r="T5500" i="1"/>
  <c r="T5511" i="1"/>
  <c r="T5535" i="1"/>
  <c r="T5551" i="1"/>
  <c r="T5567" i="1"/>
  <c r="T5583" i="1"/>
  <c r="T5599" i="1"/>
  <c r="T5615" i="1"/>
  <c r="T5631" i="1"/>
  <c r="T5647" i="1"/>
  <c r="T5663" i="1"/>
  <c r="T5679" i="1"/>
  <c r="T5689" i="1"/>
  <c r="T5696" i="1"/>
  <c r="T5703" i="1"/>
  <c r="T5721" i="1"/>
  <c r="T5728" i="1"/>
  <c r="T5735" i="1"/>
  <c r="T5753" i="1"/>
  <c r="T5760" i="1"/>
  <c r="T5767" i="1"/>
  <c r="T5785" i="1"/>
  <c r="T5792" i="1"/>
  <c r="T5799" i="1"/>
  <c r="T5817" i="1"/>
  <c r="T5824" i="1"/>
  <c r="T5831" i="1"/>
  <c r="T5872" i="1"/>
  <c r="T5875" i="1"/>
  <c r="T5878" i="1"/>
  <c r="T5881" i="1"/>
  <c r="T5884" i="1"/>
  <c r="T5887" i="1"/>
  <c r="T5890" i="1"/>
  <c r="T5936" i="1"/>
  <c r="T5939" i="1"/>
  <c r="T5942" i="1"/>
  <c r="T5945" i="1"/>
  <c r="T5948" i="1"/>
  <c r="T5951" i="1"/>
  <c r="T5954" i="1"/>
  <c r="T6000" i="1"/>
  <c r="T6003" i="1"/>
  <c r="T6006" i="1"/>
  <c r="T6009" i="1"/>
  <c r="T6012" i="1"/>
  <c r="T6015" i="1"/>
  <c r="T6018" i="1"/>
  <c r="T6064" i="1"/>
  <c r="T6067" i="1"/>
  <c r="T6070" i="1"/>
  <c r="T6073" i="1"/>
  <c r="T6076" i="1"/>
  <c r="T6079" i="1"/>
  <c r="T6082" i="1"/>
  <c r="T6091" i="1"/>
  <c r="T6099" i="1"/>
  <c r="T6107" i="1"/>
  <c r="T6115" i="1"/>
  <c r="T6123" i="1"/>
  <c r="T6131" i="1"/>
  <c r="T6139" i="1"/>
  <c r="T6147" i="1"/>
  <c r="T6155" i="1"/>
  <c r="T6163" i="1"/>
  <c r="T6171" i="1"/>
  <c r="T6179" i="1"/>
  <c r="T6187" i="1"/>
  <c r="T6195" i="1"/>
  <c r="T6203" i="1"/>
  <c r="T6211" i="1"/>
  <c r="T6219" i="1"/>
  <c r="T6227" i="1"/>
  <c r="T6235" i="1"/>
  <c r="T6243" i="1"/>
  <c r="T6251" i="1"/>
  <c r="T6259" i="1"/>
  <c r="T6267" i="1"/>
  <c r="T6275" i="1"/>
  <c r="T6283" i="1"/>
  <c r="T6291" i="1"/>
  <c r="T6299" i="1"/>
  <c r="T6307" i="1"/>
  <c r="T6315" i="1"/>
  <c r="T6323" i="1"/>
  <c r="T6331" i="1"/>
  <c r="T6339" i="1"/>
  <c r="T6347" i="1"/>
  <c r="T6355" i="1"/>
  <c r="T6363" i="1"/>
  <c r="T6371" i="1"/>
  <c r="T6379" i="1"/>
  <c r="T6387" i="1"/>
  <c r="T6395" i="1"/>
  <c r="T6403" i="1"/>
  <c r="T6411" i="1"/>
  <c r="T6419" i="1"/>
  <c r="T6427" i="1"/>
  <c r="T6435" i="1"/>
  <c r="T6443" i="1"/>
  <c r="T6451" i="1"/>
  <c r="T6459" i="1"/>
  <c r="T6467" i="1"/>
  <c r="T6475" i="1"/>
  <c r="T6483" i="1"/>
  <c r="T6491" i="1"/>
  <c r="T6499" i="1"/>
  <c r="T6507" i="1"/>
  <c r="T6515" i="1"/>
  <c r="T6523" i="1"/>
  <c r="T6531" i="1"/>
  <c r="T6539" i="1"/>
  <c r="T6547" i="1"/>
  <c r="T6555" i="1"/>
  <c r="T6563" i="1"/>
  <c r="T6571" i="1"/>
  <c r="T6579" i="1"/>
  <c r="T6587" i="1"/>
  <c r="T6595" i="1"/>
  <c r="T6603" i="1"/>
  <c r="T6611" i="1"/>
  <c r="T6619" i="1"/>
  <c r="T6627" i="1"/>
  <c r="T6635" i="1"/>
  <c r="T6643" i="1"/>
  <c r="T6651" i="1"/>
  <c r="T6659" i="1"/>
  <c r="T6667" i="1"/>
  <c r="T6675" i="1"/>
  <c r="T6683" i="1"/>
  <c r="T6691" i="1"/>
  <c r="T6699" i="1"/>
  <c r="T6707" i="1"/>
  <c r="T6715" i="1"/>
  <c r="T6723" i="1"/>
  <c r="T6731" i="1"/>
  <c r="T6739" i="1"/>
  <c r="T6747" i="1"/>
  <c r="T6755" i="1"/>
  <c r="T6763" i="1"/>
  <c r="T6771" i="1"/>
  <c r="T6779" i="1"/>
  <c r="T6787" i="1"/>
  <c r="T6795" i="1"/>
  <c r="T6803" i="1"/>
  <c r="T6811" i="1"/>
  <c r="T6819" i="1"/>
  <c r="T6827" i="1"/>
  <c r="T6835" i="1"/>
  <c r="T6843" i="1"/>
  <c r="T6851" i="1"/>
  <c r="T6859" i="1"/>
  <c r="T6867" i="1"/>
  <c r="T6875" i="1"/>
  <c r="T6883" i="1"/>
  <c r="T6891" i="1"/>
  <c r="T4995" i="1"/>
  <c r="T5059" i="1"/>
  <c r="T5076" i="1"/>
  <c r="T5088" i="1"/>
  <c r="T5137" i="1"/>
  <c r="T5149" i="1"/>
  <c r="T5210" i="1"/>
  <c r="T5271" i="1"/>
  <c r="T5283" i="1"/>
  <c r="T5332" i="1"/>
  <c r="T5344" i="1"/>
  <c r="T5393" i="1"/>
  <c r="T5405" i="1"/>
  <c r="T5466" i="1"/>
  <c r="T5512" i="1"/>
  <c r="T5519" i="1"/>
  <c r="T5530" i="1"/>
  <c r="T5546" i="1"/>
  <c r="T5562" i="1"/>
  <c r="T5578" i="1"/>
  <c r="T5594" i="1"/>
  <c r="T5610" i="1"/>
  <c r="T5626" i="1"/>
  <c r="T5642" i="1"/>
  <c r="T5658" i="1"/>
  <c r="T5674" i="1"/>
  <c r="T5700" i="1"/>
  <c r="T5714" i="1"/>
  <c r="T5718" i="1"/>
  <c r="T5732" i="1"/>
  <c r="T5746" i="1"/>
  <c r="T5750" i="1"/>
  <c r="T5764" i="1"/>
  <c r="T5778" i="1"/>
  <c r="T5782" i="1"/>
  <c r="T5796" i="1"/>
  <c r="T5810" i="1"/>
  <c r="T5814" i="1"/>
  <c r="T5828" i="1"/>
  <c r="T5848" i="1"/>
  <c r="T5851" i="1"/>
  <c r="T5854" i="1"/>
  <c r="T5857" i="1"/>
  <c r="T5860" i="1"/>
  <c r="T5863" i="1"/>
  <c r="T5866" i="1"/>
  <c r="T5912" i="1"/>
  <c r="T5915" i="1"/>
  <c r="T5918" i="1"/>
  <c r="T5921" i="1"/>
  <c r="T5924" i="1"/>
  <c r="T5927" i="1"/>
  <c r="T5930" i="1"/>
  <c r="T5976" i="1"/>
  <c r="T5979" i="1"/>
  <c r="T5982" i="1"/>
  <c r="T5985" i="1"/>
  <c r="T5988" i="1"/>
  <c r="T5991" i="1"/>
  <c r="T5994" i="1"/>
  <c r="T6040" i="1"/>
  <c r="T6043" i="1"/>
  <c r="T6046" i="1"/>
  <c r="T6049" i="1"/>
  <c r="T6052" i="1"/>
  <c r="T6055" i="1"/>
  <c r="T6058" i="1"/>
  <c r="T6094" i="1"/>
  <c r="T6102" i="1"/>
  <c r="T6110" i="1"/>
  <c r="T6118" i="1"/>
  <c r="T6126" i="1"/>
  <c r="T6134" i="1"/>
  <c r="T6142" i="1"/>
  <c r="T6150" i="1"/>
  <c r="T6158" i="1"/>
  <c r="T6166" i="1"/>
  <c r="T6174" i="1"/>
  <c r="T6182" i="1"/>
  <c r="T6190" i="1"/>
  <c r="T6198" i="1"/>
  <c r="T6206" i="1"/>
  <c r="T6214" i="1"/>
  <c r="T6222" i="1"/>
  <c r="T6230" i="1"/>
  <c r="T6238" i="1"/>
  <c r="T6246" i="1"/>
  <c r="T6254" i="1"/>
  <c r="T6262" i="1"/>
  <c r="T5017" i="1"/>
  <c r="T5113" i="1"/>
  <c r="T5125" i="1"/>
  <c r="T5186" i="1"/>
  <c r="T5247" i="1"/>
  <c r="T5259" i="1"/>
  <c r="T5308" i="1"/>
  <c r="T5320" i="1"/>
  <c r="T5369" i="1"/>
  <c r="T5381" i="1"/>
  <c r="T5442" i="1"/>
  <c r="T5503" i="1"/>
  <c r="T5520" i="1"/>
  <c r="T5536" i="1"/>
  <c r="T5552" i="1"/>
  <c r="T5568" i="1"/>
  <c r="T5584" i="1"/>
  <c r="T5600" i="1"/>
  <c r="T5616" i="1"/>
  <c r="T5632" i="1"/>
  <c r="T5648" i="1"/>
  <c r="T5664" i="1"/>
  <c r="T5680" i="1"/>
  <c r="T5697" i="1"/>
  <c r="T5704" i="1"/>
  <c r="T5711" i="1"/>
  <c r="T5729" i="1"/>
  <c r="T5736" i="1"/>
  <c r="T5743" i="1"/>
  <c r="T5761" i="1"/>
  <c r="T5768" i="1"/>
  <c r="T5775" i="1"/>
  <c r="T5793" i="1"/>
  <c r="T5800" i="1"/>
  <c r="T5807" i="1"/>
  <c r="T5825" i="1"/>
  <c r="T5832" i="1"/>
  <c r="T5839" i="1"/>
  <c r="T5842" i="1"/>
  <c r="T5888" i="1"/>
  <c r="T5891" i="1"/>
  <c r="T5894" i="1"/>
  <c r="T5897" i="1"/>
  <c r="T5900" i="1"/>
  <c r="T5903" i="1"/>
  <c r="T5906" i="1"/>
  <c r="T5952" i="1"/>
  <c r="T5955" i="1"/>
  <c r="T5958" i="1"/>
  <c r="T5961" i="1"/>
  <c r="T5964" i="1"/>
  <c r="T5967" i="1"/>
  <c r="T5970" i="1"/>
  <c r="T6016" i="1"/>
  <c r="T6019" i="1"/>
  <c r="T6022" i="1"/>
  <c r="T6025" i="1"/>
  <c r="T6028" i="1"/>
  <c r="T6031" i="1"/>
  <c r="T6034" i="1"/>
  <c r="T6080" i="1"/>
  <c r="T6083" i="1"/>
  <c r="T6086" i="1"/>
  <c r="T6089" i="1"/>
  <c r="T6097" i="1"/>
  <c r="T6105" i="1"/>
  <c r="T6113" i="1"/>
  <c r="T6121" i="1"/>
  <c r="T6129" i="1"/>
  <c r="T6137" i="1"/>
  <c r="T6145" i="1"/>
  <c r="T6153" i="1"/>
  <c r="T6161" i="1"/>
  <c r="T6169" i="1"/>
  <c r="T6177" i="1"/>
  <c r="T6185" i="1"/>
  <c r="T6193" i="1"/>
  <c r="T6201" i="1"/>
  <c r="T6209" i="1"/>
  <c r="T6217" i="1"/>
  <c r="T6225" i="1"/>
  <c r="T6233" i="1"/>
  <c r="T6241" i="1"/>
  <c r="T6249" i="1"/>
  <c r="T6257" i="1"/>
  <c r="T6265" i="1"/>
  <c r="T6273" i="1"/>
  <c r="T6281" i="1"/>
  <c r="T6289" i="1"/>
  <c r="T6297" i="1"/>
  <c r="T6305" i="1"/>
  <c r="T6313" i="1"/>
  <c r="T6321" i="1"/>
  <c r="T6329" i="1"/>
  <c r="T6337" i="1"/>
  <c r="T6345" i="1"/>
  <c r="T6353" i="1"/>
  <c r="T6361" i="1"/>
  <c r="T6369" i="1"/>
  <c r="T6377" i="1"/>
  <c r="T6385" i="1"/>
  <c r="T6393" i="1"/>
  <c r="T6401" i="1"/>
  <c r="T6409" i="1"/>
  <c r="T6417" i="1"/>
  <c r="T6425" i="1"/>
  <c r="T6433" i="1"/>
  <c r="T6441" i="1"/>
  <c r="T6449" i="1"/>
  <c r="T6457" i="1"/>
  <c r="T6465" i="1"/>
  <c r="T6473" i="1"/>
  <c r="T4979" i="1"/>
  <c r="T5043" i="1"/>
  <c r="T5079" i="1"/>
  <c r="T5091" i="1"/>
  <c r="T5140" i="1"/>
  <c r="T5152" i="1"/>
  <c r="T5201" i="1"/>
  <c r="T5213" i="1"/>
  <c r="T5274" i="1"/>
  <c r="T5335" i="1"/>
  <c r="T5347" i="1"/>
  <c r="T5396" i="1"/>
  <c r="T5408" i="1"/>
  <c r="T5457" i="1"/>
  <c r="T5469" i="1"/>
  <c r="T5532" i="1"/>
  <c r="T5548" i="1"/>
  <c r="T5564" i="1"/>
  <c r="T5580" i="1"/>
  <c r="T5596" i="1"/>
  <c r="T5612" i="1"/>
  <c r="T5628" i="1"/>
  <c r="T5644" i="1"/>
  <c r="T5660" i="1"/>
  <c r="T5676" i="1"/>
  <c r="T5690" i="1"/>
  <c r="T5694" i="1"/>
  <c r="T5708" i="1"/>
  <c r="T5722" i="1"/>
  <c r="T5726" i="1"/>
  <c r="T5740" i="1"/>
  <c r="T5754" i="1"/>
  <c r="T5758" i="1"/>
  <c r="T5772" i="1"/>
  <c r="T5786" i="1"/>
  <c r="T5790" i="1"/>
  <c r="T5804" i="1"/>
  <c r="T5818" i="1"/>
  <c r="T5822" i="1"/>
  <c r="T5836" i="1"/>
  <c r="T5864" i="1"/>
  <c r="T5867" i="1"/>
  <c r="T5870" i="1"/>
  <c r="T5873" i="1"/>
  <c r="T5876" i="1"/>
  <c r="T5879" i="1"/>
  <c r="T5882" i="1"/>
  <c r="T5928" i="1"/>
  <c r="T5931" i="1"/>
  <c r="T5934" i="1"/>
  <c r="T5937" i="1"/>
  <c r="T5940" i="1"/>
  <c r="T5943" i="1"/>
  <c r="T5946" i="1"/>
  <c r="T5992" i="1"/>
  <c r="T5995" i="1"/>
  <c r="T5998" i="1"/>
  <c r="T6001" i="1"/>
  <c r="T6004" i="1"/>
  <c r="T6007" i="1"/>
  <c r="T6010" i="1"/>
  <c r="T6056" i="1"/>
  <c r="T6059" i="1"/>
  <c r="T6062" i="1"/>
  <c r="T6065" i="1"/>
  <c r="T6068" i="1"/>
  <c r="T6071" i="1"/>
  <c r="T6074" i="1"/>
  <c r="T6092" i="1"/>
  <c r="T6100" i="1"/>
  <c r="T6108" i="1"/>
  <c r="T6116" i="1"/>
  <c r="T6124" i="1"/>
  <c r="T6132" i="1"/>
  <c r="T6140" i="1"/>
  <c r="T6148" i="1"/>
  <c r="T6156" i="1"/>
  <c r="T6164" i="1"/>
  <c r="T6172" i="1"/>
  <c r="T6180" i="1"/>
  <c r="T6188" i="1"/>
  <c r="T6196" i="1"/>
  <c r="T6204" i="1"/>
  <c r="T6212" i="1"/>
  <c r="T6220" i="1"/>
  <c r="T6228" i="1"/>
  <c r="T6236" i="1"/>
  <c r="T6244" i="1"/>
  <c r="T6252" i="1"/>
  <c r="T6260" i="1"/>
  <c r="T6268" i="1"/>
  <c r="T6276" i="1"/>
  <c r="T6284" i="1"/>
  <c r="T6292" i="1"/>
  <c r="T6300" i="1"/>
  <c r="T6308" i="1"/>
  <c r="T6316" i="1"/>
  <c r="T6324" i="1"/>
  <c r="T6332" i="1"/>
  <c r="T6340" i="1"/>
  <c r="T6348" i="1"/>
  <c r="T6356" i="1"/>
  <c r="T6364" i="1"/>
  <c r="T6372" i="1"/>
  <c r="T6380" i="1"/>
  <c r="T6388" i="1"/>
  <c r="T6396" i="1"/>
  <c r="T6404" i="1"/>
  <c r="T6412" i="1"/>
  <c r="T6420" i="1"/>
  <c r="T6428" i="1"/>
  <c r="T6436" i="1"/>
  <c r="T6444" i="1"/>
  <c r="T6452" i="1"/>
  <c r="T6460" i="1"/>
  <c r="T6468" i="1"/>
  <c r="T5001" i="1"/>
  <c r="T5065" i="1"/>
  <c r="T5116" i="1"/>
  <c r="T5128" i="1"/>
  <c r="T5177" i="1"/>
  <c r="T5189" i="1"/>
  <c r="T5250" i="1"/>
  <c r="T5311" i="1"/>
  <c r="T5323" i="1"/>
  <c r="T5372" i="1"/>
  <c r="T5384" i="1"/>
  <c r="T5433" i="1"/>
  <c r="T5445" i="1"/>
  <c r="T5527" i="1"/>
  <c r="T5543" i="1"/>
  <c r="T5559" i="1"/>
  <c r="T5575" i="1"/>
  <c r="T5591" i="1"/>
  <c r="T5607" i="1"/>
  <c r="T5623" i="1"/>
  <c r="T5639" i="1"/>
  <c r="T5655" i="1"/>
  <c r="T5671" i="1"/>
  <c r="T5687" i="1"/>
  <c r="T5705" i="1"/>
  <c r="T5712" i="1"/>
  <c r="T5719" i="1"/>
  <c r="T5737" i="1"/>
  <c r="T5744" i="1"/>
  <c r="T5751" i="1"/>
  <c r="T5769" i="1"/>
  <c r="T5776" i="1"/>
  <c r="T5783" i="1"/>
  <c r="T5801" i="1"/>
  <c r="T5808" i="1"/>
  <c r="T5815" i="1"/>
  <c r="T5833" i="1"/>
  <c r="T5840" i="1"/>
  <c r="T5843" i="1"/>
  <c r="T5846" i="1"/>
  <c r="T5849" i="1"/>
  <c r="T5852" i="1"/>
  <c r="T5855" i="1"/>
  <c r="T5858" i="1"/>
  <c r="T5904" i="1"/>
  <c r="T5907" i="1"/>
  <c r="T5910" i="1"/>
  <c r="T5913" i="1"/>
  <c r="T5916" i="1"/>
  <c r="T5919" i="1"/>
  <c r="T5922" i="1"/>
  <c r="T5968" i="1"/>
  <c r="T5971" i="1"/>
  <c r="T5974" i="1"/>
  <c r="T5977" i="1"/>
  <c r="T5980" i="1"/>
  <c r="T5983" i="1"/>
  <c r="T5986" i="1"/>
  <c r="T6032" i="1"/>
  <c r="T6035" i="1"/>
  <c r="T6038" i="1"/>
  <c r="T6041" i="1"/>
  <c r="T6044" i="1"/>
  <c r="T6047" i="1"/>
  <c r="T6050" i="1"/>
  <c r="T6095" i="1"/>
  <c r="T6103" i="1"/>
  <c r="T6111" i="1"/>
  <c r="T6119" i="1"/>
  <c r="T6127" i="1"/>
  <c r="T6135" i="1"/>
  <c r="T6143" i="1"/>
  <c r="T6151" i="1"/>
  <c r="T6159" i="1"/>
  <c r="T6167" i="1"/>
  <c r="T6175" i="1"/>
  <c r="T6183" i="1"/>
  <c r="T6191" i="1"/>
  <c r="T6199" i="1"/>
  <c r="T6207" i="1"/>
  <c r="T6215" i="1"/>
  <c r="T6223" i="1"/>
  <c r="T6231" i="1"/>
  <c r="T6239" i="1"/>
  <c r="T6247" i="1"/>
  <c r="T6255" i="1"/>
  <c r="T6263" i="1"/>
  <c r="T6271" i="1"/>
  <c r="T6279" i="1"/>
  <c r="T6287" i="1"/>
  <c r="T6295" i="1"/>
  <c r="T6303" i="1"/>
  <c r="T6311" i="1"/>
  <c r="T6319" i="1"/>
  <c r="T6327" i="1"/>
  <c r="T6335" i="1"/>
  <c r="T6343" i="1"/>
  <c r="T6351" i="1"/>
  <c r="T6359" i="1"/>
  <c r="T6367" i="1"/>
  <c r="T6375" i="1"/>
  <c r="T6383" i="1"/>
  <c r="T6391" i="1"/>
  <c r="T6399" i="1"/>
  <c r="T6407" i="1"/>
  <c r="T6415" i="1"/>
  <c r="T6423" i="1"/>
  <c r="T6431" i="1"/>
  <c r="T6439" i="1"/>
  <c r="T6447" i="1"/>
  <c r="T6455" i="1"/>
  <c r="T6463" i="1"/>
  <c r="T5027" i="1"/>
  <c r="T5082" i="1"/>
  <c r="T5143" i="1"/>
  <c r="T5155" i="1"/>
  <c r="T5204" i="1"/>
  <c r="T5216" i="1"/>
  <c r="T5265" i="1"/>
  <c r="T5277" i="1"/>
  <c r="T5338" i="1"/>
  <c r="T5399" i="1"/>
  <c r="T5411" i="1"/>
  <c r="T5460" i="1"/>
  <c r="T5472" i="1"/>
  <c r="T5508" i="1"/>
  <c r="T5516" i="1"/>
  <c r="T5522" i="1"/>
  <c r="T5538" i="1"/>
  <c r="T5554" i="1"/>
  <c r="T5570" i="1"/>
  <c r="T5586" i="1"/>
  <c r="T5602" i="1"/>
  <c r="T5618" i="1"/>
  <c r="T5634" i="1"/>
  <c r="T4985" i="1"/>
  <c r="T5049" i="1"/>
  <c r="T5119" i="1"/>
  <c r="T5131" i="1"/>
  <c r="T5180" i="1"/>
  <c r="T5192" i="1"/>
  <c r="T5241" i="1"/>
  <c r="T5253" i="1"/>
  <c r="T5314" i="1"/>
  <c r="T5375" i="1"/>
  <c r="T5387" i="1"/>
  <c r="T5436" i="1"/>
  <c r="T5448" i="1"/>
  <c r="T5497" i="1"/>
  <c r="T5528" i="1"/>
  <c r="T5544" i="1"/>
  <c r="T5560" i="1"/>
  <c r="T5576" i="1"/>
  <c r="T5592" i="1"/>
  <c r="T5011" i="1"/>
  <c r="T5073" i="1"/>
  <c r="T5085" i="1"/>
  <c r="T5146" i="1"/>
  <c r="T5207" i="1"/>
  <c r="T5219" i="1"/>
  <c r="T5268" i="1"/>
  <c r="T5280" i="1"/>
  <c r="T5329" i="1"/>
  <c r="T5341" i="1"/>
  <c r="T5402" i="1"/>
  <c r="T5463" i="1"/>
  <c r="T5475" i="1"/>
  <c r="T5524" i="1"/>
  <c r="T5540" i="1"/>
  <c r="T5556" i="1"/>
  <c r="T5572" i="1"/>
  <c r="T5588" i="1"/>
  <c r="T5604" i="1"/>
  <c r="T5620" i="1"/>
  <c r="T5636" i="1"/>
  <c r="T5652" i="1"/>
  <c r="T5668" i="1"/>
  <c r="T5684" i="1"/>
  <c r="T5692" i="1"/>
  <c r="T5706" i="1"/>
  <c r="T5710" i="1"/>
  <c r="T5724" i="1"/>
  <c r="T5738" i="1"/>
  <c r="T5742" i="1"/>
  <c r="T5756" i="1"/>
  <c r="T5770" i="1"/>
  <c r="T5774" i="1"/>
  <c r="T5788" i="1"/>
  <c r="T5802" i="1"/>
  <c r="T5806" i="1"/>
  <c r="T5820" i="1"/>
  <c r="T5834" i="1"/>
  <c r="T5838" i="1"/>
  <c r="T5841" i="1"/>
  <c r="T5844" i="1"/>
  <c r="T5847" i="1"/>
  <c r="T5850" i="1"/>
  <c r="T5896" i="1"/>
  <c r="T5899" i="1"/>
  <c r="T5902" i="1"/>
  <c r="T5905" i="1"/>
  <c r="T5908" i="1"/>
  <c r="T5911" i="1"/>
  <c r="T5914" i="1"/>
  <c r="T5960" i="1"/>
  <c r="T5963" i="1"/>
  <c r="T5966" i="1"/>
  <c r="T5969" i="1"/>
  <c r="T5972" i="1"/>
  <c r="T5975" i="1"/>
  <c r="T5978" i="1"/>
  <c r="T6024" i="1"/>
  <c r="T6027" i="1"/>
  <c r="T6030" i="1"/>
  <c r="T6033" i="1"/>
  <c r="T6036" i="1"/>
  <c r="T6039" i="1"/>
  <c r="T6042" i="1"/>
  <c r="T6088" i="1"/>
  <c r="T6096" i="1"/>
  <c r="T6104" i="1"/>
  <c r="T6112" i="1"/>
  <c r="T6120" i="1"/>
  <c r="T6128" i="1"/>
  <c r="T6136" i="1"/>
  <c r="T6144" i="1"/>
  <c r="T6152" i="1"/>
  <c r="T6160" i="1"/>
  <c r="T6168" i="1"/>
  <c r="T6176" i="1"/>
  <c r="T6184" i="1"/>
  <c r="T6192" i="1"/>
  <c r="T6200" i="1"/>
  <c r="T6208" i="1"/>
  <c r="T6216" i="1"/>
  <c r="T6224" i="1"/>
  <c r="T6232" i="1"/>
  <c r="T6240" i="1"/>
  <c r="T6248" i="1"/>
  <c r="T6256" i="1"/>
  <c r="T6264" i="1"/>
  <c r="T6272" i="1"/>
  <c r="T6280" i="1"/>
  <c r="T6288" i="1"/>
  <c r="T6296" i="1"/>
  <c r="T6304" i="1"/>
  <c r="T6312" i="1"/>
  <c r="T6320" i="1"/>
  <c r="T6328" i="1"/>
  <c r="T6336" i="1"/>
  <c r="T6344" i="1"/>
  <c r="T5682" i="1"/>
  <c r="T5698" i="1"/>
  <c r="T5798" i="1"/>
  <c r="T5812" i="1"/>
  <c r="T5826" i="1"/>
  <c r="T5889" i="1"/>
  <c r="T5950" i="1"/>
  <c r="T5962" i="1"/>
  <c r="T6011" i="1"/>
  <c r="T6023" i="1"/>
  <c r="T6072" i="1"/>
  <c r="T6084" i="1"/>
  <c r="T6106" i="1"/>
  <c r="T6138" i="1"/>
  <c r="T6170" i="1"/>
  <c r="T6202" i="1"/>
  <c r="T6234" i="1"/>
  <c r="T6286" i="1"/>
  <c r="T6293" i="1"/>
  <c r="T6322" i="1"/>
  <c r="T6350" i="1"/>
  <c r="T6366" i="1"/>
  <c r="T6382" i="1"/>
  <c r="T6398" i="1"/>
  <c r="T6414" i="1"/>
  <c r="T6430" i="1"/>
  <c r="T6446" i="1"/>
  <c r="T6462" i="1"/>
  <c r="T6518" i="1"/>
  <c r="T6521" i="1"/>
  <c r="T6524" i="1"/>
  <c r="T6527" i="1"/>
  <c r="T6530" i="1"/>
  <c r="T6533" i="1"/>
  <c r="T6536" i="1"/>
  <c r="T6582" i="1"/>
  <c r="T6585" i="1"/>
  <c r="T6588" i="1"/>
  <c r="T6591" i="1"/>
  <c r="T6594" i="1"/>
  <c r="T6597" i="1"/>
  <c r="T6600" i="1"/>
  <c r="T6646" i="1"/>
  <c r="T6649" i="1"/>
  <c r="T6652" i="1"/>
  <c r="T6655" i="1"/>
  <c r="T6658" i="1"/>
  <c r="T6661" i="1"/>
  <c r="T6664" i="1"/>
  <c r="T6710" i="1"/>
  <c r="T6713" i="1"/>
  <c r="T6716" i="1"/>
  <c r="T6719" i="1"/>
  <c r="T6722" i="1"/>
  <c r="T6725" i="1"/>
  <c r="T6728" i="1"/>
  <c r="T6774" i="1"/>
  <c r="T6777" i="1"/>
  <c r="T6780" i="1"/>
  <c r="T6783" i="1"/>
  <c r="T6786" i="1"/>
  <c r="T6789" i="1"/>
  <c r="T6792" i="1"/>
  <c r="T6838" i="1"/>
  <c r="T6841" i="1"/>
  <c r="T6844" i="1"/>
  <c r="T6847" i="1"/>
  <c r="T6850" i="1"/>
  <c r="T6853" i="1"/>
  <c r="T6856" i="1"/>
  <c r="T6904" i="1"/>
  <c r="T6912" i="1"/>
  <c r="T6920" i="1"/>
  <c r="T6928" i="1"/>
  <c r="T6936" i="1"/>
  <c r="T6944" i="1"/>
  <c r="T6952" i="1"/>
  <c r="T6960" i="1"/>
  <c r="T6968" i="1"/>
  <c r="T6976" i="1"/>
  <c r="T6984" i="1"/>
  <c r="T6992" i="1"/>
  <c r="T7000" i="1"/>
  <c r="T7008" i="1"/>
  <c r="T7016" i="1"/>
  <c r="T7024" i="1"/>
  <c r="T7032" i="1"/>
  <c r="T7040" i="1"/>
  <c r="T7048" i="1"/>
  <c r="T7056" i="1"/>
  <c r="T7064" i="1"/>
  <c r="T7072" i="1"/>
  <c r="T7080" i="1"/>
  <c r="T7088" i="1"/>
  <c r="T7096" i="1"/>
  <c r="T5640" i="1"/>
  <c r="T5713" i="1"/>
  <c r="T5727" i="1"/>
  <c r="T5784" i="1"/>
  <c r="T5865" i="1"/>
  <c r="T5926" i="1"/>
  <c r="T5938" i="1"/>
  <c r="T5987" i="1"/>
  <c r="T5999" i="1"/>
  <c r="T6048" i="1"/>
  <c r="T5608" i="1"/>
  <c r="T5666" i="1"/>
  <c r="T5702" i="1"/>
  <c r="T5716" i="1"/>
  <c r="T5730" i="1"/>
  <c r="T5830" i="1"/>
  <c r="T5880" i="1"/>
  <c r="T5892" i="1"/>
  <c r="T5953" i="1"/>
  <c r="T6014" i="1"/>
  <c r="T6026" i="1"/>
  <c r="T6075" i="1"/>
  <c r="T6087" i="1"/>
  <c r="T6098" i="1"/>
  <c r="T6130" i="1"/>
  <c r="T6162" i="1"/>
  <c r="T6194" i="1"/>
  <c r="T6226" i="1"/>
  <c r="T6258" i="1"/>
  <c r="T5688" i="1"/>
  <c r="T5745" i="1"/>
  <c r="T5759" i="1"/>
  <c r="T5816" i="1"/>
  <c r="T5856" i="1"/>
  <c r="T5868" i="1"/>
  <c r="T5929" i="1"/>
  <c r="T5990" i="1"/>
  <c r="T6002" i="1"/>
  <c r="T6051" i="1"/>
  <c r="T6063" i="1"/>
  <c r="T6109" i="1"/>
  <c r="T6141" i="1"/>
  <c r="T6173" i="1"/>
  <c r="T6205" i="1"/>
  <c r="T6237" i="1"/>
  <c r="T6282" i="1"/>
  <c r="T6310" i="1"/>
  <c r="T6317" i="1"/>
  <c r="T6346" i="1"/>
  <c r="T6352" i="1"/>
  <c r="T6368" i="1"/>
  <c r="T6384" i="1"/>
  <c r="T6400" i="1"/>
  <c r="T6416" i="1"/>
  <c r="T6432" i="1"/>
  <c r="T6448" i="1"/>
  <c r="T6464" i="1"/>
  <c r="T6510" i="1"/>
  <c r="T6513" i="1"/>
  <c r="T6516" i="1"/>
  <c r="T6519" i="1"/>
  <c r="T6522" i="1"/>
  <c r="T6525" i="1"/>
  <c r="T6528" i="1"/>
  <c r="T6574" i="1"/>
  <c r="T6577" i="1"/>
  <c r="T6580" i="1"/>
  <c r="T6583" i="1"/>
  <c r="T6586" i="1"/>
  <c r="T6589" i="1"/>
  <c r="T6592" i="1"/>
  <c r="T6638" i="1"/>
  <c r="T6641" i="1"/>
  <c r="T6644" i="1"/>
  <c r="T6647" i="1"/>
  <c r="T6650" i="1"/>
  <c r="T6653" i="1"/>
  <c r="T6656" i="1"/>
  <c r="T6702" i="1"/>
  <c r="T6705" i="1"/>
  <c r="T6708" i="1"/>
  <c r="T6711" i="1"/>
  <c r="T6714" i="1"/>
  <c r="T6717" i="1"/>
  <c r="T6720" i="1"/>
  <c r="T5650" i="1"/>
  <c r="T5734" i="1"/>
  <c r="T5748" i="1"/>
  <c r="T5762" i="1"/>
  <c r="T5883" i="1"/>
  <c r="T5895" i="1"/>
  <c r="T5944" i="1"/>
  <c r="T5956" i="1"/>
  <c r="T6017" i="1"/>
  <c r="T6078" i="1"/>
  <c r="T6090" i="1"/>
  <c r="T6122" i="1"/>
  <c r="T6154" i="1"/>
  <c r="T6186" i="1"/>
  <c r="T6218" i="1"/>
  <c r="T6250" i="1"/>
  <c r="T6290" i="1"/>
  <c r="T6318" i="1"/>
  <c r="T6325" i="1"/>
  <c r="T6358" i="1"/>
  <c r="T6374" i="1"/>
  <c r="T6390" i="1"/>
  <c r="T6406" i="1"/>
  <c r="T6422" i="1"/>
  <c r="T6438" i="1"/>
  <c r="T6454" i="1"/>
  <c r="T6470" i="1"/>
  <c r="T6486" i="1"/>
  <c r="T6489" i="1"/>
  <c r="T6492" i="1"/>
  <c r="T6495" i="1"/>
  <c r="T6498" i="1"/>
  <c r="T6501" i="1"/>
  <c r="T6504" i="1"/>
  <c r="T6550" i="1"/>
  <c r="T6553" i="1"/>
  <c r="T6556" i="1"/>
  <c r="T6559" i="1"/>
  <c r="T6562" i="1"/>
  <c r="T6565" i="1"/>
  <c r="T6568" i="1"/>
  <c r="T6614" i="1"/>
  <c r="T6617" i="1"/>
  <c r="T6620" i="1"/>
  <c r="T6623" i="1"/>
  <c r="T6626" i="1"/>
  <c r="T6629" i="1"/>
  <c r="T6632" i="1"/>
  <c r="T6678" i="1"/>
  <c r="T6681" i="1"/>
  <c r="T6684" i="1"/>
  <c r="T6687" i="1"/>
  <c r="T6690" i="1"/>
  <c r="T6693" i="1"/>
  <c r="T6696" i="1"/>
  <c r="T5624" i="1"/>
  <c r="T5672" i="1"/>
  <c r="T5720" i="1"/>
  <c r="T5777" i="1"/>
  <c r="T5791" i="1"/>
  <c r="T5859" i="1"/>
  <c r="T5871" i="1"/>
  <c r="T5920" i="1"/>
  <c r="T5932" i="1"/>
  <c r="T5993" i="1"/>
  <c r="T6054" i="1"/>
  <c r="T6066" i="1"/>
  <c r="T6101" i="1"/>
  <c r="T6133" i="1"/>
  <c r="T6165" i="1"/>
  <c r="T6197" i="1"/>
  <c r="T6229" i="1"/>
  <c r="T6261" i="1"/>
  <c r="T6269" i="1"/>
  <c r="T6298" i="1"/>
  <c r="T6326" i="1"/>
  <c r="T6333" i="1"/>
  <c r="T6354" i="1"/>
  <c r="T6370" i="1"/>
  <c r="T6386" i="1"/>
  <c r="T6402" i="1"/>
  <c r="T6418" i="1"/>
  <c r="T6434" i="1"/>
  <c r="T6450" i="1"/>
  <c r="T6466" i="1"/>
  <c r="T6474" i="1"/>
  <c r="T6477" i="1"/>
  <c r="T6480" i="1"/>
  <c r="T6526" i="1"/>
  <c r="T6529" i="1"/>
  <c r="T6532" i="1"/>
  <c r="T6535" i="1"/>
  <c r="T6538" i="1"/>
  <c r="T6541" i="1"/>
  <c r="T6544" i="1"/>
  <c r="T6590" i="1"/>
  <c r="T6593" i="1"/>
  <c r="T6596" i="1"/>
  <c r="T6599" i="1"/>
  <c r="T6602" i="1"/>
  <c r="T6605" i="1"/>
  <c r="T6608" i="1"/>
  <c r="T6654" i="1"/>
  <c r="T6657" i="1"/>
  <c r="T6660" i="1"/>
  <c r="T6663" i="1"/>
  <c r="T6666" i="1"/>
  <c r="T6669" i="1"/>
  <c r="T6672" i="1"/>
  <c r="T6718" i="1"/>
  <c r="T6721" i="1"/>
  <c r="T6724" i="1"/>
  <c r="T6727" i="1"/>
  <c r="T5766" i="1"/>
  <c r="T5780" i="1"/>
  <c r="T5794" i="1"/>
  <c r="T5886" i="1"/>
  <c r="T5898" i="1"/>
  <c r="T5947" i="1"/>
  <c r="T5959" i="1"/>
  <c r="T6008" i="1"/>
  <c r="T5656" i="1"/>
  <c r="T5695" i="1"/>
  <c r="T5752" i="1"/>
  <c r="T5809" i="1"/>
  <c r="T5823" i="1"/>
  <c r="T5862" i="1"/>
  <c r="T5874" i="1"/>
  <c r="T5923" i="1"/>
  <c r="T5935" i="1"/>
  <c r="T5984" i="1"/>
  <c r="T5996" i="1"/>
  <c r="T6057" i="1"/>
  <c r="T6093" i="1"/>
  <c r="T6125" i="1"/>
  <c r="T6157" i="1"/>
  <c r="T6189" i="1"/>
  <c r="T6221" i="1"/>
  <c r="T6253" i="1"/>
  <c r="T6278" i="1"/>
  <c r="T6285" i="1"/>
  <c r="T6314" i="1"/>
  <c r="T6342" i="1"/>
  <c r="T6349" i="1"/>
  <c r="T6360" i="1"/>
  <c r="T6376" i="1"/>
  <c r="T6392" i="1"/>
  <c r="T6408" i="1"/>
  <c r="T6424" i="1"/>
  <c r="T6440" i="1"/>
  <c r="T6456" i="1"/>
  <c r="T6478" i="1"/>
  <c r="T6481" i="1"/>
  <c r="T6484" i="1"/>
  <c r="T6487" i="1"/>
  <c r="T6490" i="1"/>
  <c r="T6493" i="1"/>
  <c r="T6496" i="1"/>
  <c r="T6542" i="1"/>
  <c r="T6545" i="1"/>
  <c r="T6548" i="1"/>
  <c r="T6551" i="1"/>
  <c r="T6554" i="1"/>
  <c r="T6557" i="1"/>
  <c r="T6560" i="1"/>
  <c r="T6606" i="1"/>
  <c r="T6609" i="1"/>
  <c r="T6612" i="1"/>
  <c r="T6020" i="1"/>
  <c r="T6213" i="1"/>
  <c r="T6301" i="1"/>
  <c r="T6338" i="1"/>
  <c r="T6413" i="1"/>
  <c r="T6442" i="1"/>
  <c r="T6469" i="1"/>
  <c r="T6503" i="1"/>
  <c r="T6511" i="1"/>
  <c r="T6543" i="1"/>
  <c r="T6576" i="1"/>
  <c r="T6584" i="1"/>
  <c r="T6622" i="1"/>
  <c r="T6628" i="1"/>
  <c r="T6634" i="1"/>
  <c r="T6640" i="1"/>
  <c r="T6689" i="1"/>
  <c r="T6695" i="1"/>
  <c r="T6701" i="1"/>
  <c r="T6736" i="1"/>
  <c r="T6743" i="1"/>
  <c r="T6757" i="1"/>
  <c r="T6764" i="1"/>
  <c r="T6778" i="1"/>
  <c r="T6785" i="1"/>
  <c r="T6799" i="1"/>
  <c r="T6806" i="1"/>
  <c r="T6816" i="1"/>
  <c r="T6820" i="1"/>
  <c r="T6837" i="1"/>
  <c r="T6858" i="1"/>
  <c r="T6865" i="1"/>
  <c r="T6872" i="1"/>
  <c r="T6879" i="1"/>
  <c r="T6886" i="1"/>
  <c r="T6893" i="1"/>
  <c r="T6915" i="1"/>
  <c r="T6918" i="1"/>
  <c r="T6921" i="1"/>
  <c r="T6924" i="1"/>
  <c r="T6927" i="1"/>
  <c r="T6930" i="1"/>
  <c r="T6933" i="1"/>
  <c r="T6979" i="1"/>
  <c r="T6982" i="1"/>
  <c r="T6985" i="1"/>
  <c r="T6988" i="1"/>
  <c r="T6991" i="1"/>
  <c r="T6994" i="1"/>
  <c r="T6997" i="1"/>
  <c r="T7043" i="1"/>
  <c r="T7046" i="1"/>
  <c r="T7049" i="1"/>
  <c r="T7052" i="1"/>
  <c r="T7055" i="1"/>
  <c r="T7058" i="1"/>
  <c r="T7061" i="1"/>
  <c r="T7103" i="1"/>
  <c r="T7111" i="1"/>
  <c r="T7119" i="1"/>
  <c r="T7127" i="1"/>
  <c r="T7135" i="1"/>
  <c r="T7143" i="1"/>
  <c r="T7151" i="1"/>
  <c r="T7159" i="1"/>
  <c r="T7167" i="1"/>
  <c r="T7175" i="1"/>
  <c r="T7183" i="1"/>
  <c r="T7191" i="1"/>
  <c r="T7199" i="1"/>
  <c r="T7207" i="1"/>
  <c r="T7215" i="1"/>
  <c r="T7223" i="1"/>
  <c r="T7231" i="1"/>
  <c r="T7239" i="1"/>
  <c r="T7247" i="1"/>
  <c r="T7255" i="1"/>
  <c r="T7263" i="1"/>
  <c r="T7271" i="1"/>
  <c r="T7279" i="1"/>
  <c r="T7287" i="1"/>
  <c r="T7295" i="1"/>
  <c r="T7303" i="1"/>
  <c r="T7311" i="1"/>
  <c r="T7319" i="1"/>
  <c r="T7327" i="1"/>
  <c r="T7335" i="1"/>
  <c r="T7343" i="1"/>
  <c r="T7351" i="1"/>
  <c r="T7359" i="1"/>
  <c r="T7367" i="1"/>
  <c r="T7375" i="1"/>
  <c r="T7383" i="1"/>
  <c r="T7391" i="1"/>
  <c r="T7399" i="1"/>
  <c r="T7407" i="1"/>
  <c r="T7415" i="1"/>
  <c r="T7423" i="1"/>
  <c r="T7431" i="1"/>
  <c r="T7439" i="1"/>
  <c r="T7447" i="1"/>
  <c r="T7455" i="1"/>
  <c r="T7463" i="1"/>
  <c r="T7471" i="1"/>
  <c r="T7479" i="1"/>
  <c r="T7487" i="1"/>
  <c r="T7495" i="1"/>
  <c r="T7503" i="1"/>
  <c r="T7511" i="1"/>
  <c r="T7519" i="1"/>
  <c r="T7527" i="1"/>
  <c r="T7535" i="1"/>
  <c r="T7543" i="1"/>
  <c r="T7551" i="1"/>
  <c r="T7559" i="1"/>
  <c r="T7567" i="1"/>
  <c r="T7575" i="1"/>
  <c r="T7583" i="1"/>
  <c r="T7591" i="1"/>
  <c r="T7599" i="1"/>
  <c r="T7607" i="1"/>
  <c r="T7615" i="1"/>
  <c r="T7623" i="1"/>
  <c r="T7631" i="1"/>
  <c r="T7639" i="1"/>
  <c r="T7647" i="1"/>
  <c r="T7655" i="1"/>
  <c r="T7663" i="1"/>
  <c r="T7671" i="1"/>
  <c r="T7679" i="1"/>
  <c r="T7687" i="1"/>
  <c r="T7695" i="1"/>
  <c r="T7703" i="1"/>
  <c r="T7711" i="1"/>
  <c r="T7719" i="1"/>
  <c r="T7727" i="1"/>
  <c r="T7735" i="1"/>
  <c r="T6178" i="1"/>
  <c r="T6302" i="1"/>
  <c r="T6341" i="1"/>
  <c r="T6357" i="1"/>
  <c r="T6429" i="1"/>
  <c r="T6458" i="1"/>
  <c r="T6471" i="1"/>
  <c r="T6479" i="1"/>
  <c r="T6512" i="1"/>
  <c r="T6520" i="1"/>
  <c r="T6552" i="1"/>
  <c r="T6561" i="1"/>
  <c r="T6569" i="1"/>
  <c r="T6601" i="1"/>
  <c r="T6616" i="1"/>
  <c r="T6665" i="1"/>
  <c r="T6671" i="1"/>
  <c r="T6677" i="1"/>
  <c r="T6726" i="1"/>
  <c r="T6733" i="1"/>
  <c r="T6740" i="1"/>
  <c r="T6754" i="1"/>
  <c r="T6761" i="1"/>
  <c r="T6768" i="1"/>
  <c r="T6775" i="1"/>
  <c r="T6782" i="1"/>
  <c r="T6796" i="1"/>
  <c r="T6813" i="1"/>
  <c r="T6817" i="1"/>
  <c r="T6834" i="1"/>
  <c r="T6848" i="1"/>
  <c r="T6855" i="1"/>
  <c r="T6862" i="1"/>
  <c r="T6869" i="1"/>
  <c r="T6876" i="1"/>
  <c r="T6890" i="1"/>
  <c r="T6897" i="1"/>
  <c r="T6900" i="1"/>
  <c r="T6903" i="1"/>
  <c r="T6906" i="1"/>
  <c r="T6909" i="1"/>
  <c r="T6955" i="1"/>
  <c r="T6958" i="1"/>
  <c r="T6961" i="1"/>
  <c r="T6964" i="1"/>
  <c r="T6967" i="1"/>
  <c r="T6970" i="1"/>
  <c r="T6973" i="1"/>
  <c r="T7019" i="1"/>
  <c r="T7022" i="1"/>
  <c r="T7025" i="1"/>
  <c r="T7028" i="1"/>
  <c r="T7031" i="1"/>
  <c r="T7034" i="1"/>
  <c r="T7037" i="1"/>
  <c r="T7083" i="1"/>
  <c r="T7086" i="1"/>
  <c r="T7089" i="1"/>
  <c r="T7092" i="1"/>
  <c r="T7095" i="1"/>
  <c r="T7098" i="1"/>
  <c r="T7106" i="1"/>
  <c r="T7114" i="1"/>
  <c r="T7122" i="1"/>
  <c r="T7130" i="1"/>
  <c r="T7138" i="1"/>
  <c r="T7146" i="1"/>
  <c r="T7154" i="1"/>
  <c r="T7162" i="1"/>
  <c r="T7170" i="1"/>
  <c r="T7178" i="1"/>
  <c r="T7186" i="1"/>
  <c r="T7194" i="1"/>
  <c r="T7202" i="1"/>
  <c r="T7210" i="1"/>
  <c r="T7218" i="1"/>
  <c r="T7226" i="1"/>
  <c r="T7234" i="1"/>
  <c r="T7242" i="1"/>
  <c r="T7250" i="1"/>
  <c r="T7258" i="1"/>
  <c r="T7266" i="1"/>
  <c r="T7274" i="1"/>
  <c r="T7282" i="1"/>
  <c r="T7290" i="1"/>
  <c r="T7298" i="1"/>
  <c r="T7306" i="1"/>
  <c r="T7314" i="1"/>
  <c r="T7322" i="1"/>
  <c r="T7330" i="1"/>
  <c r="T7338" i="1"/>
  <c r="T7346" i="1"/>
  <c r="T7354" i="1"/>
  <c r="T7362" i="1"/>
  <c r="T7370" i="1"/>
  <c r="T7378" i="1"/>
  <c r="T7386" i="1"/>
  <c r="T7394" i="1"/>
  <c r="T7402" i="1"/>
  <c r="T7410" i="1"/>
  <c r="T7418" i="1"/>
  <c r="T7426" i="1"/>
  <c r="T7434" i="1"/>
  <c r="T7442" i="1"/>
  <c r="T7450" i="1"/>
  <c r="T7458" i="1"/>
  <c r="T7466" i="1"/>
  <c r="T7474" i="1"/>
  <c r="T7482" i="1"/>
  <c r="T7490" i="1"/>
  <c r="T7498" i="1"/>
  <c r="T7506" i="1"/>
  <c r="T7514" i="1"/>
  <c r="T7522" i="1"/>
  <c r="T7530" i="1"/>
  <c r="T7538" i="1"/>
  <c r="T7546" i="1"/>
  <c r="T7554" i="1"/>
  <c r="T6181" i="1"/>
  <c r="T6266" i="1"/>
  <c r="T6306" i="1"/>
  <c r="T6373" i="1"/>
  <c r="T6445" i="1"/>
  <c r="T6472" i="1"/>
  <c r="T6488" i="1"/>
  <c r="T6497" i="1"/>
  <c r="T6505" i="1"/>
  <c r="T6537" i="1"/>
  <c r="T6570" i="1"/>
  <c r="T6578" i="1"/>
  <c r="T6610" i="1"/>
  <c r="T6630" i="1"/>
  <c r="T6636" i="1"/>
  <c r="T6642" i="1"/>
  <c r="T6648" i="1"/>
  <c r="T6697" i="1"/>
  <c r="T6703" i="1"/>
  <c r="T6709" i="1"/>
  <c r="T6730" i="1"/>
  <c r="T6737" i="1"/>
  <c r="T6744" i="1"/>
  <c r="T6751" i="1"/>
  <c r="T6758" i="1"/>
  <c r="T6765" i="1"/>
  <c r="T6772" i="1"/>
  <c r="T6793" i="1"/>
  <c r="T6810" i="1"/>
  <c r="T6814" i="1"/>
  <c r="T6824" i="1"/>
  <c r="T6831" i="1"/>
  <c r="T6845" i="1"/>
  <c r="T6852" i="1"/>
  <c r="T6866" i="1"/>
  <c r="T6873" i="1"/>
  <c r="T6887" i="1"/>
  <c r="T6894" i="1"/>
  <c r="T6931" i="1"/>
  <c r="T6934" i="1"/>
  <c r="T6937" i="1"/>
  <c r="T6940" i="1"/>
  <c r="T6943" i="1"/>
  <c r="T6946" i="1"/>
  <c r="T6949" i="1"/>
  <c r="T6995" i="1"/>
  <c r="T6998" i="1"/>
  <c r="T7001" i="1"/>
  <c r="T7004" i="1"/>
  <c r="T7007" i="1"/>
  <c r="T7010" i="1"/>
  <c r="T7013" i="1"/>
  <c r="T7059" i="1"/>
  <c r="T7062" i="1"/>
  <c r="T7065" i="1"/>
  <c r="T7068" i="1"/>
  <c r="T7071" i="1"/>
  <c r="T7074" i="1"/>
  <c r="T7077" i="1"/>
  <c r="T7101" i="1"/>
  <c r="T7109" i="1"/>
  <c r="T7117" i="1"/>
  <c r="T7125" i="1"/>
  <c r="T7133" i="1"/>
  <c r="T7141" i="1"/>
  <c r="T7149" i="1"/>
  <c r="T7157" i="1"/>
  <c r="T7165" i="1"/>
  <c r="T7173" i="1"/>
  <c r="T7181" i="1"/>
  <c r="T7189" i="1"/>
  <c r="T7197" i="1"/>
  <c r="T7205" i="1"/>
  <c r="T7213" i="1"/>
  <c r="T7221" i="1"/>
  <c r="T7229" i="1"/>
  <c r="T7237" i="1"/>
  <c r="T7245" i="1"/>
  <c r="T7253" i="1"/>
  <c r="T7261" i="1"/>
  <c r="T7269" i="1"/>
  <c r="T7277" i="1"/>
  <c r="T7285" i="1"/>
  <c r="T7293" i="1"/>
  <c r="T7301" i="1"/>
  <c r="T7309" i="1"/>
  <c r="T7317" i="1"/>
  <c r="T7325" i="1"/>
  <c r="T7333" i="1"/>
  <c r="T7341" i="1"/>
  <c r="T7349" i="1"/>
  <c r="T7357" i="1"/>
  <c r="T7365" i="1"/>
  <c r="T7373" i="1"/>
  <c r="T7381" i="1"/>
  <c r="T7389" i="1"/>
  <c r="T7397" i="1"/>
  <c r="T7405" i="1"/>
  <c r="T7413" i="1"/>
  <c r="T7421" i="1"/>
  <c r="T6146" i="1"/>
  <c r="T6270" i="1"/>
  <c r="T6362" i="1"/>
  <c r="T6389" i="1"/>
  <c r="T6461" i="1"/>
  <c r="T6506" i="1"/>
  <c r="T6514" i="1"/>
  <c r="T6546" i="1"/>
  <c r="T6618" i="1"/>
  <c r="T6624" i="1"/>
  <c r="T6673" i="1"/>
  <c r="T6679" i="1"/>
  <c r="T6685" i="1"/>
  <c r="T6734" i="1"/>
  <c r="T6741" i="1"/>
  <c r="T6748" i="1"/>
  <c r="T6762" i="1"/>
  <c r="T6769" i="1"/>
  <c r="T6790" i="1"/>
  <c r="T6800" i="1"/>
  <c r="T6807" i="1"/>
  <c r="T6821" i="1"/>
  <c r="T6828" i="1"/>
  <c r="T6842" i="1"/>
  <c r="T6849" i="1"/>
  <c r="T6863" i="1"/>
  <c r="T6870" i="1"/>
  <c r="T6880" i="1"/>
  <c r="T6884" i="1"/>
  <c r="T6907" i="1"/>
  <c r="T6910" i="1"/>
  <c r="T6913" i="1"/>
  <c r="T6916" i="1"/>
  <c r="T6919" i="1"/>
  <c r="T6922" i="1"/>
  <c r="T6925" i="1"/>
  <c r="T6971" i="1"/>
  <c r="T6974" i="1"/>
  <c r="T6977" i="1"/>
  <c r="T6980" i="1"/>
  <c r="T6983" i="1"/>
  <c r="T6986" i="1"/>
  <c r="T6989" i="1"/>
  <c r="T7035" i="1"/>
  <c r="T7038" i="1"/>
  <c r="T7041" i="1"/>
  <c r="T7044" i="1"/>
  <c r="T7047" i="1"/>
  <c r="T7050" i="1"/>
  <c r="T7053" i="1"/>
  <c r="T7104" i="1"/>
  <c r="T7112" i="1"/>
  <c r="T7120" i="1"/>
  <c r="T7128" i="1"/>
  <c r="T7136" i="1"/>
  <c r="T7144" i="1"/>
  <c r="T7152" i="1"/>
  <c r="T7160" i="1"/>
  <c r="T7168" i="1"/>
  <c r="T7176" i="1"/>
  <c r="T7184" i="1"/>
  <c r="T7192" i="1"/>
  <c r="T7200" i="1"/>
  <c r="T7208" i="1"/>
  <c r="T7216" i="1"/>
  <c r="T7224" i="1"/>
  <c r="T7232" i="1"/>
  <c r="T7240" i="1"/>
  <c r="T7248" i="1"/>
  <c r="T7256" i="1"/>
  <c r="T7264" i="1"/>
  <c r="T7272" i="1"/>
  <c r="T7280" i="1"/>
  <c r="T7288" i="1"/>
  <c r="T7296" i="1"/>
  <c r="T7304" i="1"/>
  <c r="T7312" i="1"/>
  <c r="T7320" i="1"/>
  <c r="T7328" i="1"/>
  <c r="T6060" i="1"/>
  <c r="T6149" i="1"/>
  <c r="T6309" i="1"/>
  <c r="T6330" i="1"/>
  <c r="T6378" i="1"/>
  <c r="T6405" i="1"/>
  <c r="T6482" i="1"/>
  <c r="T6564" i="1"/>
  <c r="T6572" i="1"/>
  <c r="T6604" i="1"/>
  <c r="T6625" i="1"/>
  <c r="T6631" i="1"/>
  <c r="T6637" i="1"/>
  <c r="T6686" i="1"/>
  <c r="T6692" i="1"/>
  <c r="T6698" i="1"/>
  <c r="T6704" i="1"/>
  <c r="T6738" i="1"/>
  <c r="T6745" i="1"/>
  <c r="T6759" i="1"/>
  <c r="T6766" i="1"/>
  <c r="T6776" i="1"/>
  <c r="T6797" i="1"/>
  <c r="T6804" i="1"/>
  <c r="T6818" i="1"/>
  <c r="T6825" i="1"/>
  <c r="T6832" i="1"/>
  <c r="T6839" i="1"/>
  <c r="T6846" i="1"/>
  <c r="T6860" i="1"/>
  <c r="T6877" i="1"/>
  <c r="T6881" i="1"/>
  <c r="T6898" i="1"/>
  <c r="T6901" i="1"/>
  <c r="T6947" i="1"/>
  <c r="T6950" i="1"/>
  <c r="T6953" i="1"/>
  <c r="T6956" i="1"/>
  <c r="T6959" i="1"/>
  <c r="T6962" i="1"/>
  <c r="T6965" i="1"/>
  <c r="T7011" i="1"/>
  <c r="T7014" i="1"/>
  <c r="T7017" i="1"/>
  <c r="T7020" i="1"/>
  <c r="T7023" i="1"/>
  <c r="T7026" i="1"/>
  <c r="T7029" i="1"/>
  <c r="T7075" i="1"/>
  <c r="T7078" i="1"/>
  <c r="T7081" i="1"/>
  <c r="T7084" i="1"/>
  <c r="T7087" i="1"/>
  <c r="T7090" i="1"/>
  <c r="T7093" i="1"/>
  <c r="T7099" i="1"/>
  <c r="T7107" i="1"/>
  <c r="T7115" i="1"/>
  <c r="T7123" i="1"/>
  <c r="T7131" i="1"/>
  <c r="T7139" i="1"/>
  <c r="T7147" i="1"/>
  <c r="T7155" i="1"/>
  <c r="T7163" i="1"/>
  <c r="T7171" i="1"/>
  <c r="T6114" i="1"/>
  <c r="T6242" i="1"/>
  <c r="T6274" i="1"/>
  <c r="T6294" i="1"/>
  <c r="T6365" i="1"/>
  <c r="T6394" i="1"/>
  <c r="T6421" i="1"/>
  <c r="T6500" i="1"/>
  <c r="T6508" i="1"/>
  <c r="T6540" i="1"/>
  <c r="T6573" i="1"/>
  <c r="T6581" i="1"/>
  <c r="T6613" i="1"/>
  <c r="T6662" i="1"/>
  <c r="T6668" i="1"/>
  <c r="T6674" i="1"/>
  <c r="T6680" i="1"/>
  <c r="T6117" i="1"/>
  <c r="T6245" i="1"/>
  <c r="T6277" i="1"/>
  <c r="T6334" i="1"/>
  <c r="T6381" i="1"/>
  <c r="T6410" i="1"/>
  <c r="T6437" i="1"/>
  <c r="T6476" i="1"/>
  <c r="T6509" i="1"/>
  <c r="T6517" i="1"/>
  <c r="T6549" i="1"/>
  <c r="T6558" i="1"/>
  <c r="T6566" i="1"/>
  <c r="T6598" i="1"/>
  <c r="T6633" i="1"/>
  <c r="T6639" i="1"/>
  <c r="T6645" i="1"/>
  <c r="T6694" i="1"/>
  <c r="T6700" i="1"/>
  <c r="T6706" i="1"/>
  <c r="T6712" i="1"/>
  <c r="T6732" i="1"/>
  <c r="T6749" i="1"/>
  <c r="T6753" i="1"/>
  <c r="T6770" i="1"/>
  <c r="T6784" i="1"/>
  <c r="T6791" i="1"/>
  <c r="T6798" i="1"/>
  <c r="T6805" i="1"/>
  <c r="T6812" i="1"/>
  <c r="T6826" i="1"/>
  <c r="T6833" i="1"/>
  <c r="T6854" i="1"/>
  <c r="T6864" i="1"/>
  <c r="T6871" i="1"/>
  <c r="T6885" i="1"/>
  <c r="T6892" i="1"/>
  <c r="T6899" i="1"/>
  <c r="T6902" i="1"/>
  <c r="T6905" i="1"/>
  <c r="T6908" i="1"/>
  <c r="T6911" i="1"/>
  <c r="T6914" i="1"/>
  <c r="T6917" i="1"/>
  <c r="T6963" i="1"/>
  <c r="T6966" i="1"/>
  <c r="T6969" i="1"/>
  <c r="T6972" i="1"/>
  <c r="T6975" i="1"/>
  <c r="T6978" i="1"/>
  <c r="T6981" i="1"/>
  <c r="T7027" i="1"/>
  <c r="T7030" i="1"/>
  <c r="T7033" i="1"/>
  <c r="T7036" i="1"/>
  <c r="T7039" i="1"/>
  <c r="T7042" i="1"/>
  <c r="T7045" i="1"/>
  <c r="T7091" i="1"/>
  <c r="T7094" i="1"/>
  <c r="T7097" i="1"/>
  <c r="T7105" i="1"/>
  <c r="T7113" i="1"/>
  <c r="T7121" i="1"/>
  <c r="T7129" i="1"/>
  <c r="T7137" i="1"/>
  <c r="T6081" i="1"/>
  <c r="T6210" i="1"/>
  <c r="T6397" i="1"/>
  <c r="T6426" i="1"/>
  <c r="T6453" i="1"/>
  <c r="T6485" i="1"/>
  <c r="T6494" i="1"/>
  <c r="T6502" i="1"/>
  <c r="T6534" i="1"/>
  <c r="T6567" i="1"/>
  <c r="T6575" i="1"/>
  <c r="T6607" i="1"/>
  <c r="T6615" i="1"/>
  <c r="T6621" i="1"/>
  <c r="T6670" i="1"/>
  <c r="T6676" i="1"/>
  <c r="T6682" i="1"/>
  <c r="T6688" i="1"/>
  <c r="T6742" i="1"/>
  <c r="T6756" i="1"/>
  <c r="T6895" i="1"/>
  <c r="T6932" i="1"/>
  <c r="T6993" i="1"/>
  <c r="T7005" i="1"/>
  <c r="T7054" i="1"/>
  <c r="T7066" i="1"/>
  <c r="T7102" i="1"/>
  <c r="T7134" i="1"/>
  <c r="T7158" i="1"/>
  <c r="T7164" i="1"/>
  <c r="T7177" i="1"/>
  <c r="T7193" i="1"/>
  <c r="T7209" i="1"/>
  <c r="T7225" i="1"/>
  <c r="T7241" i="1"/>
  <c r="T7257" i="1"/>
  <c r="T7273" i="1"/>
  <c r="T7289" i="1"/>
  <c r="T7305" i="1"/>
  <c r="T7321" i="1"/>
  <c r="T7340" i="1"/>
  <c r="T7353" i="1"/>
  <c r="T7366" i="1"/>
  <c r="T7379" i="1"/>
  <c r="T7392" i="1"/>
  <c r="T7404" i="1"/>
  <c r="T7417" i="1"/>
  <c r="T7433" i="1"/>
  <c r="T7437" i="1"/>
  <c r="T7451" i="1"/>
  <c r="T7465" i="1"/>
  <c r="T7469" i="1"/>
  <c r="T7483" i="1"/>
  <c r="T7497" i="1"/>
  <c r="T7501" i="1"/>
  <c r="T7515" i="1"/>
  <c r="T7529" i="1"/>
  <c r="T7533" i="1"/>
  <c r="T7547" i="1"/>
  <c r="T7594" i="1"/>
  <c r="T7597" i="1"/>
  <c r="T7600" i="1"/>
  <c r="T7603" i="1"/>
  <c r="T7606" i="1"/>
  <c r="T7609" i="1"/>
  <c r="T7612" i="1"/>
  <c r="T7658" i="1"/>
  <c r="T7661" i="1"/>
  <c r="T7664" i="1"/>
  <c r="T7667" i="1"/>
  <c r="T7670" i="1"/>
  <c r="T7673" i="1"/>
  <c r="T7676" i="1"/>
  <c r="T7722" i="1"/>
  <c r="T7725" i="1"/>
  <c r="T7728" i="1"/>
  <c r="T7731" i="1"/>
  <c r="T7734" i="1"/>
  <c r="T7737" i="1"/>
  <c r="T7740" i="1"/>
  <c r="T7748" i="1"/>
  <c r="T7756" i="1"/>
  <c r="T7764" i="1"/>
  <c r="T7772" i="1"/>
  <c r="T7780" i="1"/>
  <c r="T7788" i="1"/>
  <c r="T7796" i="1"/>
  <c r="T7804" i="1"/>
  <c r="T7812" i="1"/>
  <c r="T7820" i="1"/>
  <c r="T7828" i="1"/>
  <c r="T7836" i="1"/>
  <c r="T7844" i="1"/>
  <c r="T7852" i="1"/>
  <c r="T7860" i="1"/>
  <c r="T7868" i="1"/>
  <c r="T7876" i="1"/>
  <c r="T7884" i="1"/>
  <c r="T7892" i="1"/>
  <c r="T7900" i="1"/>
  <c r="T7908" i="1"/>
  <c r="T7916" i="1"/>
  <c r="T7924" i="1"/>
  <c r="T7932" i="1"/>
  <c r="T7940" i="1"/>
  <c r="T7948" i="1"/>
  <c r="T7956" i="1"/>
  <c r="T7964" i="1"/>
  <c r="T7972" i="1"/>
  <c r="T7980" i="1"/>
  <c r="T7988" i="1"/>
  <c r="T7996" i="1"/>
  <c r="T8004" i="1"/>
  <c r="T8012" i="1"/>
  <c r="T8020" i="1"/>
  <c r="T8028" i="1"/>
  <c r="T8036" i="1"/>
  <c r="T8044" i="1"/>
  <c r="T8052" i="1"/>
  <c r="T8060" i="1"/>
  <c r="T8068" i="1"/>
  <c r="T8076" i="1"/>
  <c r="T8084" i="1"/>
  <c r="T8092" i="1"/>
  <c r="T8100" i="1"/>
  <c r="T8108" i="1"/>
  <c r="T8116" i="1"/>
  <c r="T8124" i="1"/>
  <c r="T8132" i="1"/>
  <c r="T8140" i="1"/>
  <c r="T8148" i="1"/>
  <c r="T8156" i="1"/>
  <c r="T8164" i="1"/>
  <c r="T8172" i="1"/>
  <c r="T8180" i="1"/>
  <c r="T8188" i="1"/>
  <c r="T8196" i="1"/>
  <c r="T8204" i="1"/>
  <c r="T8212" i="1"/>
  <c r="T8220" i="1"/>
  <c r="T8228" i="1"/>
  <c r="T8236" i="1"/>
  <c r="T8244" i="1"/>
  <c r="T8252" i="1"/>
  <c r="T8260" i="1"/>
  <c r="T8268" i="1"/>
  <c r="T8276" i="1"/>
  <c r="T8284" i="1"/>
  <c r="T8292" i="1"/>
  <c r="T8300" i="1"/>
  <c r="T8308" i="1"/>
  <c r="T8316" i="1"/>
  <c r="T8324" i="1"/>
  <c r="T8332" i="1"/>
  <c r="T8340" i="1"/>
  <c r="T8348" i="1"/>
  <c r="T8356" i="1"/>
  <c r="T8364" i="1"/>
  <c r="T8372" i="1"/>
  <c r="T8380" i="1"/>
  <c r="T8388" i="1"/>
  <c r="T8396" i="1"/>
  <c r="T8404" i="1"/>
  <c r="T8412" i="1"/>
  <c r="T8420" i="1"/>
  <c r="T8428" i="1"/>
  <c r="T8436" i="1"/>
  <c r="T8444" i="1"/>
  <c r="T8452" i="1"/>
  <c r="T8460" i="1"/>
  <c r="T8468" i="1"/>
  <c r="T8476" i="1"/>
  <c r="T8484" i="1"/>
  <c r="T8492" i="1"/>
  <c r="T8500" i="1"/>
  <c r="T8508" i="1"/>
  <c r="T8516" i="1"/>
  <c r="T8524" i="1"/>
  <c r="T8532" i="1"/>
  <c r="T8540" i="1"/>
  <c r="T8548" i="1"/>
  <c r="T8556" i="1"/>
  <c r="T8564" i="1"/>
  <c r="T8572" i="1"/>
  <c r="T8580" i="1"/>
  <c r="T8588" i="1"/>
  <c r="T8596" i="1"/>
  <c r="T8604" i="1"/>
  <c r="T8612" i="1"/>
  <c r="T8620" i="1"/>
  <c r="T8628" i="1"/>
  <c r="T8636" i="1"/>
  <c r="T8644" i="1"/>
  <c r="T8652" i="1"/>
  <c r="T8660" i="1"/>
  <c r="T8668" i="1"/>
  <c r="T8676" i="1"/>
  <c r="T8684" i="1"/>
  <c r="T8692" i="1"/>
  <c r="T8700" i="1"/>
  <c r="T8708" i="1"/>
  <c r="T8716" i="1"/>
  <c r="T8724" i="1"/>
  <c r="T8732" i="1"/>
  <c r="T8740" i="1"/>
  <c r="T8748" i="1"/>
  <c r="T8756" i="1"/>
  <c r="T8764" i="1"/>
  <c r="T8772" i="1"/>
  <c r="T8780" i="1"/>
  <c r="T8788" i="1"/>
  <c r="T8796" i="1"/>
  <c r="T8804" i="1"/>
  <c r="T8812" i="1"/>
  <c r="T8820" i="1"/>
  <c r="T8828" i="1"/>
  <c r="T8836" i="1"/>
  <c r="T8844" i="1"/>
  <c r="T6729" i="1"/>
  <c r="T6840" i="1"/>
  <c r="T6868" i="1"/>
  <c r="T6882" i="1"/>
  <c r="T6896" i="1"/>
  <c r="T6945" i="1"/>
  <c r="T6957" i="1"/>
  <c r="T7006" i="1"/>
  <c r="T7018" i="1"/>
  <c r="T7067" i="1"/>
  <c r="T7079" i="1"/>
  <c r="T7124" i="1"/>
  <c r="T7166" i="1"/>
  <c r="T7172" i="1"/>
  <c r="T7188" i="1"/>
  <c r="T7204" i="1"/>
  <c r="T7220" i="1"/>
  <c r="T7236" i="1"/>
  <c r="T7252" i="1"/>
  <c r="T7268" i="1"/>
  <c r="T7284" i="1"/>
  <c r="T7300" i="1"/>
  <c r="T7316" i="1"/>
  <c r="T7332" i="1"/>
  <c r="T7345" i="1"/>
  <c r="T7358" i="1"/>
  <c r="T7371" i="1"/>
  <c r="T7384" i="1"/>
  <c r="T7396" i="1"/>
  <c r="T7409" i="1"/>
  <c r="T7422" i="1"/>
  <c r="T7430" i="1"/>
  <c r="T7444" i="1"/>
  <c r="T7448" i="1"/>
  <c r="T7462" i="1"/>
  <c r="T7476" i="1"/>
  <c r="T7480" i="1"/>
  <c r="T7494" i="1"/>
  <c r="T7508" i="1"/>
  <c r="T7512" i="1"/>
  <c r="T7526" i="1"/>
  <c r="T7540" i="1"/>
  <c r="T7544" i="1"/>
  <c r="T7570" i="1"/>
  <c r="T7573" i="1"/>
  <c r="T7576" i="1"/>
  <c r="T7579" i="1"/>
  <c r="T7582" i="1"/>
  <c r="T7585" i="1"/>
  <c r="T7588" i="1"/>
  <c r="T7634" i="1"/>
  <c r="T7637" i="1"/>
  <c r="T7640" i="1"/>
  <c r="T7643" i="1"/>
  <c r="T7646" i="1"/>
  <c r="T7649" i="1"/>
  <c r="T7652" i="1"/>
  <c r="T7698" i="1"/>
  <c r="T7701" i="1"/>
  <c r="T7704" i="1"/>
  <c r="T7707" i="1"/>
  <c r="T7710" i="1"/>
  <c r="T7713" i="1"/>
  <c r="T7716" i="1"/>
  <c r="T7743" i="1"/>
  <c r="T7751" i="1"/>
  <c r="T7759" i="1"/>
  <c r="T7767" i="1"/>
  <c r="T7775" i="1"/>
  <c r="T7783" i="1"/>
  <c r="T7791" i="1"/>
  <c r="T7799" i="1"/>
  <c r="T7807" i="1"/>
  <c r="T7815" i="1"/>
  <c r="T7823" i="1"/>
  <c r="T7831" i="1"/>
  <c r="T7839" i="1"/>
  <c r="T7847" i="1"/>
  <c r="T7855" i="1"/>
  <c r="T7863" i="1"/>
  <c r="T7871" i="1"/>
  <c r="T7879" i="1"/>
  <c r="T7887" i="1"/>
  <c r="T7895" i="1"/>
  <c r="T7903" i="1"/>
  <c r="T7911" i="1"/>
  <c r="T7919" i="1"/>
  <c r="T7927" i="1"/>
  <c r="T7935" i="1"/>
  <c r="T7943" i="1"/>
  <c r="T7951" i="1"/>
  <c r="T7959" i="1"/>
  <c r="T7967" i="1"/>
  <c r="T7975" i="1"/>
  <c r="T7983" i="1"/>
  <c r="T7991" i="1"/>
  <c r="T7999" i="1"/>
  <c r="T8007" i="1"/>
  <c r="T8015" i="1"/>
  <c r="T8023" i="1"/>
  <c r="T8031" i="1"/>
  <c r="T8039" i="1"/>
  <c r="T8047" i="1"/>
  <c r="T8055" i="1"/>
  <c r="T8063" i="1"/>
  <c r="T8071" i="1"/>
  <c r="T8079" i="1"/>
  <c r="T8087" i="1"/>
  <c r="T8095" i="1"/>
  <c r="T8103" i="1"/>
  <c r="T8111" i="1"/>
  <c r="T8119" i="1"/>
  <c r="T8127" i="1"/>
  <c r="T8135" i="1"/>
  <c r="T8143" i="1"/>
  <c r="T6773" i="1"/>
  <c r="T6801" i="1"/>
  <c r="T6815" i="1"/>
  <c r="T6829" i="1"/>
  <c r="T6857" i="1"/>
  <c r="T6923" i="1"/>
  <c r="T6935" i="1"/>
  <c r="T6996" i="1"/>
  <c r="T7057" i="1"/>
  <c r="T7069" i="1"/>
  <c r="T7126" i="1"/>
  <c r="T7145" i="1"/>
  <c r="T7179" i="1"/>
  <c r="T7195" i="1"/>
  <c r="T7211" i="1"/>
  <c r="T7227" i="1"/>
  <c r="T7243" i="1"/>
  <c r="T7259" i="1"/>
  <c r="T7275" i="1"/>
  <c r="T7291" i="1"/>
  <c r="T7307" i="1"/>
  <c r="T7323" i="1"/>
  <c r="T7337" i="1"/>
  <c r="T7350" i="1"/>
  <c r="T7363" i="1"/>
  <c r="T7376" i="1"/>
  <c r="T7388" i="1"/>
  <c r="T7401" i="1"/>
  <c r="T7414" i="1"/>
  <c r="T7427" i="1"/>
  <c r="T7441" i="1"/>
  <c r="T7445" i="1"/>
  <c r="T7459" i="1"/>
  <c r="T7473" i="1"/>
  <c r="T7477" i="1"/>
  <c r="T7491" i="1"/>
  <c r="T7505" i="1"/>
  <c r="T7509" i="1"/>
  <c r="T7523" i="1"/>
  <c r="T7537" i="1"/>
  <c r="T7541" i="1"/>
  <c r="T7555" i="1"/>
  <c r="T7558" i="1"/>
  <c r="T7561" i="1"/>
  <c r="T7564" i="1"/>
  <c r="T7610" i="1"/>
  <c r="T7613" i="1"/>
  <c r="T7616" i="1"/>
  <c r="T7619" i="1"/>
  <c r="T7622" i="1"/>
  <c r="T7625" i="1"/>
  <c r="T7628" i="1"/>
  <c r="T7674" i="1"/>
  <c r="T7677" i="1"/>
  <c r="T7680" i="1"/>
  <c r="T7683" i="1"/>
  <c r="T7686" i="1"/>
  <c r="T7689" i="1"/>
  <c r="T7692" i="1"/>
  <c r="T7738" i="1"/>
  <c r="T7746" i="1"/>
  <c r="T7754" i="1"/>
  <c r="T7762" i="1"/>
  <c r="T7770" i="1"/>
  <c r="T7778" i="1"/>
  <c r="T7786" i="1"/>
  <c r="T7794" i="1"/>
  <c r="T7802" i="1"/>
  <c r="T7810" i="1"/>
  <c r="T7818" i="1"/>
  <c r="T7826" i="1"/>
  <c r="T7834" i="1"/>
  <c r="T7842" i="1"/>
  <c r="T7850" i="1"/>
  <c r="T7858" i="1"/>
  <c r="T7866" i="1"/>
  <c r="T7874" i="1"/>
  <c r="T7882" i="1"/>
  <c r="T7890" i="1"/>
  <c r="T7898" i="1"/>
  <c r="T7906" i="1"/>
  <c r="T7914" i="1"/>
  <c r="T7922" i="1"/>
  <c r="T7930" i="1"/>
  <c r="T7938" i="1"/>
  <c r="T7946" i="1"/>
  <c r="T7954" i="1"/>
  <c r="T7962" i="1"/>
  <c r="T7970" i="1"/>
  <c r="T7978" i="1"/>
  <c r="T7986" i="1"/>
  <c r="T7994" i="1"/>
  <c r="T8002" i="1"/>
  <c r="T8010" i="1"/>
  <c r="T8018" i="1"/>
  <c r="T8026" i="1"/>
  <c r="T8034" i="1"/>
  <c r="T8042" i="1"/>
  <c r="T8050" i="1"/>
  <c r="T8058" i="1"/>
  <c r="T8066" i="1"/>
  <c r="T8074" i="1"/>
  <c r="T8082" i="1"/>
  <c r="T8090" i="1"/>
  <c r="T8098" i="1"/>
  <c r="T8106" i="1"/>
  <c r="T8114" i="1"/>
  <c r="T8122" i="1"/>
  <c r="T8130" i="1"/>
  <c r="T8138" i="1"/>
  <c r="T8146" i="1"/>
  <c r="T8154" i="1"/>
  <c r="T8162" i="1"/>
  <c r="T8170" i="1"/>
  <c r="T8178" i="1"/>
  <c r="T8186" i="1"/>
  <c r="T8194" i="1"/>
  <c r="T8202" i="1"/>
  <c r="T8210" i="1"/>
  <c r="T8218" i="1"/>
  <c r="T8226" i="1"/>
  <c r="T8234" i="1"/>
  <c r="T8242" i="1"/>
  <c r="T8250" i="1"/>
  <c r="T8258" i="1"/>
  <c r="T8266" i="1"/>
  <c r="T8274" i="1"/>
  <c r="T8282" i="1"/>
  <c r="T8290" i="1"/>
  <c r="T8298" i="1"/>
  <c r="T8306" i="1"/>
  <c r="T8314" i="1"/>
  <c r="T8322" i="1"/>
  <c r="T6746" i="1"/>
  <c r="T6760" i="1"/>
  <c r="T6788" i="1"/>
  <c r="T6802" i="1"/>
  <c r="T6830" i="1"/>
  <c r="T6948" i="1"/>
  <c r="T7009" i="1"/>
  <c r="T7021" i="1"/>
  <c r="T7070" i="1"/>
  <c r="T7082" i="1"/>
  <c r="T7116" i="1"/>
  <c r="T7153" i="1"/>
  <c r="T7174" i="1"/>
  <c r="T7190" i="1"/>
  <c r="T7206" i="1"/>
  <c r="T7222" i="1"/>
  <c r="T7238" i="1"/>
  <c r="T7254" i="1"/>
  <c r="T7270" i="1"/>
  <c r="T7286" i="1"/>
  <c r="T7302" i="1"/>
  <c r="T7318" i="1"/>
  <c r="T7342" i="1"/>
  <c r="T7355" i="1"/>
  <c r="T7368" i="1"/>
  <c r="T7380" i="1"/>
  <c r="T7393" i="1"/>
  <c r="T7406" i="1"/>
  <c r="T7419" i="1"/>
  <c r="T7438" i="1"/>
  <c r="T7452" i="1"/>
  <c r="T7456" i="1"/>
  <c r="T7470" i="1"/>
  <c r="T7484" i="1"/>
  <c r="T7488" i="1"/>
  <c r="T7502" i="1"/>
  <c r="T7516" i="1"/>
  <c r="T7520" i="1"/>
  <c r="T7534" i="1"/>
  <c r="T7548" i="1"/>
  <c r="T7552" i="1"/>
  <c r="T7586" i="1"/>
  <c r="T7589" i="1"/>
  <c r="T7592" i="1"/>
  <c r="T7595" i="1"/>
  <c r="T7598" i="1"/>
  <c r="T7601" i="1"/>
  <c r="T7604" i="1"/>
  <c r="T7650" i="1"/>
  <c r="T7653" i="1"/>
  <c r="T7656" i="1"/>
  <c r="T7659" i="1"/>
  <c r="T7662" i="1"/>
  <c r="T7665" i="1"/>
  <c r="T7668" i="1"/>
  <c r="T7714" i="1"/>
  <c r="T7717" i="1"/>
  <c r="T7720" i="1"/>
  <c r="T7723" i="1"/>
  <c r="T7726" i="1"/>
  <c r="T7729" i="1"/>
  <c r="T7732" i="1"/>
  <c r="T7741" i="1"/>
  <c r="T7749" i="1"/>
  <c r="T7757" i="1"/>
  <c r="T7765" i="1"/>
  <c r="T7773" i="1"/>
  <c r="T7781" i="1"/>
  <c r="T7789" i="1"/>
  <c r="T7797" i="1"/>
  <c r="T7805" i="1"/>
  <c r="T7813" i="1"/>
  <c r="T7821" i="1"/>
  <c r="T7829" i="1"/>
  <c r="T7837" i="1"/>
  <c r="T7845" i="1"/>
  <c r="T7853" i="1"/>
  <c r="T7861" i="1"/>
  <c r="T7869" i="1"/>
  <c r="T7877" i="1"/>
  <c r="T7885" i="1"/>
  <c r="T7893" i="1"/>
  <c r="T7901" i="1"/>
  <c r="T7909" i="1"/>
  <c r="T7917" i="1"/>
  <c r="T7925" i="1"/>
  <c r="T7933" i="1"/>
  <c r="T7941" i="1"/>
  <c r="T7949" i="1"/>
  <c r="T7957" i="1"/>
  <c r="T7965" i="1"/>
  <c r="T7973" i="1"/>
  <c r="T7981" i="1"/>
  <c r="T7989" i="1"/>
  <c r="T7997" i="1"/>
  <c r="T8005" i="1"/>
  <c r="T8013" i="1"/>
  <c r="T8021" i="1"/>
  <c r="T8029" i="1"/>
  <c r="T8037" i="1"/>
  <c r="T8045" i="1"/>
  <c r="T8053" i="1"/>
  <c r="T8061" i="1"/>
  <c r="T8069" i="1"/>
  <c r="T8077" i="1"/>
  <c r="T8085" i="1"/>
  <c r="T8093" i="1"/>
  <c r="T8101" i="1"/>
  <c r="T8109" i="1"/>
  <c r="T8117" i="1"/>
  <c r="T8125" i="1"/>
  <c r="T8133" i="1"/>
  <c r="T8141" i="1"/>
  <c r="T8149" i="1"/>
  <c r="T8157" i="1"/>
  <c r="T8165" i="1"/>
  <c r="T8173" i="1"/>
  <c r="T8181" i="1"/>
  <c r="T8189" i="1"/>
  <c r="T8197" i="1"/>
  <c r="T8205" i="1"/>
  <c r="T8213" i="1"/>
  <c r="T8221" i="1"/>
  <c r="T8229" i="1"/>
  <c r="T8237" i="1"/>
  <c r="T8245" i="1"/>
  <c r="T8253" i="1"/>
  <c r="T8261" i="1"/>
  <c r="T8269" i="1"/>
  <c r="T8277" i="1"/>
  <c r="T8285" i="1"/>
  <c r="T8293" i="1"/>
  <c r="T8301" i="1"/>
  <c r="T8309" i="1"/>
  <c r="T8317" i="1"/>
  <c r="T8325" i="1"/>
  <c r="T6735" i="1"/>
  <c r="T6874" i="1"/>
  <c r="T6888" i="1"/>
  <c r="T6926" i="1"/>
  <c r="T6938" i="1"/>
  <c r="T6987" i="1"/>
  <c r="T6999" i="1"/>
  <c r="T7060" i="1"/>
  <c r="T7118" i="1"/>
  <c r="T7161" i="1"/>
  <c r="T7185" i="1"/>
  <c r="T7201" i="1"/>
  <c r="T7217" i="1"/>
  <c r="T7233" i="1"/>
  <c r="T7249" i="1"/>
  <c r="T7265" i="1"/>
  <c r="T7281" i="1"/>
  <c r="T7297" i="1"/>
  <c r="T7313" i="1"/>
  <c r="T7329" i="1"/>
  <c r="T7334" i="1"/>
  <c r="T7347" i="1"/>
  <c r="T7360" i="1"/>
  <c r="T7372" i="1"/>
  <c r="T7385" i="1"/>
  <c r="T7398" i="1"/>
  <c r="T7411" i="1"/>
  <c r="T7424" i="1"/>
  <c r="T7435" i="1"/>
  <c r="T7449" i="1"/>
  <c r="T7453" i="1"/>
  <c r="T7467" i="1"/>
  <c r="T7481" i="1"/>
  <c r="T7485" i="1"/>
  <c r="T7499" i="1"/>
  <c r="T7513" i="1"/>
  <c r="T7517" i="1"/>
  <c r="T7531" i="1"/>
  <c r="T7545" i="1"/>
  <c r="T7549" i="1"/>
  <c r="T7562" i="1"/>
  <c r="T7565" i="1"/>
  <c r="T7568" i="1"/>
  <c r="T7571" i="1"/>
  <c r="T7574" i="1"/>
  <c r="T7577" i="1"/>
  <c r="T7580" i="1"/>
  <c r="T7626" i="1"/>
  <c r="T7629" i="1"/>
  <c r="T7632" i="1"/>
  <c r="T7635" i="1"/>
  <c r="T7638" i="1"/>
  <c r="T7641" i="1"/>
  <c r="T7644" i="1"/>
  <c r="T7690" i="1"/>
  <c r="T7693" i="1"/>
  <c r="T7696" i="1"/>
  <c r="T7699" i="1"/>
  <c r="T7702" i="1"/>
  <c r="T7705" i="1"/>
  <c r="T7708" i="1"/>
  <c r="T7744" i="1"/>
  <c r="T7752" i="1"/>
  <c r="T7760" i="1"/>
  <c r="T7768" i="1"/>
  <c r="T7776" i="1"/>
  <c r="T7784" i="1"/>
  <c r="T7792" i="1"/>
  <c r="T7800" i="1"/>
  <c r="T7808" i="1"/>
  <c r="T7816" i="1"/>
  <c r="T7824" i="1"/>
  <c r="T7832" i="1"/>
  <c r="T7840" i="1"/>
  <c r="T7848" i="1"/>
  <c r="T7856" i="1"/>
  <c r="T7864" i="1"/>
  <c r="T7872" i="1"/>
  <c r="T7880" i="1"/>
  <c r="T7888" i="1"/>
  <c r="T7896" i="1"/>
  <c r="T7904" i="1"/>
  <c r="T7912" i="1"/>
  <c r="T7920" i="1"/>
  <c r="T7928" i="1"/>
  <c r="T7936" i="1"/>
  <c r="T7944" i="1"/>
  <c r="T7952" i="1"/>
  <c r="T7960" i="1"/>
  <c r="T7968" i="1"/>
  <c r="T7976" i="1"/>
  <c r="T7984" i="1"/>
  <c r="T7992" i="1"/>
  <c r="T8000" i="1"/>
  <c r="T8008" i="1"/>
  <c r="T8016" i="1"/>
  <c r="T8024" i="1"/>
  <c r="T8032" i="1"/>
  <c r="T8040" i="1"/>
  <c r="T8048" i="1"/>
  <c r="T8056" i="1"/>
  <c r="T8064" i="1"/>
  <c r="T8072" i="1"/>
  <c r="T8080" i="1"/>
  <c r="T8088" i="1"/>
  <c r="T8096" i="1"/>
  <c r="T8104" i="1"/>
  <c r="T8112" i="1"/>
  <c r="T8120" i="1"/>
  <c r="T8128" i="1"/>
  <c r="T8136" i="1"/>
  <c r="T8144" i="1"/>
  <c r="T8152" i="1"/>
  <c r="T8160" i="1"/>
  <c r="T8168" i="1"/>
  <c r="T8176" i="1"/>
  <c r="T8184" i="1"/>
  <c r="T8192" i="1"/>
  <c r="T8200" i="1"/>
  <c r="T8208" i="1"/>
  <c r="T8216" i="1"/>
  <c r="T8224" i="1"/>
  <c r="T8232" i="1"/>
  <c r="T8240" i="1"/>
  <c r="T8248" i="1"/>
  <c r="T8256" i="1"/>
  <c r="T8264" i="1"/>
  <c r="T8272" i="1"/>
  <c r="T8280" i="1"/>
  <c r="T8288" i="1"/>
  <c r="T8296" i="1"/>
  <c r="T8304" i="1"/>
  <c r="T8312" i="1"/>
  <c r="T8320" i="1"/>
  <c r="T8328" i="1"/>
  <c r="T6750" i="1"/>
  <c r="T6861" i="1"/>
  <c r="T6889" i="1"/>
  <c r="T6939" i="1"/>
  <c r="T6951" i="1"/>
  <c r="T7012" i="1"/>
  <c r="T7073" i="1"/>
  <c r="T7085" i="1"/>
  <c r="T7108" i="1"/>
  <c r="T7140" i="1"/>
  <c r="T7169" i="1"/>
  <c r="T7180" i="1"/>
  <c r="T7196" i="1"/>
  <c r="T7212" i="1"/>
  <c r="T7228" i="1"/>
  <c r="T7244" i="1"/>
  <c r="T7260" i="1"/>
  <c r="T7276" i="1"/>
  <c r="T7292" i="1"/>
  <c r="T7308" i="1"/>
  <c r="T7324" i="1"/>
  <c r="T7339" i="1"/>
  <c r="T7352" i="1"/>
  <c r="T7364" i="1"/>
  <c r="T7377" i="1"/>
  <c r="T7390" i="1"/>
  <c r="T7403" i="1"/>
  <c r="T7416" i="1"/>
  <c r="T7428" i="1"/>
  <c r="T7432" i="1"/>
  <c r="T7446" i="1"/>
  <c r="T7460" i="1"/>
  <c r="T7464" i="1"/>
  <c r="T7478" i="1"/>
  <c r="T7492" i="1"/>
  <c r="T7496" i="1"/>
  <c r="T6752" i="1"/>
  <c r="T6794" i="1"/>
  <c r="T6808" i="1"/>
  <c r="T6822" i="1"/>
  <c r="T6836" i="1"/>
  <c r="T6878" i="1"/>
  <c r="T6929" i="1"/>
  <c r="T6941" i="1"/>
  <c r="T6990" i="1"/>
  <c r="T7002" i="1"/>
  <c r="T7051" i="1"/>
  <c r="T7063" i="1"/>
  <c r="T7110" i="1"/>
  <c r="T7142" i="1"/>
  <c r="T7148" i="1"/>
  <c r="T7187" i="1"/>
  <c r="T7203" i="1"/>
  <c r="T7219" i="1"/>
  <c r="T7235" i="1"/>
  <c r="T7251" i="1"/>
  <c r="T7267" i="1"/>
  <c r="T7283" i="1"/>
  <c r="T7299" i="1"/>
  <c r="T7315" i="1"/>
  <c r="T7331" i="1"/>
  <c r="T7344" i="1"/>
  <c r="T7356" i="1"/>
  <c r="T7369" i="1"/>
  <c r="T7382" i="1"/>
  <c r="T7395" i="1"/>
  <c r="T7408" i="1"/>
  <c r="T7420" i="1"/>
  <c r="T7429" i="1"/>
  <c r="T7443" i="1"/>
  <c r="T7457" i="1"/>
  <c r="T7461" i="1"/>
  <c r="T7475" i="1"/>
  <c r="T7489" i="1"/>
  <c r="T7493" i="1"/>
  <c r="T6767" i="1"/>
  <c r="T6781" i="1"/>
  <c r="T6809" i="1"/>
  <c r="T6823" i="1"/>
  <c r="T6942" i="1"/>
  <c r="T6954" i="1"/>
  <c r="T7003" i="1"/>
  <c r="T7015" i="1"/>
  <c r="T7076" i="1"/>
  <c r="T7100" i="1"/>
  <c r="T7132" i="1"/>
  <c r="T7150" i="1"/>
  <c r="T7156" i="1"/>
  <c r="T7182" i="1"/>
  <c r="T7198" i="1"/>
  <c r="T7214" i="1"/>
  <c r="T7230" i="1"/>
  <c r="T7246" i="1"/>
  <c r="T7262" i="1"/>
  <c r="T7278" i="1"/>
  <c r="T7294" i="1"/>
  <c r="T7310" i="1"/>
  <c r="T7326" i="1"/>
  <c r="T7336" i="1"/>
  <c r="T7348" i="1"/>
  <c r="T7361" i="1"/>
  <c r="T7374" i="1"/>
  <c r="T7387" i="1"/>
  <c r="T7400" i="1"/>
  <c r="T7412" i="1"/>
  <c r="T7425" i="1"/>
  <c r="T7436" i="1"/>
  <c r="T7440" i="1"/>
  <c r="T7454" i="1"/>
  <c r="T7468" i="1"/>
  <c r="T7472" i="1"/>
  <c r="T7486" i="1"/>
  <c r="T7500" i="1"/>
  <c r="T7504" i="1"/>
  <c r="T7518" i="1"/>
  <c r="T7532" i="1"/>
  <c r="T7536" i="1"/>
  <c r="T7550" i="1"/>
  <c r="T7557" i="1"/>
  <c r="T7560" i="1"/>
  <c r="T7563" i="1"/>
  <c r="T7566" i="1"/>
  <c r="T7569" i="1"/>
  <c r="T7572" i="1"/>
  <c r="T7618" i="1"/>
  <c r="T7621" i="1"/>
  <c r="T7624" i="1"/>
  <c r="T7627" i="1"/>
  <c r="T7630" i="1"/>
  <c r="T7633" i="1"/>
  <c r="T7636" i="1"/>
  <c r="T7682" i="1"/>
  <c r="T7685" i="1"/>
  <c r="T7688" i="1"/>
  <c r="T7691" i="1"/>
  <c r="T7694" i="1"/>
  <c r="T7697" i="1"/>
  <c r="T7700" i="1"/>
  <c r="T7745" i="1"/>
  <c r="T7753" i="1"/>
  <c r="T7761" i="1"/>
  <c r="T7769" i="1"/>
  <c r="T7777" i="1"/>
  <c r="T7785" i="1"/>
  <c r="T7793" i="1"/>
  <c r="T7801" i="1"/>
  <c r="T7809" i="1"/>
  <c r="T7817" i="1"/>
  <c r="T7825" i="1"/>
  <c r="T7833" i="1"/>
  <c r="T7841" i="1"/>
  <c r="T7849" i="1"/>
  <c r="T7857" i="1"/>
  <c r="T7865" i="1"/>
  <c r="T7873" i="1"/>
  <c r="T7881" i="1"/>
  <c r="T7889" i="1"/>
  <c r="T7897" i="1"/>
  <c r="T7905" i="1"/>
  <c r="T7913" i="1"/>
  <c r="T7921" i="1"/>
  <c r="T7929" i="1"/>
  <c r="T7937" i="1"/>
  <c r="T7945" i="1"/>
  <c r="T7953" i="1"/>
  <c r="T7961" i="1"/>
  <c r="T7969" i="1"/>
  <c r="T7977" i="1"/>
  <c r="T7985" i="1"/>
  <c r="T7993" i="1"/>
  <c r="T8001" i="1"/>
  <c r="T8009" i="1"/>
  <c r="T8017" i="1"/>
  <c r="T8025" i="1"/>
  <c r="T8033" i="1"/>
  <c r="T8041" i="1"/>
  <c r="T8049" i="1"/>
  <c r="T8057" i="1"/>
  <c r="T8065" i="1"/>
  <c r="T8073" i="1"/>
  <c r="T8081" i="1"/>
  <c r="T8089" i="1"/>
  <c r="T8097" i="1"/>
  <c r="T8105" i="1"/>
  <c r="T8113" i="1"/>
  <c r="T8121" i="1"/>
  <c r="T8129" i="1"/>
  <c r="T8137" i="1"/>
  <c r="T8145" i="1"/>
  <c r="T8153" i="1"/>
  <c r="T7507" i="1"/>
  <c r="T7521" i="1"/>
  <c r="T7587" i="1"/>
  <c r="T7648" i="1"/>
  <c r="T7660" i="1"/>
  <c r="T7709" i="1"/>
  <c r="T7721" i="1"/>
  <c r="T7766" i="1"/>
  <c r="T7798" i="1"/>
  <c r="T7830" i="1"/>
  <c r="T7862" i="1"/>
  <c r="T7894" i="1"/>
  <c r="T7926" i="1"/>
  <c r="T7958" i="1"/>
  <c r="T7990" i="1"/>
  <c r="T8022" i="1"/>
  <c r="T8054" i="1"/>
  <c r="T8086" i="1"/>
  <c r="T8118" i="1"/>
  <c r="T8161" i="1"/>
  <c r="T8177" i="1"/>
  <c r="T8193" i="1"/>
  <c r="T8209" i="1"/>
  <c r="T8225" i="1"/>
  <c r="T8241" i="1"/>
  <c r="T8257" i="1"/>
  <c r="T8273" i="1"/>
  <c r="T8289" i="1"/>
  <c r="T8305" i="1"/>
  <c r="T8321" i="1"/>
  <c r="T8343" i="1"/>
  <c r="T8346" i="1"/>
  <c r="T8349" i="1"/>
  <c r="T8352" i="1"/>
  <c r="T8355" i="1"/>
  <c r="T8358" i="1"/>
  <c r="T8361" i="1"/>
  <c r="T8407" i="1"/>
  <c r="T8410" i="1"/>
  <c r="T8413" i="1"/>
  <c r="T8416" i="1"/>
  <c r="T8419" i="1"/>
  <c r="T8422" i="1"/>
  <c r="T8425" i="1"/>
  <c r="T8471" i="1"/>
  <c r="T8474" i="1"/>
  <c r="T8477" i="1"/>
  <c r="T8480" i="1"/>
  <c r="T8483" i="1"/>
  <c r="T8486" i="1"/>
  <c r="T8489" i="1"/>
  <c r="T8535" i="1"/>
  <c r="T8538" i="1"/>
  <c r="T8541" i="1"/>
  <c r="T8544" i="1"/>
  <c r="T8547" i="1"/>
  <c r="T8550" i="1"/>
  <c r="T8553" i="1"/>
  <c r="T8599" i="1"/>
  <c r="T8602" i="1"/>
  <c r="T8605" i="1"/>
  <c r="T8608" i="1"/>
  <c r="T8611" i="1"/>
  <c r="T8614" i="1"/>
  <c r="T8617" i="1"/>
  <c r="T8663" i="1"/>
  <c r="T8666" i="1"/>
  <c r="T8669" i="1"/>
  <c r="T8672" i="1"/>
  <c r="T8675" i="1"/>
  <c r="T8678" i="1"/>
  <c r="T8681" i="1"/>
  <c r="T8727" i="1"/>
  <c r="T8730" i="1"/>
  <c r="T8733" i="1"/>
  <c r="T8736" i="1"/>
  <c r="T8739" i="1"/>
  <c r="T8742" i="1"/>
  <c r="T8745" i="1"/>
  <c r="T8791" i="1"/>
  <c r="T8794" i="1"/>
  <c r="T8797" i="1"/>
  <c r="T8800" i="1"/>
  <c r="T8803" i="1"/>
  <c r="T8806" i="1"/>
  <c r="T8809" i="1"/>
  <c r="T8851" i="1"/>
  <c r="T8859" i="1"/>
  <c r="T8867" i="1"/>
  <c r="T8875" i="1"/>
  <c r="T8883" i="1"/>
  <c r="T8891" i="1"/>
  <c r="T8899" i="1"/>
  <c r="T8907" i="1"/>
  <c r="T8915" i="1"/>
  <c r="T8923" i="1"/>
  <c r="T8931" i="1"/>
  <c r="T8939" i="1"/>
  <c r="T8947" i="1"/>
  <c r="T8955" i="1"/>
  <c r="T8963" i="1"/>
  <c r="T8971" i="1"/>
  <c r="T8979" i="1"/>
  <c r="T8987" i="1"/>
  <c r="T8995" i="1"/>
  <c r="T9003" i="1"/>
  <c r="T9011" i="1"/>
  <c r="T9019" i="1"/>
  <c r="T9027" i="1"/>
  <c r="T9035" i="1"/>
  <c r="T9043" i="1"/>
  <c r="T9051" i="1"/>
  <c r="T9059" i="1"/>
  <c r="T9067" i="1"/>
  <c r="T9075" i="1"/>
  <c r="T9083" i="1"/>
  <c r="T9091" i="1"/>
  <c r="T9099" i="1"/>
  <c r="T9107" i="1"/>
  <c r="T9115" i="1"/>
  <c r="T9123" i="1"/>
  <c r="T9131" i="1"/>
  <c r="T9139" i="1"/>
  <c r="T9147" i="1"/>
  <c r="T9155" i="1"/>
  <c r="T9163" i="1"/>
  <c r="T9171" i="1"/>
  <c r="T9179" i="1"/>
  <c r="T9187" i="1"/>
  <c r="T9195" i="1"/>
  <c r="T9203" i="1"/>
  <c r="T9211" i="1"/>
  <c r="T9219" i="1"/>
  <c r="T9227" i="1"/>
  <c r="T9235" i="1"/>
  <c r="T9243" i="1"/>
  <c r="T9251" i="1"/>
  <c r="T9259" i="1"/>
  <c r="T9267" i="1"/>
  <c r="T9275" i="1"/>
  <c r="T9283" i="1"/>
  <c r="T9291" i="1"/>
  <c r="T9299" i="1"/>
  <c r="T9307" i="1"/>
  <c r="T9315" i="1"/>
  <c r="T9323" i="1"/>
  <c r="T9331" i="1"/>
  <c r="T9339" i="1"/>
  <c r="T9347" i="1"/>
  <c r="T9355" i="1"/>
  <c r="T9363" i="1"/>
  <c r="T9371" i="1"/>
  <c r="T9379" i="1"/>
  <c r="T9387" i="1"/>
  <c r="T9395" i="1"/>
  <c r="T9403" i="1"/>
  <c r="T9411" i="1"/>
  <c r="T9419" i="1"/>
  <c r="T9427" i="1"/>
  <c r="T9435" i="1"/>
  <c r="T9443" i="1"/>
  <c r="T9451" i="1"/>
  <c r="T9459" i="1"/>
  <c r="T9467" i="1"/>
  <c r="T9475" i="1"/>
  <c r="T9483" i="1"/>
  <c r="T9491" i="1"/>
  <c r="T9499" i="1"/>
  <c r="T9507" i="1"/>
  <c r="T9515" i="1"/>
  <c r="T9523" i="1"/>
  <c r="T9531" i="1"/>
  <c r="T7510" i="1"/>
  <c r="T7524" i="1"/>
  <c r="T7602" i="1"/>
  <c r="T7614" i="1"/>
  <c r="T7675" i="1"/>
  <c r="T7736" i="1"/>
  <c r="T7747" i="1"/>
  <c r="T7779" i="1"/>
  <c r="T7811" i="1"/>
  <c r="T7843" i="1"/>
  <c r="T7875" i="1"/>
  <c r="T7907" i="1"/>
  <c r="T7939" i="1"/>
  <c r="T7971" i="1"/>
  <c r="T8003" i="1"/>
  <c r="T8035" i="1"/>
  <c r="T8067" i="1"/>
  <c r="T8099" i="1"/>
  <c r="T8131" i="1"/>
  <c r="T8150" i="1"/>
  <c r="T8167" i="1"/>
  <c r="T8183" i="1"/>
  <c r="T8199" i="1"/>
  <c r="T8215" i="1"/>
  <c r="T8231" i="1"/>
  <c r="T8247" i="1"/>
  <c r="T8263" i="1"/>
  <c r="T8279" i="1"/>
  <c r="T8295" i="1"/>
  <c r="T8311" i="1"/>
  <c r="T8327" i="1"/>
  <c r="T8331" i="1"/>
  <c r="T8334" i="1"/>
  <c r="T8337" i="1"/>
  <c r="T8383" i="1"/>
  <c r="T8386" i="1"/>
  <c r="T8389" i="1"/>
  <c r="T8392" i="1"/>
  <c r="T8395" i="1"/>
  <c r="T8398" i="1"/>
  <c r="T8401" i="1"/>
  <c r="T8447" i="1"/>
  <c r="T8450" i="1"/>
  <c r="T8453" i="1"/>
  <c r="T8456" i="1"/>
  <c r="T8459" i="1"/>
  <c r="T8462" i="1"/>
  <c r="T8465" i="1"/>
  <c r="T8511" i="1"/>
  <c r="T8514" i="1"/>
  <c r="T8517" i="1"/>
  <c r="T8520" i="1"/>
  <c r="T8523" i="1"/>
  <c r="T8526" i="1"/>
  <c r="T8529" i="1"/>
  <c r="T8575" i="1"/>
  <c r="T8578" i="1"/>
  <c r="T8581" i="1"/>
  <c r="T8584" i="1"/>
  <c r="T8587" i="1"/>
  <c r="T8590" i="1"/>
  <c r="T8593" i="1"/>
  <c r="T8639" i="1"/>
  <c r="T8642" i="1"/>
  <c r="T8645" i="1"/>
  <c r="T8648" i="1"/>
  <c r="T8651" i="1"/>
  <c r="T8654" i="1"/>
  <c r="T8657" i="1"/>
  <c r="T8703" i="1"/>
  <c r="T8706" i="1"/>
  <c r="T8709" i="1"/>
  <c r="T8712" i="1"/>
  <c r="T8715" i="1"/>
  <c r="T8718" i="1"/>
  <c r="T8721" i="1"/>
  <c r="T8767" i="1"/>
  <c r="T8770" i="1"/>
  <c r="T8773" i="1"/>
  <c r="T8776" i="1"/>
  <c r="T8779" i="1"/>
  <c r="T8782" i="1"/>
  <c r="T8785" i="1"/>
  <c r="T8831" i="1"/>
  <c r="T8834" i="1"/>
  <c r="T8837" i="1"/>
  <c r="T8840" i="1"/>
  <c r="T8843" i="1"/>
  <c r="T8846" i="1"/>
  <c r="T8854" i="1"/>
  <c r="T8862" i="1"/>
  <c r="T8870" i="1"/>
  <c r="T8878" i="1"/>
  <c r="T8886" i="1"/>
  <c r="T8894" i="1"/>
  <c r="T8902" i="1"/>
  <c r="T8910" i="1"/>
  <c r="T8918" i="1"/>
  <c r="T8926" i="1"/>
  <c r="T8934" i="1"/>
  <c r="T8942" i="1"/>
  <c r="T8950" i="1"/>
  <c r="T8958" i="1"/>
  <c r="T8966" i="1"/>
  <c r="T8974" i="1"/>
  <c r="T8982" i="1"/>
  <c r="T8990" i="1"/>
  <c r="T8998" i="1"/>
  <c r="T9006" i="1"/>
  <c r="T9014" i="1"/>
  <c r="T9022" i="1"/>
  <c r="T9030" i="1"/>
  <c r="T9038" i="1"/>
  <c r="T9046" i="1"/>
  <c r="T9054" i="1"/>
  <c r="T9062" i="1"/>
  <c r="T9070" i="1"/>
  <c r="T9078" i="1"/>
  <c r="T9086" i="1"/>
  <c r="T9094" i="1"/>
  <c r="T7525" i="1"/>
  <c r="T7539" i="1"/>
  <c r="T7553" i="1"/>
  <c r="T7578" i="1"/>
  <c r="T7590" i="1"/>
  <c r="T7651" i="1"/>
  <c r="T7712" i="1"/>
  <c r="T7724" i="1"/>
  <c r="T7758" i="1"/>
  <c r="T7790" i="1"/>
  <c r="T7822" i="1"/>
  <c r="T7854" i="1"/>
  <c r="T7886" i="1"/>
  <c r="T7918" i="1"/>
  <c r="T7950" i="1"/>
  <c r="T7982" i="1"/>
  <c r="T8014" i="1"/>
  <c r="T8046" i="1"/>
  <c r="T8078" i="1"/>
  <c r="T8110" i="1"/>
  <c r="T8142" i="1"/>
  <c r="T8151" i="1"/>
  <c r="T8163" i="1"/>
  <c r="T8179" i="1"/>
  <c r="T8195" i="1"/>
  <c r="T8211" i="1"/>
  <c r="T8227" i="1"/>
  <c r="T8243" i="1"/>
  <c r="T8259" i="1"/>
  <c r="T8275" i="1"/>
  <c r="T8291" i="1"/>
  <c r="T8307" i="1"/>
  <c r="T8323" i="1"/>
  <c r="T8359" i="1"/>
  <c r="T8362" i="1"/>
  <c r="T8365" i="1"/>
  <c r="T8368" i="1"/>
  <c r="T8371" i="1"/>
  <c r="T8374" i="1"/>
  <c r="T8377" i="1"/>
  <c r="T8423" i="1"/>
  <c r="T8426" i="1"/>
  <c r="T8429" i="1"/>
  <c r="T8432" i="1"/>
  <c r="T8435" i="1"/>
  <c r="T8438" i="1"/>
  <c r="T8441" i="1"/>
  <c r="T8487" i="1"/>
  <c r="T8490" i="1"/>
  <c r="T8493" i="1"/>
  <c r="T8496" i="1"/>
  <c r="T8499" i="1"/>
  <c r="T8502" i="1"/>
  <c r="T8505" i="1"/>
  <c r="T8551" i="1"/>
  <c r="T8554" i="1"/>
  <c r="T8557" i="1"/>
  <c r="T8560" i="1"/>
  <c r="T8563" i="1"/>
  <c r="T8566" i="1"/>
  <c r="T8569" i="1"/>
  <c r="T8615" i="1"/>
  <c r="T8618" i="1"/>
  <c r="T8621" i="1"/>
  <c r="T8624" i="1"/>
  <c r="T8627" i="1"/>
  <c r="T8630" i="1"/>
  <c r="T8633" i="1"/>
  <c r="T8679" i="1"/>
  <c r="T8682" i="1"/>
  <c r="T8685" i="1"/>
  <c r="T8688" i="1"/>
  <c r="T8691" i="1"/>
  <c r="T8694" i="1"/>
  <c r="T8697" i="1"/>
  <c r="T8743" i="1"/>
  <c r="T8746" i="1"/>
  <c r="T8749" i="1"/>
  <c r="T8752" i="1"/>
  <c r="T8755" i="1"/>
  <c r="T8758" i="1"/>
  <c r="T8761" i="1"/>
  <c r="T8807" i="1"/>
  <c r="T8810" i="1"/>
  <c r="T8813" i="1"/>
  <c r="T8816" i="1"/>
  <c r="T8819" i="1"/>
  <c r="T8822" i="1"/>
  <c r="T8825" i="1"/>
  <c r="T8849" i="1"/>
  <c r="T8857" i="1"/>
  <c r="T8865" i="1"/>
  <c r="T8873" i="1"/>
  <c r="T8881" i="1"/>
  <c r="T8889" i="1"/>
  <c r="T8897" i="1"/>
  <c r="T8905" i="1"/>
  <c r="T8913" i="1"/>
  <c r="T8921" i="1"/>
  <c r="T8929" i="1"/>
  <c r="T8937" i="1"/>
  <c r="T8945" i="1"/>
  <c r="T8953" i="1"/>
  <c r="T8961" i="1"/>
  <c r="T8969" i="1"/>
  <c r="T8977" i="1"/>
  <c r="T8985" i="1"/>
  <c r="T8993" i="1"/>
  <c r="T9001" i="1"/>
  <c r="T9009" i="1"/>
  <c r="T9017" i="1"/>
  <c r="T9025" i="1"/>
  <c r="T9033" i="1"/>
  <c r="T9041" i="1"/>
  <c r="T9049" i="1"/>
  <c r="T9057" i="1"/>
  <c r="T9065" i="1"/>
  <c r="T9073" i="1"/>
  <c r="T9081" i="1"/>
  <c r="T9089" i="1"/>
  <c r="T9097" i="1"/>
  <c r="T9105" i="1"/>
  <c r="T7528" i="1"/>
  <c r="T7542" i="1"/>
  <c r="T7556" i="1"/>
  <c r="T7605" i="1"/>
  <c r="T7617" i="1"/>
  <c r="T7666" i="1"/>
  <c r="T7678" i="1"/>
  <c r="T7739" i="1"/>
  <c r="T7771" i="1"/>
  <c r="T7803" i="1"/>
  <c r="T7835" i="1"/>
  <c r="T7867" i="1"/>
  <c r="T7899" i="1"/>
  <c r="T7931" i="1"/>
  <c r="T7963" i="1"/>
  <c r="T7995" i="1"/>
  <c r="T8027" i="1"/>
  <c r="T8059" i="1"/>
  <c r="T8091" i="1"/>
  <c r="T8123" i="1"/>
  <c r="T8158" i="1"/>
  <c r="T8174" i="1"/>
  <c r="T8190" i="1"/>
  <c r="T8206" i="1"/>
  <c r="T8222" i="1"/>
  <c r="T8238" i="1"/>
  <c r="T8254" i="1"/>
  <c r="T8270" i="1"/>
  <c r="T8286" i="1"/>
  <c r="T8302" i="1"/>
  <c r="T8318" i="1"/>
  <c r="T8335" i="1"/>
  <c r="T8338" i="1"/>
  <c r="T8341" i="1"/>
  <c r="T8344" i="1"/>
  <c r="T8347" i="1"/>
  <c r="T8350" i="1"/>
  <c r="T8353" i="1"/>
  <c r="T8399" i="1"/>
  <c r="T8402" i="1"/>
  <c r="T8405" i="1"/>
  <c r="T8408" i="1"/>
  <c r="T8411" i="1"/>
  <c r="T8414" i="1"/>
  <c r="T8417" i="1"/>
  <c r="T8463" i="1"/>
  <c r="T8466" i="1"/>
  <c r="T8469" i="1"/>
  <c r="T8472" i="1"/>
  <c r="T8475" i="1"/>
  <c r="T8478" i="1"/>
  <c r="T8481" i="1"/>
  <c r="T8527" i="1"/>
  <c r="T8530" i="1"/>
  <c r="T8533" i="1"/>
  <c r="T8536" i="1"/>
  <c r="T8539" i="1"/>
  <c r="T8542" i="1"/>
  <c r="T8545" i="1"/>
  <c r="T8591" i="1"/>
  <c r="T8594" i="1"/>
  <c r="T8597" i="1"/>
  <c r="T8600" i="1"/>
  <c r="T8603" i="1"/>
  <c r="T8606" i="1"/>
  <c r="T8609" i="1"/>
  <c r="T8655" i="1"/>
  <c r="T8658" i="1"/>
  <c r="T8661" i="1"/>
  <c r="T8664" i="1"/>
  <c r="T8667" i="1"/>
  <c r="T8670" i="1"/>
  <c r="T8673" i="1"/>
  <c r="T8719" i="1"/>
  <c r="T8722" i="1"/>
  <c r="T8725" i="1"/>
  <c r="T8728" i="1"/>
  <c r="T8731" i="1"/>
  <c r="T8734" i="1"/>
  <c r="T8737" i="1"/>
  <c r="T8783" i="1"/>
  <c r="T8786" i="1"/>
  <c r="T8789" i="1"/>
  <c r="T8792" i="1"/>
  <c r="T8795" i="1"/>
  <c r="T8798" i="1"/>
  <c r="T8801" i="1"/>
  <c r="T8852" i="1"/>
  <c r="T8860" i="1"/>
  <c r="T8868" i="1"/>
  <c r="T8876" i="1"/>
  <c r="T8884" i="1"/>
  <c r="T8892" i="1"/>
  <c r="T8900" i="1"/>
  <c r="T8908" i="1"/>
  <c r="T8916" i="1"/>
  <c r="T8924" i="1"/>
  <c r="T8932" i="1"/>
  <c r="T8940" i="1"/>
  <c r="T8948" i="1"/>
  <c r="T8956" i="1"/>
  <c r="T8964" i="1"/>
  <c r="T8972" i="1"/>
  <c r="T8980" i="1"/>
  <c r="T8988" i="1"/>
  <c r="T8996" i="1"/>
  <c r="T9004" i="1"/>
  <c r="T9012" i="1"/>
  <c r="T9020" i="1"/>
  <c r="T7581" i="1"/>
  <c r="T7593" i="1"/>
  <c r="T7642" i="1"/>
  <c r="T7654" i="1"/>
  <c r="T7715" i="1"/>
  <c r="T7750" i="1"/>
  <c r="T7782" i="1"/>
  <c r="T7814" i="1"/>
  <c r="T7846" i="1"/>
  <c r="T7878" i="1"/>
  <c r="T7910" i="1"/>
  <c r="T7942" i="1"/>
  <c r="T7974" i="1"/>
  <c r="T8006" i="1"/>
  <c r="T8038" i="1"/>
  <c r="T8070" i="1"/>
  <c r="T8102" i="1"/>
  <c r="T8134" i="1"/>
  <c r="T8169" i="1"/>
  <c r="T8185" i="1"/>
  <c r="T8201" i="1"/>
  <c r="T8217" i="1"/>
  <c r="T8233" i="1"/>
  <c r="T7608" i="1"/>
  <c r="T7620" i="1"/>
  <c r="T7669" i="1"/>
  <c r="T7681" i="1"/>
  <c r="T7730" i="1"/>
  <c r="T7763" i="1"/>
  <c r="T7795" i="1"/>
  <c r="T7827" i="1"/>
  <c r="T7859" i="1"/>
  <c r="T7891" i="1"/>
  <c r="T7923" i="1"/>
  <c r="T7955" i="1"/>
  <c r="T7987" i="1"/>
  <c r="T8019" i="1"/>
  <c r="T8051" i="1"/>
  <c r="T8083" i="1"/>
  <c r="T8115" i="1"/>
  <c r="T8147" i="1"/>
  <c r="T8159" i="1"/>
  <c r="T8175" i="1"/>
  <c r="T8191" i="1"/>
  <c r="T8207" i="1"/>
  <c r="T8223" i="1"/>
  <c r="T7584" i="1"/>
  <c r="T7596" i="1"/>
  <c r="T7645" i="1"/>
  <c r="T7657" i="1"/>
  <c r="T7706" i="1"/>
  <c r="T7718" i="1"/>
  <c r="T7742" i="1"/>
  <c r="T7774" i="1"/>
  <c r="T7806" i="1"/>
  <c r="T7838" i="1"/>
  <c r="T7870" i="1"/>
  <c r="T7902" i="1"/>
  <c r="T7934" i="1"/>
  <c r="T7966" i="1"/>
  <c r="T7998" i="1"/>
  <c r="T8030" i="1"/>
  <c r="T8062" i="1"/>
  <c r="T8094" i="1"/>
  <c r="T8126" i="1"/>
  <c r="T8155" i="1"/>
  <c r="T8171" i="1"/>
  <c r="T8187" i="1"/>
  <c r="T8203" i="1"/>
  <c r="T8219" i="1"/>
  <c r="T8235" i="1"/>
  <c r="T8251" i="1"/>
  <c r="T8267" i="1"/>
  <c r="T8283" i="1"/>
  <c r="T8299" i="1"/>
  <c r="T8315" i="1"/>
  <c r="T8330" i="1"/>
  <c r="T8333" i="1"/>
  <c r="T8336" i="1"/>
  <c r="T8339" i="1"/>
  <c r="T8342" i="1"/>
  <c r="T8345" i="1"/>
  <c r="T8391" i="1"/>
  <c r="T8394" i="1"/>
  <c r="T8397" i="1"/>
  <c r="T8400" i="1"/>
  <c r="T8403" i="1"/>
  <c r="T8406" i="1"/>
  <c r="T8409" i="1"/>
  <c r="T8455" i="1"/>
  <c r="T8458" i="1"/>
  <c r="T8461" i="1"/>
  <c r="T8464" i="1"/>
  <c r="T8467" i="1"/>
  <c r="T8470" i="1"/>
  <c r="T8473" i="1"/>
  <c r="T8519" i="1"/>
  <c r="T8522" i="1"/>
  <c r="T8525" i="1"/>
  <c r="T8528" i="1"/>
  <c r="T8531" i="1"/>
  <c r="T8534" i="1"/>
  <c r="T8537" i="1"/>
  <c r="T8583" i="1"/>
  <c r="T8586" i="1"/>
  <c r="T8589" i="1"/>
  <c r="T8592" i="1"/>
  <c r="T8595" i="1"/>
  <c r="T8598" i="1"/>
  <c r="T8601" i="1"/>
  <c r="T8647" i="1"/>
  <c r="T8650" i="1"/>
  <c r="T8653" i="1"/>
  <c r="T8656" i="1"/>
  <c r="T8659" i="1"/>
  <c r="T8662" i="1"/>
  <c r="T8665" i="1"/>
  <c r="T8711" i="1"/>
  <c r="T8714" i="1"/>
  <c r="T8717" i="1"/>
  <c r="T8720" i="1"/>
  <c r="T8723" i="1"/>
  <c r="T8726" i="1"/>
  <c r="T8729" i="1"/>
  <c r="T8775" i="1"/>
  <c r="T8778" i="1"/>
  <c r="T8781" i="1"/>
  <c r="T8784" i="1"/>
  <c r="T8787" i="1"/>
  <c r="T8790" i="1"/>
  <c r="T8793" i="1"/>
  <c r="T8839" i="1"/>
  <c r="T8842" i="1"/>
  <c r="T8845" i="1"/>
  <c r="T8853" i="1"/>
  <c r="T8861" i="1"/>
  <c r="T8869" i="1"/>
  <c r="T8877" i="1"/>
  <c r="T8885" i="1"/>
  <c r="T8893" i="1"/>
  <c r="T8901" i="1"/>
  <c r="T8909" i="1"/>
  <c r="T8917" i="1"/>
  <c r="T8925" i="1"/>
  <c r="T8933" i="1"/>
  <c r="T8941" i="1"/>
  <c r="T8949" i="1"/>
  <c r="T8957" i="1"/>
  <c r="T8965" i="1"/>
  <c r="T8973" i="1"/>
  <c r="T8981" i="1"/>
  <c r="T8989" i="1"/>
  <c r="T8997" i="1"/>
  <c r="T9005" i="1"/>
  <c r="T9013" i="1"/>
  <c r="T9021" i="1"/>
  <c r="T9029" i="1"/>
  <c r="T9037" i="1"/>
  <c r="T9045" i="1"/>
  <c r="T9053" i="1"/>
  <c r="T9061" i="1"/>
  <c r="T7611" i="1"/>
  <c r="T7672" i="1"/>
  <c r="T7684" i="1"/>
  <c r="T7733" i="1"/>
  <c r="T7755" i="1"/>
  <c r="T7787" i="1"/>
  <c r="T7819" i="1"/>
  <c r="T7851" i="1"/>
  <c r="T7883" i="1"/>
  <c r="T7915" i="1"/>
  <c r="T7947" i="1"/>
  <c r="T7979" i="1"/>
  <c r="T8011" i="1"/>
  <c r="T8043" i="1"/>
  <c r="T8075" i="1"/>
  <c r="T8107" i="1"/>
  <c r="T8139" i="1"/>
  <c r="T8166" i="1"/>
  <c r="T8182" i="1"/>
  <c r="T8198" i="1"/>
  <c r="T8214" i="1"/>
  <c r="T8230" i="1"/>
  <c r="T8246" i="1"/>
  <c r="T8262" i="1"/>
  <c r="T8278" i="1"/>
  <c r="T8294" i="1"/>
  <c r="T8310" i="1"/>
  <c r="T8326" i="1"/>
  <c r="T8367" i="1"/>
  <c r="T8370" i="1"/>
  <c r="T8373" i="1"/>
  <c r="T8376" i="1"/>
  <c r="T8379" i="1"/>
  <c r="T8382" i="1"/>
  <c r="T8385" i="1"/>
  <c r="T8431" i="1"/>
  <c r="T8434" i="1"/>
  <c r="T8437" i="1"/>
  <c r="T8440" i="1"/>
  <c r="T8443" i="1"/>
  <c r="T8446" i="1"/>
  <c r="T8449" i="1"/>
  <c r="T8495" i="1"/>
  <c r="T8498" i="1"/>
  <c r="T8501" i="1"/>
  <c r="T8504" i="1"/>
  <c r="T8507" i="1"/>
  <c r="T8510" i="1"/>
  <c r="T8513" i="1"/>
  <c r="T8559" i="1"/>
  <c r="T8562" i="1"/>
  <c r="T8565" i="1"/>
  <c r="T8568" i="1"/>
  <c r="T8571" i="1"/>
  <c r="T8574" i="1"/>
  <c r="T8577" i="1"/>
  <c r="T8623" i="1"/>
  <c r="T8626" i="1"/>
  <c r="T8629" i="1"/>
  <c r="T8632" i="1"/>
  <c r="T8635" i="1"/>
  <c r="T8638" i="1"/>
  <c r="T8641" i="1"/>
  <c r="T8687" i="1"/>
  <c r="T8690" i="1"/>
  <c r="T8693" i="1"/>
  <c r="T8696" i="1"/>
  <c r="T8699" i="1"/>
  <c r="T8702" i="1"/>
  <c r="T8705" i="1"/>
  <c r="T8751" i="1"/>
  <c r="T8754" i="1"/>
  <c r="T8757" i="1"/>
  <c r="T8760" i="1"/>
  <c r="T8763" i="1"/>
  <c r="T8766" i="1"/>
  <c r="T8769" i="1"/>
  <c r="T8815" i="1"/>
  <c r="T8818" i="1"/>
  <c r="T8821" i="1"/>
  <c r="T8824" i="1"/>
  <c r="T8827" i="1"/>
  <c r="T8830" i="1"/>
  <c r="T8833" i="1"/>
  <c r="T8848" i="1"/>
  <c r="T8856" i="1"/>
  <c r="T8864" i="1"/>
  <c r="T8872" i="1"/>
  <c r="T8880" i="1"/>
  <c r="T8888" i="1"/>
  <c r="T8281" i="1"/>
  <c r="T8375" i="1"/>
  <c r="T8387" i="1"/>
  <c r="T8448" i="1"/>
  <c r="T8509" i="1"/>
  <c r="T8521" i="1"/>
  <c r="T8570" i="1"/>
  <c r="T8582" i="1"/>
  <c r="T8631" i="1"/>
  <c r="T8643" i="1"/>
  <c r="T8704" i="1"/>
  <c r="T8765" i="1"/>
  <c r="T8777" i="1"/>
  <c r="T8826" i="1"/>
  <c r="T8838" i="1"/>
  <c r="T8871" i="1"/>
  <c r="T8898" i="1"/>
  <c r="T8912" i="1"/>
  <c r="T8927" i="1"/>
  <c r="T8962" i="1"/>
  <c r="T8976" i="1"/>
  <c r="T8991" i="1"/>
  <c r="T9036" i="1"/>
  <c r="T9052" i="1"/>
  <c r="T9071" i="1"/>
  <c r="T9084" i="1"/>
  <c r="T9096" i="1"/>
  <c r="T9104" i="1"/>
  <c r="T9126" i="1"/>
  <c r="T9129" i="1"/>
  <c r="T9132" i="1"/>
  <c r="T9135" i="1"/>
  <c r="T9138" i="1"/>
  <c r="T9141" i="1"/>
  <c r="T9144" i="1"/>
  <c r="T9190" i="1"/>
  <c r="T9193" i="1"/>
  <c r="T9196" i="1"/>
  <c r="T9199" i="1"/>
  <c r="T9202" i="1"/>
  <c r="T9205" i="1"/>
  <c r="T9208" i="1"/>
  <c r="T9254" i="1"/>
  <c r="T9257" i="1"/>
  <c r="T9260" i="1"/>
  <c r="T9263" i="1"/>
  <c r="T9266" i="1"/>
  <c r="T9269" i="1"/>
  <c r="T9272" i="1"/>
  <c r="T9318" i="1"/>
  <c r="T9321" i="1"/>
  <c r="T9324" i="1"/>
  <c r="T9327" i="1"/>
  <c r="T9330" i="1"/>
  <c r="T9333" i="1"/>
  <c r="T9336" i="1"/>
  <c r="T9382" i="1"/>
  <c r="T9385" i="1"/>
  <c r="T9388" i="1"/>
  <c r="T9391" i="1"/>
  <c r="T9394" i="1"/>
  <c r="T9397" i="1"/>
  <c r="T9400" i="1"/>
  <c r="T9446" i="1"/>
  <c r="T9449" i="1"/>
  <c r="T9452" i="1"/>
  <c r="T9455" i="1"/>
  <c r="T9458" i="1"/>
  <c r="T9461" i="1"/>
  <c r="T9464" i="1"/>
  <c r="T9510" i="1"/>
  <c r="T9513" i="1"/>
  <c r="T9516" i="1"/>
  <c r="T9519" i="1"/>
  <c r="T9522" i="1"/>
  <c r="T9525" i="1"/>
  <c r="T9528" i="1"/>
  <c r="T9537" i="1"/>
  <c r="T9545" i="1"/>
  <c r="T9553" i="1"/>
  <c r="T9561" i="1"/>
  <c r="T9569" i="1"/>
  <c r="T9577" i="1"/>
  <c r="T9585" i="1"/>
  <c r="T9593" i="1"/>
  <c r="T9601" i="1"/>
  <c r="T9609" i="1"/>
  <c r="T9617" i="1"/>
  <c r="T9625" i="1"/>
  <c r="T9633" i="1"/>
  <c r="T9641" i="1"/>
  <c r="T9649" i="1"/>
  <c r="T9657" i="1"/>
  <c r="T9665" i="1"/>
  <c r="T9673" i="1"/>
  <c r="T9681" i="1"/>
  <c r="T9689" i="1"/>
  <c r="T9697" i="1"/>
  <c r="T9705" i="1"/>
  <c r="T9713" i="1"/>
  <c r="T9721" i="1"/>
  <c r="T9729" i="1"/>
  <c r="T9737" i="1"/>
  <c r="T9745" i="1"/>
  <c r="T9753" i="1"/>
  <c r="T9761" i="1"/>
  <c r="T9769" i="1"/>
  <c r="T9777" i="1"/>
  <c r="T9785" i="1"/>
  <c r="T9793" i="1"/>
  <c r="T9801" i="1"/>
  <c r="T9809" i="1"/>
  <c r="T9817" i="1"/>
  <c r="T9825" i="1"/>
  <c r="T9833" i="1"/>
  <c r="T9841" i="1"/>
  <c r="T9849" i="1"/>
  <c r="T9857" i="1"/>
  <c r="T9865" i="1"/>
  <c r="T9873" i="1"/>
  <c r="T9881" i="1"/>
  <c r="T9889" i="1"/>
  <c r="T9897" i="1"/>
  <c r="T9905" i="1"/>
  <c r="T9913" i="1"/>
  <c r="T9921" i="1"/>
  <c r="T9929" i="1"/>
  <c r="T9937" i="1"/>
  <c r="T9945" i="1"/>
  <c r="T9953" i="1"/>
  <c r="T9961" i="1"/>
  <c r="T9969" i="1"/>
  <c r="T9977" i="1"/>
  <c r="T9985" i="1"/>
  <c r="T9993" i="1"/>
  <c r="T10001" i="1"/>
  <c r="T9788" i="1"/>
  <c r="T9796" i="1"/>
  <c r="T9812" i="1"/>
  <c r="T9836" i="1"/>
  <c r="T9860" i="1"/>
  <c r="T9876" i="1"/>
  <c r="T9884" i="1"/>
  <c r="T9916" i="1"/>
  <c r="T9924" i="1"/>
  <c r="T9940" i="1"/>
  <c r="T9956" i="1"/>
  <c r="T9972" i="1"/>
  <c r="T9988" i="1"/>
  <c r="T9402" i="1"/>
  <c r="T9457" i="1"/>
  <c r="T9776" i="1"/>
  <c r="T9792" i="1"/>
  <c r="T9808" i="1"/>
  <c r="T9856" i="1"/>
  <c r="T9904" i="1"/>
  <c r="T9984" i="1"/>
  <c r="T9926" i="1"/>
  <c r="T9934" i="1"/>
  <c r="T9942" i="1"/>
  <c r="T9974" i="1"/>
  <c r="T9982" i="1"/>
  <c r="T9998" i="1"/>
  <c r="T8239" i="1"/>
  <c r="T8303" i="1"/>
  <c r="T8351" i="1"/>
  <c r="T8363" i="1"/>
  <c r="T8424" i="1"/>
  <c r="T8485" i="1"/>
  <c r="T8497" i="1"/>
  <c r="T8546" i="1"/>
  <c r="T8558" i="1"/>
  <c r="T8607" i="1"/>
  <c r="T8619" i="1"/>
  <c r="T8680" i="1"/>
  <c r="T8741" i="1"/>
  <c r="T8753" i="1"/>
  <c r="T8802" i="1"/>
  <c r="T8814" i="1"/>
  <c r="T8850" i="1"/>
  <c r="T8882" i="1"/>
  <c r="T8906" i="1"/>
  <c r="T8920" i="1"/>
  <c r="T8935" i="1"/>
  <c r="T8970" i="1"/>
  <c r="T8984" i="1"/>
  <c r="T8999" i="1"/>
  <c r="T9031" i="1"/>
  <c r="T9047" i="1"/>
  <c r="T9063" i="1"/>
  <c r="T9076" i="1"/>
  <c r="T9088" i="1"/>
  <c r="T9101" i="1"/>
  <c r="T9108" i="1"/>
  <c r="T9111" i="1"/>
  <c r="T9114" i="1"/>
  <c r="T9117" i="1"/>
  <c r="T9120" i="1"/>
  <c r="T9166" i="1"/>
  <c r="T9169" i="1"/>
  <c r="T9172" i="1"/>
  <c r="T9175" i="1"/>
  <c r="T9178" i="1"/>
  <c r="T9181" i="1"/>
  <c r="T9184" i="1"/>
  <c r="T9230" i="1"/>
  <c r="T9233" i="1"/>
  <c r="T9236" i="1"/>
  <c r="T9239" i="1"/>
  <c r="T9242" i="1"/>
  <c r="T9245" i="1"/>
  <c r="T9248" i="1"/>
  <c r="T9294" i="1"/>
  <c r="T9297" i="1"/>
  <c r="T9300" i="1"/>
  <c r="T9303" i="1"/>
  <c r="T9306" i="1"/>
  <c r="T9309" i="1"/>
  <c r="T9312" i="1"/>
  <c r="T9358" i="1"/>
  <c r="T9361" i="1"/>
  <c r="T9364" i="1"/>
  <c r="T9367" i="1"/>
  <c r="T9370" i="1"/>
  <c r="T9373" i="1"/>
  <c r="T9376" i="1"/>
  <c r="T9422" i="1"/>
  <c r="T9425" i="1"/>
  <c r="T9428" i="1"/>
  <c r="T9431" i="1"/>
  <c r="T9434" i="1"/>
  <c r="T9437" i="1"/>
  <c r="T9440" i="1"/>
  <c r="T9486" i="1"/>
  <c r="T9489" i="1"/>
  <c r="T9492" i="1"/>
  <c r="T9495" i="1"/>
  <c r="T9498" i="1"/>
  <c r="T9501" i="1"/>
  <c r="T9504" i="1"/>
  <c r="T9540" i="1"/>
  <c r="T9548" i="1"/>
  <c r="T9556" i="1"/>
  <c r="T9564" i="1"/>
  <c r="T9572" i="1"/>
  <c r="T9580" i="1"/>
  <c r="T9588" i="1"/>
  <c r="T9596" i="1"/>
  <c r="T9604" i="1"/>
  <c r="T9612" i="1"/>
  <c r="T9620" i="1"/>
  <c r="T9628" i="1"/>
  <c r="T9636" i="1"/>
  <c r="T9644" i="1"/>
  <c r="T9652" i="1"/>
  <c r="T9660" i="1"/>
  <c r="T9668" i="1"/>
  <c r="T9676" i="1"/>
  <c r="T9684" i="1"/>
  <c r="T9692" i="1"/>
  <c r="T9700" i="1"/>
  <c r="T9708" i="1"/>
  <c r="T9716" i="1"/>
  <c r="T9724" i="1"/>
  <c r="T9732" i="1"/>
  <c r="T9740" i="1"/>
  <c r="T9748" i="1"/>
  <c r="T9756" i="1"/>
  <c r="T9764" i="1"/>
  <c r="T9772" i="1"/>
  <c r="T9780" i="1"/>
  <c r="T9804" i="1"/>
  <c r="T9820" i="1"/>
  <c r="T9828" i="1"/>
  <c r="T9844" i="1"/>
  <c r="T9852" i="1"/>
  <c r="T9868" i="1"/>
  <c r="T9892" i="1"/>
  <c r="T9900" i="1"/>
  <c r="T9908" i="1"/>
  <c r="T9932" i="1"/>
  <c r="T9948" i="1"/>
  <c r="T9964" i="1"/>
  <c r="T9980" i="1"/>
  <c r="T9996" i="1"/>
  <c r="T9399" i="1"/>
  <c r="T9460" i="1"/>
  <c r="T9536" i="1"/>
  <c r="T9560" i="1"/>
  <c r="T9600" i="1"/>
  <c r="T9616" i="1"/>
  <c r="T9632" i="1"/>
  <c r="T9648" i="1"/>
  <c r="T9664" i="1"/>
  <c r="T9680" i="1"/>
  <c r="T9712" i="1"/>
  <c r="T9752" i="1"/>
  <c r="T9800" i="1"/>
  <c r="T9832" i="1"/>
  <c r="T9848" i="1"/>
  <c r="T9960" i="1"/>
  <c r="T10000" i="1"/>
  <c r="T9870" i="1"/>
  <c r="T9950" i="1"/>
  <c r="T8265" i="1"/>
  <c r="T8329" i="1"/>
  <c r="T8378" i="1"/>
  <c r="T8390" i="1"/>
  <c r="T8439" i="1"/>
  <c r="T8451" i="1"/>
  <c r="T8512" i="1"/>
  <c r="T8573" i="1"/>
  <c r="T8585" i="1"/>
  <c r="T8634" i="1"/>
  <c r="T8646" i="1"/>
  <c r="T8695" i="1"/>
  <c r="T8707" i="1"/>
  <c r="T8768" i="1"/>
  <c r="T8829" i="1"/>
  <c r="T8841" i="1"/>
  <c r="T8863" i="1"/>
  <c r="T8914" i="1"/>
  <c r="T8928" i="1"/>
  <c r="T8943" i="1"/>
  <c r="T8978" i="1"/>
  <c r="T8992" i="1"/>
  <c r="T9007" i="1"/>
  <c r="T9026" i="1"/>
  <c r="T9042" i="1"/>
  <c r="T9058" i="1"/>
  <c r="T9068" i="1"/>
  <c r="T9080" i="1"/>
  <c r="T9093" i="1"/>
  <c r="T9142" i="1"/>
  <c r="T9145" i="1"/>
  <c r="T9148" i="1"/>
  <c r="T9151" i="1"/>
  <c r="T9154" i="1"/>
  <c r="T9157" i="1"/>
  <c r="T9160" i="1"/>
  <c r="T9206" i="1"/>
  <c r="T9209" i="1"/>
  <c r="T9212" i="1"/>
  <c r="T9215" i="1"/>
  <c r="T9218" i="1"/>
  <c r="T9221" i="1"/>
  <c r="T9224" i="1"/>
  <c r="T9270" i="1"/>
  <c r="T9273" i="1"/>
  <c r="T9276" i="1"/>
  <c r="T9279" i="1"/>
  <c r="T9282" i="1"/>
  <c r="T9285" i="1"/>
  <c r="T9288" i="1"/>
  <c r="T9334" i="1"/>
  <c r="T9337" i="1"/>
  <c r="T9340" i="1"/>
  <c r="T9343" i="1"/>
  <c r="T9346" i="1"/>
  <c r="T9349" i="1"/>
  <c r="T9352" i="1"/>
  <c r="T9398" i="1"/>
  <c r="T9401" i="1"/>
  <c r="T9404" i="1"/>
  <c r="T9407" i="1"/>
  <c r="T9410" i="1"/>
  <c r="T9413" i="1"/>
  <c r="T9416" i="1"/>
  <c r="T9462" i="1"/>
  <c r="T9465" i="1"/>
  <c r="T9468" i="1"/>
  <c r="T9471" i="1"/>
  <c r="T9474" i="1"/>
  <c r="T9477" i="1"/>
  <c r="T9480" i="1"/>
  <c r="T9526" i="1"/>
  <c r="T9529" i="1"/>
  <c r="T9532" i="1"/>
  <c r="T9535" i="1"/>
  <c r="T9543" i="1"/>
  <c r="T9551" i="1"/>
  <c r="T9559" i="1"/>
  <c r="T9567" i="1"/>
  <c r="T9575" i="1"/>
  <c r="T9583" i="1"/>
  <c r="T9591" i="1"/>
  <c r="T9599" i="1"/>
  <c r="T9607" i="1"/>
  <c r="T9615" i="1"/>
  <c r="T9623" i="1"/>
  <c r="T9631" i="1"/>
  <c r="T9639" i="1"/>
  <c r="T9647" i="1"/>
  <c r="T9655" i="1"/>
  <c r="T9663" i="1"/>
  <c r="T9671" i="1"/>
  <c r="T9679" i="1"/>
  <c r="T9687" i="1"/>
  <c r="T9695" i="1"/>
  <c r="T9703" i="1"/>
  <c r="T9711" i="1"/>
  <c r="T9719" i="1"/>
  <c r="T9727" i="1"/>
  <c r="T9735" i="1"/>
  <c r="T9743" i="1"/>
  <c r="T9751" i="1"/>
  <c r="T9759" i="1"/>
  <c r="T9767" i="1"/>
  <c r="T9775" i="1"/>
  <c r="T9783" i="1"/>
  <c r="T9791" i="1"/>
  <c r="T9799" i="1"/>
  <c r="T9807" i="1"/>
  <c r="T9815" i="1"/>
  <c r="T9823" i="1"/>
  <c r="T9831" i="1"/>
  <c r="T9839" i="1"/>
  <c r="T9847" i="1"/>
  <c r="T9855" i="1"/>
  <c r="T9863" i="1"/>
  <c r="T9871" i="1"/>
  <c r="T9879" i="1"/>
  <c r="T9887" i="1"/>
  <c r="T9895" i="1"/>
  <c r="T9903" i="1"/>
  <c r="T9911" i="1"/>
  <c r="T9919" i="1"/>
  <c r="T9927" i="1"/>
  <c r="T9935" i="1"/>
  <c r="T9943" i="1"/>
  <c r="T9951" i="1"/>
  <c r="T9959" i="1"/>
  <c r="T9967" i="1"/>
  <c r="T9975" i="1"/>
  <c r="T9983" i="1"/>
  <c r="T9991" i="1"/>
  <c r="T9999" i="1"/>
  <c r="T9265" i="1"/>
  <c r="T9390" i="1"/>
  <c r="T9408" i="1"/>
  <c r="T9466" i="1"/>
  <c r="T9552" i="1"/>
  <c r="T9584" i="1"/>
  <c r="T9696" i="1"/>
  <c r="T9728" i="1"/>
  <c r="T9744" i="1"/>
  <c r="T9760" i="1"/>
  <c r="T9824" i="1"/>
  <c r="T9840" i="1"/>
  <c r="T9936" i="1"/>
  <c r="T3" i="1"/>
  <c r="T8287" i="1"/>
  <c r="T8354" i="1"/>
  <c r="T8366" i="1"/>
  <c r="T8415" i="1"/>
  <c r="T8427" i="1"/>
  <c r="T8488" i="1"/>
  <c r="T8549" i="1"/>
  <c r="T8561" i="1"/>
  <c r="T8610" i="1"/>
  <c r="T8622" i="1"/>
  <c r="T8671" i="1"/>
  <c r="T8683" i="1"/>
  <c r="T8744" i="1"/>
  <c r="T8805" i="1"/>
  <c r="T8817" i="1"/>
  <c r="T8874" i="1"/>
  <c r="T8922" i="1"/>
  <c r="T8936" i="1"/>
  <c r="T8951" i="1"/>
  <c r="T8986" i="1"/>
  <c r="T9000" i="1"/>
  <c r="T9015" i="1"/>
  <c r="T9032" i="1"/>
  <c r="T9048" i="1"/>
  <c r="T9072" i="1"/>
  <c r="T9085" i="1"/>
  <c r="T9098" i="1"/>
  <c r="T9102" i="1"/>
  <c r="T9118" i="1"/>
  <c r="T9121" i="1"/>
  <c r="T9124" i="1"/>
  <c r="T9127" i="1"/>
  <c r="T9130" i="1"/>
  <c r="T9133" i="1"/>
  <c r="T9136" i="1"/>
  <c r="T9182" i="1"/>
  <c r="T9185" i="1"/>
  <c r="T9188" i="1"/>
  <c r="T9191" i="1"/>
  <c r="T9194" i="1"/>
  <c r="T9197" i="1"/>
  <c r="T9200" i="1"/>
  <c r="T9246" i="1"/>
  <c r="T9249" i="1"/>
  <c r="T9252" i="1"/>
  <c r="T9255" i="1"/>
  <c r="T9258" i="1"/>
  <c r="T9261" i="1"/>
  <c r="T9264" i="1"/>
  <c r="T9310" i="1"/>
  <c r="T9313" i="1"/>
  <c r="T9316" i="1"/>
  <c r="T9319" i="1"/>
  <c r="T9322" i="1"/>
  <c r="T9325" i="1"/>
  <c r="T9328" i="1"/>
  <c r="T9374" i="1"/>
  <c r="T9377" i="1"/>
  <c r="T9380" i="1"/>
  <c r="T9383" i="1"/>
  <c r="T9386" i="1"/>
  <c r="T9389" i="1"/>
  <c r="T9392" i="1"/>
  <c r="T9438" i="1"/>
  <c r="T9441" i="1"/>
  <c r="T9444" i="1"/>
  <c r="T9447" i="1"/>
  <c r="T9450" i="1"/>
  <c r="T9453" i="1"/>
  <c r="T9456" i="1"/>
  <c r="T9502" i="1"/>
  <c r="T9505" i="1"/>
  <c r="T9508" i="1"/>
  <c r="T9511" i="1"/>
  <c r="T9514" i="1"/>
  <c r="T9517" i="1"/>
  <c r="T9520" i="1"/>
  <c r="T9538" i="1"/>
  <c r="T9546" i="1"/>
  <c r="T9554" i="1"/>
  <c r="T9562" i="1"/>
  <c r="T9570" i="1"/>
  <c r="T9578" i="1"/>
  <c r="T9586" i="1"/>
  <c r="T9594" i="1"/>
  <c r="T9602" i="1"/>
  <c r="T9610" i="1"/>
  <c r="T9618" i="1"/>
  <c r="T9626" i="1"/>
  <c r="T9634" i="1"/>
  <c r="T9642" i="1"/>
  <c r="T9650" i="1"/>
  <c r="T9658" i="1"/>
  <c r="T9666" i="1"/>
  <c r="T9674" i="1"/>
  <c r="T9682" i="1"/>
  <c r="T9690" i="1"/>
  <c r="T9698" i="1"/>
  <c r="T9706" i="1"/>
  <c r="T9714" i="1"/>
  <c r="T9722" i="1"/>
  <c r="T9730" i="1"/>
  <c r="T9738" i="1"/>
  <c r="T9746" i="1"/>
  <c r="T9754" i="1"/>
  <c r="T9762" i="1"/>
  <c r="T9770" i="1"/>
  <c r="T9778" i="1"/>
  <c r="T9786" i="1"/>
  <c r="T9794" i="1"/>
  <c r="T9802" i="1"/>
  <c r="T9810" i="1"/>
  <c r="T9818" i="1"/>
  <c r="T9826" i="1"/>
  <c r="T9834" i="1"/>
  <c r="T9842" i="1"/>
  <c r="T9850" i="1"/>
  <c r="T9858" i="1"/>
  <c r="T9866" i="1"/>
  <c r="T9874" i="1"/>
  <c r="T9882" i="1"/>
  <c r="T9890" i="1"/>
  <c r="T9898" i="1"/>
  <c r="T9906" i="1"/>
  <c r="T9914" i="1"/>
  <c r="T9922" i="1"/>
  <c r="T9930" i="1"/>
  <c r="T9938" i="1"/>
  <c r="T9946" i="1"/>
  <c r="T9954" i="1"/>
  <c r="T9962" i="1"/>
  <c r="T9970" i="1"/>
  <c r="T9978" i="1"/>
  <c r="T9986" i="1"/>
  <c r="T9994" i="1"/>
  <c r="T10002" i="1"/>
  <c r="T9268" i="1"/>
  <c r="T9393" i="1"/>
  <c r="T9463" i="1"/>
  <c r="T9472" i="1"/>
  <c r="T9521" i="1"/>
  <c r="T9533" i="1"/>
  <c r="T9568" i="1"/>
  <c r="T9576" i="1"/>
  <c r="T9656" i="1"/>
  <c r="T9688" i="1"/>
  <c r="T9704" i="1"/>
  <c r="T9784" i="1"/>
  <c r="T9880" i="1"/>
  <c r="T9888" i="1"/>
  <c r="T9896" i="1"/>
  <c r="T9912" i="1"/>
  <c r="T9928" i="1"/>
  <c r="T9944" i="1"/>
  <c r="T9976" i="1"/>
  <c r="T8249" i="1"/>
  <c r="T8313" i="1"/>
  <c r="T8381" i="1"/>
  <c r="T8393" i="1"/>
  <c r="T8442" i="1"/>
  <c r="T8454" i="1"/>
  <c r="T8503" i="1"/>
  <c r="T8515" i="1"/>
  <c r="T8576" i="1"/>
  <c r="T8637" i="1"/>
  <c r="T8649" i="1"/>
  <c r="T8698" i="1"/>
  <c r="T8710" i="1"/>
  <c r="T8759" i="1"/>
  <c r="T8771" i="1"/>
  <c r="T8832" i="1"/>
  <c r="T8855" i="1"/>
  <c r="T8887" i="1"/>
  <c r="T8895" i="1"/>
  <c r="T8930" i="1"/>
  <c r="T8944" i="1"/>
  <c r="T8959" i="1"/>
  <c r="T8994" i="1"/>
  <c r="T9008" i="1"/>
  <c r="T9028" i="1"/>
  <c r="T9044" i="1"/>
  <c r="T9060" i="1"/>
  <c r="T9064" i="1"/>
  <c r="T9077" i="1"/>
  <c r="T9090" i="1"/>
  <c r="T9106" i="1"/>
  <c r="T9109" i="1"/>
  <c r="T9112" i="1"/>
  <c r="T9158" i="1"/>
  <c r="T9161" i="1"/>
  <c r="T9164" i="1"/>
  <c r="T9167" i="1"/>
  <c r="T9170" i="1"/>
  <c r="T9173" i="1"/>
  <c r="T9176" i="1"/>
  <c r="T9222" i="1"/>
  <c r="T9225" i="1"/>
  <c r="T9228" i="1"/>
  <c r="T9231" i="1"/>
  <c r="T9234" i="1"/>
  <c r="T9237" i="1"/>
  <c r="T9240" i="1"/>
  <c r="T9286" i="1"/>
  <c r="T9289" i="1"/>
  <c r="T9292" i="1"/>
  <c r="T9295" i="1"/>
  <c r="T9298" i="1"/>
  <c r="T9301" i="1"/>
  <c r="T9304" i="1"/>
  <c r="T9350" i="1"/>
  <c r="T9353" i="1"/>
  <c r="T9356" i="1"/>
  <c r="T9359" i="1"/>
  <c r="T9362" i="1"/>
  <c r="T9365" i="1"/>
  <c r="T9368" i="1"/>
  <c r="T9414" i="1"/>
  <c r="T9417" i="1"/>
  <c r="T9420" i="1"/>
  <c r="T9423" i="1"/>
  <c r="T9426" i="1"/>
  <c r="T9429" i="1"/>
  <c r="T9432" i="1"/>
  <c r="T9478" i="1"/>
  <c r="T9481" i="1"/>
  <c r="T9484" i="1"/>
  <c r="T9487" i="1"/>
  <c r="T9490" i="1"/>
  <c r="T9493" i="1"/>
  <c r="T9496" i="1"/>
  <c r="T9541" i="1"/>
  <c r="T9549" i="1"/>
  <c r="T9557" i="1"/>
  <c r="T9565" i="1"/>
  <c r="T9573" i="1"/>
  <c r="T9581" i="1"/>
  <c r="T9589" i="1"/>
  <c r="T9597" i="1"/>
  <c r="T9605" i="1"/>
  <c r="T9613" i="1"/>
  <c r="T9621" i="1"/>
  <c r="T9629" i="1"/>
  <c r="T9637" i="1"/>
  <c r="T9645" i="1"/>
  <c r="T9653" i="1"/>
  <c r="T9661" i="1"/>
  <c r="T9669" i="1"/>
  <c r="T9677" i="1"/>
  <c r="T9685" i="1"/>
  <c r="T9693" i="1"/>
  <c r="T9701" i="1"/>
  <c r="T9709" i="1"/>
  <c r="T9717" i="1"/>
  <c r="T9725" i="1"/>
  <c r="T9733" i="1"/>
  <c r="T9741" i="1"/>
  <c r="T9749" i="1"/>
  <c r="T9757" i="1"/>
  <c r="T9765" i="1"/>
  <c r="T9773" i="1"/>
  <c r="T9781" i="1"/>
  <c r="T9789" i="1"/>
  <c r="T9797" i="1"/>
  <c r="T9805" i="1"/>
  <c r="T9813" i="1"/>
  <c r="T9821" i="1"/>
  <c r="T9829" i="1"/>
  <c r="T9837" i="1"/>
  <c r="T9845" i="1"/>
  <c r="T9853" i="1"/>
  <c r="T9861" i="1"/>
  <c r="T9869" i="1"/>
  <c r="T9877" i="1"/>
  <c r="T9885" i="1"/>
  <c r="T9893" i="1"/>
  <c r="T9901" i="1"/>
  <c r="T9909" i="1"/>
  <c r="T9917" i="1"/>
  <c r="T9925" i="1"/>
  <c r="T9933" i="1"/>
  <c r="T9941" i="1"/>
  <c r="T9949" i="1"/>
  <c r="T9957" i="1"/>
  <c r="T9965" i="1"/>
  <c r="T9973" i="1"/>
  <c r="T9981" i="1"/>
  <c r="T9989" i="1"/>
  <c r="T9997" i="1"/>
  <c r="T9454" i="1"/>
  <c r="T9469" i="1"/>
  <c r="T9518" i="1"/>
  <c r="T9524" i="1"/>
  <c r="T9530" i="1"/>
  <c r="T9544" i="1"/>
  <c r="T9720" i="1"/>
  <c r="T9736" i="1"/>
  <c r="T9768" i="1"/>
  <c r="T9816" i="1"/>
  <c r="T9864" i="1"/>
  <c r="T9872" i="1"/>
  <c r="T9920" i="1"/>
  <c r="T9968" i="1"/>
  <c r="T9992" i="1"/>
  <c r="T9878" i="1"/>
  <c r="T8271" i="1"/>
  <c r="T8357" i="1"/>
  <c r="T8369" i="1"/>
  <c r="T8418" i="1"/>
  <c r="T8430" i="1"/>
  <c r="T8479" i="1"/>
  <c r="T8491" i="1"/>
  <c r="T8552" i="1"/>
  <c r="T8613" i="1"/>
  <c r="T8625" i="1"/>
  <c r="T8674" i="1"/>
  <c r="T8686" i="1"/>
  <c r="T8735" i="1"/>
  <c r="T8747" i="1"/>
  <c r="T8808" i="1"/>
  <c r="T8866" i="1"/>
  <c r="T8903" i="1"/>
  <c r="T8938" i="1"/>
  <c r="T8952" i="1"/>
  <c r="T8967" i="1"/>
  <c r="T9002" i="1"/>
  <c r="T9016" i="1"/>
  <c r="T9023" i="1"/>
  <c r="T9039" i="1"/>
  <c r="T9055" i="1"/>
  <c r="T9069" i="1"/>
  <c r="T9082" i="1"/>
  <c r="T9095" i="1"/>
  <c r="T9103" i="1"/>
  <c r="T9134" i="1"/>
  <c r="T9137" i="1"/>
  <c r="T9140" i="1"/>
  <c r="T9143" i="1"/>
  <c r="T9146" i="1"/>
  <c r="T9149" i="1"/>
  <c r="T9152" i="1"/>
  <c r="T9198" i="1"/>
  <c r="T9201" i="1"/>
  <c r="T9204" i="1"/>
  <c r="T9207" i="1"/>
  <c r="T9210" i="1"/>
  <c r="T9213" i="1"/>
  <c r="T9216" i="1"/>
  <c r="T9262" i="1"/>
  <c r="T9271" i="1"/>
  <c r="T9274" i="1"/>
  <c r="T9277" i="1"/>
  <c r="T9280" i="1"/>
  <c r="T9326" i="1"/>
  <c r="T9329" i="1"/>
  <c r="T9332" i="1"/>
  <c r="T9335" i="1"/>
  <c r="T9338" i="1"/>
  <c r="T9341" i="1"/>
  <c r="T9344" i="1"/>
  <c r="T9396" i="1"/>
  <c r="T9405" i="1"/>
  <c r="T9527" i="1"/>
  <c r="T9592" i="1"/>
  <c r="T9608" i="1"/>
  <c r="T9624" i="1"/>
  <c r="T9640" i="1"/>
  <c r="T9672" i="1"/>
  <c r="T9952" i="1"/>
  <c r="T8297" i="1"/>
  <c r="T8384" i="1"/>
  <c r="T8445" i="1"/>
  <c r="T8457" i="1"/>
  <c r="T8506" i="1"/>
  <c r="T8518" i="1"/>
  <c r="T8567" i="1"/>
  <c r="T8579" i="1"/>
  <c r="T8640" i="1"/>
  <c r="T8701" i="1"/>
  <c r="T8713" i="1"/>
  <c r="T8762" i="1"/>
  <c r="T8774" i="1"/>
  <c r="T8823" i="1"/>
  <c r="T8835" i="1"/>
  <c r="T8847" i="1"/>
  <c r="T8879" i="1"/>
  <c r="T8896" i="1"/>
  <c r="T8911" i="1"/>
  <c r="T8946" i="1"/>
  <c r="T8960" i="1"/>
  <c r="T8975" i="1"/>
  <c r="T9010" i="1"/>
  <c r="T9034" i="1"/>
  <c r="T9050" i="1"/>
  <c r="T9074" i="1"/>
  <c r="T9087" i="1"/>
  <c r="T9100" i="1"/>
  <c r="T9110" i="1"/>
  <c r="T9113" i="1"/>
  <c r="T9116" i="1"/>
  <c r="T9119" i="1"/>
  <c r="T9122" i="1"/>
  <c r="T9125" i="1"/>
  <c r="T9128" i="1"/>
  <c r="T9174" i="1"/>
  <c r="T9177" i="1"/>
  <c r="T9180" i="1"/>
  <c r="T9183" i="1"/>
  <c r="T9186" i="1"/>
  <c r="T9189" i="1"/>
  <c r="T9192" i="1"/>
  <c r="T9238" i="1"/>
  <c r="T9241" i="1"/>
  <c r="T9244" i="1"/>
  <c r="T9247" i="1"/>
  <c r="T9250" i="1"/>
  <c r="T9253" i="1"/>
  <c r="T9256" i="1"/>
  <c r="T9302" i="1"/>
  <c r="T9305" i="1"/>
  <c r="T9308" i="1"/>
  <c r="T9311" i="1"/>
  <c r="T9314" i="1"/>
  <c r="T9317" i="1"/>
  <c r="T9320" i="1"/>
  <c r="T9366" i="1"/>
  <c r="T9369" i="1"/>
  <c r="T9372" i="1"/>
  <c r="T9375" i="1"/>
  <c r="T9378" i="1"/>
  <c r="T9381" i="1"/>
  <c r="T9384" i="1"/>
  <c r="T9430" i="1"/>
  <c r="T9433" i="1"/>
  <c r="T9436" i="1"/>
  <c r="T9439" i="1"/>
  <c r="T9442" i="1"/>
  <c r="T9445" i="1"/>
  <c r="T9448" i="1"/>
  <c r="T9494" i="1"/>
  <c r="T9497" i="1"/>
  <c r="T9500" i="1"/>
  <c r="T9503" i="1"/>
  <c r="T9506" i="1"/>
  <c r="T9509" i="1"/>
  <c r="T9512" i="1"/>
  <c r="T9539" i="1"/>
  <c r="T9547" i="1"/>
  <c r="T9555" i="1"/>
  <c r="T9563" i="1"/>
  <c r="T9571" i="1"/>
  <c r="T9579" i="1"/>
  <c r="T9587" i="1"/>
  <c r="T9595" i="1"/>
  <c r="T9603" i="1"/>
  <c r="T9611" i="1"/>
  <c r="T9619" i="1"/>
  <c r="T9627" i="1"/>
  <c r="T9635" i="1"/>
  <c r="T9643" i="1"/>
  <c r="T9651" i="1"/>
  <c r="T9659" i="1"/>
  <c r="T9667" i="1"/>
  <c r="T9675" i="1"/>
  <c r="T9683" i="1"/>
  <c r="T9691" i="1"/>
  <c r="T9699" i="1"/>
  <c r="T9707" i="1"/>
  <c r="T9715" i="1"/>
  <c r="T9723" i="1"/>
  <c r="T9731" i="1"/>
  <c r="T9739" i="1"/>
  <c r="T9747" i="1"/>
  <c r="T9755" i="1"/>
  <c r="T9763" i="1"/>
  <c r="T9771" i="1"/>
  <c r="T9779" i="1"/>
  <c r="T9787" i="1"/>
  <c r="T9795" i="1"/>
  <c r="T9803" i="1"/>
  <c r="T9811" i="1"/>
  <c r="T9819" i="1"/>
  <c r="T9827" i="1"/>
  <c r="T9835" i="1"/>
  <c r="T9843" i="1"/>
  <c r="T9851" i="1"/>
  <c r="T9859" i="1"/>
  <c r="T9867" i="1"/>
  <c r="T9875" i="1"/>
  <c r="T9883" i="1"/>
  <c r="T9891" i="1"/>
  <c r="T9899" i="1"/>
  <c r="T9907" i="1"/>
  <c r="T9915" i="1"/>
  <c r="T9923" i="1"/>
  <c r="T9931" i="1"/>
  <c r="T9939" i="1"/>
  <c r="T9947" i="1"/>
  <c r="T9955" i="1"/>
  <c r="T9963" i="1"/>
  <c r="T9971" i="1"/>
  <c r="T9979" i="1"/>
  <c r="T9987" i="1"/>
  <c r="T9995" i="1"/>
  <c r="T9354" i="1"/>
  <c r="T9360" i="1"/>
  <c r="T9406" i="1"/>
  <c r="T9409" i="1"/>
  <c r="T9415" i="1"/>
  <c r="T9418" i="1"/>
  <c r="T9421" i="1"/>
  <c r="T9424" i="1"/>
  <c r="T9473" i="1"/>
  <c r="T9476" i="1"/>
  <c r="T9479" i="1"/>
  <c r="T9482" i="1"/>
  <c r="T9485" i="1"/>
  <c r="T9488" i="1"/>
  <c r="T9534" i="1"/>
  <c r="T9550" i="1"/>
  <c r="T9558" i="1"/>
  <c r="T9566" i="1"/>
  <c r="T9582" i="1"/>
  <c r="T9598" i="1"/>
  <c r="T9606" i="1"/>
  <c r="T9638" i="1"/>
  <c r="T9646" i="1"/>
  <c r="T9654" i="1"/>
  <c r="T9670" i="1"/>
  <c r="T9686" i="1"/>
  <c r="T9702" i="1"/>
  <c r="T9718" i="1"/>
  <c r="T9726" i="1"/>
  <c r="T9742" i="1"/>
  <c r="T9766" i="1"/>
  <c r="T9774" i="1"/>
  <c r="T9782" i="1"/>
  <c r="T9806" i="1"/>
  <c r="T9814" i="1"/>
  <c r="T9822" i="1"/>
  <c r="T9846" i="1"/>
  <c r="T9894" i="1"/>
  <c r="T9902" i="1"/>
  <c r="T9966" i="1"/>
  <c r="T8255" i="1"/>
  <c r="T8319" i="1"/>
  <c r="T8360" i="1"/>
  <c r="T8421" i="1"/>
  <c r="T8433" i="1"/>
  <c r="T8482" i="1"/>
  <c r="T8494" i="1"/>
  <c r="T8543" i="1"/>
  <c r="T8555" i="1"/>
  <c r="T8616" i="1"/>
  <c r="T8677" i="1"/>
  <c r="T8689" i="1"/>
  <c r="T8738" i="1"/>
  <c r="T8750" i="1"/>
  <c r="T8799" i="1"/>
  <c r="T8811" i="1"/>
  <c r="T8858" i="1"/>
  <c r="T8890" i="1"/>
  <c r="T8904" i="1"/>
  <c r="T8919" i="1"/>
  <c r="T8954" i="1"/>
  <c r="T8968" i="1"/>
  <c r="T8983" i="1"/>
  <c r="T9018" i="1"/>
  <c r="T9024" i="1"/>
  <c r="T9040" i="1"/>
  <c r="T9056" i="1"/>
  <c r="T9066" i="1"/>
  <c r="T9079" i="1"/>
  <c r="T9092" i="1"/>
  <c r="T9150" i="1"/>
  <c r="T9153" i="1"/>
  <c r="T9156" i="1"/>
  <c r="T9159" i="1"/>
  <c r="T9162" i="1"/>
  <c r="T9165" i="1"/>
  <c r="T9168" i="1"/>
  <c r="T9214" i="1"/>
  <c r="T9217" i="1"/>
  <c r="T9220" i="1"/>
  <c r="T9223" i="1"/>
  <c r="T9226" i="1"/>
  <c r="T9229" i="1"/>
  <c r="T9232" i="1"/>
  <c r="T9278" i="1"/>
  <c r="T9281" i="1"/>
  <c r="T9284" i="1"/>
  <c r="T9287" i="1"/>
  <c r="T9290" i="1"/>
  <c r="T9293" i="1"/>
  <c r="T9296" i="1"/>
  <c r="T9342" i="1"/>
  <c r="T9345" i="1"/>
  <c r="T9348" i="1"/>
  <c r="T9351" i="1"/>
  <c r="T9357" i="1"/>
  <c r="T9412" i="1"/>
  <c r="T9470" i="1"/>
  <c r="T9542" i="1"/>
  <c r="T9574" i="1"/>
  <c r="T9590" i="1"/>
  <c r="T9614" i="1"/>
  <c r="T9622" i="1"/>
  <c r="T9630" i="1"/>
  <c r="T9662" i="1"/>
  <c r="T9678" i="1"/>
  <c r="T9694" i="1"/>
  <c r="T9710" i="1"/>
  <c r="T9734" i="1"/>
  <c r="T9750" i="1"/>
  <c r="T9758" i="1"/>
  <c r="T9790" i="1"/>
  <c r="T9798" i="1"/>
  <c r="T9830" i="1"/>
  <c r="T9838" i="1"/>
  <c r="T9854" i="1"/>
  <c r="T9862" i="1"/>
  <c r="T9886" i="1"/>
  <c r="T9910" i="1"/>
  <c r="T9918" i="1"/>
  <c r="T9958" i="1"/>
  <c r="T9990" i="1"/>
  <c r="L14" i="7" l="1"/>
  <c r="L4" i="1"/>
  <c r="L12" i="1"/>
  <c r="L20" i="1"/>
  <c r="L28" i="1"/>
  <c r="L36" i="1"/>
  <c r="L44" i="1"/>
  <c r="L52" i="1"/>
  <c r="L60" i="1"/>
  <c r="L68" i="1"/>
  <c r="L76" i="1"/>
  <c r="L84" i="1"/>
  <c r="L92" i="1"/>
  <c r="L100" i="1"/>
  <c r="L11" i="1"/>
  <c r="L67" i="1"/>
  <c r="L91" i="1"/>
  <c r="L5" i="1"/>
  <c r="L13" i="1"/>
  <c r="L21" i="1"/>
  <c r="L29" i="1"/>
  <c r="L37" i="1"/>
  <c r="L45" i="1"/>
  <c r="L53" i="1"/>
  <c r="L61" i="1"/>
  <c r="L69" i="1"/>
  <c r="L77" i="1"/>
  <c r="L85" i="1"/>
  <c r="L93" i="1"/>
  <c r="L101" i="1"/>
  <c r="L19" i="1"/>
  <c r="L75" i="1"/>
  <c r="L99" i="1"/>
  <c r="L6" i="1"/>
  <c r="L14" i="1"/>
  <c r="L22" i="1"/>
  <c r="L30" i="1"/>
  <c r="L38" i="1"/>
  <c r="L46" i="1"/>
  <c r="L54" i="1"/>
  <c r="L62" i="1"/>
  <c r="L70" i="1"/>
  <c r="L78" i="1"/>
  <c r="L86" i="1"/>
  <c r="L94" i="1"/>
  <c r="L102" i="1"/>
  <c r="L35" i="1"/>
  <c r="L7" i="1"/>
  <c r="L15" i="1"/>
  <c r="L23" i="1"/>
  <c r="L31" i="1"/>
  <c r="L39" i="1"/>
  <c r="L47" i="1"/>
  <c r="L55" i="1"/>
  <c r="L63" i="1"/>
  <c r="L71" i="1"/>
  <c r="L79" i="1"/>
  <c r="L87" i="1"/>
  <c r="L95" i="1"/>
  <c r="L3" i="1"/>
  <c r="L51" i="1"/>
  <c r="L8" i="1"/>
  <c r="L16" i="1"/>
  <c r="L24" i="1"/>
  <c r="L32" i="1"/>
  <c r="L40" i="1"/>
  <c r="L48" i="1"/>
  <c r="L56" i="1"/>
  <c r="L64" i="1"/>
  <c r="L72" i="1"/>
  <c r="L80" i="1"/>
  <c r="L88" i="1"/>
  <c r="L96" i="1"/>
  <c r="L27" i="1"/>
  <c r="L9" i="1"/>
  <c r="L17" i="1"/>
  <c r="L25" i="1"/>
  <c r="L33" i="1"/>
  <c r="L41" i="1"/>
  <c r="L49" i="1"/>
  <c r="L57" i="1"/>
  <c r="L65" i="1"/>
  <c r="L73" i="1"/>
  <c r="L81" i="1"/>
  <c r="L89" i="1"/>
  <c r="L97" i="1"/>
  <c r="L43" i="1"/>
  <c r="L59" i="1"/>
  <c r="L83" i="1"/>
  <c r="L10" i="1"/>
  <c r="L18" i="1"/>
  <c r="L26" i="1"/>
  <c r="L34" i="1"/>
  <c r="L42" i="1"/>
  <c r="L50" i="1"/>
  <c r="L58" i="1"/>
  <c r="L66" i="1"/>
  <c r="L74" i="1"/>
  <c r="L82" i="1"/>
  <c r="L90" i="1"/>
  <c r="L98" i="1"/>
  <c r="D13" i="7"/>
  <c r="D12" i="7"/>
  <c r="D14" i="7"/>
  <c r="D16" i="7"/>
  <c r="M15" i="7" s="1"/>
  <c r="D15" i="7"/>
  <c r="D17" i="7"/>
  <c r="L15" i="7"/>
  <c r="H10" i="7"/>
  <c r="H9" i="7"/>
  <c r="G10" i="7"/>
  <c r="G8" i="7"/>
  <c r="G9" i="7"/>
  <c r="H8" i="7"/>
  <c r="U116" i="1"/>
  <c r="U237" i="1"/>
  <c r="U365" i="1"/>
  <c r="U425" i="1"/>
  <c r="U455" i="1"/>
  <c r="U464" i="1"/>
  <c r="U484" i="1"/>
  <c r="U490" i="1"/>
  <c r="U499" i="1"/>
  <c r="U512" i="1"/>
  <c r="U554" i="1"/>
  <c r="U560" i="1"/>
  <c r="U583" i="1"/>
  <c r="U616" i="1"/>
  <c r="U628" i="1"/>
  <c r="U645" i="1"/>
  <c r="U651" i="1"/>
  <c r="U658" i="1"/>
  <c r="U675" i="1"/>
  <c r="U681" i="1"/>
  <c r="U684" i="1"/>
  <c r="U687" i="1"/>
  <c r="U696" i="1"/>
  <c r="U713" i="1"/>
  <c r="U722" i="1"/>
  <c r="U725" i="1"/>
  <c r="U734" i="1"/>
  <c r="U149" i="1"/>
  <c r="U310" i="1"/>
  <c r="U340" i="1"/>
  <c r="U384" i="1"/>
  <c r="U433" i="1"/>
  <c r="U445" i="1"/>
  <c r="U468" i="1"/>
  <c r="U553" i="1"/>
  <c r="U559" i="1"/>
  <c r="U567" i="1"/>
  <c r="U605" i="1"/>
  <c r="U621" i="1"/>
  <c r="U640" i="1"/>
  <c r="U649" i="1"/>
  <c r="U660" i="1"/>
  <c r="U669" i="1"/>
  <c r="U676" i="1"/>
  <c r="U686" i="1"/>
  <c r="U689" i="1"/>
  <c r="U706" i="1"/>
  <c r="U716" i="1"/>
  <c r="U726" i="1"/>
  <c r="U733" i="1"/>
  <c r="U736" i="1"/>
  <c r="U739" i="1"/>
  <c r="U746" i="1"/>
  <c r="U752" i="1"/>
  <c r="U755" i="1"/>
  <c r="U761" i="1"/>
  <c r="U764" i="1"/>
  <c r="U778" i="1"/>
  <c r="U787" i="1"/>
  <c r="U790" i="1"/>
  <c r="U367" i="1"/>
  <c r="U401" i="1"/>
  <c r="U456" i="1"/>
  <c r="U503" i="1"/>
  <c r="U532" i="1"/>
  <c r="U574" i="1"/>
  <c r="U581" i="1"/>
  <c r="U594" i="1"/>
  <c r="U600" i="1"/>
  <c r="U606" i="1"/>
  <c r="U617" i="1"/>
  <c r="U622" i="1"/>
  <c r="U626" i="1"/>
  <c r="U641" i="1"/>
  <c r="U657" i="1"/>
  <c r="U673" i="1"/>
  <c r="U700" i="1"/>
  <c r="U703" i="1"/>
  <c r="U720" i="1"/>
  <c r="U723" i="1"/>
  <c r="U740" i="1"/>
  <c r="U767" i="1"/>
  <c r="U770" i="1"/>
  <c r="U773" i="1"/>
  <c r="U271" i="1"/>
  <c r="U388" i="1"/>
  <c r="U424" i="1"/>
  <c r="U505" i="1"/>
  <c r="U513" i="1"/>
  <c r="U527" i="1"/>
  <c r="U546" i="1"/>
  <c r="U555" i="1"/>
  <c r="U287" i="1"/>
  <c r="U351" i="1"/>
  <c r="U416" i="1"/>
  <c r="U448" i="1"/>
  <c r="U481" i="1"/>
  <c r="U541" i="1"/>
  <c r="U556" i="1"/>
  <c r="U100" i="1"/>
  <c r="U326" i="1"/>
  <c r="U373" i="1"/>
  <c r="U391" i="1"/>
  <c r="U419" i="1"/>
  <c r="U491" i="1"/>
  <c r="U507" i="1"/>
  <c r="U521" i="1"/>
  <c r="U471" i="1"/>
  <c r="U531" i="1"/>
  <c r="U545" i="1"/>
  <c r="U597" i="1"/>
  <c r="U633" i="1"/>
  <c r="U639" i="1"/>
  <c r="U650" i="1"/>
  <c r="U655" i="1"/>
  <c r="U685" i="1"/>
  <c r="U698" i="1"/>
  <c r="U707" i="1"/>
  <c r="U738" i="1"/>
  <c r="U742" i="1"/>
  <c r="U747" i="1"/>
  <c r="U751" i="1"/>
  <c r="U789" i="1"/>
  <c r="U792" i="1"/>
  <c r="U795" i="1"/>
  <c r="U807" i="1"/>
  <c r="U818" i="1"/>
  <c r="U821" i="1"/>
  <c r="U832" i="1"/>
  <c r="U843" i="1"/>
  <c r="U846" i="1"/>
  <c r="U857" i="1"/>
  <c r="U860" i="1"/>
  <c r="U871" i="1"/>
  <c r="U879" i="1"/>
  <c r="U887" i="1"/>
  <c r="U895" i="1"/>
  <c r="U903" i="1"/>
  <c r="U911" i="1"/>
  <c r="U919" i="1"/>
  <c r="U927" i="1"/>
  <c r="U935" i="1"/>
  <c r="U943" i="1"/>
  <c r="U951" i="1"/>
  <c r="U959" i="1"/>
  <c r="U967" i="1"/>
  <c r="U975" i="1"/>
  <c r="U983" i="1"/>
  <c r="U991" i="1"/>
  <c r="U999" i="1"/>
  <c r="U1007" i="1"/>
  <c r="U1015" i="1"/>
  <c r="U1023" i="1"/>
  <c r="U1031" i="1"/>
  <c r="U1039" i="1"/>
  <c r="U1047" i="1"/>
  <c r="U1055" i="1"/>
  <c r="U1063" i="1"/>
  <c r="U1071" i="1"/>
  <c r="U1079" i="1"/>
  <c r="U1087" i="1"/>
  <c r="U1095" i="1"/>
  <c r="U192" i="1"/>
  <c r="U517" i="1"/>
  <c r="U534" i="1"/>
  <c r="U614" i="1"/>
  <c r="U646" i="1"/>
  <c r="U677" i="1"/>
  <c r="U708" i="1"/>
  <c r="U717" i="1"/>
  <c r="U721" i="1"/>
  <c r="U730" i="1"/>
  <c r="U756" i="1"/>
  <c r="U763" i="1"/>
  <c r="U771" i="1"/>
  <c r="U783" i="1"/>
  <c r="U786" i="1"/>
  <c r="U796" i="1"/>
  <c r="U799" i="1"/>
  <c r="U810" i="1"/>
  <c r="U813" i="1"/>
  <c r="U824" i="1"/>
  <c r="U835" i="1"/>
  <c r="U838" i="1"/>
  <c r="U849" i="1"/>
  <c r="U852" i="1"/>
  <c r="U863" i="1"/>
  <c r="U874" i="1"/>
  <c r="U882" i="1"/>
  <c r="U890" i="1"/>
  <c r="U898" i="1"/>
  <c r="U906" i="1"/>
  <c r="U914" i="1"/>
  <c r="U922" i="1"/>
  <c r="U930" i="1"/>
  <c r="U938" i="1"/>
  <c r="U946" i="1"/>
  <c r="U383" i="1"/>
  <c r="U573" i="1"/>
  <c r="U582" i="1"/>
  <c r="U615" i="1"/>
  <c r="U634" i="1"/>
  <c r="U667" i="1"/>
  <c r="U672" i="1"/>
  <c r="U695" i="1"/>
  <c r="U699" i="1"/>
  <c r="U712" i="1"/>
  <c r="U735" i="1"/>
  <c r="U744" i="1"/>
  <c r="U748" i="1"/>
  <c r="U760" i="1"/>
  <c r="U775" i="1"/>
  <c r="U793" i="1"/>
  <c r="U802" i="1"/>
  <c r="U805" i="1"/>
  <c r="U816" i="1"/>
  <c r="U13" i="1"/>
  <c r="U223" i="1"/>
  <c r="U421" i="1"/>
  <c r="U452" i="1"/>
  <c r="U502" i="1"/>
  <c r="U565" i="1"/>
  <c r="U601" i="1"/>
  <c r="U537" i="1"/>
  <c r="U592" i="1"/>
  <c r="U42" i="1"/>
  <c r="U262" i="1"/>
  <c r="U432" i="1"/>
  <c r="U569" i="1"/>
  <c r="U578" i="1"/>
  <c r="U585" i="1"/>
  <c r="U610" i="1"/>
  <c r="U624" i="1"/>
  <c r="U630" i="1"/>
  <c r="U654" i="1"/>
  <c r="U679" i="1"/>
  <c r="U688" i="1"/>
  <c r="U719" i="1"/>
  <c r="U724" i="1"/>
  <c r="U728" i="1"/>
  <c r="U257" i="1"/>
  <c r="U462" i="1"/>
  <c r="U542" i="1"/>
  <c r="U691" i="1"/>
  <c r="U758" i="1"/>
  <c r="U765" i="1"/>
  <c r="U798" i="1"/>
  <c r="U803" i="1"/>
  <c r="U808" i="1"/>
  <c r="U812" i="1"/>
  <c r="U829" i="1"/>
  <c r="U833" i="1"/>
  <c r="U840" i="1"/>
  <c r="U851" i="1"/>
  <c r="U870" i="1"/>
  <c r="U884" i="1"/>
  <c r="U888" i="1"/>
  <c r="U902" i="1"/>
  <c r="U916" i="1"/>
  <c r="U920" i="1"/>
  <c r="U934" i="1"/>
  <c r="U948" i="1"/>
  <c r="U994" i="1"/>
  <c r="U997" i="1"/>
  <c r="U1000" i="1"/>
  <c r="U1003" i="1"/>
  <c r="U1006" i="1"/>
  <c r="U1009" i="1"/>
  <c r="U1012" i="1"/>
  <c r="U296" i="1"/>
  <c r="U629" i="1"/>
  <c r="U652" i="1"/>
  <c r="U663" i="1"/>
  <c r="U682" i="1"/>
  <c r="U709" i="1"/>
  <c r="U727" i="1"/>
  <c r="U753" i="1"/>
  <c r="U759" i="1"/>
  <c r="U772" i="1"/>
  <c r="U777" i="1"/>
  <c r="U784" i="1"/>
  <c r="U794" i="1"/>
  <c r="U817" i="1"/>
  <c r="U822" i="1"/>
  <c r="U830" i="1"/>
  <c r="U837" i="1"/>
  <c r="U841" i="1"/>
  <c r="U848" i="1"/>
  <c r="U859" i="1"/>
  <c r="U881" i="1"/>
  <c r="U885" i="1"/>
  <c r="U899" i="1"/>
  <c r="U913" i="1"/>
  <c r="U917" i="1"/>
  <c r="U931" i="1"/>
  <c r="U945" i="1"/>
  <c r="U970" i="1"/>
  <c r="U973" i="1"/>
  <c r="U976" i="1"/>
  <c r="U979" i="1"/>
  <c r="U982" i="1"/>
  <c r="U985" i="1"/>
  <c r="U988" i="1"/>
  <c r="U674" i="1"/>
  <c r="U683" i="1"/>
  <c r="U692" i="1"/>
  <c r="U701" i="1"/>
  <c r="U710" i="1"/>
  <c r="U737" i="1"/>
  <c r="U745" i="1"/>
  <c r="U800" i="1"/>
  <c r="U804" i="1"/>
  <c r="U826" i="1"/>
  <c r="U845" i="1"/>
  <c r="U856" i="1"/>
  <c r="U867" i="1"/>
  <c r="U878" i="1"/>
  <c r="U892" i="1"/>
  <c r="U896" i="1"/>
  <c r="U910" i="1"/>
  <c r="U924" i="1"/>
  <c r="U928" i="1"/>
  <c r="U942" i="1"/>
  <c r="U949" i="1"/>
  <c r="U952" i="1"/>
  <c r="U955" i="1"/>
  <c r="U958" i="1"/>
  <c r="U961" i="1"/>
  <c r="U964" i="1"/>
  <c r="U558" i="1"/>
  <c r="U619" i="1"/>
  <c r="U632" i="1"/>
  <c r="U644" i="1"/>
  <c r="U666" i="1"/>
  <c r="U694" i="1"/>
  <c r="U702" i="1"/>
  <c r="U711" i="1"/>
  <c r="U766" i="1"/>
  <c r="U780" i="1"/>
  <c r="U785" i="1"/>
  <c r="U809" i="1"/>
  <c r="U814" i="1"/>
  <c r="U827" i="1"/>
  <c r="U834" i="1"/>
  <c r="U853" i="1"/>
  <c r="U864" i="1"/>
  <c r="U875" i="1"/>
  <c r="U889" i="1"/>
  <c r="U893" i="1"/>
  <c r="U907" i="1"/>
  <c r="U921" i="1"/>
  <c r="U925" i="1"/>
  <c r="U939" i="1"/>
  <c r="U986" i="1"/>
  <c r="U989" i="1"/>
  <c r="U992" i="1"/>
  <c r="U995" i="1"/>
  <c r="U998" i="1"/>
  <c r="U1001" i="1"/>
  <c r="U1004" i="1"/>
  <c r="U508" i="1"/>
  <c r="U647" i="1"/>
  <c r="U731" i="1"/>
  <c r="U791" i="1"/>
  <c r="U819" i="1"/>
  <c r="U823" i="1"/>
  <c r="U831" i="1"/>
  <c r="U842" i="1"/>
  <c r="U861" i="1"/>
  <c r="U868" i="1"/>
  <c r="U872" i="1"/>
  <c r="U886" i="1"/>
  <c r="U900" i="1"/>
  <c r="U904" i="1"/>
  <c r="U918" i="1"/>
  <c r="U932" i="1"/>
  <c r="U936" i="1"/>
  <c r="U962" i="1"/>
  <c r="U965" i="1"/>
  <c r="U968" i="1"/>
  <c r="U971" i="1"/>
  <c r="U974" i="1"/>
  <c r="U977" i="1"/>
  <c r="U980" i="1"/>
  <c r="U516" i="1"/>
  <c r="U570" i="1"/>
  <c r="U623" i="1"/>
  <c r="U528" i="1"/>
  <c r="U609" i="1"/>
  <c r="U637" i="1"/>
  <c r="U648" i="1"/>
  <c r="U697" i="1"/>
  <c r="U714" i="1"/>
  <c r="U741" i="1"/>
  <c r="U750" i="1"/>
  <c r="U769" i="1"/>
  <c r="U776" i="1"/>
  <c r="U781" i="1"/>
  <c r="U811" i="1"/>
  <c r="U815" i="1"/>
  <c r="U820" i="1"/>
  <c r="U836" i="1"/>
  <c r="U847" i="1"/>
  <c r="U854" i="1"/>
  <c r="U858" i="1"/>
  <c r="U865" i="1"/>
  <c r="U876" i="1"/>
  <c r="U880" i="1"/>
  <c r="U894" i="1"/>
  <c r="U908" i="1"/>
  <c r="U912" i="1"/>
  <c r="U926" i="1"/>
  <c r="U940" i="1"/>
  <c r="U944" i="1"/>
  <c r="U978" i="1"/>
  <c r="U981" i="1"/>
  <c r="U984" i="1"/>
  <c r="U987" i="1"/>
  <c r="U990" i="1"/>
  <c r="U993" i="1"/>
  <c r="U996" i="1"/>
  <c r="U441" i="1"/>
  <c r="U659" i="1"/>
  <c r="U788" i="1"/>
  <c r="U825" i="1"/>
  <c r="U855" i="1"/>
  <c r="U941" i="1"/>
  <c r="U954" i="1"/>
  <c r="U966" i="1"/>
  <c r="U1017" i="1"/>
  <c r="U1024" i="1"/>
  <c r="U1074" i="1"/>
  <c r="U1077" i="1"/>
  <c r="U1080" i="1"/>
  <c r="U1083" i="1"/>
  <c r="U1086" i="1"/>
  <c r="U1089" i="1"/>
  <c r="U1092" i="1"/>
  <c r="U1101" i="1"/>
  <c r="U1109" i="1"/>
  <c r="U1117" i="1"/>
  <c r="U1125" i="1"/>
  <c r="U1133" i="1"/>
  <c r="U1141" i="1"/>
  <c r="U1149" i="1"/>
  <c r="U1157" i="1"/>
  <c r="U1165" i="1"/>
  <c r="U1173" i="1"/>
  <c r="U1181" i="1"/>
  <c r="U1189" i="1"/>
  <c r="U1197" i="1"/>
  <c r="U1205" i="1"/>
  <c r="U1213" i="1"/>
  <c r="U1221" i="1"/>
  <c r="U1229" i="1"/>
  <c r="U1237" i="1"/>
  <c r="U1245" i="1"/>
  <c r="U1253" i="1"/>
  <c r="U1261" i="1"/>
  <c r="U1269" i="1"/>
  <c r="U1277" i="1"/>
  <c r="U1285" i="1"/>
  <c r="U1293" i="1"/>
  <c r="U1301" i="1"/>
  <c r="U1309" i="1"/>
  <c r="U1317" i="1"/>
  <c r="U1325" i="1"/>
  <c r="U1333" i="1"/>
  <c r="U1341" i="1"/>
  <c r="U1349" i="1"/>
  <c r="U1357" i="1"/>
  <c r="U1365" i="1"/>
  <c r="U1373" i="1"/>
  <c r="U1381" i="1"/>
  <c r="U1389" i="1"/>
  <c r="U1397" i="1"/>
  <c r="U1405" i="1"/>
  <c r="U1413" i="1"/>
  <c r="U1421" i="1"/>
  <c r="U705" i="1"/>
  <c r="U828" i="1"/>
  <c r="U901" i="1"/>
  <c r="U915" i="1"/>
  <c r="U929" i="1"/>
  <c r="U956" i="1"/>
  <c r="U1002" i="1"/>
  <c r="U1014" i="1"/>
  <c r="U1021" i="1"/>
  <c r="U1028" i="1"/>
  <c r="U1050" i="1"/>
  <c r="U1053" i="1"/>
  <c r="U1056" i="1"/>
  <c r="U1059" i="1"/>
  <c r="U1062" i="1"/>
  <c r="U1065" i="1"/>
  <c r="U1068" i="1"/>
  <c r="U1104" i="1"/>
  <c r="U1112" i="1"/>
  <c r="U1120" i="1"/>
  <c r="U1128" i="1"/>
  <c r="U1136" i="1"/>
  <c r="U1144" i="1"/>
  <c r="U1152" i="1"/>
  <c r="U1160" i="1"/>
  <c r="U1168" i="1"/>
  <c r="U1176" i="1"/>
  <c r="U1184" i="1"/>
  <c r="U1192" i="1"/>
  <c r="U1200" i="1"/>
  <c r="U1208" i="1"/>
  <c r="U1216" i="1"/>
  <c r="U1224" i="1"/>
  <c r="U1232" i="1"/>
  <c r="U1240" i="1"/>
  <c r="U1248" i="1"/>
  <c r="U1256" i="1"/>
  <c r="U1264" i="1"/>
  <c r="U1272" i="1"/>
  <c r="U1280" i="1"/>
  <c r="U1288" i="1"/>
  <c r="U1296" i="1"/>
  <c r="U1304" i="1"/>
  <c r="U1312" i="1"/>
  <c r="U1320" i="1"/>
  <c r="U1328" i="1"/>
  <c r="U1336" i="1"/>
  <c r="U1344" i="1"/>
  <c r="U1352" i="1"/>
  <c r="U1360" i="1"/>
  <c r="U1368" i="1"/>
  <c r="U1376" i="1"/>
  <c r="U1384" i="1"/>
  <c r="U1392" i="1"/>
  <c r="U1400" i="1"/>
  <c r="U1408" i="1"/>
  <c r="U1416" i="1"/>
  <c r="U579" i="1"/>
  <c r="U671" i="1"/>
  <c r="U844" i="1"/>
  <c r="U873" i="1"/>
  <c r="U957" i="1"/>
  <c r="U969" i="1"/>
  <c r="U1011" i="1"/>
  <c r="U1018" i="1"/>
  <c r="U1025" i="1"/>
  <c r="U1032" i="1"/>
  <c r="U1035" i="1"/>
  <c r="U1038" i="1"/>
  <c r="U1041" i="1"/>
  <c r="U1044" i="1"/>
  <c r="U1090" i="1"/>
  <c r="U1093" i="1"/>
  <c r="U1096" i="1"/>
  <c r="U1099" i="1"/>
  <c r="U1107" i="1"/>
  <c r="U1115" i="1"/>
  <c r="U1123" i="1"/>
  <c r="U1131" i="1"/>
  <c r="U1139" i="1"/>
  <c r="U1147" i="1"/>
  <c r="U1155" i="1"/>
  <c r="U1163" i="1"/>
  <c r="U1171" i="1"/>
  <c r="U1179" i="1"/>
  <c r="U1187" i="1"/>
  <c r="U1195" i="1"/>
  <c r="U1203" i="1"/>
  <c r="U1211" i="1"/>
  <c r="U1219" i="1"/>
  <c r="U1227" i="1"/>
  <c r="U678" i="1"/>
  <c r="U749" i="1"/>
  <c r="U774" i="1"/>
  <c r="U797" i="1"/>
  <c r="U933" i="1"/>
  <c r="U947" i="1"/>
  <c r="U1008" i="1"/>
  <c r="U1022" i="1"/>
  <c r="U1029" i="1"/>
  <c r="U1066" i="1"/>
  <c r="U1069" i="1"/>
  <c r="U1072" i="1"/>
  <c r="U1075" i="1"/>
  <c r="U1078" i="1"/>
  <c r="U1081" i="1"/>
  <c r="U1084" i="1"/>
  <c r="U1102" i="1"/>
  <c r="U1110" i="1"/>
  <c r="U1118" i="1"/>
  <c r="U1126" i="1"/>
  <c r="U1134" i="1"/>
  <c r="U1142" i="1"/>
  <c r="U1150" i="1"/>
  <c r="U1158" i="1"/>
  <c r="U1166" i="1"/>
  <c r="U1174" i="1"/>
  <c r="U1182" i="1"/>
  <c r="U1190" i="1"/>
  <c r="U1198" i="1"/>
  <c r="U1206" i="1"/>
  <c r="U1214" i="1"/>
  <c r="U1222" i="1"/>
  <c r="U1230" i="1"/>
  <c r="U680" i="1"/>
  <c r="U862" i="1"/>
  <c r="U877" i="1"/>
  <c r="U891" i="1"/>
  <c r="U905" i="1"/>
  <c r="U960" i="1"/>
  <c r="U972" i="1"/>
  <c r="U1005" i="1"/>
  <c r="U1019" i="1"/>
  <c r="U1026" i="1"/>
  <c r="U1042" i="1"/>
  <c r="U1045" i="1"/>
  <c r="U1048" i="1"/>
  <c r="U1051" i="1"/>
  <c r="U1054" i="1"/>
  <c r="U1057" i="1"/>
  <c r="U1060" i="1"/>
  <c r="U1105" i="1"/>
  <c r="U1113" i="1"/>
  <c r="U1121" i="1"/>
  <c r="U1129" i="1"/>
  <c r="U1137" i="1"/>
  <c r="U1145" i="1"/>
  <c r="U1153" i="1"/>
  <c r="U1161" i="1"/>
  <c r="U1169" i="1"/>
  <c r="U1177" i="1"/>
  <c r="U1185" i="1"/>
  <c r="U1193" i="1"/>
  <c r="U1201" i="1"/>
  <c r="U1209" i="1"/>
  <c r="U1217" i="1"/>
  <c r="U1225" i="1"/>
  <c r="U801" i="1"/>
  <c r="U850" i="1"/>
  <c r="U866" i="1"/>
  <c r="U909" i="1"/>
  <c r="U923" i="1"/>
  <c r="U937" i="1"/>
  <c r="U963" i="1"/>
  <c r="U1013" i="1"/>
  <c r="U1030" i="1"/>
  <c r="U762" i="1"/>
  <c r="U806" i="1"/>
  <c r="U839" i="1"/>
  <c r="U1010" i="1"/>
  <c r="U1037" i="1"/>
  <c r="U1073" i="1"/>
  <c r="U1082" i="1"/>
  <c r="U1119" i="1"/>
  <c r="U1148" i="1"/>
  <c r="U1154" i="1"/>
  <c r="U1183" i="1"/>
  <c r="U1212" i="1"/>
  <c r="U1218" i="1"/>
  <c r="U1239" i="1"/>
  <c r="U1243" i="1"/>
  <c r="U1257" i="1"/>
  <c r="U1271" i="1"/>
  <c r="U1275" i="1"/>
  <c r="U1289" i="1"/>
  <c r="U1303" i="1"/>
  <c r="U1307" i="1"/>
  <c r="U1321" i="1"/>
  <c r="U1335" i="1"/>
  <c r="U1339" i="1"/>
  <c r="U1353" i="1"/>
  <c r="U1367" i="1"/>
  <c r="U1371" i="1"/>
  <c r="U1385" i="1"/>
  <c r="U1399" i="1"/>
  <c r="U1403" i="1"/>
  <c r="U1417" i="1"/>
  <c r="U1420" i="1"/>
  <c r="U1423" i="1"/>
  <c r="U1431" i="1"/>
  <c r="U1439" i="1"/>
  <c r="U1447" i="1"/>
  <c r="U1455" i="1"/>
  <c r="U1463" i="1"/>
  <c r="U1471" i="1"/>
  <c r="U1479" i="1"/>
  <c r="U1487" i="1"/>
  <c r="U1495" i="1"/>
  <c r="U1503" i="1"/>
  <c r="U1511" i="1"/>
  <c r="U1519" i="1"/>
  <c r="U1527" i="1"/>
  <c r="U1535" i="1"/>
  <c r="U1543" i="1"/>
  <c r="U1551" i="1"/>
  <c r="U1559" i="1"/>
  <c r="U1567" i="1"/>
  <c r="U1575" i="1"/>
  <c r="U1583" i="1"/>
  <c r="U1591" i="1"/>
  <c r="U1599" i="1"/>
  <c r="U1607" i="1"/>
  <c r="U1615" i="1"/>
  <c r="U1623" i="1"/>
  <c r="U1631" i="1"/>
  <c r="U1639" i="1"/>
  <c r="U1647" i="1"/>
  <c r="U1655" i="1"/>
  <c r="U1663" i="1"/>
  <c r="U1671" i="1"/>
  <c r="U1679" i="1"/>
  <c r="U1687" i="1"/>
  <c r="U1695" i="1"/>
  <c r="U1703" i="1"/>
  <c r="U1711" i="1"/>
  <c r="U1719" i="1"/>
  <c r="U1727" i="1"/>
  <c r="U1735" i="1"/>
  <c r="U1743" i="1"/>
  <c r="U1751" i="1"/>
  <c r="U1759" i="1"/>
  <c r="U1767" i="1"/>
  <c r="U1775" i="1"/>
  <c r="U1783" i="1"/>
  <c r="U1791" i="1"/>
  <c r="U1799" i="1"/>
  <c r="U1807" i="1"/>
  <c r="U1815" i="1"/>
  <c r="U1823" i="1"/>
  <c r="U1831" i="1"/>
  <c r="U1839" i="1"/>
  <c r="U1847" i="1"/>
  <c r="U1855" i="1"/>
  <c r="U1863" i="1"/>
  <c r="U1871" i="1"/>
  <c r="U1879" i="1"/>
  <c r="U1887" i="1"/>
  <c r="U1895" i="1"/>
  <c r="U1903" i="1"/>
  <c r="U869" i="1"/>
  <c r="U1049" i="1"/>
  <c r="U1058" i="1"/>
  <c r="U1091" i="1"/>
  <c r="U1098" i="1"/>
  <c r="U1127" i="1"/>
  <c r="U1156" i="1"/>
  <c r="U1162" i="1"/>
  <c r="U1191" i="1"/>
  <c r="U1220" i="1"/>
  <c r="U1226" i="1"/>
  <c r="U1236" i="1"/>
  <c r="U1250" i="1"/>
  <c r="U1254" i="1"/>
  <c r="U1268" i="1"/>
  <c r="U1282" i="1"/>
  <c r="U1286" i="1"/>
  <c r="U1300" i="1"/>
  <c r="U1314" i="1"/>
  <c r="U1318" i="1"/>
  <c r="U1332" i="1"/>
  <c r="U1346" i="1"/>
  <c r="U1350" i="1"/>
  <c r="U1364" i="1"/>
  <c r="U1378" i="1"/>
  <c r="U1382" i="1"/>
  <c r="U1396" i="1"/>
  <c r="U1410" i="1"/>
  <c r="U1414" i="1"/>
  <c r="U883" i="1"/>
  <c r="U1027" i="1"/>
  <c r="U1040" i="1"/>
  <c r="U1067" i="1"/>
  <c r="U1100" i="1"/>
  <c r="U1106" i="1"/>
  <c r="U1135" i="1"/>
  <c r="U1164" i="1"/>
  <c r="U1170" i="1"/>
  <c r="U1199" i="1"/>
  <c r="U1228" i="1"/>
  <c r="U1233" i="1"/>
  <c r="U1247" i="1"/>
  <c r="U1251" i="1"/>
  <c r="U1265" i="1"/>
  <c r="U1279" i="1"/>
  <c r="U1283" i="1"/>
  <c r="U1297" i="1"/>
  <c r="U1311" i="1"/>
  <c r="U1315" i="1"/>
  <c r="U1329" i="1"/>
  <c r="U1343" i="1"/>
  <c r="U1347" i="1"/>
  <c r="U1361" i="1"/>
  <c r="U1375" i="1"/>
  <c r="U1379" i="1"/>
  <c r="U1393" i="1"/>
  <c r="U1407" i="1"/>
  <c r="U1411" i="1"/>
  <c r="U1429" i="1"/>
  <c r="U1437" i="1"/>
  <c r="U1445" i="1"/>
  <c r="U1453" i="1"/>
  <c r="U1461" i="1"/>
  <c r="U1469" i="1"/>
  <c r="U1477" i="1"/>
  <c r="U1485" i="1"/>
  <c r="U1493" i="1"/>
  <c r="U1501" i="1"/>
  <c r="U1509" i="1"/>
  <c r="U1517" i="1"/>
  <c r="U1525" i="1"/>
  <c r="U1533" i="1"/>
  <c r="U1541" i="1"/>
  <c r="U1549" i="1"/>
  <c r="U1557" i="1"/>
  <c r="U1565" i="1"/>
  <c r="U1573" i="1"/>
  <c r="U1581" i="1"/>
  <c r="U1589" i="1"/>
  <c r="U1597" i="1"/>
  <c r="U1605" i="1"/>
  <c r="U1613" i="1"/>
  <c r="U1621" i="1"/>
  <c r="U1629" i="1"/>
  <c r="U1637" i="1"/>
  <c r="U1645" i="1"/>
  <c r="U950" i="1"/>
  <c r="U1016" i="1"/>
  <c r="U1076" i="1"/>
  <c r="U1085" i="1"/>
  <c r="U1108" i="1"/>
  <c r="U1114" i="1"/>
  <c r="U1143" i="1"/>
  <c r="U1172" i="1"/>
  <c r="U1178" i="1"/>
  <c r="U1207" i="1"/>
  <c r="U1244" i="1"/>
  <c r="U1258" i="1"/>
  <c r="U1262" i="1"/>
  <c r="U1276" i="1"/>
  <c r="U1290" i="1"/>
  <c r="U1294" i="1"/>
  <c r="U1308" i="1"/>
  <c r="U1322" i="1"/>
  <c r="U1326" i="1"/>
  <c r="U1340" i="1"/>
  <c r="U1354" i="1"/>
  <c r="U1358" i="1"/>
  <c r="U1372" i="1"/>
  <c r="U1386" i="1"/>
  <c r="U1390" i="1"/>
  <c r="U1404" i="1"/>
  <c r="U1418" i="1"/>
  <c r="U1424" i="1"/>
  <c r="U1432" i="1"/>
  <c r="U1440" i="1"/>
  <c r="U1448" i="1"/>
  <c r="U1456" i="1"/>
  <c r="U1464" i="1"/>
  <c r="U1472" i="1"/>
  <c r="U1480" i="1"/>
  <c r="U1488" i="1"/>
  <c r="U1496" i="1"/>
  <c r="U1504" i="1"/>
  <c r="U1512" i="1"/>
  <c r="U1520" i="1"/>
  <c r="U1528" i="1"/>
  <c r="U1536" i="1"/>
  <c r="U1544" i="1"/>
  <c r="U1552" i="1"/>
  <c r="U1560" i="1"/>
  <c r="U1568" i="1"/>
  <c r="U1576" i="1"/>
  <c r="U1584" i="1"/>
  <c r="U1592" i="1"/>
  <c r="U1600" i="1"/>
  <c r="U1608" i="1"/>
  <c r="U1616" i="1"/>
  <c r="U1624" i="1"/>
  <c r="U1632" i="1"/>
  <c r="U1640" i="1"/>
  <c r="U897" i="1"/>
  <c r="U953" i="1"/>
  <c r="U1043" i="1"/>
  <c r="U1052" i="1"/>
  <c r="U1061" i="1"/>
  <c r="U1094" i="1"/>
  <c r="U1116" i="1"/>
  <c r="U1122" i="1"/>
  <c r="U1151" i="1"/>
  <c r="U1180" i="1"/>
  <c r="U1186" i="1"/>
  <c r="U1215" i="1"/>
  <c r="U1241" i="1"/>
  <c r="U1255" i="1"/>
  <c r="U1259" i="1"/>
  <c r="U1273" i="1"/>
  <c r="U1287" i="1"/>
  <c r="U1291" i="1"/>
  <c r="U1305" i="1"/>
  <c r="U1319" i="1"/>
  <c r="U1323" i="1"/>
  <c r="U1337" i="1"/>
  <c r="U1351" i="1"/>
  <c r="U1355" i="1"/>
  <c r="U1369" i="1"/>
  <c r="U1383" i="1"/>
  <c r="U1387" i="1"/>
  <c r="U1401" i="1"/>
  <c r="U1415" i="1"/>
  <c r="U1427" i="1"/>
  <c r="U1435" i="1"/>
  <c r="U1443" i="1"/>
  <c r="U1451" i="1"/>
  <c r="U1459" i="1"/>
  <c r="U1467" i="1"/>
  <c r="U1475" i="1"/>
  <c r="U1483" i="1"/>
  <c r="U1491" i="1"/>
  <c r="U1499" i="1"/>
  <c r="U1507" i="1"/>
  <c r="U1515" i="1"/>
  <c r="U1523" i="1"/>
  <c r="U1531" i="1"/>
  <c r="U1539" i="1"/>
  <c r="U1547" i="1"/>
  <c r="U1555" i="1"/>
  <c r="U1563" i="1"/>
  <c r="U1571" i="1"/>
  <c r="U1579" i="1"/>
  <c r="U1587" i="1"/>
  <c r="U1595" i="1"/>
  <c r="U1603" i="1"/>
  <c r="U1611" i="1"/>
  <c r="U1619" i="1"/>
  <c r="U1627" i="1"/>
  <c r="U1635" i="1"/>
  <c r="U1643" i="1"/>
  <c r="U1033" i="1"/>
  <c r="U1070" i="1"/>
  <c r="U1124" i="1"/>
  <c r="U1130" i="1"/>
  <c r="U1159" i="1"/>
  <c r="U1188" i="1"/>
  <c r="U1194" i="1"/>
  <c r="U1020" i="1"/>
  <c r="U1034" i="1"/>
  <c r="U1046" i="1"/>
  <c r="U1088" i="1"/>
  <c r="U1103" i="1"/>
  <c r="U1132" i="1"/>
  <c r="U1138" i="1"/>
  <c r="U1167" i="1"/>
  <c r="U1196" i="1"/>
  <c r="U1202" i="1"/>
  <c r="U1231" i="1"/>
  <c r="U1235" i="1"/>
  <c r="U1249" i="1"/>
  <c r="U1263" i="1"/>
  <c r="U1267" i="1"/>
  <c r="U1281" i="1"/>
  <c r="U1295" i="1"/>
  <c r="U1299" i="1"/>
  <c r="U1313" i="1"/>
  <c r="U1327" i="1"/>
  <c r="U1331" i="1"/>
  <c r="U1345" i="1"/>
  <c r="U1359" i="1"/>
  <c r="U1363" i="1"/>
  <c r="U1377" i="1"/>
  <c r="U1391" i="1"/>
  <c r="U1395" i="1"/>
  <c r="U1409" i="1"/>
  <c r="U1036" i="1"/>
  <c r="U1064" i="1"/>
  <c r="U1097" i="1"/>
  <c r="U1111" i="1"/>
  <c r="U1140" i="1"/>
  <c r="U1146" i="1"/>
  <c r="U1175" i="1"/>
  <c r="U1246" i="1"/>
  <c r="U1260" i="1"/>
  <c r="U1274" i="1"/>
  <c r="U1374" i="1"/>
  <c r="U1388" i="1"/>
  <c r="U1402" i="1"/>
  <c r="U1426" i="1"/>
  <c r="U1442" i="1"/>
  <c r="U1458" i="1"/>
  <c r="U1474" i="1"/>
  <c r="U1490" i="1"/>
  <c r="U1506" i="1"/>
  <c r="U1522" i="1"/>
  <c r="U1538" i="1"/>
  <c r="U1554" i="1"/>
  <c r="U1570" i="1"/>
  <c r="U1586" i="1"/>
  <c r="U1602" i="1"/>
  <c r="U1618" i="1"/>
  <c r="U1634" i="1"/>
  <c r="U1644" i="1"/>
  <c r="U1648" i="1"/>
  <c r="U1651" i="1"/>
  <c r="U1654" i="1"/>
  <c r="U1657" i="1"/>
  <c r="U1660" i="1"/>
  <c r="U1706" i="1"/>
  <c r="U1709" i="1"/>
  <c r="U1712" i="1"/>
  <c r="U1715" i="1"/>
  <c r="U1718" i="1"/>
  <c r="U1721" i="1"/>
  <c r="U1724" i="1"/>
  <c r="U1770" i="1"/>
  <c r="U1773" i="1"/>
  <c r="U1776" i="1"/>
  <c r="U1779" i="1"/>
  <c r="U1782" i="1"/>
  <c r="U1785" i="1"/>
  <c r="U1788" i="1"/>
  <c r="U1834" i="1"/>
  <c r="U1837" i="1"/>
  <c r="U1840" i="1"/>
  <c r="U1843" i="1"/>
  <c r="U1846" i="1"/>
  <c r="U1849" i="1"/>
  <c r="U1852" i="1"/>
  <c r="U1898" i="1"/>
  <c r="U1901" i="1"/>
  <c r="U1904" i="1"/>
  <c r="U1907" i="1"/>
  <c r="U1915" i="1"/>
  <c r="U1923" i="1"/>
  <c r="U1931" i="1"/>
  <c r="U1939" i="1"/>
  <c r="U1947" i="1"/>
  <c r="U1955" i="1"/>
  <c r="U1963" i="1"/>
  <c r="U1971" i="1"/>
  <c r="U1979" i="1"/>
  <c r="U1987" i="1"/>
  <c r="U1995" i="1"/>
  <c r="U2003" i="1"/>
  <c r="U2011" i="1"/>
  <c r="U2019" i="1"/>
  <c r="U2027" i="1"/>
  <c r="U2035" i="1"/>
  <c r="U2043" i="1"/>
  <c r="U2051" i="1"/>
  <c r="U2059" i="1"/>
  <c r="U2067" i="1"/>
  <c r="U2075" i="1"/>
  <c r="U2083" i="1"/>
  <c r="U2091" i="1"/>
  <c r="U2099" i="1"/>
  <c r="U2107" i="1"/>
  <c r="U2115" i="1"/>
  <c r="U2123" i="1"/>
  <c r="U2131" i="1"/>
  <c r="U2139" i="1"/>
  <c r="U2147" i="1"/>
  <c r="U2155" i="1"/>
  <c r="U2163" i="1"/>
  <c r="U2171" i="1"/>
  <c r="U2179" i="1"/>
  <c r="U2187" i="1"/>
  <c r="U1204" i="1"/>
  <c r="U1234" i="1"/>
  <c r="U1334" i="1"/>
  <c r="U1348" i="1"/>
  <c r="U1362" i="1"/>
  <c r="U1419" i="1"/>
  <c r="U1438" i="1"/>
  <c r="U1454" i="1"/>
  <c r="U1470" i="1"/>
  <c r="U1486" i="1"/>
  <c r="U1502" i="1"/>
  <c r="U1518" i="1"/>
  <c r="U1534" i="1"/>
  <c r="U1550" i="1"/>
  <c r="U1566" i="1"/>
  <c r="U1582" i="1"/>
  <c r="U1598" i="1"/>
  <c r="U1614" i="1"/>
  <c r="U1630" i="1"/>
  <c r="U1682" i="1"/>
  <c r="U1685" i="1"/>
  <c r="U1688" i="1"/>
  <c r="U1691" i="1"/>
  <c r="U1694" i="1"/>
  <c r="U1697" i="1"/>
  <c r="U1700" i="1"/>
  <c r="U1210" i="1"/>
  <c r="U1278" i="1"/>
  <c r="U1292" i="1"/>
  <c r="U1306" i="1"/>
  <c r="U1406" i="1"/>
  <c r="U1433" i="1"/>
  <c r="U1449" i="1"/>
  <c r="U1465" i="1"/>
  <c r="U1481" i="1"/>
  <c r="U1497" i="1"/>
  <c r="U1513" i="1"/>
  <c r="U1529" i="1"/>
  <c r="U1545" i="1"/>
  <c r="U1561" i="1"/>
  <c r="U1577" i="1"/>
  <c r="U1593" i="1"/>
  <c r="U1609" i="1"/>
  <c r="U1625" i="1"/>
  <c r="U1641" i="1"/>
  <c r="U1658" i="1"/>
  <c r="U1661" i="1"/>
  <c r="U1664" i="1"/>
  <c r="U1667" i="1"/>
  <c r="U1670" i="1"/>
  <c r="U1673" i="1"/>
  <c r="U1676" i="1"/>
  <c r="U1722" i="1"/>
  <c r="U1725" i="1"/>
  <c r="U1728" i="1"/>
  <c r="U1731" i="1"/>
  <c r="U1734" i="1"/>
  <c r="U1737" i="1"/>
  <c r="U1740" i="1"/>
  <c r="U1786" i="1"/>
  <c r="U1789" i="1"/>
  <c r="U1792" i="1"/>
  <c r="U1795" i="1"/>
  <c r="U1798" i="1"/>
  <c r="U1801" i="1"/>
  <c r="U1804" i="1"/>
  <c r="U1850" i="1"/>
  <c r="U1853" i="1"/>
  <c r="U1856" i="1"/>
  <c r="U1859" i="1"/>
  <c r="U1862" i="1"/>
  <c r="U1865" i="1"/>
  <c r="U1868" i="1"/>
  <c r="U1913" i="1"/>
  <c r="U1921" i="1"/>
  <c r="U1238" i="1"/>
  <c r="U1252" i="1"/>
  <c r="U1266" i="1"/>
  <c r="U1366" i="1"/>
  <c r="U1380" i="1"/>
  <c r="U1394" i="1"/>
  <c r="U1422" i="1"/>
  <c r="U1428" i="1"/>
  <c r="U1444" i="1"/>
  <c r="U1460" i="1"/>
  <c r="U1476" i="1"/>
  <c r="U1492" i="1"/>
  <c r="U1508" i="1"/>
  <c r="U1524" i="1"/>
  <c r="U1540" i="1"/>
  <c r="U1556" i="1"/>
  <c r="U1572" i="1"/>
  <c r="U1588" i="1"/>
  <c r="U1604" i="1"/>
  <c r="U1620" i="1"/>
  <c r="U1636" i="1"/>
  <c r="U1646" i="1"/>
  <c r="U1649" i="1"/>
  <c r="U1652" i="1"/>
  <c r="U1698" i="1"/>
  <c r="U1701" i="1"/>
  <c r="U1704" i="1"/>
  <c r="U1707" i="1"/>
  <c r="U1710" i="1"/>
  <c r="U1713" i="1"/>
  <c r="U1716" i="1"/>
  <c r="U1762" i="1"/>
  <c r="U1765" i="1"/>
  <c r="U1768" i="1"/>
  <c r="U1771" i="1"/>
  <c r="U1774" i="1"/>
  <c r="U1777" i="1"/>
  <c r="U1780" i="1"/>
  <c r="U1826" i="1"/>
  <c r="U1829" i="1"/>
  <c r="U1832" i="1"/>
  <c r="U1835" i="1"/>
  <c r="U1838" i="1"/>
  <c r="U1841" i="1"/>
  <c r="U1844" i="1"/>
  <c r="U1890" i="1"/>
  <c r="U1893" i="1"/>
  <c r="U1896" i="1"/>
  <c r="U1899" i="1"/>
  <c r="U1902" i="1"/>
  <c r="U1905" i="1"/>
  <c r="U1908" i="1"/>
  <c r="U1916" i="1"/>
  <c r="U1310" i="1"/>
  <c r="U1324" i="1"/>
  <c r="U1338" i="1"/>
  <c r="U1434" i="1"/>
  <c r="U1450" i="1"/>
  <c r="U1466" i="1"/>
  <c r="U1482" i="1"/>
  <c r="U1498" i="1"/>
  <c r="U1514" i="1"/>
  <c r="U1530" i="1"/>
  <c r="U1546" i="1"/>
  <c r="U1562" i="1"/>
  <c r="U1578" i="1"/>
  <c r="U1594" i="1"/>
  <c r="U1610" i="1"/>
  <c r="U1626" i="1"/>
  <c r="U1642" i="1"/>
  <c r="U1674" i="1"/>
  <c r="U1677" i="1"/>
  <c r="U1680" i="1"/>
  <c r="U1683" i="1"/>
  <c r="U1686" i="1"/>
  <c r="U1689" i="1"/>
  <c r="U1692" i="1"/>
  <c r="U1738" i="1"/>
  <c r="U1741" i="1"/>
  <c r="U1744" i="1"/>
  <c r="U1747" i="1"/>
  <c r="U1750" i="1"/>
  <c r="U1753" i="1"/>
  <c r="U1756" i="1"/>
  <c r="U1802" i="1"/>
  <c r="U1805" i="1"/>
  <c r="U1808" i="1"/>
  <c r="U1811" i="1"/>
  <c r="U1814" i="1"/>
  <c r="U1817" i="1"/>
  <c r="U1820" i="1"/>
  <c r="U1866" i="1"/>
  <c r="U1869" i="1"/>
  <c r="U1872" i="1"/>
  <c r="U1875" i="1"/>
  <c r="U1878" i="1"/>
  <c r="U1881" i="1"/>
  <c r="U1884" i="1"/>
  <c r="U1911" i="1"/>
  <c r="U1919" i="1"/>
  <c r="U1223" i="1"/>
  <c r="U1270" i="1"/>
  <c r="U1284" i="1"/>
  <c r="U1298" i="1"/>
  <c r="U1398" i="1"/>
  <c r="U1412" i="1"/>
  <c r="U1430" i="1"/>
  <c r="U1446" i="1"/>
  <c r="U1462" i="1"/>
  <c r="U1478" i="1"/>
  <c r="U1242" i="1"/>
  <c r="U1342" i="1"/>
  <c r="U1356" i="1"/>
  <c r="U1370" i="1"/>
  <c r="U1425" i="1"/>
  <c r="U1441" i="1"/>
  <c r="U1457" i="1"/>
  <c r="U1473" i="1"/>
  <c r="U1302" i="1"/>
  <c r="U1316" i="1"/>
  <c r="U1330" i="1"/>
  <c r="U1436" i="1"/>
  <c r="U1452" i="1"/>
  <c r="U1468" i="1"/>
  <c r="U1484" i="1"/>
  <c r="U1500" i="1"/>
  <c r="U1516" i="1"/>
  <c r="U1532" i="1"/>
  <c r="U1548" i="1"/>
  <c r="U1564" i="1"/>
  <c r="U1580" i="1"/>
  <c r="U1596" i="1"/>
  <c r="U1612" i="1"/>
  <c r="U1628" i="1"/>
  <c r="U1666" i="1"/>
  <c r="U1669" i="1"/>
  <c r="U1672" i="1"/>
  <c r="U1675" i="1"/>
  <c r="U1678" i="1"/>
  <c r="U1681" i="1"/>
  <c r="U1684" i="1"/>
  <c r="U1730" i="1"/>
  <c r="U1733" i="1"/>
  <c r="U1526" i="1"/>
  <c r="U1590" i="1"/>
  <c r="U1650" i="1"/>
  <c r="U1662" i="1"/>
  <c r="U1720" i="1"/>
  <c r="U1754" i="1"/>
  <c r="U1760" i="1"/>
  <c r="U1766" i="1"/>
  <c r="U1772" i="1"/>
  <c r="U1821" i="1"/>
  <c r="U1827" i="1"/>
  <c r="U1833" i="1"/>
  <c r="U1882" i="1"/>
  <c r="U1888" i="1"/>
  <c r="U1894" i="1"/>
  <c r="U1900" i="1"/>
  <c r="U1917" i="1"/>
  <c r="U1934" i="1"/>
  <c r="U1937" i="1"/>
  <c r="U1940" i="1"/>
  <c r="U1943" i="1"/>
  <c r="U1946" i="1"/>
  <c r="U1949" i="1"/>
  <c r="U1952" i="1"/>
  <c r="U1998" i="1"/>
  <c r="U2001" i="1"/>
  <c r="U2004" i="1"/>
  <c r="U2007" i="1"/>
  <c r="U2010" i="1"/>
  <c r="U2013" i="1"/>
  <c r="U2016" i="1"/>
  <c r="U2062" i="1"/>
  <c r="U2065" i="1"/>
  <c r="U2068" i="1"/>
  <c r="U2071" i="1"/>
  <c r="U2074" i="1"/>
  <c r="U2077" i="1"/>
  <c r="U2080" i="1"/>
  <c r="U2126" i="1"/>
  <c r="U2129" i="1"/>
  <c r="U2132" i="1"/>
  <c r="U2135" i="1"/>
  <c r="U2138" i="1"/>
  <c r="U2141" i="1"/>
  <c r="U2144" i="1"/>
  <c r="U2190" i="1"/>
  <c r="U2193" i="1"/>
  <c r="U2201" i="1"/>
  <c r="U2209" i="1"/>
  <c r="U2217" i="1"/>
  <c r="U2225" i="1"/>
  <c r="U2233" i="1"/>
  <c r="U2241" i="1"/>
  <c r="U2249" i="1"/>
  <c r="U2257" i="1"/>
  <c r="U2265" i="1"/>
  <c r="U2273" i="1"/>
  <c r="U2281" i="1"/>
  <c r="U2289" i="1"/>
  <c r="U2297" i="1"/>
  <c r="U2305" i="1"/>
  <c r="U2313" i="1"/>
  <c r="U2321" i="1"/>
  <c r="U2329" i="1"/>
  <c r="U2337" i="1"/>
  <c r="U2345" i="1"/>
  <c r="U2353" i="1"/>
  <c r="U2361" i="1"/>
  <c r="U2369" i="1"/>
  <c r="U2377" i="1"/>
  <c r="U2385" i="1"/>
  <c r="U2393" i="1"/>
  <c r="U2401" i="1"/>
  <c r="U2409" i="1"/>
  <c r="U2417" i="1"/>
  <c r="U2425" i="1"/>
  <c r="U2433" i="1"/>
  <c r="U2441" i="1"/>
  <c r="U2449" i="1"/>
  <c r="U2457" i="1"/>
  <c r="U2465" i="1"/>
  <c r="U2473" i="1"/>
  <c r="U2481" i="1"/>
  <c r="U2489" i="1"/>
  <c r="U2497" i="1"/>
  <c r="U2505" i="1"/>
  <c r="U2513" i="1"/>
  <c r="U1505" i="1"/>
  <c r="U1569" i="1"/>
  <c r="U1633" i="1"/>
  <c r="U1699" i="1"/>
  <c r="U1729" i="1"/>
  <c r="U1736" i="1"/>
  <c r="U1742" i="1"/>
  <c r="U1748" i="1"/>
  <c r="U1797" i="1"/>
  <c r="U1803" i="1"/>
  <c r="U1809" i="1"/>
  <c r="U1858" i="1"/>
  <c r="U1864" i="1"/>
  <c r="U1870" i="1"/>
  <c r="U1876" i="1"/>
  <c r="U1912" i="1"/>
  <c r="U1922" i="1"/>
  <c r="U1925" i="1"/>
  <c r="U1928" i="1"/>
  <c r="U1974" i="1"/>
  <c r="U1977" i="1"/>
  <c r="U1980" i="1"/>
  <c r="U1983" i="1"/>
  <c r="U1986" i="1"/>
  <c r="U1989" i="1"/>
  <c r="U1992" i="1"/>
  <c r="U2038" i="1"/>
  <c r="U2041" i="1"/>
  <c r="U2044" i="1"/>
  <c r="U2047" i="1"/>
  <c r="U2050" i="1"/>
  <c r="U2053" i="1"/>
  <c r="U2056" i="1"/>
  <c r="U1510" i="1"/>
  <c r="U1574" i="1"/>
  <c r="U1638" i="1"/>
  <c r="U1653" i="1"/>
  <c r="U1665" i="1"/>
  <c r="U1714" i="1"/>
  <c r="U1749" i="1"/>
  <c r="U1755" i="1"/>
  <c r="U1761" i="1"/>
  <c r="U1810" i="1"/>
  <c r="U1816" i="1"/>
  <c r="U1822" i="1"/>
  <c r="U1828" i="1"/>
  <c r="U1877" i="1"/>
  <c r="U1883" i="1"/>
  <c r="U1889" i="1"/>
  <c r="U1918" i="1"/>
  <c r="U1950" i="1"/>
  <c r="U1953" i="1"/>
  <c r="U1956" i="1"/>
  <c r="U1959" i="1"/>
  <c r="U1962" i="1"/>
  <c r="U1965" i="1"/>
  <c r="U1968" i="1"/>
  <c r="U2014" i="1"/>
  <c r="U2017" i="1"/>
  <c r="U2020" i="1"/>
  <c r="U2023" i="1"/>
  <c r="U2026" i="1"/>
  <c r="U2029" i="1"/>
  <c r="U2032" i="1"/>
  <c r="U2078" i="1"/>
  <c r="U2081" i="1"/>
  <c r="U2084" i="1"/>
  <c r="U2087" i="1"/>
  <c r="U2090" i="1"/>
  <c r="U2093" i="1"/>
  <c r="U2096" i="1"/>
  <c r="U2142" i="1"/>
  <c r="U2145" i="1"/>
  <c r="U2148" i="1"/>
  <c r="U2151" i="1"/>
  <c r="U2154" i="1"/>
  <c r="U2157" i="1"/>
  <c r="U2160" i="1"/>
  <c r="U2199" i="1"/>
  <c r="U2207" i="1"/>
  <c r="U2215" i="1"/>
  <c r="U2223" i="1"/>
  <c r="U2231" i="1"/>
  <c r="U2239" i="1"/>
  <c r="U2247" i="1"/>
  <c r="U2255" i="1"/>
  <c r="U2263" i="1"/>
  <c r="U2271" i="1"/>
  <c r="U2279" i="1"/>
  <c r="U1489" i="1"/>
  <c r="U1553" i="1"/>
  <c r="U1617" i="1"/>
  <c r="U1690" i="1"/>
  <c r="U1702" i="1"/>
  <c r="U1723" i="1"/>
  <c r="U1781" i="1"/>
  <c r="U1787" i="1"/>
  <c r="U1793" i="1"/>
  <c r="U1842" i="1"/>
  <c r="U1848" i="1"/>
  <c r="U1854" i="1"/>
  <c r="U1860" i="1"/>
  <c r="U1914" i="1"/>
  <c r="U1926" i="1"/>
  <c r="U1929" i="1"/>
  <c r="U1932" i="1"/>
  <c r="U1935" i="1"/>
  <c r="U1938" i="1"/>
  <c r="U1941" i="1"/>
  <c r="U1944" i="1"/>
  <c r="U1990" i="1"/>
  <c r="U1993" i="1"/>
  <c r="U1996" i="1"/>
  <c r="U1999" i="1"/>
  <c r="U2002" i="1"/>
  <c r="U2005" i="1"/>
  <c r="U2008" i="1"/>
  <c r="U2054" i="1"/>
  <c r="U2057" i="1"/>
  <c r="U2060" i="1"/>
  <c r="U2063" i="1"/>
  <c r="U2066" i="1"/>
  <c r="U2069" i="1"/>
  <c r="U2072" i="1"/>
  <c r="U2118" i="1"/>
  <c r="U2121" i="1"/>
  <c r="U2124" i="1"/>
  <c r="U2127" i="1"/>
  <c r="U2130" i="1"/>
  <c r="U2133" i="1"/>
  <c r="U2136" i="1"/>
  <c r="U2182" i="1"/>
  <c r="U2185" i="1"/>
  <c r="U2188" i="1"/>
  <c r="U2191" i="1"/>
  <c r="U2194" i="1"/>
  <c r="U2202" i="1"/>
  <c r="U2210" i="1"/>
  <c r="U2218" i="1"/>
  <c r="U2226" i="1"/>
  <c r="U2234" i="1"/>
  <c r="U2242" i="1"/>
  <c r="U2250" i="1"/>
  <c r="U2258" i="1"/>
  <c r="U2266" i="1"/>
  <c r="U2274" i="1"/>
  <c r="U1494" i="1"/>
  <c r="U1558" i="1"/>
  <c r="U1622" i="1"/>
  <c r="U1656" i="1"/>
  <c r="U1668" i="1"/>
  <c r="U1732" i="1"/>
  <c r="U1757" i="1"/>
  <c r="U1763" i="1"/>
  <c r="U1769" i="1"/>
  <c r="U1818" i="1"/>
  <c r="U1824" i="1"/>
  <c r="U1830" i="1"/>
  <c r="U1836" i="1"/>
  <c r="U1885" i="1"/>
  <c r="U1891" i="1"/>
  <c r="U1897" i="1"/>
  <c r="U1909" i="1"/>
  <c r="U1966" i="1"/>
  <c r="U1969" i="1"/>
  <c r="U1972" i="1"/>
  <c r="U1975" i="1"/>
  <c r="U1978" i="1"/>
  <c r="U1981" i="1"/>
  <c r="U1984" i="1"/>
  <c r="U2030" i="1"/>
  <c r="U2033" i="1"/>
  <c r="U2036" i="1"/>
  <c r="U2039" i="1"/>
  <c r="U2042" i="1"/>
  <c r="U2045" i="1"/>
  <c r="U2048" i="1"/>
  <c r="U2094" i="1"/>
  <c r="U2097" i="1"/>
  <c r="U2100" i="1"/>
  <c r="U2103" i="1"/>
  <c r="U2106" i="1"/>
  <c r="U2109" i="1"/>
  <c r="U2112" i="1"/>
  <c r="U2158" i="1"/>
  <c r="U2161" i="1"/>
  <c r="U2164" i="1"/>
  <c r="U2167" i="1"/>
  <c r="U2170" i="1"/>
  <c r="U2173" i="1"/>
  <c r="U2176" i="1"/>
  <c r="U2197" i="1"/>
  <c r="U2205" i="1"/>
  <c r="U2213" i="1"/>
  <c r="U2221" i="1"/>
  <c r="U2229" i="1"/>
  <c r="U2237" i="1"/>
  <c r="U2245" i="1"/>
  <c r="U2253" i="1"/>
  <c r="U2261" i="1"/>
  <c r="U2269" i="1"/>
  <c r="U2277" i="1"/>
  <c r="U1537" i="1"/>
  <c r="U1601" i="1"/>
  <c r="U1693" i="1"/>
  <c r="U1705" i="1"/>
  <c r="U1717" i="1"/>
  <c r="U1739" i="1"/>
  <c r="U1745" i="1"/>
  <c r="U1794" i="1"/>
  <c r="U1800" i="1"/>
  <c r="U1542" i="1"/>
  <c r="U1606" i="1"/>
  <c r="U1659" i="1"/>
  <c r="U1726" i="1"/>
  <c r="U1746" i="1"/>
  <c r="U1752" i="1"/>
  <c r="U1758" i="1"/>
  <c r="U1764" i="1"/>
  <c r="U1521" i="1"/>
  <c r="U1585" i="1"/>
  <c r="U1696" i="1"/>
  <c r="U1708" i="1"/>
  <c r="U1778" i="1"/>
  <c r="U1784" i="1"/>
  <c r="U1790" i="1"/>
  <c r="U1796" i="1"/>
  <c r="U1845" i="1"/>
  <c r="U1851" i="1"/>
  <c r="U1857" i="1"/>
  <c r="U1906" i="1"/>
  <c r="U1958" i="1"/>
  <c r="U1961" i="1"/>
  <c r="U1964" i="1"/>
  <c r="U1967" i="1"/>
  <c r="U1970" i="1"/>
  <c r="U1973" i="1"/>
  <c r="U1976" i="1"/>
  <c r="U2022" i="1"/>
  <c r="U2025" i="1"/>
  <c r="U2028" i="1"/>
  <c r="U2031" i="1"/>
  <c r="U2034" i="1"/>
  <c r="U2037" i="1"/>
  <c r="U2040" i="1"/>
  <c r="U1825" i="1"/>
  <c r="U1874" i="1"/>
  <c r="U1933" i="1"/>
  <c r="U1982" i="1"/>
  <c r="U1994" i="1"/>
  <c r="U2055" i="1"/>
  <c r="U2073" i="1"/>
  <c r="U2079" i="1"/>
  <c r="U2085" i="1"/>
  <c r="U2134" i="1"/>
  <c r="U2140" i="1"/>
  <c r="U2146" i="1"/>
  <c r="U2152" i="1"/>
  <c r="U2200" i="1"/>
  <c r="U2216" i="1"/>
  <c r="U2232" i="1"/>
  <c r="U2248" i="1"/>
  <c r="U2264" i="1"/>
  <c r="U2280" i="1"/>
  <c r="U2308" i="1"/>
  <c r="U2311" i="1"/>
  <c r="U2314" i="1"/>
  <c r="U2317" i="1"/>
  <c r="U2320" i="1"/>
  <c r="U2323" i="1"/>
  <c r="U2326" i="1"/>
  <c r="U2372" i="1"/>
  <c r="U2375" i="1"/>
  <c r="U2378" i="1"/>
  <c r="U2381" i="1"/>
  <c r="U2384" i="1"/>
  <c r="U2387" i="1"/>
  <c r="U2390" i="1"/>
  <c r="U2436" i="1"/>
  <c r="U2439" i="1"/>
  <c r="U2442" i="1"/>
  <c r="U2445" i="1"/>
  <c r="U2448" i="1"/>
  <c r="U2451" i="1"/>
  <c r="U2454" i="1"/>
  <c r="U2500" i="1"/>
  <c r="U2503" i="1"/>
  <c r="U2506" i="1"/>
  <c r="U2509" i="1"/>
  <c r="U2512" i="1"/>
  <c r="U2515" i="1"/>
  <c r="U2518" i="1"/>
  <c r="U2521" i="1"/>
  <c r="U2529" i="1"/>
  <c r="U2537" i="1"/>
  <c r="U2545" i="1"/>
  <c r="U2553" i="1"/>
  <c r="U2561" i="1"/>
  <c r="U2569" i="1"/>
  <c r="U2577" i="1"/>
  <c r="U2585" i="1"/>
  <c r="U2593" i="1"/>
  <c r="U2601" i="1"/>
  <c r="U2609" i="1"/>
  <c r="U2617" i="1"/>
  <c r="U2625" i="1"/>
  <c r="U2633" i="1"/>
  <c r="U2641" i="1"/>
  <c r="U2649" i="1"/>
  <c r="U2657" i="1"/>
  <c r="U2665" i="1"/>
  <c r="U2673" i="1"/>
  <c r="U2681" i="1"/>
  <c r="U2689" i="1"/>
  <c r="U2697" i="1"/>
  <c r="U2705" i="1"/>
  <c r="U2713" i="1"/>
  <c r="U2721" i="1"/>
  <c r="U2729" i="1"/>
  <c r="U2737" i="1"/>
  <c r="U2745" i="1"/>
  <c r="U2753" i="1"/>
  <c r="U2761" i="1"/>
  <c r="U2769" i="1"/>
  <c r="U2777" i="1"/>
  <c r="U2785" i="1"/>
  <c r="U2793" i="1"/>
  <c r="U2801" i="1"/>
  <c r="U2809" i="1"/>
  <c r="U2817" i="1"/>
  <c r="U2825" i="1"/>
  <c r="U2833" i="1"/>
  <c r="U2841" i="1"/>
  <c r="U1806" i="1"/>
  <c r="U1948" i="1"/>
  <c r="U1960" i="1"/>
  <c r="U2009" i="1"/>
  <c r="U2021" i="1"/>
  <c r="U2110" i="1"/>
  <c r="U2116" i="1"/>
  <c r="U2122" i="1"/>
  <c r="U2128" i="1"/>
  <c r="U2177" i="1"/>
  <c r="U2183" i="1"/>
  <c r="U2189" i="1"/>
  <c r="U2195" i="1"/>
  <c r="U2211" i="1"/>
  <c r="U2227" i="1"/>
  <c r="U2243" i="1"/>
  <c r="U2259" i="1"/>
  <c r="U2275" i="1"/>
  <c r="U2284" i="1"/>
  <c r="U2287" i="1"/>
  <c r="U2290" i="1"/>
  <c r="U2293" i="1"/>
  <c r="U2296" i="1"/>
  <c r="U2299" i="1"/>
  <c r="U2302" i="1"/>
  <c r="U2348" i="1"/>
  <c r="U2351" i="1"/>
  <c r="U2354" i="1"/>
  <c r="U2357" i="1"/>
  <c r="U2360" i="1"/>
  <c r="U2363" i="1"/>
  <c r="U2366" i="1"/>
  <c r="U2412" i="1"/>
  <c r="U2415" i="1"/>
  <c r="U2418" i="1"/>
  <c r="U2421" i="1"/>
  <c r="U2424" i="1"/>
  <c r="U1880" i="1"/>
  <c r="U1924" i="1"/>
  <c r="U1936" i="1"/>
  <c r="U1985" i="1"/>
  <c r="U1997" i="1"/>
  <c r="U2046" i="1"/>
  <c r="U2058" i="1"/>
  <c r="U2086" i="1"/>
  <c r="U2092" i="1"/>
  <c r="U2098" i="1"/>
  <c r="U2104" i="1"/>
  <c r="U2153" i="1"/>
  <c r="U2159" i="1"/>
  <c r="U2165" i="1"/>
  <c r="U2206" i="1"/>
  <c r="U2222" i="1"/>
  <c r="U2238" i="1"/>
  <c r="U2254" i="1"/>
  <c r="U2270" i="1"/>
  <c r="U2324" i="1"/>
  <c r="U2327" i="1"/>
  <c r="U2330" i="1"/>
  <c r="U2333" i="1"/>
  <c r="U2336" i="1"/>
  <c r="U2339" i="1"/>
  <c r="U2342" i="1"/>
  <c r="U2388" i="1"/>
  <c r="U2391" i="1"/>
  <c r="U2394" i="1"/>
  <c r="U2397" i="1"/>
  <c r="U2400" i="1"/>
  <c r="U2403" i="1"/>
  <c r="U2406" i="1"/>
  <c r="U2452" i="1"/>
  <c r="U2455" i="1"/>
  <c r="U2458" i="1"/>
  <c r="U2461" i="1"/>
  <c r="U2464" i="1"/>
  <c r="U2467" i="1"/>
  <c r="U2470" i="1"/>
  <c r="U2516" i="1"/>
  <c r="U2519" i="1"/>
  <c r="U2527" i="1"/>
  <c r="U2535" i="1"/>
  <c r="U2543" i="1"/>
  <c r="U2551" i="1"/>
  <c r="U2559" i="1"/>
  <c r="U2567" i="1"/>
  <c r="U2575" i="1"/>
  <c r="U2583" i="1"/>
  <c r="U2591" i="1"/>
  <c r="U2599" i="1"/>
  <c r="U2607" i="1"/>
  <c r="U2615" i="1"/>
  <c r="U1812" i="1"/>
  <c r="U1861" i="1"/>
  <c r="U1951" i="1"/>
  <c r="U2012" i="1"/>
  <c r="U2024" i="1"/>
  <c r="U2105" i="1"/>
  <c r="U2111" i="1"/>
  <c r="U2117" i="1"/>
  <c r="U2166" i="1"/>
  <c r="U2172" i="1"/>
  <c r="U2178" i="1"/>
  <c r="U2184" i="1"/>
  <c r="U2196" i="1"/>
  <c r="U2212" i="1"/>
  <c r="U2228" i="1"/>
  <c r="U2244" i="1"/>
  <c r="U2260" i="1"/>
  <c r="U2276" i="1"/>
  <c r="U2300" i="1"/>
  <c r="U2303" i="1"/>
  <c r="U2306" i="1"/>
  <c r="U2309" i="1"/>
  <c r="U2312" i="1"/>
  <c r="U2315" i="1"/>
  <c r="U2318" i="1"/>
  <c r="U2364" i="1"/>
  <c r="U2367" i="1"/>
  <c r="U2370" i="1"/>
  <c r="U2373" i="1"/>
  <c r="U2376" i="1"/>
  <c r="U2379" i="1"/>
  <c r="U2382" i="1"/>
  <c r="U2428" i="1"/>
  <c r="U2431" i="1"/>
  <c r="U2434" i="1"/>
  <c r="U2437" i="1"/>
  <c r="U2440" i="1"/>
  <c r="U2443" i="1"/>
  <c r="U2446" i="1"/>
  <c r="U2492" i="1"/>
  <c r="U2495" i="1"/>
  <c r="U2498" i="1"/>
  <c r="U2501" i="1"/>
  <c r="U2504" i="1"/>
  <c r="U2507" i="1"/>
  <c r="U2510" i="1"/>
  <c r="U2522" i="1"/>
  <c r="U2530" i="1"/>
  <c r="U2538" i="1"/>
  <c r="U2546" i="1"/>
  <c r="U2554" i="1"/>
  <c r="U2562" i="1"/>
  <c r="U2570" i="1"/>
  <c r="U2578" i="1"/>
  <c r="U2586" i="1"/>
  <c r="U2594" i="1"/>
  <c r="U1813" i="1"/>
  <c r="U1886" i="1"/>
  <c r="U1910" i="1"/>
  <c r="U1927" i="1"/>
  <c r="U1988" i="1"/>
  <c r="U2000" i="1"/>
  <c r="U2049" i="1"/>
  <c r="U2061" i="1"/>
  <c r="U2070" i="1"/>
  <c r="U2076" i="1"/>
  <c r="U2082" i="1"/>
  <c r="U2088" i="1"/>
  <c r="U2137" i="1"/>
  <c r="U2143" i="1"/>
  <c r="U2149" i="1"/>
  <c r="U2208" i="1"/>
  <c r="U2224" i="1"/>
  <c r="U2240" i="1"/>
  <c r="U2256" i="1"/>
  <c r="U2272" i="1"/>
  <c r="U2285" i="1"/>
  <c r="U2288" i="1"/>
  <c r="U2291" i="1"/>
  <c r="U2294" i="1"/>
  <c r="U2340" i="1"/>
  <c r="U2343" i="1"/>
  <c r="U2346" i="1"/>
  <c r="U2349" i="1"/>
  <c r="U2352" i="1"/>
  <c r="U2355" i="1"/>
  <c r="U2358" i="1"/>
  <c r="U2404" i="1"/>
  <c r="U2407" i="1"/>
  <c r="U2410" i="1"/>
  <c r="U2413" i="1"/>
  <c r="U2416" i="1"/>
  <c r="U2419" i="1"/>
  <c r="U2422" i="1"/>
  <c r="U2468" i="1"/>
  <c r="U2471" i="1"/>
  <c r="U2474" i="1"/>
  <c r="U2477" i="1"/>
  <c r="U2480" i="1"/>
  <c r="U2483" i="1"/>
  <c r="U2486" i="1"/>
  <c r="U2525" i="1"/>
  <c r="U2533" i="1"/>
  <c r="U2541" i="1"/>
  <c r="U2549" i="1"/>
  <c r="U2557" i="1"/>
  <c r="U2565" i="1"/>
  <c r="U2573" i="1"/>
  <c r="U2581" i="1"/>
  <c r="U2589" i="1"/>
  <c r="U2597" i="1"/>
  <c r="U2605" i="1"/>
  <c r="U2613" i="1"/>
  <c r="U2621" i="1"/>
  <c r="U2629" i="1"/>
  <c r="U2637" i="1"/>
  <c r="U1867" i="1"/>
  <c r="U1942" i="1"/>
  <c r="U1954" i="1"/>
  <c r="U2015" i="1"/>
  <c r="U2113" i="1"/>
  <c r="U2119" i="1"/>
  <c r="U2125" i="1"/>
  <c r="U1819" i="1"/>
  <c r="U1892" i="1"/>
  <c r="U1930" i="1"/>
  <c r="U1991" i="1"/>
  <c r="U2052" i="1"/>
  <c r="U2064" i="1"/>
  <c r="U2089" i="1"/>
  <c r="U2095" i="1"/>
  <c r="U2101" i="1"/>
  <c r="U1873" i="1"/>
  <c r="U1920" i="1"/>
  <c r="U1945" i="1"/>
  <c r="U1957" i="1"/>
  <c r="U2006" i="1"/>
  <c r="U2018" i="1"/>
  <c r="U2102" i="1"/>
  <c r="U2108" i="1"/>
  <c r="U2114" i="1"/>
  <c r="U2120" i="1"/>
  <c r="U2169" i="1"/>
  <c r="U2175" i="1"/>
  <c r="U2181" i="1"/>
  <c r="U2204" i="1"/>
  <c r="U2220" i="1"/>
  <c r="U2236" i="1"/>
  <c r="U2252" i="1"/>
  <c r="U2268" i="1"/>
  <c r="U2283" i="1"/>
  <c r="U2286" i="1"/>
  <c r="U2332" i="1"/>
  <c r="U2335" i="1"/>
  <c r="U2338" i="1"/>
  <c r="U2341" i="1"/>
  <c r="U2344" i="1"/>
  <c r="U2347" i="1"/>
  <c r="U2350" i="1"/>
  <c r="U2396" i="1"/>
  <c r="U2399" i="1"/>
  <c r="U2402" i="1"/>
  <c r="U2405" i="1"/>
  <c r="U2408" i="1"/>
  <c r="U2411" i="1"/>
  <c r="U2414" i="1"/>
  <c r="U2174" i="1"/>
  <c r="U2219" i="1"/>
  <c r="U2282" i="1"/>
  <c r="U2319" i="1"/>
  <c r="U2331" i="1"/>
  <c r="U2380" i="1"/>
  <c r="U2392" i="1"/>
  <c r="U2427" i="1"/>
  <c r="U2447" i="1"/>
  <c r="U2453" i="1"/>
  <c r="U2459" i="1"/>
  <c r="U2508" i="1"/>
  <c r="U2514" i="1"/>
  <c r="U2520" i="1"/>
  <c r="U2536" i="1"/>
  <c r="U2552" i="1"/>
  <c r="U2568" i="1"/>
  <c r="U2584" i="1"/>
  <c r="U2608" i="1"/>
  <c r="U2612" i="1"/>
  <c r="U2624" i="1"/>
  <c r="U2631" i="1"/>
  <c r="U2638" i="1"/>
  <c r="U2684" i="1"/>
  <c r="U2687" i="1"/>
  <c r="U2690" i="1"/>
  <c r="U2693" i="1"/>
  <c r="U2696" i="1"/>
  <c r="U2699" i="1"/>
  <c r="U2702" i="1"/>
  <c r="U2748" i="1"/>
  <c r="U2751" i="1"/>
  <c r="U2754" i="1"/>
  <c r="U2757" i="1"/>
  <c r="U2760" i="1"/>
  <c r="U2763" i="1"/>
  <c r="U2766" i="1"/>
  <c r="U2812" i="1"/>
  <c r="U2815" i="1"/>
  <c r="U2818" i="1"/>
  <c r="U2821" i="1"/>
  <c r="U2824" i="1"/>
  <c r="U2827" i="1"/>
  <c r="U2830" i="1"/>
  <c r="U2851" i="1"/>
  <c r="U2859" i="1"/>
  <c r="U2867" i="1"/>
  <c r="U2875" i="1"/>
  <c r="U2883" i="1"/>
  <c r="U2891" i="1"/>
  <c r="U2899" i="1"/>
  <c r="U2907" i="1"/>
  <c r="U2915" i="1"/>
  <c r="U2923" i="1"/>
  <c r="U2931" i="1"/>
  <c r="U2939" i="1"/>
  <c r="U2947" i="1"/>
  <c r="U2955" i="1"/>
  <c r="U2963" i="1"/>
  <c r="U2971" i="1"/>
  <c r="U2979" i="1"/>
  <c r="U2987" i="1"/>
  <c r="U2995" i="1"/>
  <c r="U3003" i="1"/>
  <c r="U3011" i="1"/>
  <c r="U3019" i="1"/>
  <c r="U3027" i="1"/>
  <c r="U3035" i="1"/>
  <c r="U3043" i="1"/>
  <c r="U3051" i="1"/>
  <c r="U3059" i="1"/>
  <c r="U3067" i="1"/>
  <c r="U3075" i="1"/>
  <c r="U3083" i="1"/>
  <c r="U3091" i="1"/>
  <c r="U3099" i="1"/>
  <c r="U3107" i="1"/>
  <c r="U3115" i="1"/>
  <c r="U3123" i="1"/>
  <c r="U3131" i="1"/>
  <c r="U3139" i="1"/>
  <c r="U3147" i="1"/>
  <c r="U3155" i="1"/>
  <c r="U3163" i="1"/>
  <c r="U3171" i="1"/>
  <c r="U3179" i="1"/>
  <c r="U3187" i="1"/>
  <c r="U3195" i="1"/>
  <c r="U3203" i="1"/>
  <c r="U3211" i="1"/>
  <c r="U3219" i="1"/>
  <c r="U3227" i="1"/>
  <c r="U2150" i="1"/>
  <c r="U2198" i="1"/>
  <c r="U2262" i="1"/>
  <c r="U2295" i="1"/>
  <c r="U2307" i="1"/>
  <c r="U2356" i="1"/>
  <c r="U2368" i="1"/>
  <c r="U2435" i="1"/>
  <c r="U2484" i="1"/>
  <c r="U2490" i="1"/>
  <c r="U2496" i="1"/>
  <c r="U2502" i="1"/>
  <c r="U2531" i="1"/>
  <c r="U2547" i="1"/>
  <c r="U2563" i="1"/>
  <c r="U2579" i="1"/>
  <c r="U2595" i="1"/>
  <c r="U2600" i="1"/>
  <c r="U2604" i="1"/>
  <c r="U2628" i="1"/>
  <c r="U2635" i="1"/>
  <c r="U2660" i="1"/>
  <c r="U2663" i="1"/>
  <c r="U2666" i="1"/>
  <c r="U2669" i="1"/>
  <c r="U2672" i="1"/>
  <c r="U2675" i="1"/>
  <c r="U2678" i="1"/>
  <c r="U2724" i="1"/>
  <c r="U2727" i="1"/>
  <c r="U2730" i="1"/>
  <c r="U2733" i="1"/>
  <c r="U2736" i="1"/>
  <c r="U2739" i="1"/>
  <c r="U2742" i="1"/>
  <c r="U2788" i="1"/>
  <c r="U2180" i="1"/>
  <c r="U2203" i="1"/>
  <c r="U2267" i="1"/>
  <c r="U2322" i="1"/>
  <c r="U2334" i="1"/>
  <c r="U2383" i="1"/>
  <c r="U2395" i="1"/>
  <c r="U2429" i="1"/>
  <c r="U2460" i="1"/>
  <c r="U2466" i="1"/>
  <c r="U2472" i="1"/>
  <c r="U2478" i="1"/>
  <c r="U2526" i="1"/>
  <c r="U2542" i="1"/>
  <c r="U2558" i="1"/>
  <c r="U2574" i="1"/>
  <c r="U2590" i="1"/>
  <c r="U2632" i="1"/>
  <c r="U2639" i="1"/>
  <c r="U2642" i="1"/>
  <c r="U2645" i="1"/>
  <c r="U2648" i="1"/>
  <c r="U2651" i="1"/>
  <c r="U2654" i="1"/>
  <c r="U2700" i="1"/>
  <c r="U2703" i="1"/>
  <c r="U2706" i="1"/>
  <c r="U2709" i="1"/>
  <c r="U2712" i="1"/>
  <c r="U2715" i="1"/>
  <c r="U2718" i="1"/>
  <c r="U2764" i="1"/>
  <c r="U2767" i="1"/>
  <c r="U2770" i="1"/>
  <c r="U2773" i="1"/>
  <c r="U2776" i="1"/>
  <c r="U2779" i="1"/>
  <c r="U2782" i="1"/>
  <c r="U2828" i="1"/>
  <c r="U2831" i="1"/>
  <c r="U2834" i="1"/>
  <c r="U2837" i="1"/>
  <c r="U2840" i="1"/>
  <c r="U2843" i="1"/>
  <c r="U2846" i="1"/>
  <c r="U2849" i="1"/>
  <c r="U2857" i="1"/>
  <c r="U2865" i="1"/>
  <c r="U2873" i="1"/>
  <c r="U2881" i="1"/>
  <c r="U2889" i="1"/>
  <c r="U2897" i="1"/>
  <c r="U2905" i="1"/>
  <c r="U2913" i="1"/>
  <c r="U2921" i="1"/>
  <c r="U2929" i="1"/>
  <c r="U2937" i="1"/>
  <c r="U2945" i="1"/>
  <c r="U2953" i="1"/>
  <c r="U2961" i="1"/>
  <c r="U2156" i="1"/>
  <c r="U2246" i="1"/>
  <c r="U2298" i="1"/>
  <c r="U2310" i="1"/>
  <c r="U2359" i="1"/>
  <c r="U2371" i="1"/>
  <c r="U2420" i="1"/>
  <c r="U2430" i="1"/>
  <c r="U2479" i="1"/>
  <c r="U2485" i="1"/>
  <c r="U2491" i="1"/>
  <c r="U2532" i="1"/>
  <c r="U2548" i="1"/>
  <c r="U2564" i="1"/>
  <c r="U2580" i="1"/>
  <c r="U2596" i="1"/>
  <c r="U2618" i="1"/>
  <c r="U2636" i="1"/>
  <c r="U2676" i="1"/>
  <c r="U2679" i="1"/>
  <c r="U2682" i="1"/>
  <c r="U2685" i="1"/>
  <c r="U2688" i="1"/>
  <c r="U2691" i="1"/>
  <c r="U2694" i="1"/>
  <c r="U2740" i="1"/>
  <c r="U2743" i="1"/>
  <c r="U2746" i="1"/>
  <c r="U2749" i="1"/>
  <c r="U2752" i="1"/>
  <c r="U2755" i="1"/>
  <c r="U2758" i="1"/>
  <c r="U2804" i="1"/>
  <c r="U2807" i="1"/>
  <c r="U2810" i="1"/>
  <c r="U2813" i="1"/>
  <c r="U2816" i="1"/>
  <c r="U2819" i="1"/>
  <c r="U2822" i="1"/>
  <c r="U2852" i="1"/>
  <c r="U2860" i="1"/>
  <c r="U2868" i="1"/>
  <c r="U2876" i="1"/>
  <c r="U2884" i="1"/>
  <c r="U2892" i="1"/>
  <c r="U2900" i="1"/>
  <c r="U2908" i="1"/>
  <c r="U2916" i="1"/>
  <c r="U2924" i="1"/>
  <c r="U2932" i="1"/>
  <c r="U2940" i="1"/>
  <c r="U2948" i="1"/>
  <c r="U2956" i="1"/>
  <c r="U2186" i="1"/>
  <c r="U2251" i="1"/>
  <c r="U2325" i="1"/>
  <c r="U2386" i="1"/>
  <c r="U2398" i="1"/>
  <c r="U2444" i="1"/>
  <c r="U2450" i="1"/>
  <c r="U2456" i="1"/>
  <c r="U2462" i="1"/>
  <c r="U2511" i="1"/>
  <c r="U2517" i="1"/>
  <c r="U2528" i="1"/>
  <c r="U2544" i="1"/>
  <c r="U2560" i="1"/>
  <c r="U2576" i="1"/>
  <c r="U2592" i="1"/>
  <c r="U2610" i="1"/>
  <c r="U2614" i="1"/>
  <c r="U2622" i="1"/>
  <c r="U2652" i="1"/>
  <c r="U2655" i="1"/>
  <c r="U2658" i="1"/>
  <c r="U2661" i="1"/>
  <c r="U2664" i="1"/>
  <c r="U2667" i="1"/>
  <c r="U2670" i="1"/>
  <c r="U2716" i="1"/>
  <c r="U2719" i="1"/>
  <c r="U2722" i="1"/>
  <c r="U2725" i="1"/>
  <c r="U2728" i="1"/>
  <c r="U2731" i="1"/>
  <c r="U2734" i="1"/>
  <c r="U2780" i="1"/>
  <c r="U2783" i="1"/>
  <c r="U2786" i="1"/>
  <c r="U2789" i="1"/>
  <c r="U2792" i="1"/>
  <c r="U2795" i="1"/>
  <c r="U2798" i="1"/>
  <c r="U2844" i="1"/>
  <c r="U2847" i="1"/>
  <c r="U2855" i="1"/>
  <c r="U2863" i="1"/>
  <c r="U2871" i="1"/>
  <c r="U2879" i="1"/>
  <c r="U2887" i="1"/>
  <c r="U2895" i="1"/>
  <c r="U2903" i="1"/>
  <c r="U2911" i="1"/>
  <c r="U2919" i="1"/>
  <c r="U2927" i="1"/>
  <c r="U2935" i="1"/>
  <c r="U2943" i="1"/>
  <c r="U2951" i="1"/>
  <c r="U2959" i="1"/>
  <c r="U2162" i="1"/>
  <c r="U2230" i="1"/>
  <c r="U2301" i="1"/>
  <c r="U2362" i="1"/>
  <c r="U2374" i="1"/>
  <c r="U2423" i="1"/>
  <c r="U2432" i="1"/>
  <c r="U2438" i="1"/>
  <c r="U2168" i="1"/>
  <c r="U2214" i="1"/>
  <c r="U2278" i="1"/>
  <c r="U2292" i="1"/>
  <c r="U2304" i="1"/>
  <c r="U2365" i="1"/>
  <c r="U2426" i="1"/>
  <c r="U2476" i="1"/>
  <c r="U2482" i="1"/>
  <c r="U2488" i="1"/>
  <c r="U2494" i="1"/>
  <c r="U2524" i="1"/>
  <c r="U2540" i="1"/>
  <c r="U2556" i="1"/>
  <c r="U2572" i="1"/>
  <c r="U2588" i="1"/>
  <c r="U2603" i="1"/>
  <c r="U2616" i="1"/>
  <c r="U2620" i="1"/>
  <c r="U2627" i="1"/>
  <c r="U2634" i="1"/>
  <c r="U2644" i="1"/>
  <c r="U2647" i="1"/>
  <c r="U2650" i="1"/>
  <c r="U2653" i="1"/>
  <c r="U2656" i="1"/>
  <c r="U2659" i="1"/>
  <c r="U2662" i="1"/>
  <c r="U2708" i="1"/>
  <c r="U2711" i="1"/>
  <c r="U2714" i="1"/>
  <c r="U2717" i="1"/>
  <c r="U2720" i="1"/>
  <c r="U2723" i="1"/>
  <c r="U2726" i="1"/>
  <c r="U2772" i="1"/>
  <c r="U2775" i="1"/>
  <c r="U2778" i="1"/>
  <c r="U2781" i="1"/>
  <c r="U2784" i="1"/>
  <c r="U2787" i="1"/>
  <c r="U2790" i="1"/>
  <c r="U2836" i="1"/>
  <c r="U2839" i="1"/>
  <c r="U2842" i="1"/>
  <c r="U2845" i="1"/>
  <c r="U2848" i="1"/>
  <c r="U2856" i="1"/>
  <c r="U2864" i="1"/>
  <c r="U2316" i="1"/>
  <c r="U2469" i="1"/>
  <c r="U2566" i="1"/>
  <c r="U2623" i="1"/>
  <c r="U2674" i="1"/>
  <c r="U2686" i="1"/>
  <c r="U2735" i="1"/>
  <c r="U2747" i="1"/>
  <c r="U2794" i="1"/>
  <c r="U2802" i="1"/>
  <c r="U2835" i="1"/>
  <c r="U2858" i="1"/>
  <c r="U2882" i="1"/>
  <c r="U2898" i="1"/>
  <c r="U2914" i="1"/>
  <c r="U2930" i="1"/>
  <c r="U2946" i="1"/>
  <c r="U2962" i="1"/>
  <c r="U2965" i="1"/>
  <c r="U2968" i="1"/>
  <c r="U3014" i="1"/>
  <c r="U3017" i="1"/>
  <c r="U3020" i="1"/>
  <c r="U3023" i="1"/>
  <c r="U3026" i="1"/>
  <c r="U3029" i="1"/>
  <c r="U3032" i="1"/>
  <c r="U3078" i="1"/>
  <c r="U3081" i="1"/>
  <c r="U3084" i="1"/>
  <c r="U3087" i="1"/>
  <c r="U3090" i="1"/>
  <c r="U3093" i="1"/>
  <c r="U3096" i="1"/>
  <c r="U3142" i="1"/>
  <c r="U3145" i="1"/>
  <c r="U3148" i="1"/>
  <c r="U3151" i="1"/>
  <c r="U3154" i="1"/>
  <c r="U3157" i="1"/>
  <c r="U3160" i="1"/>
  <c r="U3206" i="1"/>
  <c r="U3209" i="1"/>
  <c r="U3212" i="1"/>
  <c r="U3215" i="1"/>
  <c r="U3218" i="1"/>
  <c r="U3221" i="1"/>
  <c r="U3224" i="1"/>
  <c r="U3230" i="1"/>
  <c r="U3238" i="1"/>
  <c r="U3246" i="1"/>
  <c r="U3254" i="1"/>
  <c r="U3262" i="1"/>
  <c r="U3270" i="1"/>
  <c r="U3278" i="1"/>
  <c r="U3286" i="1"/>
  <c r="U3294" i="1"/>
  <c r="U3302" i="1"/>
  <c r="U3310" i="1"/>
  <c r="U3318" i="1"/>
  <c r="U3326" i="1"/>
  <c r="U3334" i="1"/>
  <c r="U3342" i="1"/>
  <c r="U3350" i="1"/>
  <c r="U3358" i="1"/>
  <c r="U3366" i="1"/>
  <c r="U3374" i="1"/>
  <c r="U3382" i="1"/>
  <c r="U3390" i="1"/>
  <c r="U3398" i="1"/>
  <c r="U3406" i="1"/>
  <c r="U3414" i="1"/>
  <c r="U3422" i="1"/>
  <c r="U3430" i="1"/>
  <c r="U3438" i="1"/>
  <c r="U3446" i="1"/>
  <c r="U3454" i="1"/>
  <c r="U3462" i="1"/>
  <c r="U3470" i="1"/>
  <c r="U3478" i="1"/>
  <c r="U3486" i="1"/>
  <c r="U3494" i="1"/>
  <c r="U3502" i="1"/>
  <c r="U3510" i="1"/>
  <c r="U3518" i="1"/>
  <c r="U3526" i="1"/>
  <c r="U3534" i="1"/>
  <c r="U3542" i="1"/>
  <c r="U3550" i="1"/>
  <c r="U3558" i="1"/>
  <c r="U3566" i="1"/>
  <c r="U3574" i="1"/>
  <c r="U3582" i="1"/>
  <c r="U3590" i="1"/>
  <c r="U3598" i="1"/>
  <c r="U3606" i="1"/>
  <c r="U3614" i="1"/>
  <c r="U3622" i="1"/>
  <c r="U3630" i="1"/>
  <c r="U3638" i="1"/>
  <c r="U3646" i="1"/>
  <c r="U3654" i="1"/>
  <c r="U3662" i="1"/>
  <c r="U3670" i="1"/>
  <c r="U3678" i="1"/>
  <c r="U3686" i="1"/>
  <c r="U3694" i="1"/>
  <c r="U3702" i="1"/>
  <c r="U3710" i="1"/>
  <c r="U3718" i="1"/>
  <c r="U3726" i="1"/>
  <c r="U3734" i="1"/>
  <c r="U3742" i="1"/>
  <c r="U3750" i="1"/>
  <c r="U3758" i="1"/>
  <c r="U2192" i="1"/>
  <c r="U2328" i="1"/>
  <c r="U2475" i="1"/>
  <c r="U2571" i="1"/>
  <c r="U2626" i="1"/>
  <c r="U2640" i="1"/>
  <c r="U2701" i="1"/>
  <c r="U2762" i="1"/>
  <c r="U2774" i="1"/>
  <c r="U2803" i="1"/>
  <c r="U2811" i="1"/>
  <c r="U2820" i="1"/>
  <c r="U2866" i="1"/>
  <c r="U2877" i="1"/>
  <c r="U2893" i="1"/>
  <c r="U2909" i="1"/>
  <c r="U2925" i="1"/>
  <c r="U2941" i="1"/>
  <c r="U2957" i="1"/>
  <c r="U2990" i="1"/>
  <c r="U2993" i="1"/>
  <c r="U2996" i="1"/>
  <c r="U2999" i="1"/>
  <c r="U3002" i="1"/>
  <c r="U3005" i="1"/>
  <c r="U3008" i="1"/>
  <c r="U3054" i="1"/>
  <c r="U3057" i="1"/>
  <c r="U3060" i="1"/>
  <c r="U3063" i="1"/>
  <c r="U3066" i="1"/>
  <c r="U3069" i="1"/>
  <c r="U3072" i="1"/>
  <c r="U3118" i="1"/>
  <c r="U3121" i="1"/>
  <c r="U3124" i="1"/>
  <c r="U3127" i="1"/>
  <c r="U3130" i="1"/>
  <c r="U3133" i="1"/>
  <c r="U3136" i="1"/>
  <c r="U3182" i="1"/>
  <c r="U3185" i="1"/>
  <c r="U3188" i="1"/>
  <c r="U3191" i="1"/>
  <c r="U3194" i="1"/>
  <c r="U3197" i="1"/>
  <c r="U3200" i="1"/>
  <c r="U3233" i="1"/>
  <c r="U3241" i="1"/>
  <c r="U3249" i="1"/>
  <c r="U2550" i="1"/>
  <c r="U2611" i="1"/>
  <c r="U2677" i="1"/>
  <c r="U2738" i="1"/>
  <c r="U2750" i="1"/>
  <c r="U2796" i="1"/>
  <c r="U2829" i="1"/>
  <c r="U2872" i="1"/>
  <c r="U2888" i="1"/>
  <c r="U2904" i="1"/>
  <c r="U2920" i="1"/>
  <c r="U2936" i="1"/>
  <c r="U2952" i="1"/>
  <c r="U2966" i="1"/>
  <c r="U2969" i="1"/>
  <c r="U2972" i="1"/>
  <c r="U2975" i="1"/>
  <c r="U2978" i="1"/>
  <c r="U2981" i="1"/>
  <c r="U2984" i="1"/>
  <c r="U3030" i="1"/>
  <c r="U3033" i="1"/>
  <c r="U3036" i="1"/>
  <c r="U3039" i="1"/>
  <c r="U3042" i="1"/>
  <c r="U3045" i="1"/>
  <c r="U3048" i="1"/>
  <c r="U3094" i="1"/>
  <c r="U3097" i="1"/>
  <c r="U3100" i="1"/>
  <c r="U3103" i="1"/>
  <c r="U3106" i="1"/>
  <c r="U3109" i="1"/>
  <c r="U3112" i="1"/>
  <c r="U3158" i="1"/>
  <c r="U3161" i="1"/>
  <c r="U3164" i="1"/>
  <c r="U3167" i="1"/>
  <c r="U3170" i="1"/>
  <c r="U3173" i="1"/>
  <c r="U3176" i="1"/>
  <c r="U3222" i="1"/>
  <c r="U3225" i="1"/>
  <c r="U3228" i="1"/>
  <c r="U3236" i="1"/>
  <c r="U3244" i="1"/>
  <c r="U3252" i="1"/>
  <c r="U3260" i="1"/>
  <c r="U3268" i="1"/>
  <c r="U3276" i="1"/>
  <c r="U3284" i="1"/>
  <c r="U3292" i="1"/>
  <c r="U3300" i="1"/>
  <c r="U3308" i="1"/>
  <c r="U3316" i="1"/>
  <c r="U3324" i="1"/>
  <c r="U3332" i="1"/>
  <c r="U3340" i="1"/>
  <c r="U3348" i="1"/>
  <c r="U3356" i="1"/>
  <c r="U3364" i="1"/>
  <c r="U3372" i="1"/>
  <c r="U3380" i="1"/>
  <c r="U3388" i="1"/>
  <c r="U3396" i="1"/>
  <c r="U3404" i="1"/>
  <c r="U3412" i="1"/>
  <c r="U3420" i="1"/>
  <c r="U3428" i="1"/>
  <c r="U3436" i="1"/>
  <c r="U3444" i="1"/>
  <c r="U3452" i="1"/>
  <c r="U3460" i="1"/>
  <c r="U3468" i="1"/>
  <c r="U3476" i="1"/>
  <c r="U3484" i="1"/>
  <c r="U3492" i="1"/>
  <c r="U3500" i="1"/>
  <c r="U3508" i="1"/>
  <c r="U3516" i="1"/>
  <c r="U2235" i="1"/>
  <c r="U2487" i="1"/>
  <c r="U2555" i="1"/>
  <c r="U2643" i="1"/>
  <c r="U2692" i="1"/>
  <c r="U2704" i="1"/>
  <c r="U2765" i="1"/>
  <c r="U2797" i="1"/>
  <c r="U2805" i="1"/>
  <c r="U2838" i="1"/>
  <c r="U2853" i="1"/>
  <c r="U2878" i="1"/>
  <c r="U2894" i="1"/>
  <c r="U2910" i="1"/>
  <c r="U2926" i="1"/>
  <c r="U2942" i="1"/>
  <c r="U2958" i="1"/>
  <c r="U3006" i="1"/>
  <c r="U3009" i="1"/>
  <c r="U3012" i="1"/>
  <c r="U3015" i="1"/>
  <c r="U3018" i="1"/>
  <c r="U3021" i="1"/>
  <c r="U3024" i="1"/>
  <c r="U3070" i="1"/>
  <c r="U3073" i="1"/>
  <c r="U3076" i="1"/>
  <c r="U3079" i="1"/>
  <c r="U3082" i="1"/>
  <c r="U3085" i="1"/>
  <c r="U3088" i="1"/>
  <c r="U3134" i="1"/>
  <c r="U3137" i="1"/>
  <c r="U3140" i="1"/>
  <c r="U3143" i="1"/>
  <c r="U3146" i="1"/>
  <c r="U3149" i="1"/>
  <c r="U3152" i="1"/>
  <c r="U3198" i="1"/>
  <c r="U3201" i="1"/>
  <c r="U3204" i="1"/>
  <c r="U3207" i="1"/>
  <c r="U3210" i="1"/>
  <c r="U3213" i="1"/>
  <c r="U3216" i="1"/>
  <c r="U3231" i="1"/>
  <c r="U3239" i="1"/>
  <c r="U3247" i="1"/>
  <c r="U3255" i="1"/>
  <c r="U3263" i="1"/>
  <c r="U3271" i="1"/>
  <c r="U3279" i="1"/>
  <c r="U3287" i="1"/>
  <c r="U3295" i="1"/>
  <c r="U3303" i="1"/>
  <c r="U3311" i="1"/>
  <c r="U3319" i="1"/>
  <c r="U3327" i="1"/>
  <c r="U3335" i="1"/>
  <c r="U3343" i="1"/>
  <c r="U3351" i="1"/>
  <c r="U3359" i="1"/>
  <c r="U3367" i="1"/>
  <c r="U3375" i="1"/>
  <c r="U3383" i="1"/>
  <c r="U3391" i="1"/>
  <c r="U3399" i="1"/>
  <c r="U3407" i="1"/>
  <c r="U3415" i="1"/>
  <c r="U3423" i="1"/>
  <c r="U3431" i="1"/>
  <c r="U3439" i="1"/>
  <c r="U3447" i="1"/>
  <c r="U3455" i="1"/>
  <c r="U3463" i="1"/>
  <c r="U3471" i="1"/>
  <c r="U2534" i="1"/>
  <c r="U2598" i="1"/>
  <c r="U2630" i="1"/>
  <c r="U2668" i="1"/>
  <c r="U2680" i="1"/>
  <c r="U2741" i="1"/>
  <c r="U2806" i="1"/>
  <c r="U2814" i="1"/>
  <c r="U2823" i="1"/>
  <c r="U2854" i="1"/>
  <c r="U2861" i="1"/>
  <c r="U2874" i="1"/>
  <c r="U2890" i="1"/>
  <c r="U2906" i="1"/>
  <c r="U2922" i="1"/>
  <c r="U2938" i="1"/>
  <c r="U2954" i="1"/>
  <c r="U2982" i="1"/>
  <c r="U2985" i="1"/>
  <c r="U2988" i="1"/>
  <c r="U2991" i="1"/>
  <c r="U2994" i="1"/>
  <c r="U2997" i="1"/>
  <c r="U3000" i="1"/>
  <c r="U3046" i="1"/>
  <c r="U3049" i="1"/>
  <c r="U3052" i="1"/>
  <c r="U3055" i="1"/>
  <c r="U3058" i="1"/>
  <c r="U3061" i="1"/>
  <c r="U3064" i="1"/>
  <c r="U3110" i="1"/>
  <c r="U3113" i="1"/>
  <c r="U3116" i="1"/>
  <c r="U3119" i="1"/>
  <c r="U3122" i="1"/>
  <c r="U3125" i="1"/>
  <c r="U3128" i="1"/>
  <c r="U3174" i="1"/>
  <c r="U3177" i="1"/>
  <c r="U3180" i="1"/>
  <c r="U3183" i="1"/>
  <c r="U3186" i="1"/>
  <c r="U3189" i="1"/>
  <c r="U3192" i="1"/>
  <c r="U3234" i="1"/>
  <c r="U3242" i="1"/>
  <c r="U3250" i="1"/>
  <c r="U2493" i="1"/>
  <c r="U2539" i="1"/>
  <c r="U2602" i="1"/>
  <c r="U2619" i="1"/>
  <c r="U2646" i="1"/>
  <c r="U2695" i="1"/>
  <c r="U2707" i="1"/>
  <c r="U2756" i="1"/>
  <c r="U2768" i="1"/>
  <c r="U2791" i="1"/>
  <c r="U2799" i="1"/>
  <c r="U2832" i="1"/>
  <c r="U2862" i="1"/>
  <c r="U2869" i="1"/>
  <c r="U2885" i="1"/>
  <c r="U2901" i="1"/>
  <c r="U2389" i="1"/>
  <c r="U2582" i="1"/>
  <c r="U2671" i="1"/>
  <c r="U2683" i="1"/>
  <c r="U2732" i="1"/>
  <c r="U2744" i="1"/>
  <c r="U2800" i="1"/>
  <c r="U2808" i="1"/>
  <c r="U2880" i="1"/>
  <c r="U2896" i="1"/>
  <c r="U2912" i="1"/>
  <c r="U2463" i="1"/>
  <c r="U2499" i="1"/>
  <c r="U2523" i="1"/>
  <c r="U2587" i="1"/>
  <c r="U2606" i="1"/>
  <c r="U2698" i="1"/>
  <c r="U2710" i="1"/>
  <c r="U2759" i="1"/>
  <c r="U2771" i="1"/>
  <c r="U2826" i="1"/>
  <c r="U2850" i="1"/>
  <c r="U2870" i="1"/>
  <c r="U2886" i="1"/>
  <c r="U2902" i="1"/>
  <c r="U2918" i="1"/>
  <c r="U2934" i="1"/>
  <c r="U2950" i="1"/>
  <c r="U2974" i="1"/>
  <c r="U2977" i="1"/>
  <c r="U2980" i="1"/>
  <c r="U2983" i="1"/>
  <c r="U2986" i="1"/>
  <c r="U2989" i="1"/>
  <c r="U2992" i="1"/>
  <c r="U3038" i="1"/>
  <c r="U3041" i="1"/>
  <c r="U3044" i="1"/>
  <c r="U3047" i="1"/>
  <c r="U3050" i="1"/>
  <c r="U3053" i="1"/>
  <c r="U3056" i="1"/>
  <c r="U3102" i="1"/>
  <c r="U3105" i="1"/>
  <c r="U3108" i="1"/>
  <c r="U3111" i="1"/>
  <c r="U3114" i="1"/>
  <c r="U3117" i="1"/>
  <c r="U3120" i="1"/>
  <c r="U3166" i="1"/>
  <c r="U3169" i="1"/>
  <c r="U3172" i="1"/>
  <c r="U3175" i="1"/>
  <c r="U3178" i="1"/>
  <c r="U3181" i="1"/>
  <c r="U3184" i="1"/>
  <c r="U3235" i="1"/>
  <c r="U3243" i="1"/>
  <c r="U3251" i="1"/>
  <c r="U3259" i="1"/>
  <c r="U3267" i="1"/>
  <c r="U3275" i="1"/>
  <c r="U3283" i="1"/>
  <c r="U3291" i="1"/>
  <c r="U3299" i="1"/>
  <c r="U3307" i="1"/>
  <c r="U2917" i="1"/>
  <c r="U2973" i="1"/>
  <c r="U3022" i="1"/>
  <c r="U3034" i="1"/>
  <c r="U3095" i="1"/>
  <c r="U3156" i="1"/>
  <c r="U3168" i="1"/>
  <c r="U3217" i="1"/>
  <c r="U3229" i="1"/>
  <c r="U3257" i="1"/>
  <c r="U3273" i="1"/>
  <c r="U3289" i="1"/>
  <c r="U3305" i="1"/>
  <c r="U3315" i="1"/>
  <c r="U3328" i="1"/>
  <c r="U3341" i="1"/>
  <c r="U3345" i="1"/>
  <c r="U3354" i="1"/>
  <c r="U3379" i="1"/>
  <c r="U3392" i="1"/>
  <c r="U3405" i="1"/>
  <c r="U3409" i="1"/>
  <c r="U3418" i="1"/>
  <c r="U3443" i="1"/>
  <c r="U3456" i="1"/>
  <c r="U3469" i="1"/>
  <c r="U3473" i="1"/>
  <c r="U3477" i="1"/>
  <c r="U3491" i="1"/>
  <c r="U3495" i="1"/>
  <c r="U3509" i="1"/>
  <c r="U3529" i="1"/>
  <c r="U3532" i="1"/>
  <c r="U3535" i="1"/>
  <c r="U3538" i="1"/>
  <c r="U3541" i="1"/>
  <c r="U3544" i="1"/>
  <c r="U3547" i="1"/>
  <c r="U3593" i="1"/>
  <c r="U3596" i="1"/>
  <c r="U3599" i="1"/>
  <c r="U3602" i="1"/>
  <c r="U3605" i="1"/>
  <c r="U3608" i="1"/>
  <c r="U3611" i="1"/>
  <c r="U3657" i="1"/>
  <c r="U3660" i="1"/>
  <c r="U3663" i="1"/>
  <c r="U3666" i="1"/>
  <c r="U3669" i="1"/>
  <c r="U3672" i="1"/>
  <c r="U3675" i="1"/>
  <c r="U3721" i="1"/>
  <c r="U3724" i="1"/>
  <c r="U3727" i="1"/>
  <c r="U3730" i="1"/>
  <c r="U3733" i="1"/>
  <c r="U3736" i="1"/>
  <c r="U3739" i="1"/>
  <c r="U3769" i="1"/>
  <c r="U3777" i="1"/>
  <c r="U3785" i="1"/>
  <c r="U3793" i="1"/>
  <c r="U3801" i="1"/>
  <c r="U3809" i="1"/>
  <c r="U3817" i="1"/>
  <c r="U3825" i="1"/>
  <c r="U3833" i="1"/>
  <c r="U3841" i="1"/>
  <c r="U3849" i="1"/>
  <c r="U3857" i="1"/>
  <c r="U3865" i="1"/>
  <c r="U3873" i="1"/>
  <c r="U3881" i="1"/>
  <c r="U3889" i="1"/>
  <c r="U3897" i="1"/>
  <c r="U3905" i="1"/>
  <c r="U3913" i="1"/>
  <c r="U3921" i="1"/>
  <c r="U3929" i="1"/>
  <c r="U3937" i="1"/>
  <c r="U3945" i="1"/>
  <c r="U3953" i="1"/>
  <c r="U3961" i="1"/>
  <c r="U3969" i="1"/>
  <c r="U3977" i="1"/>
  <c r="U3985" i="1"/>
  <c r="U3993" i="1"/>
  <c r="U4001" i="1"/>
  <c r="U4009" i="1"/>
  <c r="U4017" i="1"/>
  <c r="U4025" i="1"/>
  <c r="U4033" i="1"/>
  <c r="U4041" i="1"/>
  <c r="U4049" i="1"/>
  <c r="U4057" i="1"/>
  <c r="U4065" i="1"/>
  <c r="U4073" i="1"/>
  <c r="U4081" i="1"/>
  <c r="U4089" i="1"/>
  <c r="U4097" i="1"/>
  <c r="U4105" i="1"/>
  <c r="U4113" i="1"/>
  <c r="U4121" i="1"/>
  <c r="U4129" i="1"/>
  <c r="U4137" i="1"/>
  <c r="U4145" i="1"/>
  <c r="U4153" i="1"/>
  <c r="U4161" i="1"/>
  <c r="U4169" i="1"/>
  <c r="U4177" i="1"/>
  <c r="U4185" i="1"/>
  <c r="U4193" i="1"/>
  <c r="U4201" i="1"/>
  <c r="U4209" i="1"/>
  <c r="U4217" i="1"/>
  <c r="U2960" i="1"/>
  <c r="U2998" i="1"/>
  <c r="U3010" i="1"/>
  <c r="U3071" i="1"/>
  <c r="U3132" i="1"/>
  <c r="U3144" i="1"/>
  <c r="U3193" i="1"/>
  <c r="U3205" i="1"/>
  <c r="U3240" i="1"/>
  <c r="U3258" i="1"/>
  <c r="U3274" i="1"/>
  <c r="U3290" i="1"/>
  <c r="U3306" i="1"/>
  <c r="U3320" i="1"/>
  <c r="U3333" i="1"/>
  <c r="U3337" i="1"/>
  <c r="U3346" i="1"/>
  <c r="U3371" i="1"/>
  <c r="U3384" i="1"/>
  <c r="U3397" i="1"/>
  <c r="U3401" i="1"/>
  <c r="U3410" i="1"/>
  <c r="U3435" i="1"/>
  <c r="U3448" i="1"/>
  <c r="U3461" i="1"/>
  <c r="U3465" i="1"/>
  <c r="U3474" i="1"/>
  <c r="U3481" i="1"/>
  <c r="U3488" i="1"/>
  <c r="U3506" i="1"/>
  <c r="U3513" i="1"/>
  <c r="U3520" i="1"/>
  <c r="U3523" i="1"/>
  <c r="U3569" i="1"/>
  <c r="U3572" i="1"/>
  <c r="U3575" i="1"/>
  <c r="U3578" i="1"/>
  <c r="U3581" i="1"/>
  <c r="U3584" i="1"/>
  <c r="U3587" i="1"/>
  <c r="U3633" i="1"/>
  <c r="U3636" i="1"/>
  <c r="U3639" i="1"/>
  <c r="U3642" i="1"/>
  <c r="U3645" i="1"/>
  <c r="U3648" i="1"/>
  <c r="U3651" i="1"/>
  <c r="U2964" i="1"/>
  <c r="U2976" i="1"/>
  <c r="U3025" i="1"/>
  <c r="U3037" i="1"/>
  <c r="U3086" i="1"/>
  <c r="U3098" i="1"/>
  <c r="U3159" i="1"/>
  <c r="U3220" i="1"/>
  <c r="U3253" i="1"/>
  <c r="U3269" i="1"/>
  <c r="U3285" i="1"/>
  <c r="U3301" i="1"/>
  <c r="U3325" i="1"/>
  <c r="U3329" i="1"/>
  <c r="U3338" i="1"/>
  <c r="U3363" i="1"/>
  <c r="U3376" i="1"/>
  <c r="U3389" i="1"/>
  <c r="U3393" i="1"/>
  <c r="U3402" i="1"/>
  <c r="U3427" i="1"/>
  <c r="U3440" i="1"/>
  <c r="U3453" i="1"/>
  <c r="U3457" i="1"/>
  <c r="U3466" i="1"/>
  <c r="U3485" i="1"/>
  <c r="U3499" i="1"/>
  <c r="U3503" i="1"/>
  <c r="U3517" i="1"/>
  <c r="U3545" i="1"/>
  <c r="U3548" i="1"/>
  <c r="U3551" i="1"/>
  <c r="U3554" i="1"/>
  <c r="U3557" i="1"/>
  <c r="U3560" i="1"/>
  <c r="U3563" i="1"/>
  <c r="U3609" i="1"/>
  <c r="U3612" i="1"/>
  <c r="U3615" i="1"/>
  <c r="U3618" i="1"/>
  <c r="U3621" i="1"/>
  <c r="U3624" i="1"/>
  <c r="U3627" i="1"/>
  <c r="U3673" i="1"/>
  <c r="U3676" i="1"/>
  <c r="U3679" i="1"/>
  <c r="U3682" i="1"/>
  <c r="U3685" i="1"/>
  <c r="U3688" i="1"/>
  <c r="U3691" i="1"/>
  <c r="U3737" i="1"/>
  <c r="U3740" i="1"/>
  <c r="U3743" i="1"/>
  <c r="U3746" i="1"/>
  <c r="U3749" i="1"/>
  <c r="U3752" i="1"/>
  <c r="U3755" i="1"/>
  <c r="U3767" i="1"/>
  <c r="U3775" i="1"/>
  <c r="U3783" i="1"/>
  <c r="U3791" i="1"/>
  <c r="U3799" i="1"/>
  <c r="U3807" i="1"/>
  <c r="U3815" i="1"/>
  <c r="U3823" i="1"/>
  <c r="U3831" i="1"/>
  <c r="U3839" i="1"/>
  <c r="U3847" i="1"/>
  <c r="U3855" i="1"/>
  <c r="U3863" i="1"/>
  <c r="U3871" i="1"/>
  <c r="U3879" i="1"/>
  <c r="U2944" i="1"/>
  <c r="U3001" i="1"/>
  <c r="U3013" i="1"/>
  <c r="U3062" i="1"/>
  <c r="U3074" i="1"/>
  <c r="U3135" i="1"/>
  <c r="U3196" i="1"/>
  <c r="U3208" i="1"/>
  <c r="U3232" i="1"/>
  <c r="U3264" i="1"/>
  <c r="U3280" i="1"/>
  <c r="U3296" i="1"/>
  <c r="U3312" i="1"/>
  <c r="U3317" i="1"/>
  <c r="U3321" i="1"/>
  <c r="U3330" i="1"/>
  <c r="U3355" i="1"/>
  <c r="U3368" i="1"/>
  <c r="U3381" i="1"/>
  <c r="U3385" i="1"/>
  <c r="U3394" i="1"/>
  <c r="U3419" i="1"/>
  <c r="U3432" i="1"/>
  <c r="U3445" i="1"/>
  <c r="U3449" i="1"/>
  <c r="U3458" i="1"/>
  <c r="U3482" i="1"/>
  <c r="U3489" i="1"/>
  <c r="U3496" i="1"/>
  <c r="U3514" i="1"/>
  <c r="U3521" i="1"/>
  <c r="U3524" i="1"/>
  <c r="U3527" i="1"/>
  <c r="U3530" i="1"/>
  <c r="U3533" i="1"/>
  <c r="U3536" i="1"/>
  <c r="U3539" i="1"/>
  <c r="U3585" i="1"/>
  <c r="U3588" i="1"/>
  <c r="U3591" i="1"/>
  <c r="U3594" i="1"/>
  <c r="U3597" i="1"/>
  <c r="U3600" i="1"/>
  <c r="U3603" i="1"/>
  <c r="U3649" i="1"/>
  <c r="U3652" i="1"/>
  <c r="U3655" i="1"/>
  <c r="U3658" i="1"/>
  <c r="U3661" i="1"/>
  <c r="U3664" i="1"/>
  <c r="U3667" i="1"/>
  <c r="U3713" i="1"/>
  <c r="U3716" i="1"/>
  <c r="U3719" i="1"/>
  <c r="U3722" i="1"/>
  <c r="U3725" i="1"/>
  <c r="U3728" i="1"/>
  <c r="U3731" i="1"/>
  <c r="U3770" i="1"/>
  <c r="U3778" i="1"/>
  <c r="U3786" i="1"/>
  <c r="U3794" i="1"/>
  <c r="U3802" i="1"/>
  <c r="U3810" i="1"/>
  <c r="U3818" i="1"/>
  <c r="U3826" i="1"/>
  <c r="U3834" i="1"/>
  <c r="U3842" i="1"/>
  <c r="U3850" i="1"/>
  <c r="U3858" i="1"/>
  <c r="U3866" i="1"/>
  <c r="U3874" i="1"/>
  <c r="U2949" i="1"/>
  <c r="U2967" i="1"/>
  <c r="U3028" i="1"/>
  <c r="U3040" i="1"/>
  <c r="U3089" i="1"/>
  <c r="U3101" i="1"/>
  <c r="U3150" i="1"/>
  <c r="U3162" i="1"/>
  <c r="U3223" i="1"/>
  <c r="U3245" i="1"/>
  <c r="U3265" i="1"/>
  <c r="U3281" i="1"/>
  <c r="U3297" i="1"/>
  <c r="U3313" i="1"/>
  <c r="U3322" i="1"/>
  <c r="U3347" i="1"/>
  <c r="U3360" i="1"/>
  <c r="U3373" i="1"/>
  <c r="U3377" i="1"/>
  <c r="U3386" i="1"/>
  <c r="U3411" i="1"/>
  <c r="U3424" i="1"/>
  <c r="U3437" i="1"/>
  <c r="U3441" i="1"/>
  <c r="U3450" i="1"/>
  <c r="U3475" i="1"/>
  <c r="U3479" i="1"/>
  <c r="U3493" i="1"/>
  <c r="U3507" i="1"/>
  <c r="U3511" i="1"/>
  <c r="U3561" i="1"/>
  <c r="U3564" i="1"/>
  <c r="U3567" i="1"/>
  <c r="U3570" i="1"/>
  <c r="U3573" i="1"/>
  <c r="U3576" i="1"/>
  <c r="U3579" i="1"/>
  <c r="U3625" i="1"/>
  <c r="U3628" i="1"/>
  <c r="U3631" i="1"/>
  <c r="U3634" i="1"/>
  <c r="U3637" i="1"/>
  <c r="U3640" i="1"/>
  <c r="U3643" i="1"/>
  <c r="U3689" i="1"/>
  <c r="U3692" i="1"/>
  <c r="U3695" i="1"/>
  <c r="U3698" i="1"/>
  <c r="U3701" i="1"/>
  <c r="U3704" i="1"/>
  <c r="U3707" i="1"/>
  <c r="U3753" i="1"/>
  <c r="U3756" i="1"/>
  <c r="U3759" i="1"/>
  <c r="U3762" i="1"/>
  <c r="U3765" i="1"/>
  <c r="U3773" i="1"/>
  <c r="U3781" i="1"/>
  <c r="U3789" i="1"/>
  <c r="U3797" i="1"/>
  <c r="U3805" i="1"/>
  <c r="U3813" i="1"/>
  <c r="U3821" i="1"/>
  <c r="U3829" i="1"/>
  <c r="U3837" i="1"/>
  <c r="U3845" i="1"/>
  <c r="U3853" i="1"/>
  <c r="U3861" i="1"/>
  <c r="U3869" i="1"/>
  <c r="U3877" i="1"/>
  <c r="U2928" i="1"/>
  <c r="U3004" i="1"/>
  <c r="U3016" i="1"/>
  <c r="U3065" i="1"/>
  <c r="U3077" i="1"/>
  <c r="U3126" i="1"/>
  <c r="U3138" i="1"/>
  <c r="U3199" i="1"/>
  <c r="U3266" i="1"/>
  <c r="U3282" i="1"/>
  <c r="U3298" i="1"/>
  <c r="U3314" i="1"/>
  <c r="U2933" i="1"/>
  <c r="U2970" i="1"/>
  <c r="U3031" i="1"/>
  <c r="U3092" i="1"/>
  <c r="U3104" i="1"/>
  <c r="U3153" i="1"/>
  <c r="U3165" i="1"/>
  <c r="U3214" i="1"/>
  <c r="U3226" i="1"/>
  <c r="U3237" i="1"/>
  <c r="U3261" i="1"/>
  <c r="U3277" i="1"/>
  <c r="U3293" i="1"/>
  <c r="U3309" i="1"/>
  <c r="U3007" i="1"/>
  <c r="U3068" i="1"/>
  <c r="U3080" i="1"/>
  <c r="U3129" i="1"/>
  <c r="U3141" i="1"/>
  <c r="U3190" i="1"/>
  <c r="U3202" i="1"/>
  <c r="U3248" i="1"/>
  <c r="U3256" i="1"/>
  <c r="U3272" i="1"/>
  <c r="U3288" i="1"/>
  <c r="U3304" i="1"/>
  <c r="U3323" i="1"/>
  <c r="U3336" i="1"/>
  <c r="U3349" i="1"/>
  <c r="U3353" i="1"/>
  <c r="U3362" i="1"/>
  <c r="U3387" i="1"/>
  <c r="U3400" i="1"/>
  <c r="U3413" i="1"/>
  <c r="U3417" i="1"/>
  <c r="U3426" i="1"/>
  <c r="U3451" i="1"/>
  <c r="U3464" i="1"/>
  <c r="U3480" i="1"/>
  <c r="U3498" i="1"/>
  <c r="U3505" i="1"/>
  <c r="U3512" i="1"/>
  <c r="U3553" i="1"/>
  <c r="U3556" i="1"/>
  <c r="U3559" i="1"/>
  <c r="U3562" i="1"/>
  <c r="U3565" i="1"/>
  <c r="U3568" i="1"/>
  <c r="U3571" i="1"/>
  <c r="U3617" i="1"/>
  <c r="U3620" i="1"/>
  <c r="U3623" i="1"/>
  <c r="U3626" i="1"/>
  <c r="U3629" i="1"/>
  <c r="U3632" i="1"/>
  <c r="U3635" i="1"/>
  <c r="U3681" i="1"/>
  <c r="U3684" i="1"/>
  <c r="U3339" i="1"/>
  <c r="U3442" i="1"/>
  <c r="U3490" i="1"/>
  <c r="U3504" i="1"/>
  <c r="U3543" i="1"/>
  <c r="U3555" i="1"/>
  <c r="U3604" i="1"/>
  <c r="U3616" i="1"/>
  <c r="U3665" i="1"/>
  <c r="U3677" i="1"/>
  <c r="U3687" i="1"/>
  <c r="U3700" i="1"/>
  <c r="U3706" i="1"/>
  <c r="U3712" i="1"/>
  <c r="U3761" i="1"/>
  <c r="U3772" i="1"/>
  <c r="U3788" i="1"/>
  <c r="U3804" i="1"/>
  <c r="U3820" i="1"/>
  <c r="U3836" i="1"/>
  <c r="U3852" i="1"/>
  <c r="U3868" i="1"/>
  <c r="U3883" i="1"/>
  <c r="U3908" i="1"/>
  <c r="U3911" i="1"/>
  <c r="U3914" i="1"/>
  <c r="U3917" i="1"/>
  <c r="U3920" i="1"/>
  <c r="U3923" i="1"/>
  <c r="U3926" i="1"/>
  <c r="U3972" i="1"/>
  <c r="U3975" i="1"/>
  <c r="U3978" i="1"/>
  <c r="U3981" i="1"/>
  <c r="U3984" i="1"/>
  <c r="U3987" i="1"/>
  <c r="U3990" i="1"/>
  <c r="U4036" i="1"/>
  <c r="U4039" i="1"/>
  <c r="U4042" i="1"/>
  <c r="U4045" i="1"/>
  <c r="U4048" i="1"/>
  <c r="U4051" i="1"/>
  <c r="U4054" i="1"/>
  <c r="U4100" i="1"/>
  <c r="U4103" i="1"/>
  <c r="U4106" i="1"/>
  <c r="U4109" i="1"/>
  <c r="U4112" i="1"/>
  <c r="U4115" i="1"/>
  <c r="U4118" i="1"/>
  <c r="U4164" i="1"/>
  <c r="U4167" i="1"/>
  <c r="U4170" i="1"/>
  <c r="U4173" i="1"/>
  <c r="U4176" i="1"/>
  <c r="U4179" i="1"/>
  <c r="U4182" i="1"/>
  <c r="U4230" i="1"/>
  <c r="U4238" i="1"/>
  <c r="U4246" i="1"/>
  <c r="U4254" i="1"/>
  <c r="U4262" i="1"/>
  <c r="U4270" i="1"/>
  <c r="U4278" i="1"/>
  <c r="U4286" i="1"/>
  <c r="U4294" i="1"/>
  <c r="U4302" i="1"/>
  <c r="U4310" i="1"/>
  <c r="U4318" i="1"/>
  <c r="U4326" i="1"/>
  <c r="U4334" i="1"/>
  <c r="U4342" i="1"/>
  <c r="U4350" i="1"/>
  <c r="U4358" i="1"/>
  <c r="U4366" i="1"/>
  <c r="U4374" i="1"/>
  <c r="U4382" i="1"/>
  <c r="U4390" i="1"/>
  <c r="U4398" i="1"/>
  <c r="U4406" i="1"/>
  <c r="U4414" i="1"/>
  <c r="U4422" i="1"/>
  <c r="U4430" i="1"/>
  <c r="U4438" i="1"/>
  <c r="U4446" i="1"/>
  <c r="U4454" i="1"/>
  <c r="U4462" i="1"/>
  <c r="U4470" i="1"/>
  <c r="U4478" i="1"/>
  <c r="U4486" i="1"/>
  <c r="U4494" i="1"/>
  <c r="U4502" i="1"/>
  <c r="U4510" i="1"/>
  <c r="U4518" i="1"/>
  <c r="U3357" i="1"/>
  <c r="U3408" i="1"/>
  <c r="U3425" i="1"/>
  <c r="U3459" i="1"/>
  <c r="U3519" i="1"/>
  <c r="U3531" i="1"/>
  <c r="U3580" i="1"/>
  <c r="U3592" i="1"/>
  <c r="U3641" i="1"/>
  <c r="U3653" i="1"/>
  <c r="U3732" i="1"/>
  <c r="U3738" i="1"/>
  <c r="U3744" i="1"/>
  <c r="U3768" i="1"/>
  <c r="U3784" i="1"/>
  <c r="U3800" i="1"/>
  <c r="U3816" i="1"/>
  <c r="U3832" i="1"/>
  <c r="U3848" i="1"/>
  <c r="U3864" i="1"/>
  <c r="U3880" i="1"/>
  <c r="U3887" i="1"/>
  <c r="U3890" i="1"/>
  <c r="U3893" i="1"/>
  <c r="U3896" i="1"/>
  <c r="U3899" i="1"/>
  <c r="U3902" i="1"/>
  <c r="U3948" i="1"/>
  <c r="U3951" i="1"/>
  <c r="U3954" i="1"/>
  <c r="U3957" i="1"/>
  <c r="U3960" i="1"/>
  <c r="U3963" i="1"/>
  <c r="U3966" i="1"/>
  <c r="U4012" i="1"/>
  <c r="U4015" i="1"/>
  <c r="U4018" i="1"/>
  <c r="U4021" i="1"/>
  <c r="U4024" i="1"/>
  <c r="U4027" i="1"/>
  <c r="U4030" i="1"/>
  <c r="U4076" i="1"/>
  <c r="U4079" i="1"/>
  <c r="U4082" i="1"/>
  <c r="U4085" i="1"/>
  <c r="U4088" i="1"/>
  <c r="U4091" i="1"/>
  <c r="U4094" i="1"/>
  <c r="U4140" i="1"/>
  <c r="U4143" i="1"/>
  <c r="U4146" i="1"/>
  <c r="U4149" i="1"/>
  <c r="U4152" i="1"/>
  <c r="U4155" i="1"/>
  <c r="U4158" i="1"/>
  <c r="U4204" i="1"/>
  <c r="U4207" i="1"/>
  <c r="U4210" i="1"/>
  <c r="U4213" i="1"/>
  <c r="U4216" i="1"/>
  <c r="U4219" i="1"/>
  <c r="U4222" i="1"/>
  <c r="U4225" i="1"/>
  <c r="U4233" i="1"/>
  <c r="U4241" i="1"/>
  <c r="U4249" i="1"/>
  <c r="U4257" i="1"/>
  <c r="U4265" i="1"/>
  <c r="U4273" i="1"/>
  <c r="U4281" i="1"/>
  <c r="U4289" i="1"/>
  <c r="U4297" i="1"/>
  <c r="U4305" i="1"/>
  <c r="U4313" i="1"/>
  <c r="U4321" i="1"/>
  <c r="U4329" i="1"/>
  <c r="U4337" i="1"/>
  <c r="U4345" i="1"/>
  <c r="U4353" i="1"/>
  <c r="U4361" i="1"/>
  <c r="U4369" i="1"/>
  <c r="U4377" i="1"/>
  <c r="U4385" i="1"/>
  <c r="U4393" i="1"/>
  <c r="U4401" i="1"/>
  <c r="U4409" i="1"/>
  <c r="U4417" i="1"/>
  <c r="U4425" i="1"/>
  <c r="U4433" i="1"/>
  <c r="U4441" i="1"/>
  <c r="U4449" i="1"/>
  <c r="U4457" i="1"/>
  <c r="U4465" i="1"/>
  <c r="U4473" i="1"/>
  <c r="U4481" i="1"/>
  <c r="U4489" i="1"/>
  <c r="U4497" i="1"/>
  <c r="U4505" i="1"/>
  <c r="U4513" i="1"/>
  <c r="U3378" i="1"/>
  <c r="U3429" i="1"/>
  <c r="U3546" i="1"/>
  <c r="U3607" i="1"/>
  <c r="U3619" i="1"/>
  <c r="U3668" i="1"/>
  <c r="U3680" i="1"/>
  <c r="U3708" i="1"/>
  <c r="U3714" i="1"/>
  <c r="U3720" i="1"/>
  <c r="U3779" i="1"/>
  <c r="U3795" i="1"/>
  <c r="U3811" i="1"/>
  <c r="U3827" i="1"/>
  <c r="U3843" i="1"/>
  <c r="U3859" i="1"/>
  <c r="U3875" i="1"/>
  <c r="U3884" i="1"/>
  <c r="U3924" i="1"/>
  <c r="U3927" i="1"/>
  <c r="U3930" i="1"/>
  <c r="U3933" i="1"/>
  <c r="U3936" i="1"/>
  <c r="U3939" i="1"/>
  <c r="U3942" i="1"/>
  <c r="U3988" i="1"/>
  <c r="U3991" i="1"/>
  <c r="U3994" i="1"/>
  <c r="U3997" i="1"/>
  <c r="U4000" i="1"/>
  <c r="U4003" i="1"/>
  <c r="U4006" i="1"/>
  <c r="U4052" i="1"/>
  <c r="U4055" i="1"/>
  <c r="U4058" i="1"/>
  <c r="U4061" i="1"/>
  <c r="U4064" i="1"/>
  <c r="U4067" i="1"/>
  <c r="U4070" i="1"/>
  <c r="U4116" i="1"/>
  <c r="U4119" i="1"/>
  <c r="U4122" i="1"/>
  <c r="U4125" i="1"/>
  <c r="U4128" i="1"/>
  <c r="U4131" i="1"/>
  <c r="U4134" i="1"/>
  <c r="U4180" i="1"/>
  <c r="U4183" i="1"/>
  <c r="U4186" i="1"/>
  <c r="U4189" i="1"/>
  <c r="U4192" i="1"/>
  <c r="U4195" i="1"/>
  <c r="U4198" i="1"/>
  <c r="U4228" i="1"/>
  <c r="U4236" i="1"/>
  <c r="U4244" i="1"/>
  <c r="U4252" i="1"/>
  <c r="U4260" i="1"/>
  <c r="U4268" i="1"/>
  <c r="U4276" i="1"/>
  <c r="U4284" i="1"/>
  <c r="U3344" i="1"/>
  <c r="U3361" i="1"/>
  <c r="U3395" i="1"/>
  <c r="U3522" i="1"/>
  <c r="U3583" i="1"/>
  <c r="U3595" i="1"/>
  <c r="U3644" i="1"/>
  <c r="U3656" i="1"/>
  <c r="U3690" i="1"/>
  <c r="U3696" i="1"/>
  <c r="U3745" i="1"/>
  <c r="U3751" i="1"/>
  <c r="U3757" i="1"/>
  <c r="U3763" i="1"/>
  <c r="U3774" i="1"/>
  <c r="U3790" i="1"/>
  <c r="U3806" i="1"/>
  <c r="U3822" i="1"/>
  <c r="U3838" i="1"/>
  <c r="U3854" i="1"/>
  <c r="U3870" i="1"/>
  <c r="U3900" i="1"/>
  <c r="U3903" i="1"/>
  <c r="U3906" i="1"/>
  <c r="U3909" i="1"/>
  <c r="U3912" i="1"/>
  <c r="U3915" i="1"/>
  <c r="U3918" i="1"/>
  <c r="U3964" i="1"/>
  <c r="U3967" i="1"/>
  <c r="U3970" i="1"/>
  <c r="U3973" i="1"/>
  <c r="U3976" i="1"/>
  <c r="U3979" i="1"/>
  <c r="U3982" i="1"/>
  <c r="U4028" i="1"/>
  <c r="U4031" i="1"/>
  <c r="U4034" i="1"/>
  <c r="U4037" i="1"/>
  <c r="U4040" i="1"/>
  <c r="U4043" i="1"/>
  <c r="U4046" i="1"/>
  <c r="U4092" i="1"/>
  <c r="U4095" i="1"/>
  <c r="U4098" i="1"/>
  <c r="U4101" i="1"/>
  <c r="U4104" i="1"/>
  <c r="U4107" i="1"/>
  <c r="U4110" i="1"/>
  <c r="U4156" i="1"/>
  <c r="U4159" i="1"/>
  <c r="U4162" i="1"/>
  <c r="U4165" i="1"/>
  <c r="U4168" i="1"/>
  <c r="U4171" i="1"/>
  <c r="U4174" i="1"/>
  <c r="U4220" i="1"/>
  <c r="U4223" i="1"/>
  <c r="U4231" i="1"/>
  <c r="U4239" i="1"/>
  <c r="U4247" i="1"/>
  <c r="U4255" i="1"/>
  <c r="U4263" i="1"/>
  <c r="U4271" i="1"/>
  <c r="U4279" i="1"/>
  <c r="U4287" i="1"/>
  <c r="U3365" i="1"/>
  <c r="U3416" i="1"/>
  <c r="U3433" i="1"/>
  <c r="U3467" i="1"/>
  <c r="U3497" i="1"/>
  <c r="U3537" i="1"/>
  <c r="U3549" i="1"/>
  <c r="U3610" i="1"/>
  <c r="U3671" i="1"/>
  <c r="U3683" i="1"/>
  <c r="U3697" i="1"/>
  <c r="U3703" i="1"/>
  <c r="U3709" i="1"/>
  <c r="U3715" i="1"/>
  <c r="U3764" i="1"/>
  <c r="U3780" i="1"/>
  <c r="U3796" i="1"/>
  <c r="U3812" i="1"/>
  <c r="U3828" i="1"/>
  <c r="U3844" i="1"/>
  <c r="U3860" i="1"/>
  <c r="U3876" i="1"/>
  <c r="U3885" i="1"/>
  <c r="U3888" i="1"/>
  <c r="U3891" i="1"/>
  <c r="U3894" i="1"/>
  <c r="U3940" i="1"/>
  <c r="U3943" i="1"/>
  <c r="U3946" i="1"/>
  <c r="U3949" i="1"/>
  <c r="U3952" i="1"/>
  <c r="U3955" i="1"/>
  <c r="U3958" i="1"/>
  <c r="U4004" i="1"/>
  <c r="U4007" i="1"/>
  <c r="U4010" i="1"/>
  <c r="U4013" i="1"/>
  <c r="U4016" i="1"/>
  <c r="U4019" i="1"/>
  <c r="U4022" i="1"/>
  <c r="U4068" i="1"/>
  <c r="U4071" i="1"/>
  <c r="U4074" i="1"/>
  <c r="U4077" i="1"/>
  <c r="U4080" i="1"/>
  <c r="U4083" i="1"/>
  <c r="U4086" i="1"/>
  <c r="U4132" i="1"/>
  <c r="U4135" i="1"/>
  <c r="U4138" i="1"/>
  <c r="U4141" i="1"/>
  <c r="U4144" i="1"/>
  <c r="U4147" i="1"/>
  <c r="U4150" i="1"/>
  <c r="U4196" i="1"/>
  <c r="U4199" i="1"/>
  <c r="U4202" i="1"/>
  <c r="U4205" i="1"/>
  <c r="U4208" i="1"/>
  <c r="U4211" i="1"/>
  <c r="U4214" i="1"/>
  <c r="U4226" i="1"/>
  <c r="U4234" i="1"/>
  <c r="U4242" i="1"/>
  <c r="U4250" i="1"/>
  <c r="U4258" i="1"/>
  <c r="U4266" i="1"/>
  <c r="U4274" i="1"/>
  <c r="U4282" i="1"/>
  <c r="U4290" i="1"/>
  <c r="U3331" i="1"/>
  <c r="U3434" i="1"/>
  <c r="U3483" i="1"/>
  <c r="U3525" i="1"/>
  <c r="U3586" i="1"/>
  <c r="U3647" i="1"/>
  <c r="U3659" i="1"/>
  <c r="U3729" i="1"/>
  <c r="U3735" i="1"/>
  <c r="U3741" i="1"/>
  <c r="U3747" i="1"/>
  <c r="U3352" i="1"/>
  <c r="U3369" i="1"/>
  <c r="U3403" i="1"/>
  <c r="U3540" i="1"/>
  <c r="U3552" i="1"/>
  <c r="U3601" i="1"/>
  <c r="U3613" i="1"/>
  <c r="U3674" i="1"/>
  <c r="U3705" i="1"/>
  <c r="U3711" i="1"/>
  <c r="U3717" i="1"/>
  <c r="U3723" i="1"/>
  <c r="U3771" i="1"/>
  <c r="U3787" i="1"/>
  <c r="U3803" i="1"/>
  <c r="U3819" i="1"/>
  <c r="U3835" i="1"/>
  <c r="U3851" i="1"/>
  <c r="U3867" i="1"/>
  <c r="U3892" i="1"/>
  <c r="U3895" i="1"/>
  <c r="U3898" i="1"/>
  <c r="U3901" i="1"/>
  <c r="U3904" i="1"/>
  <c r="U3907" i="1"/>
  <c r="U3910" i="1"/>
  <c r="U3956" i="1"/>
  <c r="U3959" i="1"/>
  <c r="U3962" i="1"/>
  <c r="U3965" i="1"/>
  <c r="U3968" i="1"/>
  <c r="U3971" i="1"/>
  <c r="U3974" i="1"/>
  <c r="U4020" i="1"/>
  <c r="U4023" i="1"/>
  <c r="U4026" i="1"/>
  <c r="U4029" i="1"/>
  <c r="U4032" i="1"/>
  <c r="U4035" i="1"/>
  <c r="U4038" i="1"/>
  <c r="U4084" i="1"/>
  <c r="U4087" i="1"/>
  <c r="U4090" i="1"/>
  <c r="U4093" i="1"/>
  <c r="U4096" i="1"/>
  <c r="U4099" i="1"/>
  <c r="U4102" i="1"/>
  <c r="U4148" i="1"/>
  <c r="U4151" i="1"/>
  <c r="U4154" i="1"/>
  <c r="U4157" i="1"/>
  <c r="U4160" i="1"/>
  <c r="U4163" i="1"/>
  <c r="U4166" i="1"/>
  <c r="U4212" i="1"/>
  <c r="U4215" i="1"/>
  <c r="U3472" i="1"/>
  <c r="U3577" i="1"/>
  <c r="U3766" i="1"/>
  <c r="U3830" i="1"/>
  <c r="U3938" i="1"/>
  <c r="U3950" i="1"/>
  <c r="U3999" i="1"/>
  <c r="U4011" i="1"/>
  <c r="U4060" i="1"/>
  <c r="U4072" i="1"/>
  <c r="U4133" i="1"/>
  <c r="U4194" i="1"/>
  <c r="U4206" i="1"/>
  <c r="U4218" i="1"/>
  <c r="U4240" i="1"/>
  <c r="U4269" i="1"/>
  <c r="U4275" i="1"/>
  <c r="U4301" i="1"/>
  <c r="U4315" i="1"/>
  <c r="U4319" i="1"/>
  <c r="U4333" i="1"/>
  <c r="U4347" i="1"/>
  <c r="U4351" i="1"/>
  <c r="U4365" i="1"/>
  <c r="U4379" i="1"/>
  <c r="U4383" i="1"/>
  <c r="U4397" i="1"/>
  <c r="U4411" i="1"/>
  <c r="U4415" i="1"/>
  <c r="U4429" i="1"/>
  <c r="U4443" i="1"/>
  <c r="U4447" i="1"/>
  <c r="U4461" i="1"/>
  <c r="U4475" i="1"/>
  <c r="U4479" i="1"/>
  <c r="U4493" i="1"/>
  <c r="U4507" i="1"/>
  <c r="U4511" i="1"/>
  <c r="U4523" i="1"/>
  <c r="U4531" i="1"/>
  <c r="U4539" i="1"/>
  <c r="U4547" i="1"/>
  <c r="U4555" i="1"/>
  <c r="U4563" i="1"/>
  <c r="U4571" i="1"/>
  <c r="U4579" i="1"/>
  <c r="U4587" i="1"/>
  <c r="U4595" i="1"/>
  <c r="U4603" i="1"/>
  <c r="U4611" i="1"/>
  <c r="U4619" i="1"/>
  <c r="U4627" i="1"/>
  <c r="U4635" i="1"/>
  <c r="U4643" i="1"/>
  <c r="U4651" i="1"/>
  <c r="U4659" i="1"/>
  <c r="U4667" i="1"/>
  <c r="U4675" i="1"/>
  <c r="U4683" i="1"/>
  <c r="U4691" i="1"/>
  <c r="U4699" i="1"/>
  <c r="U4707" i="1"/>
  <c r="U4715" i="1"/>
  <c r="U4723" i="1"/>
  <c r="U4731" i="1"/>
  <c r="U4739" i="1"/>
  <c r="U4747" i="1"/>
  <c r="U4755" i="1"/>
  <c r="U4763" i="1"/>
  <c r="U4771" i="1"/>
  <c r="U4779" i="1"/>
  <c r="U4787" i="1"/>
  <c r="U4795" i="1"/>
  <c r="U4803" i="1"/>
  <c r="U4811" i="1"/>
  <c r="U4819" i="1"/>
  <c r="U4827" i="1"/>
  <c r="U4835" i="1"/>
  <c r="U4843" i="1"/>
  <c r="U4851" i="1"/>
  <c r="U4859" i="1"/>
  <c r="U4867" i="1"/>
  <c r="U4875" i="1"/>
  <c r="U4883" i="1"/>
  <c r="U4891" i="1"/>
  <c r="U4899" i="1"/>
  <c r="U4907" i="1"/>
  <c r="U4915" i="1"/>
  <c r="U4923" i="1"/>
  <c r="U4931" i="1"/>
  <c r="U4939" i="1"/>
  <c r="U4947" i="1"/>
  <c r="U4955" i="1"/>
  <c r="U4963" i="1"/>
  <c r="U4971" i="1"/>
  <c r="U4979" i="1"/>
  <c r="U4987" i="1"/>
  <c r="U4995" i="1"/>
  <c r="U5003" i="1"/>
  <c r="U5011" i="1"/>
  <c r="U5019" i="1"/>
  <c r="U5027" i="1"/>
  <c r="U5035" i="1"/>
  <c r="U5043" i="1"/>
  <c r="U5051" i="1"/>
  <c r="U5059" i="1"/>
  <c r="U5067" i="1"/>
  <c r="U5075" i="1"/>
  <c r="U5083" i="1"/>
  <c r="U5091" i="1"/>
  <c r="U5099" i="1"/>
  <c r="U5107" i="1"/>
  <c r="U5115" i="1"/>
  <c r="U5123" i="1"/>
  <c r="U5131" i="1"/>
  <c r="U5139" i="1"/>
  <c r="U5147" i="1"/>
  <c r="U5155" i="1"/>
  <c r="U5163" i="1"/>
  <c r="U5171" i="1"/>
  <c r="U5179" i="1"/>
  <c r="U5187" i="1"/>
  <c r="U5195" i="1"/>
  <c r="U5203" i="1"/>
  <c r="U5211" i="1"/>
  <c r="U5219" i="1"/>
  <c r="U5227" i="1"/>
  <c r="U5235" i="1"/>
  <c r="U5243" i="1"/>
  <c r="U5251" i="1"/>
  <c r="U5259" i="1"/>
  <c r="U5267" i="1"/>
  <c r="U5275" i="1"/>
  <c r="U5283" i="1"/>
  <c r="U5291" i="1"/>
  <c r="U5299" i="1"/>
  <c r="U5307" i="1"/>
  <c r="U5315" i="1"/>
  <c r="U5323" i="1"/>
  <c r="U5331" i="1"/>
  <c r="U5339" i="1"/>
  <c r="U5347" i="1"/>
  <c r="U5355" i="1"/>
  <c r="U5363" i="1"/>
  <c r="U5371" i="1"/>
  <c r="U5379" i="1"/>
  <c r="U5387" i="1"/>
  <c r="U5395" i="1"/>
  <c r="U5403" i="1"/>
  <c r="U5411" i="1"/>
  <c r="U5419" i="1"/>
  <c r="U5427" i="1"/>
  <c r="U5435" i="1"/>
  <c r="U5443" i="1"/>
  <c r="U5451" i="1"/>
  <c r="U5459" i="1"/>
  <c r="U5467" i="1"/>
  <c r="U5475" i="1"/>
  <c r="U5483" i="1"/>
  <c r="U5491" i="1"/>
  <c r="U5499" i="1"/>
  <c r="U3487" i="1"/>
  <c r="U3589" i="1"/>
  <c r="U3792" i="1"/>
  <c r="U3856" i="1"/>
  <c r="U3916" i="1"/>
  <c r="U3928" i="1"/>
  <c r="U3989" i="1"/>
  <c r="U4050" i="1"/>
  <c r="U4062" i="1"/>
  <c r="U4111" i="1"/>
  <c r="U4123" i="1"/>
  <c r="U4172" i="1"/>
  <c r="U4184" i="1"/>
  <c r="U4248" i="1"/>
  <c r="U4277" i="1"/>
  <c r="U4283" i="1"/>
  <c r="U4298" i="1"/>
  <c r="U4312" i="1"/>
  <c r="U4316" i="1"/>
  <c r="U4330" i="1"/>
  <c r="U4344" i="1"/>
  <c r="U4348" i="1"/>
  <c r="U4362" i="1"/>
  <c r="U4376" i="1"/>
  <c r="U4380" i="1"/>
  <c r="U4394" i="1"/>
  <c r="U4408" i="1"/>
  <c r="U4412" i="1"/>
  <c r="U4426" i="1"/>
  <c r="U4440" i="1"/>
  <c r="U4444" i="1"/>
  <c r="U4458" i="1"/>
  <c r="U4472" i="1"/>
  <c r="U4476" i="1"/>
  <c r="U4490" i="1"/>
  <c r="U4504" i="1"/>
  <c r="U4508" i="1"/>
  <c r="U4526" i="1"/>
  <c r="U4534" i="1"/>
  <c r="U4542" i="1"/>
  <c r="U4550" i="1"/>
  <c r="U4558" i="1"/>
  <c r="U4566" i="1"/>
  <c r="U4574" i="1"/>
  <c r="U4582" i="1"/>
  <c r="U4590" i="1"/>
  <c r="U4598" i="1"/>
  <c r="U4606" i="1"/>
  <c r="U4614" i="1"/>
  <c r="U4622" i="1"/>
  <c r="U4630" i="1"/>
  <c r="U4638" i="1"/>
  <c r="U4646" i="1"/>
  <c r="U4654" i="1"/>
  <c r="U4662" i="1"/>
  <c r="U4670" i="1"/>
  <c r="U4678" i="1"/>
  <c r="U4686" i="1"/>
  <c r="U4694" i="1"/>
  <c r="U4702" i="1"/>
  <c r="U4710" i="1"/>
  <c r="U4718" i="1"/>
  <c r="U4726" i="1"/>
  <c r="U4734" i="1"/>
  <c r="U4742" i="1"/>
  <c r="U4750" i="1"/>
  <c r="U4758" i="1"/>
  <c r="U4766" i="1"/>
  <c r="U4774" i="1"/>
  <c r="U4782" i="1"/>
  <c r="U4790" i="1"/>
  <c r="U4798" i="1"/>
  <c r="U4806" i="1"/>
  <c r="U4814" i="1"/>
  <c r="U4822" i="1"/>
  <c r="U4830" i="1"/>
  <c r="U4838" i="1"/>
  <c r="U4846" i="1"/>
  <c r="U4854" i="1"/>
  <c r="U4862" i="1"/>
  <c r="U4870" i="1"/>
  <c r="U4878" i="1"/>
  <c r="U4886" i="1"/>
  <c r="U4894" i="1"/>
  <c r="U4902" i="1"/>
  <c r="U3370" i="1"/>
  <c r="U3501" i="1"/>
  <c r="U3693" i="1"/>
  <c r="U3814" i="1"/>
  <c r="U3878" i="1"/>
  <c r="U3941" i="1"/>
  <c r="U4002" i="1"/>
  <c r="U4014" i="1"/>
  <c r="U4063" i="1"/>
  <c r="U4075" i="1"/>
  <c r="U4124" i="1"/>
  <c r="U4136" i="1"/>
  <c r="U4197" i="1"/>
  <c r="U4227" i="1"/>
  <c r="U4256" i="1"/>
  <c r="U4285" i="1"/>
  <c r="U4309" i="1"/>
  <c r="U4323" i="1"/>
  <c r="U4327" i="1"/>
  <c r="U4341" i="1"/>
  <c r="U4355" i="1"/>
  <c r="U4359" i="1"/>
  <c r="U4373" i="1"/>
  <c r="U4387" i="1"/>
  <c r="U4391" i="1"/>
  <c r="U4405" i="1"/>
  <c r="U4419" i="1"/>
  <c r="U4423" i="1"/>
  <c r="U4437" i="1"/>
  <c r="U4451" i="1"/>
  <c r="U4455" i="1"/>
  <c r="U4469" i="1"/>
  <c r="U4483" i="1"/>
  <c r="U4487" i="1"/>
  <c r="U4501" i="1"/>
  <c r="U4515" i="1"/>
  <c r="U4521" i="1"/>
  <c r="U4529" i="1"/>
  <c r="U4537" i="1"/>
  <c r="U4545" i="1"/>
  <c r="U4553" i="1"/>
  <c r="U4561" i="1"/>
  <c r="U4569" i="1"/>
  <c r="U4577" i="1"/>
  <c r="U4585" i="1"/>
  <c r="U4593" i="1"/>
  <c r="U4601" i="1"/>
  <c r="U4609" i="1"/>
  <c r="U4617" i="1"/>
  <c r="U4625" i="1"/>
  <c r="U4633" i="1"/>
  <c r="U4641" i="1"/>
  <c r="U4649" i="1"/>
  <c r="U4657" i="1"/>
  <c r="U4665" i="1"/>
  <c r="U4673" i="1"/>
  <c r="U4681" i="1"/>
  <c r="U4689" i="1"/>
  <c r="U4697" i="1"/>
  <c r="U4705" i="1"/>
  <c r="U4713" i="1"/>
  <c r="U4721" i="1"/>
  <c r="U4729" i="1"/>
  <c r="U4737" i="1"/>
  <c r="U4745" i="1"/>
  <c r="U4753" i="1"/>
  <c r="U4761" i="1"/>
  <c r="U4769" i="1"/>
  <c r="U4777" i="1"/>
  <c r="U4785" i="1"/>
  <c r="U4793" i="1"/>
  <c r="U4801" i="1"/>
  <c r="U4809" i="1"/>
  <c r="U4817" i="1"/>
  <c r="U4825" i="1"/>
  <c r="U4833" i="1"/>
  <c r="U4841" i="1"/>
  <c r="U4849" i="1"/>
  <c r="U4857" i="1"/>
  <c r="U4865" i="1"/>
  <c r="U4873" i="1"/>
  <c r="U4881" i="1"/>
  <c r="U4889" i="1"/>
  <c r="U4897" i="1"/>
  <c r="U4905" i="1"/>
  <c r="U4913" i="1"/>
  <c r="U4921" i="1"/>
  <c r="U4929" i="1"/>
  <c r="U4937" i="1"/>
  <c r="U4945" i="1"/>
  <c r="U4953" i="1"/>
  <c r="U4961" i="1"/>
  <c r="U4969" i="1"/>
  <c r="U4977" i="1"/>
  <c r="U4985" i="1"/>
  <c r="U4993" i="1"/>
  <c r="U5001" i="1"/>
  <c r="U5009" i="1"/>
  <c r="U5017" i="1"/>
  <c r="U5025" i="1"/>
  <c r="U5033" i="1"/>
  <c r="U5041" i="1"/>
  <c r="U5049" i="1"/>
  <c r="U5057" i="1"/>
  <c r="U5065" i="1"/>
  <c r="U3515" i="1"/>
  <c r="U3699" i="1"/>
  <c r="U3748" i="1"/>
  <c r="U3776" i="1"/>
  <c r="U3840" i="1"/>
  <c r="U3882" i="1"/>
  <c r="U3919" i="1"/>
  <c r="U3931" i="1"/>
  <c r="U3980" i="1"/>
  <c r="U3992" i="1"/>
  <c r="U4053" i="1"/>
  <c r="U4114" i="1"/>
  <c r="U4126" i="1"/>
  <c r="U4175" i="1"/>
  <c r="U4187" i="1"/>
  <c r="U4221" i="1"/>
  <c r="U4229" i="1"/>
  <c r="U4235" i="1"/>
  <c r="U4264" i="1"/>
  <c r="U4295" i="1"/>
  <c r="U4306" i="1"/>
  <c r="U4320" i="1"/>
  <c r="U4324" i="1"/>
  <c r="U4338" i="1"/>
  <c r="U4352" i="1"/>
  <c r="U4356" i="1"/>
  <c r="U4370" i="1"/>
  <c r="U4384" i="1"/>
  <c r="U4388" i="1"/>
  <c r="U4402" i="1"/>
  <c r="U4416" i="1"/>
  <c r="U4420" i="1"/>
  <c r="U4434" i="1"/>
  <c r="U4448" i="1"/>
  <c r="U4452" i="1"/>
  <c r="U4466" i="1"/>
  <c r="U4480" i="1"/>
  <c r="U4484" i="1"/>
  <c r="U4498" i="1"/>
  <c r="U4512" i="1"/>
  <c r="U4524" i="1"/>
  <c r="U4532" i="1"/>
  <c r="U4540" i="1"/>
  <c r="U4548" i="1"/>
  <c r="U4556" i="1"/>
  <c r="U4564" i="1"/>
  <c r="U4572" i="1"/>
  <c r="U4580" i="1"/>
  <c r="U4588" i="1"/>
  <c r="U4596" i="1"/>
  <c r="U4604" i="1"/>
  <c r="U4612" i="1"/>
  <c r="U4620" i="1"/>
  <c r="U4628" i="1"/>
  <c r="U4636" i="1"/>
  <c r="U4644" i="1"/>
  <c r="U4652" i="1"/>
  <c r="U4660" i="1"/>
  <c r="U4668" i="1"/>
  <c r="U4676" i="1"/>
  <c r="U4684" i="1"/>
  <c r="U4692" i="1"/>
  <c r="U4700" i="1"/>
  <c r="U4708" i="1"/>
  <c r="U4716" i="1"/>
  <c r="U4724" i="1"/>
  <c r="U4732" i="1"/>
  <c r="U4740" i="1"/>
  <c r="U4748" i="1"/>
  <c r="U4756" i="1"/>
  <c r="U4764" i="1"/>
  <c r="U4772" i="1"/>
  <c r="U4780" i="1"/>
  <c r="U4788" i="1"/>
  <c r="U4796" i="1"/>
  <c r="U4804" i="1"/>
  <c r="U4812" i="1"/>
  <c r="U4820" i="1"/>
  <c r="U4828" i="1"/>
  <c r="U4836" i="1"/>
  <c r="U4844" i="1"/>
  <c r="U4852" i="1"/>
  <c r="U4860" i="1"/>
  <c r="U4868" i="1"/>
  <c r="U4876" i="1"/>
  <c r="U4884" i="1"/>
  <c r="U4892" i="1"/>
  <c r="U4900" i="1"/>
  <c r="U4908" i="1"/>
  <c r="U4916" i="1"/>
  <c r="U4924" i="1"/>
  <c r="U4932" i="1"/>
  <c r="U4940" i="1"/>
  <c r="U4948" i="1"/>
  <c r="U4956" i="1"/>
  <c r="U4964" i="1"/>
  <c r="U4972" i="1"/>
  <c r="U4980" i="1"/>
  <c r="U4988" i="1"/>
  <c r="U4996" i="1"/>
  <c r="U5004" i="1"/>
  <c r="U5012" i="1"/>
  <c r="U5020" i="1"/>
  <c r="U5028" i="1"/>
  <c r="U5036" i="1"/>
  <c r="U5044" i="1"/>
  <c r="U5052" i="1"/>
  <c r="U5060" i="1"/>
  <c r="U3528" i="1"/>
  <c r="U3754" i="1"/>
  <c r="U3798" i="1"/>
  <c r="U3862" i="1"/>
  <c r="U3932" i="1"/>
  <c r="U3944" i="1"/>
  <c r="U4005" i="1"/>
  <c r="U4066" i="1"/>
  <c r="U4078" i="1"/>
  <c r="U4127" i="1"/>
  <c r="U4139" i="1"/>
  <c r="U4188" i="1"/>
  <c r="U4200" i="1"/>
  <c r="U4237" i="1"/>
  <c r="U4243" i="1"/>
  <c r="U4272" i="1"/>
  <c r="U4291" i="1"/>
  <c r="U4299" i="1"/>
  <c r="U4303" i="1"/>
  <c r="U4317" i="1"/>
  <c r="U4331" i="1"/>
  <c r="U4335" i="1"/>
  <c r="U4349" i="1"/>
  <c r="U4363" i="1"/>
  <c r="U4367" i="1"/>
  <c r="U4381" i="1"/>
  <c r="U4395" i="1"/>
  <c r="U4399" i="1"/>
  <c r="U4413" i="1"/>
  <c r="U4427" i="1"/>
  <c r="U4431" i="1"/>
  <c r="U4445" i="1"/>
  <c r="U4459" i="1"/>
  <c r="U4463" i="1"/>
  <c r="U4477" i="1"/>
  <c r="U4491" i="1"/>
  <c r="U4495" i="1"/>
  <c r="U4509" i="1"/>
  <c r="U4516" i="1"/>
  <c r="U4519" i="1"/>
  <c r="U4527" i="1"/>
  <c r="U4535" i="1"/>
  <c r="U4543" i="1"/>
  <c r="U4551" i="1"/>
  <c r="U4559" i="1"/>
  <c r="U4567" i="1"/>
  <c r="U4575" i="1"/>
  <c r="U4583" i="1"/>
  <c r="U4591" i="1"/>
  <c r="U4599" i="1"/>
  <c r="U4607" i="1"/>
  <c r="U4615" i="1"/>
  <c r="U4623" i="1"/>
  <c r="U4631" i="1"/>
  <c r="U4639" i="1"/>
  <c r="U4647" i="1"/>
  <c r="U4655" i="1"/>
  <c r="U4663" i="1"/>
  <c r="U4671" i="1"/>
  <c r="U4679" i="1"/>
  <c r="U4687" i="1"/>
  <c r="U4695" i="1"/>
  <c r="U4703" i="1"/>
  <c r="U4711" i="1"/>
  <c r="U4719" i="1"/>
  <c r="U4727" i="1"/>
  <c r="U4735" i="1"/>
  <c r="U4743" i="1"/>
  <c r="U4751" i="1"/>
  <c r="U4759" i="1"/>
  <c r="U4767" i="1"/>
  <c r="U4775" i="1"/>
  <c r="U4783" i="1"/>
  <c r="U4791" i="1"/>
  <c r="U4799" i="1"/>
  <c r="U4807" i="1"/>
  <c r="U4815" i="1"/>
  <c r="U4823" i="1"/>
  <c r="U4831" i="1"/>
  <c r="U4839" i="1"/>
  <c r="U4847" i="1"/>
  <c r="U4855" i="1"/>
  <c r="U4863" i="1"/>
  <c r="U4871" i="1"/>
  <c r="U4879" i="1"/>
  <c r="U4887" i="1"/>
  <c r="U4895" i="1"/>
  <c r="U4903" i="1"/>
  <c r="U4911" i="1"/>
  <c r="U4919" i="1"/>
  <c r="U4927" i="1"/>
  <c r="U4935" i="1"/>
  <c r="U4943" i="1"/>
  <c r="U4951" i="1"/>
  <c r="U4959" i="1"/>
  <c r="U4967" i="1"/>
  <c r="U4975" i="1"/>
  <c r="U4983" i="1"/>
  <c r="U4991" i="1"/>
  <c r="U4999" i="1"/>
  <c r="U5007" i="1"/>
  <c r="U5015" i="1"/>
  <c r="U5023" i="1"/>
  <c r="U5031" i="1"/>
  <c r="U5039" i="1"/>
  <c r="U5047" i="1"/>
  <c r="U5055" i="1"/>
  <c r="U5063" i="1"/>
  <c r="U5071" i="1"/>
  <c r="U3421" i="1"/>
  <c r="U3824" i="1"/>
  <c r="U3922" i="1"/>
  <c r="U3934" i="1"/>
  <c r="U3983" i="1"/>
  <c r="U3995" i="1"/>
  <c r="U4044" i="1"/>
  <c r="U4056" i="1"/>
  <c r="U4117" i="1"/>
  <c r="U4178" i="1"/>
  <c r="U4190" i="1"/>
  <c r="U4245" i="1"/>
  <c r="U4251" i="1"/>
  <c r="U4280" i="1"/>
  <c r="U4292" i="1"/>
  <c r="U4296" i="1"/>
  <c r="U4300" i="1"/>
  <c r="U4314" i="1"/>
  <c r="U4328" i="1"/>
  <c r="U4332" i="1"/>
  <c r="U4346" i="1"/>
  <c r="U4360" i="1"/>
  <c r="U4364" i="1"/>
  <c r="U4378" i="1"/>
  <c r="U4392" i="1"/>
  <c r="U4396" i="1"/>
  <c r="U4410" i="1"/>
  <c r="U3650" i="1"/>
  <c r="U3760" i="1"/>
  <c r="U3782" i="1"/>
  <c r="U3846" i="1"/>
  <c r="U3886" i="1"/>
  <c r="U3935" i="1"/>
  <c r="U3947" i="1"/>
  <c r="U3996" i="1"/>
  <c r="U4008" i="1"/>
  <c r="U4069" i="1"/>
  <c r="U4130" i="1"/>
  <c r="U4142" i="1"/>
  <c r="U4191" i="1"/>
  <c r="U4203" i="1"/>
  <c r="U4224" i="1"/>
  <c r="U4253" i="1"/>
  <c r="U4259" i="1"/>
  <c r="U4288" i="1"/>
  <c r="U4307" i="1"/>
  <c r="U4311" i="1"/>
  <c r="U4325" i="1"/>
  <c r="U4339" i="1"/>
  <c r="U4343" i="1"/>
  <c r="U4357" i="1"/>
  <c r="U4371" i="1"/>
  <c r="U4375" i="1"/>
  <c r="U4389" i="1"/>
  <c r="U4403" i="1"/>
  <c r="U4407" i="1"/>
  <c r="U3808" i="1"/>
  <c r="U3872" i="1"/>
  <c r="U3925" i="1"/>
  <c r="U3986" i="1"/>
  <c r="U3998" i="1"/>
  <c r="U4047" i="1"/>
  <c r="U4059" i="1"/>
  <c r="U4108" i="1"/>
  <c r="U4120" i="1"/>
  <c r="U4181" i="1"/>
  <c r="U4232" i="1"/>
  <c r="U4261" i="1"/>
  <c r="U4267" i="1"/>
  <c r="U4293" i="1"/>
  <c r="U4304" i="1"/>
  <c r="U4308" i="1"/>
  <c r="U4322" i="1"/>
  <c r="U4336" i="1"/>
  <c r="U4340" i="1"/>
  <c r="U4354" i="1"/>
  <c r="U4368" i="1"/>
  <c r="U4372" i="1"/>
  <c r="U4386" i="1"/>
  <c r="U4400" i="1"/>
  <c r="U4404" i="1"/>
  <c r="U4418" i="1"/>
  <c r="U4432" i="1"/>
  <c r="U4436" i="1"/>
  <c r="U4450" i="1"/>
  <c r="U4464" i="1"/>
  <c r="U4468" i="1"/>
  <c r="U4482" i="1"/>
  <c r="U4496" i="1"/>
  <c r="U4500" i="1"/>
  <c r="U4514" i="1"/>
  <c r="U4517" i="1"/>
  <c r="U4520" i="1"/>
  <c r="U4528" i="1"/>
  <c r="U4536" i="1"/>
  <c r="U4544" i="1"/>
  <c r="U4552" i="1"/>
  <c r="U4560" i="1"/>
  <c r="U4568" i="1"/>
  <c r="U4576" i="1"/>
  <c r="U4584" i="1"/>
  <c r="U4592" i="1"/>
  <c r="U4600" i="1"/>
  <c r="U4608" i="1"/>
  <c r="U4616" i="1"/>
  <c r="U4624" i="1"/>
  <c r="U4632" i="1"/>
  <c r="U4640" i="1"/>
  <c r="U4648" i="1"/>
  <c r="U4656" i="1"/>
  <c r="U4664" i="1"/>
  <c r="U4672" i="1"/>
  <c r="U4680" i="1"/>
  <c r="U4688" i="1"/>
  <c r="U4696" i="1"/>
  <c r="U4704" i="1"/>
  <c r="U4712" i="1"/>
  <c r="U4720" i="1"/>
  <c r="U4728" i="1"/>
  <c r="U4736" i="1"/>
  <c r="U4744" i="1"/>
  <c r="U4752" i="1"/>
  <c r="U4760" i="1"/>
  <c r="U4768" i="1"/>
  <c r="U4776" i="1"/>
  <c r="U4784" i="1"/>
  <c r="U4792" i="1"/>
  <c r="U4800" i="1"/>
  <c r="U4808" i="1"/>
  <c r="U4816" i="1"/>
  <c r="U4824" i="1"/>
  <c r="U4832" i="1"/>
  <c r="U4840" i="1"/>
  <c r="U4848" i="1"/>
  <c r="U4856" i="1"/>
  <c r="U4864" i="1"/>
  <c r="U4872" i="1"/>
  <c r="U4880" i="1"/>
  <c r="U4888" i="1"/>
  <c r="U4896" i="1"/>
  <c r="U4904" i="1"/>
  <c r="U4912" i="1"/>
  <c r="U4920" i="1"/>
  <c r="U4928" i="1"/>
  <c r="U4936" i="1"/>
  <c r="U4503" i="1"/>
  <c r="U4549" i="1"/>
  <c r="U4581" i="1"/>
  <c r="U4613" i="1"/>
  <c r="U4645" i="1"/>
  <c r="U4677" i="1"/>
  <c r="U4709" i="1"/>
  <c r="U4741" i="1"/>
  <c r="U4773" i="1"/>
  <c r="U4805" i="1"/>
  <c r="U4837" i="1"/>
  <c r="U4869" i="1"/>
  <c r="U4901" i="1"/>
  <c r="U4910" i="1"/>
  <c r="U4917" i="1"/>
  <c r="U4949" i="1"/>
  <c r="U4965" i="1"/>
  <c r="U4981" i="1"/>
  <c r="U4997" i="1"/>
  <c r="U5013" i="1"/>
  <c r="U5029" i="1"/>
  <c r="U5045" i="1"/>
  <c r="U5061" i="1"/>
  <c r="U5086" i="1"/>
  <c r="U5089" i="1"/>
  <c r="U5092" i="1"/>
  <c r="U5095" i="1"/>
  <c r="U5098" i="1"/>
  <c r="U5101" i="1"/>
  <c r="U5104" i="1"/>
  <c r="U5150" i="1"/>
  <c r="U5153" i="1"/>
  <c r="U5156" i="1"/>
  <c r="U5159" i="1"/>
  <c r="U5162" i="1"/>
  <c r="U5165" i="1"/>
  <c r="U5168" i="1"/>
  <c r="U5214" i="1"/>
  <c r="U5217" i="1"/>
  <c r="U5220" i="1"/>
  <c r="U5223" i="1"/>
  <c r="U5226" i="1"/>
  <c r="U5229" i="1"/>
  <c r="U5232" i="1"/>
  <c r="U5278" i="1"/>
  <c r="U5281" i="1"/>
  <c r="U5284" i="1"/>
  <c r="U5287" i="1"/>
  <c r="U5290" i="1"/>
  <c r="U5293" i="1"/>
  <c r="U5296" i="1"/>
  <c r="U5342" i="1"/>
  <c r="U5345" i="1"/>
  <c r="U5348" i="1"/>
  <c r="U5351" i="1"/>
  <c r="U5354" i="1"/>
  <c r="U5357" i="1"/>
  <c r="U5360" i="1"/>
  <c r="U5406" i="1"/>
  <c r="U5409" i="1"/>
  <c r="U5412" i="1"/>
  <c r="U5415" i="1"/>
  <c r="U5418" i="1"/>
  <c r="U5421" i="1"/>
  <c r="U5424" i="1"/>
  <c r="U5470" i="1"/>
  <c r="U5473" i="1"/>
  <c r="U5476" i="1"/>
  <c r="U5479" i="1"/>
  <c r="U5482" i="1"/>
  <c r="U5485" i="1"/>
  <c r="U5488" i="1"/>
  <c r="U5506" i="1"/>
  <c r="U5514" i="1"/>
  <c r="U5522" i="1"/>
  <c r="U5530" i="1"/>
  <c r="U5538" i="1"/>
  <c r="U5546" i="1"/>
  <c r="U5554" i="1"/>
  <c r="U5562" i="1"/>
  <c r="U5570" i="1"/>
  <c r="U5578" i="1"/>
  <c r="U5586" i="1"/>
  <c r="U5594" i="1"/>
  <c r="U5602" i="1"/>
  <c r="U5610" i="1"/>
  <c r="U5618" i="1"/>
  <c r="U5626" i="1"/>
  <c r="U5634" i="1"/>
  <c r="U5642" i="1"/>
  <c r="U5650" i="1"/>
  <c r="U5658" i="1"/>
  <c r="U5666" i="1"/>
  <c r="U5674" i="1"/>
  <c r="U5682" i="1"/>
  <c r="U5690" i="1"/>
  <c r="U5698" i="1"/>
  <c r="U5706" i="1"/>
  <c r="U5714" i="1"/>
  <c r="U5722" i="1"/>
  <c r="U5730" i="1"/>
  <c r="U5738" i="1"/>
  <c r="U5746" i="1"/>
  <c r="U5754" i="1"/>
  <c r="U5762" i="1"/>
  <c r="U5770" i="1"/>
  <c r="U5778" i="1"/>
  <c r="U5786" i="1"/>
  <c r="U5794" i="1"/>
  <c r="U5802" i="1"/>
  <c r="U5810" i="1"/>
  <c r="U5818" i="1"/>
  <c r="U5826" i="1"/>
  <c r="U5834" i="1"/>
  <c r="U5842" i="1"/>
  <c r="U5850" i="1"/>
  <c r="U5858" i="1"/>
  <c r="U5866" i="1"/>
  <c r="U5874" i="1"/>
  <c r="U5882" i="1"/>
  <c r="U5890" i="1"/>
  <c r="U5898" i="1"/>
  <c r="U5906" i="1"/>
  <c r="U5914" i="1"/>
  <c r="U5922" i="1"/>
  <c r="U5930" i="1"/>
  <c r="U5938" i="1"/>
  <c r="U5946" i="1"/>
  <c r="U5954" i="1"/>
  <c r="U5962" i="1"/>
  <c r="U5970" i="1"/>
  <c r="U5978" i="1"/>
  <c r="U5986" i="1"/>
  <c r="U5994" i="1"/>
  <c r="U6002" i="1"/>
  <c r="U6010" i="1"/>
  <c r="U6018" i="1"/>
  <c r="U6026" i="1"/>
  <c r="U6034" i="1"/>
  <c r="U6042" i="1"/>
  <c r="U6050" i="1"/>
  <c r="U6058" i="1"/>
  <c r="U6066" i="1"/>
  <c r="U6074" i="1"/>
  <c r="U6082" i="1"/>
  <c r="U4492" i="1"/>
  <c r="U4506" i="1"/>
  <c r="U4530" i="1"/>
  <c r="U4562" i="1"/>
  <c r="U4594" i="1"/>
  <c r="U4626" i="1"/>
  <c r="U4658" i="1"/>
  <c r="U4690" i="1"/>
  <c r="U4722" i="1"/>
  <c r="U4754" i="1"/>
  <c r="U4786" i="1"/>
  <c r="U4818" i="1"/>
  <c r="U4850" i="1"/>
  <c r="U4882" i="1"/>
  <c r="U4918" i="1"/>
  <c r="U4925" i="1"/>
  <c r="U4944" i="1"/>
  <c r="U4960" i="1"/>
  <c r="U4976" i="1"/>
  <c r="U4992" i="1"/>
  <c r="U5008" i="1"/>
  <c r="U5024" i="1"/>
  <c r="U5040" i="1"/>
  <c r="U5056" i="1"/>
  <c r="U5074" i="1"/>
  <c r="U5077" i="1"/>
  <c r="U5080" i="1"/>
  <c r="U5126" i="1"/>
  <c r="U5129" i="1"/>
  <c r="U5132" i="1"/>
  <c r="U5135" i="1"/>
  <c r="U5138" i="1"/>
  <c r="U5141" i="1"/>
  <c r="U5144" i="1"/>
  <c r="U5190" i="1"/>
  <c r="U5193" i="1"/>
  <c r="U5196" i="1"/>
  <c r="U5199" i="1"/>
  <c r="U5202" i="1"/>
  <c r="U5205" i="1"/>
  <c r="U5208" i="1"/>
  <c r="U5254" i="1"/>
  <c r="U5257" i="1"/>
  <c r="U5260" i="1"/>
  <c r="U5263" i="1"/>
  <c r="U5266" i="1"/>
  <c r="U5269" i="1"/>
  <c r="U5272" i="1"/>
  <c r="U5318" i="1"/>
  <c r="U5321" i="1"/>
  <c r="U5324" i="1"/>
  <c r="U5327" i="1"/>
  <c r="U5330" i="1"/>
  <c r="U5333" i="1"/>
  <c r="U5336" i="1"/>
  <c r="U5382" i="1"/>
  <c r="U5385" i="1"/>
  <c r="U5388" i="1"/>
  <c r="U5391" i="1"/>
  <c r="U5394" i="1"/>
  <c r="U5397" i="1"/>
  <c r="U5400" i="1"/>
  <c r="U5446" i="1"/>
  <c r="U5449" i="1"/>
  <c r="U5452" i="1"/>
  <c r="U5455" i="1"/>
  <c r="U5458" i="1"/>
  <c r="U5461" i="1"/>
  <c r="U5464" i="1"/>
  <c r="U5509" i="1"/>
  <c r="U4421" i="1"/>
  <c r="U4435" i="1"/>
  <c r="U4541" i="1"/>
  <c r="U4573" i="1"/>
  <c r="U4605" i="1"/>
  <c r="U4637" i="1"/>
  <c r="U4669" i="1"/>
  <c r="U4701" i="1"/>
  <c r="U4733" i="1"/>
  <c r="U4765" i="1"/>
  <c r="U4797" i="1"/>
  <c r="U4829" i="1"/>
  <c r="U4861" i="1"/>
  <c r="U4893" i="1"/>
  <c r="U4926" i="1"/>
  <c r="U4933" i="1"/>
  <c r="U4950" i="1"/>
  <c r="U4966" i="1"/>
  <c r="U4982" i="1"/>
  <c r="U4998" i="1"/>
  <c r="U5014" i="1"/>
  <c r="U5030" i="1"/>
  <c r="U5046" i="1"/>
  <c r="U5062" i="1"/>
  <c r="U5102" i="1"/>
  <c r="U5105" i="1"/>
  <c r="U5108" i="1"/>
  <c r="U5111" i="1"/>
  <c r="U5114" i="1"/>
  <c r="U5117" i="1"/>
  <c r="U5120" i="1"/>
  <c r="U5166" i="1"/>
  <c r="U5169" i="1"/>
  <c r="U5172" i="1"/>
  <c r="U5175" i="1"/>
  <c r="U5178" i="1"/>
  <c r="U5181" i="1"/>
  <c r="U5184" i="1"/>
  <c r="U5230" i="1"/>
  <c r="U5233" i="1"/>
  <c r="U5236" i="1"/>
  <c r="U5239" i="1"/>
  <c r="U5242" i="1"/>
  <c r="U5245" i="1"/>
  <c r="U5248" i="1"/>
  <c r="U5294" i="1"/>
  <c r="U5297" i="1"/>
  <c r="U5300" i="1"/>
  <c r="U5303" i="1"/>
  <c r="U5306" i="1"/>
  <c r="U5309" i="1"/>
  <c r="U5312" i="1"/>
  <c r="U5358" i="1"/>
  <c r="U5361" i="1"/>
  <c r="U5364" i="1"/>
  <c r="U5367" i="1"/>
  <c r="U5370" i="1"/>
  <c r="U5373" i="1"/>
  <c r="U5376" i="1"/>
  <c r="U5422" i="1"/>
  <c r="U5425" i="1"/>
  <c r="U5428" i="1"/>
  <c r="U5431" i="1"/>
  <c r="U5434" i="1"/>
  <c r="U5437" i="1"/>
  <c r="U5440" i="1"/>
  <c r="U5486" i="1"/>
  <c r="U5489" i="1"/>
  <c r="U5492" i="1"/>
  <c r="U5495" i="1"/>
  <c r="U5498" i="1"/>
  <c r="U5501" i="1"/>
  <c r="U5504" i="1"/>
  <c r="U5512" i="1"/>
  <c r="U5520" i="1"/>
  <c r="U5528" i="1"/>
  <c r="U5536" i="1"/>
  <c r="U5544" i="1"/>
  <c r="U5552" i="1"/>
  <c r="U5560" i="1"/>
  <c r="U5568" i="1"/>
  <c r="U5576" i="1"/>
  <c r="U5584" i="1"/>
  <c r="U5592" i="1"/>
  <c r="U5600" i="1"/>
  <c r="U5608" i="1"/>
  <c r="U5616" i="1"/>
  <c r="U5624" i="1"/>
  <c r="U5632" i="1"/>
  <c r="U5640" i="1"/>
  <c r="U5648" i="1"/>
  <c r="U5656" i="1"/>
  <c r="U5664" i="1"/>
  <c r="U5672" i="1"/>
  <c r="U5680" i="1"/>
  <c r="U5688" i="1"/>
  <c r="U5696" i="1"/>
  <c r="U5704" i="1"/>
  <c r="U5712" i="1"/>
  <c r="U5720" i="1"/>
  <c r="U5728" i="1"/>
  <c r="U5736" i="1"/>
  <c r="U5744" i="1"/>
  <c r="U5752" i="1"/>
  <c r="U5760" i="1"/>
  <c r="U5768" i="1"/>
  <c r="U5776" i="1"/>
  <c r="U5784" i="1"/>
  <c r="U5792" i="1"/>
  <c r="U5800" i="1"/>
  <c r="U5808" i="1"/>
  <c r="U5816" i="1"/>
  <c r="U5824" i="1"/>
  <c r="U5832" i="1"/>
  <c r="U4424" i="1"/>
  <c r="U4522" i="1"/>
  <c r="U4554" i="1"/>
  <c r="U4586" i="1"/>
  <c r="U4618" i="1"/>
  <c r="U4650" i="1"/>
  <c r="U4682" i="1"/>
  <c r="U4714" i="1"/>
  <c r="U4746" i="1"/>
  <c r="U4778" i="1"/>
  <c r="U4810" i="1"/>
  <c r="U4842" i="1"/>
  <c r="U4874" i="1"/>
  <c r="U4906" i="1"/>
  <c r="U4934" i="1"/>
  <c r="U4946" i="1"/>
  <c r="U4962" i="1"/>
  <c r="U4978" i="1"/>
  <c r="U4994" i="1"/>
  <c r="U5010" i="1"/>
  <c r="U5026" i="1"/>
  <c r="U5042" i="1"/>
  <c r="U5058" i="1"/>
  <c r="U5068" i="1"/>
  <c r="U5078" i="1"/>
  <c r="U5081" i="1"/>
  <c r="U5084" i="1"/>
  <c r="U5087" i="1"/>
  <c r="U5090" i="1"/>
  <c r="U5093" i="1"/>
  <c r="U5096" i="1"/>
  <c r="U5142" i="1"/>
  <c r="U5145" i="1"/>
  <c r="U5148" i="1"/>
  <c r="U5151" i="1"/>
  <c r="U5154" i="1"/>
  <c r="U5157" i="1"/>
  <c r="U5160" i="1"/>
  <c r="U5206" i="1"/>
  <c r="U5209" i="1"/>
  <c r="U5212" i="1"/>
  <c r="U5215" i="1"/>
  <c r="U5218" i="1"/>
  <c r="U5221" i="1"/>
  <c r="U5224" i="1"/>
  <c r="U5270" i="1"/>
  <c r="U5273" i="1"/>
  <c r="U5276" i="1"/>
  <c r="U5279" i="1"/>
  <c r="U5282" i="1"/>
  <c r="U5285" i="1"/>
  <c r="U5288" i="1"/>
  <c r="U5334" i="1"/>
  <c r="U5337" i="1"/>
  <c r="U5340" i="1"/>
  <c r="U5343" i="1"/>
  <c r="U5346" i="1"/>
  <c r="U5349" i="1"/>
  <c r="U5352" i="1"/>
  <c r="U5398" i="1"/>
  <c r="U5401" i="1"/>
  <c r="U5404" i="1"/>
  <c r="U5407" i="1"/>
  <c r="U5410" i="1"/>
  <c r="U5413" i="1"/>
  <c r="U5416" i="1"/>
  <c r="U5462" i="1"/>
  <c r="U5465" i="1"/>
  <c r="U5468" i="1"/>
  <c r="U5471" i="1"/>
  <c r="U5474" i="1"/>
  <c r="U5477" i="1"/>
  <c r="U5480" i="1"/>
  <c r="U5507" i="1"/>
  <c r="U5515" i="1"/>
  <c r="U5523" i="1"/>
  <c r="U5531" i="1"/>
  <c r="U5539" i="1"/>
  <c r="U5547" i="1"/>
  <c r="U5555" i="1"/>
  <c r="U5563" i="1"/>
  <c r="U5571" i="1"/>
  <c r="U5579" i="1"/>
  <c r="U5587" i="1"/>
  <c r="U5595" i="1"/>
  <c r="U5603" i="1"/>
  <c r="U5611" i="1"/>
  <c r="U5619" i="1"/>
  <c r="U5627" i="1"/>
  <c r="U5635" i="1"/>
  <c r="U5643" i="1"/>
  <c r="U5651" i="1"/>
  <c r="U5659" i="1"/>
  <c r="U5667" i="1"/>
  <c r="U5675" i="1"/>
  <c r="U5683" i="1"/>
  <c r="U4439" i="1"/>
  <c r="U4453" i="1"/>
  <c r="U4467" i="1"/>
  <c r="U4533" i="1"/>
  <c r="U4565" i="1"/>
  <c r="U4597" i="1"/>
  <c r="U4629" i="1"/>
  <c r="U4661" i="1"/>
  <c r="U4693" i="1"/>
  <c r="U4725" i="1"/>
  <c r="U4757" i="1"/>
  <c r="U4789" i="1"/>
  <c r="U4821" i="1"/>
  <c r="U4853" i="1"/>
  <c r="U4885" i="1"/>
  <c r="U4914" i="1"/>
  <c r="U4941" i="1"/>
  <c r="U4957" i="1"/>
  <c r="U4973" i="1"/>
  <c r="U4989" i="1"/>
  <c r="U5005" i="1"/>
  <c r="U5021" i="1"/>
  <c r="U5037" i="1"/>
  <c r="U5053" i="1"/>
  <c r="U5072" i="1"/>
  <c r="U5118" i="1"/>
  <c r="U5121" i="1"/>
  <c r="U5124" i="1"/>
  <c r="U5127" i="1"/>
  <c r="U5130" i="1"/>
  <c r="U5133" i="1"/>
  <c r="U5136" i="1"/>
  <c r="U5182" i="1"/>
  <c r="U5185" i="1"/>
  <c r="U5188" i="1"/>
  <c r="U5191" i="1"/>
  <c r="U5194" i="1"/>
  <c r="U5197" i="1"/>
  <c r="U5200" i="1"/>
  <c r="U5246" i="1"/>
  <c r="U5249" i="1"/>
  <c r="U5252" i="1"/>
  <c r="U5255" i="1"/>
  <c r="U5258" i="1"/>
  <c r="U5261" i="1"/>
  <c r="U5264" i="1"/>
  <c r="U5310" i="1"/>
  <c r="U5313" i="1"/>
  <c r="U5316" i="1"/>
  <c r="U5319" i="1"/>
  <c r="U5322" i="1"/>
  <c r="U5325" i="1"/>
  <c r="U5328" i="1"/>
  <c r="U5374" i="1"/>
  <c r="U5377" i="1"/>
  <c r="U5380" i="1"/>
  <c r="U5383" i="1"/>
  <c r="U5386" i="1"/>
  <c r="U5389" i="1"/>
  <c r="U5392" i="1"/>
  <c r="U5438" i="1"/>
  <c r="U5441" i="1"/>
  <c r="U5444" i="1"/>
  <c r="U5447" i="1"/>
  <c r="U5450" i="1"/>
  <c r="U5453" i="1"/>
  <c r="U5456" i="1"/>
  <c r="U5502" i="1"/>
  <c r="U5510" i="1"/>
  <c r="U5518" i="1"/>
  <c r="U5526" i="1"/>
  <c r="U5534" i="1"/>
  <c r="U5542" i="1"/>
  <c r="U5550" i="1"/>
  <c r="U5558" i="1"/>
  <c r="U5566" i="1"/>
  <c r="U5574" i="1"/>
  <c r="U5582" i="1"/>
  <c r="U5590" i="1"/>
  <c r="U5598" i="1"/>
  <c r="U5606" i="1"/>
  <c r="U5614" i="1"/>
  <c r="U5622" i="1"/>
  <c r="U5630" i="1"/>
  <c r="U5638" i="1"/>
  <c r="U5646" i="1"/>
  <c r="U5654" i="1"/>
  <c r="U5662" i="1"/>
  <c r="U5670" i="1"/>
  <c r="U5678" i="1"/>
  <c r="U5686" i="1"/>
  <c r="U4428" i="1"/>
  <c r="U4442" i="1"/>
  <c r="U4456" i="1"/>
  <c r="U4546" i="1"/>
  <c r="U4578" i="1"/>
  <c r="U4610" i="1"/>
  <c r="U4642" i="1"/>
  <c r="U4674" i="1"/>
  <c r="U4706" i="1"/>
  <c r="U4738" i="1"/>
  <c r="U4770" i="1"/>
  <c r="U4802" i="1"/>
  <c r="U4834" i="1"/>
  <c r="U4866" i="1"/>
  <c r="U4898" i="1"/>
  <c r="U4922" i="1"/>
  <c r="U4952" i="1"/>
  <c r="U4968" i="1"/>
  <c r="U4471" i="1"/>
  <c r="U4485" i="1"/>
  <c r="U4499" i="1"/>
  <c r="U4525" i="1"/>
  <c r="U4557" i="1"/>
  <c r="U4589" i="1"/>
  <c r="U4621" i="1"/>
  <c r="U4653" i="1"/>
  <c r="U4685" i="1"/>
  <c r="U4717" i="1"/>
  <c r="U4749" i="1"/>
  <c r="U4781" i="1"/>
  <c r="U4813" i="1"/>
  <c r="U4845" i="1"/>
  <c r="U4877" i="1"/>
  <c r="U4930" i="1"/>
  <c r="U4942" i="1"/>
  <c r="U4958" i="1"/>
  <c r="U4460" i="1"/>
  <c r="U4474" i="1"/>
  <c r="U4488" i="1"/>
  <c r="U4538" i="1"/>
  <c r="U4570" i="1"/>
  <c r="U4602" i="1"/>
  <c r="U4634" i="1"/>
  <c r="U4666" i="1"/>
  <c r="U4698" i="1"/>
  <c r="U4730" i="1"/>
  <c r="U4762" i="1"/>
  <c r="U4794" i="1"/>
  <c r="U4826" i="1"/>
  <c r="U4858" i="1"/>
  <c r="U4890" i="1"/>
  <c r="U4909" i="1"/>
  <c r="U4938" i="1"/>
  <c r="U4954" i="1"/>
  <c r="U4970" i="1"/>
  <c r="U4986" i="1"/>
  <c r="U5002" i="1"/>
  <c r="U5018" i="1"/>
  <c r="U5034" i="1"/>
  <c r="U5050" i="1"/>
  <c r="U5066" i="1"/>
  <c r="U5070" i="1"/>
  <c r="U5110" i="1"/>
  <c r="U5113" i="1"/>
  <c r="U5116" i="1"/>
  <c r="U5119" i="1"/>
  <c r="U5122" i="1"/>
  <c r="U5125" i="1"/>
  <c r="U5128" i="1"/>
  <c r="U5174" i="1"/>
  <c r="U5177" i="1"/>
  <c r="U5180" i="1"/>
  <c r="U5183" i="1"/>
  <c r="U5186" i="1"/>
  <c r="U5189" i="1"/>
  <c r="U5192" i="1"/>
  <c r="U5238" i="1"/>
  <c r="U5241" i="1"/>
  <c r="U5244" i="1"/>
  <c r="U5247" i="1"/>
  <c r="U5250" i="1"/>
  <c r="U5253" i="1"/>
  <c r="U5256" i="1"/>
  <c r="U5302" i="1"/>
  <c r="U5305" i="1"/>
  <c r="U5308" i="1"/>
  <c r="U5311" i="1"/>
  <c r="U5314" i="1"/>
  <c r="U5317" i="1"/>
  <c r="U5320" i="1"/>
  <c r="U5366" i="1"/>
  <c r="U5369" i="1"/>
  <c r="U5372" i="1"/>
  <c r="U5375" i="1"/>
  <c r="U5378" i="1"/>
  <c r="U5381" i="1"/>
  <c r="U5384" i="1"/>
  <c r="U5430" i="1"/>
  <c r="U5433" i="1"/>
  <c r="U5436" i="1"/>
  <c r="U5439" i="1"/>
  <c r="U5442" i="1"/>
  <c r="U5445" i="1"/>
  <c r="U5448" i="1"/>
  <c r="U5494" i="1"/>
  <c r="U5497" i="1"/>
  <c r="U5500" i="1"/>
  <c r="U5503" i="1"/>
  <c r="U5511" i="1"/>
  <c r="U5519" i="1"/>
  <c r="U4990" i="1"/>
  <c r="U5054" i="1"/>
  <c r="U5073" i="1"/>
  <c r="U5085" i="1"/>
  <c r="U5134" i="1"/>
  <c r="U5146" i="1"/>
  <c r="U5207" i="1"/>
  <c r="U5268" i="1"/>
  <c r="U5280" i="1"/>
  <c r="U5329" i="1"/>
  <c r="U5341" i="1"/>
  <c r="U5390" i="1"/>
  <c r="U5402" i="1"/>
  <c r="U5463" i="1"/>
  <c r="U5524" i="1"/>
  <c r="U5540" i="1"/>
  <c r="U5556" i="1"/>
  <c r="U5572" i="1"/>
  <c r="U5588" i="1"/>
  <c r="U5604" i="1"/>
  <c r="U5620" i="1"/>
  <c r="U5636" i="1"/>
  <c r="U5652" i="1"/>
  <c r="U5668" i="1"/>
  <c r="U5684" i="1"/>
  <c r="U5692" i="1"/>
  <c r="U5710" i="1"/>
  <c r="U5717" i="1"/>
  <c r="U5724" i="1"/>
  <c r="U5742" i="1"/>
  <c r="U5749" i="1"/>
  <c r="U5756" i="1"/>
  <c r="U5774" i="1"/>
  <c r="U5781" i="1"/>
  <c r="U5788" i="1"/>
  <c r="U5806" i="1"/>
  <c r="U5813" i="1"/>
  <c r="U5820" i="1"/>
  <c r="U5838" i="1"/>
  <c r="U5841" i="1"/>
  <c r="U5844" i="1"/>
  <c r="U5847" i="1"/>
  <c r="U5893" i="1"/>
  <c r="U5896" i="1"/>
  <c r="U5899" i="1"/>
  <c r="U5902" i="1"/>
  <c r="U5905" i="1"/>
  <c r="U5908" i="1"/>
  <c r="U5911" i="1"/>
  <c r="U5957" i="1"/>
  <c r="U5960" i="1"/>
  <c r="U5963" i="1"/>
  <c r="U5966" i="1"/>
  <c r="U5969" i="1"/>
  <c r="U5972" i="1"/>
  <c r="U5975" i="1"/>
  <c r="U6021" i="1"/>
  <c r="U6024" i="1"/>
  <c r="U6027" i="1"/>
  <c r="U6030" i="1"/>
  <c r="U6033" i="1"/>
  <c r="U6036" i="1"/>
  <c r="U6039" i="1"/>
  <c r="U6085" i="1"/>
  <c r="U6088" i="1"/>
  <c r="U6096" i="1"/>
  <c r="U6104" i="1"/>
  <c r="U6112" i="1"/>
  <c r="U6120" i="1"/>
  <c r="U6128" i="1"/>
  <c r="U6136" i="1"/>
  <c r="U6144" i="1"/>
  <c r="U6152" i="1"/>
  <c r="U6160" i="1"/>
  <c r="U6168" i="1"/>
  <c r="U6176" i="1"/>
  <c r="U6184" i="1"/>
  <c r="U6192" i="1"/>
  <c r="U6200" i="1"/>
  <c r="U6208" i="1"/>
  <c r="U6216" i="1"/>
  <c r="U6224" i="1"/>
  <c r="U6232" i="1"/>
  <c r="U6240" i="1"/>
  <c r="U6248" i="1"/>
  <c r="U6256" i="1"/>
  <c r="U6264" i="1"/>
  <c r="U6272" i="1"/>
  <c r="U6280" i="1"/>
  <c r="U6288" i="1"/>
  <c r="U6296" i="1"/>
  <c r="U6304" i="1"/>
  <c r="U6312" i="1"/>
  <c r="U6320" i="1"/>
  <c r="U6328" i="1"/>
  <c r="U6336" i="1"/>
  <c r="U6344" i="1"/>
  <c r="U6352" i="1"/>
  <c r="U6360" i="1"/>
  <c r="U6368" i="1"/>
  <c r="U6376" i="1"/>
  <c r="U6384" i="1"/>
  <c r="U6392" i="1"/>
  <c r="U6400" i="1"/>
  <c r="U6408" i="1"/>
  <c r="U6416" i="1"/>
  <c r="U6424" i="1"/>
  <c r="U6432" i="1"/>
  <c r="U6440" i="1"/>
  <c r="U6448" i="1"/>
  <c r="U6456" i="1"/>
  <c r="U6464" i="1"/>
  <c r="U6472" i="1"/>
  <c r="U6480" i="1"/>
  <c r="U6488" i="1"/>
  <c r="U6496" i="1"/>
  <c r="U6504" i="1"/>
  <c r="U6512" i="1"/>
  <c r="U6520" i="1"/>
  <c r="U6528" i="1"/>
  <c r="U6536" i="1"/>
  <c r="U6544" i="1"/>
  <c r="U6552" i="1"/>
  <c r="U6560" i="1"/>
  <c r="U6568" i="1"/>
  <c r="U6576" i="1"/>
  <c r="U6584" i="1"/>
  <c r="U6592" i="1"/>
  <c r="U6600" i="1"/>
  <c r="U6608" i="1"/>
  <c r="U6616" i="1"/>
  <c r="U6624" i="1"/>
  <c r="U6632" i="1"/>
  <c r="U6640" i="1"/>
  <c r="U6648" i="1"/>
  <c r="U6656" i="1"/>
  <c r="U6664" i="1"/>
  <c r="U6672" i="1"/>
  <c r="U6680" i="1"/>
  <c r="U6688" i="1"/>
  <c r="U6696" i="1"/>
  <c r="U6704" i="1"/>
  <c r="U6712" i="1"/>
  <c r="U6720" i="1"/>
  <c r="U6728" i="1"/>
  <c r="U6736" i="1"/>
  <c r="U6744" i="1"/>
  <c r="U6752" i="1"/>
  <c r="U6760" i="1"/>
  <c r="U6768" i="1"/>
  <c r="U6776" i="1"/>
  <c r="U6784" i="1"/>
  <c r="U6792" i="1"/>
  <c r="U6800" i="1"/>
  <c r="U6808" i="1"/>
  <c r="U6816" i="1"/>
  <c r="U6824" i="1"/>
  <c r="U6832" i="1"/>
  <c r="U6840" i="1"/>
  <c r="U6848" i="1"/>
  <c r="U6856" i="1"/>
  <c r="U6864" i="1"/>
  <c r="U6872" i="1"/>
  <c r="U6880" i="1"/>
  <c r="U6888" i="1"/>
  <c r="U6896" i="1"/>
  <c r="U5016" i="1"/>
  <c r="U5100" i="1"/>
  <c r="U5112" i="1"/>
  <c r="U5161" i="1"/>
  <c r="U5173" i="1"/>
  <c r="U5222" i="1"/>
  <c r="U5234" i="1"/>
  <c r="U5295" i="1"/>
  <c r="U5356" i="1"/>
  <c r="U5368" i="1"/>
  <c r="U5417" i="1"/>
  <c r="U5429" i="1"/>
  <c r="U5478" i="1"/>
  <c r="U5490" i="1"/>
  <c r="U5535" i="1"/>
  <c r="U5551" i="1"/>
  <c r="U5567" i="1"/>
  <c r="U5583" i="1"/>
  <c r="U5599" i="1"/>
  <c r="U5615" i="1"/>
  <c r="U5631" i="1"/>
  <c r="U5647" i="1"/>
  <c r="U5663" i="1"/>
  <c r="U5679" i="1"/>
  <c r="U5689" i="1"/>
  <c r="U5703" i="1"/>
  <c r="U5707" i="1"/>
  <c r="U5721" i="1"/>
  <c r="U5735" i="1"/>
  <c r="U5739" i="1"/>
  <c r="U5753" i="1"/>
  <c r="U5767" i="1"/>
  <c r="U5771" i="1"/>
  <c r="U5785" i="1"/>
  <c r="U5799" i="1"/>
  <c r="U5803" i="1"/>
  <c r="U5817" i="1"/>
  <c r="U5831" i="1"/>
  <c r="U5835" i="1"/>
  <c r="U5869" i="1"/>
  <c r="U5872" i="1"/>
  <c r="U5875" i="1"/>
  <c r="U5878" i="1"/>
  <c r="U5881" i="1"/>
  <c r="U5884" i="1"/>
  <c r="U5887" i="1"/>
  <c r="U5933" i="1"/>
  <c r="U5936" i="1"/>
  <c r="U5939" i="1"/>
  <c r="U5942" i="1"/>
  <c r="U5945" i="1"/>
  <c r="U5948" i="1"/>
  <c r="U5951" i="1"/>
  <c r="U5997" i="1"/>
  <c r="U6000" i="1"/>
  <c r="U6003" i="1"/>
  <c r="U6006" i="1"/>
  <c r="U6009" i="1"/>
  <c r="U6012" i="1"/>
  <c r="U6015" i="1"/>
  <c r="U6061" i="1"/>
  <c r="U6064" i="1"/>
  <c r="U6067" i="1"/>
  <c r="U6070" i="1"/>
  <c r="U6073" i="1"/>
  <c r="U6076" i="1"/>
  <c r="U6079" i="1"/>
  <c r="U6091" i="1"/>
  <c r="U6099" i="1"/>
  <c r="U6107" i="1"/>
  <c r="U6115" i="1"/>
  <c r="U6123" i="1"/>
  <c r="U6131" i="1"/>
  <c r="U6139" i="1"/>
  <c r="U6147" i="1"/>
  <c r="U6155" i="1"/>
  <c r="U6163" i="1"/>
  <c r="U6171" i="1"/>
  <c r="U6179" i="1"/>
  <c r="U6187" i="1"/>
  <c r="U6195" i="1"/>
  <c r="U6203" i="1"/>
  <c r="U6211" i="1"/>
  <c r="U6219" i="1"/>
  <c r="U6227" i="1"/>
  <c r="U6235" i="1"/>
  <c r="U6243" i="1"/>
  <c r="U6251" i="1"/>
  <c r="U6259" i="1"/>
  <c r="U4974" i="1"/>
  <c r="U5038" i="1"/>
  <c r="U5076" i="1"/>
  <c r="U5088" i="1"/>
  <c r="U5137" i="1"/>
  <c r="U5149" i="1"/>
  <c r="U5198" i="1"/>
  <c r="U5210" i="1"/>
  <c r="U5271" i="1"/>
  <c r="U5332" i="1"/>
  <c r="U5344" i="1"/>
  <c r="U5393" i="1"/>
  <c r="U5405" i="1"/>
  <c r="U5454" i="1"/>
  <c r="U5466" i="1"/>
  <c r="U5513" i="1"/>
  <c r="U5525" i="1"/>
  <c r="U5541" i="1"/>
  <c r="U5557" i="1"/>
  <c r="U5573" i="1"/>
  <c r="U5589" i="1"/>
  <c r="U5605" i="1"/>
  <c r="U5621" i="1"/>
  <c r="U5637" i="1"/>
  <c r="U5653" i="1"/>
  <c r="U5669" i="1"/>
  <c r="U5685" i="1"/>
  <c r="U5693" i="1"/>
  <c r="U5700" i="1"/>
  <c r="U5718" i="1"/>
  <c r="U5725" i="1"/>
  <c r="U5732" i="1"/>
  <c r="U5750" i="1"/>
  <c r="U5757" i="1"/>
  <c r="U5764" i="1"/>
  <c r="U5782" i="1"/>
  <c r="U5789" i="1"/>
  <c r="U5796" i="1"/>
  <c r="U5814" i="1"/>
  <c r="U5821" i="1"/>
  <c r="U5828" i="1"/>
  <c r="U5845" i="1"/>
  <c r="U5848" i="1"/>
  <c r="U5851" i="1"/>
  <c r="U5854" i="1"/>
  <c r="U5857" i="1"/>
  <c r="U5860" i="1"/>
  <c r="U5863" i="1"/>
  <c r="U5909" i="1"/>
  <c r="U5912" i="1"/>
  <c r="U5915" i="1"/>
  <c r="U5918" i="1"/>
  <c r="U5921" i="1"/>
  <c r="U5924" i="1"/>
  <c r="U5927" i="1"/>
  <c r="U5973" i="1"/>
  <c r="U5976" i="1"/>
  <c r="U5979" i="1"/>
  <c r="U5982" i="1"/>
  <c r="U5985" i="1"/>
  <c r="U5988" i="1"/>
  <c r="U5991" i="1"/>
  <c r="U6037" i="1"/>
  <c r="U6040" i="1"/>
  <c r="U6043" i="1"/>
  <c r="U6046" i="1"/>
  <c r="U6049" i="1"/>
  <c r="U6052" i="1"/>
  <c r="U6055" i="1"/>
  <c r="U6094" i="1"/>
  <c r="U6102" i="1"/>
  <c r="U6110" i="1"/>
  <c r="U6118" i="1"/>
  <c r="U6126" i="1"/>
  <c r="U6134" i="1"/>
  <c r="U6142" i="1"/>
  <c r="U6150" i="1"/>
  <c r="U6158" i="1"/>
  <c r="U6166" i="1"/>
  <c r="U6174" i="1"/>
  <c r="U6182" i="1"/>
  <c r="U6190" i="1"/>
  <c r="U6198" i="1"/>
  <c r="U6206" i="1"/>
  <c r="U6214" i="1"/>
  <c r="U6222" i="1"/>
  <c r="U6230" i="1"/>
  <c r="U6238" i="1"/>
  <c r="U6246" i="1"/>
  <c r="U6254" i="1"/>
  <c r="U6262" i="1"/>
  <c r="U6270" i="1"/>
  <c r="U6278" i="1"/>
  <c r="U6286" i="1"/>
  <c r="U6294" i="1"/>
  <c r="U6302" i="1"/>
  <c r="U6310" i="1"/>
  <c r="U6318" i="1"/>
  <c r="U6326" i="1"/>
  <c r="U6334" i="1"/>
  <c r="U6342" i="1"/>
  <c r="U6350" i="1"/>
  <c r="U6358" i="1"/>
  <c r="U6366" i="1"/>
  <c r="U6374" i="1"/>
  <c r="U6382" i="1"/>
  <c r="U6390" i="1"/>
  <c r="U6398" i="1"/>
  <c r="U6406" i="1"/>
  <c r="U6414" i="1"/>
  <c r="U6422" i="1"/>
  <c r="U6430" i="1"/>
  <c r="U6438" i="1"/>
  <c r="U6446" i="1"/>
  <c r="U6454" i="1"/>
  <c r="U6462" i="1"/>
  <c r="U6470" i="1"/>
  <c r="U5000" i="1"/>
  <c r="U5064" i="1"/>
  <c r="U5103" i="1"/>
  <c r="U5164" i="1"/>
  <c r="U5176" i="1"/>
  <c r="U5225" i="1"/>
  <c r="U5237" i="1"/>
  <c r="U5286" i="1"/>
  <c r="U5298" i="1"/>
  <c r="U5359" i="1"/>
  <c r="U5420" i="1"/>
  <c r="U5432" i="1"/>
  <c r="U5481" i="1"/>
  <c r="U5493" i="1"/>
  <c r="U5505" i="1"/>
  <c r="U5521" i="1"/>
  <c r="U5537" i="1"/>
  <c r="U5553" i="1"/>
  <c r="U5569" i="1"/>
  <c r="U5585" i="1"/>
  <c r="U5601" i="1"/>
  <c r="U5617" i="1"/>
  <c r="U5633" i="1"/>
  <c r="U5649" i="1"/>
  <c r="U5665" i="1"/>
  <c r="U5681" i="1"/>
  <c r="U5697" i="1"/>
  <c r="U5711" i="1"/>
  <c r="U5715" i="1"/>
  <c r="U5729" i="1"/>
  <c r="U5743" i="1"/>
  <c r="U5747" i="1"/>
  <c r="U5761" i="1"/>
  <c r="U5775" i="1"/>
  <c r="U5779" i="1"/>
  <c r="U5793" i="1"/>
  <c r="U5807" i="1"/>
  <c r="U5811" i="1"/>
  <c r="U5825" i="1"/>
  <c r="U5839" i="1"/>
  <c r="U5885" i="1"/>
  <c r="U5888" i="1"/>
  <c r="U5891" i="1"/>
  <c r="U5894" i="1"/>
  <c r="U5897" i="1"/>
  <c r="U5900" i="1"/>
  <c r="U5903" i="1"/>
  <c r="U5949" i="1"/>
  <c r="U5952" i="1"/>
  <c r="U5955" i="1"/>
  <c r="U5958" i="1"/>
  <c r="U5961" i="1"/>
  <c r="U5964" i="1"/>
  <c r="U5967" i="1"/>
  <c r="U6013" i="1"/>
  <c r="U6016" i="1"/>
  <c r="U6019" i="1"/>
  <c r="U6022" i="1"/>
  <c r="U6025" i="1"/>
  <c r="U6028" i="1"/>
  <c r="U6031" i="1"/>
  <c r="U6077" i="1"/>
  <c r="U6080" i="1"/>
  <c r="U6083" i="1"/>
  <c r="U6086" i="1"/>
  <c r="U6089" i="1"/>
  <c r="U6097" i="1"/>
  <c r="U6105" i="1"/>
  <c r="U6113" i="1"/>
  <c r="U6121" i="1"/>
  <c r="U6129" i="1"/>
  <c r="U6137" i="1"/>
  <c r="U6145" i="1"/>
  <c r="U6153" i="1"/>
  <c r="U6161" i="1"/>
  <c r="U6169" i="1"/>
  <c r="U6177" i="1"/>
  <c r="U6185" i="1"/>
  <c r="U6193" i="1"/>
  <c r="U6201" i="1"/>
  <c r="U6209" i="1"/>
  <c r="U6217" i="1"/>
  <c r="U6225" i="1"/>
  <c r="U6233" i="1"/>
  <c r="U6241" i="1"/>
  <c r="U6249" i="1"/>
  <c r="U6257" i="1"/>
  <c r="U6265" i="1"/>
  <c r="U6273" i="1"/>
  <c r="U6281" i="1"/>
  <c r="U6289" i="1"/>
  <c r="U6297" i="1"/>
  <c r="U6305" i="1"/>
  <c r="U6313" i="1"/>
  <c r="U6321" i="1"/>
  <c r="U6329" i="1"/>
  <c r="U6337" i="1"/>
  <c r="U6345" i="1"/>
  <c r="U6353" i="1"/>
  <c r="U6361" i="1"/>
  <c r="U6369" i="1"/>
  <c r="U6377" i="1"/>
  <c r="U6385" i="1"/>
  <c r="U6393" i="1"/>
  <c r="U6401" i="1"/>
  <c r="U6409" i="1"/>
  <c r="U6417" i="1"/>
  <c r="U6425" i="1"/>
  <c r="U6433" i="1"/>
  <c r="U6441" i="1"/>
  <c r="U6449" i="1"/>
  <c r="U6457" i="1"/>
  <c r="U6465" i="1"/>
  <c r="U5022" i="1"/>
  <c r="U5079" i="1"/>
  <c r="U5140" i="1"/>
  <c r="U5152" i="1"/>
  <c r="U5201" i="1"/>
  <c r="U5213" i="1"/>
  <c r="U5262" i="1"/>
  <c r="U5274" i="1"/>
  <c r="U5335" i="1"/>
  <c r="U5396" i="1"/>
  <c r="U5408" i="1"/>
  <c r="U5457" i="1"/>
  <c r="U5469" i="1"/>
  <c r="U5532" i="1"/>
  <c r="U5548" i="1"/>
  <c r="U5564" i="1"/>
  <c r="U5580" i="1"/>
  <c r="U5596" i="1"/>
  <c r="U5612" i="1"/>
  <c r="U5628" i="1"/>
  <c r="U5644" i="1"/>
  <c r="U5660" i="1"/>
  <c r="U5676" i="1"/>
  <c r="U5694" i="1"/>
  <c r="U5701" i="1"/>
  <c r="U5708" i="1"/>
  <c r="U5726" i="1"/>
  <c r="U5733" i="1"/>
  <c r="U5740" i="1"/>
  <c r="U5758" i="1"/>
  <c r="U5765" i="1"/>
  <c r="U5772" i="1"/>
  <c r="U5790" i="1"/>
  <c r="U5797" i="1"/>
  <c r="U5804" i="1"/>
  <c r="U5822" i="1"/>
  <c r="U5829" i="1"/>
  <c r="U5836" i="1"/>
  <c r="U5861" i="1"/>
  <c r="U5864" i="1"/>
  <c r="U5867" i="1"/>
  <c r="U5870" i="1"/>
  <c r="U5873" i="1"/>
  <c r="U5876" i="1"/>
  <c r="U5879" i="1"/>
  <c r="U5925" i="1"/>
  <c r="U5928" i="1"/>
  <c r="U5931" i="1"/>
  <c r="U5934" i="1"/>
  <c r="U5937" i="1"/>
  <c r="U5940" i="1"/>
  <c r="U5943" i="1"/>
  <c r="U5989" i="1"/>
  <c r="U5992" i="1"/>
  <c r="U5995" i="1"/>
  <c r="U5998" i="1"/>
  <c r="U6001" i="1"/>
  <c r="U6004" i="1"/>
  <c r="U6007" i="1"/>
  <c r="U6053" i="1"/>
  <c r="U6056" i="1"/>
  <c r="U6059" i="1"/>
  <c r="U6062" i="1"/>
  <c r="U6065" i="1"/>
  <c r="U6068" i="1"/>
  <c r="U6071" i="1"/>
  <c r="U6092" i="1"/>
  <c r="U6100" i="1"/>
  <c r="U6108" i="1"/>
  <c r="U6116" i="1"/>
  <c r="U6124" i="1"/>
  <c r="U6132" i="1"/>
  <c r="U6140" i="1"/>
  <c r="U6148" i="1"/>
  <c r="U6156" i="1"/>
  <c r="U6164" i="1"/>
  <c r="U6172" i="1"/>
  <c r="U6180" i="1"/>
  <c r="U6188" i="1"/>
  <c r="U6196" i="1"/>
  <c r="U6204" i="1"/>
  <c r="U6212" i="1"/>
  <c r="U6220" i="1"/>
  <c r="U6228" i="1"/>
  <c r="U6236" i="1"/>
  <c r="U6244" i="1"/>
  <c r="U6252" i="1"/>
  <c r="U6260" i="1"/>
  <c r="U6268" i="1"/>
  <c r="U6276" i="1"/>
  <c r="U6284" i="1"/>
  <c r="U6292" i="1"/>
  <c r="U6300" i="1"/>
  <c r="U6308" i="1"/>
  <c r="U6316" i="1"/>
  <c r="U6324" i="1"/>
  <c r="U6332" i="1"/>
  <c r="U6340" i="1"/>
  <c r="U6348" i="1"/>
  <c r="U6356" i="1"/>
  <c r="U6364" i="1"/>
  <c r="U6372" i="1"/>
  <c r="U6380" i="1"/>
  <c r="U6388" i="1"/>
  <c r="U6396" i="1"/>
  <c r="U6404" i="1"/>
  <c r="U6412" i="1"/>
  <c r="U6420" i="1"/>
  <c r="U6428" i="1"/>
  <c r="U6436" i="1"/>
  <c r="U6444" i="1"/>
  <c r="U6452" i="1"/>
  <c r="U6460" i="1"/>
  <c r="U6468" i="1"/>
  <c r="U4984" i="1"/>
  <c r="U5048" i="1"/>
  <c r="U5069" i="1"/>
  <c r="U5094" i="1"/>
  <c r="U5106" i="1"/>
  <c r="U5167" i="1"/>
  <c r="U5228" i="1"/>
  <c r="U5240" i="1"/>
  <c r="U5289" i="1"/>
  <c r="U5301" i="1"/>
  <c r="U5350" i="1"/>
  <c r="U5362" i="1"/>
  <c r="U5423" i="1"/>
  <c r="U5484" i="1"/>
  <c r="U5496" i="1"/>
  <c r="U5527" i="1"/>
  <c r="U5543" i="1"/>
  <c r="U5559" i="1"/>
  <c r="U5575" i="1"/>
  <c r="U5591" i="1"/>
  <c r="U5607" i="1"/>
  <c r="U5623" i="1"/>
  <c r="U5006" i="1"/>
  <c r="U5082" i="1"/>
  <c r="U5143" i="1"/>
  <c r="U5204" i="1"/>
  <c r="U5216" i="1"/>
  <c r="U5265" i="1"/>
  <c r="U5277" i="1"/>
  <c r="U5326" i="1"/>
  <c r="U5338" i="1"/>
  <c r="U5399" i="1"/>
  <c r="U5460" i="1"/>
  <c r="U5472" i="1"/>
  <c r="U5508" i="1"/>
  <c r="U5516" i="1"/>
  <c r="U5533" i="1"/>
  <c r="U5549" i="1"/>
  <c r="U5565" i="1"/>
  <c r="U5581" i="1"/>
  <c r="U5032" i="1"/>
  <c r="U5097" i="1"/>
  <c r="U5109" i="1"/>
  <c r="U5158" i="1"/>
  <c r="U5170" i="1"/>
  <c r="U5231" i="1"/>
  <c r="U5292" i="1"/>
  <c r="U5304" i="1"/>
  <c r="U5353" i="1"/>
  <c r="U5365" i="1"/>
  <c r="U5414" i="1"/>
  <c r="U5426" i="1"/>
  <c r="U5487" i="1"/>
  <c r="U5517" i="1"/>
  <c r="U5529" i="1"/>
  <c r="U5545" i="1"/>
  <c r="U5561" i="1"/>
  <c r="U5577" i="1"/>
  <c r="U5593" i="1"/>
  <c r="U5609" i="1"/>
  <c r="U5625" i="1"/>
  <c r="U5641" i="1"/>
  <c r="U5657" i="1"/>
  <c r="U5673" i="1"/>
  <c r="U5695" i="1"/>
  <c r="U5699" i="1"/>
  <c r="U5713" i="1"/>
  <c r="U5727" i="1"/>
  <c r="U5731" i="1"/>
  <c r="U5745" i="1"/>
  <c r="U5759" i="1"/>
  <c r="U5763" i="1"/>
  <c r="U5777" i="1"/>
  <c r="U5791" i="1"/>
  <c r="U5795" i="1"/>
  <c r="U5809" i="1"/>
  <c r="U5823" i="1"/>
  <c r="U5827" i="1"/>
  <c r="U5853" i="1"/>
  <c r="U5856" i="1"/>
  <c r="U5859" i="1"/>
  <c r="U5862" i="1"/>
  <c r="U5865" i="1"/>
  <c r="U5868" i="1"/>
  <c r="U5871" i="1"/>
  <c r="U5917" i="1"/>
  <c r="U5920" i="1"/>
  <c r="U5923" i="1"/>
  <c r="U5926" i="1"/>
  <c r="U5929" i="1"/>
  <c r="U5932" i="1"/>
  <c r="U5935" i="1"/>
  <c r="U5981" i="1"/>
  <c r="U5984" i="1"/>
  <c r="U5987" i="1"/>
  <c r="U5990" i="1"/>
  <c r="U5993" i="1"/>
  <c r="U5996" i="1"/>
  <c r="U5999" i="1"/>
  <c r="U6045" i="1"/>
  <c r="U6048" i="1"/>
  <c r="U6051" i="1"/>
  <c r="U6054" i="1"/>
  <c r="U6057" i="1"/>
  <c r="U6060" i="1"/>
  <c r="U6063" i="1"/>
  <c r="U6093" i="1"/>
  <c r="U6101" i="1"/>
  <c r="U6109" i="1"/>
  <c r="U6117" i="1"/>
  <c r="U6125" i="1"/>
  <c r="U6133" i="1"/>
  <c r="U6141" i="1"/>
  <c r="U6149" i="1"/>
  <c r="U6157" i="1"/>
  <c r="U6165" i="1"/>
  <c r="U6173" i="1"/>
  <c r="U6181" i="1"/>
  <c r="U6189" i="1"/>
  <c r="U6197" i="1"/>
  <c r="U6205" i="1"/>
  <c r="U6213" i="1"/>
  <c r="U6221" i="1"/>
  <c r="U6229" i="1"/>
  <c r="U6237" i="1"/>
  <c r="U6245" i="1"/>
  <c r="U6253" i="1"/>
  <c r="U6261" i="1"/>
  <c r="U6269" i="1"/>
  <c r="U6277" i="1"/>
  <c r="U6285" i="1"/>
  <c r="U6293" i="1"/>
  <c r="U6301" i="1"/>
  <c r="U6309" i="1"/>
  <c r="U6317" i="1"/>
  <c r="U6325" i="1"/>
  <c r="U6333" i="1"/>
  <c r="U6341" i="1"/>
  <c r="U6349" i="1"/>
  <c r="U5597" i="1"/>
  <c r="U5639" i="1"/>
  <c r="U5755" i="1"/>
  <c r="U5769" i="1"/>
  <c r="U5783" i="1"/>
  <c r="U5840" i="1"/>
  <c r="U5852" i="1"/>
  <c r="U5901" i="1"/>
  <c r="U5913" i="1"/>
  <c r="U5974" i="1"/>
  <c r="U6035" i="1"/>
  <c r="U6047" i="1"/>
  <c r="U6095" i="1"/>
  <c r="U6127" i="1"/>
  <c r="U6159" i="1"/>
  <c r="U6191" i="1"/>
  <c r="U6223" i="1"/>
  <c r="U6255" i="1"/>
  <c r="U6279" i="1"/>
  <c r="U6307" i="1"/>
  <c r="U6314" i="1"/>
  <c r="U6343" i="1"/>
  <c r="U6355" i="1"/>
  <c r="U6371" i="1"/>
  <c r="U6387" i="1"/>
  <c r="U6403" i="1"/>
  <c r="U6419" i="1"/>
  <c r="U6435" i="1"/>
  <c r="U6451" i="1"/>
  <c r="U6467" i="1"/>
  <c r="U6475" i="1"/>
  <c r="U6478" i="1"/>
  <c r="U6481" i="1"/>
  <c r="U6484" i="1"/>
  <c r="U6487" i="1"/>
  <c r="U6490" i="1"/>
  <c r="U6493" i="1"/>
  <c r="U6539" i="1"/>
  <c r="U6542" i="1"/>
  <c r="U6545" i="1"/>
  <c r="U6548" i="1"/>
  <c r="U6551" i="1"/>
  <c r="U6554" i="1"/>
  <c r="U6557" i="1"/>
  <c r="U6603" i="1"/>
  <c r="U6606" i="1"/>
  <c r="U6609" i="1"/>
  <c r="U6612" i="1"/>
  <c r="U6615" i="1"/>
  <c r="U6618" i="1"/>
  <c r="U6621" i="1"/>
  <c r="U6667" i="1"/>
  <c r="U6670" i="1"/>
  <c r="U6673" i="1"/>
  <c r="U6676" i="1"/>
  <c r="U6679" i="1"/>
  <c r="U6682" i="1"/>
  <c r="U6685" i="1"/>
  <c r="U6731" i="1"/>
  <c r="U6734" i="1"/>
  <c r="U6737" i="1"/>
  <c r="U6740" i="1"/>
  <c r="U6743" i="1"/>
  <c r="U6746" i="1"/>
  <c r="U6749" i="1"/>
  <c r="U6795" i="1"/>
  <c r="U6798" i="1"/>
  <c r="U6801" i="1"/>
  <c r="U6804" i="1"/>
  <c r="U6807" i="1"/>
  <c r="U6810" i="1"/>
  <c r="U6813" i="1"/>
  <c r="U6859" i="1"/>
  <c r="U6862" i="1"/>
  <c r="U6865" i="1"/>
  <c r="U6868" i="1"/>
  <c r="U6871" i="1"/>
  <c r="U6874" i="1"/>
  <c r="U6877" i="1"/>
  <c r="U6901" i="1"/>
  <c r="U6909" i="1"/>
  <c r="U6917" i="1"/>
  <c r="U6925" i="1"/>
  <c r="U6933" i="1"/>
  <c r="U6941" i="1"/>
  <c r="U6949" i="1"/>
  <c r="U6957" i="1"/>
  <c r="U6965" i="1"/>
  <c r="U6973" i="1"/>
  <c r="U6981" i="1"/>
  <c r="U6989" i="1"/>
  <c r="U6997" i="1"/>
  <c r="U7005" i="1"/>
  <c r="U7013" i="1"/>
  <c r="U7021" i="1"/>
  <c r="U7029" i="1"/>
  <c r="U7037" i="1"/>
  <c r="U7045" i="1"/>
  <c r="U7053" i="1"/>
  <c r="U7061" i="1"/>
  <c r="U7069" i="1"/>
  <c r="U7077" i="1"/>
  <c r="U7085" i="1"/>
  <c r="U7093" i="1"/>
  <c r="U5661" i="1"/>
  <c r="U5741" i="1"/>
  <c r="U5798" i="1"/>
  <c r="U5812" i="1"/>
  <c r="U5877" i="1"/>
  <c r="U5889" i="1"/>
  <c r="U5950" i="1"/>
  <c r="U6011" i="1"/>
  <c r="U6023" i="1"/>
  <c r="U5687" i="1"/>
  <c r="U5787" i="1"/>
  <c r="U5801" i="1"/>
  <c r="U5815" i="1"/>
  <c r="U5843" i="1"/>
  <c r="U5855" i="1"/>
  <c r="U5904" i="1"/>
  <c r="U5916" i="1"/>
  <c r="U5965" i="1"/>
  <c r="U5977" i="1"/>
  <c r="U6038" i="1"/>
  <c r="U6119" i="1"/>
  <c r="U6151" i="1"/>
  <c r="U6183" i="1"/>
  <c r="U6215" i="1"/>
  <c r="U6247" i="1"/>
  <c r="U6266" i="1"/>
  <c r="U5613" i="1"/>
  <c r="U5645" i="1"/>
  <c r="U5702" i="1"/>
  <c r="U5716" i="1"/>
  <c r="U5773" i="1"/>
  <c r="U5830" i="1"/>
  <c r="U5880" i="1"/>
  <c r="U5892" i="1"/>
  <c r="U5941" i="1"/>
  <c r="U5953" i="1"/>
  <c r="U6014" i="1"/>
  <c r="U6075" i="1"/>
  <c r="U6087" i="1"/>
  <c r="U6098" i="1"/>
  <c r="U6130" i="1"/>
  <c r="U6162" i="1"/>
  <c r="U6194" i="1"/>
  <c r="U6226" i="1"/>
  <c r="U6258" i="1"/>
  <c r="U6267" i="1"/>
  <c r="U6274" i="1"/>
  <c r="U6303" i="1"/>
  <c r="U6331" i="1"/>
  <c r="U6338" i="1"/>
  <c r="U6357" i="1"/>
  <c r="U6373" i="1"/>
  <c r="U6389" i="1"/>
  <c r="U6405" i="1"/>
  <c r="U6421" i="1"/>
  <c r="U6437" i="1"/>
  <c r="U6453" i="1"/>
  <c r="U6469" i="1"/>
  <c r="U6473" i="1"/>
  <c r="U6476" i="1"/>
  <c r="U6479" i="1"/>
  <c r="U6482" i="1"/>
  <c r="U6485" i="1"/>
  <c r="U6531" i="1"/>
  <c r="U6534" i="1"/>
  <c r="U6537" i="1"/>
  <c r="U6540" i="1"/>
  <c r="U6543" i="1"/>
  <c r="U6546" i="1"/>
  <c r="U6549" i="1"/>
  <c r="U6595" i="1"/>
  <c r="U6598" i="1"/>
  <c r="U6601" i="1"/>
  <c r="U6604" i="1"/>
  <c r="U6607" i="1"/>
  <c r="U6610" i="1"/>
  <c r="U6613" i="1"/>
  <c r="U6659" i="1"/>
  <c r="U6662" i="1"/>
  <c r="U6665" i="1"/>
  <c r="U6668" i="1"/>
  <c r="U6671" i="1"/>
  <c r="U6674" i="1"/>
  <c r="U6677" i="1"/>
  <c r="U6723" i="1"/>
  <c r="U5671" i="1"/>
  <c r="U5691" i="1"/>
  <c r="U5705" i="1"/>
  <c r="U5719" i="1"/>
  <c r="U5819" i="1"/>
  <c r="U5833" i="1"/>
  <c r="U5846" i="1"/>
  <c r="U5907" i="1"/>
  <c r="U5919" i="1"/>
  <c r="U5968" i="1"/>
  <c r="U5980" i="1"/>
  <c r="U6029" i="1"/>
  <c r="U6041" i="1"/>
  <c r="U6111" i="1"/>
  <c r="U6143" i="1"/>
  <c r="U6175" i="1"/>
  <c r="U6207" i="1"/>
  <c r="U6239" i="1"/>
  <c r="U6275" i="1"/>
  <c r="U6282" i="1"/>
  <c r="U6311" i="1"/>
  <c r="U6339" i="1"/>
  <c r="U6346" i="1"/>
  <c r="U6363" i="1"/>
  <c r="U6379" i="1"/>
  <c r="U6395" i="1"/>
  <c r="U6411" i="1"/>
  <c r="U6427" i="1"/>
  <c r="U6443" i="1"/>
  <c r="U6459" i="1"/>
  <c r="U6507" i="1"/>
  <c r="U6510" i="1"/>
  <c r="U6513" i="1"/>
  <c r="U6516" i="1"/>
  <c r="U6519" i="1"/>
  <c r="U6522" i="1"/>
  <c r="U6525" i="1"/>
  <c r="U6571" i="1"/>
  <c r="U6574" i="1"/>
  <c r="U6577" i="1"/>
  <c r="U6580" i="1"/>
  <c r="U6583" i="1"/>
  <c r="U6586" i="1"/>
  <c r="U6589" i="1"/>
  <c r="U6635" i="1"/>
  <c r="U6638" i="1"/>
  <c r="U6641" i="1"/>
  <c r="U6644" i="1"/>
  <c r="U6647" i="1"/>
  <c r="U6650" i="1"/>
  <c r="U6653" i="1"/>
  <c r="U6699" i="1"/>
  <c r="U6702" i="1"/>
  <c r="U6705" i="1"/>
  <c r="U6708" i="1"/>
  <c r="U6711" i="1"/>
  <c r="U6714" i="1"/>
  <c r="U6717" i="1"/>
  <c r="U5734" i="1"/>
  <c r="U5748" i="1"/>
  <c r="U5805" i="1"/>
  <c r="U5883" i="1"/>
  <c r="U5895" i="1"/>
  <c r="U5944" i="1"/>
  <c r="U5956" i="1"/>
  <c r="U6005" i="1"/>
  <c r="U6017" i="1"/>
  <c r="U6078" i="1"/>
  <c r="U6090" i="1"/>
  <c r="U6122" i="1"/>
  <c r="U6154" i="1"/>
  <c r="U6186" i="1"/>
  <c r="U6218" i="1"/>
  <c r="U6250" i="1"/>
  <c r="U6283" i="1"/>
  <c r="U6290" i="1"/>
  <c r="U6319" i="1"/>
  <c r="U6347" i="1"/>
  <c r="U6359" i="1"/>
  <c r="U6375" i="1"/>
  <c r="U6391" i="1"/>
  <c r="U6407" i="1"/>
  <c r="U6423" i="1"/>
  <c r="U6439" i="1"/>
  <c r="U6455" i="1"/>
  <c r="U6483" i="1"/>
  <c r="U6486" i="1"/>
  <c r="U6489" i="1"/>
  <c r="U6492" i="1"/>
  <c r="U6495" i="1"/>
  <c r="U6498" i="1"/>
  <c r="U6501" i="1"/>
  <c r="U6547" i="1"/>
  <c r="U6550" i="1"/>
  <c r="U6553" i="1"/>
  <c r="U6556" i="1"/>
  <c r="U6559" i="1"/>
  <c r="U6562" i="1"/>
  <c r="U6565" i="1"/>
  <c r="U6611" i="1"/>
  <c r="U6614" i="1"/>
  <c r="U6617" i="1"/>
  <c r="U6620" i="1"/>
  <c r="U6623" i="1"/>
  <c r="U6626" i="1"/>
  <c r="U6629" i="1"/>
  <c r="U6675" i="1"/>
  <c r="U6678" i="1"/>
  <c r="U6681" i="1"/>
  <c r="U6684" i="1"/>
  <c r="U6687" i="1"/>
  <c r="U6690" i="1"/>
  <c r="U6693" i="1"/>
  <c r="U5629" i="1"/>
  <c r="U5655" i="1"/>
  <c r="U5723" i="1"/>
  <c r="U5737" i="1"/>
  <c r="U5751" i="1"/>
  <c r="U5849" i="1"/>
  <c r="U5910" i="1"/>
  <c r="U5971" i="1"/>
  <c r="U5983" i="1"/>
  <c r="U5677" i="1"/>
  <c r="U5709" i="1"/>
  <c r="U5766" i="1"/>
  <c r="U5780" i="1"/>
  <c r="U5837" i="1"/>
  <c r="U5886" i="1"/>
  <c r="U5947" i="1"/>
  <c r="U5959" i="1"/>
  <c r="U6008" i="1"/>
  <c r="U6020" i="1"/>
  <c r="U6069" i="1"/>
  <c r="U6081" i="1"/>
  <c r="U6114" i="1"/>
  <c r="U6146" i="1"/>
  <c r="U6178" i="1"/>
  <c r="U6210" i="1"/>
  <c r="U6242" i="1"/>
  <c r="U6271" i="1"/>
  <c r="U6299" i="1"/>
  <c r="U6306" i="1"/>
  <c r="U6335" i="1"/>
  <c r="U6365" i="1"/>
  <c r="U6381" i="1"/>
  <c r="U6397" i="1"/>
  <c r="U6413" i="1"/>
  <c r="U6429" i="1"/>
  <c r="U6445" i="1"/>
  <c r="U6461" i="1"/>
  <c r="U6471" i="1"/>
  <c r="U6499" i="1"/>
  <c r="U6502" i="1"/>
  <c r="U6505" i="1"/>
  <c r="U6508" i="1"/>
  <c r="U6511" i="1"/>
  <c r="U6514" i="1"/>
  <c r="U6517" i="1"/>
  <c r="U6563" i="1"/>
  <c r="U6566" i="1"/>
  <c r="U6569" i="1"/>
  <c r="U6572" i="1"/>
  <c r="U6575" i="1"/>
  <c r="U6578" i="1"/>
  <c r="U6581" i="1"/>
  <c r="U6084" i="1"/>
  <c r="U6170" i="1"/>
  <c r="U6370" i="1"/>
  <c r="U6399" i="1"/>
  <c r="U6426" i="1"/>
  <c r="U6494" i="1"/>
  <c r="U6527" i="1"/>
  <c r="U6535" i="1"/>
  <c r="U6567" i="1"/>
  <c r="U6646" i="1"/>
  <c r="U6652" i="1"/>
  <c r="U6658" i="1"/>
  <c r="U6707" i="1"/>
  <c r="U6713" i="1"/>
  <c r="U6719" i="1"/>
  <c r="U6725" i="1"/>
  <c r="U6729" i="1"/>
  <c r="U6750" i="1"/>
  <c r="U6767" i="1"/>
  <c r="U6771" i="1"/>
  <c r="U6781" i="1"/>
  <c r="U6788" i="1"/>
  <c r="U6802" i="1"/>
  <c r="U6809" i="1"/>
  <c r="U6823" i="1"/>
  <c r="U6830" i="1"/>
  <c r="U6844" i="1"/>
  <c r="U6851" i="1"/>
  <c r="U6861" i="1"/>
  <c r="U6882" i="1"/>
  <c r="U6889" i="1"/>
  <c r="U6936" i="1"/>
  <c r="U6939" i="1"/>
  <c r="U6942" i="1"/>
  <c r="U6945" i="1"/>
  <c r="U6948" i="1"/>
  <c r="U6951" i="1"/>
  <c r="U6954" i="1"/>
  <c r="U7000" i="1"/>
  <c r="U7003" i="1"/>
  <c r="U7006" i="1"/>
  <c r="U7009" i="1"/>
  <c r="U7012" i="1"/>
  <c r="U7015" i="1"/>
  <c r="U7018" i="1"/>
  <c r="U7064" i="1"/>
  <c r="U7067" i="1"/>
  <c r="U7070" i="1"/>
  <c r="U7073" i="1"/>
  <c r="U7076" i="1"/>
  <c r="U7079" i="1"/>
  <c r="U7082" i="1"/>
  <c r="U7100" i="1"/>
  <c r="U7108" i="1"/>
  <c r="U7116" i="1"/>
  <c r="U7124" i="1"/>
  <c r="U7132" i="1"/>
  <c r="U7140" i="1"/>
  <c r="U7148" i="1"/>
  <c r="U7156" i="1"/>
  <c r="U7164" i="1"/>
  <c r="U7172" i="1"/>
  <c r="U7180" i="1"/>
  <c r="U7188" i="1"/>
  <c r="U7196" i="1"/>
  <c r="U7204" i="1"/>
  <c r="U7212" i="1"/>
  <c r="U7220" i="1"/>
  <c r="U7228" i="1"/>
  <c r="U7236" i="1"/>
  <c r="U7244" i="1"/>
  <c r="U7252" i="1"/>
  <c r="U7260" i="1"/>
  <c r="U7268" i="1"/>
  <c r="U7276" i="1"/>
  <c r="U7284" i="1"/>
  <c r="U7292" i="1"/>
  <c r="U7300" i="1"/>
  <c r="U7308" i="1"/>
  <c r="U7316" i="1"/>
  <c r="U7324" i="1"/>
  <c r="U7332" i="1"/>
  <c r="U7340" i="1"/>
  <c r="U7348" i="1"/>
  <c r="U7356" i="1"/>
  <c r="U7364" i="1"/>
  <c r="U7372" i="1"/>
  <c r="U7380" i="1"/>
  <c r="U7388" i="1"/>
  <c r="U7396" i="1"/>
  <c r="U7404" i="1"/>
  <c r="U7412" i="1"/>
  <c r="U7420" i="1"/>
  <c r="U7428" i="1"/>
  <c r="U7436" i="1"/>
  <c r="U7444" i="1"/>
  <c r="U7452" i="1"/>
  <c r="U7460" i="1"/>
  <c r="U7468" i="1"/>
  <c r="U7476" i="1"/>
  <c r="U7484" i="1"/>
  <c r="U7492" i="1"/>
  <c r="U7500" i="1"/>
  <c r="U7508" i="1"/>
  <c r="U7516" i="1"/>
  <c r="U7524" i="1"/>
  <c r="U7532" i="1"/>
  <c r="U7540" i="1"/>
  <c r="U7548" i="1"/>
  <c r="U7556" i="1"/>
  <c r="U7564" i="1"/>
  <c r="U7572" i="1"/>
  <c r="U7580" i="1"/>
  <c r="U7588" i="1"/>
  <c r="U7596" i="1"/>
  <c r="U7604" i="1"/>
  <c r="U7612" i="1"/>
  <c r="U7620" i="1"/>
  <c r="U7628" i="1"/>
  <c r="U7636" i="1"/>
  <c r="U7644" i="1"/>
  <c r="U7652" i="1"/>
  <c r="U7660" i="1"/>
  <c r="U7668" i="1"/>
  <c r="U7676" i="1"/>
  <c r="U7684" i="1"/>
  <c r="U7692" i="1"/>
  <c r="U7700" i="1"/>
  <c r="U7708" i="1"/>
  <c r="U7716" i="1"/>
  <c r="U7724" i="1"/>
  <c r="U7732" i="1"/>
  <c r="U6032" i="1"/>
  <c r="U6135" i="1"/>
  <c r="U6263" i="1"/>
  <c r="U6322" i="1"/>
  <c r="U6386" i="1"/>
  <c r="U6415" i="1"/>
  <c r="U6442" i="1"/>
  <c r="U6503" i="1"/>
  <c r="U6585" i="1"/>
  <c r="U6593" i="1"/>
  <c r="U6622" i="1"/>
  <c r="U6628" i="1"/>
  <c r="U6634" i="1"/>
  <c r="U6683" i="1"/>
  <c r="U6689" i="1"/>
  <c r="U6695" i="1"/>
  <c r="U6701" i="1"/>
  <c r="U6747" i="1"/>
  <c r="U6757" i="1"/>
  <c r="U6764" i="1"/>
  <c r="U6778" i="1"/>
  <c r="U6785" i="1"/>
  <c r="U6799" i="1"/>
  <c r="U6806" i="1"/>
  <c r="U6820" i="1"/>
  <c r="U6827" i="1"/>
  <c r="U6837" i="1"/>
  <c r="U6841" i="1"/>
  <c r="U6858" i="1"/>
  <c r="U6879" i="1"/>
  <c r="U6886" i="1"/>
  <c r="U6893" i="1"/>
  <c r="U6912" i="1"/>
  <c r="U6915" i="1"/>
  <c r="U6918" i="1"/>
  <c r="U6921" i="1"/>
  <c r="U6924" i="1"/>
  <c r="U6927" i="1"/>
  <c r="U6930" i="1"/>
  <c r="U6976" i="1"/>
  <c r="U6979" i="1"/>
  <c r="U6982" i="1"/>
  <c r="U6985" i="1"/>
  <c r="U6988" i="1"/>
  <c r="U6991" i="1"/>
  <c r="U6994" i="1"/>
  <c r="U7040" i="1"/>
  <c r="U7043" i="1"/>
  <c r="U7046" i="1"/>
  <c r="U7049" i="1"/>
  <c r="U7052" i="1"/>
  <c r="U7055" i="1"/>
  <c r="U7058" i="1"/>
  <c r="U7103" i="1"/>
  <c r="U7111" i="1"/>
  <c r="U7119" i="1"/>
  <c r="U7127" i="1"/>
  <c r="U7135" i="1"/>
  <c r="U7143" i="1"/>
  <c r="U7151" i="1"/>
  <c r="U7159" i="1"/>
  <c r="U7167" i="1"/>
  <c r="U7175" i="1"/>
  <c r="U7183" i="1"/>
  <c r="U7191" i="1"/>
  <c r="U7199" i="1"/>
  <c r="U7207" i="1"/>
  <c r="U7215" i="1"/>
  <c r="U7223" i="1"/>
  <c r="U7231" i="1"/>
  <c r="U7239" i="1"/>
  <c r="U7247" i="1"/>
  <c r="U7255" i="1"/>
  <c r="U7263" i="1"/>
  <c r="U7271" i="1"/>
  <c r="U7279" i="1"/>
  <c r="U7287" i="1"/>
  <c r="U7295" i="1"/>
  <c r="U7303" i="1"/>
  <c r="U7311" i="1"/>
  <c r="U7319" i="1"/>
  <c r="U7327" i="1"/>
  <c r="U7335" i="1"/>
  <c r="U7343" i="1"/>
  <c r="U7351" i="1"/>
  <c r="U7359" i="1"/>
  <c r="U7367" i="1"/>
  <c r="U7375" i="1"/>
  <c r="U7383" i="1"/>
  <c r="U7391" i="1"/>
  <c r="U7399" i="1"/>
  <c r="U7407" i="1"/>
  <c r="U7415" i="1"/>
  <c r="U7423" i="1"/>
  <c r="U7431" i="1"/>
  <c r="U7439" i="1"/>
  <c r="U7447" i="1"/>
  <c r="U7455" i="1"/>
  <c r="U7463" i="1"/>
  <c r="U7471" i="1"/>
  <c r="U7479" i="1"/>
  <c r="U7487" i="1"/>
  <c r="U7495" i="1"/>
  <c r="U7503" i="1"/>
  <c r="U7511" i="1"/>
  <c r="U7519" i="1"/>
  <c r="U7527" i="1"/>
  <c r="U7535" i="1"/>
  <c r="U7543" i="1"/>
  <c r="U7551" i="1"/>
  <c r="U6044" i="1"/>
  <c r="U6138" i="1"/>
  <c r="U6287" i="1"/>
  <c r="U6323" i="1"/>
  <c r="U6402" i="1"/>
  <c r="U6431" i="1"/>
  <c r="U6458" i="1"/>
  <c r="U6521" i="1"/>
  <c r="U6529" i="1"/>
  <c r="U6561" i="1"/>
  <c r="U6594" i="1"/>
  <c r="U6602" i="1"/>
  <c r="U6654" i="1"/>
  <c r="U6660" i="1"/>
  <c r="U6666" i="1"/>
  <c r="U6715" i="1"/>
  <c r="U6721" i="1"/>
  <c r="U6726" i="1"/>
  <c r="U6733" i="1"/>
  <c r="U6754" i="1"/>
  <c r="U6761" i="1"/>
  <c r="U6775" i="1"/>
  <c r="U6782" i="1"/>
  <c r="U6789" i="1"/>
  <c r="U6796" i="1"/>
  <c r="U6803" i="1"/>
  <c r="U6817" i="1"/>
  <c r="U6834" i="1"/>
  <c r="U6838" i="1"/>
  <c r="U6855" i="1"/>
  <c r="U6869" i="1"/>
  <c r="U6876" i="1"/>
  <c r="U6883" i="1"/>
  <c r="U6890" i="1"/>
  <c r="U6897" i="1"/>
  <c r="U6900" i="1"/>
  <c r="U6903" i="1"/>
  <c r="U6906" i="1"/>
  <c r="U6952" i="1"/>
  <c r="U6955" i="1"/>
  <c r="U6958" i="1"/>
  <c r="U6961" i="1"/>
  <c r="U6964" i="1"/>
  <c r="U6967" i="1"/>
  <c r="U6970" i="1"/>
  <c r="U7016" i="1"/>
  <c r="U7019" i="1"/>
  <c r="U7022" i="1"/>
  <c r="U7025" i="1"/>
  <c r="U7028" i="1"/>
  <c r="U7031" i="1"/>
  <c r="U7034" i="1"/>
  <c r="U7080" i="1"/>
  <c r="U7083" i="1"/>
  <c r="U7086" i="1"/>
  <c r="U7089" i="1"/>
  <c r="U7092" i="1"/>
  <c r="U7095" i="1"/>
  <c r="U7098" i="1"/>
  <c r="U7106" i="1"/>
  <c r="U7114" i="1"/>
  <c r="U7122" i="1"/>
  <c r="U7130" i="1"/>
  <c r="U7138" i="1"/>
  <c r="U7146" i="1"/>
  <c r="U7154" i="1"/>
  <c r="U7162" i="1"/>
  <c r="U7170" i="1"/>
  <c r="U7178" i="1"/>
  <c r="U7186" i="1"/>
  <c r="U7194" i="1"/>
  <c r="U7202" i="1"/>
  <c r="U7210" i="1"/>
  <c r="U7218" i="1"/>
  <c r="U7226" i="1"/>
  <c r="U7234" i="1"/>
  <c r="U7242" i="1"/>
  <c r="U7250" i="1"/>
  <c r="U7258" i="1"/>
  <c r="U7266" i="1"/>
  <c r="U7274" i="1"/>
  <c r="U7282" i="1"/>
  <c r="U7290" i="1"/>
  <c r="U7298" i="1"/>
  <c r="U7306" i="1"/>
  <c r="U7314" i="1"/>
  <c r="U7322" i="1"/>
  <c r="U7330" i="1"/>
  <c r="U7338" i="1"/>
  <c r="U7346" i="1"/>
  <c r="U7354" i="1"/>
  <c r="U7362" i="1"/>
  <c r="U7370" i="1"/>
  <c r="U7378" i="1"/>
  <c r="U7386" i="1"/>
  <c r="U7394" i="1"/>
  <c r="U7402" i="1"/>
  <c r="U7410" i="1"/>
  <c r="U7418" i="1"/>
  <c r="U7426" i="1"/>
  <c r="U6103" i="1"/>
  <c r="U6231" i="1"/>
  <c r="U6327" i="1"/>
  <c r="U6418" i="1"/>
  <c r="U6447" i="1"/>
  <c r="U6497" i="1"/>
  <c r="U6530" i="1"/>
  <c r="U6538" i="1"/>
  <c r="U6570" i="1"/>
  <c r="U6579" i="1"/>
  <c r="U6587" i="1"/>
  <c r="U6630" i="1"/>
  <c r="U6636" i="1"/>
  <c r="U6642" i="1"/>
  <c r="U6691" i="1"/>
  <c r="U6697" i="1"/>
  <c r="U6703" i="1"/>
  <c r="U6709" i="1"/>
  <c r="U6730" i="1"/>
  <c r="U6751" i="1"/>
  <c r="U6758" i="1"/>
  <c r="U6765" i="1"/>
  <c r="U6772" i="1"/>
  <c r="U6779" i="1"/>
  <c r="U6786" i="1"/>
  <c r="U6793" i="1"/>
  <c r="U6814" i="1"/>
  <c r="U6831" i="1"/>
  <c r="U6835" i="1"/>
  <c r="U6845" i="1"/>
  <c r="U6852" i="1"/>
  <c r="U6866" i="1"/>
  <c r="U6873" i="1"/>
  <c r="U6887" i="1"/>
  <c r="U6894" i="1"/>
  <c r="U6928" i="1"/>
  <c r="U6931" i="1"/>
  <c r="U6934" i="1"/>
  <c r="U6937" i="1"/>
  <c r="U6940" i="1"/>
  <c r="U6943" i="1"/>
  <c r="U6946" i="1"/>
  <c r="U6992" i="1"/>
  <c r="U6995" i="1"/>
  <c r="U6998" i="1"/>
  <c r="U7001" i="1"/>
  <c r="U7004" i="1"/>
  <c r="U7007" i="1"/>
  <c r="U7010" i="1"/>
  <c r="U7056" i="1"/>
  <c r="U7059" i="1"/>
  <c r="U7062" i="1"/>
  <c r="U7065" i="1"/>
  <c r="U7068" i="1"/>
  <c r="U7071" i="1"/>
  <c r="U7074" i="1"/>
  <c r="U7101" i="1"/>
  <c r="U7109" i="1"/>
  <c r="U7117" i="1"/>
  <c r="U7125" i="1"/>
  <c r="U7133" i="1"/>
  <c r="U7141" i="1"/>
  <c r="U7149" i="1"/>
  <c r="U7157" i="1"/>
  <c r="U7165" i="1"/>
  <c r="U7173" i="1"/>
  <c r="U7181" i="1"/>
  <c r="U7189" i="1"/>
  <c r="U7197" i="1"/>
  <c r="U7205" i="1"/>
  <c r="U7213" i="1"/>
  <c r="U7221" i="1"/>
  <c r="U7229" i="1"/>
  <c r="U7237" i="1"/>
  <c r="U7245" i="1"/>
  <c r="U7253" i="1"/>
  <c r="U7261" i="1"/>
  <c r="U7269" i="1"/>
  <c r="U7277" i="1"/>
  <c r="U7285" i="1"/>
  <c r="U7293" i="1"/>
  <c r="U7301" i="1"/>
  <c r="U7309" i="1"/>
  <c r="U7317" i="1"/>
  <c r="U7325" i="1"/>
  <c r="U6106" i="1"/>
  <c r="U6234" i="1"/>
  <c r="U6291" i="1"/>
  <c r="U6362" i="1"/>
  <c r="U6434" i="1"/>
  <c r="U6463" i="1"/>
  <c r="U6474" i="1"/>
  <c r="U6506" i="1"/>
  <c r="U6515" i="1"/>
  <c r="U6523" i="1"/>
  <c r="U6555" i="1"/>
  <c r="U6588" i="1"/>
  <c r="U6596" i="1"/>
  <c r="U6643" i="1"/>
  <c r="U6649" i="1"/>
  <c r="U6655" i="1"/>
  <c r="U6661" i="1"/>
  <c r="U6710" i="1"/>
  <c r="U6716" i="1"/>
  <c r="U6722" i="1"/>
  <c r="U6727" i="1"/>
  <c r="U6741" i="1"/>
  <c r="U6748" i="1"/>
  <c r="U6755" i="1"/>
  <c r="U6762" i="1"/>
  <c r="U6769" i="1"/>
  <c r="U6783" i="1"/>
  <c r="U6790" i="1"/>
  <c r="U6811" i="1"/>
  <c r="U6821" i="1"/>
  <c r="U6828" i="1"/>
  <c r="U6842" i="1"/>
  <c r="U6849" i="1"/>
  <c r="U6863" i="1"/>
  <c r="U6870" i="1"/>
  <c r="U6884" i="1"/>
  <c r="U6891" i="1"/>
  <c r="U6904" i="1"/>
  <c r="U6907" i="1"/>
  <c r="U6910" i="1"/>
  <c r="U6913" i="1"/>
  <c r="U6916" i="1"/>
  <c r="U6919" i="1"/>
  <c r="U6922" i="1"/>
  <c r="U6968" i="1"/>
  <c r="U6971" i="1"/>
  <c r="U6974" i="1"/>
  <c r="U6977" i="1"/>
  <c r="U6980" i="1"/>
  <c r="U6983" i="1"/>
  <c r="U6986" i="1"/>
  <c r="U7032" i="1"/>
  <c r="U7035" i="1"/>
  <c r="U7038" i="1"/>
  <c r="U7041" i="1"/>
  <c r="U7044" i="1"/>
  <c r="U7047" i="1"/>
  <c r="U7050" i="1"/>
  <c r="U7096" i="1"/>
  <c r="U7104" i="1"/>
  <c r="U7112" i="1"/>
  <c r="U7120" i="1"/>
  <c r="U7128" i="1"/>
  <c r="U7136" i="1"/>
  <c r="U7144" i="1"/>
  <c r="U7152" i="1"/>
  <c r="U7160" i="1"/>
  <c r="U7168" i="1"/>
  <c r="U6199" i="1"/>
  <c r="U6330" i="1"/>
  <c r="U6351" i="1"/>
  <c r="U6378" i="1"/>
  <c r="U6450" i="1"/>
  <c r="U6491" i="1"/>
  <c r="U6524" i="1"/>
  <c r="U6532" i="1"/>
  <c r="U6564" i="1"/>
  <c r="U6597" i="1"/>
  <c r="U6605" i="1"/>
  <c r="U6619" i="1"/>
  <c r="U6625" i="1"/>
  <c r="U6631" i="1"/>
  <c r="U6637" i="1"/>
  <c r="U6686" i="1"/>
  <c r="U6692" i="1"/>
  <c r="U6698" i="1"/>
  <c r="U6072" i="1"/>
  <c r="U6202" i="1"/>
  <c r="U6295" i="1"/>
  <c r="U6315" i="1"/>
  <c r="U6367" i="1"/>
  <c r="U6394" i="1"/>
  <c r="U6466" i="1"/>
  <c r="U6500" i="1"/>
  <c r="U6533" i="1"/>
  <c r="U6541" i="1"/>
  <c r="U6573" i="1"/>
  <c r="U6582" i="1"/>
  <c r="U6590" i="1"/>
  <c r="U6651" i="1"/>
  <c r="U6657" i="1"/>
  <c r="U6663" i="1"/>
  <c r="U6669" i="1"/>
  <c r="U6718" i="1"/>
  <c r="U6724" i="1"/>
  <c r="U6735" i="1"/>
  <c r="U6742" i="1"/>
  <c r="U6756" i="1"/>
  <c r="U6763" i="1"/>
  <c r="U6773" i="1"/>
  <c r="U6777" i="1"/>
  <c r="U6794" i="1"/>
  <c r="U6815" i="1"/>
  <c r="U6822" i="1"/>
  <c r="U6829" i="1"/>
  <c r="U6836" i="1"/>
  <c r="U6843" i="1"/>
  <c r="U6850" i="1"/>
  <c r="U6857" i="1"/>
  <c r="U6878" i="1"/>
  <c r="U6895" i="1"/>
  <c r="U6920" i="1"/>
  <c r="U6923" i="1"/>
  <c r="U6926" i="1"/>
  <c r="U6929" i="1"/>
  <c r="U6932" i="1"/>
  <c r="U6935" i="1"/>
  <c r="U6938" i="1"/>
  <c r="U6984" i="1"/>
  <c r="U6987" i="1"/>
  <c r="U6990" i="1"/>
  <c r="U6993" i="1"/>
  <c r="U6996" i="1"/>
  <c r="U6999" i="1"/>
  <c r="U7002" i="1"/>
  <c r="U7048" i="1"/>
  <c r="U7051" i="1"/>
  <c r="U7054" i="1"/>
  <c r="U7057" i="1"/>
  <c r="U7060" i="1"/>
  <c r="U7063" i="1"/>
  <c r="U7066" i="1"/>
  <c r="U7102" i="1"/>
  <c r="U7110" i="1"/>
  <c r="U7118" i="1"/>
  <c r="U7126" i="1"/>
  <c r="U7134" i="1"/>
  <c r="U6167" i="1"/>
  <c r="U6298" i="1"/>
  <c r="U6354" i="1"/>
  <c r="U6383" i="1"/>
  <c r="U6410" i="1"/>
  <c r="U6477" i="1"/>
  <c r="U6509" i="1"/>
  <c r="U6518" i="1"/>
  <c r="U6526" i="1"/>
  <c r="U6558" i="1"/>
  <c r="U6591" i="1"/>
  <c r="U6599" i="1"/>
  <c r="U6627" i="1"/>
  <c r="U6633" i="1"/>
  <c r="U6639" i="1"/>
  <c r="U6645" i="1"/>
  <c r="U6694" i="1"/>
  <c r="U6700" i="1"/>
  <c r="U6706" i="1"/>
  <c r="U6797" i="1"/>
  <c r="U6825" i="1"/>
  <c r="U6839" i="1"/>
  <c r="U6853" i="1"/>
  <c r="U6867" i="1"/>
  <c r="U6881" i="1"/>
  <c r="U6944" i="1"/>
  <c r="U6956" i="1"/>
  <c r="U7017" i="1"/>
  <c r="U7078" i="1"/>
  <c r="U7090" i="1"/>
  <c r="U7123" i="1"/>
  <c r="U7150" i="1"/>
  <c r="U7182" i="1"/>
  <c r="U7198" i="1"/>
  <c r="U7214" i="1"/>
  <c r="U7230" i="1"/>
  <c r="U7246" i="1"/>
  <c r="U7262" i="1"/>
  <c r="U7278" i="1"/>
  <c r="U7294" i="1"/>
  <c r="U7310" i="1"/>
  <c r="U7326" i="1"/>
  <c r="U7336" i="1"/>
  <c r="U7349" i="1"/>
  <c r="U7361" i="1"/>
  <c r="U7374" i="1"/>
  <c r="U7387" i="1"/>
  <c r="U7400" i="1"/>
  <c r="U7413" i="1"/>
  <c r="U7425" i="1"/>
  <c r="U7440" i="1"/>
  <c r="U7454" i="1"/>
  <c r="U7458" i="1"/>
  <c r="U7472" i="1"/>
  <c r="U7486" i="1"/>
  <c r="U7490" i="1"/>
  <c r="U7504" i="1"/>
  <c r="U7518" i="1"/>
  <c r="U7522" i="1"/>
  <c r="U7536" i="1"/>
  <c r="U7550" i="1"/>
  <c r="U7554" i="1"/>
  <c r="U7557" i="1"/>
  <c r="U7560" i="1"/>
  <c r="U7563" i="1"/>
  <c r="U7566" i="1"/>
  <c r="U7569" i="1"/>
  <c r="U7615" i="1"/>
  <c r="U7618" i="1"/>
  <c r="U7621" i="1"/>
  <c r="U7624" i="1"/>
  <c r="U7627" i="1"/>
  <c r="U7630" i="1"/>
  <c r="U7633" i="1"/>
  <c r="U7679" i="1"/>
  <c r="U7682" i="1"/>
  <c r="U7685" i="1"/>
  <c r="U7688" i="1"/>
  <c r="U7691" i="1"/>
  <c r="U7694" i="1"/>
  <c r="U7697" i="1"/>
  <c r="U7745" i="1"/>
  <c r="U7753" i="1"/>
  <c r="U7761" i="1"/>
  <c r="U7769" i="1"/>
  <c r="U7777" i="1"/>
  <c r="U7785" i="1"/>
  <c r="U7793" i="1"/>
  <c r="U7801" i="1"/>
  <c r="U7809" i="1"/>
  <c r="U7817" i="1"/>
  <c r="U7825" i="1"/>
  <c r="U7833" i="1"/>
  <c r="U7841" i="1"/>
  <c r="U7849" i="1"/>
  <c r="U7857" i="1"/>
  <c r="U7865" i="1"/>
  <c r="U7873" i="1"/>
  <c r="U7881" i="1"/>
  <c r="U7889" i="1"/>
  <c r="U7897" i="1"/>
  <c r="U7905" i="1"/>
  <c r="U7913" i="1"/>
  <c r="U7921" i="1"/>
  <c r="U7929" i="1"/>
  <c r="U7937" i="1"/>
  <c r="U7945" i="1"/>
  <c r="U7953" i="1"/>
  <c r="U7961" i="1"/>
  <c r="U7969" i="1"/>
  <c r="U7977" i="1"/>
  <c r="U7985" i="1"/>
  <c r="U7993" i="1"/>
  <c r="U8001" i="1"/>
  <c r="U8009" i="1"/>
  <c r="U8017" i="1"/>
  <c r="U8025" i="1"/>
  <c r="U8033" i="1"/>
  <c r="U8041" i="1"/>
  <c r="U8049" i="1"/>
  <c r="U8057" i="1"/>
  <c r="U8065" i="1"/>
  <c r="U8073" i="1"/>
  <c r="U8081" i="1"/>
  <c r="U8089" i="1"/>
  <c r="U8097" i="1"/>
  <c r="U8105" i="1"/>
  <c r="U8113" i="1"/>
  <c r="U8121" i="1"/>
  <c r="U8129" i="1"/>
  <c r="U8137" i="1"/>
  <c r="U8145" i="1"/>
  <c r="U8153" i="1"/>
  <c r="U8161" i="1"/>
  <c r="U8169" i="1"/>
  <c r="U8177" i="1"/>
  <c r="U8185" i="1"/>
  <c r="U8193" i="1"/>
  <c r="U8201" i="1"/>
  <c r="U8209" i="1"/>
  <c r="U8217" i="1"/>
  <c r="U8225" i="1"/>
  <c r="U8233" i="1"/>
  <c r="U8241" i="1"/>
  <c r="U8249" i="1"/>
  <c r="U8257" i="1"/>
  <c r="U8265" i="1"/>
  <c r="U8273" i="1"/>
  <c r="U8281" i="1"/>
  <c r="U8289" i="1"/>
  <c r="U8297" i="1"/>
  <c r="U8305" i="1"/>
  <c r="U8313" i="1"/>
  <c r="U8321" i="1"/>
  <c r="U8329" i="1"/>
  <c r="U8337" i="1"/>
  <c r="U8345" i="1"/>
  <c r="U8353" i="1"/>
  <c r="U8361" i="1"/>
  <c r="U8369" i="1"/>
  <c r="U8377" i="1"/>
  <c r="U8385" i="1"/>
  <c r="U8393" i="1"/>
  <c r="U8401" i="1"/>
  <c r="U8409" i="1"/>
  <c r="U8417" i="1"/>
  <c r="U8425" i="1"/>
  <c r="U8433" i="1"/>
  <c r="U8441" i="1"/>
  <c r="U8449" i="1"/>
  <c r="U8457" i="1"/>
  <c r="U8465" i="1"/>
  <c r="U8473" i="1"/>
  <c r="U8481" i="1"/>
  <c r="U8489" i="1"/>
  <c r="U8497" i="1"/>
  <c r="U8505" i="1"/>
  <c r="U8513" i="1"/>
  <c r="U8521" i="1"/>
  <c r="U8529" i="1"/>
  <c r="U8537" i="1"/>
  <c r="U8545" i="1"/>
  <c r="U8553" i="1"/>
  <c r="U8561" i="1"/>
  <c r="U8569" i="1"/>
  <c r="U8577" i="1"/>
  <c r="U8585" i="1"/>
  <c r="U8593" i="1"/>
  <c r="U8601" i="1"/>
  <c r="U8609" i="1"/>
  <c r="U8617" i="1"/>
  <c r="U8625" i="1"/>
  <c r="U8633" i="1"/>
  <c r="U8641" i="1"/>
  <c r="U8649" i="1"/>
  <c r="U8657" i="1"/>
  <c r="U8665" i="1"/>
  <c r="U8673" i="1"/>
  <c r="U8681" i="1"/>
  <c r="U8689" i="1"/>
  <c r="U8697" i="1"/>
  <c r="U8705" i="1"/>
  <c r="U8713" i="1"/>
  <c r="U8721" i="1"/>
  <c r="U8729" i="1"/>
  <c r="U8737" i="1"/>
  <c r="U8745" i="1"/>
  <c r="U8753" i="1"/>
  <c r="U8761" i="1"/>
  <c r="U8769" i="1"/>
  <c r="U8777" i="1"/>
  <c r="U8785" i="1"/>
  <c r="U8793" i="1"/>
  <c r="U8801" i="1"/>
  <c r="U8809" i="1"/>
  <c r="U8817" i="1"/>
  <c r="U8825" i="1"/>
  <c r="U8833" i="1"/>
  <c r="U8841" i="1"/>
  <c r="U6770" i="1"/>
  <c r="U6812" i="1"/>
  <c r="U6826" i="1"/>
  <c r="U6854" i="1"/>
  <c r="U6908" i="1"/>
  <c r="U6969" i="1"/>
  <c r="U7030" i="1"/>
  <c r="U7042" i="1"/>
  <c r="U7091" i="1"/>
  <c r="U7113" i="1"/>
  <c r="U7158" i="1"/>
  <c r="U7177" i="1"/>
  <c r="U7193" i="1"/>
  <c r="U7209" i="1"/>
  <c r="U7225" i="1"/>
  <c r="U7241" i="1"/>
  <c r="U7257" i="1"/>
  <c r="U7273" i="1"/>
  <c r="U7289" i="1"/>
  <c r="U7305" i="1"/>
  <c r="U7321" i="1"/>
  <c r="U7341" i="1"/>
  <c r="U7353" i="1"/>
  <c r="U7366" i="1"/>
  <c r="U7379" i="1"/>
  <c r="U7392" i="1"/>
  <c r="U7405" i="1"/>
  <c r="U7417" i="1"/>
  <c r="U7433" i="1"/>
  <c r="U7437" i="1"/>
  <c r="U7451" i="1"/>
  <c r="U7465" i="1"/>
  <c r="U7469" i="1"/>
  <c r="U7483" i="1"/>
  <c r="U7497" i="1"/>
  <c r="U7501" i="1"/>
  <c r="U7515" i="1"/>
  <c r="U7529" i="1"/>
  <c r="U7533" i="1"/>
  <c r="U7547" i="1"/>
  <c r="U7591" i="1"/>
  <c r="U7594" i="1"/>
  <c r="U7597" i="1"/>
  <c r="U7600" i="1"/>
  <c r="U7603" i="1"/>
  <c r="U7606" i="1"/>
  <c r="U7609" i="1"/>
  <c r="U7655" i="1"/>
  <c r="U7658" i="1"/>
  <c r="U7661" i="1"/>
  <c r="U7664" i="1"/>
  <c r="U7667" i="1"/>
  <c r="U7670" i="1"/>
  <c r="U7673" i="1"/>
  <c r="U7719" i="1"/>
  <c r="U7722" i="1"/>
  <c r="U7725" i="1"/>
  <c r="U7728" i="1"/>
  <c r="U7731" i="1"/>
  <c r="U7734" i="1"/>
  <c r="U7737" i="1"/>
  <c r="U7740" i="1"/>
  <c r="U7748" i="1"/>
  <c r="U7756" i="1"/>
  <c r="U7764" i="1"/>
  <c r="U7772" i="1"/>
  <c r="U7780" i="1"/>
  <c r="U7788" i="1"/>
  <c r="U7796" i="1"/>
  <c r="U7804" i="1"/>
  <c r="U7812" i="1"/>
  <c r="U7820" i="1"/>
  <c r="U7828" i="1"/>
  <c r="U7836" i="1"/>
  <c r="U7844" i="1"/>
  <c r="U7852" i="1"/>
  <c r="U7860" i="1"/>
  <c r="U7868" i="1"/>
  <c r="U7876" i="1"/>
  <c r="U7884" i="1"/>
  <c r="U7892" i="1"/>
  <c r="U7900" i="1"/>
  <c r="U7908" i="1"/>
  <c r="U7916" i="1"/>
  <c r="U7924" i="1"/>
  <c r="U7932" i="1"/>
  <c r="U7940" i="1"/>
  <c r="U7948" i="1"/>
  <c r="U7956" i="1"/>
  <c r="U7964" i="1"/>
  <c r="U7972" i="1"/>
  <c r="U7980" i="1"/>
  <c r="U7988" i="1"/>
  <c r="U7996" i="1"/>
  <c r="U8004" i="1"/>
  <c r="U8012" i="1"/>
  <c r="U8020" i="1"/>
  <c r="U8028" i="1"/>
  <c r="U8036" i="1"/>
  <c r="U8044" i="1"/>
  <c r="U8052" i="1"/>
  <c r="U8060" i="1"/>
  <c r="U8068" i="1"/>
  <c r="U8076" i="1"/>
  <c r="U8084" i="1"/>
  <c r="U8092" i="1"/>
  <c r="U8100" i="1"/>
  <c r="U8108" i="1"/>
  <c r="U8116" i="1"/>
  <c r="U8124" i="1"/>
  <c r="U8132" i="1"/>
  <c r="U8140" i="1"/>
  <c r="U6745" i="1"/>
  <c r="U6759" i="1"/>
  <c r="U6787" i="1"/>
  <c r="U6898" i="1"/>
  <c r="U6947" i="1"/>
  <c r="U6959" i="1"/>
  <c r="U7008" i="1"/>
  <c r="U7020" i="1"/>
  <c r="U7081" i="1"/>
  <c r="U7115" i="1"/>
  <c r="U7166" i="1"/>
  <c r="U7184" i="1"/>
  <c r="U7200" i="1"/>
  <c r="U7216" i="1"/>
  <c r="U7232" i="1"/>
  <c r="U7248" i="1"/>
  <c r="U7264" i="1"/>
  <c r="U7280" i="1"/>
  <c r="U7296" i="1"/>
  <c r="U7312" i="1"/>
  <c r="U7328" i="1"/>
  <c r="U7333" i="1"/>
  <c r="U7345" i="1"/>
  <c r="U7358" i="1"/>
  <c r="U7371" i="1"/>
  <c r="U7384" i="1"/>
  <c r="U7397" i="1"/>
  <c r="U7409" i="1"/>
  <c r="U7422" i="1"/>
  <c r="U7430" i="1"/>
  <c r="U7434" i="1"/>
  <c r="U7448" i="1"/>
  <c r="U7462" i="1"/>
  <c r="U7466" i="1"/>
  <c r="U7480" i="1"/>
  <c r="U7494" i="1"/>
  <c r="U7498" i="1"/>
  <c r="U7512" i="1"/>
  <c r="U7526" i="1"/>
  <c r="U7530" i="1"/>
  <c r="U7544" i="1"/>
  <c r="U7567" i="1"/>
  <c r="U7570" i="1"/>
  <c r="U7573" i="1"/>
  <c r="U7576" i="1"/>
  <c r="U7579" i="1"/>
  <c r="U7582" i="1"/>
  <c r="U7585" i="1"/>
  <c r="U7631" i="1"/>
  <c r="U7634" i="1"/>
  <c r="U7637" i="1"/>
  <c r="U7640" i="1"/>
  <c r="U7643" i="1"/>
  <c r="U7646" i="1"/>
  <c r="U7649" i="1"/>
  <c r="U7695" i="1"/>
  <c r="U7698" i="1"/>
  <c r="U7701" i="1"/>
  <c r="U7704" i="1"/>
  <c r="U7707" i="1"/>
  <c r="U7710" i="1"/>
  <c r="U7713" i="1"/>
  <c r="U7743" i="1"/>
  <c r="U7751" i="1"/>
  <c r="U7759" i="1"/>
  <c r="U7767" i="1"/>
  <c r="U7775" i="1"/>
  <c r="U7783" i="1"/>
  <c r="U7791" i="1"/>
  <c r="U7799" i="1"/>
  <c r="U7807" i="1"/>
  <c r="U7815" i="1"/>
  <c r="U7823" i="1"/>
  <c r="U7831" i="1"/>
  <c r="U7839" i="1"/>
  <c r="U7847" i="1"/>
  <c r="U7855" i="1"/>
  <c r="U7863" i="1"/>
  <c r="U7871" i="1"/>
  <c r="U7879" i="1"/>
  <c r="U7887" i="1"/>
  <c r="U7895" i="1"/>
  <c r="U7903" i="1"/>
  <c r="U7911" i="1"/>
  <c r="U7919" i="1"/>
  <c r="U7927" i="1"/>
  <c r="U7935" i="1"/>
  <c r="U7943" i="1"/>
  <c r="U7951" i="1"/>
  <c r="U7959" i="1"/>
  <c r="U7967" i="1"/>
  <c r="U7975" i="1"/>
  <c r="U7983" i="1"/>
  <c r="U7991" i="1"/>
  <c r="U7999" i="1"/>
  <c r="U8007" i="1"/>
  <c r="U8015" i="1"/>
  <c r="U8023" i="1"/>
  <c r="U8031" i="1"/>
  <c r="U8039" i="1"/>
  <c r="U8047" i="1"/>
  <c r="U8055" i="1"/>
  <c r="U8063" i="1"/>
  <c r="U8071" i="1"/>
  <c r="U8079" i="1"/>
  <c r="U8087" i="1"/>
  <c r="U8095" i="1"/>
  <c r="U8103" i="1"/>
  <c r="U8111" i="1"/>
  <c r="U8119" i="1"/>
  <c r="U8127" i="1"/>
  <c r="U8135" i="1"/>
  <c r="U8143" i="1"/>
  <c r="U8151" i="1"/>
  <c r="U8159" i="1"/>
  <c r="U8167" i="1"/>
  <c r="U8175" i="1"/>
  <c r="U8183" i="1"/>
  <c r="U8191" i="1"/>
  <c r="U8199" i="1"/>
  <c r="U8207" i="1"/>
  <c r="U8215" i="1"/>
  <c r="U8223" i="1"/>
  <c r="U8231" i="1"/>
  <c r="U8239" i="1"/>
  <c r="U8247" i="1"/>
  <c r="U8255" i="1"/>
  <c r="U8263" i="1"/>
  <c r="U8271" i="1"/>
  <c r="U8279" i="1"/>
  <c r="U8287" i="1"/>
  <c r="U8295" i="1"/>
  <c r="U8303" i="1"/>
  <c r="U8311" i="1"/>
  <c r="U8319" i="1"/>
  <c r="U8327" i="1"/>
  <c r="U6732" i="1"/>
  <c r="U6774" i="1"/>
  <c r="U6885" i="1"/>
  <c r="U6899" i="1"/>
  <c r="U6911" i="1"/>
  <c r="U6960" i="1"/>
  <c r="U6972" i="1"/>
  <c r="U7033" i="1"/>
  <c r="U7094" i="1"/>
  <c r="U7105" i="1"/>
  <c r="U7137" i="1"/>
  <c r="U7145" i="1"/>
  <c r="U7179" i="1"/>
  <c r="U7195" i="1"/>
  <c r="U7211" i="1"/>
  <c r="U7227" i="1"/>
  <c r="U7243" i="1"/>
  <c r="U7259" i="1"/>
  <c r="U7275" i="1"/>
  <c r="U7291" i="1"/>
  <c r="U7307" i="1"/>
  <c r="U7323" i="1"/>
  <c r="U7337" i="1"/>
  <c r="U7350" i="1"/>
  <c r="U7363" i="1"/>
  <c r="U7376" i="1"/>
  <c r="U7389" i="1"/>
  <c r="U7401" i="1"/>
  <c r="U7414" i="1"/>
  <c r="U7427" i="1"/>
  <c r="U7441" i="1"/>
  <c r="U7445" i="1"/>
  <c r="U7459" i="1"/>
  <c r="U7473" i="1"/>
  <c r="U7477" i="1"/>
  <c r="U7491" i="1"/>
  <c r="U7505" i="1"/>
  <c r="U7509" i="1"/>
  <c r="U7523" i="1"/>
  <c r="U7537" i="1"/>
  <c r="U7541" i="1"/>
  <c r="U7555" i="1"/>
  <c r="U7558" i="1"/>
  <c r="U7561" i="1"/>
  <c r="U7607" i="1"/>
  <c r="U7610" i="1"/>
  <c r="U7613" i="1"/>
  <c r="U7616" i="1"/>
  <c r="U7619" i="1"/>
  <c r="U7622" i="1"/>
  <c r="U7625" i="1"/>
  <c r="U7671" i="1"/>
  <c r="U7674" i="1"/>
  <c r="U7677" i="1"/>
  <c r="U7680" i="1"/>
  <c r="U7683" i="1"/>
  <c r="U7686" i="1"/>
  <c r="U7689" i="1"/>
  <c r="U7735" i="1"/>
  <c r="U7738" i="1"/>
  <c r="U7746" i="1"/>
  <c r="U7754" i="1"/>
  <c r="U7762" i="1"/>
  <c r="U7770" i="1"/>
  <c r="U7778" i="1"/>
  <c r="U7786" i="1"/>
  <c r="U7794" i="1"/>
  <c r="U7802" i="1"/>
  <c r="U7810" i="1"/>
  <c r="U7818" i="1"/>
  <c r="U7826" i="1"/>
  <c r="U7834" i="1"/>
  <c r="U7842" i="1"/>
  <c r="U7850" i="1"/>
  <c r="U7858" i="1"/>
  <c r="U7866" i="1"/>
  <c r="U7874" i="1"/>
  <c r="U7882" i="1"/>
  <c r="U7890" i="1"/>
  <c r="U7898" i="1"/>
  <c r="U7906" i="1"/>
  <c r="U7914" i="1"/>
  <c r="U7922" i="1"/>
  <c r="U7930" i="1"/>
  <c r="U7938" i="1"/>
  <c r="U7946" i="1"/>
  <c r="U7954" i="1"/>
  <c r="U7962" i="1"/>
  <c r="U7970" i="1"/>
  <c r="U7978" i="1"/>
  <c r="U7986" i="1"/>
  <c r="U7994" i="1"/>
  <c r="U8002" i="1"/>
  <c r="U8010" i="1"/>
  <c r="U8018" i="1"/>
  <c r="U8026" i="1"/>
  <c r="U8034" i="1"/>
  <c r="U8042" i="1"/>
  <c r="U8050" i="1"/>
  <c r="U8058" i="1"/>
  <c r="U8066" i="1"/>
  <c r="U8074" i="1"/>
  <c r="U8082" i="1"/>
  <c r="U8090" i="1"/>
  <c r="U8098" i="1"/>
  <c r="U8106" i="1"/>
  <c r="U8114" i="1"/>
  <c r="U8122" i="1"/>
  <c r="U8130" i="1"/>
  <c r="U8138" i="1"/>
  <c r="U8146" i="1"/>
  <c r="U8154" i="1"/>
  <c r="U8162" i="1"/>
  <c r="U8170" i="1"/>
  <c r="U8178" i="1"/>
  <c r="U8186" i="1"/>
  <c r="U8194" i="1"/>
  <c r="U8202" i="1"/>
  <c r="U8210" i="1"/>
  <c r="U8218" i="1"/>
  <c r="U8226" i="1"/>
  <c r="U8234" i="1"/>
  <c r="U8242" i="1"/>
  <c r="U8250" i="1"/>
  <c r="U8258" i="1"/>
  <c r="U8266" i="1"/>
  <c r="U8274" i="1"/>
  <c r="U8282" i="1"/>
  <c r="U8290" i="1"/>
  <c r="U8298" i="1"/>
  <c r="U8306" i="1"/>
  <c r="U8314" i="1"/>
  <c r="U8322" i="1"/>
  <c r="U6818" i="1"/>
  <c r="U6846" i="1"/>
  <c r="U6860" i="1"/>
  <c r="U6950" i="1"/>
  <c r="U6962" i="1"/>
  <c r="U7011" i="1"/>
  <c r="U7023" i="1"/>
  <c r="U7072" i="1"/>
  <c r="U7084" i="1"/>
  <c r="U7107" i="1"/>
  <c r="U7139" i="1"/>
  <c r="U7147" i="1"/>
  <c r="U7153" i="1"/>
  <c r="U7174" i="1"/>
  <c r="U7190" i="1"/>
  <c r="U7206" i="1"/>
  <c r="U7222" i="1"/>
  <c r="U7238" i="1"/>
  <c r="U7254" i="1"/>
  <c r="U7270" i="1"/>
  <c r="U7286" i="1"/>
  <c r="U7302" i="1"/>
  <c r="U7318" i="1"/>
  <c r="U7342" i="1"/>
  <c r="U7355" i="1"/>
  <c r="U7368" i="1"/>
  <c r="U7381" i="1"/>
  <c r="U7393" i="1"/>
  <c r="U7406" i="1"/>
  <c r="U7419" i="1"/>
  <c r="U7438" i="1"/>
  <c r="U7442" i="1"/>
  <c r="U7456" i="1"/>
  <c r="U7470" i="1"/>
  <c r="U7474" i="1"/>
  <c r="U7488" i="1"/>
  <c r="U7502" i="1"/>
  <c r="U7506" i="1"/>
  <c r="U7520" i="1"/>
  <c r="U7534" i="1"/>
  <c r="U7538" i="1"/>
  <c r="U7552" i="1"/>
  <c r="U7583" i="1"/>
  <c r="U7586" i="1"/>
  <c r="U7589" i="1"/>
  <c r="U7592" i="1"/>
  <c r="U7595" i="1"/>
  <c r="U7598" i="1"/>
  <c r="U7601" i="1"/>
  <c r="U7647" i="1"/>
  <c r="U7650" i="1"/>
  <c r="U7653" i="1"/>
  <c r="U7656" i="1"/>
  <c r="U7659" i="1"/>
  <c r="U7662" i="1"/>
  <c r="U7665" i="1"/>
  <c r="U7711" i="1"/>
  <c r="U7714" i="1"/>
  <c r="U7717" i="1"/>
  <c r="U7720" i="1"/>
  <c r="U7723" i="1"/>
  <c r="U7726" i="1"/>
  <c r="U7729" i="1"/>
  <c r="U7741" i="1"/>
  <c r="U7749" i="1"/>
  <c r="U7757" i="1"/>
  <c r="U7765" i="1"/>
  <c r="U7773" i="1"/>
  <c r="U7781" i="1"/>
  <c r="U7789" i="1"/>
  <c r="U7797" i="1"/>
  <c r="U7805" i="1"/>
  <c r="U7813" i="1"/>
  <c r="U7821" i="1"/>
  <c r="U7829" i="1"/>
  <c r="U7837" i="1"/>
  <c r="U7845" i="1"/>
  <c r="U7853" i="1"/>
  <c r="U7861" i="1"/>
  <c r="U7869" i="1"/>
  <c r="U7877" i="1"/>
  <c r="U7885" i="1"/>
  <c r="U7893" i="1"/>
  <c r="U7901" i="1"/>
  <c r="U7909" i="1"/>
  <c r="U7917" i="1"/>
  <c r="U7925" i="1"/>
  <c r="U7933" i="1"/>
  <c r="U7941" i="1"/>
  <c r="U7949" i="1"/>
  <c r="U7957" i="1"/>
  <c r="U7965" i="1"/>
  <c r="U7973" i="1"/>
  <c r="U7981" i="1"/>
  <c r="U7989" i="1"/>
  <c r="U7997" i="1"/>
  <c r="U8005" i="1"/>
  <c r="U8013" i="1"/>
  <c r="U8021" i="1"/>
  <c r="U8029" i="1"/>
  <c r="U8037" i="1"/>
  <c r="U8045" i="1"/>
  <c r="U8053" i="1"/>
  <c r="U8061" i="1"/>
  <c r="U8069" i="1"/>
  <c r="U8077" i="1"/>
  <c r="U8085" i="1"/>
  <c r="U8093" i="1"/>
  <c r="U8101" i="1"/>
  <c r="U8109" i="1"/>
  <c r="U8117" i="1"/>
  <c r="U8125" i="1"/>
  <c r="U8133" i="1"/>
  <c r="U8141" i="1"/>
  <c r="U8149" i="1"/>
  <c r="U8157" i="1"/>
  <c r="U8165" i="1"/>
  <c r="U8173" i="1"/>
  <c r="U8181" i="1"/>
  <c r="U8189" i="1"/>
  <c r="U8197" i="1"/>
  <c r="U8205" i="1"/>
  <c r="U8213" i="1"/>
  <c r="U8221" i="1"/>
  <c r="U8229" i="1"/>
  <c r="U8237" i="1"/>
  <c r="U8245" i="1"/>
  <c r="U8253" i="1"/>
  <c r="U8261" i="1"/>
  <c r="U8269" i="1"/>
  <c r="U8277" i="1"/>
  <c r="U8285" i="1"/>
  <c r="U8293" i="1"/>
  <c r="U8301" i="1"/>
  <c r="U8309" i="1"/>
  <c r="U8317" i="1"/>
  <c r="U8325" i="1"/>
  <c r="U6791" i="1"/>
  <c r="U6805" i="1"/>
  <c r="U6819" i="1"/>
  <c r="U6833" i="1"/>
  <c r="U6847" i="1"/>
  <c r="U6875" i="1"/>
  <c r="U6902" i="1"/>
  <c r="U6914" i="1"/>
  <c r="U6963" i="1"/>
  <c r="U6975" i="1"/>
  <c r="U7024" i="1"/>
  <c r="U7036" i="1"/>
  <c r="U7097" i="1"/>
  <c r="U7129" i="1"/>
  <c r="U7155" i="1"/>
  <c r="U7161" i="1"/>
  <c r="U7185" i="1"/>
  <c r="U7201" i="1"/>
  <c r="U7217" i="1"/>
  <c r="U7233" i="1"/>
  <c r="U7249" i="1"/>
  <c r="U7265" i="1"/>
  <c r="U7281" i="1"/>
  <c r="U7297" i="1"/>
  <c r="U7313" i="1"/>
  <c r="U7329" i="1"/>
  <c r="U7334" i="1"/>
  <c r="U7347" i="1"/>
  <c r="U7360" i="1"/>
  <c r="U7373" i="1"/>
  <c r="U7385" i="1"/>
  <c r="U7398" i="1"/>
  <c r="U7411" i="1"/>
  <c r="U7424" i="1"/>
  <c r="U7435" i="1"/>
  <c r="U7449" i="1"/>
  <c r="U7453" i="1"/>
  <c r="U7467" i="1"/>
  <c r="U7481" i="1"/>
  <c r="U7485" i="1"/>
  <c r="U7499" i="1"/>
  <c r="U6738" i="1"/>
  <c r="U6766" i="1"/>
  <c r="U6780" i="1"/>
  <c r="U6953" i="1"/>
  <c r="U7014" i="1"/>
  <c r="U7026" i="1"/>
  <c r="U7075" i="1"/>
  <c r="U7087" i="1"/>
  <c r="U7099" i="1"/>
  <c r="U7131" i="1"/>
  <c r="U7163" i="1"/>
  <c r="U7169" i="1"/>
  <c r="U7176" i="1"/>
  <c r="U7192" i="1"/>
  <c r="U7208" i="1"/>
  <c r="U7224" i="1"/>
  <c r="U7240" i="1"/>
  <c r="U7256" i="1"/>
  <c r="U7272" i="1"/>
  <c r="U7288" i="1"/>
  <c r="U7304" i="1"/>
  <c r="U7320" i="1"/>
  <c r="U7339" i="1"/>
  <c r="U7352" i="1"/>
  <c r="U7365" i="1"/>
  <c r="U7377" i="1"/>
  <c r="U7390" i="1"/>
  <c r="U7403" i="1"/>
  <c r="U7416" i="1"/>
  <c r="U7432" i="1"/>
  <c r="U7446" i="1"/>
  <c r="U7450" i="1"/>
  <c r="U7464" i="1"/>
  <c r="U7478" i="1"/>
  <c r="U7482" i="1"/>
  <c r="U7496" i="1"/>
  <c r="U6739" i="1"/>
  <c r="U6753" i="1"/>
  <c r="U6892" i="1"/>
  <c r="U6905" i="1"/>
  <c r="U6966" i="1"/>
  <c r="U6978" i="1"/>
  <c r="U7027" i="1"/>
  <c r="U7039" i="1"/>
  <c r="U7088" i="1"/>
  <c r="U7121" i="1"/>
  <c r="U7142" i="1"/>
  <c r="U7171" i="1"/>
  <c r="U7187" i="1"/>
  <c r="U7203" i="1"/>
  <c r="U7219" i="1"/>
  <c r="U7235" i="1"/>
  <c r="U7251" i="1"/>
  <c r="U7267" i="1"/>
  <c r="U7283" i="1"/>
  <c r="U7299" i="1"/>
  <c r="U7315" i="1"/>
  <c r="U7331" i="1"/>
  <c r="U7344" i="1"/>
  <c r="U7357" i="1"/>
  <c r="U7369" i="1"/>
  <c r="U7382" i="1"/>
  <c r="U7395" i="1"/>
  <c r="U7408" i="1"/>
  <c r="U7421" i="1"/>
  <c r="U7429" i="1"/>
  <c r="U7443" i="1"/>
  <c r="U7457" i="1"/>
  <c r="U7461" i="1"/>
  <c r="U7475" i="1"/>
  <c r="U7489" i="1"/>
  <c r="U7493" i="1"/>
  <c r="U7507" i="1"/>
  <c r="U7521" i="1"/>
  <c r="U7525" i="1"/>
  <c r="U7539" i="1"/>
  <c r="U7553" i="1"/>
  <c r="U7575" i="1"/>
  <c r="U7578" i="1"/>
  <c r="U7581" i="1"/>
  <c r="U7584" i="1"/>
  <c r="U7587" i="1"/>
  <c r="U7590" i="1"/>
  <c r="U7593" i="1"/>
  <c r="U7639" i="1"/>
  <c r="U7642" i="1"/>
  <c r="U7645" i="1"/>
  <c r="U7648" i="1"/>
  <c r="U7651" i="1"/>
  <c r="U7654" i="1"/>
  <c r="U7657" i="1"/>
  <c r="U7703" i="1"/>
  <c r="U7706" i="1"/>
  <c r="U7709" i="1"/>
  <c r="U7712" i="1"/>
  <c r="U7715" i="1"/>
  <c r="U7718" i="1"/>
  <c r="U7721" i="1"/>
  <c r="U7742" i="1"/>
  <c r="U7750" i="1"/>
  <c r="U7758" i="1"/>
  <c r="U7766" i="1"/>
  <c r="U7774" i="1"/>
  <c r="U7782" i="1"/>
  <c r="U7790" i="1"/>
  <c r="U7798" i="1"/>
  <c r="U7806" i="1"/>
  <c r="U7814" i="1"/>
  <c r="U7822" i="1"/>
  <c r="U7830" i="1"/>
  <c r="U7838" i="1"/>
  <c r="U7846" i="1"/>
  <c r="U7854" i="1"/>
  <c r="U7862" i="1"/>
  <c r="U7870" i="1"/>
  <c r="U7878" i="1"/>
  <c r="U7886" i="1"/>
  <c r="U7894" i="1"/>
  <c r="U7902" i="1"/>
  <c r="U7910" i="1"/>
  <c r="U7918" i="1"/>
  <c r="U7926" i="1"/>
  <c r="U7934" i="1"/>
  <c r="U7942" i="1"/>
  <c r="U7950" i="1"/>
  <c r="U7958" i="1"/>
  <c r="U7966" i="1"/>
  <c r="U7974" i="1"/>
  <c r="U7982" i="1"/>
  <c r="U7990" i="1"/>
  <c r="U7998" i="1"/>
  <c r="U8006" i="1"/>
  <c r="U8014" i="1"/>
  <c r="U8022" i="1"/>
  <c r="U8030" i="1"/>
  <c r="U8038" i="1"/>
  <c r="U8046" i="1"/>
  <c r="U8054" i="1"/>
  <c r="U8062" i="1"/>
  <c r="U8070" i="1"/>
  <c r="U8078" i="1"/>
  <c r="U8086" i="1"/>
  <c r="U8094" i="1"/>
  <c r="U8102" i="1"/>
  <c r="U8110" i="1"/>
  <c r="U8118" i="1"/>
  <c r="U8126" i="1"/>
  <c r="U8134" i="1"/>
  <c r="U8142" i="1"/>
  <c r="U8150" i="1"/>
  <c r="U7599" i="1"/>
  <c r="U7611" i="1"/>
  <c r="U7672" i="1"/>
  <c r="U7733" i="1"/>
  <c r="U7755" i="1"/>
  <c r="U7787" i="1"/>
  <c r="U7819" i="1"/>
  <c r="U7851" i="1"/>
  <c r="U7883" i="1"/>
  <c r="U7915" i="1"/>
  <c r="U7947" i="1"/>
  <c r="U7979" i="1"/>
  <c r="U8011" i="1"/>
  <c r="U8043" i="1"/>
  <c r="U8075" i="1"/>
  <c r="U8107" i="1"/>
  <c r="U8139" i="1"/>
  <c r="U8166" i="1"/>
  <c r="U8182" i="1"/>
  <c r="U8198" i="1"/>
  <c r="U8214" i="1"/>
  <c r="U8230" i="1"/>
  <c r="U8246" i="1"/>
  <c r="U8262" i="1"/>
  <c r="U8278" i="1"/>
  <c r="U8294" i="1"/>
  <c r="U8310" i="1"/>
  <c r="U8326" i="1"/>
  <c r="U8364" i="1"/>
  <c r="U8367" i="1"/>
  <c r="U8370" i="1"/>
  <c r="U8373" i="1"/>
  <c r="U8376" i="1"/>
  <c r="U8379" i="1"/>
  <c r="U8382" i="1"/>
  <c r="U8428" i="1"/>
  <c r="U8431" i="1"/>
  <c r="U8434" i="1"/>
  <c r="U8437" i="1"/>
  <c r="U8440" i="1"/>
  <c r="U8443" i="1"/>
  <c r="U8446" i="1"/>
  <c r="U8492" i="1"/>
  <c r="U8495" i="1"/>
  <c r="U8498" i="1"/>
  <c r="U8501" i="1"/>
  <c r="U8504" i="1"/>
  <c r="U8507" i="1"/>
  <c r="U8510" i="1"/>
  <c r="U8556" i="1"/>
  <c r="U8559" i="1"/>
  <c r="U8562" i="1"/>
  <c r="U8565" i="1"/>
  <c r="U8568" i="1"/>
  <c r="U8571" i="1"/>
  <c r="U8574" i="1"/>
  <c r="U8620" i="1"/>
  <c r="U8623" i="1"/>
  <c r="U8626" i="1"/>
  <c r="U8629" i="1"/>
  <c r="U8632" i="1"/>
  <c r="U8635" i="1"/>
  <c r="U8638" i="1"/>
  <c r="U8684" i="1"/>
  <c r="U8687" i="1"/>
  <c r="U8690" i="1"/>
  <c r="U8693" i="1"/>
  <c r="U8696" i="1"/>
  <c r="U8699" i="1"/>
  <c r="U8702" i="1"/>
  <c r="U8748" i="1"/>
  <c r="U8751" i="1"/>
  <c r="U8754" i="1"/>
  <c r="U8757" i="1"/>
  <c r="U8760" i="1"/>
  <c r="U8763" i="1"/>
  <c r="U8766" i="1"/>
  <c r="U8812" i="1"/>
  <c r="U8815" i="1"/>
  <c r="U8818" i="1"/>
  <c r="U8821" i="1"/>
  <c r="U8824" i="1"/>
  <c r="U8827" i="1"/>
  <c r="U8830" i="1"/>
  <c r="U8848" i="1"/>
  <c r="U8856" i="1"/>
  <c r="U8864" i="1"/>
  <c r="U8872" i="1"/>
  <c r="U8880" i="1"/>
  <c r="U8888" i="1"/>
  <c r="U8896" i="1"/>
  <c r="U8904" i="1"/>
  <c r="U8912" i="1"/>
  <c r="U8920" i="1"/>
  <c r="U8928" i="1"/>
  <c r="U8936" i="1"/>
  <c r="U8944" i="1"/>
  <c r="U8952" i="1"/>
  <c r="U8960" i="1"/>
  <c r="U8968" i="1"/>
  <c r="U8976" i="1"/>
  <c r="U8984" i="1"/>
  <c r="U8992" i="1"/>
  <c r="U9000" i="1"/>
  <c r="U9008" i="1"/>
  <c r="U9016" i="1"/>
  <c r="U9024" i="1"/>
  <c r="U9032" i="1"/>
  <c r="U9040" i="1"/>
  <c r="U9048" i="1"/>
  <c r="U9056" i="1"/>
  <c r="U9064" i="1"/>
  <c r="U9072" i="1"/>
  <c r="U9080" i="1"/>
  <c r="U9088" i="1"/>
  <c r="U9096" i="1"/>
  <c r="U9104" i="1"/>
  <c r="U9112" i="1"/>
  <c r="U9120" i="1"/>
  <c r="U9128" i="1"/>
  <c r="U9136" i="1"/>
  <c r="U9144" i="1"/>
  <c r="U9152" i="1"/>
  <c r="U9160" i="1"/>
  <c r="U9168" i="1"/>
  <c r="U9176" i="1"/>
  <c r="U9184" i="1"/>
  <c r="U9192" i="1"/>
  <c r="U9200" i="1"/>
  <c r="U9208" i="1"/>
  <c r="U9216" i="1"/>
  <c r="U9224" i="1"/>
  <c r="U9232" i="1"/>
  <c r="U9240" i="1"/>
  <c r="U9248" i="1"/>
  <c r="U9256" i="1"/>
  <c r="U9264" i="1"/>
  <c r="U9272" i="1"/>
  <c r="U9280" i="1"/>
  <c r="U9288" i="1"/>
  <c r="U9296" i="1"/>
  <c r="U9304" i="1"/>
  <c r="U9312" i="1"/>
  <c r="U9320" i="1"/>
  <c r="U9328" i="1"/>
  <c r="U9336" i="1"/>
  <c r="U9344" i="1"/>
  <c r="U9352" i="1"/>
  <c r="U9360" i="1"/>
  <c r="U9368" i="1"/>
  <c r="U9376" i="1"/>
  <c r="U9384" i="1"/>
  <c r="U9392" i="1"/>
  <c r="U9400" i="1"/>
  <c r="U9408" i="1"/>
  <c r="U9416" i="1"/>
  <c r="U9424" i="1"/>
  <c r="U9432" i="1"/>
  <c r="U9440" i="1"/>
  <c r="U9448" i="1"/>
  <c r="U9456" i="1"/>
  <c r="U9464" i="1"/>
  <c r="U9472" i="1"/>
  <c r="U9480" i="1"/>
  <c r="U9488" i="1"/>
  <c r="U9496" i="1"/>
  <c r="U9504" i="1"/>
  <c r="U9512" i="1"/>
  <c r="U9520" i="1"/>
  <c r="U9528" i="1"/>
  <c r="U7565" i="1"/>
  <c r="U7577" i="1"/>
  <c r="U7626" i="1"/>
  <c r="U7638" i="1"/>
  <c r="U7687" i="1"/>
  <c r="U7699" i="1"/>
  <c r="U7768" i="1"/>
  <c r="U7800" i="1"/>
  <c r="U7832" i="1"/>
  <c r="U7864" i="1"/>
  <c r="U7896" i="1"/>
  <c r="U7928" i="1"/>
  <c r="U7960" i="1"/>
  <c r="U7992" i="1"/>
  <c r="U8024" i="1"/>
  <c r="U8056" i="1"/>
  <c r="U8088" i="1"/>
  <c r="U8120" i="1"/>
  <c r="U8156" i="1"/>
  <c r="U8172" i="1"/>
  <c r="U8188" i="1"/>
  <c r="U8204" i="1"/>
  <c r="U8220" i="1"/>
  <c r="U8236" i="1"/>
  <c r="U8252" i="1"/>
  <c r="U8268" i="1"/>
  <c r="U8284" i="1"/>
  <c r="U8300" i="1"/>
  <c r="U8316" i="1"/>
  <c r="U8340" i="1"/>
  <c r="U8343" i="1"/>
  <c r="U8346" i="1"/>
  <c r="U8349" i="1"/>
  <c r="U8352" i="1"/>
  <c r="U8355" i="1"/>
  <c r="U8358" i="1"/>
  <c r="U8404" i="1"/>
  <c r="U8407" i="1"/>
  <c r="U8410" i="1"/>
  <c r="U8413" i="1"/>
  <c r="U8416" i="1"/>
  <c r="U8419" i="1"/>
  <c r="U8422" i="1"/>
  <c r="U8468" i="1"/>
  <c r="U8471" i="1"/>
  <c r="U8474" i="1"/>
  <c r="U8477" i="1"/>
  <c r="U8480" i="1"/>
  <c r="U8483" i="1"/>
  <c r="U8486" i="1"/>
  <c r="U8532" i="1"/>
  <c r="U8535" i="1"/>
  <c r="U8538" i="1"/>
  <c r="U8541" i="1"/>
  <c r="U8544" i="1"/>
  <c r="U8547" i="1"/>
  <c r="U8550" i="1"/>
  <c r="U8596" i="1"/>
  <c r="U8599" i="1"/>
  <c r="U8602" i="1"/>
  <c r="U8605" i="1"/>
  <c r="U8608" i="1"/>
  <c r="U8611" i="1"/>
  <c r="U8614" i="1"/>
  <c r="U8660" i="1"/>
  <c r="U8663" i="1"/>
  <c r="U8666" i="1"/>
  <c r="U8669" i="1"/>
  <c r="U8672" i="1"/>
  <c r="U8675" i="1"/>
  <c r="U8678" i="1"/>
  <c r="U8724" i="1"/>
  <c r="U8727" i="1"/>
  <c r="U8730" i="1"/>
  <c r="U8733" i="1"/>
  <c r="U8736" i="1"/>
  <c r="U8739" i="1"/>
  <c r="U8742" i="1"/>
  <c r="U8788" i="1"/>
  <c r="U8791" i="1"/>
  <c r="U8794" i="1"/>
  <c r="U8797" i="1"/>
  <c r="U8800" i="1"/>
  <c r="U8803" i="1"/>
  <c r="U8806" i="1"/>
  <c r="U8851" i="1"/>
  <c r="U8859" i="1"/>
  <c r="U8867" i="1"/>
  <c r="U8875" i="1"/>
  <c r="U8883" i="1"/>
  <c r="U8891" i="1"/>
  <c r="U8899" i="1"/>
  <c r="U8907" i="1"/>
  <c r="U8915" i="1"/>
  <c r="U8923" i="1"/>
  <c r="U8931" i="1"/>
  <c r="U8939" i="1"/>
  <c r="U8947" i="1"/>
  <c r="U8955" i="1"/>
  <c r="U8963" i="1"/>
  <c r="U8971" i="1"/>
  <c r="U8979" i="1"/>
  <c r="U8987" i="1"/>
  <c r="U8995" i="1"/>
  <c r="U9003" i="1"/>
  <c r="U9011" i="1"/>
  <c r="U9019" i="1"/>
  <c r="U9027" i="1"/>
  <c r="U9035" i="1"/>
  <c r="U9043" i="1"/>
  <c r="U9051" i="1"/>
  <c r="U9059" i="1"/>
  <c r="U9067" i="1"/>
  <c r="U9075" i="1"/>
  <c r="U9083" i="1"/>
  <c r="U9091" i="1"/>
  <c r="U9099" i="1"/>
  <c r="U7510" i="1"/>
  <c r="U7602" i="1"/>
  <c r="U7614" i="1"/>
  <c r="U7663" i="1"/>
  <c r="U7675" i="1"/>
  <c r="U7736" i="1"/>
  <c r="U7747" i="1"/>
  <c r="U7779" i="1"/>
  <c r="U7811" i="1"/>
  <c r="U7843" i="1"/>
  <c r="U7875" i="1"/>
  <c r="U7907" i="1"/>
  <c r="U7939" i="1"/>
  <c r="U7971" i="1"/>
  <c r="U8003" i="1"/>
  <c r="U8035" i="1"/>
  <c r="U8067" i="1"/>
  <c r="U8099" i="1"/>
  <c r="U8131" i="1"/>
  <c r="U8168" i="1"/>
  <c r="U8184" i="1"/>
  <c r="U8200" i="1"/>
  <c r="U8216" i="1"/>
  <c r="U8232" i="1"/>
  <c r="U8248" i="1"/>
  <c r="U8264" i="1"/>
  <c r="U8280" i="1"/>
  <c r="U8296" i="1"/>
  <c r="U8312" i="1"/>
  <c r="U8328" i="1"/>
  <c r="U8331" i="1"/>
  <c r="U8334" i="1"/>
  <c r="U8380" i="1"/>
  <c r="U8383" i="1"/>
  <c r="U8386" i="1"/>
  <c r="U8389" i="1"/>
  <c r="U8392" i="1"/>
  <c r="U8395" i="1"/>
  <c r="U8398" i="1"/>
  <c r="U8444" i="1"/>
  <c r="U8447" i="1"/>
  <c r="U8450" i="1"/>
  <c r="U8453" i="1"/>
  <c r="U8456" i="1"/>
  <c r="U8459" i="1"/>
  <c r="U8462" i="1"/>
  <c r="U8508" i="1"/>
  <c r="U8511" i="1"/>
  <c r="U8514" i="1"/>
  <c r="U8517" i="1"/>
  <c r="U8520" i="1"/>
  <c r="U8523" i="1"/>
  <c r="U8526" i="1"/>
  <c r="U8572" i="1"/>
  <c r="U8575" i="1"/>
  <c r="U8578" i="1"/>
  <c r="U8581" i="1"/>
  <c r="U8584" i="1"/>
  <c r="U8587" i="1"/>
  <c r="U8590" i="1"/>
  <c r="U8636" i="1"/>
  <c r="U8639" i="1"/>
  <c r="U8642" i="1"/>
  <c r="U8645" i="1"/>
  <c r="U8648" i="1"/>
  <c r="U8651" i="1"/>
  <c r="U8654" i="1"/>
  <c r="U8700" i="1"/>
  <c r="U8703" i="1"/>
  <c r="U8706" i="1"/>
  <c r="U8709" i="1"/>
  <c r="U8712" i="1"/>
  <c r="U8715" i="1"/>
  <c r="U8718" i="1"/>
  <c r="U8764" i="1"/>
  <c r="U8767" i="1"/>
  <c r="U8770" i="1"/>
  <c r="U8773" i="1"/>
  <c r="U8776" i="1"/>
  <c r="U8779" i="1"/>
  <c r="U8782" i="1"/>
  <c r="U8828" i="1"/>
  <c r="U8831" i="1"/>
  <c r="U8834" i="1"/>
  <c r="U8837" i="1"/>
  <c r="U8840" i="1"/>
  <c r="U8843" i="1"/>
  <c r="U8846" i="1"/>
  <c r="U8854" i="1"/>
  <c r="U8862" i="1"/>
  <c r="U8870" i="1"/>
  <c r="U8878" i="1"/>
  <c r="U8886" i="1"/>
  <c r="U8894" i="1"/>
  <c r="U8902" i="1"/>
  <c r="U8910" i="1"/>
  <c r="U8918" i="1"/>
  <c r="U8926" i="1"/>
  <c r="U8934" i="1"/>
  <c r="U8942" i="1"/>
  <c r="U8950" i="1"/>
  <c r="U8958" i="1"/>
  <c r="U8966" i="1"/>
  <c r="U8974" i="1"/>
  <c r="U8982" i="1"/>
  <c r="U8990" i="1"/>
  <c r="U8998" i="1"/>
  <c r="U9006" i="1"/>
  <c r="U9014" i="1"/>
  <c r="U9022" i="1"/>
  <c r="U9030" i="1"/>
  <c r="U9038" i="1"/>
  <c r="U9046" i="1"/>
  <c r="U9054" i="1"/>
  <c r="U9062" i="1"/>
  <c r="U9070" i="1"/>
  <c r="U9078" i="1"/>
  <c r="U9086" i="1"/>
  <c r="U9094" i="1"/>
  <c r="U9102" i="1"/>
  <c r="U7513" i="1"/>
  <c r="U7568" i="1"/>
  <c r="U7629" i="1"/>
  <c r="U7641" i="1"/>
  <c r="U7690" i="1"/>
  <c r="U7702" i="1"/>
  <c r="U7760" i="1"/>
  <c r="U7792" i="1"/>
  <c r="U7824" i="1"/>
  <c r="U7856" i="1"/>
  <c r="U7888" i="1"/>
  <c r="U7920" i="1"/>
  <c r="U7952" i="1"/>
  <c r="U7984" i="1"/>
  <c r="U8016" i="1"/>
  <c r="U8048" i="1"/>
  <c r="U8080" i="1"/>
  <c r="U8112" i="1"/>
  <c r="U8144" i="1"/>
  <c r="U8152" i="1"/>
  <c r="U8163" i="1"/>
  <c r="U8179" i="1"/>
  <c r="U8195" i="1"/>
  <c r="U8211" i="1"/>
  <c r="U8227" i="1"/>
  <c r="U8243" i="1"/>
  <c r="U8259" i="1"/>
  <c r="U8275" i="1"/>
  <c r="U8291" i="1"/>
  <c r="U8307" i="1"/>
  <c r="U8323" i="1"/>
  <c r="U8356" i="1"/>
  <c r="U8359" i="1"/>
  <c r="U8362" i="1"/>
  <c r="U8365" i="1"/>
  <c r="U8368" i="1"/>
  <c r="U8371" i="1"/>
  <c r="U8374" i="1"/>
  <c r="U8420" i="1"/>
  <c r="U8423" i="1"/>
  <c r="U8426" i="1"/>
  <c r="U8429" i="1"/>
  <c r="U8432" i="1"/>
  <c r="U8435" i="1"/>
  <c r="U8438" i="1"/>
  <c r="U8484" i="1"/>
  <c r="U8487" i="1"/>
  <c r="U8490" i="1"/>
  <c r="U8493" i="1"/>
  <c r="U8496" i="1"/>
  <c r="U8499" i="1"/>
  <c r="U8502" i="1"/>
  <c r="U8548" i="1"/>
  <c r="U8551" i="1"/>
  <c r="U8554" i="1"/>
  <c r="U8557" i="1"/>
  <c r="U8560" i="1"/>
  <c r="U8563" i="1"/>
  <c r="U8566" i="1"/>
  <c r="U8612" i="1"/>
  <c r="U8615" i="1"/>
  <c r="U8618" i="1"/>
  <c r="U8621" i="1"/>
  <c r="U8624" i="1"/>
  <c r="U8627" i="1"/>
  <c r="U8630" i="1"/>
  <c r="U8676" i="1"/>
  <c r="U8679" i="1"/>
  <c r="U8682" i="1"/>
  <c r="U8685" i="1"/>
  <c r="U8688" i="1"/>
  <c r="U8691" i="1"/>
  <c r="U8694" i="1"/>
  <c r="U8740" i="1"/>
  <c r="U8743" i="1"/>
  <c r="U8746" i="1"/>
  <c r="U8749" i="1"/>
  <c r="U8752" i="1"/>
  <c r="U8755" i="1"/>
  <c r="U8758" i="1"/>
  <c r="U8804" i="1"/>
  <c r="U8807" i="1"/>
  <c r="U8810" i="1"/>
  <c r="U8813" i="1"/>
  <c r="U8816" i="1"/>
  <c r="U8819" i="1"/>
  <c r="U8822" i="1"/>
  <c r="U8849" i="1"/>
  <c r="U8857" i="1"/>
  <c r="U8865" i="1"/>
  <c r="U8873" i="1"/>
  <c r="U8881" i="1"/>
  <c r="U8889" i="1"/>
  <c r="U8897" i="1"/>
  <c r="U8905" i="1"/>
  <c r="U8913" i="1"/>
  <c r="U8921" i="1"/>
  <c r="U8929" i="1"/>
  <c r="U8937" i="1"/>
  <c r="U8945" i="1"/>
  <c r="U8953" i="1"/>
  <c r="U8961" i="1"/>
  <c r="U8969" i="1"/>
  <c r="U8977" i="1"/>
  <c r="U8985" i="1"/>
  <c r="U8993" i="1"/>
  <c r="U9001" i="1"/>
  <c r="U9009" i="1"/>
  <c r="U9017" i="1"/>
  <c r="U7514" i="1"/>
  <c r="U7528" i="1"/>
  <c r="U7542" i="1"/>
  <c r="U7605" i="1"/>
  <c r="U7617" i="1"/>
  <c r="U7666" i="1"/>
  <c r="U7678" i="1"/>
  <c r="U7727" i="1"/>
  <c r="U7739" i="1"/>
  <c r="U7771" i="1"/>
  <c r="U7803" i="1"/>
  <c r="U7835" i="1"/>
  <c r="U7867" i="1"/>
  <c r="U7899" i="1"/>
  <c r="U7931" i="1"/>
  <c r="U7963" i="1"/>
  <c r="U7995" i="1"/>
  <c r="U8027" i="1"/>
  <c r="U8059" i="1"/>
  <c r="U8091" i="1"/>
  <c r="U8123" i="1"/>
  <c r="U8158" i="1"/>
  <c r="U8174" i="1"/>
  <c r="U8190" i="1"/>
  <c r="U8206" i="1"/>
  <c r="U8222" i="1"/>
  <c r="U7517" i="1"/>
  <c r="U7531" i="1"/>
  <c r="U7545" i="1"/>
  <c r="U7559" i="1"/>
  <c r="U7571" i="1"/>
  <c r="U7632" i="1"/>
  <c r="U7693" i="1"/>
  <c r="U7705" i="1"/>
  <c r="U7752" i="1"/>
  <c r="U7784" i="1"/>
  <c r="U7816" i="1"/>
  <c r="U7848" i="1"/>
  <c r="U7880" i="1"/>
  <c r="U7912" i="1"/>
  <c r="U7944" i="1"/>
  <c r="U7976" i="1"/>
  <c r="U8008" i="1"/>
  <c r="U8040" i="1"/>
  <c r="U8072" i="1"/>
  <c r="U8104" i="1"/>
  <c r="U8136" i="1"/>
  <c r="U8164" i="1"/>
  <c r="U8180" i="1"/>
  <c r="U8196" i="1"/>
  <c r="U8212" i="1"/>
  <c r="U8228" i="1"/>
  <c r="U7546" i="1"/>
  <c r="U7608" i="1"/>
  <c r="U7669" i="1"/>
  <c r="U7681" i="1"/>
  <c r="U7730" i="1"/>
  <c r="U7763" i="1"/>
  <c r="U7795" i="1"/>
  <c r="U7827" i="1"/>
  <c r="U7859" i="1"/>
  <c r="U7891" i="1"/>
  <c r="U7923" i="1"/>
  <c r="U7955" i="1"/>
  <c r="U7987" i="1"/>
  <c r="U8019" i="1"/>
  <c r="U8051" i="1"/>
  <c r="U8083" i="1"/>
  <c r="U8115" i="1"/>
  <c r="U8147" i="1"/>
  <c r="U8160" i="1"/>
  <c r="U8176" i="1"/>
  <c r="U8192" i="1"/>
  <c r="U8208" i="1"/>
  <c r="U8224" i="1"/>
  <c r="U8240" i="1"/>
  <c r="U8256" i="1"/>
  <c r="U8272" i="1"/>
  <c r="U8288" i="1"/>
  <c r="U8304" i="1"/>
  <c r="U8320" i="1"/>
  <c r="U8348" i="1"/>
  <c r="U8351" i="1"/>
  <c r="U8354" i="1"/>
  <c r="U8357" i="1"/>
  <c r="U8360" i="1"/>
  <c r="U8363" i="1"/>
  <c r="U8366" i="1"/>
  <c r="U8412" i="1"/>
  <c r="U8415" i="1"/>
  <c r="U8418" i="1"/>
  <c r="U8421" i="1"/>
  <c r="U8424" i="1"/>
  <c r="U8427" i="1"/>
  <c r="U8430" i="1"/>
  <c r="U8476" i="1"/>
  <c r="U8479" i="1"/>
  <c r="U8482" i="1"/>
  <c r="U8485" i="1"/>
  <c r="U8488" i="1"/>
  <c r="U8491" i="1"/>
  <c r="U8494" i="1"/>
  <c r="U8540" i="1"/>
  <c r="U8543" i="1"/>
  <c r="U8546" i="1"/>
  <c r="U8549" i="1"/>
  <c r="U8552" i="1"/>
  <c r="U8555" i="1"/>
  <c r="U8558" i="1"/>
  <c r="U8604" i="1"/>
  <c r="U8607" i="1"/>
  <c r="U8610" i="1"/>
  <c r="U8613" i="1"/>
  <c r="U8616" i="1"/>
  <c r="U8619" i="1"/>
  <c r="U8622" i="1"/>
  <c r="U8668" i="1"/>
  <c r="U8671" i="1"/>
  <c r="U8674" i="1"/>
  <c r="U8677" i="1"/>
  <c r="U8680" i="1"/>
  <c r="U8683" i="1"/>
  <c r="U8686" i="1"/>
  <c r="U8732" i="1"/>
  <c r="U8735" i="1"/>
  <c r="U8738" i="1"/>
  <c r="U8741" i="1"/>
  <c r="U8744" i="1"/>
  <c r="U8747" i="1"/>
  <c r="U8750" i="1"/>
  <c r="U8796" i="1"/>
  <c r="U8799" i="1"/>
  <c r="U8802" i="1"/>
  <c r="U8805" i="1"/>
  <c r="U8808" i="1"/>
  <c r="U8811" i="1"/>
  <c r="U8814" i="1"/>
  <c r="U8850" i="1"/>
  <c r="U8858" i="1"/>
  <c r="U8866" i="1"/>
  <c r="U8874" i="1"/>
  <c r="U8882" i="1"/>
  <c r="U8890" i="1"/>
  <c r="U8898" i="1"/>
  <c r="U8906" i="1"/>
  <c r="U8914" i="1"/>
  <c r="U8922" i="1"/>
  <c r="U8930" i="1"/>
  <c r="U8938" i="1"/>
  <c r="U8946" i="1"/>
  <c r="U8954" i="1"/>
  <c r="U8962" i="1"/>
  <c r="U8970" i="1"/>
  <c r="U8978" i="1"/>
  <c r="U8986" i="1"/>
  <c r="U8994" i="1"/>
  <c r="U9002" i="1"/>
  <c r="U9010" i="1"/>
  <c r="U9018" i="1"/>
  <c r="U9026" i="1"/>
  <c r="U9034" i="1"/>
  <c r="U9042" i="1"/>
  <c r="U9050" i="1"/>
  <c r="U9058" i="1"/>
  <c r="U7549" i="1"/>
  <c r="U7562" i="1"/>
  <c r="U7574" i="1"/>
  <c r="U7623" i="1"/>
  <c r="U7635" i="1"/>
  <c r="U7696" i="1"/>
  <c r="U7744" i="1"/>
  <c r="U7776" i="1"/>
  <c r="U7808" i="1"/>
  <c r="U7840" i="1"/>
  <c r="U7872" i="1"/>
  <c r="U7904" i="1"/>
  <c r="U7936" i="1"/>
  <c r="U7968" i="1"/>
  <c r="U8000" i="1"/>
  <c r="U8032" i="1"/>
  <c r="U8064" i="1"/>
  <c r="U8096" i="1"/>
  <c r="U8128" i="1"/>
  <c r="U8148" i="1"/>
  <c r="U8155" i="1"/>
  <c r="U8171" i="1"/>
  <c r="U8187" i="1"/>
  <c r="U8203" i="1"/>
  <c r="U8219" i="1"/>
  <c r="U8235" i="1"/>
  <c r="U8251" i="1"/>
  <c r="U8267" i="1"/>
  <c r="U8283" i="1"/>
  <c r="U8299" i="1"/>
  <c r="U8315" i="1"/>
  <c r="U8330" i="1"/>
  <c r="U8333" i="1"/>
  <c r="U8336" i="1"/>
  <c r="U8339" i="1"/>
  <c r="U8342" i="1"/>
  <c r="U8388" i="1"/>
  <c r="U8391" i="1"/>
  <c r="U8394" i="1"/>
  <c r="U8397" i="1"/>
  <c r="U8400" i="1"/>
  <c r="U8403" i="1"/>
  <c r="U8406" i="1"/>
  <c r="U8452" i="1"/>
  <c r="U8455" i="1"/>
  <c r="U8458" i="1"/>
  <c r="U8461" i="1"/>
  <c r="U8464" i="1"/>
  <c r="U8467" i="1"/>
  <c r="U8470" i="1"/>
  <c r="U8516" i="1"/>
  <c r="U8519" i="1"/>
  <c r="U8522" i="1"/>
  <c r="U8525" i="1"/>
  <c r="U8528" i="1"/>
  <c r="U8531" i="1"/>
  <c r="U8534" i="1"/>
  <c r="U8580" i="1"/>
  <c r="U8583" i="1"/>
  <c r="U8586" i="1"/>
  <c r="U8589" i="1"/>
  <c r="U8592" i="1"/>
  <c r="U8595" i="1"/>
  <c r="U8598" i="1"/>
  <c r="U8644" i="1"/>
  <c r="U8647" i="1"/>
  <c r="U8650" i="1"/>
  <c r="U8653" i="1"/>
  <c r="U8656" i="1"/>
  <c r="U8659" i="1"/>
  <c r="U8662" i="1"/>
  <c r="U8708" i="1"/>
  <c r="U8711" i="1"/>
  <c r="U8714" i="1"/>
  <c r="U8717" i="1"/>
  <c r="U8720" i="1"/>
  <c r="U8723" i="1"/>
  <c r="U8726" i="1"/>
  <c r="U8772" i="1"/>
  <c r="U8775" i="1"/>
  <c r="U8778" i="1"/>
  <c r="U8781" i="1"/>
  <c r="U8784" i="1"/>
  <c r="U8787" i="1"/>
  <c r="U8790" i="1"/>
  <c r="U8836" i="1"/>
  <c r="U8839" i="1"/>
  <c r="U8842" i="1"/>
  <c r="U8845" i="1"/>
  <c r="U8853" i="1"/>
  <c r="U8861" i="1"/>
  <c r="U8869" i="1"/>
  <c r="U8877" i="1"/>
  <c r="U8885" i="1"/>
  <c r="U8238" i="1"/>
  <c r="U8302" i="1"/>
  <c r="U8338" i="1"/>
  <c r="U8350" i="1"/>
  <c r="U8399" i="1"/>
  <c r="U8411" i="1"/>
  <c r="U8460" i="1"/>
  <c r="U8472" i="1"/>
  <c r="U8533" i="1"/>
  <c r="U8594" i="1"/>
  <c r="U8606" i="1"/>
  <c r="U8655" i="1"/>
  <c r="U8667" i="1"/>
  <c r="U8716" i="1"/>
  <c r="U8728" i="1"/>
  <c r="U8789" i="1"/>
  <c r="U8860" i="1"/>
  <c r="U8919" i="1"/>
  <c r="U8933" i="1"/>
  <c r="U8948" i="1"/>
  <c r="U8983" i="1"/>
  <c r="U8997" i="1"/>
  <c r="U9012" i="1"/>
  <c r="U9025" i="1"/>
  <c r="U9041" i="1"/>
  <c r="U9057" i="1"/>
  <c r="U9066" i="1"/>
  <c r="U9079" i="1"/>
  <c r="U9092" i="1"/>
  <c r="U9147" i="1"/>
  <c r="U9150" i="1"/>
  <c r="U9153" i="1"/>
  <c r="U9156" i="1"/>
  <c r="U9159" i="1"/>
  <c r="U9162" i="1"/>
  <c r="U9165" i="1"/>
  <c r="U9211" i="1"/>
  <c r="U9214" i="1"/>
  <c r="U9217" i="1"/>
  <c r="U9220" i="1"/>
  <c r="U9223" i="1"/>
  <c r="U9226" i="1"/>
  <c r="U9229" i="1"/>
  <c r="U9275" i="1"/>
  <c r="U9278" i="1"/>
  <c r="U9281" i="1"/>
  <c r="U9284" i="1"/>
  <c r="U9287" i="1"/>
  <c r="U9290" i="1"/>
  <c r="U9293" i="1"/>
  <c r="U9339" i="1"/>
  <c r="U9342" i="1"/>
  <c r="U9345" i="1"/>
  <c r="U9348" i="1"/>
  <c r="U9351" i="1"/>
  <c r="U9354" i="1"/>
  <c r="U9357" i="1"/>
  <c r="U9403" i="1"/>
  <c r="U9406" i="1"/>
  <c r="U9409" i="1"/>
  <c r="U9412" i="1"/>
  <c r="U9415" i="1"/>
  <c r="U9418" i="1"/>
  <c r="U9421" i="1"/>
  <c r="U9467" i="1"/>
  <c r="U9470" i="1"/>
  <c r="U9473" i="1"/>
  <c r="U9476" i="1"/>
  <c r="U9479" i="1"/>
  <c r="U9482" i="1"/>
  <c r="U9485" i="1"/>
  <c r="U9531" i="1"/>
  <c r="U9534" i="1"/>
  <c r="U9542" i="1"/>
  <c r="U9550" i="1"/>
  <c r="U9558" i="1"/>
  <c r="U9566" i="1"/>
  <c r="U9574" i="1"/>
  <c r="U9582" i="1"/>
  <c r="U9590" i="1"/>
  <c r="U9598" i="1"/>
  <c r="U9606" i="1"/>
  <c r="U9614" i="1"/>
  <c r="U9622" i="1"/>
  <c r="U9630" i="1"/>
  <c r="U9638" i="1"/>
  <c r="U9646" i="1"/>
  <c r="U9654" i="1"/>
  <c r="U9662" i="1"/>
  <c r="U9670" i="1"/>
  <c r="U9678" i="1"/>
  <c r="U9686" i="1"/>
  <c r="U9694" i="1"/>
  <c r="U9702" i="1"/>
  <c r="U9710" i="1"/>
  <c r="U9718" i="1"/>
  <c r="U9726" i="1"/>
  <c r="U9734" i="1"/>
  <c r="U9742" i="1"/>
  <c r="U9750" i="1"/>
  <c r="U9758" i="1"/>
  <c r="U9766" i="1"/>
  <c r="U9774" i="1"/>
  <c r="U9782" i="1"/>
  <c r="U9790" i="1"/>
  <c r="U9798" i="1"/>
  <c r="U9806" i="1"/>
  <c r="U9814" i="1"/>
  <c r="U9822" i="1"/>
  <c r="U9830" i="1"/>
  <c r="U9838" i="1"/>
  <c r="U9846" i="1"/>
  <c r="U9854" i="1"/>
  <c r="U9862" i="1"/>
  <c r="U9870" i="1"/>
  <c r="U9878" i="1"/>
  <c r="U9886" i="1"/>
  <c r="U9894" i="1"/>
  <c r="U9902" i="1"/>
  <c r="U9910" i="1"/>
  <c r="U9918" i="1"/>
  <c r="U9926" i="1"/>
  <c r="U9934" i="1"/>
  <c r="U9942" i="1"/>
  <c r="U9950" i="1"/>
  <c r="U9958" i="1"/>
  <c r="U9966" i="1"/>
  <c r="U9974" i="1"/>
  <c r="U9982" i="1"/>
  <c r="U9990" i="1"/>
  <c r="U9998" i="1"/>
  <c r="U9801" i="1"/>
  <c r="U9817" i="1"/>
  <c r="U9825" i="1"/>
  <c r="U9841" i="1"/>
  <c r="U9849" i="1"/>
  <c r="U9865" i="1"/>
  <c r="U9889" i="1"/>
  <c r="U9897" i="1"/>
  <c r="U9945" i="1"/>
  <c r="U9961" i="1"/>
  <c r="U9977" i="1"/>
  <c r="U9993" i="1"/>
  <c r="U9417" i="1"/>
  <c r="U9621" i="1"/>
  <c r="U9685" i="1"/>
  <c r="U9701" i="1"/>
  <c r="U9741" i="1"/>
  <c r="U9757" i="1"/>
  <c r="U9845" i="1"/>
  <c r="U9877" i="1"/>
  <c r="U9923" i="1"/>
  <c r="U9947" i="1"/>
  <c r="U9955" i="1"/>
  <c r="U9963" i="1"/>
  <c r="U9987" i="1"/>
  <c r="U8260" i="1"/>
  <c r="U8324" i="1"/>
  <c r="U8375" i="1"/>
  <c r="U8387" i="1"/>
  <c r="U8436" i="1"/>
  <c r="U8448" i="1"/>
  <c r="U8509" i="1"/>
  <c r="U8570" i="1"/>
  <c r="U8582" i="1"/>
  <c r="U8631" i="1"/>
  <c r="U8643" i="1"/>
  <c r="U8692" i="1"/>
  <c r="U8704" i="1"/>
  <c r="U8765" i="1"/>
  <c r="U8826" i="1"/>
  <c r="U8838" i="1"/>
  <c r="U8871" i="1"/>
  <c r="U8892" i="1"/>
  <c r="U8927" i="1"/>
  <c r="U8941" i="1"/>
  <c r="U8956" i="1"/>
  <c r="U8991" i="1"/>
  <c r="U9005" i="1"/>
  <c r="U9020" i="1"/>
  <c r="U9036" i="1"/>
  <c r="U9052" i="1"/>
  <c r="U9071" i="1"/>
  <c r="U9084" i="1"/>
  <c r="U9097" i="1"/>
  <c r="U9123" i="1"/>
  <c r="U9126" i="1"/>
  <c r="U9129" i="1"/>
  <c r="U9132" i="1"/>
  <c r="U9135" i="1"/>
  <c r="U9138" i="1"/>
  <c r="U9141" i="1"/>
  <c r="U9187" i="1"/>
  <c r="U9190" i="1"/>
  <c r="U9193" i="1"/>
  <c r="U9196" i="1"/>
  <c r="U9199" i="1"/>
  <c r="U9202" i="1"/>
  <c r="U9205" i="1"/>
  <c r="U9251" i="1"/>
  <c r="U9254" i="1"/>
  <c r="U9257" i="1"/>
  <c r="U9260" i="1"/>
  <c r="U9263" i="1"/>
  <c r="U9266" i="1"/>
  <c r="U9269" i="1"/>
  <c r="U9315" i="1"/>
  <c r="U9318" i="1"/>
  <c r="U9321" i="1"/>
  <c r="U9324" i="1"/>
  <c r="U9327" i="1"/>
  <c r="U9330" i="1"/>
  <c r="U9333" i="1"/>
  <c r="U9379" i="1"/>
  <c r="U9382" i="1"/>
  <c r="U9385" i="1"/>
  <c r="U9388" i="1"/>
  <c r="U9391" i="1"/>
  <c r="U9394" i="1"/>
  <c r="U9397" i="1"/>
  <c r="U9443" i="1"/>
  <c r="U9446" i="1"/>
  <c r="U9449" i="1"/>
  <c r="U9452" i="1"/>
  <c r="U9455" i="1"/>
  <c r="U9458" i="1"/>
  <c r="U9461" i="1"/>
  <c r="U9507" i="1"/>
  <c r="U9510" i="1"/>
  <c r="U9513" i="1"/>
  <c r="U9516" i="1"/>
  <c r="U9519" i="1"/>
  <c r="U9522" i="1"/>
  <c r="U9525" i="1"/>
  <c r="U9537" i="1"/>
  <c r="U9545" i="1"/>
  <c r="U9553" i="1"/>
  <c r="U9561" i="1"/>
  <c r="U9569" i="1"/>
  <c r="U9577" i="1"/>
  <c r="U9585" i="1"/>
  <c r="U9593" i="1"/>
  <c r="U9601" i="1"/>
  <c r="U9609" i="1"/>
  <c r="U9617" i="1"/>
  <c r="U9625" i="1"/>
  <c r="U9633" i="1"/>
  <c r="U9641" i="1"/>
  <c r="U9649" i="1"/>
  <c r="U9657" i="1"/>
  <c r="U9665" i="1"/>
  <c r="U9673" i="1"/>
  <c r="U9681" i="1"/>
  <c r="U9689" i="1"/>
  <c r="U9697" i="1"/>
  <c r="U9705" i="1"/>
  <c r="U9713" i="1"/>
  <c r="U9721" i="1"/>
  <c r="U9729" i="1"/>
  <c r="U9737" i="1"/>
  <c r="U9745" i="1"/>
  <c r="U9753" i="1"/>
  <c r="U9761" i="1"/>
  <c r="U9769" i="1"/>
  <c r="U9777" i="1"/>
  <c r="U9785" i="1"/>
  <c r="U9793" i="1"/>
  <c r="U9809" i="1"/>
  <c r="U9833" i="1"/>
  <c r="U9857" i="1"/>
  <c r="U9873" i="1"/>
  <c r="U9881" i="1"/>
  <c r="U9905" i="1"/>
  <c r="U9913" i="1"/>
  <c r="U9921" i="1"/>
  <c r="U9929" i="1"/>
  <c r="U9937" i="1"/>
  <c r="U9953" i="1"/>
  <c r="U9969" i="1"/>
  <c r="U9985" i="1"/>
  <c r="U10001" i="1"/>
  <c r="U9420" i="1"/>
  <c r="U9581" i="1"/>
  <c r="U9693" i="1"/>
  <c r="U9773" i="1"/>
  <c r="U9861" i="1"/>
  <c r="U9885" i="1"/>
  <c r="U9917" i="1"/>
  <c r="U9979" i="1"/>
  <c r="U8286" i="1"/>
  <c r="U8341" i="1"/>
  <c r="U8402" i="1"/>
  <c r="U8414" i="1"/>
  <c r="U8463" i="1"/>
  <c r="U8475" i="1"/>
  <c r="U8524" i="1"/>
  <c r="U8536" i="1"/>
  <c r="U8597" i="1"/>
  <c r="U8658" i="1"/>
  <c r="U8670" i="1"/>
  <c r="U8719" i="1"/>
  <c r="U8731" i="1"/>
  <c r="U8780" i="1"/>
  <c r="U8792" i="1"/>
  <c r="U8852" i="1"/>
  <c r="U8884" i="1"/>
  <c r="U8900" i="1"/>
  <c r="U8935" i="1"/>
  <c r="U8949" i="1"/>
  <c r="U8964" i="1"/>
  <c r="U8999" i="1"/>
  <c r="U9013" i="1"/>
  <c r="U9031" i="1"/>
  <c r="U9047" i="1"/>
  <c r="U9063" i="1"/>
  <c r="U9076" i="1"/>
  <c r="U9089" i="1"/>
  <c r="U9101" i="1"/>
  <c r="U9105" i="1"/>
  <c r="U9108" i="1"/>
  <c r="U9111" i="1"/>
  <c r="U9114" i="1"/>
  <c r="U9117" i="1"/>
  <c r="U9163" i="1"/>
  <c r="U9166" i="1"/>
  <c r="U9169" i="1"/>
  <c r="U9172" i="1"/>
  <c r="U9175" i="1"/>
  <c r="U9178" i="1"/>
  <c r="U9181" i="1"/>
  <c r="U9227" i="1"/>
  <c r="U9230" i="1"/>
  <c r="U9233" i="1"/>
  <c r="U9236" i="1"/>
  <c r="U9239" i="1"/>
  <c r="U9242" i="1"/>
  <c r="U9245" i="1"/>
  <c r="U9291" i="1"/>
  <c r="U9294" i="1"/>
  <c r="U9297" i="1"/>
  <c r="U9300" i="1"/>
  <c r="U9303" i="1"/>
  <c r="U9306" i="1"/>
  <c r="U9309" i="1"/>
  <c r="U9355" i="1"/>
  <c r="U9358" i="1"/>
  <c r="U9361" i="1"/>
  <c r="U9364" i="1"/>
  <c r="U9367" i="1"/>
  <c r="U9370" i="1"/>
  <c r="U9373" i="1"/>
  <c r="U9419" i="1"/>
  <c r="U9422" i="1"/>
  <c r="U9425" i="1"/>
  <c r="U9428" i="1"/>
  <c r="U9431" i="1"/>
  <c r="U9434" i="1"/>
  <c r="U9437" i="1"/>
  <c r="U9483" i="1"/>
  <c r="U9486" i="1"/>
  <c r="U9489" i="1"/>
  <c r="U9492" i="1"/>
  <c r="U9495" i="1"/>
  <c r="U9498" i="1"/>
  <c r="U9501" i="1"/>
  <c r="U9540" i="1"/>
  <c r="U9548" i="1"/>
  <c r="U9556" i="1"/>
  <c r="U9564" i="1"/>
  <c r="U9572" i="1"/>
  <c r="U9580" i="1"/>
  <c r="U9588" i="1"/>
  <c r="U9596" i="1"/>
  <c r="U9604" i="1"/>
  <c r="U9612" i="1"/>
  <c r="U9620" i="1"/>
  <c r="U9628" i="1"/>
  <c r="U9636" i="1"/>
  <c r="U9644" i="1"/>
  <c r="U9652" i="1"/>
  <c r="U9660" i="1"/>
  <c r="U9668" i="1"/>
  <c r="U9676" i="1"/>
  <c r="U9684" i="1"/>
  <c r="U9692" i="1"/>
  <c r="U9700" i="1"/>
  <c r="U9708" i="1"/>
  <c r="U9716" i="1"/>
  <c r="U9724" i="1"/>
  <c r="U9732" i="1"/>
  <c r="U9740" i="1"/>
  <c r="U9748" i="1"/>
  <c r="U9756" i="1"/>
  <c r="U9764" i="1"/>
  <c r="U9772" i="1"/>
  <c r="U9780" i="1"/>
  <c r="U9788" i="1"/>
  <c r="U9796" i="1"/>
  <c r="U9804" i="1"/>
  <c r="U9812" i="1"/>
  <c r="U9820" i="1"/>
  <c r="U9828" i="1"/>
  <c r="U9836" i="1"/>
  <c r="U9844" i="1"/>
  <c r="U9852" i="1"/>
  <c r="U9860" i="1"/>
  <c r="U9868" i="1"/>
  <c r="U9876" i="1"/>
  <c r="U9884" i="1"/>
  <c r="U9892" i="1"/>
  <c r="U9900" i="1"/>
  <c r="U9908" i="1"/>
  <c r="U9916" i="1"/>
  <c r="U9924" i="1"/>
  <c r="U9932" i="1"/>
  <c r="U9940" i="1"/>
  <c r="U9948" i="1"/>
  <c r="U9956" i="1"/>
  <c r="U9964" i="1"/>
  <c r="U9972" i="1"/>
  <c r="U9980" i="1"/>
  <c r="U9988" i="1"/>
  <c r="U9996" i="1"/>
  <c r="U9423" i="1"/>
  <c r="U9541" i="1"/>
  <c r="U9573" i="1"/>
  <c r="U9597" i="1"/>
  <c r="U9613" i="1"/>
  <c r="U9629" i="1"/>
  <c r="U9645" i="1"/>
  <c r="U9661" i="1"/>
  <c r="U9677" i="1"/>
  <c r="U9813" i="1"/>
  <c r="U9981" i="1"/>
  <c r="U9997" i="1"/>
  <c r="U9875" i="1"/>
  <c r="U8244" i="1"/>
  <c r="U8308" i="1"/>
  <c r="U8378" i="1"/>
  <c r="U8390" i="1"/>
  <c r="U8439" i="1"/>
  <c r="U8451" i="1"/>
  <c r="U8500" i="1"/>
  <c r="U8512" i="1"/>
  <c r="U8573" i="1"/>
  <c r="U8634" i="1"/>
  <c r="U8646" i="1"/>
  <c r="U8695" i="1"/>
  <c r="U8707" i="1"/>
  <c r="U8756" i="1"/>
  <c r="U8768" i="1"/>
  <c r="U8829" i="1"/>
  <c r="U8863" i="1"/>
  <c r="U8893" i="1"/>
  <c r="U8908" i="1"/>
  <c r="U8943" i="1"/>
  <c r="U8957" i="1"/>
  <c r="U8972" i="1"/>
  <c r="U9007" i="1"/>
  <c r="U9021" i="1"/>
  <c r="U9037" i="1"/>
  <c r="U9053" i="1"/>
  <c r="U9068" i="1"/>
  <c r="U9081" i="1"/>
  <c r="U9093" i="1"/>
  <c r="U9139" i="1"/>
  <c r="U9142" i="1"/>
  <c r="U9145" i="1"/>
  <c r="U9148" i="1"/>
  <c r="U9151" i="1"/>
  <c r="U9154" i="1"/>
  <c r="U9157" i="1"/>
  <c r="U9203" i="1"/>
  <c r="U9206" i="1"/>
  <c r="U9209" i="1"/>
  <c r="U9212" i="1"/>
  <c r="U9215" i="1"/>
  <c r="U9218" i="1"/>
  <c r="U9221" i="1"/>
  <c r="U9267" i="1"/>
  <c r="U9270" i="1"/>
  <c r="U9273" i="1"/>
  <c r="U9276" i="1"/>
  <c r="U9279" i="1"/>
  <c r="U9282" i="1"/>
  <c r="U9285" i="1"/>
  <c r="U9331" i="1"/>
  <c r="U9334" i="1"/>
  <c r="U9337" i="1"/>
  <c r="U9340" i="1"/>
  <c r="U9343" i="1"/>
  <c r="U9346" i="1"/>
  <c r="U9349" i="1"/>
  <c r="U9395" i="1"/>
  <c r="U9398" i="1"/>
  <c r="U9401" i="1"/>
  <c r="U9404" i="1"/>
  <c r="U9407" i="1"/>
  <c r="U9410" i="1"/>
  <c r="U9413" i="1"/>
  <c r="U9459" i="1"/>
  <c r="U9462" i="1"/>
  <c r="U9465" i="1"/>
  <c r="U9468" i="1"/>
  <c r="U9471" i="1"/>
  <c r="U9474" i="1"/>
  <c r="U9477" i="1"/>
  <c r="U9523" i="1"/>
  <c r="U9526" i="1"/>
  <c r="U9529" i="1"/>
  <c r="U9532" i="1"/>
  <c r="U9535" i="1"/>
  <c r="U9543" i="1"/>
  <c r="U9551" i="1"/>
  <c r="U9559" i="1"/>
  <c r="U9567" i="1"/>
  <c r="U9575" i="1"/>
  <c r="U9583" i="1"/>
  <c r="U9591" i="1"/>
  <c r="U9599" i="1"/>
  <c r="U9607" i="1"/>
  <c r="U9615" i="1"/>
  <c r="U9623" i="1"/>
  <c r="U9631" i="1"/>
  <c r="U9639" i="1"/>
  <c r="U9647" i="1"/>
  <c r="U9655" i="1"/>
  <c r="U9663" i="1"/>
  <c r="U9671" i="1"/>
  <c r="U9679" i="1"/>
  <c r="U9687" i="1"/>
  <c r="U9695" i="1"/>
  <c r="U9703" i="1"/>
  <c r="U9711" i="1"/>
  <c r="U9719" i="1"/>
  <c r="U9727" i="1"/>
  <c r="U9735" i="1"/>
  <c r="U9743" i="1"/>
  <c r="U9751" i="1"/>
  <c r="U9759" i="1"/>
  <c r="U9767" i="1"/>
  <c r="U9775" i="1"/>
  <c r="U9783" i="1"/>
  <c r="U9791" i="1"/>
  <c r="U9799" i="1"/>
  <c r="U9807" i="1"/>
  <c r="U9815" i="1"/>
  <c r="U9823" i="1"/>
  <c r="U9831" i="1"/>
  <c r="U9839" i="1"/>
  <c r="U9847" i="1"/>
  <c r="U9855" i="1"/>
  <c r="U9863" i="1"/>
  <c r="U9871" i="1"/>
  <c r="U9879" i="1"/>
  <c r="U9887" i="1"/>
  <c r="U9895" i="1"/>
  <c r="U9903" i="1"/>
  <c r="U9911" i="1"/>
  <c r="U9919" i="1"/>
  <c r="U9927" i="1"/>
  <c r="U9935" i="1"/>
  <c r="U9943" i="1"/>
  <c r="U9951" i="1"/>
  <c r="U9959" i="1"/>
  <c r="U9967" i="1"/>
  <c r="U9975" i="1"/>
  <c r="U9983" i="1"/>
  <c r="U9991" i="1"/>
  <c r="U9999" i="1"/>
  <c r="U9414" i="1"/>
  <c r="U9429" i="1"/>
  <c r="U9478" i="1"/>
  <c r="U9493" i="1"/>
  <c r="U9605" i="1"/>
  <c r="U9637" i="1"/>
  <c r="U9669" i="1"/>
  <c r="U9717" i="1"/>
  <c r="U9733" i="1"/>
  <c r="U9765" i="1"/>
  <c r="U9901" i="1"/>
  <c r="U9933" i="1"/>
  <c r="U9949" i="1"/>
  <c r="U9957" i="1"/>
  <c r="U9965" i="1"/>
  <c r="U9989" i="1"/>
  <c r="U8270" i="1"/>
  <c r="U8332" i="1"/>
  <c r="U8344" i="1"/>
  <c r="U8405" i="1"/>
  <c r="U8466" i="1"/>
  <c r="U8478" i="1"/>
  <c r="U8527" i="1"/>
  <c r="U8539" i="1"/>
  <c r="U8588" i="1"/>
  <c r="U8600" i="1"/>
  <c r="U8661" i="1"/>
  <c r="U8722" i="1"/>
  <c r="U8734" i="1"/>
  <c r="U8783" i="1"/>
  <c r="U8795" i="1"/>
  <c r="U8844" i="1"/>
  <c r="U8876" i="1"/>
  <c r="U8901" i="1"/>
  <c r="U8916" i="1"/>
  <c r="U8951" i="1"/>
  <c r="U8965" i="1"/>
  <c r="U8980" i="1"/>
  <c r="U9015" i="1"/>
  <c r="U9033" i="1"/>
  <c r="U9049" i="1"/>
  <c r="U9073" i="1"/>
  <c r="U9085" i="1"/>
  <c r="U9098" i="1"/>
  <c r="U9115" i="1"/>
  <c r="U9118" i="1"/>
  <c r="U9121" i="1"/>
  <c r="U9124" i="1"/>
  <c r="U9127" i="1"/>
  <c r="U9130" i="1"/>
  <c r="U9133" i="1"/>
  <c r="U9179" i="1"/>
  <c r="U9182" i="1"/>
  <c r="U9185" i="1"/>
  <c r="U9188" i="1"/>
  <c r="U9191" i="1"/>
  <c r="U9194" i="1"/>
  <c r="U9197" i="1"/>
  <c r="U9243" i="1"/>
  <c r="U9246" i="1"/>
  <c r="U9249" i="1"/>
  <c r="U9252" i="1"/>
  <c r="U9255" i="1"/>
  <c r="U9258" i="1"/>
  <c r="U9261" i="1"/>
  <c r="U9307" i="1"/>
  <c r="U9310" i="1"/>
  <c r="U9313" i="1"/>
  <c r="U9316" i="1"/>
  <c r="U9319" i="1"/>
  <c r="U9322" i="1"/>
  <c r="U9325" i="1"/>
  <c r="U9371" i="1"/>
  <c r="U9374" i="1"/>
  <c r="U9377" i="1"/>
  <c r="U9380" i="1"/>
  <c r="U9383" i="1"/>
  <c r="U9386" i="1"/>
  <c r="U9389" i="1"/>
  <c r="U9435" i="1"/>
  <c r="U9438" i="1"/>
  <c r="U9441" i="1"/>
  <c r="U9444" i="1"/>
  <c r="U9447" i="1"/>
  <c r="U9450" i="1"/>
  <c r="U9453" i="1"/>
  <c r="U9499" i="1"/>
  <c r="U9502" i="1"/>
  <c r="U9505" i="1"/>
  <c r="U9508" i="1"/>
  <c r="U9511" i="1"/>
  <c r="U9514" i="1"/>
  <c r="U9517" i="1"/>
  <c r="U9538" i="1"/>
  <c r="U9546" i="1"/>
  <c r="U9554" i="1"/>
  <c r="U9562" i="1"/>
  <c r="U9570" i="1"/>
  <c r="U9578" i="1"/>
  <c r="U9586" i="1"/>
  <c r="U9594" i="1"/>
  <c r="U9602" i="1"/>
  <c r="U9610" i="1"/>
  <c r="U9618" i="1"/>
  <c r="U9626" i="1"/>
  <c r="U9634" i="1"/>
  <c r="U9642" i="1"/>
  <c r="U9650" i="1"/>
  <c r="U9658" i="1"/>
  <c r="U9666" i="1"/>
  <c r="U9674" i="1"/>
  <c r="U9682" i="1"/>
  <c r="U9690" i="1"/>
  <c r="U9698" i="1"/>
  <c r="U9706" i="1"/>
  <c r="U9714" i="1"/>
  <c r="U9722" i="1"/>
  <c r="U9730" i="1"/>
  <c r="U9738" i="1"/>
  <c r="U9746" i="1"/>
  <c r="U9754" i="1"/>
  <c r="U9762" i="1"/>
  <c r="U9770" i="1"/>
  <c r="U9778" i="1"/>
  <c r="U9786" i="1"/>
  <c r="U9794" i="1"/>
  <c r="U9802" i="1"/>
  <c r="U9810" i="1"/>
  <c r="U9818" i="1"/>
  <c r="U9826" i="1"/>
  <c r="U9834" i="1"/>
  <c r="U9842" i="1"/>
  <c r="U9850" i="1"/>
  <c r="U9858" i="1"/>
  <c r="U9866" i="1"/>
  <c r="U9874" i="1"/>
  <c r="U9882" i="1"/>
  <c r="U9890" i="1"/>
  <c r="U9898" i="1"/>
  <c r="U9906" i="1"/>
  <c r="U9914" i="1"/>
  <c r="U9922" i="1"/>
  <c r="U9930" i="1"/>
  <c r="U9938" i="1"/>
  <c r="U9946" i="1"/>
  <c r="U9954" i="1"/>
  <c r="U9962" i="1"/>
  <c r="U9970" i="1"/>
  <c r="U9978" i="1"/>
  <c r="U9986" i="1"/>
  <c r="U9994" i="1"/>
  <c r="U10002" i="1"/>
  <c r="U9411" i="1"/>
  <c r="U9475" i="1"/>
  <c r="U9484" i="1"/>
  <c r="U9487" i="1"/>
  <c r="U9490" i="1"/>
  <c r="U9549" i="1"/>
  <c r="U9557" i="1"/>
  <c r="U9565" i="1"/>
  <c r="U9589" i="1"/>
  <c r="U9749" i="1"/>
  <c r="U9781" i="1"/>
  <c r="U9797" i="1"/>
  <c r="U9829" i="1"/>
  <c r="U9893" i="1"/>
  <c r="U9909" i="1"/>
  <c r="U9925" i="1"/>
  <c r="U9941" i="1"/>
  <c r="U9973" i="1"/>
  <c r="U8292" i="1"/>
  <c r="U8381" i="1"/>
  <c r="U8442" i="1"/>
  <c r="U8454" i="1"/>
  <c r="U8503" i="1"/>
  <c r="U8515" i="1"/>
  <c r="U8564" i="1"/>
  <c r="U8576" i="1"/>
  <c r="U8637" i="1"/>
  <c r="U8698" i="1"/>
  <c r="U8710" i="1"/>
  <c r="U8759" i="1"/>
  <c r="U8771" i="1"/>
  <c r="U8820" i="1"/>
  <c r="U8832" i="1"/>
  <c r="U8855" i="1"/>
  <c r="U8887" i="1"/>
  <c r="U8895" i="1"/>
  <c r="U8909" i="1"/>
  <c r="U8924" i="1"/>
  <c r="U8959" i="1"/>
  <c r="U8973" i="1"/>
  <c r="U8988" i="1"/>
  <c r="U9028" i="1"/>
  <c r="U9044" i="1"/>
  <c r="U9060" i="1"/>
  <c r="U9065" i="1"/>
  <c r="U9077" i="1"/>
  <c r="U9090" i="1"/>
  <c r="U9106" i="1"/>
  <c r="U9109" i="1"/>
  <c r="U9155" i="1"/>
  <c r="U9158" i="1"/>
  <c r="U9161" i="1"/>
  <c r="U9164" i="1"/>
  <c r="U9167" i="1"/>
  <c r="U9170" i="1"/>
  <c r="U9173" i="1"/>
  <c r="U9219" i="1"/>
  <c r="U9222" i="1"/>
  <c r="U9225" i="1"/>
  <c r="U9228" i="1"/>
  <c r="U9231" i="1"/>
  <c r="U9234" i="1"/>
  <c r="U9237" i="1"/>
  <c r="U9283" i="1"/>
  <c r="U9286" i="1"/>
  <c r="U9289" i="1"/>
  <c r="U9292" i="1"/>
  <c r="U9295" i="1"/>
  <c r="U9298" i="1"/>
  <c r="U9301" i="1"/>
  <c r="U9347" i="1"/>
  <c r="U9350" i="1"/>
  <c r="U9353" i="1"/>
  <c r="U9356" i="1"/>
  <c r="U9359" i="1"/>
  <c r="U9362" i="1"/>
  <c r="U9365" i="1"/>
  <c r="U9426" i="1"/>
  <c r="U9481" i="1"/>
  <c r="U9653" i="1"/>
  <c r="U9709" i="1"/>
  <c r="U9725" i="1"/>
  <c r="U9789" i="1"/>
  <c r="U9805" i="1"/>
  <c r="U9821" i="1"/>
  <c r="U9837" i="1"/>
  <c r="U9853" i="1"/>
  <c r="U9869" i="1"/>
  <c r="U8254" i="1"/>
  <c r="U8318" i="1"/>
  <c r="U8335" i="1"/>
  <c r="U8347" i="1"/>
  <c r="U8396" i="1"/>
  <c r="U8408" i="1"/>
  <c r="U8469" i="1"/>
  <c r="U8530" i="1"/>
  <c r="U8542" i="1"/>
  <c r="U8591" i="1"/>
  <c r="U8603" i="1"/>
  <c r="U8652" i="1"/>
  <c r="U8664" i="1"/>
  <c r="U8725" i="1"/>
  <c r="U8786" i="1"/>
  <c r="U8798" i="1"/>
  <c r="U8868" i="1"/>
  <c r="U8903" i="1"/>
  <c r="U8917" i="1"/>
  <c r="U8932" i="1"/>
  <c r="U8967" i="1"/>
  <c r="U8981" i="1"/>
  <c r="U8996" i="1"/>
  <c r="U9023" i="1"/>
  <c r="U9039" i="1"/>
  <c r="U9055" i="1"/>
  <c r="U9069" i="1"/>
  <c r="U9082" i="1"/>
  <c r="U9095" i="1"/>
  <c r="U9103" i="1"/>
  <c r="U9131" i="1"/>
  <c r="U9134" i="1"/>
  <c r="U9137" i="1"/>
  <c r="U9140" i="1"/>
  <c r="U9143" i="1"/>
  <c r="U9146" i="1"/>
  <c r="U9149" i="1"/>
  <c r="U9195" i="1"/>
  <c r="U9198" i="1"/>
  <c r="U9201" i="1"/>
  <c r="U9204" i="1"/>
  <c r="U9207" i="1"/>
  <c r="U9210" i="1"/>
  <c r="U9213" i="1"/>
  <c r="U9259" i="1"/>
  <c r="U9262" i="1"/>
  <c r="U9265" i="1"/>
  <c r="U9268" i="1"/>
  <c r="U9271" i="1"/>
  <c r="U9274" i="1"/>
  <c r="U9277" i="1"/>
  <c r="U9323" i="1"/>
  <c r="U9326" i="1"/>
  <c r="U9329" i="1"/>
  <c r="U9332" i="1"/>
  <c r="U9335" i="1"/>
  <c r="U9338" i="1"/>
  <c r="U9341" i="1"/>
  <c r="U9387" i="1"/>
  <c r="U9390" i="1"/>
  <c r="U9393" i="1"/>
  <c r="U9396" i="1"/>
  <c r="U9399" i="1"/>
  <c r="U9402" i="1"/>
  <c r="U9405" i="1"/>
  <c r="U9451" i="1"/>
  <c r="U9454" i="1"/>
  <c r="U9457" i="1"/>
  <c r="U9460" i="1"/>
  <c r="U9463" i="1"/>
  <c r="U9466" i="1"/>
  <c r="U9469" i="1"/>
  <c r="U9515" i="1"/>
  <c r="U9518" i="1"/>
  <c r="U9521" i="1"/>
  <c r="U9524" i="1"/>
  <c r="U9527" i="1"/>
  <c r="U9530" i="1"/>
  <c r="U9533" i="1"/>
  <c r="U9536" i="1"/>
  <c r="U9544" i="1"/>
  <c r="U9552" i="1"/>
  <c r="U9560" i="1"/>
  <c r="U9568" i="1"/>
  <c r="U9576" i="1"/>
  <c r="U9584" i="1"/>
  <c r="U9592" i="1"/>
  <c r="U9600" i="1"/>
  <c r="U9608" i="1"/>
  <c r="U9616" i="1"/>
  <c r="U9624" i="1"/>
  <c r="U9632" i="1"/>
  <c r="U9640" i="1"/>
  <c r="U9648" i="1"/>
  <c r="U9656" i="1"/>
  <c r="U9664" i="1"/>
  <c r="U9672" i="1"/>
  <c r="U9680" i="1"/>
  <c r="U9688" i="1"/>
  <c r="U9696" i="1"/>
  <c r="U9704" i="1"/>
  <c r="U9712" i="1"/>
  <c r="U9720" i="1"/>
  <c r="U9728" i="1"/>
  <c r="U9736" i="1"/>
  <c r="U9744" i="1"/>
  <c r="U9752" i="1"/>
  <c r="U9760" i="1"/>
  <c r="U9768" i="1"/>
  <c r="U9776" i="1"/>
  <c r="U9784" i="1"/>
  <c r="U9792" i="1"/>
  <c r="U9800" i="1"/>
  <c r="U9808" i="1"/>
  <c r="U9816" i="1"/>
  <c r="U9824" i="1"/>
  <c r="U9832" i="1"/>
  <c r="U9840" i="1"/>
  <c r="U9848" i="1"/>
  <c r="U9856" i="1"/>
  <c r="U9864" i="1"/>
  <c r="U9872" i="1"/>
  <c r="U9880" i="1"/>
  <c r="U9888" i="1"/>
  <c r="U9896" i="1"/>
  <c r="U9904" i="1"/>
  <c r="U9912" i="1"/>
  <c r="U9920" i="1"/>
  <c r="U9928" i="1"/>
  <c r="U9936" i="1"/>
  <c r="U9944" i="1"/>
  <c r="U9952" i="1"/>
  <c r="U9960" i="1"/>
  <c r="U9968" i="1"/>
  <c r="U9976" i="1"/>
  <c r="U9984" i="1"/>
  <c r="U9992" i="1"/>
  <c r="U10000" i="1"/>
  <c r="U3" i="1"/>
  <c r="U9302" i="1"/>
  <c r="U9366" i="1"/>
  <c r="U9369" i="1"/>
  <c r="U9375" i="1"/>
  <c r="U9378" i="1"/>
  <c r="U9427" i="1"/>
  <c r="U9430" i="1"/>
  <c r="U9433" i="1"/>
  <c r="U9439" i="1"/>
  <c r="U9442" i="1"/>
  <c r="U9445" i="1"/>
  <c r="U9491" i="1"/>
  <c r="U9497" i="1"/>
  <c r="U9500" i="1"/>
  <c r="U9503" i="1"/>
  <c r="U9506" i="1"/>
  <c r="U9539" i="1"/>
  <c r="U9547" i="1"/>
  <c r="U9555" i="1"/>
  <c r="U9571" i="1"/>
  <c r="U9587" i="1"/>
  <c r="U9611" i="1"/>
  <c r="U9619" i="1"/>
  <c r="U9627" i="1"/>
  <c r="U9651" i="1"/>
  <c r="U9659" i="1"/>
  <c r="U9675" i="1"/>
  <c r="U9691" i="1"/>
  <c r="U9707" i="1"/>
  <c r="U9731" i="1"/>
  <c r="U9747" i="1"/>
  <c r="U9755" i="1"/>
  <c r="U9779" i="1"/>
  <c r="U9787" i="1"/>
  <c r="U9795" i="1"/>
  <c r="U9819" i="1"/>
  <c r="U9827" i="1"/>
  <c r="U9835" i="1"/>
  <c r="U9851" i="1"/>
  <c r="U9859" i="1"/>
  <c r="U9867" i="1"/>
  <c r="U9883" i="1"/>
  <c r="U9891" i="1"/>
  <c r="U9899" i="1"/>
  <c r="U9907" i="1"/>
  <c r="U9915" i="1"/>
  <c r="U9931" i="1"/>
  <c r="U9939" i="1"/>
  <c r="U9971" i="1"/>
  <c r="U9995" i="1"/>
  <c r="U8276" i="1"/>
  <c r="U8372" i="1"/>
  <c r="U8384" i="1"/>
  <c r="U8445" i="1"/>
  <c r="U8506" i="1"/>
  <c r="U8518" i="1"/>
  <c r="U8567" i="1"/>
  <c r="U8579" i="1"/>
  <c r="U8628" i="1"/>
  <c r="U8640" i="1"/>
  <c r="U8701" i="1"/>
  <c r="U8762" i="1"/>
  <c r="U8774" i="1"/>
  <c r="U8823" i="1"/>
  <c r="U8835" i="1"/>
  <c r="U8847" i="1"/>
  <c r="U8879" i="1"/>
  <c r="U8911" i="1"/>
  <c r="U8925" i="1"/>
  <c r="U8940" i="1"/>
  <c r="U8975" i="1"/>
  <c r="U8989" i="1"/>
  <c r="U9004" i="1"/>
  <c r="U9029" i="1"/>
  <c r="U9045" i="1"/>
  <c r="U9061" i="1"/>
  <c r="U9074" i="1"/>
  <c r="U9087" i="1"/>
  <c r="U9100" i="1"/>
  <c r="U9107" i="1"/>
  <c r="U9110" i="1"/>
  <c r="U9113" i="1"/>
  <c r="U9116" i="1"/>
  <c r="U9119" i="1"/>
  <c r="U9122" i="1"/>
  <c r="U9125" i="1"/>
  <c r="U9171" i="1"/>
  <c r="U9174" i="1"/>
  <c r="U9177" i="1"/>
  <c r="U9180" i="1"/>
  <c r="U9183" i="1"/>
  <c r="U9186" i="1"/>
  <c r="U9189" i="1"/>
  <c r="U9235" i="1"/>
  <c r="U9238" i="1"/>
  <c r="U9241" i="1"/>
  <c r="U9244" i="1"/>
  <c r="U9247" i="1"/>
  <c r="U9250" i="1"/>
  <c r="U9253" i="1"/>
  <c r="U9299" i="1"/>
  <c r="U9305" i="1"/>
  <c r="U9308" i="1"/>
  <c r="U9311" i="1"/>
  <c r="U9314" i="1"/>
  <c r="U9317" i="1"/>
  <c r="U9363" i="1"/>
  <c r="U9372" i="1"/>
  <c r="U9381" i="1"/>
  <c r="U9436" i="1"/>
  <c r="U9494" i="1"/>
  <c r="U9509" i="1"/>
  <c r="U9563" i="1"/>
  <c r="U9579" i="1"/>
  <c r="U9595" i="1"/>
  <c r="U9603" i="1"/>
  <c r="U9635" i="1"/>
  <c r="U9643" i="1"/>
  <c r="U9667" i="1"/>
  <c r="U9683" i="1"/>
  <c r="U9699" i="1"/>
  <c r="U9715" i="1"/>
  <c r="U9723" i="1"/>
  <c r="U9739" i="1"/>
  <c r="U9763" i="1"/>
  <c r="U9771" i="1"/>
  <c r="U9803" i="1"/>
  <c r="U9811" i="1"/>
  <c r="U9843" i="1"/>
  <c r="U99" i="1"/>
  <c r="U243" i="1"/>
  <c r="U366" i="1"/>
  <c r="U478" i="1"/>
  <c r="U587" i="1"/>
  <c r="U635" i="1"/>
  <c r="U106" i="1"/>
  <c r="U317" i="1"/>
  <c r="U387" i="1"/>
  <c r="U80" i="1"/>
  <c r="U251" i="1"/>
  <c r="U219" i="1"/>
  <c r="U349" i="1"/>
  <c r="U408" i="1"/>
  <c r="U235" i="1"/>
  <c r="U668" i="1"/>
  <c r="U608" i="1"/>
  <c r="U540" i="1"/>
  <c r="U438" i="1"/>
  <c r="U321" i="1"/>
  <c r="U108" i="1"/>
  <c r="U204" i="1"/>
  <c r="U576" i="1"/>
  <c r="U510" i="1"/>
  <c r="U343" i="1"/>
  <c r="U103" i="1"/>
  <c r="U754" i="1"/>
  <c r="U690" i="1"/>
  <c r="U611" i="1"/>
  <c r="U557" i="1"/>
  <c r="U435" i="1"/>
  <c r="U330" i="1"/>
  <c r="U126" i="1"/>
  <c r="U215" i="1"/>
  <c r="U293" i="1"/>
  <c r="U400" i="1"/>
  <c r="U467" i="1"/>
  <c r="U134" i="1"/>
  <c r="U244" i="1"/>
  <c r="U338" i="1"/>
  <c r="U386" i="1"/>
  <c r="U477" i="1"/>
  <c r="U62" i="1"/>
  <c r="U199" i="1"/>
  <c r="U308" i="1"/>
  <c r="U385" i="1"/>
  <c r="U476" i="1"/>
  <c r="U70" i="1"/>
  <c r="U67" i="1"/>
  <c r="U178" i="1"/>
  <c r="U252" i="1"/>
  <c r="U90" i="1"/>
  <c r="U190" i="1"/>
  <c r="U238" i="1"/>
  <c r="U475" i="1"/>
  <c r="U434" i="1"/>
  <c r="U399" i="1"/>
  <c r="U334" i="1"/>
  <c r="U295" i="1"/>
  <c r="U188" i="1"/>
  <c r="U107" i="1"/>
  <c r="U17" i="1"/>
  <c r="U24" i="1"/>
  <c r="U88" i="1"/>
  <c r="U170" i="1"/>
  <c r="U224" i="1"/>
  <c r="U405" i="1"/>
  <c r="U110" i="1"/>
  <c r="U253" i="1"/>
  <c r="U382" i="1"/>
  <c r="U485" i="1"/>
  <c r="U591" i="1"/>
  <c r="U638" i="1"/>
  <c r="U136" i="1"/>
  <c r="U328" i="1"/>
  <c r="U418" i="1"/>
  <c r="U120" i="1"/>
  <c r="U292" i="1"/>
  <c r="U191" i="1"/>
  <c r="U285" i="1"/>
  <c r="U398" i="1"/>
  <c r="U184" i="1"/>
  <c r="U665" i="1"/>
  <c r="U590" i="1"/>
  <c r="U535" i="1"/>
  <c r="U415" i="1"/>
  <c r="U278" i="1"/>
  <c r="U53" i="1"/>
  <c r="U179" i="1"/>
  <c r="U571" i="1"/>
  <c r="U504" i="1"/>
  <c r="U84" i="1"/>
  <c r="U743" i="1"/>
  <c r="U670" i="1"/>
  <c r="U602" i="1"/>
  <c r="U552" i="1"/>
  <c r="U487" i="1"/>
  <c r="U412" i="1"/>
  <c r="U312" i="1"/>
  <c r="U152" i="1"/>
  <c r="U132" i="1"/>
  <c r="U222" i="1"/>
  <c r="U304" i="1"/>
  <c r="U410" i="1"/>
  <c r="U470" i="1"/>
  <c r="U143" i="1"/>
  <c r="U268" i="1"/>
  <c r="U342" i="1"/>
  <c r="U397" i="1"/>
  <c r="U480" i="1"/>
  <c r="U71" i="1"/>
  <c r="U206" i="1"/>
  <c r="U313" i="1"/>
  <c r="U392" i="1"/>
  <c r="U479" i="1"/>
  <c r="U148" i="1"/>
  <c r="U64" i="1"/>
  <c r="U7" i="1"/>
  <c r="U109" i="1"/>
  <c r="U182" i="1"/>
  <c r="U259" i="1"/>
  <c r="U45" i="1"/>
  <c r="U94" i="1"/>
  <c r="U194" i="1"/>
  <c r="U245" i="1"/>
  <c r="U604" i="1"/>
  <c r="U572" i="1"/>
  <c r="U539" i="1"/>
  <c r="U469" i="1"/>
  <c r="U431" i="1"/>
  <c r="U396" i="1"/>
  <c r="U327" i="1"/>
  <c r="U274" i="1"/>
  <c r="U183" i="1"/>
  <c r="U102" i="1"/>
  <c r="U23" i="1"/>
  <c r="U193" i="1"/>
  <c r="U161" i="1"/>
  <c r="U129" i="1"/>
  <c r="U97" i="1"/>
  <c r="U65" i="1"/>
  <c r="U33" i="1"/>
  <c r="U195" i="1"/>
  <c r="U77" i="1"/>
  <c r="U303" i="1"/>
  <c r="U144" i="1"/>
  <c r="U264" i="1"/>
  <c r="U395" i="1"/>
  <c r="U489" i="1"/>
  <c r="U595" i="1"/>
  <c r="U11" i="1"/>
  <c r="U196" i="1"/>
  <c r="U337" i="1"/>
  <c r="U423" i="1"/>
  <c r="U138" i="1"/>
  <c r="U305" i="1"/>
  <c r="U165" i="1"/>
  <c r="U267" i="1"/>
  <c r="U381" i="1"/>
  <c r="U111" i="1"/>
  <c r="U662" i="1"/>
  <c r="U586" i="1"/>
  <c r="U526" i="1"/>
  <c r="U265" i="1"/>
  <c r="U31" i="1"/>
  <c r="U127" i="1"/>
  <c r="U562" i="1"/>
  <c r="U473" i="1"/>
  <c r="U276" i="1"/>
  <c r="U47" i="1"/>
  <c r="U732" i="1"/>
  <c r="U664" i="1"/>
  <c r="U547" i="1"/>
  <c r="U394" i="1"/>
  <c r="U122" i="1"/>
  <c r="U162" i="1"/>
  <c r="U228" i="1"/>
  <c r="U309" i="1"/>
  <c r="U417" i="1"/>
  <c r="U483" i="1"/>
  <c r="U150" i="1"/>
  <c r="U273" i="1"/>
  <c r="U346" i="1"/>
  <c r="U404" i="1"/>
  <c r="U493" i="1"/>
  <c r="U79" i="1"/>
  <c r="U214" i="1"/>
  <c r="U322" i="1"/>
  <c r="U403" i="1"/>
  <c r="U482" i="1"/>
  <c r="U141" i="1"/>
  <c r="U52" i="1"/>
  <c r="U12" i="1"/>
  <c r="U117" i="1"/>
  <c r="U186" i="1"/>
  <c r="U266" i="1"/>
  <c r="U54" i="1"/>
  <c r="U98" i="1"/>
  <c r="U198" i="1"/>
  <c r="U249" i="1"/>
  <c r="U536" i="1"/>
  <c r="U500" i="1"/>
  <c r="U466" i="1"/>
  <c r="U393" i="1"/>
  <c r="U361" i="1"/>
  <c r="U319" i="1"/>
  <c r="U260" i="1"/>
  <c r="U96" i="1"/>
  <c r="U5" i="1"/>
  <c r="U261" i="1"/>
  <c r="U288" i="1"/>
  <c r="U29" i="1"/>
  <c r="U270" i="1"/>
  <c r="U411" i="1"/>
  <c r="U8" i="1"/>
  <c r="U158" i="1"/>
  <c r="U272" i="1"/>
  <c r="U409" i="1"/>
  <c r="U501" i="1"/>
  <c r="U599" i="1"/>
  <c r="U22" i="1"/>
  <c r="U240" i="1"/>
  <c r="U344" i="1"/>
  <c r="U429" i="1"/>
  <c r="U156" i="1"/>
  <c r="U318" i="1"/>
  <c r="U147" i="1"/>
  <c r="U213" i="1"/>
  <c r="U347" i="1"/>
  <c r="U91" i="1"/>
  <c r="U656" i="1"/>
  <c r="U577" i="1"/>
  <c r="U506" i="1"/>
  <c r="U389" i="1"/>
  <c r="U247" i="1"/>
  <c r="U87" i="1"/>
  <c r="U548" i="1"/>
  <c r="U459" i="1"/>
  <c r="U258" i="1"/>
  <c r="U18" i="1"/>
  <c r="U729" i="1"/>
  <c r="U661" i="1"/>
  <c r="U589" i="1"/>
  <c r="U533" i="1"/>
  <c r="U472" i="1"/>
  <c r="U275" i="1"/>
  <c r="U101" i="1"/>
  <c r="U32" i="1"/>
  <c r="U168" i="1"/>
  <c r="U233" i="1"/>
  <c r="U324" i="1"/>
  <c r="U427" i="1"/>
  <c r="U10" i="1"/>
  <c r="U157" i="1"/>
  <c r="U280" i="1"/>
  <c r="U350" i="1"/>
  <c r="U407" i="1"/>
  <c r="U496" i="1"/>
  <c r="U124" i="1"/>
  <c r="U232" i="1"/>
  <c r="U332" i="1"/>
  <c r="U406" i="1"/>
  <c r="U492" i="1"/>
  <c r="U135" i="1"/>
  <c r="U46" i="1"/>
  <c r="U16" i="1"/>
  <c r="U125" i="1"/>
  <c r="U202" i="1"/>
  <c r="U284" i="1"/>
  <c r="U63" i="1"/>
  <c r="U133" i="1"/>
  <c r="U207" i="1"/>
  <c r="U256" i="1"/>
  <c r="U596" i="1"/>
  <c r="U564" i="1"/>
  <c r="U497" i="1"/>
  <c r="U390" i="1"/>
  <c r="U358" i="1"/>
  <c r="U315" i="1"/>
  <c r="U250" i="1"/>
  <c r="U172" i="1"/>
  <c r="U92" i="1"/>
  <c r="U217" i="1"/>
  <c r="U185" i="1"/>
  <c r="U153" i="1"/>
  <c r="U121" i="1"/>
  <c r="U89" i="1"/>
  <c r="U57" i="1"/>
  <c r="U25" i="1"/>
  <c r="U181" i="1"/>
  <c r="U440" i="1"/>
  <c r="U320" i="1"/>
  <c r="U15" i="1"/>
  <c r="U436" i="1"/>
  <c r="U220" i="1"/>
  <c r="U216" i="1"/>
  <c r="U588" i="1"/>
  <c r="U307" i="1"/>
  <c r="U226" i="1"/>
  <c r="U177" i="1"/>
  <c r="U81" i="1"/>
  <c r="U514" i="1"/>
  <c r="U227" i="1"/>
  <c r="U210" i="1"/>
  <c r="U30" i="1"/>
  <c r="U171" i="1"/>
  <c r="U294" i="1"/>
  <c r="U420" i="1"/>
  <c r="U518" i="1"/>
  <c r="U603" i="1"/>
  <c r="U36" i="1"/>
  <c r="U269" i="1"/>
  <c r="U354" i="1"/>
  <c r="U458" i="1"/>
  <c r="U197" i="1"/>
  <c r="U325" i="1"/>
  <c r="U115" i="1"/>
  <c r="U164" i="1"/>
  <c r="U336" i="1"/>
  <c r="U60" i="1"/>
  <c r="U653" i="1"/>
  <c r="U568" i="1"/>
  <c r="U494" i="1"/>
  <c r="U380" i="1"/>
  <c r="U230" i="1"/>
  <c r="U51" i="1"/>
  <c r="U543" i="1"/>
  <c r="U428" i="1"/>
  <c r="U200" i="1"/>
  <c r="U782" i="1"/>
  <c r="U718" i="1"/>
  <c r="U642" i="1"/>
  <c r="U584" i="1"/>
  <c r="U524" i="1"/>
  <c r="U465" i="1"/>
  <c r="U75" i="1"/>
  <c r="U56" i="1"/>
  <c r="U175" i="1"/>
  <c r="U255" i="1"/>
  <c r="U353" i="1"/>
  <c r="U430" i="1"/>
  <c r="U20" i="1"/>
  <c r="U163" i="1"/>
  <c r="U314" i="1"/>
  <c r="U357" i="1"/>
  <c r="U414" i="1"/>
  <c r="U6" i="1"/>
  <c r="U131" i="1"/>
  <c r="U283" i="1"/>
  <c r="U352" i="1"/>
  <c r="U426" i="1"/>
  <c r="U495" i="1"/>
  <c r="U130" i="1"/>
  <c r="U40" i="1"/>
  <c r="U21" i="1"/>
  <c r="U146" i="1"/>
  <c r="U211" i="1"/>
  <c r="U291" i="1"/>
  <c r="U68" i="1"/>
  <c r="U142" i="1"/>
  <c r="U212" i="1"/>
  <c r="U263" i="1"/>
  <c r="U561" i="1"/>
  <c r="U525" i="1"/>
  <c r="U311" i="1"/>
  <c r="U236" i="1"/>
  <c r="U167" i="1"/>
  <c r="U74" i="1"/>
  <c r="U82" i="1"/>
  <c r="U27" i="1"/>
  <c r="U368" i="1"/>
  <c r="U140" i="1"/>
  <c r="U93" i="1"/>
  <c r="U166" i="1"/>
  <c r="U298" i="1"/>
  <c r="U620" i="1"/>
  <c r="U486" i="1"/>
  <c r="U209" i="1"/>
  <c r="U113" i="1"/>
  <c r="U187" i="1"/>
  <c r="U364" i="1"/>
  <c r="U329" i="1"/>
  <c r="U447" i="1"/>
  <c r="U297" i="1"/>
  <c r="U439" i="1"/>
  <c r="U316" i="1"/>
  <c r="U277" i="1"/>
  <c r="U550" i="1"/>
  <c r="U377" i="1"/>
  <c r="U345" i="1"/>
  <c r="U43" i="1"/>
  <c r="U189" i="1"/>
  <c r="U331" i="1"/>
  <c r="U449" i="1"/>
  <c r="U523" i="1"/>
  <c r="U607" i="1"/>
  <c r="U55" i="1"/>
  <c r="U281" i="1"/>
  <c r="U362" i="1"/>
  <c r="U26" i="1"/>
  <c r="U218" i="1"/>
  <c r="U306" i="1"/>
  <c r="U69" i="1"/>
  <c r="U114" i="1"/>
  <c r="U300" i="1"/>
  <c r="U643" i="1"/>
  <c r="U563" i="1"/>
  <c r="U488" i="1"/>
  <c r="U369" i="1"/>
  <c r="U205" i="1"/>
  <c r="U28" i="1"/>
  <c r="U538" i="1"/>
  <c r="U413" i="1"/>
  <c r="U173" i="1"/>
  <c r="U779" i="1"/>
  <c r="U715" i="1"/>
  <c r="U575" i="1"/>
  <c r="U519" i="1"/>
  <c r="U242" i="1"/>
  <c r="U44" i="1"/>
  <c r="U176" i="1"/>
  <c r="U356" i="1"/>
  <c r="U72" i="1"/>
  <c r="U139" i="1"/>
  <c r="U145" i="1"/>
  <c r="U49" i="1"/>
  <c r="U61" i="1"/>
  <c r="U203" i="1"/>
  <c r="U339" i="1"/>
  <c r="U454" i="1"/>
  <c r="U530" i="1"/>
  <c r="U618" i="1"/>
  <c r="U78" i="1"/>
  <c r="U290" i="1"/>
  <c r="U371" i="1"/>
  <c r="U39" i="1"/>
  <c r="U229" i="1"/>
  <c r="U286" i="1"/>
  <c r="U4" i="1"/>
  <c r="U66" i="1"/>
  <c r="U282" i="1"/>
  <c r="U636" i="1"/>
  <c r="U549" i="1"/>
  <c r="U474" i="1"/>
  <c r="U359" i="1"/>
  <c r="U180" i="1"/>
  <c r="U598" i="1"/>
  <c r="U529" i="1"/>
  <c r="U376" i="1"/>
  <c r="U768" i="1"/>
  <c r="U704" i="1"/>
  <c r="U631" i="1"/>
  <c r="U566" i="1"/>
  <c r="U515" i="1"/>
  <c r="U451" i="1"/>
  <c r="U225" i="1"/>
  <c r="U14" i="1"/>
  <c r="U19" i="1"/>
  <c r="U85" i="1"/>
  <c r="U221" i="1"/>
  <c r="U348" i="1"/>
  <c r="U461" i="1"/>
  <c r="U551" i="1"/>
  <c r="U625" i="1"/>
  <c r="U95" i="1"/>
  <c r="U301" i="1"/>
  <c r="U378" i="1"/>
  <c r="U59" i="1"/>
  <c r="U241" i="1"/>
  <c r="U254" i="1"/>
  <c r="U422" i="1"/>
  <c r="U248" i="1"/>
  <c r="U613" i="1"/>
  <c r="U544" i="1"/>
  <c r="U453" i="1"/>
  <c r="U335" i="1"/>
  <c r="U128" i="1"/>
  <c r="U246" i="1"/>
  <c r="U593" i="1"/>
  <c r="U520" i="1"/>
  <c r="U355" i="1"/>
  <c r="U123" i="1"/>
  <c r="U757" i="1"/>
  <c r="U693" i="1"/>
  <c r="U627" i="1"/>
  <c r="U509" i="1"/>
  <c r="U442" i="1"/>
  <c r="U119" i="1"/>
  <c r="U208" i="1"/>
  <c r="U289" i="1"/>
  <c r="U375" i="1"/>
  <c r="U460" i="1"/>
  <c r="U83" i="1"/>
  <c r="U239" i="1"/>
  <c r="U333" i="1"/>
  <c r="U379" i="1"/>
  <c r="U457" i="1"/>
  <c r="U38" i="1"/>
  <c r="U160" i="1"/>
  <c r="U302" i="1"/>
  <c r="U370" i="1"/>
  <c r="U446" i="1"/>
  <c r="U463" i="1"/>
  <c r="U76" i="1"/>
  <c r="U58" i="1"/>
  <c r="U174" i="1"/>
  <c r="U234" i="1"/>
  <c r="U323" i="1"/>
  <c r="U86" i="1"/>
  <c r="U159" i="1"/>
  <c r="U231" i="1"/>
  <c r="U612" i="1"/>
  <c r="U580" i="1"/>
  <c r="U511" i="1"/>
  <c r="U437" i="1"/>
  <c r="U402" i="1"/>
  <c r="U374" i="1"/>
  <c r="U341" i="1"/>
  <c r="U299" i="1"/>
  <c r="U112" i="1"/>
  <c r="U34" i="1"/>
  <c r="U201" i="1"/>
  <c r="U169" i="1"/>
  <c r="U137" i="1"/>
  <c r="U105" i="1"/>
  <c r="U73" i="1"/>
  <c r="U41" i="1"/>
  <c r="U9" i="1"/>
  <c r="U360" i="1"/>
  <c r="U444" i="1"/>
  <c r="U498" i="1"/>
  <c r="U35" i="1"/>
  <c r="U151" i="1"/>
  <c r="U522" i="1"/>
  <c r="U50" i="1"/>
  <c r="U104" i="1"/>
  <c r="U279" i="1"/>
  <c r="U450" i="1"/>
  <c r="U48" i="1"/>
  <c r="U372" i="1"/>
  <c r="U154" i="1"/>
  <c r="U363" i="1"/>
  <c r="U37" i="1"/>
  <c r="U155" i="1"/>
  <c r="U443" i="1"/>
  <c r="U118" i="1"/>
  <c r="M14" i="7" l="1"/>
  <c r="N14" i="7" s="1"/>
  <c r="J4" i="1"/>
  <c r="J12" i="1"/>
  <c r="J20" i="1"/>
  <c r="J28" i="1"/>
  <c r="J36" i="1"/>
  <c r="J44" i="1"/>
  <c r="J52" i="1"/>
  <c r="J60" i="1"/>
  <c r="J68" i="1"/>
  <c r="J76" i="1"/>
  <c r="J84" i="1"/>
  <c r="J92" i="1"/>
  <c r="J100" i="1"/>
  <c r="J22" i="1"/>
  <c r="J15" i="1"/>
  <c r="J31" i="1"/>
  <c r="J39" i="1"/>
  <c r="J47" i="1"/>
  <c r="J55" i="1"/>
  <c r="J63" i="1"/>
  <c r="J71" i="1"/>
  <c r="J79" i="1"/>
  <c r="J87" i="1"/>
  <c r="J95" i="1"/>
  <c r="J3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4" i="1"/>
  <c r="J30" i="1"/>
  <c r="J38" i="1"/>
  <c r="J46" i="1"/>
  <c r="J54" i="1"/>
  <c r="J62" i="1"/>
  <c r="J70" i="1"/>
  <c r="J78" i="1"/>
  <c r="J86" i="1"/>
  <c r="J94" i="1"/>
  <c r="J102" i="1"/>
  <c r="J23" i="1"/>
  <c r="J16" i="1"/>
  <c r="J24" i="1"/>
  <c r="J32" i="1"/>
  <c r="J40" i="1"/>
  <c r="J48" i="1"/>
  <c r="J56" i="1"/>
  <c r="J64" i="1"/>
  <c r="J72" i="1"/>
  <c r="J80" i="1"/>
  <c r="J88" i="1"/>
  <c r="J96" i="1"/>
  <c r="J6" i="1"/>
  <c r="J7" i="1"/>
  <c r="J8" i="1"/>
  <c r="J9" i="1"/>
  <c r="J17" i="1"/>
  <c r="J25" i="1"/>
  <c r="J33" i="1"/>
  <c r="J41" i="1"/>
  <c r="J49" i="1"/>
  <c r="J57" i="1"/>
  <c r="J65" i="1"/>
  <c r="J73" i="1"/>
  <c r="J81" i="1"/>
  <c r="J89" i="1"/>
  <c r="J97" i="1"/>
  <c r="J10" i="1"/>
  <c r="J18" i="1"/>
  <c r="J26" i="1"/>
  <c r="J34" i="1"/>
  <c r="J42" i="1"/>
  <c r="J50" i="1"/>
  <c r="J58" i="1"/>
  <c r="J66" i="1"/>
  <c r="J74" i="1"/>
  <c r="J82" i="1"/>
  <c r="J90" i="1"/>
  <c r="J98" i="1"/>
  <c r="J11" i="1"/>
  <c r="J19" i="1"/>
  <c r="J27" i="1"/>
  <c r="J35" i="1"/>
  <c r="J43" i="1"/>
  <c r="J51" i="1"/>
  <c r="J59" i="1"/>
  <c r="J67" i="1"/>
  <c r="J75" i="1"/>
  <c r="J83" i="1"/>
  <c r="J91" i="1"/>
  <c r="J99" i="1"/>
  <c r="N15" i="7"/>
  <c r="L16" i="7"/>
  <c r="I10" i="7"/>
  <c r="I8" i="7"/>
  <c r="I9" i="7"/>
  <c r="M16" i="7" s="1"/>
  <c r="K5" i="1"/>
  <c r="K13" i="1"/>
  <c r="K21" i="1"/>
  <c r="K29" i="1"/>
  <c r="K37" i="1"/>
  <c r="K45" i="1"/>
  <c r="K53" i="1"/>
  <c r="K61" i="1"/>
  <c r="K69" i="1"/>
  <c r="K77" i="1"/>
  <c r="K85" i="1"/>
  <c r="K93" i="1"/>
  <c r="K101" i="1"/>
  <c r="K8" i="1"/>
  <c r="K16" i="1"/>
  <c r="K24" i="1"/>
  <c r="K32" i="1"/>
  <c r="K40" i="1"/>
  <c r="K48" i="1"/>
  <c r="K56" i="1"/>
  <c r="K64" i="1"/>
  <c r="K72" i="1"/>
  <c r="K80" i="1"/>
  <c r="K88" i="1"/>
  <c r="K96" i="1"/>
  <c r="K11" i="1"/>
  <c r="K19" i="1"/>
  <c r="K27" i="1"/>
  <c r="K35" i="1"/>
  <c r="K43" i="1"/>
  <c r="K51" i="1"/>
  <c r="K59" i="1"/>
  <c r="K67" i="1"/>
  <c r="K75" i="1"/>
  <c r="K83" i="1"/>
  <c r="K91" i="1"/>
  <c r="K99" i="1"/>
  <c r="K6" i="1"/>
  <c r="K14" i="1"/>
  <c r="K22" i="1"/>
  <c r="K30" i="1"/>
  <c r="K38" i="1"/>
  <c r="K46" i="1"/>
  <c r="K54" i="1"/>
  <c r="K62" i="1"/>
  <c r="K70" i="1"/>
  <c r="K78" i="1"/>
  <c r="K86" i="1"/>
  <c r="K94" i="1"/>
  <c r="K102" i="1"/>
  <c r="K9" i="1"/>
  <c r="K17" i="1"/>
  <c r="K25" i="1"/>
  <c r="K33" i="1"/>
  <c r="K41" i="1"/>
  <c r="K49" i="1"/>
  <c r="K57" i="1"/>
  <c r="K65" i="1"/>
  <c r="K73" i="1"/>
  <c r="K81" i="1"/>
  <c r="K89" i="1"/>
  <c r="K97" i="1"/>
  <c r="K4" i="1"/>
  <c r="K12" i="1"/>
  <c r="K20" i="1"/>
  <c r="K28" i="1"/>
  <c r="K36" i="1"/>
  <c r="K44" i="1"/>
  <c r="K52" i="1"/>
  <c r="K60" i="1"/>
  <c r="K68" i="1"/>
  <c r="K76" i="1"/>
  <c r="K84" i="1"/>
  <c r="K92" i="1"/>
  <c r="K100" i="1"/>
  <c r="K3" i="1"/>
  <c r="K7" i="1"/>
  <c r="K15" i="1"/>
  <c r="K23" i="1"/>
  <c r="K31" i="1"/>
  <c r="K39" i="1"/>
  <c r="K47" i="1"/>
  <c r="K55" i="1"/>
  <c r="K63" i="1"/>
  <c r="K71" i="1"/>
  <c r="K79" i="1"/>
  <c r="K87" i="1"/>
  <c r="K95" i="1"/>
  <c r="K10" i="1"/>
  <c r="K18" i="1"/>
  <c r="K26" i="1"/>
  <c r="K34" i="1"/>
  <c r="K42" i="1"/>
  <c r="K50" i="1"/>
  <c r="K58" i="1"/>
  <c r="K66" i="1"/>
  <c r="K74" i="1"/>
  <c r="K82" i="1"/>
  <c r="K90" i="1"/>
  <c r="K98" i="1"/>
  <c r="I11" i="1"/>
  <c r="I19" i="1"/>
  <c r="I27" i="1"/>
  <c r="I35" i="1"/>
  <c r="I43" i="1"/>
  <c r="I51" i="1"/>
  <c r="I59" i="1"/>
  <c r="I67" i="1"/>
  <c r="I75" i="1"/>
  <c r="I83" i="1"/>
  <c r="I91" i="1"/>
  <c r="I99" i="1"/>
  <c r="I6" i="1"/>
  <c r="I14" i="1"/>
  <c r="I22" i="1"/>
  <c r="I30" i="1"/>
  <c r="I38" i="1"/>
  <c r="I46" i="1"/>
  <c r="I54" i="1"/>
  <c r="I62" i="1"/>
  <c r="I70" i="1"/>
  <c r="I78" i="1"/>
  <c r="I86" i="1"/>
  <c r="I94" i="1"/>
  <c r="I102" i="1"/>
  <c r="I9" i="1"/>
  <c r="I17" i="1"/>
  <c r="I25" i="1"/>
  <c r="I33" i="1"/>
  <c r="I41" i="1"/>
  <c r="I49" i="1"/>
  <c r="I57" i="1"/>
  <c r="I65" i="1"/>
  <c r="I73" i="1"/>
  <c r="I81" i="1"/>
  <c r="I89" i="1"/>
  <c r="I97" i="1"/>
  <c r="I4" i="1"/>
  <c r="I12" i="1"/>
  <c r="I20" i="1"/>
  <c r="I28" i="1"/>
  <c r="I36" i="1"/>
  <c r="I44" i="1"/>
  <c r="I52" i="1"/>
  <c r="I60" i="1"/>
  <c r="I68" i="1"/>
  <c r="I76" i="1"/>
  <c r="I84" i="1"/>
  <c r="I92" i="1"/>
  <c r="I100" i="1"/>
  <c r="I7" i="1"/>
  <c r="I15" i="1"/>
  <c r="I23" i="1"/>
  <c r="I31" i="1"/>
  <c r="I39" i="1"/>
  <c r="I47" i="1"/>
  <c r="I55" i="1"/>
  <c r="I63" i="1"/>
  <c r="I71" i="1"/>
  <c r="I79" i="1"/>
  <c r="I87" i="1"/>
  <c r="I95" i="1"/>
  <c r="I10" i="1"/>
  <c r="I18" i="1"/>
  <c r="I26" i="1"/>
  <c r="I34" i="1"/>
  <c r="I42" i="1"/>
  <c r="I50" i="1"/>
  <c r="I58" i="1"/>
  <c r="I66" i="1"/>
  <c r="I74" i="1"/>
  <c r="I82" i="1"/>
  <c r="I90" i="1"/>
  <c r="I98" i="1"/>
  <c r="I5" i="1"/>
  <c r="I13" i="1"/>
  <c r="I21" i="1"/>
  <c r="I29" i="1"/>
  <c r="I37" i="1"/>
  <c r="I45" i="1"/>
  <c r="I53" i="1"/>
  <c r="I61" i="1"/>
  <c r="I69" i="1"/>
  <c r="I77" i="1"/>
  <c r="I85" i="1"/>
  <c r="I93" i="1"/>
  <c r="I101" i="1"/>
  <c r="I3" i="1"/>
  <c r="I8" i="1"/>
  <c r="I16" i="1"/>
  <c r="I24" i="1"/>
  <c r="I32" i="1"/>
  <c r="I40" i="1"/>
  <c r="I48" i="1"/>
  <c r="I56" i="1"/>
  <c r="I64" i="1"/>
  <c r="I72" i="1"/>
  <c r="I80" i="1"/>
  <c r="I88" i="1"/>
  <c r="I96" i="1"/>
  <c r="N16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8FFB92-B9DC-E142-A567-91A50B8509DC}" keepAlive="1" name="Query - Sheet 1" description="Connection to the 'Sheet 1' query in the workbook." type="5" refreshedVersion="0" background="1">
    <dbPr connection="Provider=Microsoft.Mashup.OleDb.1;Data Source=$Workbook$;Location=&quot;Sheet 1&quot;;Extended Properties=&quot;&quot;" command="SELECT * FROM [Sheet 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<sst xmlns="http://schemas.openxmlformats.org/spreadsheetml/2006/main" count="172" uniqueCount="104">
  <si>
    <t>Price</t>
  </si>
  <si>
    <r>
      <t xml:space="preserve">FTSE MIB </t>
    </r>
    <r>
      <rPr>
        <sz val="12"/>
        <color theme="1"/>
        <rFont val="Aptos Narrow"/>
        <scheme val="minor"/>
      </rPr>
      <t>- .FTMIB</t>
    </r>
  </si>
  <si>
    <r>
      <rPr>
        <b/>
        <sz val="12"/>
        <color theme="1"/>
        <rFont val="Aptos Narrow"/>
        <scheme val="minor"/>
      </rPr>
      <t>DAX 40</t>
    </r>
    <r>
      <rPr>
        <sz val="12"/>
        <color theme="1"/>
        <rFont val="Aptos Narrow"/>
        <scheme val="minor"/>
      </rPr>
      <t xml:space="preserve"> - .GDAXI</t>
    </r>
  </si>
  <si>
    <t>.GDAXI</t>
  </si>
  <si>
    <t>Interval: Daily</t>
  </si>
  <si>
    <t>History Period: 6 Months</t>
  </si>
  <si>
    <t>VAP: Total</t>
  </si>
  <si>
    <t>Volume</t>
  </si>
  <si>
    <t>%Volume</t>
  </si>
  <si>
    <t>Count</t>
  </si>
  <si>
    <t>%Count</t>
  </si>
  <si>
    <t>25,000.000 - 25,500.000</t>
  </si>
  <si>
    <t>24,500.000 - 25,000.000</t>
  </si>
  <si>
    <t>24,000.000 - 24,500.000</t>
  </si>
  <si>
    <t>23,500.000 - 24,000.000</t>
  </si>
  <si>
    <t>23,000.000 - 23,500.000</t>
  </si>
  <si>
    <t>22,500.000 - 23,000.000</t>
  </si>
  <si>
    <t>22,000.000 - 22,500.000</t>
  </si>
  <si>
    <t>.GDAXI Statistics     Daily     6 Months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</si>
  <si>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</si>
  <si>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</si>
  <si>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</si>
  <si>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</si>
  <si>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</si>
  <si>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</si>
  <si>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</si>
  <si>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</si>
  <si>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</si>
  <si>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</si>
  <si>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</si>
  <si>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</si>
  <si>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</si>
  <si>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</si>
  <si>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</si>
  <si>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</si>
  <si>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6 Months</t>
  </si>
  <si>
    <t>Avg (High-Low)</t>
  </si>
  <si>
    <t>.GDAXI History     Daily     6 Months</t>
  </si>
  <si>
    <t>Exchange Date</t>
  </si>
  <si>
    <t>Close</t>
  </si>
  <si>
    <t>Net</t>
  </si>
  <si>
    <t>%Chg</t>
  </si>
  <si>
    <t>Open</t>
  </si>
  <si>
    <t>Turnover - EUR</t>
  </si>
  <si>
    <t>Flow</t>
  </si>
  <si>
    <t>Deutsche Boerse DAX Index | Price History                                          06-Apr-2026 19:52</t>
  </si>
  <si>
    <t>FTSE MIB Price Return Index EUR End of Day | Price History                                          06-Apr-2026 19:57</t>
  </si>
  <si>
    <t>.FTMIB</t>
  </si>
  <si>
    <t>47,000.00 - 48,000.00</t>
  </si>
  <si>
    <t>46,000.00 - 47,000.00</t>
  </si>
  <si>
    <t>45,000.00 - 46,000.00</t>
  </si>
  <si>
    <t>44,000.00 - 45,000.00</t>
  </si>
  <si>
    <t>43,000.00 - 44,000.00</t>
  </si>
  <si>
    <t>42,000.00 - 43,000.00</t>
  </si>
  <si>
    <t>41,000.00 - 42,000.00</t>
  </si>
  <si>
    <t>.FTMIB Statistics     Daily     6 Months</t>
  </si>
  <si>
    <t>.FTMIB History     Daily     6 Months</t>
  </si>
  <si>
    <t>N/A</t>
  </si>
  <si>
    <t>Portfolio</t>
  </si>
  <si>
    <t>Average</t>
  </si>
  <si>
    <t>Variance</t>
  </si>
  <si>
    <t>Sigma</t>
  </si>
  <si>
    <t>T (Days)</t>
  </si>
  <si>
    <t>Lambda</t>
  </si>
  <si>
    <t>Sigma EWMA</t>
  </si>
  <si>
    <t>N (Iteration)</t>
  </si>
  <si>
    <t>Scenario</t>
  </si>
  <si>
    <t>Sim DAX</t>
  </si>
  <si>
    <t>Sim MIB</t>
  </si>
  <si>
    <t>Sim Portfolio</t>
  </si>
  <si>
    <t>DAX</t>
  </si>
  <si>
    <t>MIB</t>
  </si>
  <si>
    <t>Close DAX</t>
  </si>
  <si>
    <t>Close MIB</t>
  </si>
  <si>
    <t>Historical Price &amp; Log-Returns</t>
  </si>
  <si>
    <t>Time-Scaled VaR (Square Root Rule)</t>
  </si>
  <si>
    <t>Monte Carlo Simulation</t>
  </si>
  <si>
    <t xml:space="preserve">EWMA Volatility </t>
  </si>
  <si>
    <t>Ret DAX</t>
  </si>
  <si>
    <t>Ret MIB</t>
  </si>
  <si>
    <t>Ret Portfolio</t>
  </si>
  <si>
    <t>Date</t>
  </si>
  <si>
    <t xml:space="preserve">Assets </t>
  </si>
  <si>
    <t>Control Panel (Inputs)</t>
  </si>
  <si>
    <t>Parametric 95%</t>
  </si>
  <si>
    <t>Parametric 99%</t>
  </si>
  <si>
    <t>Parametric 99.5%</t>
  </si>
  <si>
    <t>EWMA 95%</t>
  </si>
  <si>
    <t>EWMA 99%</t>
  </si>
  <si>
    <t>EWMA 99.5%</t>
  </si>
  <si>
    <t>4) T-Day Monte Carlo VaR</t>
  </si>
  <si>
    <t>5) 1-Day Historical VaR</t>
  </si>
  <si>
    <t>6) T-Day Historical Simulation VaR</t>
  </si>
  <si>
    <t>2), 3)  T-Day Parametric &amp; EWMA VaR</t>
  </si>
  <si>
    <t>7) Subadditivity Check (99% VaR, T=10 Days)</t>
  </si>
  <si>
    <t>Model</t>
  </si>
  <si>
    <t>Weighted Sum</t>
  </si>
  <si>
    <t>Actual Portfolio</t>
  </si>
  <si>
    <t>Subadditive?</t>
  </si>
  <si>
    <t>Parametric</t>
  </si>
  <si>
    <t>EWMA</t>
  </si>
  <si>
    <t>Monte Carlo</t>
  </si>
  <si>
    <t>Historical Sim</t>
  </si>
  <si>
    <t>Weighted Sum (99%)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</si>
</sst>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#,##0;\-#,##0;#,##0;&quot;--&quot;"/>
    <numFmt numFmtId="165" formatCode="#,##0.00%;\-#,##0.00%;#,##0.00%;&quot;--&quot;"/>
    <numFmt numFmtId="166" formatCode="#,##0.000;\-#,##0.000;#,##0.000;&quot;--&quot;"/>
    <numFmt numFmtId="167" formatCode="dd\-mmm\-yyyy"/>
    <numFmt numFmtId="168" formatCode="\+#,##0.000%;\-#,##0.000%;#,##0.000%;&quot;--&quot;"/>
    <numFmt numFmtId="169" formatCode="\+#,##0.000;\-#,##0.000;#,##0.000;&quot;--&quot;"/>
    <numFmt numFmtId="170" formatCode="#,##0.00;\-#,##0.00;#,##0.00;&quot;--&quot;"/>
    <numFmt numFmtId="171" formatCode="\+#,##0.00%;\-#,##0.00%;#,##0.00%;&quot;--&quot;"/>
    <numFmt numFmtId="172" formatCode="\+#,##0.00;\-#,##0.00;#,##0.00;&quot;--&quot;"/>
    <numFmt numFmtId="173" formatCode="0.0000E+00"/>
    <numFmt numFmtId="174" formatCode="0.0%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2"/>
      <color rgb="FF9C5700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2"/>
      <color rgb="FF000000"/>
      <name val="Aptos Narrow"/>
      <scheme val="minor"/>
    </font>
    <font>
      <sz val="12"/>
      <color rgb="FF00206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3" borderId="0" applyNumberFormat="0" applyBorder="0" applyAlignment="0" applyProtection="0"/>
  </cellStyleXfs>
  <cellXfs count="115">
    <xf numFmtId="0" fontId="0" fillId="0" borderId="0" xfId="0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5" fillId="0" borderId="5" xfId="0" applyFont="1" applyBorder="1" applyAlignment="1">
      <alignment horizontal="right"/>
    </xf>
    <xf numFmtId="166" fontId="5" fillId="0" borderId="6" xfId="0" applyNumberFormat="1" applyFont="1" applyBorder="1" applyAlignment="1">
      <alignment horizontal="right"/>
    </xf>
    <xf numFmtId="167" fontId="5" fillId="0" borderId="7" xfId="0" applyNumberFormat="1" applyFont="1" applyBorder="1" applyAlignment="1">
      <alignment horizontal="right"/>
    </xf>
    <xf numFmtId="164" fontId="5" fillId="0" borderId="6" xfId="0" applyNumberFormat="1" applyFont="1" applyBorder="1" applyAlignment="1">
      <alignment horizontal="right"/>
    </xf>
    <xf numFmtId="167" fontId="5" fillId="0" borderId="6" xfId="0" applyNumberFormat="1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168" fontId="5" fillId="0" borderId="6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166" fontId="5" fillId="0" borderId="9" xfId="0" applyNumberFormat="1" applyFont="1" applyBorder="1" applyAlignment="1">
      <alignment horizontal="right"/>
    </xf>
    <xf numFmtId="167" fontId="5" fillId="0" borderId="10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7" fontId="5" fillId="0" borderId="9" xfId="0" applyNumberFormat="1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164" fontId="5" fillId="0" borderId="10" xfId="0" applyNumberFormat="1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168" fontId="5" fillId="0" borderId="9" xfId="0" applyNumberFormat="1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164" fontId="5" fillId="0" borderId="12" xfId="0" applyNumberFormat="1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164" fontId="5" fillId="0" borderId="13" xfId="0" applyNumberFormat="1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168" fontId="5" fillId="0" borderId="12" xfId="0" applyNumberFormat="1" applyFont="1" applyBorder="1" applyAlignment="1">
      <alignment horizontal="right"/>
    </xf>
    <xf numFmtId="49" fontId="5" fillId="0" borderId="13" xfId="0" applyNumberFormat="1" applyFont="1" applyBorder="1" applyAlignment="1">
      <alignment horizontal="right"/>
    </xf>
    <xf numFmtId="166" fontId="5" fillId="0" borderId="12" xfId="0" applyNumberFormat="1" applyFont="1" applyBorder="1" applyAlignment="1">
      <alignment horizontal="right"/>
    </xf>
    <xf numFmtId="0" fontId="4" fillId="2" borderId="14" xfId="0" applyFont="1" applyFill="1" applyBorder="1" applyAlignment="1">
      <alignment horizontal="right"/>
    </xf>
    <xf numFmtId="167" fontId="5" fillId="0" borderId="1" xfId="0" applyNumberFormat="1" applyFont="1" applyBorder="1"/>
    <xf numFmtId="166" fontId="5" fillId="0" borderId="1" xfId="0" applyNumberFormat="1" applyFont="1" applyBorder="1"/>
    <xf numFmtId="169" fontId="5" fillId="0" borderId="1" xfId="0" applyNumberFormat="1" applyFont="1" applyBorder="1"/>
    <xf numFmtId="168" fontId="5" fillId="0" borderId="1" xfId="0" applyNumberFormat="1" applyFont="1" applyBorder="1"/>
    <xf numFmtId="170" fontId="5" fillId="0" borderId="6" xfId="0" applyNumberFormat="1" applyFont="1" applyBorder="1" applyAlignment="1">
      <alignment horizontal="right"/>
    </xf>
    <xf numFmtId="171" fontId="5" fillId="0" borderId="6" xfId="0" applyNumberFormat="1" applyFont="1" applyBorder="1" applyAlignment="1">
      <alignment horizontal="right"/>
    </xf>
    <xf numFmtId="170" fontId="5" fillId="0" borderId="9" xfId="0" applyNumberFormat="1" applyFont="1" applyBorder="1" applyAlignment="1">
      <alignment horizontal="right"/>
    </xf>
    <xf numFmtId="171" fontId="5" fillId="0" borderId="9" xfId="0" applyNumberFormat="1" applyFont="1" applyBorder="1" applyAlignment="1">
      <alignment horizontal="right"/>
    </xf>
    <xf numFmtId="171" fontId="5" fillId="0" borderId="12" xfId="0" applyNumberFormat="1" applyFont="1" applyBorder="1" applyAlignment="1">
      <alignment horizontal="right"/>
    </xf>
    <xf numFmtId="170" fontId="5" fillId="0" borderId="12" xfId="0" applyNumberFormat="1" applyFont="1" applyBorder="1" applyAlignment="1">
      <alignment horizontal="right"/>
    </xf>
    <xf numFmtId="170" fontId="5" fillId="0" borderId="1" xfId="0" applyNumberFormat="1" applyFont="1" applyBorder="1"/>
    <xf numFmtId="172" fontId="5" fillId="0" borderId="1" xfId="0" applyNumberFormat="1" applyFont="1" applyBorder="1"/>
    <xf numFmtId="171" fontId="5" fillId="0" borderId="1" xfId="0" applyNumberFormat="1" applyFont="1" applyBorder="1"/>
    <xf numFmtId="0" fontId="0" fillId="0" borderId="15" xfId="0" applyBorder="1"/>
    <xf numFmtId="167" fontId="6" fillId="0" borderId="15" xfId="0" applyNumberFormat="1" applyFont="1" applyBorder="1"/>
    <xf numFmtId="0" fontId="0" fillId="0" borderId="17" xfId="0" applyBorder="1"/>
    <xf numFmtId="10" fontId="0" fillId="0" borderId="0" xfId="1" applyNumberFormat="1" applyFont="1"/>
    <xf numFmtId="167" fontId="6" fillId="0" borderId="17" xfId="0" applyNumberFormat="1" applyFont="1" applyBorder="1"/>
    <xf numFmtId="173" fontId="0" fillId="0" borderId="17" xfId="0" applyNumberFormat="1" applyBorder="1"/>
    <xf numFmtId="43" fontId="6" fillId="0" borderId="17" xfId="2" applyFont="1" applyBorder="1"/>
    <xf numFmtId="43" fontId="6" fillId="0" borderId="15" xfId="2" applyFont="1" applyBorder="1"/>
    <xf numFmtId="43" fontId="0" fillId="0" borderId="0" xfId="2" applyFont="1"/>
    <xf numFmtId="10" fontId="0" fillId="0" borderId="17" xfId="1" applyNumberFormat="1" applyFont="1" applyBorder="1" applyAlignment="1">
      <alignment horizontal="right"/>
    </xf>
    <xf numFmtId="10" fontId="0" fillId="0" borderId="15" xfId="1" applyNumberFormat="1" applyFont="1" applyBorder="1"/>
    <xf numFmtId="10" fontId="0" fillId="0" borderId="17" xfId="1" applyNumberFormat="1" applyFont="1" applyBorder="1"/>
    <xf numFmtId="0" fontId="2" fillId="6" borderId="18" xfId="0" applyFont="1" applyFill="1" applyBorder="1" applyAlignment="1">
      <alignment horizontal="right"/>
    </xf>
    <xf numFmtId="43" fontId="2" fillId="6" borderId="18" xfId="2" applyFont="1" applyFill="1" applyBorder="1" applyAlignment="1">
      <alignment horizontal="right"/>
    </xf>
    <xf numFmtId="10" fontId="2" fillId="6" borderId="18" xfId="1" applyNumberFormat="1" applyFont="1" applyFill="1" applyBorder="1" applyAlignment="1">
      <alignment horizontal="right"/>
    </xf>
    <xf numFmtId="0" fontId="2" fillId="6" borderId="19" xfId="0" applyFont="1" applyFill="1" applyBorder="1" applyAlignment="1">
      <alignment horizontal="right"/>
    </xf>
    <xf numFmtId="9" fontId="2" fillId="6" borderId="18" xfId="1" applyFont="1" applyFill="1" applyBorder="1" applyAlignment="1">
      <alignment horizontal="right"/>
    </xf>
    <xf numFmtId="174" fontId="2" fillId="6" borderId="18" xfId="1" applyNumberFormat="1" applyFont="1" applyFill="1" applyBorder="1" applyAlignment="1">
      <alignment horizontal="right"/>
    </xf>
    <xf numFmtId="0" fontId="9" fillId="6" borderId="18" xfId="0" applyFont="1" applyFill="1" applyBorder="1" applyAlignment="1">
      <alignment horizontal="right"/>
    </xf>
    <xf numFmtId="0" fontId="2" fillId="6" borderId="18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right"/>
    </xf>
    <xf numFmtId="10" fontId="2" fillId="6" borderId="15" xfId="1" applyNumberFormat="1" applyFont="1" applyFill="1" applyBorder="1" applyAlignment="1">
      <alignment horizontal="right"/>
    </xf>
    <xf numFmtId="10" fontId="0" fillId="0" borderId="0" xfId="1" applyNumberFormat="1" applyFont="1" applyBorder="1"/>
    <xf numFmtId="0" fontId="0" fillId="0" borderId="23" xfId="0" applyBorder="1"/>
    <xf numFmtId="0" fontId="0" fillId="0" borderId="24" xfId="0" applyBorder="1"/>
    <xf numFmtId="10" fontId="0" fillId="0" borderId="24" xfId="1" applyNumberFormat="1" applyFont="1" applyBorder="1"/>
    <xf numFmtId="0" fontId="0" fillId="0" borderId="25" xfId="0" applyBorder="1"/>
    <xf numFmtId="10" fontId="0" fillId="0" borderId="18" xfId="1" applyNumberFormat="1" applyFont="1" applyBorder="1"/>
    <xf numFmtId="10" fontId="0" fillId="0" borderId="26" xfId="1" applyNumberFormat="1" applyFont="1" applyBorder="1"/>
    <xf numFmtId="9" fontId="0" fillId="0" borderId="23" xfId="0" applyNumberFormat="1" applyBorder="1"/>
    <xf numFmtId="174" fontId="0" fillId="0" borderId="25" xfId="0" applyNumberFormat="1" applyBorder="1"/>
    <xf numFmtId="0" fontId="10" fillId="3" borderId="24" xfId="3" applyFont="1" applyBorder="1"/>
    <xf numFmtId="0" fontId="0" fillId="0" borderId="23" xfId="0" applyBorder="1" applyAlignment="1">
      <alignment horizontal="left"/>
    </xf>
    <xf numFmtId="0" fontId="10" fillId="3" borderId="30" xfId="3" applyFont="1" applyBorder="1"/>
    <xf numFmtId="0" fontId="0" fillId="0" borderId="25" xfId="0" applyBorder="1" applyAlignment="1">
      <alignment horizontal="left"/>
    </xf>
    <xf numFmtId="0" fontId="10" fillId="3" borderId="31" xfId="3" applyFont="1" applyBorder="1"/>
    <xf numFmtId="0" fontId="0" fillId="0" borderId="36" xfId="0" applyBorder="1"/>
    <xf numFmtId="10" fontId="0" fillId="0" borderId="37" xfId="1" applyNumberFormat="1" applyFont="1" applyBorder="1"/>
    <xf numFmtId="0" fontId="0" fillId="0" borderId="38" xfId="0" applyBorder="1"/>
    <xf numFmtId="10" fontId="0" fillId="0" borderId="39" xfId="1" applyNumberFormat="1" applyFont="1" applyBorder="1"/>
    <xf numFmtId="10" fontId="0" fillId="0" borderId="40" xfId="1" applyNumberFormat="1" applyFont="1" applyBorder="1"/>
    <xf numFmtId="0" fontId="2" fillId="0" borderId="24" xfId="0" applyFont="1" applyBorder="1"/>
    <xf numFmtId="0" fontId="2" fillId="0" borderId="26" xfId="0" applyFont="1" applyBorder="1"/>
    <xf numFmtId="0" fontId="0" fillId="7" borderId="41" xfId="0" applyFill="1" applyBorder="1"/>
    <xf numFmtId="0" fontId="8" fillId="0" borderId="0" xfId="0" applyFont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34" xfId="0" applyFont="1" applyFill="1" applyBorder="1" applyAlignment="1">
      <alignment horizontal="center"/>
    </xf>
    <xf numFmtId="0" fontId="8" fillId="4" borderId="35" xfId="0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/>
    </xf>
    <xf numFmtId="0" fontId="8" fillId="4" borderId="28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18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33" xfId="0" applyBorder="1" applyAlignment="1">
      <alignment horizontal="left"/>
    </xf>
    <xf numFmtId="0" fontId="3" fillId="0" borderId="15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32" xfId="0" applyBorder="1" applyAlignment="1">
      <alignment horizontal="left"/>
    </xf>
    <xf numFmtId="0" fontId="8" fillId="5" borderId="16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/>
    <xf numFmtId="0" fontId="4" fillId="2" borderId="4" xfId="0" applyFont="1" applyFill="1" applyBorder="1"/>
  </cellXfs>
  <cellStyles count="4">
    <cellStyle name="Comma" xfId="2" builtinId="3"/>
    <cellStyle name="Neutral" xfId="3" builtinId="28"/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</a:t>
            </a:r>
            <a:r>
              <a:rPr lang="en-US" baseline="0"/>
              <a:t> Time Scaling (100Days) - Square Root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99% VaR Portfolio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VaR_Model!$H$3:$H$102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VaR_Model!$J$3:$J$102</c:f>
              <c:numCache>
                <c:formatCode>0.00%</c:formatCode>
                <c:ptCount val="100"/>
                <c:pt idx="0">
                  <c:v>2.2904770783247909E-2</c:v>
                </c:pt>
                <c:pt idx="1">
                  <c:v>3.2392237484716216E-2</c:v>
                </c:pt>
                <c:pt idx="2">
                  <c:v>3.9672226732304562E-2</c:v>
                </c:pt>
                <c:pt idx="3">
                  <c:v>4.5809541566495818E-2</c:v>
                </c:pt>
                <c:pt idx="4">
                  <c:v>5.1216624480393429E-2</c:v>
                </c:pt>
                <c:pt idx="5">
                  <c:v>5.6105001094365566E-2</c:v>
                </c:pt>
                <c:pt idx="6">
                  <c:v>6.060032732941209E-2</c:v>
                </c:pt>
                <c:pt idx="7">
                  <c:v>6.4784474969432432E-2</c:v>
                </c:pt>
                <c:pt idx="8">
                  <c:v>6.8714312349743734E-2</c:v>
                </c:pt>
                <c:pt idx="9">
                  <c:v>7.2431244959142257E-2</c:v>
                </c:pt>
                <c:pt idx="10">
                  <c:v>7.5966530597128087E-2</c:v>
                </c:pt>
                <c:pt idx="11">
                  <c:v>7.9344453464609124E-2</c:v>
                </c:pt>
                <c:pt idx="12">
                  <c:v>8.2584325511749809E-2</c:v>
                </c:pt>
                <c:pt idx="13">
                  <c:v>8.5701804793503492E-2</c:v>
                </c:pt>
                <c:pt idx="14">
                  <c:v>8.8709795792217369E-2</c:v>
                </c:pt>
                <c:pt idx="15">
                  <c:v>9.1619083132991636E-2</c:v>
                </c:pt>
                <c:pt idx="16">
                  <c:v>9.4438789269892479E-2</c:v>
                </c:pt>
                <c:pt idx="17">
                  <c:v>9.717671245414862E-2</c:v>
                </c:pt>
                <c:pt idx="18">
                  <c:v>9.9839581169140601E-2</c:v>
                </c:pt>
                <c:pt idx="19">
                  <c:v>0.10243324896078686</c:v>
                </c:pt>
                <c:pt idx="20">
                  <c:v>0.1049628458898465</c:v>
                </c:pt>
                <c:pt idx="21">
                  <c:v>0.10743289785688924</c:v>
                </c:pt>
                <c:pt idx="22">
                  <c:v>0.10984742175655249</c:v>
                </c:pt>
                <c:pt idx="23">
                  <c:v>0.11221000218873113</c:v>
                </c:pt>
                <c:pt idx="24">
                  <c:v>0.11452385391623954</c:v>
                </c:pt>
                <c:pt idx="25">
                  <c:v>0.11679187317815097</c:v>
                </c:pt>
                <c:pt idx="26">
                  <c:v>0.11901668019691371</c:v>
                </c:pt>
                <c:pt idx="27">
                  <c:v>0.12120065465882418</c:v>
                </c:pt>
                <c:pt idx="28">
                  <c:v>0.12334596553742924</c:v>
                </c:pt>
                <c:pt idx="29">
                  <c:v>0.12545459632470152</c:v>
                </c:pt>
                <c:pt idx="30">
                  <c:v>0.127528366505758</c:v>
                </c:pt>
                <c:pt idx="31">
                  <c:v>0.12956894993886486</c:v>
                </c:pt>
                <c:pt idx="32">
                  <c:v>0.13157789066896153</c:v>
                </c:pt>
                <c:pt idx="33">
                  <c:v>0.13355661659957668</c:v>
                </c:pt>
                <c:pt idx="34">
                  <c:v>0.13550645136730372</c:v>
                </c:pt>
                <c:pt idx="35">
                  <c:v>0.13742862469948747</c:v>
                </c:pt>
                <c:pt idx="36">
                  <c:v>0.13932428148540979</c:v>
                </c:pt>
                <c:pt idx="37">
                  <c:v>0.14119448975104809</c:v>
                </c:pt>
                <c:pt idx="38">
                  <c:v>0.1430402476951573</c:v>
                </c:pt>
                <c:pt idx="39">
                  <c:v>0.14486248991828451</c:v>
                </c:pt>
                <c:pt idx="40">
                  <c:v>0.14666209295505844</c:v>
                </c:pt>
                <c:pt idx="41">
                  <c:v>0.14843988020269802</c:v>
                </c:pt>
                <c:pt idx="42">
                  <c:v>0.15019662632437675</c:v>
                </c:pt>
                <c:pt idx="43">
                  <c:v>0.15193306119425617</c:v>
                </c:pt>
                <c:pt idx="44">
                  <c:v>0.15364987344118028</c:v>
                </c:pt>
                <c:pt idx="45">
                  <c:v>0.15534771363983393</c:v>
                </c:pt>
                <c:pt idx="46">
                  <c:v>0.15702719719130495</c:v>
                </c:pt>
                <c:pt idx="47">
                  <c:v>0.15868890692921825</c:v>
                </c:pt>
                <c:pt idx="48">
                  <c:v>0.16033339548273537</c:v>
                </c:pt>
                <c:pt idx="49">
                  <c:v>0.16196118742358107</c:v>
                </c:pt>
                <c:pt idx="50">
                  <c:v>0.16357278122074431</c:v>
                </c:pt>
                <c:pt idx="51">
                  <c:v>0.16516865102349962</c:v>
                </c:pt>
                <c:pt idx="52">
                  <c:v>0.16674924829082657</c:v>
                </c:pt>
                <c:pt idx="53">
                  <c:v>0.16831500328309673</c:v>
                </c:pt>
                <c:pt idx="54">
                  <c:v>0.16986632642999608</c:v>
                </c:pt>
                <c:pt idx="55">
                  <c:v>0.17140360958700698</c:v>
                </c:pt>
                <c:pt idx="56">
                  <c:v>0.17292722719134845</c:v>
                </c:pt>
                <c:pt idx="57">
                  <c:v>0.17443753732703685</c:v>
                </c:pt>
                <c:pt idx="58">
                  <c:v>0.17593488270764979</c:v>
                </c:pt>
                <c:pt idx="59">
                  <c:v>0.17741959158443474</c:v>
                </c:pt>
                <c:pt idx="60">
                  <c:v>0.17889197858657818</c:v>
                </c:pt>
                <c:pt idx="61">
                  <c:v>0.1803523454997297</c:v>
                </c:pt>
                <c:pt idx="62">
                  <c:v>0.18180098198823627</c:v>
                </c:pt>
                <c:pt idx="63">
                  <c:v>0.18323816626598327</c:v>
                </c:pt>
                <c:pt idx="64">
                  <c:v>0.18466416572024269</c:v>
                </c:pt>
                <c:pt idx="65">
                  <c:v>0.1860792374924897</c:v>
                </c:pt>
                <c:pt idx="66">
                  <c:v>0.1874836290197614</c:v>
                </c:pt>
                <c:pt idx="67">
                  <c:v>0.18887757853978496</c:v>
                </c:pt>
                <c:pt idx="68">
                  <c:v>0.1902613155627958</c:v>
                </c:pt>
                <c:pt idx="69">
                  <c:v>0.19163506131269115</c:v>
                </c:pt>
                <c:pt idx="70">
                  <c:v>0.19299902913992087</c:v>
                </c:pt>
                <c:pt idx="71">
                  <c:v>0.19435342490829724</c:v>
                </c:pt>
                <c:pt idx="72">
                  <c:v>0.19569844735770967</c:v>
                </c:pt>
                <c:pt idx="73">
                  <c:v>0.19703428844455323</c:v>
                </c:pt>
                <c:pt idx="74">
                  <c:v>0.19836113366152286</c:v>
                </c:pt>
                <c:pt idx="75">
                  <c:v>0.1996791623382812</c:v>
                </c:pt>
                <c:pt idx="76">
                  <c:v>0.20098854792437998</c:v>
                </c:pt>
                <c:pt idx="77">
                  <c:v>0.20228945825569833</c:v>
                </c:pt>
                <c:pt idx="78">
                  <c:v>0.20358205580555727</c:v>
                </c:pt>
                <c:pt idx="79">
                  <c:v>0.20486649792157371</c:v>
                </c:pt>
                <c:pt idx="80">
                  <c:v>0.20614293704923117</c:v>
                </c:pt>
                <c:pt idx="81">
                  <c:v>0.20741152094306725</c:v>
                </c:pt>
                <c:pt idx="82">
                  <c:v>0.20867239286630501</c:v>
                </c:pt>
                <c:pt idx="83">
                  <c:v>0.209925691779693</c:v>
                </c:pt>
                <c:pt idx="84">
                  <c:v>0.21117155252025732</c:v>
                </c:pt>
                <c:pt idx="85">
                  <c:v>0.21241010597061744</c:v>
                </c:pt>
                <c:pt idx="86">
                  <c:v>0.21364147921946725</c:v>
                </c:pt>
                <c:pt idx="87">
                  <c:v>0.21486579571377848</c:v>
                </c:pt>
                <c:pt idx="88">
                  <c:v>0.21608317540324212</c:v>
                </c:pt>
                <c:pt idx="89">
                  <c:v>0.21729373487742676</c:v>
                </c:pt>
                <c:pt idx="90">
                  <c:v>0.21849758749609699</c:v>
                </c:pt>
                <c:pt idx="91">
                  <c:v>0.21969484351310498</c:v>
                </c:pt>
                <c:pt idx="92">
                  <c:v>0.22088561019423789</c:v>
                </c:pt>
                <c:pt idx="93">
                  <c:v>0.22206999192937785</c:v>
                </c:pt>
                <c:pt idx="94">
                  <c:v>0.22324809033930629</c:v>
                </c:pt>
                <c:pt idx="95">
                  <c:v>0.22442000437746226</c:v>
                </c:pt>
                <c:pt idx="96">
                  <c:v>0.22558583042694264</c:v>
                </c:pt>
                <c:pt idx="97">
                  <c:v>0.22674566239301347</c:v>
                </c:pt>
                <c:pt idx="98">
                  <c:v>0.22789959179138425</c:v>
                </c:pt>
                <c:pt idx="99">
                  <c:v>0.22904770783247907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D-444F-8CF1-5C27EA616218}"/>
            </c:ext>
          </c:extLst>
        </c:ser>
        <c:ser>
          <c:idx val="0"/>
          <c:order val="1"/>
          <c:tx>
            <c:strRef>
              <c:f>VaR_Model!$L$2</c:f>
              <c:strCache>
                <c:ptCount val="1"/>
                <c:pt idx="0">
                  <c:v>Weighted Sum (99%)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VaR_Model!$H$3:$H$102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VaR_Model!$L$3:$L$102</c:f>
              <c:numCache>
                <c:formatCode>0.00%</c:formatCode>
                <c:ptCount val="100"/>
                <c:pt idx="0">
                  <c:v>2.3992136374659221E-2</c:v>
                </c:pt>
                <c:pt idx="1">
                  <c:v>3.3930004651347934E-2</c:v>
                </c:pt>
                <c:pt idx="2">
                  <c:v>4.1555599183031137E-2</c:v>
                </c:pt>
                <c:pt idx="3">
                  <c:v>4.7984272749318442E-2</c:v>
                </c:pt>
                <c:pt idx="4">
                  <c:v>5.3648047859183381E-2</c:v>
                </c:pt>
                <c:pt idx="5">
                  <c:v>5.8768491957182943E-2</c:v>
                </c:pt>
                <c:pt idx="6">
                  <c:v>6.3477226268495085E-2</c:v>
                </c:pt>
                <c:pt idx="7">
                  <c:v>6.7860009302695867E-2</c:v>
                </c:pt>
                <c:pt idx="8">
                  <c:v>7.1976409123977667E-2</c:v>
                </c:pt>
                <c:pt idx="9">
                  <c:v>7.5869796877298029E-2</c:v>
                </c:pt>
                <c:pt idx="10">
                  <c:v>7.9572914273782297E-2</c:v>
                </c:pt>
                <c:pt idx="11">
                  <c:v>8.3111198366062275E-2</c:v>
                </c:pt>
                <c:pt idx="12">
                  <c:v>8.6504877906758523E-2</c:v>
                </c:pt>
                <c:pt idx="13">
                  <c:v>8.9770354290731449E-2</c:v>
                </c:pt>
                <c:pt idx="14">
                  <c:v>9.2921144618992355E-2</c:v>
                </c:pt>
                <c:pt idx="15">
                  <c:v>9.5968545498636884E-2</c:v>
                </c:pt>
                <c:pt idx="16">
                  <c:v>9.8922112456943545E-2</c:v>
                </c:pt>
                <c:pt idx="17">
                  <c:v>0.10179001395404379</c:v>
                </c:pt>
                <c:pt idx="18">
                  <c:v>0.10457929789678586</c:v>
                </c:pt>
                <c:pt idx="19">
                  <c:v>0.10729609571836676</c:v>
                </c:pt>
                <c:pt idx="20">
                  <c:v>0.10994578102057927</c:v>
                </c:pt>
                <c:pt idx="21">
                  <c:v>0.11253309456353458</c:v>
                </c:pt>
                <c:pt idx="22">
                  <c:v>0.11506224393720843</c:v>
                </c:pt>
                <c:pt idx="23">
                  <c:v>0.11753698391436589</c:v>
                </c:pt>
                <c:pt idx="24">
                  <c:v>0.1199606818732961</c:v>
                </c:pt>
                <c:pt idx="25">
                  <c:v>0.12233637154716662</c:v>
                </c:pt>
                <c:pt idx="26">
                  <c:v>0.12466679754909342</c:v>
                </c:pt>
                <c:pt idx="27">
                  <c:v>0.12695445253699017</c:v>
                </c:pt>
                <c:pt idx="28">
                  <c:v>0.12920160845278644</c:v>
                </c:pt>
                <c:pt idx="29">
                  <c:v>0.13141034295141074</c:v>
                </c:pt>
                <c:pt idx="30">
                  <c:v>0.13358256189498549</c:v>
                </c:pt>
                <c:pt idx="31">
                  <c:v>0.13572001860539173</c:v>
                </c:pt>
                <c:pt idx="32">
                  <c:v>0.13782433042851369</c:v>
                </c:pt>
                <c:pt idx="33">
                  <c:v>0.13989699305520606</c:v>
                </c:pt>
                <c:pt idx="34">
                  <c:v>0.14193939295949035</c:v>
                </c:pt>
                <c:pt idx="35">
                  <c:v>0.14395281824795533</c:v>
                </c:pt>
                <c:pt idx="36">
                  <c:v>0.14593846816158207</c:v>
                </c:pt>
                <c:pt idx="37">
                  <c:v>0.14789746142909063</c:v>
                </c:pt>
                <c:pt idx="38">
                  <c:v>0.14983084363704824</c:v>
                </c:pt>
                <c:pt idx="39">
                  <c:v>0.15173959375459606</c:v>
                </c:pt>
                <c:pt idx="40">
                  <c:v>0.15362462992837472</c:v>
                </c:pt>
                <c:pt idx="41">
                  <c:v>0.15548681464500563</c:v>
                </c:pt>
                <c:pt idx="42">
                  <c:v>0.15732695934349772</c:v>
                </c:pt>
                <c:pt idx="43">
                  <c:v>0.15914582854756459</c:v>
                </c:pt>
                <c:pt idx="44">
                  <c:v>0.16094414357755016</c:v>
                </c:pt>
                <c:pt idx="45">
                  <c:v>0.16272258589308161</c:v>
                </c:pt>
                <c:pt idx="46">
                  <c:v>0.16448180011038172</c:v>
                </c:pt>
                <c:pt idx="47">
                  <c:v>0.16622239673212455</c:v>
                </c:pt>
                <c:pt idx="48">
                  <c:v>0.16794495462261455</c:v>
                </c:pt>
                <c:pt idx="49">
                  <c:v>0.16965002325673967</c:v>
                </c:pt>
                <c:pt idx="50">
                  <c:v>0.17133812476746837</c:v>
                </c:pt>
                <c:pt idx="51">
                  <c:v>0.17300975581351705</c:v>
                </c:pt>
                <c:pt idx="52">
                  <c:v>0.17466538928612343</c:v>
                </c:pt>
                <c:pt idx="53">
                  <c:v>0.17630547587154885</c:v>
                </c:pt>
                <c:pt idx="54">
                  <c:v>0.17793044548394055</c:v>
                </c:pt>
                <c:pt idx="55">
                  <c:v>0.1795407085814629</c:v>
                </c:pt>
                <c:pt idx="56">
                  <c:v>0.18113665737711412</c:v>
                </c:pt>
                <c:pt idx="57">
                  <c:v>0.18271866695434891</c:v>
                </c:pt>
                <c:pt idx="58">
                  <c:v>0.18428709629649742</c:v>
                </c:pt>
                <c:pt idx="59">
                  <c:v>0.18584228923798471</c:v>
                </c:pt>
                <c:pt idx="60">
                  <c:v>0.18738457534449043</c:v>
                </c:pt>
                <c:pt idx="61">
                  <c:v>0.18891427072843189</c:v>
                </c:pt>
                <c:pt idx="62">
                  <c:v>0.19043167880548528</c:v>
                </c:pt>
                <c:pt idx="63">
                  <c:v>0.19193709099727377</c:v>
                </c:pt>
                <c:pt idx="64">
                  <c:v>0.19343078738483177</c:v>
                </c:pt>
                <c:pt idx="65">
                  <c:v>0.19491303731699491</c:v>
                </c:pt>
                <c:pt idx="66">
                  <c:v>0.1963840999774587</c:v>
                </c:pt>
                <c:pt idx="67">
                  <c:v>0.19784422491388709</c:v>
                </c:pt>
                <c:pt idx="68">
                  <c:v>0.19929365253212902</c:v>
                </c:pt>
                <c:pt idx="69">
                  <c:v>0.20073261455831543</c:v>
                </c:pt>
                <c:pt idx="70">
                  <c:v>0.20216133447135107</c:v>
                </c:pt>
                <c:pt idx="71">
                  <c:v>0.20358002790808757</c:v>
                </c:pt>
                <c:pt idx="72">
                  <c:v>0.20498890304325734</c:v>
                </c:pt>
                <c:pt idx="73">
                  <c:v>0.20638816094606349</c:v>
                </c:pt>
                <c:pt idx="74">
                  <c:v>0.20777799591515572</c:v>
                </c:pt>
                <c:pt idx="75">
                  <c:v>0.20915859579357171</c:v>
                </c:pt>
                <c:pt idx="76">
                  <c:v>0.21053014226508981</c:v>
                </c:pt>
                <c:pt idx="77">
                  <c:v>0.21189281113331618</c:v>
                </c:pt>
                <c:pt idx="78">
                  <c:v>0.21324677258472036</c:v>
                </c:pt>
                <c:pt idx="79">
                  <c:v>0.21459219143673353</c:v>
                </c:pt>
                <c:pt idx="80">
                  <c:v>0.21592922737193299</c:v>
                </c:pt>
                <c:pt idx="81">
                  <c:v>0.21725803515925524</c:v>
                </c:pt>
                <c:pt idx="82">
                  <c:v>0.21857876486310474</c:v>
                </c:pt>
                <c:pt idx="83">
                  <c:v>0.21989156204115853</c:v>
                </c:pt>
                <c:pt idx="84">
                  <c:v>0.22119656793160447</c:v>
                </c:pt>
                <c:pt idx="85">
                  <c:v>0.222493919630495</c:v>
                </c:pt>
                <c:pt idx="86">
                  <c:v>0.22378375025984665</c:v>
                </c:pt>
                <c:pt idx="87">
                  <c:v>0.22506618912706916</c:v>
                </c:pt>
                <c:pt idx="88">
                  <c:v>0.226341361876264</c:v>
                </c:pt>
                <c:pt idx="89">
                  <c:v>0.22760939063189409</c:v>
                </c:pt>
                <c:pt idx="90">
                  <c:v>0.2288703941352887</c:v>
                </c:pt>
                <c:pt idx="91">
                  <c:v>0.23012448787441686</c:v>
                </c:pt>
                <c:pt idx="92">
                  <c:v>0.23137178420732915</c:v>
                </c:pt>
                <c:pt idx="93">
                  <c:v>0.23261239247964227</c:v>
                </c:pt>
                <c:pt idx="94">
                  <c:v>0.23384641913641391</c:v>
                </c:pt>
                <c:pt idx="95">
                  <c:v>0.23507396782873177</c:v>
                </c:pt>
                <c:pt idx="96">
                  <c:v>0.23629513951531855</c:v>
                </c:pt>
                <c:pt idx="97">
                  <c:v>0.23751003255943551</c:v>
                </c:pt>
                <c:pt idx="98">
                  <c:v>0.23871874282134689</c:v>
                </c:pt>
                <c:pt idx="99">
                  <c:v>0.2399213637465922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E67D-444F-8CF1-5C27EA616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800831"/>
        <c:axId val="455798143"/>
      </c:lineChart>
      <c:catAx>
        <c:axId val="4558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8143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45579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Monte Carlo T-Day Sim. Portfolio Returns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Monte Carlo T-Day Sim. Portfolio Returns</a:t>
          </a:r>
        </a:p>
      </cx:txPr>
    </cx:title>
    <cx:plotArea>
      <cx:plotAreaRegion>
        <cx:series layoutId="clusteredColumn" uniqueId="{5485BD85-9530-3948-8A69-95AA957B35B5}">
          <cx:tx>
            <cx:txData>
              <cx:f>_xlchart.v1.0</cx:f>
              <cx:v>Sim Portfolio</cx:v>
            </cx:txData>
          </cx:tx>
          <cx:dataId val="0"/>
          <cx:layoutPr>
            <cx:binning intervalClosed="r">
              <cx:binSize val="0.0050000000000000001"/>
            </cx:binning>
          </cx:layoutPr>
        </cx:series>
      </cx:plotAreaRegion>
      <cx:axis id="0" hidden="1">
        <cx:catScaling gapWidth="0"/>
        <cx:tickLabels/>
        <cx:numFmt formatCode="0%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</xdr:row>
      <xdr:rowOff>0</xdr:rowOff>
    </xdr:from>
    <xdr:to>
      <xdr:col>13</xdr:col>
      <xdr:colOff>668422</xdr:colOff>
      <xdr:row>31</xdr:row>
      <xdr:rowOff>136358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5B1234D-C40D-0045-8FC5-8A9B1F3376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8200" y="3886200"/>
              <a:ext cx="4770522" cy="27779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481263</xdr:colOff>
      <xdr:row>18</xdr:row>
      <xdr:rowOff>0</xdr:rowOff>
    </xdr:from>
    <xdr:to>
      <xdr:col>9</xdr:col>
      <xdr:colOff>307474</xdr:colOff>
      <xdr:row>31</xdr:row>
      <xdr:rowOff>136358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53FEB5-65D5-4F4D-B047-94A91BEF6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B4E1-5E3F-F049-BC8B-85BDD9FAC168}">
  <dimension ref="A1:U10002"/>
  <sheetViews>
    <sheetView zoomScale="170" zoomScaleNormal="170" workbookViewId="0">
      <selection activeCell="K11" sqref="K11"/>
    </sheetView>
  </sheetViews>
  <sheetFormatPr baseColWidth="10" defaultRowHeight="16" x14ac:dyDescent="0.2"/>
  <cols>
    <col min="1" max="1" width="11.83203125" bestFit="1" customWidth="1"/>
    <col min="2" max="2" width="11.6640625" style="57" bestFit="1" customWidth="1"/>
    <col min="3" max="3" width="11" style="57" bestFit="1" customWidth="1"/>
    <col min="4" max="6" width="11.83203125" style="52" customWidth="1"/>
    <col min="7" max="7" width="3.83203125" customWidth="1"/>
    <col min="8" max="8" width="7.6640625" bestFit="1" customWidth="1"/>
    <col min="9" max="11" width="11.83203125" style="52" customWidth="1"/>
    <col min="12" max="12" width="18" style="52" bestFit="1" customWidth="1"/>
    <col min="13" max="13" width="3.83203125" customWidth="1"/>
    <col min="15" max="15" width="11.83203125" bestFit="1" customWidth="1"/>
    <col min="16" max="16" width="17.1640625" bestFit="1" customWidth="1"/>
    <col min="17" max="17" width="3.83203125" customWidth="1"/>
    <col min="18" max="18" width="11.1640625" bestFit="1" customWidth="1"/>
    <col min="19" max="21" width="11.83203125" style="52" customWidth="1"/>
    <col min="22" max="22" width="16.6640625" bestFit="1" customWidth="1"/>
    <col min="23" max="24" width="11.33203125" bestFit="1" customWidth="1"/>
    <col min="25" max="25" width="12.83203125" bestFit="1" customWidth="1"/>
  </cols>
  <sheetData>
    <row r="1" spans="1:21" ht="22" customHeight="1" x14ac:dyDescent="0.25">
      <c r="A1" s="110" t="s">
        <v>74</v>
      </c>
      <c r="B1" s="110"/>
      <c r="C1" s="110"/>
      <c r="D1" s="110"/>
      <c r="E1" s="110"/>
      <c r="F1" s="110"/>
      <c r="H1" s="110" t="s">
        <v>75</v>
      </c>
      <c r="I1" s="110"/>
      <c r="J1" s="110"/>
      <c r="K1" s="110"/>
      <c r="L1" s="93"/>
      <c r="N1" s="110" t="s">
        <v>77</v>
      </c>
      <c r="O1" s="110"/>
      <c r="P1" s="110"/>
      <c r="R1" s="111" t="s">
        <v>76</v>
      </c>
      <c r="S1" s="111"/>
      <c r="T1" s="111"/>
      <c r="U1" s="111"/>
    </row>
    <row r="2" spans="1:21" s="64" customFormat="1" ht="17" thickBot="1" x14ac:dyDescent="0.25">
      <c r="A2" s="68" t="s">
        <v>81</v>
      </c>
      <c r="B2" s="62" t="s">
        <v>72</v>
      </c>
      <c r="C2" s="62" t="s">
        <v>73</v>
      </c>
      <c r="D2" s="63" t="s">
        <v>78</v>
      </c>
      <c r="E2" s="63" t="s">
        <v>79</v>
      </c>
      <c r="F2" s="63" t="s">
        <v>80</v>
      </c>
      <c r="H2" s="61" t="s">
        <v>62</v>
      </c>
      <c r="I2" s="65">
        <v>0.95</v>
      </c>
      <c r="J2" s="65">
        <v>0.99</v>
      </c>
      <c r="K2" s="66">
        <v>0.995</v>
      </c>
      <c r="L2" s="92" t="s">
        <v>103</v>
      </c>
      <c r="N2" s="67" t="s">
        <v>70</v>
      </c>
      <c r="O2" s="67" t="s">
        <v>71</v>
      </c>
      <c r="P2" s="67" t="s">
        <v>58</v>
      </c>
      <c r="R2" s="69" t="s">
        <v>66</v>
      </c>
      <c r="S2" s="70" t="s">
        <v>67</v>
      </c>
      <c r="T2" s="70" t="s">
        <v>68</v>
      </c>
      <c r="U2" s="70" t="s">
        <v>69</v>
      </c>
    </row>
    <row r="3" spans="1:21" x14ac:dyDescent="0.2">
      <c r="A3" s="53">
        <v>45936</v>
      </c>
      <c r="B3" s="55">
        <v>24378.29</v>
      </c>
      <c r="C3" s="55">
        <v>43146.13</v>
      </c>
      <c r="D3" s="58" t="s">
        <v>57</v>
      </c>
      <c r="E3" s="58" t="s">
        <v>57</v>
      </c>
      <c r="F3" s="58" t="s">
        <v>57</v>
      </c>
      <c r="H3" s="51">
        <v>1</v>
      </c>
      <c r="I3" s="60">
        <f>Dashboard!$D$12 * SQRT($H3)</f>
        <v>5.1194184376479365E-2</v>
      </c>
      <c r="J3" s="60">
        <f>(Dashboard!$D$13/SQRT(Dashboard!$F$4))* SQRT(H3)</f>
        <v>2.2904770783247909E-2</v>
      </c>
      <c r="K3" s="60">
        <f>Dashboard!$D$14 * SQRT($H3)</f>
        <v>8.0205708581308682E-2</v>
      </c>
      <c r="L3" s="60">
        <f>( (Dashboard!$B$13/SQRT(Dashboard!$F$4))*0.5 + (Dashboard!$C$13/SQRT(Dashboard!$F$4))*0.5 ) * SQRT(H3)</f>
        <v>2.3992136374659221E-2</v>
      </c>
      <c r="N3" s="51">
        <f>Dashboard!$B$9</f>
        <v>1.0205539083106309E-4</v>
      </c>
      <c r="O3" s="51">
        <f>Dashboard!$C$9</f>
        <v>1.111226190026808E-4</v>
      </c>
      <c r="P3" s="54">
        <f>Dashboard!$D$9</f>
        <v>9.7110105028946949E-5</v>
      </c>
      <c r="R3" s="49" cm="1">
        <f t="array" ref="R3:R10002">_xlfn.SEQUENCE(Dashboard!F3)</f>
        <v>1</v>
      </c>
      <c r="S3" s="59">
        <f ca="1">Dashboard!B$8* Dashboard!$F$4+Dashboard!B$10*SQRT(Dashboard!$F$4) * _xlfn.NORM.S.INV(RAND())</f>
        <v>-2.2527438519367893E-2</v>
      </c>
      <c r="T3" s="59">
        <f ca="1">Dashboard!C$8* Dashboard!$F$4+Dashboard!C$10*SQRT(Dashboard!$F$4) * _xlfn.NORM.S.INV(RAND())</f>
        <v>7.6072029135520747E-2</v>
      </c>
      <c r="U3" s="59">
        <f ca="1">Dashboard!D$8* Dashboard!$F$4+Dashboard!D$10*SQRT(Dashboard!$F$4) * _xlfn.NORM.S.INV(RAND())</f>
        <v>5.6432809505248163E-2</v>
      </c>
    </row>
    <row r="4" spans="1:21" x14ac:dyDescent="0.2">
      <c r="A4" s="50">
        <v>45937</v>
      </c>
      <c r="B4" s="56">
        <v>24385.78</v>
      </c>
      <c r="C4" s="56">
        <v>43070.95</v>
      </c>
      <c r="D4" s="59">
        <f>LN(B4/B3)</f>
        <v>3.0719339295906425E-4</v>
      </c>
      <c r="E4" s="59">
        <f>LN(C4/C3)</f>
        <v>-1.7439704303271405E-3</v>
      </c>
      <c r="F4" s="59">
        <f>0.5*D4+0.5*E4</f>
        <v>-7.1838851868403814E-4</v>
      </c>
      <c r="H4" s="49">
        <v>2</v>
      </c>
      <c r="I4" s="59">
        <f>Dashboard!$D$12 * SQRT($H4)</f>
        <v>7.2399509859845931E-2</v>
      </c>
      <c r="J4" s="60">
        <f>(Dashboard!$D$13/SQRT(Dashboard!$F$4))* SQRT(H4)</f>
        <v>3.2392237484716216E-2</v>
      </c>
      <c r="K4" s="59">
        <f>Dashboard!$D$14 * SQRT($H4)</f>
        <v>0.11342800085543088</v>
      </c>
      <c r="L4" s="59">
        <f>( (Dashboard!$B$13/SQRT(Dashboard!$F$4))*0.5 + (Dashboard!$C$13/SQRT(Dashboard!$F$4))*0.5 ) * SQRT(H4)</f>
        <v>3.3930004651347934E-2</v>
      </c>
      <c r="N4" s="49">
        <f>Dashboard!$F$2*N3+(1-Dashboard!$F$2)*(D4)^2</f>
        <v>9.5937729448039975E-5</v>
      </c>
      <c r="O4" s="49">
        <f>Dashboard!$F$2*O3+(1-Dashboard!$F$2)*(E4)^2</f>
        <v>1.0463774783423128E-4</v>
      </c>
      <c r="P4" s="49">
        <f>Dashboard!$F$2*P3+(1-Dashboard!$F$2)*(F4)^2</f>
        <v>9.131446365103674E-5</v>
      </c>
      <c r="R4" s="49">
        <v>2</v>
      </c>
      <c r="S4" s="59">
        <f ca="1">Dashboard!B$8* Dashboard!$F$4+Dashboard!B$10*SQRT(Dashboard!$F$4) * _xlfn.NORM.S.INV(RAND())</f>
        <v>-1.3717519318326333E-2</v>
      </c>
      <c r="T4" s="59">
        <f ca="1">Dashboard!C$8* Dashboard!$F$4+Dashboard!C$10*SQRT(Dashboard!$F$4) * _xlfn.NORM.S.INV(RAND())</f>
        <v>-3.9901448325280718E-2</v>
      </c>
      <c r="U4" s="59">
        <f ca="1">Dashboard!D$8* Dashboard!$F$4+Dashboard!D$10*SQRT(Dashboard!$F$4) * _xlfn.NORM.S.INV(RAND())</f>
        <v>-5.6901270602346787E-2</v>
      </c>
    </row>
    <row r="5" spans="1:21" x14ac:dyDescent="0.2">
      <c r="A5" s="50">
        <v>45938</v>
      </c>
      <c r="B5" s="56">
        <v>24597.13</v>
      </c>
      <c r="C5" s="56">
        <v>43484.24</v>
      </c>
      <c r="D5" s="59">
        <f t="shared" ref="D5:D68" si="0">LN(B5/B4)</f>
        <v>8.6295939379402442E-3</v>
      </c>
      <c r="E5" s="59">
        <f t="shared" ref="E5:E68" si="1">LN(C5/C4)</f>
        <v>9.5498176588920593E-3</v>
      </c>
      <c r="F5" s="59">
        <f t="shared" ref="F5:F68" si="2">0.5*D5+0.5*E5</f>
        <v>9.0897057984161526E-3</v>
      </c>
      <c r="H5" s="49">
        <v>3</v>
      </c>
      <c r="I5" s="59">
        <f>Dashboard!$D$12 * SQRT($H5)</f>
        <v>8.8670928392111076E-2</v>
      </c>
      <c r="J5" s="60">
        <f>(Dashboard!$D$13/SQRT(Dashboard!$F$4))* SQRT(H5)</f>
        <v>3.9672226732304562E-2</v>
      </c>
      <c r="K5" s="59">
        <f>Dashboard!$D$14 * SQRT($H5)</f>
        <v>0.13892036231988972</v>
      </c>
      <c r="L5" s="59">
        <f>( (Dashboard!$B$13/SQRT(Dashboard!$F$4))*0.5 + (Dashboard!$C$13/SQRT(Dashboard!$F$4))*0.5 ) * SQRT(H5)</f>
        <v>4.1555599183031137E-2</v>
      </c>
      <c r="N5" s="49">
        <f>Dashboard!$F$2*N4+(1-Dashboard!$F$2)*(D5)^2</f>
        <v>9.4649659173181677E-5</v>
      </c>
      <c r="O5" s="49">
        <f>Dashboard!$F$2*O4+(1-Dashboard!$F$2)*(E5)^2</f>
        <v>1.038314240032626E-4</v>
      </c>
      <c r="P5" s="49">
        <f>Dashboard!$F$2*P4+(1-Dashboard!$F$2)*(F5)^2</f>
        <v>9.0792960922080155E-5</v>
      </c>
      <c r="R5" s="49">
        <v>3</v>
      </c>
      <c r="S5" s="59">
        <f ca="1">Dashboard!B$8* Dashboard!$F$4+Dashboard!B$10*SQRT(Dashboard!$F$4) * _xlfn.NORM.S.INV(RAND())</f>
        <v>-1.5200624856882465E-2</v>
      </c>
      <c r="T5" s="59">
        <f ca="1">Dashboard!C$8* Dashboard!$F$4+Dashboard!C$10*SQRT(Dashboard!$F$4) * _xlfn.NORM.S.INV(RAND())</f>
        <v>3.7616044946920564E-2</v>
      </c>
      <c r="U5" s="59">
        <f ca="1">Dashboard!D$8* Dashboard!$F$4+Dashboard!D$10*SQRT(Dashboard!$F$4) * _xlfn.NORM.S.INV(RAND())</f>
        <v>-7.845159423393722E-3</v>
      </c>
    </row>
    <row r="6" spans="1:21" x14ac:dyDescent="0.2">
      <c r="A6" s="50">
        <v>45939</v>
      </c>
      <c r="B6" s="56">
        <v>24611.25</v>
      </c>
      <c r="C6" s="56">
        <v>42791.6</v>
      </c>
      <c r="D6" s="59">
        <f t="shared" si="0"/>
        <v>5.7388600833965992E-4</v>
      </c>
      <c r="E6" s="59">
        <f t="shared" si="1"/>
        <v>-1.6056751954315138E-2</v>
      </c>
      <c r="F6" s="59">
        <f t="shared" si="2"/>
        <v>-7.7414329729877393E-3</v>
      </c>
      <c r="H6" s="49">
        <v>4</v>
      </c>
      <c r="I6" s="59">
        <f>Dashboard!$D$12 * SQRT($H6)</f>
        <v>0.10238836875295873</v>
      </c>
      <c r="J6" s="60">
        <f>(Dashboard!$D$13/SQRT(Dashboard!$F$4))* SQRT(H6)</f>
        <v>4.5809541566495818E-2</v>
      </c>
      <c r="K6" s="59">
        <f>Dashboard!$D$14 * SQRT($H6)</f>
        <v>0.16041141716261736</v>
      </c>
      <c r="L6" s="59">
        <f>( (Dashboard!$B$13/SQRT(Dashboard!$F$4))*0.5 + (Dashboard!$C$13/SQRT(Dashboard!$F$4))*0.5 ) * SQRT(H6)</f>
        <v>4.7984272749318442E-2</v>
      </c>
      <c r="N6" s="49">
        <f>Dashboard!$F$2*N5+(1-Dashboard!$F$2)*(D6)^2</f>
        <v>8.8990440331824849E-5</v>
      </c>
      <c r="O6" s="49">
        <f>Dashboard!$F$2*O5+(1-Dashboard!$F$2)*(E6)^2</f>
        <v>1.1307069556241104E-4</v>
      </c>
      <c r="P6" s="49">
        <f>Dashboard!$F$2*P5+(1-Dashboard!$F$2)*(F6)^2</f>
        <v>8.8941170335271049E-5</v>
      </c>
      <c r="R6" s="49">
        <v>4</v>
      </c>
      <c r="S6" s="59">
        <f ca="1">Dashboard!B$8* Dashboard!$F$4+Dashboard!B$10*SQRT(Dashboard!$F$4) * _xlfn.NORM.S.INV(RAND())</f>
        <v>4.7271173881842786E-2</v>
      </c>
      <c r="T6" s="59">
        <f ca="1">Dashboard!C$8* Dashboard!$F$4+Dashboard!C$10*SQRT(Dashboard!$F$4) * _xlfn.NORM.S.INV(RAND())</f>
        <v>3.7105748180300949E-2</v>
      </c>
      <c r="U6" s="59">
        <f ca="1">Dashboard!D$8* Dashboard!$F$4+Dashboard!D$10*SQRT(Dashboard!$F$4) * _xlfn.NORM.S.INV(RAND())</f>
        <v>1.016727200938795E-2</v>
      </c>
    </row>
    <row r="7" spans="1:21" x14ac:dyDescent="0.2">
      <c r="A7" s="50">
        <v>45940</v>
      </c>
      <c r="B7" s="56">
        <v>24241.46</v>
      </c>
      <c r="C7" s="56">
        <v>42047.5</v>
      </c>
      <c r="D7" s="59">
        <f t="shared" si="0"/>
        <v>-1.513926506350438E-2</v>
      </c>
      <c r="E7" s="59">
        <f t="shared" si="1"/>
        <v>-1.7541890024213021E-2</v>
      </c>
      <c r="F7" s="59">
        <f t="shared" si="2"/>
        <v>-1.63405775438587E-2</v>
      </c>
      <c r="H7" s="49">
        <v>5</v>
      </c>
      <c r="I7" s="59">
        <f>Dashboard!$D$12 * SQRT($H7)</f>
        <v>0.11447367631846556</v>
      </c>
      <c r="J7" s="60">
        <f>(Dashboard!$D$13/SQRT(Dashboard!$F$4))* SQRT(H7)</f>
        <v>5.1216624480393429E-2</v>
      </c>
      <c r="K7" s="59">
        <f>Dashboard!$D$14 * SQRT($H7)</f>
        <v>0.17934541657134445</v>
      </c>
      <c r="L7" s="59">
        <f>( (Dashboard!$B$13/SQRT(Dashboard!$F$4))*0.5 + (Dashboard!$C$13/SQRT(Dashboard!$F$4))*0.5 ) * SQRT(H7)</f>
        <v>5.3648047859183381E-2</v>
      </c>
      <c r="N7" s="49">
        <f>Dashboard!$F$2*N6+(1-Dashboard!$F$2)*(D7)^2</f>
        <v>9.7402854711698024E-5</v>
      </c>
      <c r="O7" s="49">
        <f>Dashboard!$F$2*O6+(1-Dashboard!$F$2)*(E7)^2</f>
        <v>1.2474952816596144E-4</v>
      </c>
      <c r="P7" s="49">
        <f>Dashboard!$F$2*P6+(1-Dashboard!$F$2)*(F7)^2</f>
        <v>9.9625568583166358E-5</v>
      </c>
      <c r="R7" s="49">
        <v>5</v>
      </c>
      <c r="S7" s="59">
        <f ca="1">Dashboard!B$8* Dashboard!$F$4+Dashboard!B$10*SQRT(Dashboard!$F$4) * _xlfn.NORM.S.INV(RAND())</f>
        <v>3.6961011681986101E-2</v>
      </c>
      <c r="T7" s="59">
        <f ca="1">Dashboard!C$8* Dashboard!$F$4+Dashboard!C$10*SQRT(Dashboard!$F$4) * _xlfn.NORM.S.INV(RAND())</f>
        <v>5.5918462776244356E-2</v>
      </c>
      <c r="U7" s="59">
        <f ca="1">Dashboard!D$8* Dashboard!$F$4+Dashboard!D$10*SQRT(Dashboard!$F$4) * _xlfn.NORM.S.INV(RAND())</f>
        <v>-6.1068331924727225E-3</v>
      </c>
    </row>
    <row r="8" spans="1:21" x14ac:dyDescent="0.2">
      <c r="A8" s="50">
        <v>45943</v>
      </c>
      <c r="B8" s="56">
        <v>24387.93</v>
      </c>
      <c r="C8" s="56">
        <v>42167.59</v>
      </c>
      <c r="D8" s="59">
        <f t="shared" si="0"/>
        <v>6.0239473669855227E-3</v>
      </c>
      <c r="E8" s="59">
        <f t="shared" si="1"/>
        <v>2.8519848734749661E-3</v>
      </c>
      <c r="F8" s="59">
        <f t="shared" si="2"/>
        <v>4.4379661202302439E-3</v>
      </c>
      <c r="H8" s="49">
        <v>6</v>
      </c>
      <c r="I8" s="59">
        <f>Dashboard!$D$12 * SQRT($H8)</f>
        <v>0.12539962952033704</v>
      </c>
      <c r="J8" s="60">
        <f>(Dashboard!$D$13/SQRT(Dashboard!$F$4))* SQRT(H8)</f>
        <v>5.6105001094365566E-2</v>
      </c>
      <c r="K8" s="59">
        <f>Dashboard!$D$14 * SQRT($H8)</f>
        <v>0.19646306048257234</v>
      </c>
      <c r="L8" s="59">
        <f>( (Dashboard!$B$13/SQRT(Dashboard!$F$4))*0.5 + (Dashboard!$C$13/SQRT(Dashboard!$F$4))*0.5 ) * SQRT(H8)</f>
        <v>5.8768491957182943E-2</v>
      </c>
      <c r="N8" s="49">
        <f>Dashboard!$F$2*N7+(1-Dashboard!$F$2)*(D8)^2</f>
        <v>9.3735959941808846E-5</v>
      </c>
      <c r="O8" s="49">
        <f>Dashboard!$F$2*O7+(1-Dashboard!$F$2)*(E8)^2</f>
        <v>1.1775258553911556E-4</v>
      </c>
      <c r="P8" s="49">
        <f>Dashboard!$F$2*P7+(1-Dashboard!$F$2)*(F8)^2</f>
        <v>9.4829767065235057E-5</v>
      </c>
      <c r="R8" s="49">
        <v>6</v>
      </c>
      <c r="S8" s="59">
        <f ca="1">Dashboard!B$8* Dashboard!$F$4+Dashboard!B$10*SQRT(Dashboard!$F$4) * _xlfn.NORM.S.INV(RAND())</f>
        <v>1.7608148474306466E-2</v>
      </c>
      <c r="T8" s="59">
        <f ca="1">Dashboard!C$8* Dashboard!$F$4+Dashboard!C$10*SQRT(Dashboard!$F$4) * _xlfn.NORM.S.INV(RAND())</f>
        <v>1.0677804872675792E-2</v>
      </c>
      <c r="U8" s="59">
        <f ca="1">Dashboard!D$8* Dashboard!$F$4+Dashboard!D$10*SQRT(Dashboard!$F$4) * _xlfn.NORM.S.INV(RAND())</f>
        <v>2.0462025700377511E-2</v>
      </c>
    </row>
    <row r="9" spans="1:21" x14ac:dyDescent="0.2">
      <c r="A9" s="50">
        <v>45944</v>
      </c>
      <c r="B9" s="56">
        <v>24236.94</v>
      </c>
      <c r="C9" s="56">
        <v>42075.66</v>
      </c>
      <c r="D9" s="59">
        <f t="shared" si="0"/>
        <v>-6.2104221686743602E-3</v>
      </c>
      <c r="E9" s="59">
        <f t="shared" si="1"/>
        <v>-2.1824902645745619E-3</v>
      </c>
      <c r="F9" s="59">
        <f t="shared" si="2"/>
        <v>-4.1964562166244609E-3</v>
      </c>
      <c r="H9" s="49">
        <v>7</v>
      </c>
      <c r="I9" s="59">
        <f>Dashboard!$D$12 * SQRT($H9)</f>
        <v>0.13544708043295267</v>
      </c>
      <c r="J9" s="60">
        <f>(Dashboard!$D$13/SQRT(Dashboard!$F$4))* SQRT(H9)</f>
        <v>6.060032732941209E-2</v>
      </c>
      <c r="K9" s="59">
        <f>Dashboard!$D$14 * SQRT($H9)</f>
        <v>0.21220435863386194</v>
      </c>
      <c r="L9" s="59">
        <f>( (Dashboard!$B$13/SQRT(Dashboard!$F$4))*0.5 + (Dashboard!$C$13/SQRT(Dashboard!$F$4))*0.5 ) * SQRT(H9)</f>
        <v>6.3477226268495085E-2</v>
      </c>
      <c r="N9" s="49">
        <f>Dashboard!$F$2*N8+(1-Dashboard!$F$2)*(D9)^2</f>
        <v>9.0425962956090019E-5</v>
      </c>
      <c r="O9" s="49">
        <f>Dashboard!$F$2*O8+(1-Dashboard!$F$2)*(E9)^2</f>
        <v>1.1097322623206639E-4</v>
      </c>
      <c r="P9" s="49">
        <f>Dashboard!$F$2*P8+(1-Dashboard!$F$2)*(F9)^2</f>
        <v>9.0196595728003713E-5</v>
      </c>
      <c r="R9" s="49">
        <v>7</v>
      </c>
      <c r="S9" s="59">
        <f ca="1">Dashboard!B$8* Dashboard!$F$4+Dashboard!B$10*SQRT(Dashboard!$F$4) * _xlfn.NORM.S.INV(RAND())</f>
        <v>-9.4499131411461979E-3</v>
      </c>
      <c r="T9" s="59">
        <f ca="1">Dashboard!C$8* Dashboard!$F$4+Dashboard!C$10*SQRT(Dashboard!$F$4) * _xlfn.NORM.S.INV(RAND())</f>
        <v>1.3225530198921157E-2</v>
      </c>
      <c r="U9" s="59">
        <f ca="1">Dashboard!D$8* Dashboard!$F$4+Dashboard!D$10*SQRT(Dashboard!$F$4) * _xlfn.NORM.S.INV(RAND())</f>
        <v>4.428476166439841E-2</v>
      </c>
    </row>
    <row r="10" spans="1:21" x14ac:dyDescent="0.2">
      <c r="A10" s="50">
        <v>45945</v>
      </c>
      <c r="B10" s="56">
        <v>24181.37</v>
      </c>
      <c r="C10" s="56">
        <v>41906.9</v>
      </c>
      <c r="D10" s="59">
        <f t="shared" si="0"/>
        <v>-2.295413631723431E-3</v>
      </c>
      <c r="E10" s="59">
        <f t="shared" si="1"/>
        <v>-4.0189350538643899E-3</v>
      </c>
      <c r="F10" s="59">
        <f t="shared" si="2"/>
        <v>-3.1571743427939104E-3</v>
      </c>
      <c r="H10" s="49">
        <v>8</v>
      </c>
      <c r="I10" s="59">
        <f>Dashboard!$D$12 * SQRT($H10)</f>
        <v>0.14479901971969186</v>
      </c>
      <c r="J10" s="60">
        <f>(Dashboard!$D$13/SQRT(Dashboard!$F$4))* SQRT(H10)</f>
        <v>6.4784474969432432E-2</v>
      </c>
      <c r="K10" s="59">
        <f>Dashboard!$D$14 * SQRT($H10)</f>
        <v>0.22685600171086176</v>
      </c>
      <c r="L10" s="59">
        <f>( (Dashboard!$B$13/SQRT(Dashboard!$F$4))*0.5 + (Dashboard!$C$13/SQRT(Dashboard!$F$4))*0.5 ) * SQRT(H10)</f>
        <v>6.7860009302695867E-2</v>
      </c>
      <c r="N10" s="49">
        <f>Dashboard!$F$2*N9+(1-Dashboard!$F$2)*(D10)^2</f>
        <v>8.5316540603166719E-5</v>
      </c>
      <c r="O10" s="49">
        <f>Dashboard!$F$2*O9+(1-Dashboard!$F$2)*(E10)^2</f>
        <v>1.052839429961732E-4</v>
      </c>
      <c r="P10" s="49">
        <f>Dashboard!$F$2*P9+(1-Dashboard!$F$2)*(F10)^2</f>
        <v>8.5382864974171258E-5</v>
      </c>
      <c r="R10" s="49">
        <v>8</v>
      </c>
      <c r="S10" s="59">
        <f ca="1">Dashboard!B$8* Dashboard!$F$4+Dashboard!B$10*SQRT(Dashboard!$F$4) * _xlfn.NORM.S.INV(RAND())</f>
        <v>-7.1544642589433938E-3</v>
      </c>
      <c r="T10" s="59">
        <f ca="1">Dashboard!C$8* Dashboard!$F$4+Dashboard!C$10*SQRT(Dashboard!$F$4) * _xlfn.NORM.S.INV(RAND())</f>
        <v>-4.2509907710205831E-2</v>
      </c>
      <c r="U10" s="59">
        <f ca="1">Dashboard!D$8* Dashboard!$F$4+Dashboard!D$10*SQRT(Dashboard!$F$4) * _xlfn.NORM.S.INV(RAND())</f>
        <v>-1.6286860414557916E-2</v>
      </c>
    </row>
    <row r="11" spans="1:21" x14ac:dyDescent="0.2">
      <c r="A11" s="50">
        <v>45946</v>
      </c>
      <c r="B11" s="56">
        <v>24272.19</v>
      </c>
      <c r="C11" s="56">
        <v>42374.18</v>
      </c>
      <c r="D11" s="59">
        <f t="shared" si="0"/>
        <v>3.7487485484508482E-3</v>
      </c>
      <c r="E11" s="59">
        <f t="shared" si="1"/>
        <v>1.1088723306445426E-2</v>
      </c>
      <c r="F11" s="59">
        <f t="shared" si="2"/>
        <v>7.4187359274481375E-3</v>
      </c>
      <c r="H11" s="49">
        <v>9</v>
      </c>
      <c r="I11" s="59">
        <f>Dashboard!$D$12 * SQRT($H11)</f>
        <v>0.15358255312943808</v>
      </c>
      <c r="J11" s="60">
        <f>(Dashboard!$D$13/SQRT(Dashboard!$F$4))* SQRT(H11)</f>
        <v>6.8714312349743734E-2</v>
      </c>
      <c r="K11" s="59">
        <f>Dashboard!$D$14 * SQRT($H11)</f>
        <v>0.24061712574392605</v>
      </c>
      <c r="L11" s="59">
        <f>( (Dashboard!$B$13/SQRT(Dashboard!$F$4))*0.5 + (Dashboard!$C$13/SQRT(Dashboard!$F$4))*0.5 ) * SQRT(H11)</f>
        <v>7.1976409123977667E-2</v>
      </c>
      <c r="N11" s="49">
        <f>Dashboard!$F$2*N10+(1-Dashboard!$F$2)*(D11)^2</f>
        <v>8.1040735107747457E-5</v>
      </c>
      <c r="O11" s="49">
        <f>Dashboard!$F$2*O10+(1-Dashboard!$F$2)*(E11)^2</f>
        <v>1.0634449349041717E-4</v>
      </c>
      <c r="P11" s="49">
        <f>Dashboard!$F$2*P10+(1-Dashboard!$F$2)*(F11)^2</f>
        <v>8.3562151641393572E-5</v>
      </c>
      <c r="R11" s="49">
        <v>9</v>
      </c>
      <c r="S11" s="59">
        <f ca="1">Dashboard!B$8* Dashboard!$F$4+Dashboard!B$10*SQRT(Dashboard!$F$4) * _xlfn.NORM.S.INV(RAND())</f>
        <v>3.4759906401935957E-2</v>
      </c>
      <c r="T11" s="59">
        <f ca="1">Dashboard!C$8* Dashboard!$F$4+Dashboard!C$10*SQRT(Dashboard!$F$4) * _xlfn.NORM.S.INV(RAND())</f>
        <v>-1.7518358697321275E-2</v>
      </c>
      <c r="U11" s="59">
        <f ca="1">Dashboard!D$8* Dashboard!$F$4+Dashboard!D$10*SQRT(Dashboard!$F$4) * _xlfn.NORM.S.INV(RAND())</f>
        <v>-4.6032697561552836E-2</v>
      </c>
    </row>
    <row r="12" spans="1:21" x14ac:dyDescent="0.2">
      <c r="A12" s="50">
        <v>45947</v>
      </c>
      <c r="B12" s="56">
        <v>23830.99</v>
      </c>
      <c r="C12" s="56">
        <v>41758.11</v>
      </c>
      <c r="D12" s="59">
        <f t="shared" si="0"/>
        <v>-1.8344416005801684E-2</v>
      </c>
      <c r="E12" s="59">
        <f t="shared" si="1"/>
        <v>-1.4645530551440945E-2</v>
      </c>
      <c r="F12" s="59">
        <f t="shared" si="2"/>
        <v>-1.6494973278621317E-2</v>
      </c>
      <c r="H12" s="49">
        <v>10</v>
      </c>
      <c r="I12" s="59">
        <f>Dashboard!$D$12 * SQRT($H12)</f>
        <v>0.16189022558428179</v>
      </c>
      <c r="J12" s="60">
        <f>(Dashboard!$D$13/SQRT(Dashboard!$F$4))* SQRT(H12)</f>
        <v>7.2431244959142257E-2</v>
      </c>
      <c r="K12" s="59">
        <f>Dashboard!$D$14 * SQRT($H12)</f>
        <v>0.25363272046464774</v>
      </c>
      <c r="L12" s="59">
        <f>( (Dashboard!$B$13/SQRT(Dashboard!$F$4))*0.5 + (Dashboard!$C$13/SQRT(Dashboard!$F$4))*0.5 ) * SQRT(H12)</f>
        <v>7.5869796877298029E-2</v>
      </c>
      <c r="N12" s="49">
        <f>Dashboard!$F$2*N11+(1-Dashboard!$F$2)*(D12)^2</f>
        <v>9.6369346916917406E-5</v>
      </c>
      <c r="O12" s="49">
        <f>Dashboard!$F$2*O11+(1-Dashboard!$F$2)*(E12)^2</f>
        <v>1.1283331778898356E-4</v>
      </c>
      <c r="P12" s="49">
        <f>Dashboard!$F$2*P11+(1-Dashboard!$F$2)*(F12)^2</f>
        <v>9.4873471150655855E-5</v>
      </c>
      <c r="R12" s="49">
        <v>10</v>
      </c>
      <c r="S12" s="59">
        <f ca="1">Dashboard!B$8* Dashboard!$F$4+Dashboard!B$10*SQRT(Dashboard!$F$4) * _xlfn.NORM.S.INV(RAND())</f>
        <v>-4.2465657026247569E-3</v>
      </c>
      <c r="T12" s="59">
        <f ca="1">Dashboard!C$8* Dashboard!$F$4+Dashboard!C$10*SQRT(Dashboard!$F$4) * _xlfn.NORM.S.INV(RAND())</f>
        <v>-1.3102875996563696E-2</v>
      </c>
      <c r="U12" s="59">
        <f ca="1">Dashboard!D$8* Dashboard!$F$4+Dashboard!D$10*SQRT(Dashboard!$F$4) * _xlfn.NORM.S.INV(RAND())</f>
        <v>8.0131831495005058E-3</v>
      </c>
    </row>
    <row r="13" spans="1:21" x14ac:dyDescent="0.2">
      <c r="A13" s="50">
        <v>45950</v>
      </c>
      <c r="B13" s="56">
        <v>24258.799999999999</v>
      </c>
      <c r="C13" s="56">
        <v>42392.36</v>
      </c>
      <c r="D13" s="59">
        <f t="shared" si="0"/>
        <v>1.7792603634375931E-2</v>
      </c>
      <c r="E13" s="59">
        <f t="shared" si="1"/>
        <v>1.5074473393245065E-2</v>
      </c>
      <c r="F13" s="59">
        <f t="shared" si="2"/>
        <v>1.6433538513810499E-2</v>
      </c>
      <c r="H13" s="49">
        <v>11</v>
      </c>
      <c r="I13" s="59">
        <f>Dashboard!$D$12 * SQRT($H13)</f>
        <v>0.16979190102505656</v>
      </c>
      <c r="J13" s="60">
        <f>(Dashboard!$D$13/SQRT(Dashboard!$F$4))* SQRT(H13)</f>
        <v>7.5966530597128087E-2</v>
      </c>
      <c r="K13" s="59">
        <f>Dashboard!$D$14 * SQRT($H13)</f>
        <v>0.26601224140878921</v>
      </c>
      <c r="L13" s="59">
        <f>( (Dashboard!$B$13/SQRT(Dashboard!$F$4))*0.5 + (Dashboard!$C$13/SQRT(Dashboard!$F$4))*0.5 ) * SQRT(H13)</f>
        <v>7.9572914273782297E-2</v>
      </c>
      <c r="N13" s="49">
        <f>Dashboard!$F$2*N12+(1-Dashboard!$F$2)*(D13)^2</f>
        <v>1.0958179074730282E-4</v>
      </c>
      <c r="O13" s="49">
        <f>Dashboard!$F$2*O12+(1-Dashboard!$F$2)*(E13)^2</f>
        <v>1.1969770360666375E-4</v>
      </c>
      <c r="P13" s="49">
        <f>Dashboard!$F$2*P12+(1-Dashboard!$F$2)*(F13)^2</f>
        <v>1.053847341667101E-4</v>
      </c>
      <c r="R13" s="49">
        <v>11</v>
      </c>
      <c r="S13" s="59">
        <f ca="1">Dashboard!B$8* Dashboard!$F$4+Dashboard!B$10*SQRT(Dashboard!$F$4) * _xlfn.NORM.S.INV(RAND())</f>
        <v>4.8103178613934754E-2</v>
      </c>
      <c r="T13" s="59">
        <f ca="1">Dashboard!C$8* Dashboard!$F$4+Dashboard!C$10*SQRT(Dashboard!$F$4) * _xlfn.NORM.S.INV(RAND())</f>
        <v>-2.0916836781988555E-2</v>
      </c>
      <c r="U13" s="59">
        <f ca="1">Dashboard!D$8* Dashboard!$F$4+Dashboard!D$10*SQRT(Dashboard!$F$4) * _xlfn.NORM.S.INV(RAND())</f>
        <v>3.920790258398784E-2</v>
      </c>
    </row>
    <row r="14" spans="1:21" x14ac:dyDescent="0.2">
      <c r="A14" s="50">
        <v>45951</v>
      </c>
      <c r="B14" s="56">
        <v>24330.03</v>
      </c>
      <c r="C14" s="56">
        <v>42648.28</v>
      </c>
      <c r="D14" s="59">
        <f t="shared" si="0"/>
        <v>2.9319516862799933E-3</v>
      </c>
      <c r="E14" s="59">
        <f t="shared" si="1"/>
        <v>6.0187875485218671E-3</v>
      </c>
      <c r="F14" s="59">
        <f t="shared" si="2"/>
        <v>4.4753696174009306E-3</v>
      </c>
      <c r="H14" s="49">
        <v>12</v>
      </c>
      <c r="I14" s="59">
        <f>Dashboard!$D$12 * SQRT($H14)</f>
        <v>0.17734185678422215</v>
      </c>
      <c r="J14" s="60">
        <f>(Dashboard!$D$13/SQRT(Dashboard!$F$4))* SQRT(H14)</f>
        <v>7.9344453464609124E-2</v>
      </c>
      <c r="K14" s="59">
        <f>Dashboard!$D$14 * SQRT($H14)</f>
        <v>0.27784072463977944</v>
      </c>
      <c r="L14" s="59">
        <f>( (Dashboard!$B$13/SQRT(Dashboard!$F$4))*0.5 + (Dashboard!$C$13/SQRT(Dashboard!$F$4))*0.5 ) * SQRT(H14)</f>
        <v>8.3111198366062275E-2</v>
      </c>
      <c r="N14" s="49">
        <f>Dashboard!$F$2*N13+(1-Dashboard!$F$2)*(D14)^2</f>
        <v>1.0352266374390545E-4</v>
      </c>
      <c r="O14" s="49">
        <f>Dashboard!$F$2*O13+(1-Dashboard!$F$2)*(E14)^2</f>
        <v>1.1468938960351843E-4</v>
      </c>
      <c r="P14" s="49">
        <f>Dashboard!$F$2*P13+(1-Dashboard!$F$2)*(F14)^2</f>
        <v>1.0026338610944881E-4</v>
      </c>
      <c r="R14" s="49">
        <v>12</v>
      </c>
      <c r="S14" s="59">
        <f ca="1">Dashboard!B$8* Dashboard!$F$4+Dashboard!B$10*SQRT(Dashboard!$F$4) * _xlfn.NORM.S.INV(RAND())</f>
        <v>-2.6916630035253929E-2</v>
      </c>
      <c r="T14" s="59">
        <f ca="1">Dashboard!C$8* Dashboard!$F$4+Dashboard!C$10*SQRT(Dashboard!$F$4) * _xlfn.NORM.S.INV(RAND())</f>
        <v>9.5403832275454386E-3</v>
      </c>
      <c r="U14" s="59">
        <f ca="1">Dashboard!D$8* Dashboard!$F$4+Dashboard!D$10*SQRT(Dashboard!$F$4) * _xlfn.NORM.S.INV(RAND())</f>
        <v>3.297935492464496E-2</v>
      </c>
    </row>
    <row r="15" spans="1:21" x14ac:dyDescent="0.2">
      <c r="A15" s="50">
        <v>45952</v>
      </c>
      <c r="B15" s="56">
        <v>24151.13</v>
      </c>
      <c r="C15" s="56">
        <v>42209.64</v>
      </c>
      <c r="D15" s="59">
        <f t="shared" si="0"/>
        <v>-7.3802199461023739E-3</v>
      </c>
      <c r="E15" s="59">
        <f t="shared" si="1"/>
        <v>-1.0338313897869418E-2</v>
      </c>
      <c r="F15" s="59">
        <f t="shared" si="2"/>
        <v>-8.8592669219858949E-3</v>
      </c>
      <c r="H15" s="49">
        <v>13</v>
      </c>
      <c r="I15" s="59">
        <f>Dashboard!$D$12 * SQRT($H15)</f>
        <v>0.1845832567749538</v>
      </c>
      <c r="J15" s="60">
        <f>(Dashboard!$D$13/SQRT(Dashboard!$F$4))* SQRT(H15)</f>
        <v>8.2584325511749809E-2</v>
      </c>
      <c r="K15" s="59">
        <f>Dashboard!$D$14 * SQRT($H15)</f>
        <v>0.28918579487483054</v>
      </c>
      <c r="L15" s="59">
        <f>( (Dashboard!$B$13/SQRT(Dashboard!$F$4))*0.5 + (Dashboard!$C$13/SQRT(Dashboard!$F$4))*0.5 ) * SQRT(H15)</f>
        <v>8.6504877906758523E-2</v>
      </c>
      <c r="N15" s="49">
        <f>Dashboard!$F$2*N14+(1-Dashboard!$F$2)*(D15)^2</f>
        <v>1.0057936270644196E-4</v>
      </c>
      <c r="O15" s="49">
        <f>Dashboard!$F$2*O14+(1-Dashboard!$F$2)*(E15)^2</f>
        <v>1.1422087028236012E-4</v>
      </c>
      <c r="P15" s="49">
        <f>Dashboard!$F$2*P14+(1-Dashboard!$F$2)*(F15)^2</f>
        <v>9.8956779566581487E-5</v>
      </c>
      <c r="R15" s="49">
        <v>13</v>
      </c>
      <c r="S15" s="59">
        <f ca="1">Dashboard!B$8* Dashboard!$F$4+Dashboard!B$10*SQRT(Dashboard!$F$4) * _xlfn.NORM.S.INV(RAND())</f>
        <v>-4.3082457396769122E-2</v>
      </c>
      <c r="T15" s="59">
        <f ca="1">Dashboard!C$8* Dashboard!$F$4+Dashboard!C$10*SQRT(Dashboard!$F$4) * _xlfn.NORM.S.INV(RAND())</f>
        <v>6.0538249296232614E-3</v>
      </c>
      <c r="U15" s="59">
        <f ca="1">Dashboard!D$8* Dashboard!$F$4+Dashboard!D$10*SQRT(Dashboard!$F$4) * _xlfn.NORM.S.INV(RAND())</f>
        <v>2.85549078292979E-3</v>
      </c>
    </row>
    <row r="16" spans="1:21" x14ac:dyDescent="0.2">
      <c r="A16" s="50">
        <v>45953</v>
      </c>
      <c r="B16" s="56">
        <v>24207.79</v>
      </c>
      <c r="C16" s="56">
        <v>42381.93</v>
      </c>
      <c r="D16" s="59">
        <f t="shared" si="0"/>
        <v>2.3433122959403987E-3</v>
      </c>
      <c r="E16" s="59">
        <f t="shared" si="1"/>
        <v>4.0734611790553335E-3</v>
      </c>
      <c r="F16" s="59">
        <f t="shared" si="2"/>
        <v>3.2083867374978663E-3</v>
      </c>
      <c r="H16" s="49">
        <v>14</v>
      </c>
      <c r="I16" s="59">
        <f>Dashboard!$D$12 * SQRT($H16)</f>
        <v>0.19155109813212112</v>
      </c>
      <c r="J16" s="60">
        <f>(Dashboard!$D$13/SQRT(Dashboard!$F$4))* SQRT(H16)</f>
        <v>8.5701804793503492E-2</v>
      </c>
      <c r="K16" s="59">
        <f>Dashboard!$D$14 * SQRT($H16)</f>
        <v>0.30010228197469174</v>
      </c>
      <c r="L16" s="59">
        <f>( (Dashboard!$B$13/SQRT(Dashboard!$F$4))*0.5 + (Dashboard!$C$13/SQRT(Dashboard!$F$4))*0.5 ) * SQRT(H16)</f>
        <v>8.9770354290731449E-2</v>
      </c>
      <c r="N16" s="49">
        <f>Dashboard!$F$2*N15+(1-Dashboard!$F$2)*(D16)^2</f>
        <v>9.4874067695033769E-5</v>
      </c>
      <c r="O16" s="49">
        <f>Dashboard!$F$2*O15+(1-Dashboard!$F$2)*(E16)^2</f>
        <v>1.0836320322405476E-4</v>
      </c>
      <c r="P16" s="49">
        <f>Dashboard!$F$2*P15+(1-Dashboard!$F$2)*(F16)^2</f>
        <v>9.3636997520027729E-5</v>
      </c>
      <c r="R16" s="49">
        <v>14</v>
      </c>
      <c r="S16" s="59">
        <f ca="1">Dashboard!B$8* Dashboard!$F$4+Dashboard!B$10*SQRT(Dashboard!$F$4) * _xlfn.NORM.S.INV(RAND())</f>
        <v>3.5009453061252728E-2</v>
      </c>
      <c r="T16" s="59">
        <f ca="1">Dashboard!C$8* Dashboard!$F$4+Dashboard!C$10*SQRT(Dashboard!$F$4) * _xlfn.NORM.S.INV(RAND())</f>
        <v>-2.1400304023466144E-2</v>
      </c>
      <c r="U16" s="59">
        <f ca="1">Dashboard!D$8* Dashboard!$F$4+Dashboard!D$10*SQRT(Dashboard!$F$4) * _xlfn.NORM.S.INV(RAND())</f>
        <v>-3.3250836777664244E-2</v>
      </c>
    </row>
    <row r="17" spans="1:21" x14ac:dyDescent="0.2">
      <c r="A17" s="50">
        <v>45954</v>
      </c>
      <c r="B17" s="56">
        <v>24239.89</v>
      </c>
      <c r="C17" s="56">
        <v>42486.67</v>
      </c>
      <c r="D17" s="59">
        <f t="shared" si="0"/>
        <v>1.3251410468899957E-3</v>
      </c>
      <c r="E17" s="59">
        <f t="shared" si="1"/>
        <v>2.4682875215773117E-3</v>
      </c>
      <c r="F17" s="59">
        <f t="shared" si="2"/>
        <v>1.8967142842336538E-3</v>
      </c>
      <c r="H17" s="49">
        <v>15</v>
      </c>
      <c r="I17" s="59">
        <f>Dashboard!$D$12 * SQRT($H17)</f>
        <v>0.19827422351277652</v>
      </c>
      <c r="J17" s="60">
        <f>(Dashboard!$D$13/SQRT(Dashboard!$F$4))* SQRT(H17)</f>
        <v>8.8709795792217369E-2</v>
      </c>
      <c r="K17" s="59">
        <f>Dashboard!$D$14 * SQRT($H17)</f>
        <v>0.31063537360617383</v>
      </c>
      <c r="L17" s="59">
        <f>( (Dashboard!$B$13/SQRT(Dashboard!$F$4))*0.5 + (Dashboard!$C$13/SQRT(Dashboard!$F$4))*0.5 ) * SQRT(H17)</f>
        <v>9.2921144618992355E-2</v>
      </c>
      <c r="N17" s="49">
        <f>Dashboard!$F$2*N16+(1-Dashboard!$F$2)*(D17)^2</f>
        <v>8.928698356098091E-5</v>
      </c>
      <c r="O17" s="49">
        <f>Dashboard!$F$2*O16+(1-Dashboard!$F$2)*(E17)^2</f>
        <v>1.0222695762796193E-4</v>
      </c>
      <c r="P17" s="49">
        <f>Dashboard!$F$2*P16+(1-Dashboard!$F$2)*(F17)^2</f>
        <v>8.8234629173387024E-5</v>
      </c>
      <c r="R17" s="49">
        <v>15</v>
      </c>
      <c r="S17" s="59">
        <f ca="1">Dashboard!B$8* Dashboard!$F$4+Dashboard!B$10*SQRT(Dashboard!$F$4) * _xlfn.NORM.S.INV(RAND())</f>
        <v>-2.7051372772271966E-2</v>
      </c>
      <c r="T17" s="59">
        <f ca="1">Dashboard!C$8* Dashboard!$F$4+Dashboard!C$10*SQRT(Dashboard!$F$4) * _xlfn.NORM.S.INV(RAND())</f>
        <v>-5.3772208010713996E-3</v>
      </c>
      <c r="U17" s="59">
        <f ca="1">Dashboard!D$8* Dashboard!$F$4+Dashboard!D$10*SQRT(Dashboard!$F$4) * _xlfn.NORM.S.INV(RAND())</f>
        <v>1.9935941593198701E-2</v>
      </c>
    </row>
    <row r="18" spans="1:21" x14ac:dyDescent="0.2">
      <c r="A18" s="50">
        <v>45957</v>
      </c>
      <c r="B18" s="56">
        <v>24308.78</v>
      </c>
      <c r="C18" s="56">
        <v>42911.57</v>
      </c>
      <c r="D18" s="59">
        <f t="shared" si="0"/>
        <v>2.8379787226868662E-3</v>
      </c>
      <c r="E18" s="59">
        <f t="shared" si="1"/>
        <v>9.9511068679565828E-3</v>
      </c>
      <c r="F18" s="59">
        <f t="shared" si="2"/>
        <v>6.3945427953217247E-3</v>
      </c>
      <c r="H18" s="49">
        <v>16</v>
      </c>
      <c r="I18" s="59">
        <f>Dashboard!$D$12 * SQRT($H18)</f>
        <v>0.20477673750591746</v>
      </c>
      <c r="J18" s="60">
        <f>(Dashboard!$D$13/SQRT(Dashboard!$F$4))* SQRT(H18)</f>
        <v>9.1619083132991636E-2</v>
      </c>
      <c r="K18" s="59">
        <f>Dashboard!$D$14 * SQRT($H18)</f>
        <v>0.32082283432523473</v>
      </c>
      <c r="L18" s="59">
        <f>( (Dashboard!$B$13/SQRT(Dashboard!$F$4))*0.5 + (Dashboard!$C$13/SQRT(Dashboard!$F$4))*0.5 ) * SQRT(H18)</f>
        <v>9.5968545498636884E-2</v>
      </c>
      <c r="N18" s="49">
        <f>Dashboard!$F$2*N17+(1-Dashboard!$F$2)*(D18)^2</f>
        <v>8.4413011941147445E-5</v>
      </c>
      <c r="O18" s="49">
        <f>Dashboard!$F$2*O17+(1-Dashboard!$F$2)*(E18)^2</f>
        <v>1.0203481184413378E-4</v>
      </c>
      <c r="P18" s="49">
        <f>Dashboard!$F$2*P17+(1-Dashboard!$F$2)*(F18)^2</f>
        <v>8.5393962076655864E-5</v>
      </c>
      <c r="R18" s="49">
        <v>16</v>
      </c>
      <c r="S18" s="59">
        <f ca="1">Dashboard!B$8* Dashboard!$F$4+Dashboard!B$10*SQRT(Dashboard!$F$4) * _xlfn.NORM.S.INV(RAND())</f>
        <v>-6.5728601984151036E-2</v>
      </c>
      <c r="T18" s="59">
        <f ca="1">Dashboard!C$8* Dashboard!$F$4+Dashboard!C$10*SQRT(Dashboard!$F$4) * _xlfn.NORM.S.INV(RAND())</f>
        <v>1.2479391534836851E-2</v>
      </c>
      <c r="U18" s="59">
        <f ca="1">Dashboard!D$8* Dashboard!$F$4+Dashboard!D$10*SQRT(Dashboard!$F$4) * _xlfn.NORM.S.INV(RAND())</f>
        <v>-4.6882166708799015E-2</v>
      </c>
    </row>
    <row r="19" spans="1:21" x14ac:dyDescent="0.2">
      <c r="A19" s="50">
        <v>45958</v>
      </c>
      <c r="B19" s="56">
        <v>24278.63</v>
      </c>
      <c r="C19" s="56">
        <v>43128.53</v>
      </c>
      <c r="D19" s="59">
        <f t="shared" si="0"/>
        <v>-1.2410624015497447E-3</v>
      </c>
      <c r="E19" s="59">
        <f t="shared" si="1"/>
        <v>5.0432405320658133E-3</v>
      </c>
      <c r="F19" s="59">
        <f t="shared" si="2"/>
        <v>1.9010890652580343E-3</v>
      </c>
      <c r="H19" s="49">
        <v>17</v>
      </c>
      <c r="I19" s="59">
        <f>Dashboard!$D$12 * SQRT($H19)</f>
        <v>0.21107902960156982</v>
      </c>
      <c r="J19" s="60">
        <f>(Dashboard!$D$13/SQRT(Dashboard!$F$4))* SQRT(H19)</f>
        <v>9.4438789269892479E-2</v>
      </c>
      <c r="K19" s="59">
        <f>Dashboard!$D$14 * SQRT($H19)</f>
        <v>0.33069660825824448</v>
      </c>
      <c r="L19" s="59">
        <f>( (Dashboard!$B$13/SQRT(Dashboard!$F$4))*0.5 + (Dashboard!$C$13/SQRT(Dashboard!$F$4))*0.5 ) * SQRT(H19)</f>
        <v>9.8922112456943545E-2</v>
      </c>
      <c r="N19" s="49">
        <f>Dashboard!$F$2*N18+(1-Dashboard!$F$2)*(D19)^2</f>
        <v>7.9440645377751022E-5</v>
      </c>
      <c r="O19" s="49">
        <f>Dashboard!$F$2*O18+(1-Dashboard!$F$2)*(E19)^2</f>
        <v>9.7438779637342042E-5</v>
      </c>
      <c r="P19" s="49">
        <f>Dashboard!$F$2*P18+(1-Dashboard!$F$2)*(F19)^2</f>
        <v>8.0487172730099135E-5</v>
      </c>
      <c r="R19" s="49">
        <v>17</v>
      </c>
      <c r="S19" s="59">
        <f ca="1">Dashboard!B$8* Dashboard!$F$4+Dashboard!B$10*SQRT(Dashboard!$F$4) * _xlfn.NORM.S.INV(RAND())</f>
        <v>1.4672859718095529E-2</v>
      </c>
      <c r="T19" s="59">
        <f ca="1">Dashboard!C$8* Dashboard!$F$4+Dashboard!C$10*SQRT(Dashboard!$F$4) * _xlfn.NORM.S.INV(RAND())</f>
        <v>-5.2565216317034926E-3</v>
      </c>
      <c r="U19" s="59">
        <f ca="1">Dashboard!D$8* Dashboard!$F$4+Dashboard!D$10*SQRT(Dashboard!$F$4) * _xlfn.NORM.S.INV(RAND())</f>
        <v>7.0089585685068803E-2</v>
      </c>
    </row>
    <row r="20" spans="1:21" x14ac:dyDescent="0.2">
      <c r="A20" s="50">
        <v>45959</v>
      </c>
      <c r="B20" s="56">
        <v>24124.21</v>
      </c>
      <c r="C20" s="56">
        <v>43242.53</v>
      </c>
      <c r="D20" s="59">
        <f t="shared" si="0"/>
        <v>-6.3806389832646096E-3</v>
      </c>
      <c r="E20" s="59">
        <f t="shared" si="1"/>
        <v>2.6397746235808928E-3</v>
      </c>
      <c r="F20" s="59">
        <f t="shared" si="2"/>
        <v>-1.8704321798418584E-3</v>
      </c>
      <c r="H20" s="49">
        <v>18</v>
      </c>
      <c r="I20" s="59">
        <f>Dashboard!$D$12 * SQRT($H20)</f>
        <v>0.21719852957953778</v>
      </c>
      <c r="J20" s="60">
        <f>(Dashboard!$D$13/SQRT(Dashboard!$F$4))* SQRT(H20)</f>
        <v>9.717671245414862E-2</v>
      </c>
      <c r="K20" s="59">
        <f>Dashboard!$D$14 * SQRT($H20)</f>
        <v>0.3402840025662926</v>
      </c>
      <c r="L20" s="59">
        <f>( (Dashboard!$B$13/SQRT(Dashboard!$F$4))*0.5 + (Dashboard!$C$13/SQRT(Dashboard!$F$4))*0.5 ) * SQRT(H20)</f>
        <v>0.10179001395404379</v>
      </c>
      <c r="N20" s="49">
        <f>Dashboard!$F$2*N19+(1-Dashboard!$F$2)*(D20)^2</f>
        <v>7.7116959885171319E-5</v>
      </c>
      <c r="O20" s="49">
        <f>Dashboard!$F$2*O19+(1-Dashboard!$F$2)*(E20)^2</f>
        <v>9.2010557462899608E-5</v>
      </c>
      <c r="P20" s="49">
        <f>Dashboard!$F$2*P19+(1-Dashboard!$F$2)*(F20)^2</f>
        <v>7.5867853358656454E-5</v>
      </c>
      <c r="R20" s="49">
        <v>18</v>
      </c>
      <c r="S20" s="59">
        <f ca="1">Dashboard!B$8* Dashboard!$F$4+Dashboard!B$10*SQRT(Dashboard!$F$4) * _xlfn.NORM.S.INV(RAND())</f>
        <v>-2.6195479235782963E-2</v>
      </c>
      <c r="T20" s="59">
        <f ca="1">Dashboard!C$8* Dashboard!$F$4+Dashboard!C$10*SQRT(Dashboard!$F$4) * _xlfn.NORM.S.INV(RAND())</f>
        <v>-1.9961747183327268E-2</v>
      </c>
      <c r="U20" s="59">
        <f ca="1">Dashboard!D$8* Dashboard!$F$4+Dashboard!D$10*SQRT(Dashboard!$F$4) * _xlfn.NORM.S.INV(RAND())</f>
        <v>-2.2748167172476207E-2</v>
      </c>
    </row>
    <row r="21" spans="1:21" x14ac:dyDescent="0.2">
      <c r="A21" s="50">
        <v>45960</v>
      </c>
      <c r="B21" s="56">
        <v>24118.89</v>
      </c>
      <c r="C21" s="56">
        <v>43202.400000000001</v>
      </c>
      <c r="D21" s="59">
        <f t="shared" si="0"/>
        <v>-2.2054967535517408E-4</v>
      </c>
      <c r="E21" s="59">
        <f t="shared" si="1"/>
        <v>-9.2845243515723172E-4</v>
      </c>
      <c r="F21" s="59">
        <f t="shared" si="2"/>
        <v>-5.7450105525620287E-4</v>
      </c>
      <c r="H21" s="49">
        <v>19</v>
      </c>
      <c r="I21" s="59">
        <f>Dashboard!$D$12 * SQRT($H21)</f>
        <v>0.22315027619406239</v>
      </c>
      <c r="J21" s="60">
        <f>(Dashboard!$D$13/SQRT(Dashboard!$F$4))* SQRT(H21)</f>
        <v>9.9839581169140601E-2</v>
      </c>
      <c r="K21" s="59">
        <f>Dashboard!$D$14 * SQRT($H21)</f>
        <v>0.34960857840099757</v>
      </c>
      <c r="L21" s="59">
        <f>( (Dashboard!$B$13/SQRT(Dashboard!$F$4))*0.5 + (Dashboard!$C$13/SQRT(Dashboard!$F$4))*0.5 ) * SQRT(H21)</f>
        <v>0.10457929789678586</v>
      </c>
      <c r="N21" s="49">
        <f>Dashboard!$F$2*N20+(1-Dashboard!$F$2)*(D21)^2</f>
        <v>7.2492860821618993E-5</v>
      </c>
      <c r="O21" s="49">
        <f>Dashboard!$F$2*O20+(1-Dashboard!$F$2)*(E21)^2</f>
        <v>8.6541645450586584E-5</v>
      </c>
      <c r="P21" s="49">
        <f>Dashboard!$F$2*P20+(1-Dashboard!$F$2)*(F21)^2</f>
        <v>7.1335585244886496E-5</v>
      </c>
      <c r="R21" s="49">
        <v>19</v>
      </c>
      <c r="S21" s="59">
        <f ca="1">Dashboard!B$8* Dashboard!$F$4+Dashboard!B$10*SQRT(Dashboard!$F$4) * _xlfn.NORM.S.INV(RAND())</f>
        <v>-4.2152316865996617E-2</v>
      </c>
      <c r="T21" s="59">
        <f ca="1">Dashboard!C$8* Dashboard!$F$4+Dashboard!C$10*SQRT(Dashboard!$F$4) * _xlfn.NORM.S.INV(RAND())</f>
        <v>-7.8439222002360358E-3</v>
      </c>
      <c r="U21" s="59">
        <f ca="1">Dashboard!D$8* Dashboard!$F$4+Dashboard!D$10*SQRT(Dashboard!$F$4) * _xlfn.NORM.S.INV(RAND())</f>
        <v>-1.9164897893396706E-3</v>
      </c>
    </row>
    <row r="22" spans="1:21" x14ac:dyDescent="0.2">
      <c r="A22" s="50">
        <v>45961</v>
      </c>
      <c r="B22" s="56">
        <v>23958.3</v>
      </c>
      <c r="C22" s="56">
        <v>43175.32</v>
      </c>
      <c r="D22" s="59">
        <f t="shared" si="0"/>
        <v>-6.6805317554499422E-3</v>
      </c>
      <c r="E22" s="59">
        <f t="shared" si="1"/>
        <v>-6.270135606079992E-4</v>
      </c>
      <c r="F22" s="59">
        <f t="shared" si="2"/>
        <v>-3.6537726580289707E-3</v>
      </c>
      <c r="H22" s="49">
        <v>20</v>
      </c>
      <c r="I22" s="59">
        <f>Dashboard!$D$12 * SQRT($H22)</f>
        <v>0.22894735263693111</v>
      </c>
      <c r="J22" s="60">
        <f>(Dashboard!$D$13/SQRT(Dashboard!$F$4))* SQRT(H22)</f>
        <v>0.10243324896078686</v>
      </c>
      <c r="K22" s="59">
        <f>Dashboard!$D$14 * SQRT($H22)</f>
        <v>0.3586908331426889</v>
      </c>
      <c r="L22" s="59">
        <f>( (Dashboard!$B$13/SQRT(Dashboard!$F$4))*0.5 + (Dashboard!$C$13/SQRT(Dashboard!$F$4))*0.5 ) * SQRT(H22)</f>
        <v>0.10729609571836676</v>
      </c>
      <c r="N22" s="49">
        <f>Dashboard!$F$2*N21+(1-Dashboard!$F$2)*(D22)^2</f>
        <v>7.0821059444456348E-5</v>
      </c>
      <c r="O22" s="49">
        <f>Dashboard!$F$2*O21+(1-Dashboard!$F$2)*(E22)^2</f>
        <v>8.1372735483862567E-5</v>
      </c>
      <c r="P22" s="49">
        <f>Dashboard!$F$2*P21+(1-Dashboard!$F$2)*(F22)^2</f>
        <v>6.7856453408386908E-5</v>
      </c>
      <c r="R22" s="49">
        <v>20</v>
      </c>
      <c r="S22" s="59">
        <f ca="1">Dashboard!B$8* Dashboard!$F$4+Dashboard!B$10*SQRT(Dashboard!$F$4) * _xlfn.NORM.S.INV(RAND())</f>
        <v>-2.4121899270060101E-2</v>
      </c>
      <c r="T22" s="59">
        <f ca="1">Dashboard!C$8* Dashboard!$F$4+Dashboard!C$10*SQRT(Dashboard!$F$4) * _xlfn.NORM.S.INV(RAND())</f>
        <v>1.5418910984026472E-2</v>
      </c>
      <c r="U22" s="59">
        <f ca="1">Dashboard!D$8* Dashboard!$F$4+Dashboard!D$10*SQRT(Dashboard!$F$4) * _xlfn.NORM.S.INV(RAND())</f>
        <v>8.2792705303645714E-2</v>
      </c>
    </row>
    <row r="23" spans="1:21" x14ac:dyDescent="0.2">
      <c r="A23" s="50">
        <v>45964</v>
      </c>
      <c r="B23" s="56">
        <v>24132.41</v>
      </c>
      <c r="C23" s="56">
        <v>43223</v>
      </c>
      <c r="D23" s="59">
        <f t="shared" si="0"/>
        <v>7.2409311790437979E-3</v>
      </c>
      <c r="E23" s="59">
        <f t="shared" si="1"/>
        <v>1.1037252770737917E-3</v>
      </c>
      <c r="F23" s="59">
        <f t="shared" si="2"/>
        <v>4.1723282280587953E-3</v>
      </c>
      <c r="H23" s="49">
        <v>21</v>
      </c>
      <c r="I23" s="59">
        <f>Dashboard!$D$12 * SQRT($H23)</f>
        <v>0.23460122504674233</v>
      </c>
      <c r="J23" s="60">
        <f>(Dashboard!$D$13/SQRT(Dashboard!$F$4))* SQRT(H23)</f>
        <v>0.1049628458898465</v>
      </c>
      <c r="K23" s="59">
        <f>Dashboard!$D$14 * SQRT($H23)</f>
        <v>0.3675487307414162</v>
      </c>
      <c r="L23" s="59">
        <f>( (Dashboard!$B$13/SQRT(Dashboard!$F$4))*0.5 + (Dashboard!$C$13/SQRT(Dashboard!$F$4))*0.5 ) * SQRT(H23)</f>
        <v>0.10994578102057927</v>
      </c>
      <c r="N23" s="49">
        <f>Dashboard!$F$2*N22+(1-Dashboard!$F$2)*(D23)^2</f>
        <v>6.9717660938167881E-5</v>
      </c>
      <c r="O23" s="49">
        <f>Dashboard!$F$2*O22+(1-Dashboard!$F$2)*(E23)^2</f>
        <v>7.6563463924065903E-5</v>
      </c>
      <c r="P23" s="49">
        <f>Dashboard!$F$2*P22+(1-Dashboard!$F$2)*(F23)^2</f>
        <v>6.4829565574443058E-5</v>
      </c>
      <c r="R23" s="49">
        <v>21</v>
      </c>
      <c r="S23" s="59">
        <f ca="1">Dashboard!B$8* Dashboard!$F$4+Dashboard!B$10*SQRT(Dashboard!$F$4) * _xlfn.NORM.S.INV(RAND())</f>
        <v>-1.5529754086234871E-2</v>
      </c>
      <c r="T23" s="59">
        <f ca="1">Dashboard!C$8* Dashboard!$F$4+Dashboard!C$10*SQRT(Dashboard!$F$4) * _xlfn.NORM.S.INV(RAND())</f>
        <v>1.2737299024678524E-2</v>
      </c>
      <c r="U23" s="59">
        <f ca="1">Dashboard!D$8* Dashboard!$F$4+Dashboard!D$10*SQRT(Dashboard!$F$4) * _xlfn.NORM.S.INV(RAND())</f>
        <v>6.1235173006040533E-2</v>
      </c>
    </row>
    <row r="24" spans="1:21" x14ac:dyDescent="0.2">
      <c r="A24" s="50">
        <v>45965</v>
      </c>
      <c r="B24" s="56">
        <v>23949.11</v>
      </c>
      <c r="C24" s="56">
        <v>43262.35</v>
      </c>
      <c r="D24" s="59">
        <f t="shared" si="0"/>
        <v>-7.6245879082522585E-3</v>
      </c>
      <c r="E24" s="59">
        <f t="shared" si="1"/>
        <v>9.0998077050886202E-4</v>
      </c>
      <c r="F24" s="59">
        <f t="shared" si="2"/>
        <v>-3.3573035688716983E-3</v>
      </c>
      <c r="H24" s="49">
        <v>22</v>
      </c>
      <c r="I24" s="59">
        <f>Dashboard!$D$12 * SQRT($H24)</f>
        <v>0.24012200921074522</v>
      </c>
      <c r="J24" s="60">
        <f>(Dashboard!$D$13/SQRT(Dashboard!$F$4))* SQRT(H24)</f>
        <v>0.10743289785688924</v>
      </c>
      <c r="K24" s="59">
        <f>Dashboard!$D$14 * SQRT($H24)</f>
        <v>0.37619811955757554</v>
      </c>
      <c r="L24" s="59">
        <f>( (Dashboard!$B$13/SQRT(Dashboard!$F$4))*0.5 + (Dashboard!$C$13/SQRT(Dashboard!$F$4))*0.5 ) * SQRT(H24)</f>
        <v>0.11253309456353458</v>
      </c>
      <c r="N24" s="49">
        <f>Dashboard!$F$2*N23+(1-Dashboard!$F$2)*(D24)^2</f>
        <v>6.9022661728117794E-5</v>
      </c>
      <c r="O24" s="49">
        <f>Dashboard!$F$2*O23+(1-Dashboard!$F$2)*(E24)^2</f>
        <v>7.2019339988783698E-5</v>
      </c>
      <c r="P24" s="49">
        <f>Dashboard!$F$2*P23+(1-Dashboard!$F$2)*(F24)^2</f>
        <v>6.1616080875189996E-5</v>
      </c>
      <c r="R24" s="49">
        <v>22</v>
      </c>
      <c r="S24" s="59">
        <f ca="1">Dashboard!B$8* Dashboard!$F$4+Dashboard!B$10*SQRT(Dashboard!$F$4) * _xlfn.NORM.S.INV(RAND())</f>
        <v>-5.6617570033379812E-2</v>
      </c>
      <c r="T24" s="59">
        <f ca="1">Dashboard!C$8* Dashboard!$F$4+Dashboard!C$10*SQRT(Dashboard!$F$4) * _xlfn.NORM.S.INV(RAND())</f>
        <v>-1.4658933691577166E-2</v>
      </c>
      <c r="U24" s="59">
        <f ca="1">Dashboard!D$8* Dashboard!$F$4+Dashboard!D$10*SQRT(Dashboard!$F$4) * _xlfn.NORM.S.INV(RAND())</f>
        <v>-2.492397005373851E-2</v>
      </c>
    </row>
    <row r="25" spans="1:21" x14ac:dyDescent="0.2">
      <c r="A25" s="50">
        <v>45966</v>
      </c>
      <c r="B25" s="56">
        <v>24049.74</v>
      </c>
      <c r="C25" s="56">
        <v>43438.49</v>
      </c>
      <c r="D25" s="59">
        <f t="shared" si="0"/>
        <v>4.193023267641623E-3</v>
      </c>
      <c r="E25" s="59">
        <f t="shared" si="1"/>
        <v>4.0631726827561176E-3</v>
      </c>
      <c r="F25" s="59">
        <f t="shared" si="2"/>
        <v>4.1280979751988703E-3</v>
      </c>
      <c r="H25" s="49">
        <v>23</v>
      </c>
      <c r="I25" s="59">
        <f>Dashboard!$D$12 * SQRT($H25)</f>
        <v>0.24551868324300324</v>
      </c>
      <c r="J25" s="60">
        <f>(Dashboard!$D$13/SQRT(Dashboard!$F$4))* SQRT(H25)</f>
        <v>0.10984742175655249</v>
      </c>
      <c r="K25" s="59">
        <f>Dashboard!$D$14 * SQRT($H25)</f>
        <v>0.38465306556387363</v>
      </c>
      <c r="L25" s="59">
        <f>( (Dashboard!$B$13/SQRT(Dashboard!$F$4))*0.5 + (Dashboard!$C$13/SQRT(Dashboard!$F$4))*0.5 ) * SQRT(H25)</f>
        <v>0.11506224393720843</v>
      </c>
      <c r="N25" s="49">
        <f>Dashboard!$F$2*N24+(1-Dashboard!$F$2)*(D25)^2</f>
        <v>6.593618867180977E-5</v>
      </c>
      <c r="O25" s="49">
        <f>Dashboard!$F$2*O24+(1-Dashboard!$F$2)*(E25)^2</f>
        <v>6.8688741924450401E-5</v>
      </c>
      <c r="P25" s="49">
        <f>Dashboard!$F$2*P24+(1-Dashboard!$F$2)*(F25)^2</f>
        <v>5.8941587596249053E-5</v>
      </c>
      <c r="R25" s="49">
        <v>23</v>
      </c>
      <c r="S25" s="59">
        <f ca="1">Dashboard!B$8* Dashboard!$F$4+Dashboard!B$10*SQRT(Dashboard!$F$4) * _xlfn.NORM.S.INV(RAND())</f>
        <v>-3.5150140216283054E-3</v>
      </c>
      <c r="T25" s="59">
        <f ca="1">Dashboard!C$8* Dashboard!$F$4+Dashboard!C$10*SQRT(Dashboard!$F$4) * _xlfn.NORM.S.INV(RAND())</f>
        <v>2.8965305960650264E-2</v>
      </c>
      <c r="U25" s="59">
        <f ca="1">Dashboard!D$8* Dashboard!$F$4+Dashboard!D$10*SQRT(Dashboard!$F$4) * _xlfn.NORM.S.INV(RAND())</f>
        <v>-4.8085062881234861E-2</v>
      </c>
    </row>
    <row r="26" spans="1:21" x14ac:dyDescent="0.2">
      <c r="A26" s="50">
        <v>45967</v>
      </c>
      <c r="B26" s="56">
        <v>23734.02</v>
      </c>
      <c r="C26" s="56">
        <v>43068.69</v>
      </c>
      <c r="D26" s="59">
        <f t="shared" si="0"/>
        <v>-1.3214723766971319E-2</v>
      </c>
      <c r="E26" s="59">
        <f t="shared" si="1"/>
        <v>-8.5496314312501782E-3</v>
      </c>
      <c r="F26" s="59">
        <f t="shared" si="2"/>
        <v>-1.0882177599110749E-2</v>
      </c>
      <c r="H26" s="49">
        <v>24</v>
      </c>
      <c r="I26" s="59">
        <f>Dashboard!$D$12 * SQRT($H26)</f>
        <v>0.25079925904067407</v>
      </c>
      <c r="J26" s="60">
        <f>(Dashboard!$D$13/SQRT(Dashboard!$F$4))* SQRT(H26)</f>
        <v>0.11221000218873113</v>
      </c>
      <c r="K26" s="59">
        <f>Dashboard!$D$14 * SQRT($H26)</f>
        <v>0.39292612096514468</v>
      </c>
      <c r="L26" s="59">
        <f>( (Dashboard!$B$13/SQRT(Dashboard!$F$4))*0.5 + (Dashboard!$C$13/SQRT(Dashboard!$F$4))*0.5 ) * SQRT(H26)</f>
        <v>0.11753698391436589</v>
      </c>
      <c r="N26" s="49">
        <f>Dashboard!$F$2*N25+(1-Dashboard!$F$2)*(D26)^2</f>
        <v>7.245775280574259E-5</v>
      </c>
      <c r="O26" s="49">
        <f>Dashboard!$F$2*O25+(1-Dashboard!$F$2)*(E26)^2</f>
        <v>6.8953189265596632E-5</v>
      </c>
      <c r="P26" s="49">
        <f>Dashboard!$F$2*P25+(1-Dashboard!$F$2)*(F26)^2</f>
        <v>6.2510399698389386E-5</v>
      </c>
      <c r="R26" s="49">
        <v>24</v>
      </c>
      <c r="S26" s="59">
        <f ca="1">Dashboard!B$8* Dashboard!$F$4+Dashboard!B$10*SQRT(Dashboard!$F$4) * _xlfn.NORM.S.INV(RAND())</f>
        <v>2.3637282252542594E-2</v>
      </c>
      <c r="T26" s="59">
        <f ca="1">Dashboard!C$8* Dashboard!$F$4+Dashboard!C$10*SQRT(Dashboard!$F$4) * _xlfn.NORM.S.INV(RAND())</f>
        <v>-1.3853871381456908E-2</v>
      </c>
      <c r="U26" s="59">
        <f ca="1">Dashboard!D$8* Dashboard!$F$4+Dashboard!D$10*SQRT(Dashboard!$F$4) * _xlfn.NORM.S.INV(RAND())</f>
        <v>3.3276637276342738E-2</v>
      </c>
    </row>
    <row r="27" spans="1:21" x14ac:dyDescent="0.2">
      <c r="A27" s="50">
        <v>45968</v>
      </c>
      <c r="B27" s="56">
        <v>23569.96</v>
      </c>
      <c r="C27" s="56">
        <v>42917.67</v>
      </c>
      <c r="D27" s="59">
        <f t="shared" si="0"/>
        <v>-6.9364420415011273E-3</v>
      </c>
      <c r="E27" s="59">
        <f t="shared" si="1"/>
        <v>-3.5126537577115525E-3</v>
      </c>
      <c r="F27" s="59">
        <f t="shared" si="2"/>
        <v>-5.2245478996063403E-3</v>
      </c>
      <c r="H27" s="49">
        <v>25</v>
      </c>
      <c r="I27" s="59">
        <f>Dashboard!$D$12 * SQRT($H27)</f>
        <v>0.25597092188239684</v>
      </c>
      <c r="J27" s="60">
        <f>(Dashboard!$D$13/SQRT(Dashboard!$F$4))* SQRT(H27)</f>
        <v>0.11452385391623954</v>
      </c>
      <c r="K27" s="59">
        <f>Dashboard!$D$14 * SQRT($H27)</f>
        <v>0.40102854290654344</v>
      </c>
      <c r="L27" s="59">
        <f>( (Dashboard!$B$13/SQRT(Dashboard!$F$4))*0.5 + (Dashboard!$C$13/SQRT(Dashboard!$F$4))*0.5 ) * SQRT(H27)</f>
        <v>0.1199606818732961</v>
      </c>
      <c r="N27" s="49">
        <f>Dashboard!$F$2*N26+(1-Dashboard!$F$2)*(D27)^2</f>
        <v>7.0997141329104288E-5</v>
      </c>
      <c r="O27" s="49">
        <f>Dashboard!$F$2*O26+(1-Dashboard!$F$2)*(E27)^2</f>
        <v>6.5556322094954733E-5</v>
      </c>
      <c r="P27" s="49">
        <f>Dashboard!$F$2*P26+(1-Dashboard!$F$2)*(F27)^2</f>
        <v>6.0397529761802878E-5</v>
      </c>
      <c r="R27" s="49">
        <v>25</v>
      </c>
      <c r="S27" s="59">
        <f ca="1">Dashboard!B$8* Dashboard!$F$4+Dashboard!B$10*SQRT(Dashboard!$F$4) * _xlfn.NORM.S.INV(RAND())</f>
        <v>-1.1988619710472508E-2</v>
      </c>
      <c r="T27" s="59">
        <f ca="1">Dashboard!C$8* Dashboard!$F$4+Dashboard!C$10*SQRT(Dashboard!$F$4) * _xlfn.NORM.S.INV(RAND())</f>
        <v>3.910065531117398E-2</v>
      </c>
      <c r="U27" s="59">
        <f ca="1">Dashboard!D$8* Dashboard!$F$4+Dashboard!D$10*SQRT(Dashboard!$F$4) * _xlfn.NORM.S.INV(RAND())</f>
        <v>1.7383365480394132E-2</v>
      </c>
    </row>
    <row r="28" spans="1:21" x14ac:dyDescent="0.2">
      <c r="A28" s="50">
        <v>45971</v>
      </c>
      <c r="B28" s="56">
        <v>23959.99</v>
      </c>
      <c r="C28" s="56">
        <v>43895.67</v>
      </c>
      <c r="D28" s="59">
        <f t="shared" si="0"/>
        <v>1.6412336010841303E-2</v>
      </c>
      <c r="E28" s="59">
        <f t="shared" si="1"/>
        <v>2.2532052715906522E-2</v>
      </c>
      <c r="F28" s="59">
        <f t="shared" si="2"/>
        <v>1.9472194363373913E-2</v>
      </c>
      <c r="H28" s="49">
        <v>26</v>
      </c>
      <c r="I28" s="59">
        <f>Dashboard!$D$12 * SQRT($H28)</f>
        <v>0.26104014511813511</v>
      </c>
      <c r="J28" s="60">
        <f>(Dashboard!$D$13/SQRT(Dashboard!$F$4))* SQRT(H28)</f>
        <v>0.11679187317815097</v>
      </c>
      <c r="K28" s="59">
        <f>Dashboard!$D$14 * SQRT($H28)</f>
        <v>0.40897047315762924</v>
      </c>
      <c r="L28" s="59">
        <f>( (Dashboard!$B$13/SQRT(Dashboard!$F$4))*0.5 + (Dashboard!$C$13/SQRT(Dashboard!$F$4))*0.5 ) * SQRT(H28)</f>
        <v>0.12233637154716662</v>
      </c>
      <c r="N28" s="49">
        <f>Dashboard!$F$2*N27+(1-Dashboard!$F$2)*(D28)^2</f>
        <v>8.2899199249323536E-5</v>
      </c>
      <c r="O28" s="49">
        <f>Dashboard!$F$2*O27+(1-Dashboard!$F$2)*(E28)^2</f>
        <v>9.2084546744800904E-5</v>
      </c>
      <c r="P28" s="49">
        <f>Dashboard!$F$2*P27+(1-Dashboard!$F$2)*(F28)^2</f>
        <v>7.9523659175595365E-5</v>
      </c>
      <c r="R28" s="49">
        <v>26</v>
      </c>
      <c r="S28" s="59">
        <f ca="1">Dashboard!B$8* Dashboard!$F$4+Dashboard!B$10*SQRT(Dashboard!$F$4) * _xlfn.NORM.S.INV(RAND())</f>
        <v>4.4368317818704643E-2</v>
      </c>
      <c r="T28" s="59">
        <f ca="1">Dashboard!C$8* Dashboard!$F$4+Dashboard!C$10*SQRT(Dashboard!$F$4) * _xlfn.NORM.S.INV(RAND())</f>
        <v>-1.9709208653958143E-2</v>
      </c>
      <c r="U28" s="59">
        <f ca="1">Dashboard!D$8* Dashboard!$F$4+Dashboard!D$10*SQRT(Dashboard!$F$4) * _xlfn.NORM.S.INV(RAND())</f>
        <v>5.9007387954592865E-2</v>
      </c>
    </row>
    <row r="29" spans="1:21" x14ac:dyDescent="0.2">
      <c r="A29" s="50">
        <v>45972</v>
      </c>
      <c r="B29" s="56">
        <v>24088.06</v>
      </c>
      <c r="C29" s="56">
        <v>44438.879999999997</v>
      </c>
      <c r="D29" s="59">
        <f t="shared" si="0"/>
        <v>5.3309261582611869E-3</v>
      </c>
      <c r="E29" s="59">
        <f t="shared" si="1"/>
        <v>1.2299079974445527E-2</v>
      </c>
      <c r="F29" s="59">
        <f t="shared" si="2"/>
        <v>8.8150030663533569E-3</v>
      </c>
      <c r="H29" s="49">
        <v>27</v>
      </c>
      <c r="I29" s="59">
        <f>Dashboard!$D$12 * SQRT($H29)</f>
        <v>0.26601278517633326</v>
      </c>
      <c r="J29" s="60">
        <f>(Dashboard!$D$13/SQRT(Dashboard!$F$4))* SQRT(H29)</f>
        <v>0.11901668019691371</v>
      </c>
      <c r="K29" s="59">
        <f>Dashboard!$D$14 * SQRT($H29)</f>
        <v>0.41676108695966924</v>
      </c>
      <c r="L29" s="59">
        <f>( (Dashboard!$B$13/SQRT(Dashboard!$F$4))*0.5 + (Dashboard!$C$13/SQRT(Dashboard!$F$4))*0.5 ) * SQRT(H29)</f>
        <v>0.12466679754909342</v>
      </c>
      <c r="N29" s="49">
        <f>Dashboard!$F$2*N28+(1-Dashboard!$F$2)*(D29)^2</f>
        <v>7.9630373716654121E-5</v>
      </c>
      <c r="O29" s="49">
        <f>Dashboard!$F$2*O28+(1-Dashboard!$F$2)*(E29)^2</f>
        <v>9.5635516033181275E-5</v>
      </c>
      <c r="P29" s="49">
        <f>Dashboard!$F$2*P28+(1-Dashboard!$F$2)*(F29)^2</f>
        <v>7.9414496368648789E-5</v>
      </c>
      <c r="R29" s="49">
        <v>27</v>
      </c>
      <c r="S29" s="59">
        <f ca="1">Dashboard!B$8* Dashboard!$F$4+Dashboard!B$10*SQRT(Dashboard!$F$4) * _xlfn.NORM.S.INV(RAND())</f>
        <v>-8.2385711453692584E-3</v>
      </c>
      <c r="T29" s="59">
        <f ca="1">Dashboard!C$8* Dashboard!$F$4+Dashboard!C$10*SQRT(Dashboard!$F$4) * _xlfn.NORM.S.INV(RAND())</f>
        <v>2.2990527183502151E-2</v>
      </c>
      <c r="U29" s="59">
        <f ca="1">Dashboard!D$8* Dashboard!$F$4+Dashboard!D$10*SQRT(Dashboard!$F$4) * _xlfn.NORM.S.INV(RAND())</f>
        <v>-1.6011985323890251E-2</v>
      </c>
    </row>
    <row r="30" spans="1:21" x14ac:dyDescent="0.2">
      <c r="A30" s="50">
        <v>45973</v>
      </c>
      <c r="B30" s="56">
        <v>24381.46</v>
      </c>
      <c r="C30" s="56">
        <v>44792.639999999999</v>
      </c>
      <c r="D30" s="59">
        <f t="shared" si="0"/>
        <v>1.2106725368692901E-2</v>
      </c>
      <c r="E30" s="59">
        <f t="shared" si="1"/>
        <v>7.929078276689247E-3</v>
      </c>
      <c r="F30" s="59">
        <f t="shared" si="2"/>
        <v>1.0017901822691074E-2</v>
      </c>
      <c r="H30" s="49">
        <v>28</v>
      </c>
      <c r="I30" s="59">
        <f>Dashboard!$D$12 * SQRT($H30)</f>
        <v>0.27089416086590534</v>
      </c>
      <c r="J30" s="60">
        <f>(Dashboard!$D$13/SQRT(Dashboard!$F$4))* SQRT(H30)</f>
        <v>0.12120065465882418</v>
      </c>
      <c r="K30" s="59">
        <f>Dashboard!$D$14 * SQRT($H30)</f>
        <v>0.42440871726772389</v>
      </c>
      <c r="L30" s="59">
        <f>( (Dashboard!$B$13/SQRT(Dashboard!$F$4))*0.5 + (Dashboard!$C$13/SQRT(Dashboard!$F$4))*0.5 ) * SQRT(H30)</f>
        <v>0.12695445253699017</v>
      </c>
      <c r="N30" s="49">
        <f>Dashboard!$F$2*N29+(1-Dashboard!$F$2)*(D30)^2</f>
        <v>8.3646919242832019E-5</v>
      </c>
      <c r="O30" s="49">
        <f>Dashboard!$F$2*O29+(1-Dashboard!$F$2)*(E30)^2</f>
        <v>9.366960201026232E-5</v>
      </c>
      <c r="P30" s="49">
        <f>Dashboard!$F$2*P29+(1-Dashboard!$F$2)*(F30)^2</f>
        <v>8.0671128002274498E-5</v>
      </c>
      <c r="R30" s="49">
        <v>28</v>
      </c>
      <c r="S30" s="59">
        <f ca="1">Dashboard!B$8* Dashboard!$F$4+Dashboard!B$10*SQRT(Dashboard!$F$4) * _xlfn.NORM.S.INV(RAND())</f>
        <v>-3.6478348758418204E-2</v>
      </c>
      <c r="T30" s="59">
        <f ca="1">Dashboard!C$8* Dashboard!$F$4+Dashboard!C$10*SQRT(Dashboard!$F$4) * _xlfn.NORM.S.INV(RAND())</f>
        <v>-8.1653621971098947E-2</v>
      </c>
      <c r="U30" s="59">
        <f ca="1">Dashboard!D$8* Dashboard!$F$4+Dashboard!D$10*SQRT(Dashboard!$F$4) * _xlfn.NORM.S.INV(RAND())</f>
        <v>-9.8244098352583704E-3</v>
      </c>
    </row>
    <row r="31" spans="1:21" x14ac:dyDescent="0.2">
      <c r="A31" s="50">
        <v>45974</v>
      </c>
      <c r="B31" s="56">
        <v>24041.62</v>
      </c>
      <c r="C31" s="56">
        <v>44755.360000000001</v>
      </c>
      <c r="D31" s="59">
        <f t="shared" si="0"/>
        <v>-1.4036512328098391E-2</v>
      </c>
      <c r="E31" s="59">
        <f t="shared" si="1"/>
        <v>-8.3262612573689328E-4</v>
      </c>
      <c r="F31" s="59">
        <f t="shared" si="2"/>
        <v>-7.434569226917642E-3</v>
      </c>
      <c r="H31" s="49">
        <v>29</v>
      </c>
      <c r="I31" s="59">
        <f>Dashboard!$D$12 * SQRT($H31)</f>
        <v>0.27568912003417173</v>
      </c>
      <c r="J31" s="60">
        <f>(Dashboard!$D$13/SQRT(Dashboard!$F$4))* SQRT(H31)</f>
        <v>0.12334596553742924</v>
      </c>
      <c r="K31" s="59">
        <f>Dashboard!$D$14 * SQRT($H31)</f>
        <v>0.43192095918334938</v>
      </c>
      <c r="L31" s="59">
        <f>( (Dashboard!$B$13/SQRT(Dashboard!$F$4))*0.5 + (Dashboard!$C$13/SQRT(Dashboard!$F$4))*0.5 ) * SQRT(H31)</f>
        <v>0.12920160845278644</v>
      </c>
      <c r="N31" s="49">
        <f>Dashboard!$F$2*N30+(1-Dashboard!$F$2)*(D31)^2</f>
        <v>9.0449524788473596E-5</v>
      </c>
      <c r="O31" s="49">
        <f>Dashboard!$F$2*O30+(1-Dashboard!$F$2)*(E31)^2</f>
        <v>8.8091021865562143E-5</v>
      </c>
      <c r="P31" s="49">
        <f>Dashboard!$F$2*P30+(1-Dashboard!$F$2)*(F31)^2</f>
        <v>7.9147229497527867E-5</v>
      </c>
      <c r="R31" s="49">
        <v>29</v>
      </c>
      <c r="S31" s="59">
        <f ca="1">Dashboard!B$8* Dashboard!$F$4+Dashboard!B$10*SQRT(Dashboard!$F$4) * _xlfn.NORM.S.INV(RAND())</f>
        <v>-4.9491010153511691E-2</v>
      </c>
      <c r="T31" s="59">
        <f ca="1">Dashboard!C$8* Dashboard!$F$4+Dashboard!C$10*SQRT(Dashboard!$F$4) * _xlfn.NORM.S.INV(RAND())</f>
        <v>6.0239926845967302E-2</v>
      </c>
      <c r="U31" s="59">
        <f ca="1">Dashboard!D$8* Dashboard!$F$4+Dashboard!D$10*SQRT(Dashboard!$F$4) * _xlfn.NORM.S.INV(RAND())</f>
        <v>7.1152350515695057E-3</v>
      </c>
    </row>
    <row r="32" spans="1:21" x14ac:dyDescent="0.2">
      <c r="A32" s="50">
        <v>45975</v>
      </c>
      <c r="B32" s="56">
        <v>23876.55</v>
      </c>
      <c r="C32" s="56">
        <v>43994.69</v>
      </c>
      <c r="D32" s="59">
        <f t="shared" si="0"/>
        <v>-6.8896893582912934E-3</v>
      </c>
      <c r="E32" s="59">
        <f t="shared" si="1"/>
        <v>-1.7142269267097759E-2</v>
      </c>
      <c r="F32" s="59">
        <f t="shared" si="2"/>
        <v>-1.2015979312694526E-2</v>
      </c>
      <c r="H32" s="49">
        <v>30</v>
      </c>
      <c r="I32" s="59">
        <f>Dashboard!$D$12 * SQRT($H32)</f>
        <v>0.28040209596076299</v>
      </c>
      <c r="J32" s="60">
        <f>(Dashboard!$D$13/SQRT(Dashboard!$F$4))* SQRT(H32)</f>
        <v>0.12545459632470152</v>
      </c>
      <c r="K32" s="59">
        <f>Dashboard!$D$14 * SQRT($H32)</f>
        <v>0.43930475830668442</v>
      </c>
      <c r="L32" s="59">
        <f>( (Dashboard!$B$13/SQRT(Dashboard!$F$4))*0.5 + (Dashboard!$C$13/SQRT(Dashboard!$F$4))*0.5 ) * SQRT(H32)</f>
        <v>0.13141034295141074</v>
      </c>
      <c r="N32" s="49">
        <f>Dashboard!$F$2*N31+(1-Dashboard!$F$2)*(D32)^2</f>
        <v>8.787062246839032E-5</v>
      </c>
      <c r="O32" s="49">
        <f>Dashboard!$F$2*O31+(1-Dashboard!$F$2)*(E32)^2</f>
        <v>1.0043700429116948E-4</v>
      </c>
      <c r="P32" s="49">
        <f>Dashboard!$F$2*P31+(1-Dashboard!$F$2)*(F32)^2</f>
        <v>8.306142125826236E-5</v>
      </c>
      <c r="R32" s="49">
        <v>30</v>
      </c>
      <c r="S32" s="59">
        <f ca="1">Dashboard!B$8* Dashboard!$F$4+Dashboard!B$10*SQRT(Dashboard!$F$4) * _xlfn.NORM.S.INV(RAND())</f>
        <v>-4.4107492905751819E-2</v>
      </c>
      <c r="T32" s="59">
        <f ca="1">Dashboard!C$8* Dashboard!$F$4+Dashboard!C$10*SQRT(Dashboard!$F$4) * _xlfn.NORM.S.INV(RAND())</f>
        <v>1.055659445010932E-2</v>
      </c>
      <c r="U32" s="59">
        <f ca="1">Dashboard!D$8* Dashboard!$F$4+Dashboard!D$10*SQRT(Dashboard!$F$4) * _xlfn.NORM.S.INV(RAND())</f>
        <v>3.4580666775341939E-2</v>
      </c>
    </row>
    <row r="33" spans="1:21" x14ac:dyDescent="0.2">
      <c r="A33" s="50">
        <v>45978</v>
      </c>
      <c r="B33" s="56">
        <v>23590.52</v>
      </c>
      <c r="C33" s="56">
        <v>43767.28</v>
      </c>
      <c r="D33" s="59">
        <f t="shared" si="0"/>
        <v>-1.2051869310159783E-2</v>
      </c>
      <c r="E33" s="59">
        <f t="shared" si="1"/>
        <v>-5.1824385659299472E-3</v>
      </c>
      <c r="F33" s="59">
        <f t="shared" si="2"/>
        <v>-8.6171539380448647E-3</v>
      </c>
      <c r="H33" s="49">
        <v>31</v>
      </c>
      <c r="I33" s="59">
        <f>Dashboard!$D$12 * SQRT($H33)</f>
        <v>0.28503715535551127</v>
      </c>
      <c r="J33" s="60">
        <f>(Dashboard!$D$13/SQRT(Dashboard!$F$4))* SQRT(H33)</f>
        <v>0.127528366505758</v>
      </c>
      <c r="K33" s="59">
        <f>Dashboard!$D$14 * SQRT($H33)</f>
        <v>0.44656648593454051</v>
      </c>
      <c r="L33" s="59">
        <f>( (Dashboard!$B$13/SQRT(Dashboard!$F$4))*0.5 + (Dashboard!$C$13/SQRT(Dashboard!$F$4))*0.5 ) * SQRT(H33)</f>
        <v>0.13358256189498549</v>
      </c>
      <c r="N33" s="49">
        <f>Dashboard!$F$2*N32+(1-Dashboard!$F$2)*(D33)^2</f>
        <v>9.1313238352437178E-5</v>
      </c>
      <c r="O33" s="49">
        <f>Dashboard!$F$2*O32+(1-Dashboard!$F$2)*(E33)^2</f>
        <v>9.6022244203077583E-5</v>
      </c>
      <c r="P33" s="49">
        <f>Dashboard!$F$2*P32+(1-Dashboard!$F$2)*(F33)^2</f>
        <v>8.2533056502284341E-5</v>
      </c>
      <c r="R33" s="49">
        <v>31</v>
      </c>
      <c r="S33" s="59">
        <f ca="1">Dashboard!B$8* Dashboard!$F$4+Dashboard!B$10*SQRT(Dashboard!$F$4) * _xlfn.NORM.S.INV(RAND())</f>
        <v>1.348844474203306E-2</v>
      </c>
      <c r="T33" s="59">
        <f ca="1">Dashboard!C$8* Dashboard!$F$4+Dashboard!C$10*SQRT(Dashboard!$F$4) * _xlfn.NORM.S.INV(RAND())</f>
        <v>1.7110740604215718E-2</v>
      </c>
      <c r="U33" s="59">
        <f ca="1">Dashboard!D$8* Dashboard!$F$4+Dashboard!D$10*SQRT(Dashboard!$F$4) * _xlfn.NORM.S.INV(RAND())</f>
        <v>2.1782992472096106E-2</v>
      </c>
    </row>
    <row r="34" spans="1:21" x14ac:dyDescent="0.2">
      <c r="A34" s="50">
        <v>45979</v>
      </c>
      <c r="B34" s="56">
        <v>23180.53</v>
      </c>
      <c r="C34" s="56">
        <v>42838.64</v>
      </c>
      <c r="D34" s="59">
        <f t="shared" si="0"/>
        <v>-1.7532234226684297E-2</v>
      </c>
      <c r="E34" s="59">
        <f t="shared" si="1"/>
        <v>-2.1446007207626822E-2</v>
      </c>
      <c r="F34" s="59">
        <f t="shared" si="2"/>
        <v>-1.9489120717155559E-2</v>
      </c>
      <c r="H34" s="49">
        <v>32</v>
      </c>
      <c r="I34" s="59">
        <f>Dashboard!$D$12 * SQRT($H34)</f>
        <v>0.28959803943938373</v>
      </c>
      <c r="J34" s="60">
        <f>(Dashboard!$D$13/SQRT(Dashboard!$F$4))* SQRT(H34)</f>
        <v>0.12956894993886486</v>
      </c>
      <c r="K34" s="59">
        <f>Dashboard!$D$14 * SQRT($H34)</f>
        <v>0.45371200342172352</v>
      </c>
      <c r="L34" s="59">
        <f>( (Dashboard!$B$13/SQRT(Dashboard!$F$4))*0.5 + (Dashboard!$C$13/SQRT(Dashboard!$F$4))*0.5 ) * SQRT(H34)</f>
        <v>0.13572001860539173</v>
      </c>
      <c r="N34" s="49">
        <f>Dashboard!$F$2*N33+(1-Dashboard!$F$2)*(D34)^2</f>
        <v>1.0427719827005018E-4</v>
      </c>
      <c r="O34" s="49">
        <f>Dashboard!$F$2*O33+(1-Dashboard!$F$2)*(E34)^2</f>
        <v>1.1785678305986785E-4</v>
      </c>
      <c r="P34" s="49">
        <f>Dashboard!$F$2*P33+(1-Dashboard!$F$2)*(F34)^2</f>
        <v>1.0037062269181902E-4</v>
      </c>
      <c r="R34" s="49">
        <v>32</v>
      </c>
      <c r="S34" s="59">
        <f ca="1">Dashboard!B$8* Dashboard!$F$4+Dashboard!B$10*SQRT(Dashboard!$F$4) * _xlfn.NORM.S.INV(RAND())</f>
        <v>-9.0101846807281477E-2</v>
      </c>
      <c r="T34" s="59">
        <f ca="1">Dashboard!C$8* Dashboard!$F$4+Dashboard!C$10*SQRT(Dashboard!$F$4) * _xlfn.NORM.S.INV(RAND())</f>
        <v>-4.7434463659395036E-3</v>
      </c>
      <c r="U34" s="59">
        <f ca="1">Dashboard!D$8* Dashboard!$F$4+Dashboard!D$10*SQRT(Dashboard!$F$4) * _xlfn.NORM.S.INV(RAND())</f>
        <v>-3.7205690097855834E-2</v>
      </c>
    </row>
    <row r="35" spans="1:21" x14ac:dyDescent="0.2">
      <c r="A35" s="50">
        <v>45980</v>
      </c>
      <c r="B35" s="56">
        <v>23162.92</v>
      </c>
      <c r="C35" s="56">
        <v>42651.49</v>
      </c>
      <c r="D35" s="59">
        <f t="shared" si="0"/>
        <v>-7.5997798383938605E-4</v>
      </c>
      <c r="E35" s="59">
        <f t="shared" si="1"/>
        <v>-4.3782901947409603E-3</v>
      </c>
      <c r="F35" s="59">
        <f t="shared" si="2"/>
        <v>-2.5691340892901732E-3</v>
      </c>
      <c r="H35" s="49">
        <v>33</v>
      </c>
      <c r="I35" s="59">
        <f>Dashboard!$D$12 * SQRT($H35)</f>
        <v>0.29408819928910412</v>
      </c>
      <c r="J35" s="60">
        <f>(Dashboard!$D$13/SQRT(Dashboard!$F$4))* SQRT(H35)</f>
        <v>0.13157789066896153</v>
      </c>
      <c r="K35" s="59">
        <f>Dashboard!$D$14 * SQRT($H35)</f>
        <v>0.4607467175553005</v>
      </c>
      <c r="L35" s="59">
        <f>( (Dashboard!$B$13/SQRT(Dashboard!$F$4))*0.5 + (Dashboard!$C$13/SQRT(Dashboard!$F$4))*0.5 ) * SQRT(H35)</f>
        <v>0.13782433042851369</v>
      </c>
      <c r="N35" s="49">
        <f>Dashboard!$F$2*N34+(1-Dashboard!$F$2)*(D35)^2</f>
        <v>9.8055220366002392E-5</v>
      </c>
      <c r="O35" s="49">
        <f>Dashboard!$F$2*O34+(1-Dashboard!$F$2)*(E35)^2</f>
        <v>1.1193554157803766E-4</v>
      </c>
      <c r="P35" s="49">
        <f>Dashboard!$F$2*P34+(1-Dashboard!$F$2)*(F35)^2</f>
        <v>9.4744412328435053E-5</v>
      </c>
      <c r="R35" s="49">
        <v>33</v>
      </c>
      <c r="S35" s="59">
        <f ca="1">Dashboard!B$8* Dashboard!$F$4+Dashboard!B$10*SQRT(Dashboard!$F$4) * _xlfn.NORM.S.INV(RAND())</f>
        <v>3.5823376348904527E-2</v>
      </c>
      <c r="T35" s="59">
        <f ca="1">Dashboard!C$8* Dashboard!$F$4+Dashboard!C$10*SQRT(Dashboard!$F$4) * _xlfn.NORM.S.INV(RAND())</f>
        <v>3.3458120324587462E-2</v>
      </c>
      <c r="U35" s="59">
        <f ca="1">Dashboard!D$8* Dashboard!$F$4+Dashboard!D$10*SQRT(Dashboard!$F$4) * _xlfn.NORM.S.INV(RAND())</f>
        <v>-9.0354901194276329E-3</v>
      </c>
    </row>
    <row r="36" spans="1:21" x14ac:dyDescent="0.2">
      <c r="A36" s="50">
        <v>45981</v>
      </c>
      <c r="B36" s="56">
        <v>23278.85</v>
      </c>
      <c r="C36" s="56">
        <v>42917.64</v>
      </c>
      <c r="D36" s="59">
        <f t="shared" si="0"/>
        <v>4.9924988128833003E-3</v>
      </c>
      <c r="E36" s="59">
        <f t="shared" si="1"/>
        <v>6.2207213810626686E-3</v>
      </c>
      <c r="F36" s="59">
        <f t="shared" si="2"/>
        <v>5.6066100969729849E-3</v>
      </c>
      <c r="H36" s="49">
        <v>34</v>
      </c>
      <c r="I36" s="59">
        <f>Dashboard!$D$12 * SQRT($H36)</f>
        <v>0.29851082639509202</v>
      </c>
      <c r="J36" s="60">
        <f>(Dashboard!$D$13/SQRT(Dashboard!$F$4))* SQRT(H36)</f>
        <v>0.13355661659957668</v>
      </c>
      <c r="K36" s="59">
        <f>Dashboard!$D$14 * SQRT($H36)</f>
        <v>0.46767562842959187</v>
      </c>
      <c r="L36" s="59">
        <f>( (Dashboard!$B$13/SQRT(Dashboard!$F$4))*0.5 + (Dashboard!$C$13/SQRT(Dashboard!$F$4))*0.5 ) * SQRT(H36)</f>
        <v>0.13989699305520606</v>
      </c>
      <c r="N36" s="49">
        <f>Dashboard!$F$2*N35+(1-Dashboard!$F$2)*(D36)^2</f>
        <v>9.3667409807840707E-5</v>
      </c>
      <c r="O36" s="49">
        <f>Dashboard!$F$2*O35+(1-Dashboard!$F$2)*(E36)^2</f>
        <v>1.0754125155340401E-4</v>
      </c>
      <c r="P36" s="49">
        <f>Dashboard!$F$2*P35+(1-Dashboard!$F$2)*(F36)^2</f>
        <v>9.0945792195497709E-5</v>
      </c>
      <c r="R36" s="49">
        <v>34</v>
      </c>
      <c r="S36" s="59">
        <f ca="1">Dashboard!B$8* Dashboard!$F$4+Dashboard!B$10*SQRT(Dashboard!$F$4) * _xlfn.NORM.S.INV(RAND())</f>
        <v>-9.5554418133359451E-3</v>
      </c>
      <c r="T36" s="59">
        <f ca="1">Dashboard!C$8* Dashboard!$F$4+Dashboard!C$10*SQRT(Dashboard!$F$4) * _xlfn.NORM.S.INV(RAND())</f>
        <v>2.176062720972367E-2</v>
      </c>
      <c r="U36" s="59">
        <f ca="1">Dashboard!D$8* Dashboard!$F$4+Dashboard!D$10*SQRT(Dashboard!$F$4) * _xlfn.NORM.S.INV(RAND())</f>
        <v>-4.0326264617220248E-2</v>
      </c>
    </row>
    <row r="37" spans="1:21" x14ac:dyDescent="0.2">
      <c r="A37" s="50">
        <v>45982</v>
      </c>
      <c r="B37" s="56">
        <v>23091.87</v>
      </c>
      <c r="C37" s="56">
        <v>42661.67</v>
      </c>
      <c r="D37" s="59">
        <f t="shared" si="0"/>
        <v>-8.064615490106496E-3</v>
      </c>
      <c r="E37" s="59">
        <f t="shared" si="1"/>
        <v>-5.9820712115385977E-3</v>
      </c>
      <c r="F37" s="59">
        <f t="shared" si="2"/>
        <v>-7.0233433508225468E-3</v>
      </c>
      <c r="H37" s="49">
        <v>35</v>
      </c>
      <c r="I37" s="59">
        <f>Dashboard!$D$12 * SQRT($H37)</f>
        <v>0.30286887920196381</v>
      </c>
      <c r="J37" s="60">
        <f>(Dashboard!$D$13/SQRT(Dashboard!$F$4))* SQRT(H37)</f>
        <v>0.13550645136730372</v>
      </c>
      <c r="K37" s="59">
        <f>Dashboard!$D$14 * SQRT($H37)</f>
        <v>0.47450337102705969</v>
      </c>
      <c r="L37" s="59">
        <f>( (Dashboard!$B$13/SQRT(Dashboard!$F$4))*0.5 + (Dashboard!$C$13/SQRT(Dashboard!$F$4))*0.5 ) * SQRT(H37)</f>
        <v>0.14193939295949035</v>
      </c>
      <c r="N37" s="49">
        <f>Dashboard!$F$2*N36+(1-Dashboard!$F$2)*(D37)^2</f>
        <v>9.1949646599566204E-5</v>
      </c>
      <c r="O37" s="49">
        <f>Dashboard!$F$2*O36+(1-Dashboard!$F$2)*(E37)^2</f>
        <v>1.0323588701899489E-4</v>
      </c>
      <c r="P37" s="49">
        <f>Dashboard!$F$2*P36+(1-Dashboard!$F$2)*(F37)^2</f>
        <v>8.8448685773180434E-5</v>
      </c>
      <c r="R37" s="49">
        <v>35</v>
      </c>
      <c r="S37" s="59">
        <f ca="1">Dashboard!B$8* Dashboard!$F$4+Dashboard!B$10*SQRT(Dashboard!$F$4) * _xlfn.NORM.S.INV(RAND())</f>
        <v>-2.5256638769256285E-3</v>
      </c>
      <c r="T37" s="59">
        <f ca="1">Dashboard!C$8* Dashboard!$F$4+Dashboard!C$10*SQRT(Dashboard!$F$4) * _xlfn.NORM.S.INV(RAND())</f>
        <v>4.8095698132044597E-2</v>
      </c>
      <c r="U37" s="59">
        <f ca="1">Dashboard!D$8* Dashboard!$F$4+Dashboard!D$10*SQRT(Dashboard!$F$4) * _xlfn.NORM.S.INV(RAND())</f>
        <v>-4.7063113960939262E-3</v>
      </c>
    </row>
    <row r="38" spans="1:21" x14ac:dyDescent="0.2">
      <c r="A38" s="50">
        <v>45985</v>
      </c>
      <c r="B38" s="56">
        <v>23239.18</v>
      </c>
      <c r="C38" s="56">
        <v>42298.17</v>
      </c>
      <c r="D38" s="59">
        <f t="shared" si="0"/>
        <v>6.3590398405518403E-3</v>
      </c>
      <c r="E38" s="59">
        <f t="shared" si="1"/>
        <v>-8.5570363136295811E-3</v>
      </c>
      <c r="F38" s="59">
        <f t="shared" si="2"/>
        <v>-1.0989982365388704E-3</v>
      </c>
      <c r="H38" s="49">
        <v>36</v>
      </c>
      <c r="I38" s="59">
        <f>Dashboard!$D$12 * SQRT($H38)</f>
        <v>0.30716510625887616</v>
      </c>
      <c r="J38" s="60">
        <f>(Dashboard!$D$13/SQRT(Dashboard!$F$4))* SQRT(H38)</f>
        <v>0.13742862469948747</v>
      </c>
      <c r="K38" s="59">
        <f>Dashboard!$D$14 * SQRT($H38)</f>
        <v>0.48123425148785209</v>
      </c>
      <c r="L38" s="59">
        <f>( (Dashboard!$B$13/SQRT(Dashboard!$F$4))*0.5 + (Dashboard!$C$13/SQRT(Dashboard!$F$4))*0.5 ) * SQRT(H38)</f>
        <v>0.14395281824795533</v>
      </c>
      <c r="N38" s="49">
        <f>Dashboard!$F$2*N37+(1-Dashboard!$F$2)*(D38)^2</f>
        <v>8.8858911065215764E-5</v>
      </c>
      <c r="O38" s="49">
        <f>Dashboard!$F$2*O37+(1-Dashboard!$F$2)*(E38)^2</f>
        <v>1.014351060262217E-4</v>
      </c>
      <c r="P38" s="49">
        <f>Dashboard!$F$2*P37+(1-Dashboard!$F$2)*(F38)^2</f>
        <v>8.3214232454224536E-5</v>
      </c>
      <c r="R38" s="49">
        <v>36</v>
      </c>
      <c r="S38" s="59">
        <f ca="1">Dashboard!B$8* Dashboard!$F$4+Dashboard!B$10*SQRT(Dashboard!$F$4) * _xlfn.NORM.S.INV(RAND())</f>
        <v>-1.150864904346243E-3</v>
      </c>
      <c r="T38" s="59">
        <f ca="1">Dashboard!C$8* Dashboard!$F$4+Dashboard!C$10*SQRT(Dashboard!$F$4) * _xlfn.NORM.S.INV(RAND())</f>
        <v>8.5803818380867699E-3</v>
      </c>
      <c r="U38" s="59">
        <f ca="1">Dashboard!D$8* Dashboard!$F$4+Dashboard!D$10*SQRT(Dashboard!$F$4) * _xlfn.NORM.S.INV(RAND())</f>
        <v>1.4007835790377785E-3</v>
      </c>
    </row>
    <row r="39" spans="1:21" x14ac:dyDescent="0.2">
      <c r="A39" s="50">
        <v>45986</v>
      </c>
      <c r="B39" s="56">
        <v>23464.63</v>
      </c>
      <c r="C39" s="56">
        <v>42698.66</v>
      </c>
      <c r="D39" s="59">
        <f t="shared" si="0"/>
        <v>9.6545335886091058E-3</v>
      </c>
      <c r="E39" s="59">
        <f t="shared" si="1"/>
        <v>9.4237153041013561E-3</v>
      </c>
      <c r="F39" s="59">
        <f t="shared" si="2"/>
        <v>9.5391244463552301E-3</v>
      </c>
      <c r="H39" s="49">
        <v>37</v>
      </c>
      <c r="I39" s="59">
        <f>Dashboard!$D$12 * SQRT($H39)</f>
        <v>0.3114020664944272</v>
      </c>
      <c r="J39" s="60">
        <f>(Dashboard!$D$13/SQRT(Dashboard!$F$4))* SQRT(H39)</f>
        <v>0.13932428148540979</v>
      </c>
      <c r="K39" s="59">
        <f>Dashboard!$D$14 * SQRT($H39)</f>
        <v>0.48787227887440282</v>
      </c>
      <c r="L39" s="59">
        <f>( (Dashboard!$B$13/SQRT(Dashboard!$F$4))*0.5 + (Dashboard!$C$13/SQRT(Dashboard!$F$4))*0.5 ) * SQRT(H39)</f>
        <v>0.14593846816158207</v>
      </c>
      <c r="N39" s="49">
        <f>Dashboard!$F$2*N38+(1-Dashboard!$F$2)*(D39)^2</f>
        <v>8.9119977530117709E-5</v>
      </c>
      <c r="O39" s="49">
        <f>Dashboard!$F$2*O38+(1-Dashboard!$F$2)*(E39)^2</f>
        <v>1.0067738427261365E-4</v>
      </c>
      <c r="P39" s="49">
        <f>Dashboard!$F$2*P38+(1-Dashboard!$F$2)*(F39)^2</f>
        <v>8.3681072219154174E-5</v>
      </c>
      <c r="R39" s="49">
        <v>37</v>
      </c>
      <c r="S39" s="59">
        <f ca="1">Dashboard!B$8* Dashboard!$F$4+Dashboard!B$10*SQRT(Dashboard!$F$4) * _xlfn.NORM.S.INV(RAND())</f>
        <v>2.0864752492820667E-2</v>
      </c>
      <c r="T39" s="59">
        <f ca="1">Dashboard!C$8* Dashboard!$F$4+Dashboard!C$10*SQRT(Dashboard!$F$4) * _xlfn.NORM.S.INV(RAND())</f>
        <v>8.6362552663438036E-3</v>
      </c>
      <c r="U39" s="59">
        <f ca="1">Dashboard!D$8* Dashboard!$F$4+Dashboard!D$10*SQRT(Dashboard!$F$4) * _xlfn.NORM.S.INV(RAND())</f>
        <v>4.5227469407492678E-2</v>
      </c>
    </row>
    <row r="40" spans="1:21" x14ac:dyDescent="0.2">
      <c r="A40" s="50">
        <v>45987</v>
      </c>
      <c r="B40" s="56">
        <v>23726.22</v>
      </c>
      <c r="C40" s="56">
        <v>43130.32</v>
      </c>
      <c r="D40" s="59">
        <f t="shared" si="0"/>
        <v>1.1086584767240663E-2</v>
      </c>
      <c r="E40" s="59">
        <f t="shared" si="1"/>
        <v>1.0058692052718202E-2</v>
      </c>
      <c r="F40" s="59">
        <f t="shared" si="2"/>
        <v>1.0572638409979433E-2</v>
      </c>
      <c r="H40" s="49">
        <v>38</v>
      </c>
      <c r="I40" s="59">
        <f>Dashboard!$D$12 * SQRT($H40)</f>
        <v>0.31558214704094495</v>
      </c>
      <c r="J40" s="60">
        <f>(Dashboard!$D$13/SQRT(Dashboard!$F$4))* SQRT(H40)</f>
        <v>0.14119448975104809</v>
      </c>
      <c r="K40" s="59">
        <f>Dashboard!$D$14 * SQRT($H40)</f>
        <v>0.49442119309666821</v>
      </c>
      <c r="L40" s="59">
        <f>( (Dashboard!$B$13/SQRT(Dashboard!$F$4))*0.5 + (Dashboard!$C$13/SQRT(Dashboard!$F$4))*0.5 ) * SQRT(H40)</f>
        <v>0.14789746142909063</v>
      </c>
      <c r="N40" s="49">
        <f>Dashboard!$F$2*N39+(1-Dashboard!$F$2)*(D40)^2</f>
        <v>9.1147520586383409E-5</v>
      </c>
      <c r="O40" s="49">
        <f>Dashboard!$F$2*O39+(1-Dashboard!$F$2)*(E40)^2</f>
        <v>1.007073783649418E-4</v>
      </c>
      <c r="P40" s="49">
        <f>Dashboard!$F$2*P39+(1-Dashboard!$F$2)*(F40)^2</f>
        <v>8.5367048862895268E-5</v>
      </c>
      <c r="R40" s="49">
        <v>38</v>
      </c>
      <c r="S40" s="59">
        <f ca="1">Dashboard!B$8* Dashboard!$F$4+Dashboard!B$10*SQRT(Dashboard!$F$4) * _xlfn.NORM.S.INV(RAND())</f>
        <v>2.6731529456907079E-2</v>
      </c>
      <c r="T40" s="59">
        <f ca="1">Dashboard!C$8* Dashboard!$F$4+Dashboard!C$10*SQRT(Dashboard!$F$4) * _xlfn.NORM.S.INV(RAND())</f>
        <v>-1.8701171946507437E-2</v>
      </c>
      <c r="U40" s="59">
        <f ca="1">Dashboard!D$8* Dashboard!$F$4+Dashboard!D$10*SQRT(Dashboard!$F$4) * _xlfn.NORM.S.INV(RAND())</f>
        <v>3.7938936830466452E-2</v>
      </c>
    </row>
    <row r="41" spans="1:21" x14ac:dyDescent="0.2">
      <c r="A41" s="50">
        <v>45988</v>
      </c>
      <c r="B41" s="56">
        <v>23767.96</v>
      </c>
      <c r="C41" s="56">
        <v>43219.87</v>
      </c>
      <c r="D41" s="59">
        <f t="shared" si="0"/>
        <v>1.7576894999012363E-3</v>
      </c>
      <c r="E41" s="59">
        <f t="shared" si="1"/>
        <v>2.0741131456286865E-3</v>
      </c>
      <c r="F41" s="59">
        <f t="shared" si="2"/>
        <v>1.9159013227649613E-3</v>
      </c>
      <c r="H41" s="49">
        <v>39</v>
      </c>
      <c r="I41" s="59">
        <f>Dashboard!$D$12 * SQRT($H41)</f>
        <v>0.31970757896075219</v>
      </c>
      <c r="J41" s="60">
        <f>(Dashboard!$D$13/SQRT(Dashboard!$F$4))* SQRT(H41)</f>
        <v>0.1430402476951573</v>
      </c>
      <c r="K41" s="59">
        <f>Dashboard!$D$14 * SQRT($H41)</f>
        <v>0.50088448955039799</v>
      </c>
      <c r="L41" s="59">
        <f>( (Dashboard!$B$13/SQRT(Dashboard!$F$4))*0.5 + (Dashboard!$C$13/SQRT(Dashboard!$F$4))*0.5 ) * SQRT(H41)</f>
        <v>0.14983084363704824</v>
      </c>
      <c r="N41" s="49">
        <f>Dashboard!$F$2*N40+(1-Dashboard!$F$2)*(D41)^2</f>
        <v>8.5864037693884191E-5</v>
      </c>
      <c r="O41" s="49">
        <f>Dashboard!$F$2*O40+(1-Dashboard!$F$2)*(E41)^2</f>
        <v>9.4923052383497482E-5</v>
      </c>
      <c r="P41" s="49">
        <f>Dashboard!$F$2*P40+(1-Dashboard!$F$2)*(F41)^2</f>
        <v>8.0465266603835901E-5</v>
      </c>
      <c r="R41" s="49">
        <v>39</v>
      </c>
      <c r="S41" s="59">
        <f ca="1">Dashboard!B$8* Dashboard!$F$4+Dashboard!B$10*SQRT(Dashboard!$F$4) * _xlfn.NORM.S.INV(RAND())</f>
        <v>2.7700220763298179E-3</v>
      </c>
      <c r="T41" s="59">
        <f ca="1">Dashboard!C$8* Dashboard!$F$4+Dashboard!C$10*SQRT(Dashboard!$F$4) * _xlfn.NORM.S.INV(RAND())</f>
        <v>3.9840142777850286E-2</v>
      </c>
      <c r="U41" s="59">
        <f ca="1">Dashboard!D$8* Dashboard!$F$4+Dashboard!D$10*SQRT(Dashboard!$F$4) * _xlfn.NORM.S.INV(RAND())</f>
        <v>-3.8344984029992424E-2</v>
      </c>
    </row>
    <row r="42" spans="1:21" x14ac:dyDescent="0.2">
      <c r="A42" s="50">
        <v>45989</v>
      </c>
      <c r="B42" s="56">
        <v>23836.79</v>
      </c>
      <c r="C42" s="56">
        <v>43357.01</v>
      </c>
      <c r="D42" s="59">
        <f t="shared" si="0"/>
        <v>2.8917302564818843E-3</v>
      </c>
      <c r="E42" s="59">
        <f t="shared" si="1"/>
        <v>3.168053981645139E-3</v>
      </c>
      <c r="F42" s="59">
        <f t="shared" si="2"/>
        <v>3.0298921190635118E-3</v>
      </c>
      <c r="H42" s="49">
        <v>40</v>
      </c>
      <c r="I42" s="59">
        <f>Dashboard!$D$12 * SQRT($H42)</f>
        <v>0.32378045116856358</v>
      </c>
      <c r="J42" s="60">
        <f>(Dashboard!$D$13/SQRT(Dashboard!$F$4))* SQRT(H42)</f>
        <v>0.14486248991828451</v>
      </c>
      <c r="K42" s="59">
        <f>Dashboard!$D$14 * SQRT($H42)</f>
        <v>0.50726544092929549</v>
      </c>
      <c r="L42" s="59">
        <f>( (Dashboard!$B$13/SQRT(Dashboard!$F$4))*0.5 + (Dashboard!$C$13/SQRT(Dashboard!$F$4))*0.5 ) * SQRT(H42)</f>
        <v>0.15173959375459606</v>
      </c>
      <c r="N42" s="49">
        <f>Dashboard!$F$2*N41+(1-Dashboard!$F$2)*(D42)^2</f>
        <v>8.1213921664826297E-5</v>
      </c>
      <c r="O42" s="49">
        <f>Dashboard!$F$2*O41+(1-Dashboard!$F$2)*(E42)^2</f>
        <v>8.9829863202324693E-5</v>
      </c>
      <c r="P42" s="49">
        <f>Dashboard!$F$2*P41+(1-Dashboard!$F$2)*(F42)^2</f>
        <v>7.6188165382795535E-5</v>
      </c>
      <c r="R42" s="49">
        <v>40</v>
      </c>
      <c r="S42" s="59">
        <f ca="1">Dashboard!B$8* Dashboard!$F$4+Dashboard!B$10*SQRT(Dashboard!$F$4) * _xlfn.NORM.S.INV(RAND())</f>
        <v>-4.1350856800876717E-2</v>
      </c>
      <c r="T42" s="59">
        <f ca="1">Dashboard!C$8* Dashboard!$F$4+Dashboard!C$10*SQRT(Dashboard!$F$4) * _xlfn.NORM.S.INV(RAND())</f>
        <v>-1.7675929470825517E-2</v>
      </c>
      <c r="U42" s="59">
        <f ca="1">Dashboard!D$8* Dashboard!$F$4+Dashboard!D$10*SQRT(Dashboard!$F$4) * _xlfn.NORM.S.INV(RAND())</f>
        <v>1.2110128388583045E-2</v>
      </c>
    </row>
    <row r="43" spans="1:21" x14ac:dyDescent="0.2">
      <c r="A43" s="50">
        <v>45992</v>
      </c>
      <c r="B43" s="56">
        <v>23589.439999999999</v>
      </c>
      <c r="C43" s="56">
        <v>43259.48</v>
      </c>
      <c r="D43" s="59">
        <f t="shared" si="0"/>
        <v>-1.0431031214924976E-2</v>
      </c>
      <c r="E43" s="59">
        <f t="shared" si="1"/>
        <v>-2.2519970785825649E-3</v>
      </c>
      <c r="F43" s="59">
        <f t="shared" si="2"/>
        <v>-6.3415141467537701E-3</v>
      </c>
      <c r="H43" s="49">
        <v>41</v>
      </c>
      <c r="I43" s="59">
        <f>Dashboard!$D$12 * SQRT($H43)</f>
        <v>0.32780272279664108</v>
      </c>
      <c r="J43" s="60">
        <f>(Dashboard!$D$13/SQRT(Dashboard!$F$4))* SQRT(H43)</f>
        <v>0.14666209295505844</v>
      </c>
      <c r="K43" s="59">
        <f>Dashboard!$D$14 * SQRT($H43)</f>
        <v>0.51356711659745347</v>
      </c>
      <c r="L43" s="59">
        <f>( (Dashboard!$B$13/SQRT(Dashboard!$F$4))*0.5 + (Dashboard!$C$13/SQRT(Dashboard!$F$4))*0.5 ) * SQRT(H43)</f>
        <v>0.15362462992837472</v>
      </c>
      <c r="N43" s="49">
        <f>Dashboard!$F$2*N42+(1-Dashboard!$F$2)*(D43)^2</f>
        <v>8.2869471097341078E-5</v>
      </c>
      <c r="O43" s="49">
        <f>Dashboard!$F$2*O42+(1-Dashboard!$F$2)*(E43)^2</f>
        <v>8.4744360860701862E-5</v>
      </c>
      <c r="P43" s="49">
        <f>Dashboard!$F$2*P42+(1-Dashboard!$F$2)*(F43)^2</f>
        <v>7.4029763560236501E-5</v>
      </c>
      <c r="R43" s="49">
        <v>41</v>
      </c>
      <c r="S43" s="59">
        <f ca="1">Dashboard!B$8* Dashboard!$F$4+Dashboard!B$10*SQRT(Dashboard!$F$4) * _xlfn.NORM.S.INV(RAND())</f>
        <v>-6.204993941806897E-3</v>
      </c>
      <c r="T43" s="59">
        <f ca="1">Dashboard!C$8* Dashboard!$F$4+Dashboard!C$10*SQRT(Dashboard!$F$4) * _xlfn.NORM.S.INV(RAND())</f>
        <v>-1.5724454557566176E-2</v>
      </c>
      <c r="U43" s="59">
        <f ca="1">Dashboard!D$8* Dashboard!$F$4+Dashboard!D$10*SQRT(Dashboard!$F$4) * _xlfn.NORM.S.INV(RAND())</f>
        <v>5.1643586940412128E-2</v>
      </c>
    </row>
    <row r="44" spans="1:21" x14ac:dyDescent="0.2">
      <c r="A44" s="50">
        <v>45993</v>
      </c>
      <c r="B44" s="56">
        <v>23710.86</v>
      </c>
      <c r="C44" s="56">
        <v>43354.83</v>
      </c>
      <c r="D44" s="59">
        <f t="shared" si="0"/>
        <v>5.1340167694587293E-3</v>
      </c>
      <c r="E44" s="59">
        <f t="shared" si="1"/>
        <v>2.2017155945209333E-3</v>
      </c>
      <c r="F44" s="59">
        <f t="shared" si="2"/>
        <v>3.6678661819898313E-3</v>
      </c>
      <c r="H44" s="49">
        <v>42</v>
      </c>
      <c r="I44" s="59">
        <f>Dashboard!$D$12 * SQRT($H44)</f>
        <v>0.33177623421044566</v>
      </c>
      <c r="J44" s="60">
        <f>(Dashboard!$D$13/SQRT(Dashboard!$F$4))* SQRT(H44)</f>
        <v>0.14843988020269802</v>
      </c>
      <c r="K44" s="59">
        <f>Dashboard!$D$14 * SQRT($H44)</f>
        <v>0.51979239984752779</v>
      </c>
      <c r="L44" s="59">
        <f>( (Dashboard!$B$13/SQRT(Dashboard!$F$4))*0.5 + (Dashboard!$C$13/SQRT(Dashboard!$F$4))*0.5 ) * SQRT(H44)</f>
        <v>0.15548681464500563</v>
      </c>
      <c r="N44" s="49">
        <f>Dashboard!$F$2*N43+(1-Dashboard!$F$2)*(D44)^2</f>
        <v>7.947879052284563E-5</v>
      </c>
      <c r="O44" s="49">
        <f>Dashboard!$F$2*O43+(1-Dashboard!$F$2)*(E44)^2</f>
        <v>7.9950552302609143E-5</v>
      </c>
      <c r="P44" s="49">
        <f>Dashboard!$F$2*P43+(1-Dashboard!$F$2)*(F44)^2</f>
        <v>7.0395172286361385E-5</v>
      </c>
      <c r="R44" s="49">
        <v>42</v>
      </c>
      <c r="S44" s="59">
        <f ca="1">Dashboard!B$8* Dashboard!$F$4+Dashboard!B$10*SQRT(Dashboard!$F$4) * _xlfn.NORM.S.INV(RAND())</f>
        <v>-4.4322793643056697E-3</v>
      </c>
      <c r="T44" s="59">
        <f ca="1">Dashboard!C$8* Dashboard!$F$4+Dashboard!C$10*SQRT(Dashboard!$F$4) * _xlfn.NORM.S.INV(RAND())</f>
        <v>-6.6623685713885798E-3</v>
      </c>
      <c r="U44" s="59">
        <f ca="1">Dashboard!D$8* Dashboard!$F$4+Dashboard!D$10*SQRT(Dashboard!$F$4) * _xlfn.NORM.S.INV(RAND())</f>
        <v>-3.317401544271479E-2</v>
      </c>
    </row>
    <row r="45" spans="1:21" x14ac:dyDescent="0.2">
      <c r="A45" s="50">
        <v>45994</v>
      </c>
      <c r="B45" s="56">
        <v>23693.71</v>
      </c>
      <c r="C45" s="56">
        <v>43380.639999999999</v>
      </c>
      <c r="D45" s="59">
        <f t="shared" si="0"/>
        <v>-7.2355896270018976E-4</v>
      </c>
      <c r="E45" s="59">
        <f t="shared" si="1"/>
        <v>5.9514292738166083E-4</v>
      </c>
      <c r="F45" s="59">
        <f t="shared" si="2"/>
        <v>-6.4208017659264465E-5</v>
      </c>
      <c r="H45" s="49">
        <v>43</v>
      </c>
      <c r="I45" s="59">
        <f>Dashboard!$D$12 * SQRT($H45)</f>
        <v>0.33570271685054537</v>
      </c>
      <c r="J45" s="60">
        <f>(Dashboard!$D$13/SQRT(Dashboard!$F$4))* SQRT(H45)</f>
        <v>0.15019662632437675</v>
      </c>
      <c r="K45" s="59">
        <f>Dashboard!$D$14 * SQRT($H45)</f>
        <v>0.52594400332001312</v>
      </c>
      <c r="L45" s="59">
        <f>( (Dashboard!$B$13/SQRT(Dashboard!$F$4))*0.5 + (Dashboard!$C$13/SQRT(Dashboard!$F$4))*0.5 ) * SQRT(H45)</f>
        <v>0.15732695934349772</v>
      </c>
      <c r="N45" s="49">
        <f>Dashboard!$F$2*N44+(1-Dashboard!$F$2)*(D45)^2</f>
        <v>7.4741475345825115E-5</v>
      </c>
      <c r="O45" s="49">
        <f>Dashboard!$F$2*O44+(1-Dashboard!$F$2)*(E45)^2</f>
        <v>7.5174770870693337E-5</v>
      </c>
      <c r="P45" s="49">
        <f>Dashboard!$F$2*P44+(1-Dashboard!$F$2)*(F45)^2</f>
        <v>6.6171709309351611E-5</v>
      </c>
      <c r="R45" s="49">
        <v>43</v>
      </c>
      <c r="S45" s="59">
        <f ca="1">Dashboard!B$8* Dashboard!$F$4+Dashboard!B$10*SQRT(Dashboard!$F$4) * _xlfn.NORM.S.INV(RAND())</f>
        <v>-3.11420985732224E-2</v>
      </c>
      <c r="T45" s="59">
        <f ca="1">Dashboard!C$8* Dashboard!$F$4+Dashboard!C$10*SQRT(Dashboard!$F$4) * _xlfn.NORM.S.INV(RAND())</f>
        <v>1.1059331341089013E-2</v>
      </c>
      <c r="U45" s="59">
        <f ca="1">Dashboard!D$8* Dashboard!$F$4+Dashboard!D$10*SQRT(Dashboard!$F$4) * _xlfn.NORM.S.INV(RAND())</f>
        <v>-3.0302330191467218E-3</v>
      </c>
    </row>
    <row r="46" spans="1:21" x14ac:dyDescent="0.2">
      <c r="A46" s="50">
        <v>45995</v>
      </c>
      <c r="B46" s="56">
        <v>23882.03</v>
      </c>
      <c r="C46" s="56">
        <v>43519.07</v>
      </c>
      <c r="D46" s="59">
        <f t="shared" si="0"/>
        <v>7.9166812144364634E-3</v>
      </c>
      <c r="E46" s="59">
        <f t="shared" si="1"/>
        <v>3.1859742016093358E-3</v>
      </c>
      <c r="F46" s="59">
        <f t="shared" si="2"/>
        <v>5.5513277080228999E-3</v>
      </c>
      <c r="H46" s="49">
        <v>44</v>
      </c>
      <c r="I46" s="59">
        <f>Dashboard!$D$12 * SQRT($H46)</f>
        <v>0.33958380205011313</v>
      </c>
      <c r="J46" s="60">
        <f>(Dashboard!$D$13/SQRT(Dashboard!$F$4))* SQRT(H46)</f>
        <v>0.15193306119425617</v>
      </c>
      <c r="K46" s="59">
        <f>Dashboard!$D$14 * SQRT($H46)</f>
        <v>0.53202448281757841</v>
      </c>
      <c r="L46" s="59">
        <f>( (Dashboard!$B$13/SQRT(Dashboard!$F$4))*0.5 + (Dashboard!$C$13/SQRT(Dashboard!$F$4))*0.5 ) * SQRT(H46)</f>
        <v>0.15914582854756459</v>
      </c>
      <c r="N46" s="49">
        <f>Dashboard!$F$2*N45+(1-Dashboard!$F$2)*(D46)^2</f>
        <v>7.4017417312136283E-5</v>
      </c>
      <c r="O46" s="49">
        <f>Dashboard!$F$2*O45+(1-Dashboard!$F$2)*(E46)^2</f>
        <v>7.1273310515250943E-5</v>
      </c>
      <c r="P46" s="49">
        <f>Dashboard!$F$2*P45+(1-Dashboard!$F$2)*(F46)^2</f>
        <v>6.4050441110102287E-5</v>
      </c>
      <c r="R46" s="49">
        <v>44</v>
      </c>
      <c r="S46" s="59">
        <f ca="1">Dashboard!B$8* Dashboard!$F$4+Dashboard!B$10*SQRT(Dashboard!$F$4) * _xlfn.NORM.S.INV(RAND())</f>
        <v>-1.2239672201625352E-2</v>
      </c>
      <c r="T46" s="59">
        <f ca="1">Dashboard!C$8* Dashboard!$F$4+Dashboard!C$10*SQRT(Dashboard!$F$4) * _xlfn.NORM.S.INV(RAND())</f>
        <v>2.7468430675781273E-2</v>
      </c>
      <c r="U46" s="59">
        <f ca="1">Dashboard!D$8* Dashboard!$F$4+Dashboard!D$10*SQRT(Dashboard!$F$4) * _xlfn.NORM.S.INV(RAND())</f>
        <v>3.850630996745779E-2</v>
      </c>
    </row>
    <row r="47" spans="1:21" x14ac:dyDescent="0.2">
      <c r="A47" s="50">
        <v>45996</v>
      </c>
      <c r="B47" s="56">
        <v>24028.14</v>
      </c>
      <c r="C47" s="56">
        <v>43432.77</v>
      </c>
      <c r="D47" s="59">
        <f t="shared" si="0"/>
        <v>6.0993502200455425E-3</v>
      </c>
      <c r="E47" s="59">
        <f t="shared" si="1"/>
        <v>-1.9850075245561125E-3</v>
      </c>
      <c r="F47" s="59">
        <f t="shared" si="2"/>
        <v>2.057171347744715E-3</v>
      </c>
      <c r="H47" s="49">
        <v>45</v>
      </c>
      <c r="I47" s="59">
        <f>Dashboard!$D$12 * SQRT($H47)</f>
        <v>0.34342102895539667</v>
      </c>
      <c r="J47" s="60">
        <f>(Dashboard!$D$13/SQRT(Dashboard!$F$4))* SQRT(H47)</f>
        <v>0.15364987344118028</v>
      </c>
      <c r="K47" s="59">
        <f>Dashboard!$D$14 * SQRT($H47)</f>
        <v>0.5380362497140333</v>
      </c>
      <c r="L47" s="59">
        <f>( (Dashboard!$B$13/SQRT(Dashboard!$F$4))*0.5 + (Dashboard!$C$13/SQRT(Dashboard!$F$4))*0.5 ) * SQRT(H47)</f>
        <v>0.16094414357755016</v>
      </c>
      <c r="N47" s="49">
        <f>Dashboard!$F$2*N46+(1-Dashboard!$F$2)*(D47)^2</f>
        <v>7.1808496659814283E-5</v>
      </c>
      <c r="O47" s="49">
        <f>Dashboard!$F$2*O46+(1-Dashboard!$F$2)*(E47)^2</f>
        <v>6.7233327176688545E-5</v>
      </c>
      <c r="P47" s="49">
        <f>Dashboard!$F$2*P46+(1-Dashboard!$F$2)*(F47)^2</f>
        <v>6.0461331880735055E-5</v>
      </c>
      <c r="R47" s="49">
        <v>45</v>
      </c>
      <c r="S47" s="59">
        <f ca="1">Dashboard!B$8* Dashboard!$F$4+Dashboard!B$10*SQRT(Dashboard!$F$4) * _xlfn.NORM.S.INV(RAND())</f>
        <v>-5.048256887043287E-2</v>
      </c>
      <c r="T47" s="59">
        <f ca="1">Dashboard!C$8* Dashboard!$F$4+Dashboard!C$10*SQRT(Dashboard!$F$4) * _xlfn.NORM.S.INV(RAND())</f>
        <v>3.9530247431137658E-2</v>
      </c>
      <c r="U47" s="59">
        <f ca="1">Dashboard!D$8* Dashboard!$F$4+Dashboard!D$10*SQRT(Dashboard!$F$4) * _xlfn.NORM.S.INV(RAND())</f>
        <v>-1.0004394518655094E-2</v>
      </c>
    </row>
    <row r="48" spans="1:21" x14ac:dyDescent="0.2">
      <c r="A48" s="50">
        <v>45999</v>
      </c>
      <c r="B48" s="56">
        <v>24046.01</v>
      </c>
      <c r="C48" s="56">
        <v>43432.82</v>
      </c>
      <c r="D48" s="59">
        <f t="shared" si="0"/>
        <v>7.434349155649811E-4</v>
      </c>
      <c r="E48" s="59">
        <f t="shared" si="1"/>
        <v>1.1512038310969094E-6</v>
      </c>
      <c r="F48" s="59">
        <f t="shared" si="2"/>
        <v>3.7229305969803899E-4</v>
      </c>
      <c r="H48" s="49">
        <v>46</v>
      </c>
      <c r="I48" s="59">
        <f>Dashboard!$D$12 * SQRT($H48)</f>
        <v>0.34721585165823915</v>
      </c>
      <c r="J48" s="60">
        <f>(Dashboard!$D$13/SQRT(Dashboard!$F$4))* SQRT(H48)</f>
        <v>0.15534771363983393</v>
      </c>
      <c r="K48" s="59">
        <f>Dashboard!$D$14 * SQRT($H48)</f>
        <v>0.54398158212881753</v>
      </c>
      <c r="L48" s="59">
        <f>( (Dashboard!$B$13/SQRT(Dashboard!$F$4))*0.5 + (Dashboard!$C$13/SQRT(Dashboard!$F$4))*0.5 ) * SQRT(H48)</f>
        <v>0.16272258589308161</v>
      </c>
      <c r="N48" s="49">
        <f>Dashboard!$F$2*N47+(1-Dashboard!$F$2)*(D48)^2</f>
        <v>6.7533148588646289E-5</v>
      </c>
      <c r="O48" s="49">
        <f>Dashboard!$F$2*O47+(1-Dashboard!$F$2)*(E48)^2</f>
        <v>6.3199327625603448E-5</v>
      </c>
      <c r="P48" s="49">
        <f>Dashboard!$F$2*P47+(1-Dashboard!$F$2)*(F48)^2</f>
        <v>5.6841968095228907E-5</v>
      </c>
      <c r="R48" s="49">
        <v>46</v>
      </c>
      <c r="S48" s="59">
        <f ca="1">Dashboard!B$8* Dashboard!$F$4+Dashboard!B$10*SQRT(Dashboard!$F$4) * _xlfn.NORM.S.INV(RAND())</f>
        <v>2.3661680355716398E-2</v>
      </c>
      <c r="T48" s="59">
        <f ca="1">Dashboard!C$8* Dashboard!$F$4+Dashboard!C$10*SQRT(Dashboard!$F$4) * _xlfn.NORM.S.INV(RAND())</f>
        <v>-9.9350746907296318E-3</v>
      </c>
      <c r="U48" s="59">
        <f ca="1">Dashboard!D$8* Dashboard!$F$4+Dashboard!D$10*SQRT(Dashboard!$F$4) * _xlfn.NORM.S.INV(RAND())</f>
        <v>-7.510591701245696E-2</v>
      </c>
    </row>
    <row r="49" spans="1:21" x14ac:dyDescent="0.2">
      <c r="A49" s="50">
        <v>46000</v>
      </c>
      <c r="B49" s="56">
        <v>24162.65</v>
      </c>
      <c r="C49" s="56">
        <v>43574.5</v>
      </c>
      <c r="D49" s="59">
        <f t="shared" si="0"/>
        <v>4.8389740598568116E-3</v>
      </c>
      <c r="E49" s="59">
        <f t="shared" si="1"/>
        <v>3.2567403576092792E-3</v>
      </c>
      <c r="F49" s="59">
        <f t="shared" si="2"/>
        <v>4.0478572087330449E-3</v>
      </c>
      <c r="H49" s="49">
        <v>47</v>
      </c>
      <c r="I49" s="59">
        <f>Dashboard!$D$12 * SQRT($H49)</f>
        <v>0.35096964563438998</v>
      </c>
      <c r="J49" s="60">
        <f>(Dashboard!$D$13/SQRT(Dashboard!$F$4))* SQRT(H49)</f>
        <v>0.15702719719130495</v>
      </c>
      <c r="K49" s="59">
        <f>Dashboard!$D$14 * SQRT($H49)</f>
        <v>0.54986263501387433</v>
      </c>
      <c r="L49" s="59">
        <f>( (Dashboard!$B$13/SQRT(Dashboard!$F$4))*0.5 + (Dashboard!$C$13/SQRT(Dashboard!$F$4))*0.5 ) * SQRT(H49)</f>
        <v>0.16448180011038172</v>
      </c>
      <c r="N49" s="49">
        <f>Dashboard!$F$2*N48+(1-Dashboard!$F$2)*(D49)^2</f>
        <v>6.4886099870445534E-5</v>
      </c>
      <c r="O49" s="49">
        <f>Dashboard!$F$2*O48+(1-Dashboard!$F$2)*(E49)^2</f>
        <v>6.0043749433480098E-5</v>
      </c>
      <c r="P49" s="49">
        <f>Dashboard!$F$2*P48+(1-Dashboard!$F$2)*(F49)^2</f>
        <v>5.4414558888452693E-5</v>
      </c>
      <c r="R49" s="49">
        <v>47</v>
      </c>
      <c r="S49" s="59">
        <f ca="1">Dashboard!B$8* Dashboard!$F$4+Dashboard!B$10*SQRT(Dashboard!$F$4) * _xlfn.NORM.S.INV(RAND())</f>
        <v>-4.0334493243117893E-2</v>
      </c>
      <c r="T49" s="59">
        <f ca="1">Dashboard!C$8* Dashboard!$F$4+Dashboard!C$10*SQRT(Dashboard!$F$4) * _xlfn.NORM.S.INV(RAND())</f>
        <v>-6.222448977482431E-2</v>
      </c>
      <c r="U49" s="59">
        <f ca="1">Dashboard!D$8* Dashboard!$F$4+Dashboard!D$10*SQRT(Dashboard!$F$4) * _xlfn.NORM.S.INV(RAND())</f>
        <v>-9.9019142620668265E-4</v>
      </c>
    </row>
    <row r="50" spans="1:21" x14ac:dyDescent="0.2">
      <c r="A50" s="50">
        <v>46001</v>
      </c>
      <c r="B50" s="56">
        <v>24130.14</v>
      </c>
      <c r="C50" s="56">
        <v>43465.34</v>
      </c>
      <c r="D50" s="59">
        <f t="shared" si="0"/>
        <v>-1.3463709556208459E-3</v>
      </c>
      <c r="E50" s="59">
        <f t="shared" si="1"/>
        <v>-2.5082779846859978E-3</v>
      </c>
      <c r="F50" s="59">
        <f t="shared" si="2"/>
        <v>-1.9273244701534218E-3</v>
      </c>
      <c r="H50" s="49">
        <v>48</v>
      </c>
      <c r="I50" s="59">
        <f>Dashboard!$D$12 * SQRT($H50)</f>
        <v>0.3546837135684443</v>
      </c>
      <c r="J50" s="60">
        <f>(Dashboard!$D$13/SQRT(Dashboard!$F$4))* SQRT(H50)</f>
        <v>0.15868890692921825</v>
      </c>
      <c r="K50" s="59">
        <f>Dashboard!$D$14 * SQRT($H50)</f>
        <v>0.55568144927955887</v>
      </c>
      <c r="L50" s="59">
        <f>( (Dashboard!$B$13/SQRT(Dashboard!$F$4))*0.5 + (Dashboard!$C$13/SQRT(Dashboard!$F$4))*0.5 ) * SQRT(H50)</f>
        <v>0.16622239673212455</v>
      </c>
      <c r="N50" s="49">
        <f>Dashboard!$F$2*N49+(1-Dashboard!$F$2)*(D50)^2</f>
        <v>6.1101696763227162E-5</v>
      </c>
      <c r="O50" s="49">
        <f>Dashboard!$F$2*O49+(1-Dashboard!$F$2)*(E50)^2</f>
        <v>5.6818611974378911E-5</v>
      </c>
      <c r="P50" s="49">
        <f>Dashboard!$F$2*P49+(1-Dashboard!$F$2)*(F50)^2</f>
        <v>5.1372560131940656E-5</v>
      </c>
      <c r="R50" s="49">
        <v>48</v>
      </c>
      <c r="S50" s="59">
        <f ca="1">Dashboard!B$8* Dashboard!$F$4+Dashboard!B$10*SQRT(Dashboard!$F$4) * _xlfn.NORM.S.INV(RAND())</f>
        <v>4.2462762703264247E-3</v>
      </c>
      <c r="T50" s="59">
        <f ca="1">Dashboard!C$8* Dashboard!$F$4+Dashboard!C$10*SQRT(Dashboard!$F$4) * _xlfn.NORM.S.INV(RAND())</f>
        <v>-9.1246609396450525E-3</v>
      </c>
      <c r="U50" s="59">
        <f ca="1">Dashboard!D$8* Dashboard!$F$4+Dashboard!D$10*SQRT(Dashboard!$F$4) * _xlfn.NORM.S.INV(RAND())</f>
        <v>-2.1740912252277273E-2</v>
      </c>
    </row>
    <row r="51" spans="1:21" x14ac:dyDescent="0.2">
      <c r="A51" s="50">
        <v>46002</v>
      </c>
      <c r="B51" s="56">
        <v>24294.61</v>
      </c>
      <c r="C51" s="56">
        <v>43702.01</v>
      </c>
      <c r="D51" s="59">
        <f t="shared" si="0"/>
        <v>6.7928335168327475E-3</v>
      </c>
      <c r="E51" s="59">
        <f t="shared" si="1"/>
        <v>5.430257580867911E-3</v>
      </c>
      <c r="F51" s="59">
        <f t="shared" si="2"/>
        <v>6.1115455488503292E-3</v>
      </c>
      <c r="H51" s="49">
        <v>49</v>
      </c>
      <c r="I51" s="59">
        <f>Dashboard!$D$12 * SQRT($H51)</f>
        <v>0.35835929063535554</v>
      </c>
      <c r="J51" s="60">
        <f>(Dashboard!$D$13/SQRT(Dashboard!$F$4))* SQRT(H51)</f>
        <v>0.16033339548273537</v>
      </c>
      <c r="K51" s="59">
        <f>Dashboard!$D$14 * SQRT($H51)</f>
        <v>0.56143996006916075</v>
      </c>
      <c r="L51" s="59">
        <f>( (Dashboard!$B$13/SQRT(Dashboard!$F$4))*0.5 + (Dashboard!$C$13/SQRT(Dashboard!$F$4))*0.5 ) * SQRT(H51)</f>
        <v>0.16794495462261455</v>
      </c>
      <c r="N51" s="49">
        <f>Dashboard!$F$2*N50+(1-Dashboard!$F$2)*(D51)^2</f>
        <v>6.0204150188677909E-5</v>
      </c>
      <c r="O51" s="49">
        <f>Dashboard!$F$2*O50+(1-Dashboard!$F$2)*(E51)^2</f>
        <v>5.517875709959058E-5</v>
      </c>
      <c r="P51" s="49">
        <f>Dashboard!$F$2*P50+(1-Dashboard!$F$2)*(F51)^2</f>
        <v>5.0531265863764551E-5</v>
      </c>
      <c r="R51" s="49">
        <v>49</v>
      </c>
      <c r="S51" s="59">
        <f ca="1">Dashboard!B$8* Dashboard!$F$4+Dashboard!B$10*SQRT(Dashboard!$F$4) * _xlfn.NORM.S.INV(RAND())</f>
        <v>-6.3553778579677443E-3</v>
      </c>
      <c r="T51" s="59">
        <f ca="1">Dashboard!C$8* Dashboard!$F$4+Dashboard!C$10*SQRT(Dashboard!$F$4) * _xlfn.NORM.S.INV(RAND())</f>
        <v>2.6301699038506734E-2</v>
      </c>
      <c r="U51" s="59">
        <f ca="1">Dashboard!D$8* Dashboard!$F$4+Dashboard!D$10*SQRT(Dashboard!$F$4) * _xlfn.NORM.S.INV(RAND())</f>
        <v>-2.3495446846653625E-2</v>
      </c>
    </row>
    <row r="52" spans="1:21" x14ac:dyDescent="0.2">
      <c r="A52" s="50">
        <v>46003</v>
      </c>
      <c r="B52" s="56">
        <v>24186.49</v>
      </c>
      <c r="C52" s="56">
        <v>43513.95</v>
      </c>
      <c r="D52" s="59">
        <f t="shared" si="0"/>
        <v>-4.460302231077534E-3</v>
      </c>
      <c r="E52" s="59">
        <f t="shared" si="1"/>
        <v>-4.3125201272543896E-3</v>
      </c>
      <c r="F52" s="59">
        <f t="shared" si="2"/>
        <v>-4.3864111791659614E-3</v>
      </c>
      <c r="H52" s="49">
        <v>50</v>
      </c>
      <c r="I52" s="59">
        <f>Dashboard!$D$12 * SQRT($H52)</f>
        <v>0.36199754929922967</v>
      </c>
      <c r="J52" s="60">
        <f>(Dashboard!$D$13/SQRT(Dashboard!$F$4))* SQRT(H52)</f>
        <v>0.16196118742358107</v>
      </c>
      <c r="K52" s="59">
        <f>Dashboard!$D$14 * SQRT($H52)</f>
        <v>0.56714000427715439</v>
      </c>
      <c r="L52" s="59">
        <f>( (Dashboard!$B$13/SQRT(Dashboard!$F$4))*0.5 + (Dashboard!$C$13/SQRT(Dashboard!$F$4))*0.5 ) * SQRT(H52)</f>
        <v>0.16965002325673967</v>
      </c>
      <c r="N52" s="49">
        <f>Dashboard!$F$2*N51+(1-Dashboard!$F$2)*(D52)^2</f>
        <v>5.7785558936910546E-5</v>
      </c>
      <c r="O52" s="49">
        <f>Dashboard!$F$2*O51+(1-Dashboard!$F$2)*(E52)^2</f>
        <v>5.2983901464493599E-5</v>
      </c>
      <c r="P52" s="49">
        <f>Dashboard!$F$2*P51+(1-Dashboard!$F$2)*(F52)^2</f>
        <v>4.8653826093901404E-5</v>
      </c>
      <c r="R52" s="49">
        <v>50</v>
      </c>
      <c r="S52" s="59">
        <f ca="1">Dashboard!B$8* Dashboard!$F$4+Dashboard!B$10*SQRT(Dashboard!$F$4) * _xlfn.NORM.S.INV(RAND())</f>
        <v>-7.7655488857340691E-3</v>
      </c>
      <c r="T52" s="59">
        <f ca="1">Dashboard!C$8* Dashboard!$F$4+Dashboard!C$10*SQRT(Dashboard!$F$4) * _xlfn.NORM.S.INV(RAND())</f>
        <v>2.0709571401822828E-2</v>
      </c>
      <c r="U52" s="59">
        <f ca="1">Dashboard!D$8* Dashboard!$F$4+Dashboard!D$10*SQRT(Dashboard!$F$4) * _xlfn.NORM.S.INV(RAND())</f>
        <v>-9.6463181728673783E-2</v>
      </c>
    </row>
    <row r="53" spans="1:21" x14ac:dyDescent="0.2">
      <c r="A53" s="50">
        <v>46006</v>
      </c>
      <c r="B53" s="56">
        <v>24229.91</v>
      </c>
      <c r="C53" s="56">
        <v>44116.959999999999</v>
      </c>
      <c r="D53" s="59">
        <f t="shared" si="0"/>
        <v>1.7936076056988262E-3</v>
      </c>
      <c r="E53" s="59">
        <f t="shared" si="1"/>
        <v>1.3762712679667005E-2</v>
      </c>
      <c r="F53" s="59">
        <f t="shared" si="2"/>
        <v>7.7781601426829151E-3</v>
      </c>
      <c r="H53" s="49">
        <v>51</v>
      </c>
      <c r="I53" s="59">
        <f>Dashboard!$D$12 * SQRT($H53)</f>
        <v>0.36559960368225397</v>
      </c>
      <c r="J53" s="60">
        <f>(Dashboard!$D$13/SQRT(Dashboard!$F$4))* SQRT(H53)</f>
        <v>0.16357278122074431</v>
      </c>
      <c r="K53" s="59">
        <f>Dashboard!$D$14 * SQRT($H53)</f>
        <v>0.57278332739398108</v>
      </c>
      <c r="L53" s="59">
        <f>( (Dashboard!$B$13/SQRT(Dashboard!$F$4))*0.5 + (Dashboard!$C$13/SQRT(Dashboard!$F$4))*0.5 ) * SQRT(H53)</f>
        <v>0.17133812476746837</v>
      </c>
      <c r="N53" s="49">
        <f>Dashboard!$F$2*N52+(1-Dashboard!$F$2)*(D53)^2</f>
        <v>5.451144709528915E-5</v>
      </c>
      <c r="O53" s="49">
        <f>Dashboard!$F$2*O52+(1-Dashboard!$F$2)*(E53)^2</f>
        <v>6.1169602994808013E-5</v>
      </c>
      <c r="P53" s="49">
        <f>Dashboard!$F$2*P52+(1-Dashboard!$F$2)*(F53)^2</f>
        <v>4.9364583040580588E-5</v>
      </c>
      <c r="R53" s="49">
        <v>51</v>
      </c>
      <c r="S53" s="59">
        <f ca="1">Dashboard!B$8* Dashboard!$F$4+Dashboard!B$10*SQRT(Dashboard!$F$4) * _xlfn.NORM.S.INV(RAND())</f>
        <v>4.9356046234223135E-2</v>
      </c>
      <c r="T53" s="59">
        <f ca="1">Dashboard!C$8* Dashboard!$F$4+Dashboard!C$10*SQRT(Dashboard!$F$4) * _xlfn.NORM.S.INV(RAND())</f>
        <v>-1.0488899810476938E-2</v>
      </c>
      <c r="U53" s="59">
        <f ca="1">Dashboard!D$8* Dashboard!$F$4+Dashboard!D$10*SQRT(Dashboard!$F$4) * _xlfn.NORM.S.INV(RAND())</f>
        <v>-3.0329001508981979E-2</v>
      </c>
    </row>
    <row r="54" spans="1:21" x14ac:dyDescent="0.2">
      <c r="A54" s="50">
        <v>46007</v>
      </c>
      <c r="B54" s="56">
        <v>24076.87</v>
      </c>
      <c r="C54" s="56">
        <v>43990.48</v>
      </c>
      <c r="D54" s="59">
        <f t="shared" si="0"/>
        <v>-6.3361918145609904E-3</v>
      </c>
      <c r="E54" s="59">
        <f t="shared" si="1"/>
        <v>-2.8710421476318354E-3</v>
      </c>
      <c r="F54" s="59">
        <f t="shared" si="2"/>
        <v>-4.6036169810964129E-3</v>
      </c>
      <c r="H54" s="49">
        <v>52</v>
      </c>
      <c r="I54" s="59">
        <f>Dashboard!$D$12 * SQRT($H54)</f>
        <v>0.36916651354990759</v>
      </c>
      <c r="J54" s="60">
        <f>(Dashboard!$D$13/SQRT(Dashboard!$F$4))* SQRT(H54)</f>
        <v>0.16516865102349962</v>
      </c>
      <c r="K54" s="59">
        <f>Dashboard!$D$14 * SQRT($H54)</f>
        <v>0.57837158974966107</v>
      </c>
      <c r="L54" s="59">
        <f>( (Dashboard!$B$13/SQRT(Dashboard!$F$4))*0.5 + (Dashboard!$C$13/SQRT(Dashboard!$F$4))*0.5 ) * SQRT(H54)</f>
        <v>0.17300975581351705</v>
      </c>
      <c r="N54" s="49">
        <f>Dashboard!$F$2*N53+(1-Dashboard!$F$2)*(D54)^2</f>
        <v>5.3649599872226383E-5</v>
      </c>
      <c r="O54" s="49">
        <f>Dashboard!$F$2*O53+(1-Dashboard!$F$2)*(E54)^2</f>
        <v>5.7993999795928236E-5</v>
      </c>
      <c r="P54" s="49">
        <f>Dashboard!$F$2*P53+(1-Dashboard!$F$2)*(F54)^2</f>
        <v>4.7674305416664112E-5</v>
      </c>
      <c r="R54" s="49">
        <v>52</v>
      </c>
      <c r="S54" s="59">
        <f ca="1">Dashboard!B$8* Dashboard!$F$4+Dashboard!B$10*SQRT(Dashboard!$F$4) * _xlfn.NORM.S.INV(RAND())</f>
        <v>-8.7550816697717204E-3</v>
      </c>
      <c r="T54" s="59">
        <f ca="1">Dashboard!C$8* Dashboard!$F$4+Dashboard!C$10*SQRT(Dashboard!$F$4) * _xlfn.NORM.S.INV(RAND())</f>
        <v>-1.1765004667055105E-2</v>
      </c>
      <c r="U54" s="59">
        <f ca="1">Dashboard!D$8* Dashboard!$F$4+Dashboard!D$10*SQRT(Dashboard!$F$4) * _xlfn.NORM.S.INV(RAND())</f>
        <v>2.2251507833359465E-2</v>
      </c>
    </row>
    <row r="55" spans="1:21" x14ac:dyDescent="0.2">
      <c r="A55" s="50">
        <v>46008</v>
      </c>
      <c r="B55" s="56">
        <v>23960.59</v>
      </c>
      <c r="C55" s="56">
        <v>44099.48</v>
      </c>
      <c r="D55" s="59">
        <f t="shared" si="0"/>
        <v>-4.8412312853128598E-3</v>
      </c>
      <c r="E55" s="59">
        <f t="shared" si="1"/>
        <v>2.4747441281523772E-3</v>
      </c>
      <c r="F55" s="59">
        <f t="shared" si="2"/>
        <v>-1.1832435785802413E-3</v>
      </c>
      <c r="H55" s="49">
        <v>53</v>
      </c>
      <c r="I55" s="59">
        <f>Dashboard!$D$12 * SQRT($H55)</f>
        <v>0.37269928795285762</v>
      </c>
      <c r="J55" s="60">
        <f>(Dashboard!$D$13/SQRT(Dashboard!$F$4))* SQRT(H55)</f>
        <v>0.16674924829082657</v>
      </c>
      <c r="K55" s="59">
        <f>Dashboard!$D$14 * SQRT($H55)</f>
        <v>0.58390637221953667</v>
      </c>
      <c r="L55" s="59">
        <f>( (Dashboard!$B$13/SQRT(Dashboard!$F$4))*0.5 + (Dashboard!$C$13/SQRT(Dashboard!$F$4))*0.5 ) * SQRT(H55)</f>
        <v>0.17466538928612343</v>
      </c>
      <c r="N55" s="49">
        <f>Dashboard!$F$2*N54+(1-Dashboard!$F$2)*(D55)^2</f>
        <v>5.183687510136632E-5</v>
      </c>
      <c r="O55" s="49">
        <f>Dashboard!$F$2*O54+(1-Dashboard!$F$2)*(E55)^2</f>
        <v>5.4881821318162025E-5</v>
      </c>
      <c r="P55" s="49">
        <f>Dashboard!$F$2*P54+(1-Dashboard!$F$2)*(F55)^2</f>
        <v>4.4897851013639347E-5</v>
      </c>
      <c r="R55" s="49">
        <v>53</v>
      </c>
      <c r="S55" s="59">
        <f ca="1">Dashboard!B$8* Dashboard!$F$4+Dashboard!B$10*SQRT(Dashboard!$F$4) * _xlfn.NORM.S.INV(RAND())</f>
        <v>1.0990847651073639E-2</v>
      </c>
      <c r="T55" s="59">
        <f ca="1">Dashboard!C$8* Dashboard!$F$4+Dashboard!C$10*SQRT(Dashboard!$F$4) * _xlfn.NORM.S.INV(RAND())</f>
        <v>2.0138092477243364E-3</v>
      </c>
      <c r="U55" s="59">
        <f ca="1">Dashboard!D$8* Dashboard!$F$4+Dashboard!D$10*SQRT(Dashboard!$F$4) * _xlfn.NORM.S.INV(RAND())</f>
        <v>-4.3880595388600001E-2</v>
      </c>
    </row>
    <row r="56" spans="1:21" x14ac:dyDescent="0.2">
      <c r="A56" s="50">
        <v>46009</v>
      </c>
      <c r="B56" s="56">
        <v>24199.5</v>
      </c>
      <c r="C56" s="56">
        <v>44463.28</v>
      </c>
      <c r="D56" s="59">
        <f t="shared" si="0"/>
        <v>9.9215744741409026E-3</v>
      </c>
      <c r="E56" s="59">
        <f t="shared" si="1"/>
        <v>8.2156889938453485E-3</v>
      </c>
      <c r="F56" s="59">
        <f t="shared" si="2"/>
        <v>9.0686317339931256E-3</v>
      </c>
      <c r="H56" s="49">
        <v>54</v>
      </c>
      <c r="I56" s="59">
        <f>Dashboard!$D$12 * SQRT($H56)</f>
        <v>0.37619888856101114</v>
      </c>
      <c r="J56" s="60">
        <f>(Dashboard!$D$13/SQRT(Dashboard!$F$4))* SQRT(H56)</f>
        <v>0.16831500328309673</v>
      </c>
      <c r="K56" s="59">
        <f>Dashboard!$D$14 * SQRT($H56)</f>
        <v>0.58938918144771701</v>
      </c>
      <c r="L56" s="59">
        <f>( (Dashboard!$B$13/SQRT(Dashboard!$F$4))*0.5 + (Dashboard!$C$13/SQRT(Dashboard!$F$4))*0.5 ) * SQRT(H56)</f>
        <v>0.17630547587154885</v>
      </c>
      <c r="N56" s="49">
        <f>Dashboard!$F$2*N55+(1-Dashboard!$F$2)*(D56)^2</f>
        <v>5.4632920998039804E-5</v>
      </c>
      <c r="O56" s="49">
        <f>Dashboard!$F$2*O55+(1-Dashboard!$F$2)*(E56)^2</f>
        <v>5.5638764777687798E-5</v>
      </c>
      <c r="P56" s="49">
        <f>Dashboard!$F$2*P55+(1-Dashboard!$F$2)*(F56)^2</f>
        <v>4.7138384844428218E-5</v>
      </c>
      <c r="R56" s="49">
        <v>54</v>
      </c>
      <c r="S56" s="59">
        <f ca="1">Dashboard!B$8* Dashboard!$F$4+Dashboard!B$10*SQRT(Dashboard!$F$4) * _xlfn.NORM.S.INV(RAND())</f>
        <v>2.7776909713857184E-2</v>
      </c>
      <c r="T56" s="59">
        <f ca="1">Dashboard!C$8* Dashboard!$F$4+Dashboard!C$10*SQRT(Dashboard!$F$4) * _xlfn.NORM.S.INV(RAND())</f>
        <v>-3.6645560310430501E-2</v>
      </c>
      <c r="U56" s="59">
        <f ca="1">Dashboard!D$8* Dashboard!$F$4+Dashboard!D$10*SQRT(Dashboard!$F$4) * _xlfn.NORM.S.INV(RAND())</f>
        <v>5.8948703541880356E-3</v>
      </c>
    </row>
    <row r="57" spans="1:21" x14ac:dyDescent="0.2">
      <c r="A57" s="50">
        <v>46010</v>
      </c>
      <c r="B57" s="56">
        <v>24288.400000000001</v>
      </c>
      <c r="C57" s="56">
        <v>44757.55</v>
      </c>
      <c r="D57" s="59">
        <f t="shared" si="0"/>
        <v>3.666898323643196E-3</v>
      </c>
      <c r="E57" s="59">
        <f t="shared" si="1"/>
        <v>6.5964655799671569E-3</v>
      </c>
      <c r="F57" s="59">
        <f t="shared" si="2"/>
        <v>5.1316819518051763E-3</v>
      </c>
      <c r="H57" s="49">
        <v>55</v>
      </c>
      <c r="I57" s="59">
        <f>Dashboard!$D$12 * SQRT($H57)</f>
        <v>0.37966623272094269</v>
      </c>
      <c r="J57" s="60">
        <f>(Dashboard!$D$13/SQRT(Dashboard!$F$4))* SQRT(H57)</f>
        <v>0.16986632642999608</v>
      </c>
      <c r="K57" s="59">
        <f>Dashboard!$D$14 * SQRT($H57)</f>
        <v>0.59482145463713709</v>
      </c>
      <c r="L57" s="59">
        <f>( (Dashboard!$B$13/SQRT(Dashboard!$F$4))*0.5 + (Dashboard!$C$13/SQRT(Dashboard!$F$4))*0.5 ) * SQRT(H57)</f>
        <v>0.17793044548394055</v>
      </c>
      <c r="N57" s="49">
        <f>Dashboard!$F$2*N56+(1-Dashboard!$F$2)*(D57)^2</f>
        <v>5.2161714337113649E-5</v>
      </c>
      <c r="O57" s="49">
        <f>Dashboard!$F$2*O56+(1-Dashboard!$F$2)*(E57)^2</f>
        <v>5.4911240379888015E-5</v>
      </c>
      <c r="P57" s="49">
        <f>Dashboard!$F$2*P56+(1-Dashboard!$F$2)*(F57)^2</f>
        <v>4.5890131333031503E-5</v>
      </c>
      <c r="R57" s="49">
        <v>55</v>
      </c>
      <c r="S57" s="59">
        <f ca="1">Dashboard!B$8* Dashboard!$F$4+Dashboard!B$10*SQRT(Dashboard!$F$4) * _xlfn.NORM.S.INV(RAND())</f>
        <v>-3.8447960881496053E-2</v>
      </c>
      <c r="T57" s="59">
        <f ca="1">Dashboard!C$8* Dashboard!$F$4+Dashboard!C$10*SQRT(Dashboard!$F$4) * _xlfn.NORM.S.INV(RAND())</f>
        <v>-3.0109904415519872E-2</v>
      </c>
      <c r="U57" s="59">
        <f ca="1">Dashboard!D$8* Dashboard!$F$4+Dashboard!D$10*SQRT(Dashboard!$F$4) * _xlfn.NORM.S.INV(RAND())</f>
        <v>-2.7611795292050859E-3</v>
      </c>
    </row>
    <row r="58" spans="1:21" x14ac:dyDescent="0.2">
      <c r="A58" s="50">
        <v>46013</v>
      </c>
      <c r="B58" s="56">
        <v>24283.97</v>
      </c>
      <c r="C58" s="56">
        <v>44593.599999999999</v>
      </c>
      <c r="D58" s="59">
        <f t="shared" si="0"/>
        <v>-1.8240822971094401E-4</v>
      </c>
      <c r="E58" s="59">
        <f t="shared" si="1"/>
        <v>-3.6697946024917293E-3</v>
      </c>
      <c r="F58" s="59">
        <f t="shared" si="2"/>
        <v>-1.9261014161013367E-3</v>
      </c>
      <c r="H58" s="49">
        <v>56</v>
      </c>
      <c r="I58" s="59">
        <f>Dashboard!$D$12 * SQRT($H58)</f>
        <v>0.38310219626424225</v>
      </c>
      <c r="J58" s="60">
        <f>(Dashboard!$D$13/SQRT(Dashboard!$F$4))* SQRT(H58)</f>
        <v>0.17140360958700698</v>
      </c>
      <c r="K58" s="59">
        <f>Dashboard!$D$14 * SQRT($H58)</f>
        <v>0.60020456394938348</v>
      </c>
      <c r="L58" s="59">
        <f>( (Dashboard!$B$13/SQRT(Dashboard!$F$4))*0.5 + (Dashboard!$C$13/SQRT(Dashboard!$F$4))*0.5 ) * SQRT(H58)</f>
        <v>0.1795407085814629</v>
      </c>
      <c r="N58" s="49">
        <f>Dashboard!$F$2*N57+(1-Dashboard!$F$2)*(D58)^2</f>
        <v>4.9034007842622803E-5</v>
      </c>
      <c r="O58" s="49">
        <f>Dashboard!$F$2*O57+(1-Dashboard!$F$2)*(E58)^2</f>
        <v>5.2424609502563375E-5</v>
      </c>
      <c r="P58" s="49">
        <f>Dashboard!$F$2*P57+(1-Dashboard!$F$2)*(F58)^2</f>
        <v>4.3359315452956064E-5</v>
      </c>
      <c r="R58" s="49">
        <v>56</v>
      </c>
      <c r="S58" s="59">
        <f ca="1">Dashboard!B$8* Dashboard!$F$4+Dashboard!B$10*SQRT(Dashboard!$F$4) * _xlfn.NORM.S.INV(RAND())</f>
        <v>4.865820595622844E-2</v>
      </c>
      <c r="T58" s="59">
        <f ca="1">Dashboard!C$8* Dashboard!$F$4+Dashboard!C$10*SQRT(Dashboard!$F$4) * _xlfn.NORM.S.INV(RAND())</f>
        <v>1.391432845791634E-2</v>
      </c>
      <c r="U58" s="59">
        <f ca="1">Dashboard!D$8* Dashboard!$F$4+Dashboard!D$10*SQRT(Dashboard!$F$4) * _xlfn.NORM.S.INV(RAND())</f>
        <v>6.5118855152701619E-2</v>
      </c>
    </row>
    <row r="59" spans="1:21" x14ac:dyDescent="0.2">
      <c r="A59" s="50">
        <v>46014</v>
      </c>
      <c r="B59" s="56">
        <v>24340.06</v>
      </c>
      <c r="C59" s="56">
        <v>44606.58</v>
      </c>
      <c r="D59" s="59">
        <f t="shared" si="0"/>
        <v>2.3070907483002234E-3</v>
      </c>
      <c r="E59" s="59">
        <f t="shared" si="1"/>
        <v>2.9103080490686974E-4</v>
      </c>
      <c r="F59" s="59">
        <f t="shared" si="2"/>
        <v>1.2990607766035465E-3</v>
      </c>
      <c r="H59" s="49">
        <v>57</v>
      </c>
      <c r="I59" s="59">
        <f>Dashboard!$D$12 * SQRT($H59)</f>
        <v>0.38650761609114376</v>
      </c>
      <c r="J59" s="60">
        <f>(Dashboard!$D$13/SQRT(Dashboard!$F$4))* SQRT(H59)</f>
        <v>0.17292722719134845</v>
      </c>
      <c r="K59" s="59">
        <f>Dashboard!$D$14 * SQRT($H59)</f>
        <v>0.60553982055245492</v>
      </c>
      <c r="L59" s="59">
        <f>( (Dashboard!$B$13/SQRT(Dashboard!$F$4))*0.5 + (Dashboard!$C$13/SQRT(Dashboard!$F$4))*0.5 ) * SQRT(H59)</f>
        <v>0.18113665737711412</v>
      </c>
      <c r="N59" s="49">
        <f>Dashboard!$F$2*N58+(1-Dashboard!$F$2)*(D59)^2</f>
        <v>4.6411327435318978E-5</v>
      </c>
      <c r="O59" s="49">
        <f>Dashboard!$F$2*O58+(1-Dashboard!$F$2)*(E59)^2</f>
        <v>4.9284214868173849E-5</v>
      </c>
      <c r="P59" s="49">
        <f>Dashboard!$F$2*P58+(1-Dashboard!$F$2)*(F59)^2</f>
        <v>4.0859010059857288E-5</v>
      </c>
      <c r="R59" s="49">
        <v>57</v>
      </c>
      <c r="S59" s="59">
        <f ca="1">Dashboard!B$8* Dashboard!$F$4+Dashboard!B$10*SQRT(Dashboard!$F$4) * _xlfn.NORM.S.INV(RAND())</f>
        <v>-1.7886605180035764E-2</v>
      </c>
      <c r="T59" s="59">
        <f ca="1">Dashboard!C$8* Dashboard!$F$4+Dashboard!C$10*SQRT(Dashboard!$F$4) * _xlfn.NORM.S.INV(RAND())</f>
        <v>-3.6869809826094668E-2</v>
      </c>
      <c r="U59" s="59">
        <f ca="1">Dashboard!D$8* Dashboard!$F$4+Dashboard!D$10*SQRT(Dashboard!$F$4) * _xlfn.NORM.S.INV(RAND())</f>
        <v>-6.358003593737698E-3</v>
      </c>
    </row>
    <row r="60" spans="1:21" x14ac:dyDescent="0.2">
      <c r="A60" s="50">
        <v>46020</v>
      </c>
      <c r="B60" s="56">
        <v>24351.119999999999</v>
      </c>
      <c r="C60" s="56">
        <v>44436.01</v>
      </c>
      <c r="D60" s="59">
        <f t="shared" si="0"/>
        <v>4.5429172964027312E-4</v>
      </c>
      <c r="E60" s="59">
        <f t="shared" si="1"/>
        <v>-3.8312050140806137E-3</v>
      </c>
      <c r="F60" s="59">
        <f t="shared" si="2"/>
        <v>-1.6884566422201703E-3</v>
      </c>
      <c r="H60" s="49">
        <v>58</v>
      </c>
      <c r="I60" s="59">
        <f>Dashboard!$D$12 * SQRT($H60)</f>
        <v>0.38988329255102983</v>
      </c>
      <c r="J60" s="60">
        <f>(Dashboard!$D$13/SQRT(Dashboard!$F$4))* SQRT(H60)</f>
        <v>0.17443753732703685</v>
      </c>
      <c r="K60" s="59">
        <f>Dashboard!$D$14 * SQRT($H60)</f>
        <v>0.61082847835028875</v>
      </c>
      <c r="L60" s="59">
        <f>( (Dashboard!$B$13/SQRT(Dashboard!$F$4))*0.5 + (Dashboard!$C$13/SQRT(Dashboard!$F$4))*0.5 ) * SQRT(H60)</f>
        <v>0.18271866695434891</v>
      </c>
      <c r="N60" s="49">
        <f>Dashboard!$F$2*N59+(1-Dashboard!$F$2)*(D60)^2</f>
        <v>4.3639030647737007E-5</v>
      </c>
      <c r="O60" s="49">
        <f>Dashboard!$F$2*O59+(1-Dashboard!$F$2)*(E60)^2</f>
        <v>4.7207849887678406E-5</v>
      </c>
      <c r="P60" s="49">
        <f>Dashboard!$F$2*P59+(1-Dashboard!$F$2)*(F60)^2</f>
        <v>3.8578522606225292E-5</v>
      </c>
      <c r="R60" s="49">
        <v>58</v>
      </c>
      <c r="S60" s="59">
        <f ca="1">Dashboard!B$8* Dashboard!$F$4+Dashboard!B$10*SQRT(Dashboard!$F$4) * _xlfn.NORM.S.INV(RAND())</f>
        <v>-1.9720902910007304E-2</v>
      </c>
      <c r="T60" s="59">
        <f ca="1">Dashboard!C$8* Dashboard!$F$4+Dashboard!C$10*SQRT(Dashboard!$F$4) * _xlfn.NORM.S.INV(RAND())</f>
        <v>-5.8791509905331942E-3</v>
      </c>
      <c r="U60" s="59">
        <f ca="1">Dashboard!D$8* Dashboard!$F$4+Dashboard!D$10*SQRT(Dashboard!$F$4) * _xlfn.NORM.S.INV(RAND())</f>
        <v>-2.5399597387701145E-2</v>
      </c>
    </row>
    <row r="61" spans="1:21" x14ac:dyDescent="0.2">
      <c r="A61" s="50">
        <v>46021</v>
      </c>
      <c r="B61" s="56">
        <v>24490.41</v>
      </c>
      <c r="C61" s="56">
        <v>44944.54</v>
      </c>
      <c r="D61" s="59">
        <f t="shared" si="0"/>
        <v>5.7037679870485134E-3</v>
      </c>
      <c r="E61" s="59">
        <f t="shared" si="1"/>
        <v>1.1379108479440269E-2</v>
      </c>
      <c r="F61" s="59">
        <f t="shared" si="2"/>
        <v>8.541438233244391E-3</v>
      </c>
      <c r="H61" s="49">
        <v>59</v>
      </c>
      <c r="I61" s="59">
        <f>Dashboard!$D$12 * SQRT($H61)</f>
        <v>0.39322999163899597</v>
      </c>
      <c r="J61" s="60">
        <f>(Dashboard!$D$13/SQRT(Dashboard!$F$4))* SQRT(H61)</f>
        <v>0.17593488270764979</v>
      </c>
      <c r="K61" s="59">
        <f>Dashboard!$D$14 * SQRT($H61)</f>
        <v>0.61607173742410792</v>
      </c>
      <c r="L61" s="59">
        <f>( (Dashboard!$B$13/SQRT(Dashboard!$F$4))*0.5 + (Dashboard!$C$13/SQRT(Dashboard!$F$4))*0.5 ) * SQRT(H61)</f>
        <v>0.18428709629649742</v>
      </c>
      <c r="N61" s="49">
        <f>Dashboard!$F$2*N60+(1-Dashboard!$F$2)*(D61)^2</f>
        <v>4.2972666963877554E-5</v>
      </c>
      <c r="O61" s="49">
        <f>Dashboard!$F$2*O60+(1-Dashboard!$F$2)*(E61)^2</f>
        <v>5.2144425481629876E-5</v>
      </c>
      <c r="P61" s="49">
        <f>Dashboard!$F$2*P60+(1-Dashboard!$F$2)*(F61)^2</f>
        <v>4.064118127539152E-5</v>
      </c>
      <c r="R61" s="49">
        <v>59</v>
      </c>
      <c r="S61" s="59">
        <f ca="1">Dashboard!B$8* Dashboard!$F$4+Dashboard!B$10*SQRT(Dashboard!$F$4) * _xlfn.NORM.S.INV(RAND())</f>
        <v>-3.2062522836659516E-2</v>
      </c>
      <c r="T61" s="59">
        <f ca="1">Dashboard!C$8* Dashboard!$F$4+Dashboard!C$10*SQRT(Dashboard!$F$4) * _xlfn.NORM.S.INV(RAND())</f>
        <v>2.9756073740928719E-2</v>
      </c>
      <c r="U61" s="59">
        <f ca="1">Dashboard!D$8* Dashboard!$F$4+Dashboard!D$10*SQRT(Dashboard!$F$4) * _xlfn.NORM.S.INV(RAND())</f>
        <v>-6.4447249846822693E-2</v>
      </c>
    </row>
    <row r="62" spans="1:21" x14ac:dyDescent="0.2">
      <c r="A62" s="50">
        <v>46024</v>
      </c>
      <c r="B62" s="56">
        <v>24539.34</v>
      </c>
      <c r="C62" s="56">
        <v>45374.03</v>
      </c>
      <c r="D62" s="59">
        <f t="shared" si="0"/>
        <v>1.9959317044737214E-3</v>
      </c>
      <c r="E62" s="59">
        <f t="shared" si="1"/>
        <v>9.5106297043973612E-3</v>
      </c>
      <c r="F62" s="59">
        <f t="shared" si="2"/>
        <v>5.7532807044355415E-3</v>
      </c>
      <c r="H62" s="49">
        <v>60</v>
      </c>
      <c r="I62" s="59">
        <f>Dashboard!$D$12 * SQRT($H62)</f>
        <v>0.39654844702555303</v>
      </c>
      <c r="J62" s="60">
        <f>(Dashboard!$D$13/SQRT(Dashboard!$F$4))* SQRT(H62)</f>
        <v>0.17741959158443474</v>
      </c>
      <c r="K62" s="59">
        <f>Dashboard!$D$14 * SQRT($H62)</f>
        <v>0.62127074721234765</v>
      </c>
      <c r="L62" s="59">
        <f>( (Dashboard!$B$13/SQRT(Dashboard!$F$4))*0.5 + (Dashboard!$C$13/SQRT(Dashboard!$F$4))*0.5 ) * SQRT(H62)</f>
        <v>0.18584228923798471</v>
      </c>
      <c r="N62" s="49">
        <f>Dashboard!$F$2*N61+(1-Dashboard!$F$2)*(D62)^2</f>
        <v>4.0633331548180297E-5</v>
      </c>
      <c r="O62" s="49">
        <f>Dashboard!$F$2*O61+(1-Dashboard!$F$2)*(E62)^2</f>
        <v>5.4442884595182015E-5</v>
      </c>
      <c r="P62" s="49">
        <f>Dashboard!$F$2*P61+(1-Dashboard!$F$2)*(F62)^2</f>
        <v>4.0188724730709847E-5</v>
      </c>
      <c r="R62" s="49">
        <v>60</v>
      </c>
      <c r="S62" s="59">
        <f ca="1">Dashboard!B$8* Dashboard!$F$4+Dashboard!B$10*SQRT(Dashboard!$F$4) * _xlfn.NORM.S.INV(RAND())</f>
        <v>1.2239918480146097E-2</v>
      </c>
      <c r="T62" s="59">
        <f ca="1">Dashboard!C$8* Dashboard!$F$4+Dashboard!C$10*SQRT(Dashboard!$F$4) * _xlfn.NORM.S.INV(RAND())</f>
        <v>6.2883428472541178E-2</v>
      </c>
      <c r="U62" s="59">
        <f ca="1">Dashboard!D$8* Dashboard!$F$4+Dashboard!D$10*SQRT(Dashboard!$F$4) * _xlfn.NORM.S.INV(RAND())</f>
        <v>1.5554581214892511E-2</v>
      </c>
    </row>
    <row r="63" spans="1:21" x14ac:dyDescent="0.2">
      <c r="A63" s="50">
        <v>46027</v>
      </c>
      <c r="B63" s="56">
        <v>24868.69</v>
      </c>
      <c r="C63" s="56">
        <v>45847.32</v>
      </c>
      <c r="D63" s="59">
        <f t="shared" si="0"/>
        <v>1.3332038468125827E-2</v>
      </c>
      <c r="E63" s="59">
        <f t="shared" si="1"/>
        <v>1.0376830575881535E-2</v>
      </c>
      <c r="F63" s="59">
        <f t="shared" si="2"/>
        <v>1.185443452200368E-2</v>
      </c>
      <c r="H63" s="49">
        <v>61</v>
      </c>
      <c r="I63" s="59">
        <f>Dashboard!$D$12 * SQRT($H63)</f>
        <v>0.39983936193470343</v>
      </c>
      <c r="J63" s="60">
        <f>(Dashboard!$D$13/SQRT(Dashboard!$F$4))* SQRT(H63)</f>
        <v>0.17889197858657818</v>
      </c>
      <c r="K63" s="59">
        <f>Dashboard!$D$14 * SQRT($H63)</f>
        <v>0.62642660945302964</v>
      </c>
      <c r="L63" s="59">
        <f>( (Dashboard!$B$13/SQRT(Dashboard!$F$4))*0.5 + (Dashboard!$C$13/SQRT(Dashboard!$F$4))*0.5 ) * SQRT(H63)</f>
        <v>0.18738457534449043</v>
      </c>
      <c r="N63" s="49">
        <f>Dashboard!$F$2*N62+(1-Dashboard!$F$2)*(D63)^2</f>
        <v>4.8859926638224696E-5</v>
      </c>
      <c r="O63" s="49">
        <f>Dashboard!$F$2*O62+(1-Dashboard!$F$2)*(E63)^2</f>
        <v>5.7637028287504091E-5</v>
      </c>
      <c r="P63" s="49">
        <f>Dashboard!$F$2*P62+(1-Dashboard!$F$2)*(F63)^2</f>
        <v>4.6209058317055623E-5</v>
      </c>
      <c r="R63" s="49">
        <v>61</v>
      </c>
      <c r="S63" s="59">
        <f ca="1">Dashboard!B$8* Dashboard!$F$4+Dashboard!B$10*SQRT(Dashboard!$F$4) * _xlfn.NORM.S.INV(RAND())</f>
        <v>4.6492666884272539E-2</v>
      </c>
      <c r="T63" s="59">
        <f ca="1">Dashboard!C$8* Dashboard!$F$4+Dashboard!C$10*SQRT(Dashboard!$F$4) * _xlfn.NORM.S.INV(RAND())</f>
        <v>8.4088202846876563E-3</v>
      </c>
      <c r="U63" s="59">
        <f ca="1">Dashboard!D$8* Dashboard!$F$4+Dashboard!D$10*SQRT(Dashboard!$F$4) * _xlfn.NORM.S.INV(RAND())</f>
        <v>6.2164174565176224E-3</v>
      </c>
    </row>
    <row r="64" spans="1:21" x14ac:dyDescent="0.2">
      <c r="A64" s="50">
        <v>46028</v>
      </c>
      <c r="B64" s="56">
        <v>24892.2</v>
      </c>
      <c r="C64" s="56">
        <v>45753.43</v>
      </c>
      <c r="D64" s="59">
        <f t="shared" si="0"/>
        <v>9.4491886094830591E-4</v>
      </c>
      <c r="E64" s="59">
        <f t="shared" si="1"/>
        <v>-2.0499839331128149E-3</v>
      </c>
      <c r="F64" s="59">
        <f t="shared" si="2"/>
        <v>-5.5253253608225444E-4</v>
      </c>
      <c r="H64" s="49">
        <v>62</v>
      </c>
      <c r="I64" s="59">
        <f>Dashboard!$D$12 * SQRT($H64)</f>
        <v>0.40310341088401097</v>
      </c>
      <c r="J64" s="60">
        <f>(Dashboard!$D$13/SQRT(Dashboard!$F$4))* SQRT(H64)</f>
        <v>0.1803523454997297</v>
      </c>
      <c r="K64" s="59">
        <f>Dashboard!$D$14 * SQRT($H64)</f>
        <v>0.63154038090992126</v>
      </c>
      <c r="L64" s="59">
        <f>( (Dashboard!$B$13/SQRT(Dashboard!$F$4))*0.5 + (Dashboard!$C$13/SQRT(Dashboard!$F$4))*0.5 ) * SQRT(H64)</f>
        <v>0.18891427072843189</v>
      </c>
      <c r="N64" s="49">
        <f>Dashboard!$F$2*N63+(1-Dashboard!$F$2)*(D64)^2</f>
        <v>4.5981903339157761E-5</v>
      </c>
      <c r="O64" s="49">
        <f>Dashboard!$F$2*O63+(1-Dashboard!$F$2)*(E64)^2</f>
        <v>5.4430952637815087E-5</v>
      </c>
      <c r="P64" s="49">
        <f>Dashboard!$F$2*P63+(1-Dashboard!$F$2)*(F64)^2</f>
        <v>4.3454832350238051E-5</v>
      </c>
      <c r="R64" s="49">
        <v>62</v>
      </c>
      <c r="S64" s="59">
        <f ca="1">Dashboard!B$8* Dashboard!$F$4+Dashboard!B$10*SQRT(Dashboard!$F$4) * _xlfn.NORM.S.INV(RAND())</f>
        <v>5.6545405967690417E-3</v>
      </c>
      <c r="T64" s="59">
        <f ca="1">Dashboard!C$8* Dashboard!$F$4+Dashboard!C$10*SQRT(Dashboard!$F$4) * _xlfn.NORM.S.INV(RAND())</f>
        <v>-1.6463394135862144E-2</v>
      </c>
      <c r="U64" s="59">
        <f ca="1">Dashboard!D$8* Dashboard!$F$4+Dashboard!D$10*SQRT(Dashboard!$F$4) * _xlfn.NORM.S.INV(RAND())</f>
        <v>-2.6300983456819048E-2</v>
      </c>
    </row>
    <row r="65" spans="1:21" x14ac:dyDescent="0.2">
      <c r="A65" s="50">
        <v>46029</v>
      </c>
      <c r="B65" s="56">
        <v>25122.26</v>
      </c>
      <c r="C65" s="56">
        <v>45558.68</v>
      </c>
      <c r="D65" s="59">
        <f t="shared" si="0"/>
        <v>9.1998043213321959E-3</v>
      </c>
      <c r="E65" s="59">
        <f t="shared" si="1"/>
        <v>-4.2655962126960855E-3</v>
      </c>
      <c r="F65" s="59">
        <f t="shared" si="2"/>
        <v>2.4671040543180552E-3</v>
      </c>
      <c r="H65" s="49">
        <v>63</v>
      </c>
      <c r="I65" s="59">
        <f>Dashboard!$D$12 * SQRT($H65)</f>
        <v>0.40634124129885801</v>
      </c>
      <c r="J65" s="60">
        <f>(Dashboard!$D$13/SQRT(Dashboard!$F$4))* SQRT(H65)</f>
        <v>0.18180098198823627</v>
      </c>
      <c r="K65" s="59">
        <f>Dashboard!$D$14 * SQRT($H65)</f>
        <v>0.63661307590158578</v>
      </c>
      <c r="L65" s="59">
        <f>( (Dashboard!$B$13/SQRT(Dashboard!$F$4))*0.5 + (Dashboard!$C$13/SQRT(Dashboard!$F$4))*0.5 ) * SQRT(H65)</f>
        <v>0.19043167880548528</v>
      </c>
      <c r="N65" s="49">
        <f>Dashboard!$F$2*N64+(1-Dashboard!$F$2)*(D65)^2</f>
        <v>4.8301173111856451E-5</v>
      </c>
      <c r="O65" s="49">
        <f>Dashboard!$F$2*O64+(1-Dashboard!$F$2)*(E65)^2</f>
        <v>5.2256814142532215E-5</v>
      </c>
      <c r="P65" s="49">
        <f>Dashboard!$F$2*P64+(1-Dashboard!$F$2)*(F65)^2</f>
        <v>4.1212738554113724E-5</v>
      </c>
      <c r="R65" s="49">
        <v>63</v>
      </c>
      <c r="S65" s="59">
        <f ca="1">Dashboard!B$8* Dashboard!$F$4+Dashboard!B$10*SQRT(Dashboard!$F$4) * _xlfn.NORM.S.INV(RAND())</f>
        <v>-1.4530137144574511E-2</v>
      </c>
      <c r="T65" s="59">
        <f ca="1">Dashboard!C$8* Dashboard!$F$4+Dashboard!C$10*SQRT(Dashboard!$F$4) * _xlfn.NORM.S.INV(RAND())</f>
        <v>-1.8533917595461458E-3</v>
      </c>
      <c r="U65" s="59">
        <f ca="1">Dashboard!D$8* Dashboard!$F$4+Dashboard!D$10*SQRT(Dashboard!$F$4) * _xlfn.NORM.S.INV(RAND())</f>
        <v>-5.9346597202416938E-2</v>
      </c>
    </row>
    <row r="66" spans="1:21" x14ac:dyDescent="0.2">
      <c r="A66" s="50">
        <v>46030</v>
      </c>
      <c r="B66" s="56">
        <v>25127.46</v>
      </c>
      <c r="C66" s="56">
        <v>45671.7</v>
      </c>
      <c r="D66" s="59">
        <f t="shared" si="0"/>
        <v>2.0696632811344659E-4</v>
      </c>
      <c r="E66" s="59">
        <f t="shared" si="1"/>
        <v>2.4776846883329019E-3</v>
      </c>
      <c r="F66" s="59">
        <f t="shared" si="2"/>
        <v>1.3423255082231742E-3</v>
      </c>
      <c r="H66" s="49">
        <v>64</v>
      </c>
      <c r="I66" s="59">
        <f>Dashboard!$D$12 * SQRT($H66)</f>
        <v>0.40955347501183492</v>
      </c>
      <c r="J66" s="60">
        <f>(Dashboard!$D$13/SQRT(Dashboard!$F$4))* SQRT(H66)</f>
        <v>0.18323816626598327</v>
      </c>
      <c r="K66" s="59">
        <f>Dashboard!$D$14 * SQRT($H66)</f>
        <v>0.64164566865046946</v>
      </c>
      <c r="L66" s="59">
        <f>( (Dashboard!$B$13/SQRT(Dashboard!$F$4))*0.5 + (Dashboard!$C$13/SQRT(Dashboard!$F$4))*0.5 ) * SQRT(H66)</f>
        <v>0.19193709099727377</v>
      </c>
      <c r="N66" s="49">
        <f>Dashboard!$F$2*N65+(1-Dashboard!$F$2)*(D66)^2</f>
        <v>4.5405672828803424E-5</v>
      </c>
      <c r="O66" s="49">
        <f>Dashboard!$F$2*O65+(1-Dashboard!$F$2)*(E66)^2</f>
        <v>4.9489740578868243E-5</v>
      </c>
      <c r="P66" s="49">
        <f>Dashboard!$F$2*P65+(1-Dashboard!$F$2)*(F66)^2</f>
        <v>3.8848084507068496E-5</v>
      </c>
      <c r="R66" s="49">
        <v>64</v>
      </c>
      <c r="S66" s="59">
        <f ca="1">Dashboard!B$8* Dashboard!$F$4+Dashboard!B$10*SQRT(Dashboard!$F$4) * _xlfn.NORM.S.INV(RAND())</f>
        <v>3.0363630986393983E-2</v>
      </c>
      <c r="T66" s="59">
        <f ca="1">Dashboard!C$8* Dashboard!$F$4+Dashboard!C$10*SQRT(Dashboard!$F$4) * _xlfn.NORM.S.INV(RAND())</f>
        <v>3.0249102849639803E-2</v>
      </c>
      <c r="U66" s="59">
        <f ca="1">Dashboard!D$8* Dashboard!$F$4+Dashboard!D$10*SQRT(Dashboard!$F$4) * _xlfn.NORM.S.INV(RAND())</f>
        <v>1.6020622898416326E-2</v>
      </c>
    </row>
    <row r="67" spans="1:21" x14ac:dyDescent="0.2">
      <c r="A67" s="50">
        <v>46031</v>
      </c>
      <c r="B67" s="56">
        <v>25261.64</v>
      </c>
      <c r="C67" s="56">
        <v>45719.26</v>
      </c>
      <c r="D67" s="59">
        <f t="shared" si="0"/>
        <v>5.3257675630011721E-3</v>
      </c>
      <c r="E67" s="59">
        <f t="shared" si="1"/>
        <v>1.0408032543563338E-3</v>
      </c>
      <c r="F67" s="59">
        <f t="shared" si="2"/>
        <v>3.1832854086787528E-3</v>
      </c>
      <c r="H67" s="49">
        <v>65</v>
      </c>
      <c r="I67" s="59">
        <f>Dashboard!$D$12 * SQRT($H67)</f>
        <v>0.41274070965709531</v>
      </c>
      <c r="J67" s="60">
        <f>(Dashboard!$D$13/SQRT(Dashboard!$F$4))* SQRT(H67)</f>
        <v>0.18466416572024269</v>
      </c>
      <c r="K67" s="59">
        <f>Dashboard!$D$14 * SQRT($H67)</f>
        <v>0.64663909546743137</v>
      </c>
      <c r="L67" s="59">
        <f>( (Dashboard!$B$13/SQRT(Dashboard!$F$4))*0.5 + (Dashboard!$C$13/SQRT(Dashboard!$F$4))*0.5 ) * SQRT(H67)</f>
        <v>0.19343078738483177</v>
      </c>
      <c r="N67" s="49">
        <f>Dashboard!$F$2*N66+(1-Dashboard!$F$2)*(D67)^2</f>
        <v>4.4383160467182143E-5</v>
      </c>
      <c r="O67" s="49">
        <f>Dashboard!$F$2*O66+(1-Dashboard!$F$2)*(E67)^2</f>
        <v>4.6585352428992865E-5</v>
      </c>
      <c r="P67" s="49">
        <f>Dashboard!$F$2*P66+(1-Dashboard!$F$2)*(F67)^2</f>
        <v>3.7125197796230811E-5</v>
      </c>
      <c r="R67" s="49">
        <v>65</v>
      </c>
      <c r="S67" s="59">
        <f ca="1">Dashboard!B$8* Dashboard!$F$4+Dashboard!B$10*SQRT(Dashboard!$F$4) * _xlfn.NORM.S.INV(RAND())</f>
        <v>5.0479585971959264E-3</v>
      </c>
      <c r="T67" s="59">
        <f ca="1">Dashboard!C$8* Dashboard!$F$4+Dashboard!C$10*SQRT(Dashboard!$F$4) * _xlfn.NORM.S.INV(RAND())</f>
        <v>9.2397275664467303E-4</v>
      </c>
      <c r="U67" s="59">
        <f ca="1">Dashboard!D$8* Dashboard!$F$4+Dashboard!D$10*SQRT(Dashboard!$F$4) * _xlfn.NORM.S.INV(RAND())</f>
        <v>3.1583016247416495E-2</v>
      </c>
    </row>
    <row r="68" spans="1:21" x14ac:dyDescent="0.2">
      <c r="A68" s="50">
        <v>46034</v>
      </c>
      <c r="B68" s="56">
        <v>25405.34</v>
      </c>
      <c r="C68" s="56">
        <v>45732.2</v>
      </c>
      <c r="D68" s="59">
        <f t="shared" si="0"/>
        <v>5.6723485513390359E-3</v>
      </c>
      <c r="E68" s="59">
        <f t="shared" si="1"/>
        <v>2.8299165669644621E-4</v>
      </c>
      <c r="F68" s="59">
        <f t="shared" si="2"/>
        <v>2.977670104017741E-3</v>
      </c>
      <c r="H68" s="49">
        <v>66</v>
      </c>
      <c r="I68" s="59">
        <f>Dashboard!$D$12 * SQRT($H68)</f>
        <v>0.41590351996853264</v>
      </c>
      <c r="J68" s="60">
        <f>(Dashboard!$D$13/SQRT(Dashboard!$F$4))* SQRT(H68)</f>
        <v>0.1860792374924897</v>
      </c>
      <c r="K68" s="59">
        <f>Dashboard!$D$14 * SQRT($H68)</f>
        <v>0.6515942567855918</v>
      </c>
      <c r="L68" s="59">
        <f>( (Dashboard!$B$13/SQRT(Dashboard!$F$4))*0.5 + (Dashboard!$C$13/SQRT(Dashboard!$F$4))*0.5 ) * SQRT(H68)</f>
        <v>0.19491303731699491</v>
      </c>
      <c r="N68" s="49">
        <f>Dashboard!$F$2*N67+(1-Dashboard!$F$2)*(D68)^2</f>
        <v>4.3650703124423895E-5</v>
      </c>
      <c r="O68" s="49">
        <f>Dashboard!$F$2*O67+(1-Dashboard!$F$2)*(E68)^2</f>
        <v>4.3795036339918877E-5</v>
      </c>
      <c r="P68" s="49">
        <f>Dashboard!$F$2*P67+(1-Dashboard!$F$2)*(F68)^2</f>
        <v>3.5429677083358621E-5</v>
      </c>
      <c r="R68" s="49">
        <v>66</v>
      </c>
      <c r="S68" s="59">
        <f ca="1">Dashboard!B$8* Dashboard!$F$4+Dashboard!B$10*SQRT(Dashboard!$F$4) * _xlfn.NORM.S.INV(RAND())</f>
        <v>-4.501021237388618E-2</v>
      </c>
      <c r="T68" s="59">
        <f ca="1">Dashboard!C$8* Dashboard!$F$4+Dashboard!C$10*SQRT(Dashboard!$F$4) * _xlfn.NORM.S.INV(RAND())</f>
        <v>-2.9248656553962211E-2</v>
      </c>
      <c r="U68" s="59">
        <f ca="1">Dashboard!D$8* Dashboard!$F$4+Dashboard!D$10*SQRT(Dashboard!$F$4) * _xlfn.NORM.S.INV(RAND())</f>
        <v>1.2236540702791609E-2</v>
      </c>
    </row>
    <row r="69" spans="1:21" x14ac:dyDescent="0.2">
      <c r="A69" s="50">
        <v>46035</v>
      </c>
      <c r="B69" s="56">
        <v>25420.66</v>
      </c>
      <c r="C69" s="56">
        <v>45525.1</v>
      </c>
      <c r="D69" s="59">
        <f t="shared" ref="D69:D126" si="3">LN(B69/B68)</f>
        <v>6.0284108385325985E-4</v>
      </c>
      <c r="E69" s="59">
        <f t="shared" ref="E69:E126" si="4">LN(C69/C68)</f>
        <v>-4.5388227689683262E-3</v>
      </c>
      <c r="F69" s="59">
        <f t="shared" ref="F69:F126" si="5">0.5*D69+0.5*E69</f>
        <v>-1.967990842557533E-3</v>
      </c>
      <c r="H69" s="49">
        <v>67</v>
      </c>
      <c r="I69" s="59">
        <f>Dashboard!$D$12 * SQRT($H69)</f>
        <v>0.41904245898976467</v>
      </c>
      <c r="J69" s="60">
        <f>(Dashboard!$D$13/SQRT(Dashboard!$F$4))* SQRT(H69)</f>
        <v>0.1874836290197614</v>
      </c>
      <c r="K69" s="59">
        <f>Dashboard!$D$14 * SQRT($H69)</f>
        <v>0.65651201905600898</v>
      </c>
      <c r="L69" s="59">
        <f>( (Dashboard!$B$13/SQRT(Dashboard!$F$4))*0.5 + (Dashboard!$C$13/SQRT(Dashboard!$F$4))*0.5 ) * SQRT(H69)</f>
        <v>0.1963840999774587</v>
      </c>
      <c r="N69" s="49">
        <f>Dashboard!$F$2*N68+(1-Dashboard!$F$2)*(D69)^2</f>
        <v>4.1053465979301337E-5</v>
      </c>
      <c r="O69" s="49">
        <f>Dashboard!$F$2*O68+(1-Dashboard!$F$2)*(E69)^2</f>
        <v>4.240338888721006E-5</v>
      </c>
      <c r="P69" s="49">
        <f>Dashboard!$F$2*P68+(1-Dashboard!$F$2)*(F69)^2</f>
        <v>3.353627573574052E-5</v>
      </c>
      <c r="R69" s="49">
        <v>67</v>
      </c>
      <c r="S69" s="59">
        <f ca="1">Dashboard!B$8* Dashboard!$F$4+Dashboard!B$10*SQRT(Dashboard!$F$4) * _xlfn.NORM.S.INV(RAND())</f>
        <v>4.6241397601785184E-3</v>
      </c>
      <c r="T69" s="59">
        <f ca="1">Dashboard!C$8* Dashboard!$F$4+Dashboard!C$10*SQRT(Dashboard!$F$4) * _xlfn.NORM.S.INV(RAND())</f>
        <v>5.3013859765809815E-2</v>
      </c>
      <c r="U69" s="59">
        <f ca="1">Dashboard!D$8* Dashboard!$F$4+Dashboard!D$10*SQRT(Dashboard!$F$4) * _xlfn.NORM.S.INV(RAND())</f>
        <v>6.5294932622815993E-2</v>
      </c>
    </row>
    <row r="70" spans="1:21" x14ac:dyDescent="0.2">
      <c r="A70" s="50">
        <v>46036</v>
      </c>
      <c r="B70" s="56">
        <v>25286.240000000002</v>
      </c>
      <c r="C70" s="56">
        <v>45647.4</v>
      </c>
      <c r="D70" s="59">
        <f t="shared" si="3"/>
        <v>-5.3018549694404974E-3</v>
      </c>
      <c r="E70" s="59">
        <f t="shared" si="4"/>
        <v>2.6828281193384449E-3</v>
      </c>
      <c r="F70" s="59">
        <f t="shared" si="5"/>
        <v>-1.3095134250510263E-3</v>
      </c>
      <c r="H70" s="49">
        <v>68</v>
      </c>
      <c r="I70" s="59">
        <f>Dashboard!$D$12 * SQRT($H70)</f>
        <v>0.42215805920313965</v>
      </c>
      <c r="J70" s="60">
        <f>(Dashboard!$D$13/SQRT(Dashboard!$F$4))* SQRT(H70)</f>
        <v>0.18887757853978496</v>
      </c>
      <c r="K70" s="59">
        <f>Dashboard!$D$14 * SQRT($H70)</f>
        <v>0.66139321651648897</v>
      </c>
      <c r="L70" s="59">
        <f>( (Dashboard!$B$13/SQRT(Dashboard!$F$4))*0.5 + (Dashboard!$C$13/SQRT(Dashboard!$F$4))*0.5 ) * SQRT(H70)</f>
        <v>0.19784422491388709</v>
      </c>
      <c r="N70" s="49">
        <f>Dashboard!$F$2*N69+(1-Dashboard!$F$2)*(D70)^2</f>
        <v>4.0276837987562112E-5</v>
      </c>
      <c r="O70" s="49">
        <f>Dashboard!$F$2*O69+(1-Dashboard!$F$2)*(E70)^2</f>
        <v>4.0291039557052239E-5</v>
      </c>
      <c r="P70" s="49">
        <f>Dashboard!$F$2*P69+(1-Dashboard!$F$2)*(F70)^2</f>
        <v>3.1626988716219423E-5</v>
      </c>
      <c r="R70" s="49">
        <v>68</v>
      </c>
      <c r="S70" s="59">
        <f ca="1">Dashboard!B$8* Dashboard!$F$4+Dashboard!B$10*SQRT(Dashboard!$F$4) * _xlfn.NORM.S.INV(RAND())</f>
        <v>7.2524028605332434E-3</v>
      </c>
      <c r="T70" s="59">
        <f ca="1">Dashboard!C$8* Dashboard!$F$4+Dashboard!C$10*SQRT(Dashboard!$F$4) * _xlfn.NORM.S.INV(RAND())</f>
        <v>1.0707468649954187E-2</v>
      </c>
      <c r="U70" s="59">
        <f ca="1">Dashboard!D$8* Dashboard!$F$4+Dashboard!D$10*SQRT(Dashboard!$F$4) * _xlfn.NORM.S.INV(RAND())</f>
        <v>2.489694923238258E-2</v>
      </c>
    </row>
    <row r="71" spans="1:21" x14ac:dyDescent="0.2">
      <c r="A71" s="50">
        <v>46037</v>
      </c>
      <c r="B71" s="56">
        <v>25352.39</v>
      </c>
      <c r="C71" s="56">
        <v>45849.77</v>
      </c>
      <c r="D71" s="59">
        <f t="shared" si="3"/>
        <v>2.612631409161484E-3</v>
      </c>
      <c r="E71" s="59">
        <f t="shared" si="4"/>
        <v>4.4235320063286685E-3</v>
      </c>
      <c r="F71" s="59">
        <f t="shared" si="5"/>
        <v>3.5180817077450762E-3</v>
      </c>
      <c r="H71" s="49">
        <v>69</v>
      </c>
      <c r="I71" s="59">
        <f>Dashboard!$D$12 * SQRT($H71)</f>
        <v>0.42525083358429117</v>
      </c>
      <c r="J71" s="60">
        <f>(Dashboard!$D$13/SQRT(Dashboard!$F$4))* SQRT(H71)</f>
        <v>0.1902613155627958</v>
      </c>
      <c r="K71" s="59">
        <f>Dashboard!$D$14 * SQRT($H71)</f>
        <v>0.66623865284375172</v>
      </c>
      <c r="L71" s="59">
        <f>( (Dashboard!$B$13/SQRT(Dashboard!$F$4))*0.5 + (Dashboard!$C$13/SQRT(Dashboard!$F$4))*0.5 ) * SQRT(H71)</f>
        <v>0.19929365253212902</v>
      </c>
      <c r="N71" s="49">
        <f>Dashboard!$F$2*N70+(1-Dashboard!$F$2)*(D71)^2</f>
        <v>3.8269778281116612E-5</v>
      </c>
      <c r="O71" s="49">
        <f>Dashboard!$F$2*O70+(1-Dashboard!$F$2)*(E71)^2</f>
        <v>3.9047635308289951E-5</v>
      </c>
      <c r="P71" s="49">
        <f>Dashboard!$F$2*P70+(1-Dashboard!$F$2)*(F71)^2</f>
        <v>3.0471983327388486E-5</v>
      </c>
      <c r="R71" s="49">
        <v>69</v>
      </c>
      <c r="S71" s="59">
        <f ca="1">Dashboard!B$8* Dashboard!$F$4+Dashboard!B$10*SQRT(Dashboard!$F$4) * _xlfn.NORM.S.INV(RAND())</f>
        <v>6.5443339049944427E-2</v>
      </c>
      <c r="T71" s="59">
        <f ca="1">Dashboard!C$8* Dashboard!$F$4+Dashboard!C$10*SQRT(Dashboard!$F$4) * _xlfn.NORM.S.INV(RAND())</f>
        <v>-7.9724280837315739E-2</v>
      </c>
      <c r="U71" s="59">
        <f ca="1">Dashboard!D$8* Dashboard!$F$4+Dashboard!D$10*SQRT(Dashboard!$F$4) * _xlfn.NORM.S.INV(RAND())</f>
        <v>-2.8555391788962471E-2</v>
      </c>
    </row>
    <row r="72" spans="1:21" x14ac:dyDescent="0.2">
      <c r="A72" s="50">
        <v>46038</v>
      </c>
      <c r="B72" s="56">
        <v>25297.13</v>
      </c>
      <c r="C72" s="56">
        <v>45799.69</v>
      </c>
      <c r="D72" s="59">
        <f t="shared" si="3"/>
        <v>-2.1820551083634974E-3</v>
      </c>
      <c r="E72" s="59">
        <f t="shared" si="4"/>
        <v>-1.0928597939231554E-3</v>
      </c>
      <c r="F72" s="59">
        <f t="shared" si="5"/>
        <v>-1.6374574511433264E-3</v>
      </c>
      <c r="H72" s="49">
        <v>70</v>
      </c>
      <c r="I72" s="59">
        <f>Dashboard!$D$12 * SQRT($H72)</f>
        <v>0.42832127658815583</v>
      </c>
      <c r="J72" s="60">
        <f>(Dashboard!$D$13/SQRT(Dashboard!$F$4))* SQRT(H72)</f>
        <v>0.19163506131269115</v>
      </c>
      <c r="K72" s="59">
        <f>Dashboard!$D$14 * SQRT($H72)</f>
        <v>0.67104910269822049</v>
      </c>
      <c r="L72" s="59">
        <f>( (Dashboard!$B$13/SQRT(Dashboard!$F$4))*0.5 + (Dashboard!$C$13/SQRT(Dashboard!$F$4))*0.5 ) * SQRT(H72)</f>
        <v>0.20073261455831543</v>
      </c>
      <c r="N72" s="49">
        <f>Dashboard!$F$2*N71+(1-Dashboard!$F$2)*(D72)^2</f>
        <v>3.6259273454005729E-5</v>
      </c>
      <c r="O72" s="49">
        <f>Dashboard!$F$2*O71+(1-Dashboard!$F$2)*(E72)^2</f>
        <v>3.6776437741542973E-5</v>
      </c>
      <c r="P72" s="49">
        <f>Dashboard!$F$2*P71+(1-Dashboard!$F$2)*(F72)^2</f>
        <v>2.8804540342003462E-5</v>
      </c>
      <c r="R72" s="49">
        <v>70</v>
      </c>
      <c r="S72" s="59">
        <f ca="1">Dashboard!B$8* Dashboard!$F$4+Dashboard!B$10*SQRT(Dashboard!$F$4) * _xlfn.NORM.S.INV(RAND())</f>
        <v>5.1193347948790567E-2</v>
      </c>
      <c r="T72" s="59">
        <f ca="1">Dashboard!C$8* Dashboard!$F$4+Dashboard!C$10*SQRT(Dashboard!$F$4) * _xlfn.NORM.S.INV(RAND())</f>
        <v>2.0047317516855793E-2</v>
      </c>
      <c r="U72" s="59">
        <f ca="1">Dashboard!D$8* Dashboard!$F$4+Dashboard!D$10*SQRT(Dashboard!$F$4) * _xlfn.NORM.S.INV(RAND())</f>
        <v>-3.785795545078275E-2</v>
      </c>
    </row>
    <row r="73" spans="1:21" x14ac:dyDescent="0.2">
      <c r="A73" s="50">
        <v>46041</v>
      </c>
      <c r="B73" s="56">
        <v>24959.06</v>
      </c>
      <c r="C73" s="56">
        <v>45195.89</v>
      </c>
      <c r="D73" s="59">
        <f t="shared" si="3"/>
        <v>-1.3454068027985357E-2</v>
      </c>
      <c r="E73" s="59">
        <f t="shared" si="4"/>
        <v>-1.3271169037945547E-2</v>
      </c>
      <c r="F73" s="59">
        <f t="shared" si="5"/>
        <v>-1.3362618532965453E-2</v>
      </c>
      <c r="H73" s="49">
        <v>71</v>
      </c>
      <c r="I73" s="59">
        <f>Dashboard!$D$12 * SQRT($H73)</f>
        <v>0.43136986507182029</v>
      </c>
      <c r="J73" s="60">
        <f>(Dashboard!$D$13/SQRT(Dashboard!$F$4))* SQRT(H73)</f>
        <v>0.19299902913992087</v>
      </c>
      <c r="K73" s="59">
        <f>Dashboard!$D$14 * SQRT($H73)</f>
        <v>0.67582531316984329</v>
      </c>
      <c r="L73" s="59">
        <f>( (Dashboard!$B$13/SQRT(Dashboard!$F$4))*0.5 + (Dashboard!$C$13/SQRT(Dashboard!$F$4))*0.5 ) * SQRT(H73)</f>
        <v>0.20216133447135107</v>
      </c>
      <c r="N73" s="49">
        <f>Dashboard!$F$2*N72+(1-Dashboard!$F$2)*(D73)^2</f>
        <v>4.4944433836864859E-5</v>
      </c>
      <c r="O73" s="49">
        <f>Dashboard!$F$2*O72+(1-Dashboard!$F$2)*(E73)^2</f>
        <v>4.5137287135073874E-5</v>
      </c>
      <c r="P73" s="49">
        <f>Dashboard!$F$2*P72+(1-Dashboard!$F$2)*(F73)^2</f>
        <v>3.778984236493637E-5</v>
      </c>
      <c r="R73" s="49">
        <v>71</v>
      </c>
      <c r="S73" s="59">
        <f ca="1">Dashboard!B$8* Dashboard!$F$4+Dashboard!B$10*SQRT(Dashboard!$F$4) * _xlfn.NORM.S.INV(RAND())</f>
        <v>-1.7954048192308322E-2</v>
      </c>
      <c r="T73" s="59">
        <f ca="1">Dashboard!C$8* Dashboard!$F$4+Dashboard!C$10*SQRT(Dashboard!$F$4) * _xlfn.NORM.S.INV(RAND())</f>
        <v>-1.905322322507837E-2</v>
      </c>
      <c r="U73" s="59">
        <f ca="1">Dashboard!D$8* Dashboard!$F$4+Dashboard!D$10*SQRT(Dashboard!$F$4) * _xlfn.NORM.S.INV(RAND())</f>
        <v>-3.1502282041338181E-3</v>
      </c>
    </row>
    <row r="74" spans="1:21" x14ac:dyDescent="0.2">
      <c r="A74" s="50">
        <v>46042</v>
      </c>
      <c r="B74" s="56">
        <v>24703.119999999999</v>
      </c>
      <c r="C74" s="56">
        <v>44713.46</v>
      </c>
      <c r="D74" s="59">
        <f t="shared" si="3"/>
        <v>-1.0307331089413823E-2</v>
      </c>
      <c r="E74" s="59">
        <f t="shared" si="4"/>
        <v>-1.073157863967631E-2</v>
      </c>
      <c r="F74" s="59">
        <f t="shared" si="5"/>
        <v>-1.0519454864545067E-2</v>
      </c>
      <c r="H74" s="49">
        <v>72</v>
      </c>
      <c r="I74" s="59">
        <f>Dashboard!$D$12 * SQRT($H74)</f>
        <v>0.43439705915907556</v>
      </c>
      <c r="J74" s="60">
        <f>(Dashboard!$D$13/SQRT(Dashboard!$F$4))* SQRT(H74)</f>
        <v>0.19435342490829724</v>
      </c>
      <c r="K74" s="59">
        <f>Dashboard!$D$14 * SQRT($H74)</f>
        <v>0.6805680051325852</v>
      </c>
      <c r="L74" s="59">
        <f>( (Dashboard!$B$13/SQRT(Dashboard!$F$4))*0.5 + (Dashboard!$C$13/SQRT(Dashboard!$F$4))*0.5 ) * SQRT(H74)</f>
        <v>0.20358002790808757</v>
      </c>
      <c r="N74" s="49">
        <f>Dashboard!$F$2*N73+(1-Dashboard!$F$2)*(D74)^2</f>
        <v>4.8622232257860774E-5</v>
      </c>
      <c r="O74" s="49">
        <f>Dashboard!$F$2*O73+(1-Dashboard!$F$2)*(E74)^2</f>
        <v>4.9339056712942851E-5</v>
      </c>
      <c r="P74" s="49">
        <f>Dashboard!$F$2*P73+(1-Dashboard!$F$2)*(F74)^2</f>
        <v>4.2161987661872248E-5</v>
      </c>
      <c r="R74" s="49">
        <v>72</v>
      </c>
      <c r="S74" s="59">
        <f ca="1">Dashboard!B$8* Dashboard!$F$4+Dashboard!B$10*SQRT(Dashboard!$F$4) * _xlfn.NORM.S.INV(RAND())</f>
        <v>3.6211183227491457E-2</v>
      </c>
      <c r="T74" s="59">
        <f ca="1">Dashboard!C$8* Dashboard!$F$4+Dashboard!C$10*SQRT(Dashboard!$F$4) * _xlfn.NORM.S.INV(RAND())</f>
        <v>1.1041800712139258E-2</v>
      </c>
      <c r="U74" s="59">
        <f ca="1">Dashboard!D$8* Dashboard!$F$4+Dashboard!D$10*SQRT(Dashboard!$F$4) * _xlfn.NORM.S.INV(RAND())</f>
        <v>6.4091013668709507E-2</v>
      </c>
    </row>
    <row r="75" spans="1:21" x14ac:dyDescent="0.2">
      <c r="A75" s="50">
        <v>46043</v>
      </c>
      <c r="B75" s="56">
        <v>24560.98</v>
      </c>
      <c r="C75" s="56">
        <v>44488.36</v>
      </c>
      <c r="D75" s="59">
        <f t="shared" si="3"/>
        <v>-5.7705466832403502E-3</v>
      </c>
      <c r="E75" s="59">
        <f t="shared" si="4"/>
        <v>-5.0469929383648408E-3</v>
      </c>
      <c r="F75" s="59">
        <f t="shared" si="5"/>
        <v>-5.408769810802596E-3</v>
      </c>
      <c r="H75" s="49">
        <v>73</v>
      </c>
      <c r="I75" s="59">
        <f>Dashboard!$D$12 * SQRT($H75)</f>
        <v>0.43740330305111591</v>
      </c>
      <c r="J75" s="60">
        <f>(Dashboard!$D$13/SQRT(Dashboard!$F$4))* SQRT(H75)</f>
        <v>0.19569844735770967</v>
      </c>
      <c r="K75" s="59">
        <f>Dashboard!$D$14 * SQRT($H75)</f>
        <v>0.6852778745145478</v>
      </c>
      <c r="L75" s="59">
        <f>( (Dashboard!$B$13/SQRT(Dashboard!$F$4))*0.5 + (Dashboard!$C$13/SQRT(Dashboard!$F$4))*0.5 ) * SQRT(H75)</f>
        <v>0.20498890304325734</v>
      </c>
      <c r="N75" s="49">
        <f>Dashboard!$F$2*N74+(1-Dashboard!$F$2)*(D75)^2</f>
        <v>4.7702850863796499E-5</v>
      </c>
      <c r="O75" s="49">
        <f>Dashboard!$F$2*O74+(1-Dashboard!$F$2)*(E75)^2</f>
        <v>4.7907041573360559E-5</v>
      </c>
      <c r="P75" s="49">
        <f>Dashboard!$F$2*P74+(1-Dashboard!$F$2)*(F75)^2</f>
        <v>4.1387555854134885E-5</v>
      </c>
      <c r="R75" s="49">
        <v>73</v>
      </c>
      <c r="S75" s="59">
        <f ca="1">Dashboard!B$8* Dashboard!$F$4+Dashboard!B$10*SQRT(Dashboard!$F$4) * _xlfn.NORM.S.INV(RAND())</f>
        <v>1.9893639351332211E-2</v>
      </c>
      <c r="T75" s="59">
        <f ca="1">Dashboard!C$8* Dashboard!$F$4+Dashboard!C$10*SQRT(Dashboard!$F$4) * _xlfn.NORM.S.INV(RAND())</f>
        <v>0.10386119233039325</v>
      </c>
      <c r="U75" s="59">
        <f ca="1">Dashboard!D$8* Dashboard!$F$4+Dashboard!D$10*SQRT(Dashboard!$F$4) * _xlfn.NORM.S.INV(RAND())</f>
        <v>-2.4041917252109399E-2</v>
      </c>
    </row>
    <row r="76" spans="1:21" x14ac:dyDescent="0.2">
      <c r="A76" s="50">
        <v>46044</v>
      </c>
      <c r="B76" s="56">
        <v>24856.47</v>
      </c>
      <c r="C76" s="56">
        <v>45091.23</v>
      </c>
      <c r="D76" s="59">
        <f t="shared" si="3"/>
        <v>1.1959076064330332E-2</v>
      </c>
      <c r="E76" s="59">
        <f t="shared" si="4"/>
        <v>1.3460188914421745E-2</v>
      </c>
      <c r="F76" s="59">
        <f t="shared" si="5"/>
        <v>1.2709632489376038E-2</v>
      </c>
      <c r="H76" s="49">
        <v>74</v>
      </c>
      <c r="I76" s="59">
        <f>Dashboard!$D$12 * SQRT($H76)</f>
        <v>0.44038902578742734</v>
      </c>
      <c r="J76" s="60">
        <f>(Dashboard!$D$13/SQRT(Dashboard!$F$4))* SQRT(H76)</f>
        <v>0.19703428844455323</v>
      </c>
      <c r="K76" s="59">
        <f>Dashboard!$D$14 * SQRT($H76)</f>
        <v>0.68995559349004931</v>
      </c>
      <c r="L76" s="59">
        <f>( (Dashboard!$B$13/SQRT(Dashboard!$F$4))*0.5 + (Dashboard!$C$13/SQRT(Dashboard!$F$4))*0.5 ) * SQRT(H76)</f>
        <v>0.20638816094606349</v>
      </c>
      <c r="N76" s="49">
        <f>Dashboard!$F$2*N75+(1-Dashboard!$F$2)*(D76)^2</f>
        <v>5.3421849830715032E-5</v>
      </c>
      <c r="O76" s="49">
        <f>Dashboard!$F$2*O75+(1-Dashboard!$F$2)*(E76)^2</f>
        <v>5.5903220215674258E-5</v>
      </c>
      <c r="P76" s="49">
        <f>Dashboard!$F$2*P75+(1-Dashboard!$F$2)*(F76)^2</f>
        <v>4.8596387983786978E-5</v>
      </c>
      <c r="R76" s="49">
        <v>74</v>
      </c>
      <c r="S76" s="59">
        <f ca="1">Dashboard!B$8* Dashboard!$F$4+Dashboard!B$10*SQRT(Dashboard!$F$4) * _xlfn.NORM.S.INV(RAND())</f>
        <v>-1.6248895946294889E-2</v>
      </c>
      <c r="T76" s="59">
        <f ca="1">Dashboard!C$8* Dashboard!$F$4+Dashboard!C$10*SQRT(Dashboard!$F$4) * _xlfn.NORM.S.INV(RAND())</f>
        <v>1.0659283981195009E-2</v>
      </c>
      <c r="U76" s="59">
        <f ca="1">Dashboard!D$8* Dashboard!$F$4+Dashboard!D$10*SQRT(Dashboard!$F$4) * _xlfn.NORM.S.INV(RAND())</f>
        <v>-3.9399064469060815E-2</v>
      </c>
    </row>
    <row r="77" spans="1:21" x14ac:dyDescent="0.2">
      <c r="A77" s="50">
        <v>46045</v>
      </c>
      <c r="B77" s="56">
        <v>24900.71</v>
      </c>
      <c r="C77" s="56">
        <v>44831.6</v>
      </c>
      <c r="D77" s="59">
        <f t="shared" si="3"/>
        <v>1.7782362930413092E-3</v>
      </c>
      <c r="E77" s="59">
        <f t="shared" si="4"/>
        <v>-5.7745229203519394E-3</v>
      </c>
      <c r="F77" s="59">
        <f t="shared" si="5"/>
        <v>-1.9981433136553152E-3</v>
      </c>
      <c r="H77" s="49">
        <v>75</v>
      </c>
      <c r="I77" s="59">
        <f>Dashboard!$D$12 * SQRT($H77)</f>
        <v>0.44335464196055546</v>
      </c>
      <c r="J77" s="60">
        <f>(Dashboard!$D$13/SQRT(Dashboard!$F$4))* SQRT(H77)</f>
        <v>0.19836113366152286</v>
      </c>
      <c r="K77" s="59">
        <f>Dashboard!$D$14 * SQRT($H77)</f>
        <v>0.69460181159944878</v>
      </c>
      <c r="L77" s="59">
        <f>( (Dashboard!$B$13/SQRT(Dashboard!$F$4))*0.5 + (Dashboard!$C$13/SQRT(Dashboard!$F$4))*0.5 ) * SQRT(H77)</f>
        <v>0.20777799591515572</v>
      </c>
      <c r="N77" s="49">
        <f>Dashboard!$F$2*N76+(1-Dashboard!$F$2)*(D77)^2</f>
        <v>5.0406266299705484E-5</v>
      </c>
      <c r="O77" s="49">
        <f>Dashboard!$F$2*O76+(1-Dashboard!$F$2)*(E77)^2</f>
        <v>5.4549733900193989E-5</v>
      </c>
      <c r="P77" s="49">
        <f>Dashboard!$F$2*P76+(1-Dashboard!$F$2)*(F77)^2</f>
        <v>4.5920159306874083E-5</v>
      </c>
      <c r="R77" s="49">
        <v>75</v>
      </c>
      <c r="S77" s="59">
        <f ca="1">Dashboard!B$8* Dashboard!$F$4+Dashboard!B$10*SQRT(Dashboard!$F$4) * _xlfn.NORM.S.INV(RAND())</f>
        <v>4.2058948004194144E-2</v>
      </c>
      <c r="T77" s="59">
        <f ca="1">Dashboard!C$8* Dashboard!$F$4+Dashboard!C$10*SQRT(Dashboard!$F$4) * _xlfn.NORM.S.INV(RAND())</f>
        <v>2.4189211728214168E-2</v>
      </c>
      <c r="U77" s="59">
        <f ca="1">Dashboard!D$8* Dashboard!$F$4+Dashboard!D$10*SQRT(Dashboard!$F$4) * _xlfn.NORM.S.INV(RAND())</f>
        <v>-3.0900878108082109E-2</v>
      </c>
    </row>
    <row r="78" spans="1:21" x14ac:dyDescent="0.2">
      <c r="A78" s="50">
        <v>46048</v>
      </c>
      <c r="B78" s="56">
        <v>24933.08</v>
      </c>
      <c r="C78" s="56">
        <v>44950.32</v>
      </c>
      <c r="D78" s="59">
        <f t="shared" si="3"/>
        <v>1.2991187125280771E-3</v>
      </c>
      <c r="E78" s="59">
        <f t="shared" si="4"/>
        <v>2.6446319970600107E-3</v>
      </c>
      <c r="F78" s="59">
        <f t="shared" si="5"/>
        <v>1.9718753547940436E-3</v>
      </c>
      <c r="H78" s="49">
        <v>76</v>
      </c>
      <c r="I78" s="59">
        <f>Dashboard!$D$12 * SQRT($H78)</f>
        <v>0.44630055238812477</v>
      </c>
      <c r="J78" s="60">
        <f>(Dashboard!$D$13/SQRT(Dashboard!$F$4))* SQRT(H78)</f>
        <v>0.1996791623382812</v>
      </c>
      <c r="K78" s="59">
        <f>Dashboard!$D$14 * SQRT($H78)</f>
        <v>0.69921715680199514</v>
      </c>
      <c r="L78" s="59">
        <f>( (Dashboard!$B$13/SQRT(Dashboard!$F$4))*0.5 + (Dashboard!$C$13/SQRT(Dashboard!$F$4))*0.5 ) * SQRT(H78)</f>
        <v>0.20915859579357171</v>
      </c>
      <c r="N78" s="49">
        <f>Dashboard!$F$2*N77+(1-Dashboard!$F$2)*(D78)^2</f>
        <v>4.7483152887477586E-5</v>
      </c>
      <c r="O78" s="49">
        <f>Dashboard!$F$2*O77+(1-Dashboard!$F$2)*(E78)^2</f>
        <v>5.1696394570174766E-5</v>
      </c>
      <c r="P78" s="49">
        <f>Dashboard!$F$2*P77+(1-Dashboard!$F$2)*(F78)^2</f>
        <v>4.3398247293352279E-5</v>
      </c>
      <c r="R78" s="49">
        <v>76</v>
      </c>
      <c r="S78" s="59">
        <f ca="1">Dashboard!B$8* Dashboard!$F$4+Dashboard!B$10*SQRT(Dashboard!$F$4) * _xlfn.NORM.S.INV(RAND())</f>
        <v>-3.4205705171620429E-2</v>
      </c>
      <c r="T78" s="59">
        <f ca="1">Dashboard!C$8* Dashboard!$F$4+Dashboard!C$10*SQRT(Dashboard!$F$4) * _xlfn.NORM.S.INV(RAND())</f>
        <v>-5.6610845125291904E-3</v>
      </c>
      <c r="U78" s="59">
        <f ca="1">Dashboard!D$8* Dashboard!$F$4+Dashboard!D$10*SQRT(Dashboard!$F$4) * _xlfn.NORM.S.INV(RAND())</f>
        <v>2.0384610010923142E-2</v>
      </c>
    </row>
    <row r="79" spans="1:21" x14ac:dyDescent="0.2">
      <c r="A79" s="50">
        <v>46049</v>
      </c>
      <c r="B79" s="56">
        <v>24894.44</v>
      </c>
      <c r="C79" s="56">
        <v>45440.44</v>
      </c>
      <c r="D79" s="59">
        <f t="shared" si="3"/>
        <v>-1.5509504685580981E-3</v>
      </c>
      <c r="E79" s="59">
        <f t="shared" si="4"/>
        <v>1.0844577551182821E-2</v>
      </c>
      <c r="F79" s="59">
        <f t="shared" si="5"/>
        <v>4.6468135413123618E-3</v>
      </c>
      <c r="H79" s="49">
        <v>77</v>
      </c>
      <c r="I79" s="59">
        <f>Dashboard!$D$12 * SQRT($H79)</f>
        <v>0.44922714474519265</v>
      </c>
      <c r="J79" s="60">
        <f>(Dashboard!$D$13/SQRT(Dashboard!$F$4))* SQRT(H79)</f>
        <v>0.20098854792437998</v>
      </c>
      <c r="K79" s="59">
        <f>Dashboard!$D$14 * SQRT($H79)</f>
        <v>0.7038022364665345</v>
      </c>
      <c r="L79" s="59">
        <f>( (Dashboard!$B$13/SQRT(Dashboard!$F$4))*0.5 + (Dashboard!$C$13/SQRT(Dashboard!$F$4))*0.5 ) * SQRT(H79)</f>
        <v>0.21053014226508981</v>
      </c>
      <c r="N79" s="49">
        <f>Dashboard!$F$2*N78+(1-Dashboard!$F$2)*(D79)^2</f>
        <v>4.4778490555584161E-5</v>
      </c>
      <c r="O79" s="49">
        <f>Dashboard!$F$2*O78+(1-Dashboard!$F$2)*(E79)^2</f>
        <v>5.5650902631781389E-5</v>
      </c>
      <c r="P79" s="49">
        <f>Dashboard!$F$2*P78+(1-Dashboard!$F$2)*(F79)^2</f>
        <v>4.2089925021014576E-5</v>
      </c>
      <c r="R79" s="49">
        <v>77</v>
      </c>
      <c r="S79" s="59">
        <f ca="1">Dashboard!B$8* Dashboard!$F$4+Dashboard!B$10*SQRT(Dashboard!$F$4) * _xlfn.NORM.S.INV(RAND())</f>
        <v>-3.8575934691839585E-2</v>
      </c>
      <c r="T79" s="59">
        <f ca="1">Dashboard!C$8* Dashboard!$F$4+Dashboard!C$10*SQRT(Dashboard!$F$4) * _xlfn.NORM.S.INV(RAND())</f>
        <v>6.0460493717423375E-2</v>
      </c>
      <c r="U79" s="59">
        <f ca="1">Dashboard!D$8* Dashboard!$F$4+Dashboard!D$10*SQRT(Dashboard!$F$4) * _xlfn.NORM.S.INV(RAND())</f>
        <v>-2.3225053894546988E-2</v>
      </c>
    </row>
    <row r="80" spans="1:21" x14ac:dyDescent="0.2">
      <c r="A80" s="50">
        <v>46050</v>
      </c>
      <c r="B80" s="56">
        <v>24822.79</v>
      </c>
      <c r="C80" s="56">
        <v>45138.73</v>
      </c>
      <c r="D80" s="59">
        <f t="shared" si="3"/>
        <v>-2.8823025580343702E-3</v>
      </c>
      <c r="E80" s="59">
        <f t="shared" si="4"/>
        <v>-6.6618211630739164E-3</v>
      </c>
      <c r="F80" s="59">
        <f t="shared" si="5"/>
        <v>-4.7720618605541429E-3</v>
      </c>
      <c r="H80" s="49">
        <v>78</v>
      </c>
      <c r="I80" s="59">
        <f>Dashboard!$D$12 * SQRT($H80)</f>
        <v>0.45213479415976299</v>
      </c>
      <c r="J80" s="60">
        <f>(Dashboard!$D$13/SQRT(Dashboard!$F$4))* SQRT(H80)</f>
        <v>0.20228945825569833</v>
      </c>
      <c r="K80" s="59">
        <f>Dashboard!$D$14 * SQRT($H80)</f>
        <v>0.70835763830449761</v>
      </c>
      <c r="L80" s="59">
        <f>( (Dashboard!$B$13/SQRT(Dashboard!$F$4))*0.5 + (Dashboard!$C$13/SQRT(Dashboard!$F$4))*0.5 ) * SQRT(H80)</f>
        <v>0.21189281113331618</v>
      </c>
      <c r="N80" s="49">
        <f>Dashboard!$F$2*N79+(1-Dashboard!$F$2)*(D80)^2</f>
        <v>4.2590241204412201E-5</v>
      </c>
      <c r="O80" s="49">
        <f>Dashboard!$F$2*O79+(1-Dashboard!$F$2)*(E80)^2</f>
        <v>5.4974640146401273E-5</v>
      </c>
      <c r="P80" s="49">
        <f>Dashboard!$F$2*P79+(1-Dashboard!$F$2)*(F80)^2</f>
        <v>4.0930883983811026E-5</v>
      </c>
      <c r="R80" s="49">
        <v>78</v>
      </c>
      <c r="S80" s="59">
        <f ca="1">Dashboard!B$8* Dashboard!$F$4+Dashboard!B$10*SQRT(Dashboard!$F$4) * _xlfn.NORM.S.INV(RAND())</f>
        <v>-9.3833373045022136E-3</v>
      </c>
      <c r="T80" s="59">
        <f ca="1">Dashboard!C$8* Dashboard!$F$4+Dashboard!C$10*SQRT(Dashboard!$F$4) * _xlfn.NORM.S.INV(RAND())</f>
        <v>-5.2124871690820357E-3</v>
      </c>
      <c r="U80" s="59">
        <f ca="1">Dashboard!D$8* Dashboard!$F$4+Dashboard!D$10*SQRT(Dashboard!$F$4) * _xlfn.NORM.S.INV(RAND())</f>
        <v>-3.1508383062936372E-2</v>
      </c>
    </row>
    <row r="81" spans="1:21" x14ac:dyDescent="0.2">
      <c r="A81" s="50">
        <v>46051</v>
      </c>
      <c r="B81" s="56">
        <v>24309.46</v>
      </c>
      <c r="C81" s="56">
        <v>45075.6</v>
      </c>
      <c r="D81" s="59">
        <f t="shared" si="3"/>
        <v>-2.0896607806023305E-2</v>
      </c>
      <c r="E81" s="59">
        <f t="shared" si="4"/>
        <v>-1.3995561526578008E-3</v>
      </c>
      <c r="F81" s="59">
        <f t="shared" si="5"/>
        <v>-1.1148081979340552E-2</v>
      </c>
      <c r="H81" s="49">
        <v>79</v>
      </c>
      <c r="I81" s="59">
        <f>Dashboard!$D$12 * SQRT($H81)</f>
        <v>0.4550238637740488</v>
      </c>
      <c r="J81" s="60">
        <f>(Dashboard!$D$13/SQRT(Dashboard!$F$4))* SQRT(H81)</f>
        <v>0.20358205580555727</v>
      </c>
      <c r="K81" s="59">
        <f>Dashboard!$D$14 * SQRT($H81)</f>
        <v>0.71288393124922889</v>
      </c>
      <c r="L81" s="59">
        <f>( (Dashboard!$B$13/SQRT(Dashboard!$F$4))*0.5 + (Dashboard!$C$13/SQRT(Dashboard!$F$4))*0.5 ) * SQRT(H81)</f>
        <v>0.21324677258472036</v>
      </c>
      <c r="N81" s="49">
        <f>Dashboard!$F$2*N80+(1-Dashboard!$F$2)*(D81)^2</f>
        <v>6.623491980007274E-5</v>
      </c>
      <c r="O81" s="49">
        <f>Dashboard!$F$2*O80+(1-Dashboard!$F$2)*(E81)^2</f>
        <v>5.1793687183083735E-5</v>
      </c>
      <c r="P81" s="49">
        <f>Dashboard!$F$2*P80+(1-Dashboard!$F$2)*(F81)^2</f>
        <v>4.5931814853868223E-5</v>
      </c>
      <c r="R81" s="49">
        <v>79</v>
      </c>
      <c r="S81" s="59">
        <f ca="1">Dashboard!B$8* Dashboard!$F$4+Dashboard!B$10*SQRT(Dashboard!$F$4) * _xlfn.NORM.S.INV(RAND())</f>
        <v>6.3280021175573714E-2</v>
      </c>
      <c r="T81" s="59">
        <f ca="1">Dashboard!C$8* Dashboard!$F$4+Dashboard!C$10*SQRT(Dashboard!$F$4) * _xlfn.NORM.S.INV(RAND())</f>
        <v>-6.2433097462473983E-2</v>
      </c>
      <c r="U81" s="59">
        <f ca="1">Dashboard!D$8* Dashboard!$F$4+Dashboard!D$10*SQRT(Dashboard!$F$4) * _xlfn.NORM.S.INV(RAND())</f>
        <v>-5.4923287413506288E-3</v>
      </c>
    </row>
    <row r="82" spans="1:21" x14ac:dyDescent="0.2">
      <c r="A82" s="50">
        <v>46052</v>
      </c>
      <c r="B82" s="56">
        <v>24538.81</v>
      </c>
      <c r="C82" s="56">
        <v>45527.42</v>
      </c>
      <c r="D82" s="59">
        <f t="shared" si="3"/>
        <v>9.3903708491578745E-3</v>
      </c>
      <c r="E82" s="59">
        <f t="shared" si="4"/>
        <v>9.9737016576923864E-3</v>
      </c>
      <c r="F82" s="59">
        <f t="shared" si="5"/>
        <v>9.6820362534251296E-3</v>
      </c>
      <c r="H82" s="49">
        <v>80</v>
      </c>
      <c r="I82" s="59">
        <f>Dashboard!$D$12 * SQRT($H82)</f>
        <v>0.45789470527386222</v>
      </c>
      <c r="J82" s="60">
        <f>(Dashboard!$D$13/SQRT(Dashboard!$F$4))* SQRT(H82)</f>
        <v>0.20486649792157371</v>
      </c>
      <c r="K82" s="59">
        <f>Dashboard!$D$14 * SQRT($H82)</f>
        <v>0.71738166628537781</v>
      </c>
      <c r="L82" s="59">
        <f>( (Dashboard!$B$13/SQRT(Dashboard!$F$4))*0.5 + (Dashboard!$C$13/SQRT(Dashboard!$F$4))*0.5 ) * SQRT(H82)</f>
        <v>0.21459219143673353</v>
      </c>
      <c r="N82" s="49">
        <f>Dashboard!$F$2*N81+(1-Dashboard!$F$2)*(D82)^2</f>
        <v>6.7551568493151213E-5</v>
      </c>
      <c r="O82" s="49">
        <f>Dashboard!$F$2*O81+(1-Dashboard!$F$2)*(E82)^2</f>
        <v>5.4654549437498064E-5</v>
      </c>
      <c r="P82" s="49">
        <f>Dashboard!$F$2*P81+(1-Dashboard!$F$2)*(F82)^2</f>
        <v>4.880041552339444E-5</v>
      </c>
      <c r="R82" s="49">
        <v>80</v>
      </c>
      <c r="S82" s="59">
        <f ca="1">Dashboard!B$8* Dashboard!$F$4+Dashboard!B$10*SQRT(Dashboard!$F$4) * _xlfn.NORM.S.INV(RAND())</f>
        <v>-3.6189819754891286E-2</v>
      </c>
      <c r="T82" s="59">
        <f ca="1">Dashboard!C$8* Dashboard!$F$4+Dashboard!C$10*SQRT(Dashboard!$F$4) * _xlfn.NORM.S.INV(RAND())</f>
        <v>7.0637083652328153E-2</v>
      </c>
      <c r="U82" s="59">
        <f ca="1">Dashboard!D$8* Dashboard!$F$4+Dashboard!D$10*SQRT(Dashboard!$F$4) * _xlfn.NORM.S.INV(RAND())</f>
        <v>-1.8392756717410683E-2</v>
      </c>
    </row>
    <row r="83" spans="1:21" x14ac:dyDescent="0.2">
      <c r="A83" s="50">
        <v>46055</v>
      </c>
      <c r="B83" s="56">
        <v>24797.52</v>
      </c>
      <c r="C83" s="56">
        <v>46005.21</v>
      </c>
      <c r="D83" s="59">
        <f t="shared" si="3"/>
        <v>1.0487702321164067E-2</v>
      </c>
      <c r="E83" s="59">
        <f t="shared" si="4"/>
        <v>1.0439869138564799E-2</v>
      </c>
      <c r="F83" s="59">
        <f t="shared" si="5"/>
        <v>1.0463785729864433E-2</v>
      </c>
      <c r="H83" s="49">
        <v>81</v>
      </c>
      <c r="I83" s="59">
        <f>Dashboard!$D$12 * SQRT($H83)</f>
        <v>0.4607476593883143</v>
      </c>
      <c r="J83" s="60">
        <f>(Dashboard!$D$13/SQRT(Dashboard!$F$4))* SQRT(H83)</f>
        <v>0.20614293704923117</v>
      </c>
      <c r="K83" s="59">
        <f>Dashboard!$D$14 * SQRT($H83)</f>
        <v>0.72185137723177817</v>
      </c>
      <c r="L83" s="59">
        <f>( (Dashboard!$B$13/SQRT(Dashboard!$F$4))*0.5 + (Dashboard!$C$13/SQRT(Dashboard!$F$4))*0.5 ) * SQRT(H83)</f>
        <v>0.21592922737193299</v>
      </c>
      <c r="N83" s="49">
        <f>Dashboard!$F$2*N82+(1-Dashboard!$F$2)*(D83)^2</f>
        <v>7.0097988382203152E-5</v>
      </c>
      <c r="O83" s="49">
        <f>Dashboard!$F$2*O82+(1-Dashboard!$F$2)*(E83)^2</f>
        <v>5.7914728529069647E-5</v>
      </c>
      <c r="P83" s="49">
        <f>Dashboard!$F$2*P82+(1-Dashboard!$F$2)*(F83)^2</f>
        <v>5.2441839300021648E-5</v>
      </c>
      <c r="R83" s="49">
        <v>81</v>
      </c>
      <c r="S83" s="59">
        <f ca="1">Dashboard!B$8* Dashboard!$F$4+Dashboard!B$10*SQRT(Dashboard!$F$4) * _xlfn.NORM.S.INV(RAND())</f>
        <v>-9.0529921197372923E-3</v>
      </c>
      <c r="T83" s="59">
        <f ca="1">Dashboard!C$8* Dashboard!$F$4+Dashboard!C$10*SQRT(Dashboard!$F$4) * _xlfn.NORM.S.INV(RAND())</f>
        <v>-1.9649302171641958E-2</v>
      </c>
      <c r="U83" s="59">
        <f ca="1">Dashboard!D$8* Dashboard!$F$4+Dashboard!D$10*SQRT(Dashboard!$F$4) * _xlfn.NORM.S.INV(RAND())</f>
        <v>-2.5957396308046429E-2</v>
      </c>
    </row>
    <row r="84" spans="1:21" x14ac:dyDescent="0.2">
      <c r="A84" s="50">
        <v>46056</v>
      </c>
      <c r="B84" s="56">
        <v>24780.79</v>
      </c>
      <c r="C84" s="56">
        <v>46420.52</v>
      </c>
      <c r="D84" s="59">
        <f t="shared" si="3"/>
        <v>-6.7489192895090096E-4</v>
      </c>
      <c r="E84" s="59">
        <f t="shared" si="4"/>
        <v>8.9869519064900479E-3</v>
      </c>
      <c r="F84" s="59">
        <f t="shared" si="5"/>
        <v>4.1560299887695735E-3</v>
      </c>
      <c r="H84" s="49">
        <v>82</v>
      </c>
      <c r="I84" s="59">
        <f>Dashboard!$D$12 * SQRT($H84)</f>
        <v>0.463583056361838</v>
      </c>
      <c r="J84" s="60">
        <f>(Dashboard!$D$13/SQRT(Dashboard!$F$4))* SQRT(H84)</f>
        <v>0.20741152094306725</v>
      </c>
      <c r="K84" s="59">
        <f>Dashboard!$D$14 * SQRT($H84)</f>
        <v>0.72629358148096335</v>
      </c>
      <c r="L84" s="59">
        <f>( (Dashboard!$B$13/SQRT(Dashboard!$F$4))*0.5 + (Dashboard!$C$13/SQRT(Dashboard!$F$4))*0.5 ) * SQRT(H84)</f>
        <v>0.21725803515925524</v>
      </c>
      <c r="N84" s="49">
        <f>Dashboard!$F$2*N83+(1-Dashboard!$F$2)*(D84)^2</f>
        <v>6.5919437826216746E-5</v>
      </c>
      <c r="O84" s="49">
        <f>Dashboard!$F$2*O83+(1-Dashboard!$F$2)*(E84)^2</f>
        <v>5.9285763091499372E-5</v>
      </c>
      <c r="P84" s="49">
        <f>Dashboard!$F$2*P83+(1-Dashboard!$F$2)*(F84)^2</f>
        <v>5.0331684058073467E-5</v>
      </c>
      <c r="R84" s="49">
        <v>82</v>
      </c>
      <c r="S84" s="59">
        <f ca="1">Dashboard!B$8* Dashboard!$F$4+Dashboard!B$10*SQRT(Dashboard!$F$4) * _xlfn.NORM.S.INV(RAND())</f>
        <v>7.8665935998794411E-3</v>
      </c>
      <c r="T84" s="59">
        <f ca="1">Dashboard!C$8* Dashboard!$F$4+Dashboard!C$10*SQRT(Dashboard!$F$4) * _xlfn.NORM.S.INV(RAND())</f>
        <v>-1.0294807861712746E-2</v>
      </c>
      <c r="U84" s="59">
        <f ca="1">Dashboard!D$8* Dashboard!$F$4+Dashboard!D$10*SQRT(Dashboard!$F$4) * _xlfn.NORM.S.INV(RAND())</f>
        <v>5.1083622602984116E-2</v>
      </c>
    </row>
    <row r="85" spans="1:21" x14ac:dyDescent="0.2">
      <c r="A85" s="50">
        <v>46057</v>
      </c>
      <c r="B85" s="56">
        <v>24603.040000000001</v>
      </c>
      <c r="C85" s="56">
        <v>46636.43</v>
      </c>
      <c r="D85" s="59">
        <f t="shared" si="3"/>
        <v>-7.1987437026003577E-3</v>
      </c>
      <c r="E85" s="59">
        <f t="shared" si="4"/>
        <v>4.6403925217135752E-3</v>
      </c>
      <c r="F85" s="59">
        <f t="shared" si="5"/>
        <v>-1.2791755904433912E-3</v>
      </c>
      <c r="H85" s="49">
        <v>83</v>
      </c>
      <c r="I85" s="59">
        <f>Dashboard!$D$12 * SQRT($H85)</f>
        <v>0.46640121640038207</v>
      </c>
      <c r="J85" s="60">
        <f>(Dashboard!$D$13/SQRT(Dashboard!$F$4))* SQRT(H85)</f>
        <v>0.20867239286630501</v>
      </c>
      <c r="K85" s="59">
        <f>Dashboard!$D$14 * SQRT($H85)</f>
        <v>0.73070878069821665</v>
      </c>
      <c r="L85" s="59">
        <f>( (Dashboard!$B$13/SQRT(Dashboard!$F$4))*0.5 + (Dashboard!$C$13/SQRT(Dashboard!$F$4))*0.5 ) * SQRT(H85)</f>
        <v>0.21857876486310474</v>
      </c>
      <c r="N85" s="49">
        <f>Dashboard!$F$2*N84+(1-Dashboard!$F$2)*(D85)^2</f>
        <v>6.5073586210387448E-5</v>
      </c>
      <c r="O85" s="49">
        <f>Dashboard!$F$2*O84+(1-Dashboard!$F$2)*(E85)^2</f>
        <v>5.7020611871343929E-5</v>
      </c>
      <c r="P85" s="49">
        <f>Dashboard!$F$2*P84+(1-Dashboard!$F$2)*(F85)^2</f>
        <v>4.7409960426060228E-5</v>
      </c>
      <c r="R85" s="49">
        <v>83</v>
      </c>
      <c r="S85" s="59">
        <f ca="1">Dashboard!B$8* Dashboard!$F$4+Dashboard!B$10*SQRT(Dashboard!$F$4) * _xlfn.NORM.S.INV(RAND())</f>
        <v>-2.3324420355321035E-2</v>
      </c>
      <c r="T85" s="59">
        <f ca="1">Dashboard!C$8* Dashboard!$F$4+Dashboard!C$10*SQRT(Dashboard!$F$4) * _xlfn.NORM.S.INV(RAND())</f>
        <v>1.6575007169086529E-2</v>
      </c>
      <c r="U85" s="59">
        <f ca="1">Dashboard!D$8* Dashboard!$F$4+Dashboard!D$10*SQRT(Dashboard!$F$4) * _xlfn.NORM.S.INV(RAND())</f>
        <v>-2.2172652663534085E-3</v>
      </c>
    </row>
    <row r="86" spans="1:21" x14ac:dyDescent="0.2">
      <c r="A86" s="50">
        <v>46058</v>
      </c>
      <c r="B86" s="56">
        <v>24491.06</v>
      </c>
      <c r="C86" s="56">
        <v>45819.57</v>
      </c>
      <c r="D86" s="59">
        <f t="shared" si="3"/>
        <v>-4.5618595390144552E-3</v>
      </c>
      <c r="E86" s="59">
        <f t="shared" si="4"/>
        <v>-1.7670702940253788E-2</v>
      </c>
      <c r="F86" s="59">
        <f t="shared" si="5"/>
        <v>-1.1116281239634122E-2</v>
      </c>
      <c r="H86" s="49">
        <v>84</v>
      </c>
      <c r="I86" s="59">
        <f>Dashboard!$D$12 * SQRT($H86)</f>
        <v>0.46920245009348466</v>
      </c>
      <c r="J86" s="60">
        <f>(Dashboard!$D$13/SQRT(Dashboard!$F$4))* SQRT(H86)</f>
        <v>0.209925691779693</v>
      </c>
      <c r="K86" s="59">
        <f>Dashboard!$D$14 * SQRT($H86)</f>
        <v>0.73509746148283239</v>
      </c>
      <c r="L86" s="59">
        <f>( (Dashboard!$B$13/SQRT(Dashboard!$F$4))*0.5 + (Dashboard!$C$13/SQRT(Dashboard!$F$4))*0.5 ) * SQRT(H86)</f>
        <v>0.21989156204115853</v>
      </c>
      <c r="N86" s="49">
        <f>Dashboard!$F$2*N85+(1-Dashboard!$F$2)*(D86)^2</f>
        <v>6.241780478498603E-5</v>
      </c>
      <c r="O86" s="49">
        <f>Dashboard!$F$2*O85+(1-Dashboard!$F$2)*(E86)^2</f>
        <v>7.2334599703224948E-5</v>
      </c>
      <c r="P86" s="49">
        <f>Dashboard!$F$2*P85+(1-Dashboard!$F$2)*(F86)^2</f>
        <v>5.1979665316415111E-5</v>
      </c>
      <c r="R86" s="49">
        <v>84</v>
      </c>
      <c r="S86" s="59">
        <f ca="1">Dashboard!B$8* Dashboard!$F$4+Dashboard!B$10*SQRT(Dashboard!$F$4) * _xlfn.NORM.S.INV(RAND())</f>
        <v>3.4637630204071238E-3</v>
      </c>
      <c r="T86" s="59">
        <f ca="1">Dashboard!C$8* Dashboard!$F$4+Dashboard!C$10*SQRT(Dashboard!$F$4) * _xlfn.NORM.S.INV(RAND())</f>
        <v>3.0663030748975834E-2</v>
      </c>
      <c r="U86" s="59">
        <f ca="1">Dashboard!D$8* Dashboard!$F$4+Dashboard!D$10*SQRT(Dashboard!$F$4) * _xlfn.NORM.S.INV(RAND())</f>
        <v>2.0477271746454095E-2</v>
      </c>
    </row>
    <row r="87" spans="1:21" x14ac:dyDescent="0.2">
      <c r="A87" s="50">
        <v>46059</v>
      </c>
      <c r="B87" s="56">
        <v>24721.46</v>
      </c>
      <c r="C87" s="56">
        <v>45877.2</v>
      </c>
      <c r="D87" s="59">
        <f t="shared" si="3"/>
        <v>9.3635393340645908E-3</v>
      </c>
      <c r="E87" s="59">
        <f t="shared" si="4"/>
        <v>1.2569691950503473E-3</v>
      </c>
      <c r="F87" s="59">
        <f t="shared" si="5"/>
        <v>5.3102542645574692E-3</v>
      </c>
      <c r="H87" s="49">
        <v>85</v>
      </c>
      <c r="I87" s="59">
        <f>Dashboard!$D$12 * SQRT($H87)</f>
        <v>0.47198705881380043</v>
      </c>
      <c r="J87" s="60">
        <f>(Dashboard!$D$13/SQRT(Dashboard!$F$4))* SQRT(H87)</f>
        <v>0.21117155252025732</v>
      </c>
      <c r="K87" s="59">
        <f>Dashboard!$D$14 * SQRT($H87)</f>
        <v>0.73946009599405305</v>
      </c>
      <c r="L87" s="59">
        <f>( (Dashboard!$B$13/SQRT(Dashboard!$F$4))*0.5 + (Dashboard!$C$13/SQRT(Dashboard!$F$4))*0.5 ) * SQRT(H87)</f>
        <v>0.22119656793160447</v>
      </c>
      <c r="N87" s="49">
        <f>Dashboard!$F$2*N86+(1-Dashboard!$F$2)*(D87)^2</f>
        <v>6.3933288629521351E-5</v>
      </c>
      <c r="O87" s="49">
        <f>Dashboard!$F$2*O86+(1-Dashboard!$F$2)*(E87)^2</f>
        <v>6.8089322014469781E-5</v>
      </c>
      <c r="P87" s="49">
        <f>Dashboard!$F$2*P86+(1-Dashboard!$F$2)*(F87)^2</f>
        <v>5.0552813418685252E-5</v>
      </c>
      <c r="R87" s="49">
        <v>85</v>
      </c>
      <c r="S87" s="59">
        <f ca="1">Dashboard!B$8* Dashboard!$F$4+Dashboard!B$10*SQRT(Dashboard!$F$4) * _xlfn.NORM.S.INV(RAND())</f>
        <v>-2.3911913880223484E-2</v>
      </c>
      <c r="T87" s="59">
        <f ca="1">Dashboard!C$8* Dashboard!$F$4+Dashboard!C$10*SQRT(Dashboard!$F$4) * _xlfn.NORM.S.INV(RAND())</f>
        <v>3.3766509997674957E-2</v>
      </c>
      <c r="U87" s="59">
        <f ca="1">Dashboard!D$8* Dashboard!$F$4+Dashboard!D$10*SQRT(Dashboard!$F$4) * _xlfn.NORM.S.INV(RAND())</f>
        <v>-1.295655803602775E-3</v>
      </c>
    </row>
    <row r="88" spans="1:21" x14ac:dyDescent="0.2">
      <c r="A88" s="50">
        <v>46062</v>
      </c>
      <c r="B88" s="56">
        <v>25014.87</v>
      </c>
      <c r="C88" s="56">
        <v>46822.81</v>
      </c>
      <c r="D88" s="59">
        <f t="shared" si="3"/>
        <v>1.1798755710691564E-2</v>
      </c>
      <c r="E88" s="59">
        <f t="shared" si="4"/>
        <v>2.0402215720393895E-2</v>
      </c>
      <c r="F88" s="59">
        <f t="shared" si="5"/>
        <v>1.610048571554273E-2</v>
      </c>
      <c r="H88" s="49">
        <v>86</v>
      </c>
      <c r="I88" s="59">
        <f>Dashboard!$D$12 * SQRT($H88)</f>
        <v>0.47475533509553625</v>
      </c>
      <c r="J88" s="60">
        <f>(Dashboard!$D$13/SQRT(Dashboard!$F$4))* SQRT(H88)</f>
        <v>0.21241010597061744</v>
      </c>
      <c r="K88" s="59">
        <f>Dashboard!$D$14 * SQRT($H88)</f>
        <v>0.74379714254396267</v>
      </c>
      <c r="L88" s="59">
        <f>( (Dashboard!$B$13/SQRT(Dashboard!$F$4))*0.5 + (Dashboard!$C$13/SQRT(Dashboard!$F$4))*0.5 ) * SQRT(H88)</f>
        <v>0.222493919630495</v>
      </c>
      <c r="N88" s="49">
        <f>Dashboard!$F$2*N87+(1-Dashboard!$F$2)*(D88)^2</f>
        <v>6.844992949098469E-5</v>
      </c>
      <c r="O88" s="49">
        <f>Dashboard!$F$2*O87+(1-Dashboard!$F$2)*(E88)^2</f>
        <v>8.8978987071690891E-5</v>
      </c>
      <c r="P88" s="49">
        <f>Dashboard!$F$2*P87+(1-Dashboard!$F$2)*(F88)^2</f>
        <v>6.3073183030147879E-5</v>
      </c>
      <c r="R88" s="49">
        <v>86</v>
      </c>
      <c r="S88" s="59">
        <f ca="1">Dashboard!B$8* Dashboard!$F$4+Dashboard!B$10*SQRT(Dashboard!$F$4) * _xlfn.NORM.S.INV(RAND())</f>
        <v>-1.0130526527428799E-2</v>
      </c>
      <c r="T88" s="59">
        <f ca="1">Dashboard!C$8* Dashboard!$F$4+Dashboard!C$10*SQRT(Dashboard!$F$4) * _xlfn.NORM.S.INV(RAND())</f>
        <v>1.7088744765293651E-2</v>
      </c>
      <c r="U88" s="59">
        <f ca="1">Dashboard!D$8* Dashboard!$F$4+Dashboard!D$10*SQRT(Dashboard!$F$4) * _xlfn.NORM.S.INV(RAND())</f>
        <v>-1.4752950743730311E-2</v>
      </c>
    </row>
    <row r="89" spans="1:21" x14ac:dyDescent="0.2">
      <c r="A89" s="50">
        <v>46063</v>
      </c>
      <c r="B89" s="56">
        <v>24987.85</v>
      </c>
      <c r="C89" s="56">
        <v>46802.99</v>
      </c>
      <c r="D89" s="59">
        <f t="shared" si="3"/>
        <v>-1.0807413128705973E-3</v>
      </c>
      <c r="E89" s="59">
        <f t="shared" si="4"/>
        <v>-4.2338757684465321E-4</v>
      </c>
      <c r="F89" s="59">
        <f t="shared" si="5"/>
        <v>-7.5206444485762533E-4</v>
      </c>
      <c r="H89" s="49">
        <v>87</v>
      </c>
      <c r="I89" s="59">
        <f>Dashboard!$D$12 * SQRT($H89)</f>
        <v>0.47750756299314034</v>
      </c>
      <c r="J89" s="60">
        <f>(Dashboard!$D$13/SQRT(Dashboard!$F$4))* SQRT(H89)</f>
        <v>0.21364147921946725</v>
      </c>
      <c r="K89" s="59">
        <f>Dashboard!$D$14 * SQRT($H89)</f>
        <v>0.74810904615944451</v>
      </c>
      <c r="L89" s="59">
        <f>( (Dashboard!$B$13/SQRT(Dashboard!$F$4))*0.5 + (Dashboard!$C$13/SQRT(Dashboard!$F$4))*0.5 ) * SQRT(H89)</f>
        <v>0.22378375025984665</v>
      </c>
      <c r="N89" s="49">
        <f>Dashboard!$F$2*N88+(1-Dashboard!$F$2)*(D89)^2</f>
        <v>6.4413013828646325E-5</v>
      </c>
      <c r="O89" s="49">
        <f>Dashboard!$F$2*O88+(1-Dashboard!$F$2)*(E89)^2</f>
        <v>8.365100326980301E-5</v>
      </c>
      <c r="P89" s="49">
        <f>Dashboard!$F$2*P88+(1-Dashboard!$F$2)*(F89)^2</f>
        <v>5.9322728104092147E-5</v>
      </c>
      <c r="R89" s="49">
        <v>87</v>
      </c>
      <c r="S89" s="59">
        <f ca="1">Dashboard!B$8* Dashboard!$F$4+Dashboard!B$10*SQRT(Dashboard!$F$4) * _xlfn.NORM.S.INV(RAND())</f>
        <v>-4.7117177042315314E-3</v>
      </c>
      <c r="T89" s="59">
        <f ca="1">Dashboard!C$8* Dashboard!$F$4+Dashboard!C$10*SQRT(Dashboard!$F$4) * _xlfn.NORM.S.INV(RAND())</f>
        <v>-2.8264367056723416E-3</v>
      </c>
      <c r="U89" s="59">
        <f ca="1">Dashboard!D$8* Dashboard!$F$4+Dashboard!D$10*SQRT(Dashboard!$F$4) * _xlfn.NORM.S.INV(RAND())</f>
        <v>-2.4062186388848793E-2</v>
      </c>
    </row>
    <row r="90" spans="1:21" x14ac:dyDescent="0.2">
      <c r="A90" s="50">
        <v>46064</v>
      </c>
      <c r="B90" s="56">
        <v>24856.15</v>
      </c>
      <c r="C90" s="56">
        <v>46510.83</v>
      </c>
      <c r="D90" s="59">
        <f t="shared" si="3"/>
        <v>-5.2844998991668597E-3</v>
      </c>
      <c r="E90" s="59">
        <f t="shared" si="4"/>
        <v>-6.2619010703104834E-3</v>
      </c>
      <c r="F90" s="59">
        <f t="shared" si="5"/>
        <v>-5.773200484738672E-3</v>
      </c>
      <c r="H90" s="49">
        <v>88</v>
      </c>
      <c r="I90" s="59">
        <f>Dashboard!$D$12 * SQRT($H90)</f>
        <v>0.48024401842149045</v>
      </c>
      <c r="J90" s="60">
        <f>(Dashboard!$D$13/SQRT(Dashboard!$F$4))* SQRT(H90)</f>
        <v>0.21486579571377848</v>
      </c>
      <c r="K90" s="59">
        <f>Dashboard!$D$14 * SQRT($H90)</f>
        <v>0.75239623911515108</v>
      </c>
      <c r="L90" s="59">
        <f>( (Dashboard!$B$13/SQRT(Dashboard!$F$4))*0.5 + (Dashboard!$C$13/SQRT(Dashboard!$F$4))*0.5 ) * SQRT(H90)</f>
        <v>0.22506618912706916</v>
      </c>
      <c r="N90" s="49">
        <f>Dashboard!$F$2*N89+(1-Dashboard!$F$2)*(D90)^2</f>
        <v>6.2223789349985213E-5</v>
      </c>
      <c r="O90" s="49">
        <f>Dashboard!$F$2*O89+(1-Dashboard!$F$2)*(E90)^2</f>
        <v>8.098462737447615E-5</v>
      </c>
      <c r="P90" s="49">
        <f>Dashboard!$F$2*P89+(1-Dashboard!$F$2)*(F90)^2</f>
        <v>5.7763155048065826E-5</v>
      </c>
      <c r="R90" s="49">
        <v>88</v>
      </c>
      <c r="S90" s="59">
        <f ca="1">Dashboard!B$8* Dashboard!$F$4+Dashboard!B$10*SQRT(Dashboard!$F$4) * _xlfn.NORM.S.INV(RAND())</f>
        <v>1.9689678338304942E-2</v>
      </c>
      <c r="T90" s="59">
        <f ca="1">Dashboard!C$8* Dashboard!$F$4+Dashboard!C$10*SQRT(Dashboard!$F$4) * _xlfn.NORM.S.INV(RAND())</f>
        <v>-1.6686331887177663E-2</v>
      </c>
      <c r="U90" s="59">
        <f ca="1">Dashboard!D$8* Dashboard!$F$4+Dashboard!D$10*SQRT(Dashboard!$F$4) * _xlfn.NORM.S.INV(RAND())</f>
        <v>4.001817384695467E-2</v>
      </c>
    </row>
    <row r="91" spans="1:21" x14ac:dyDescent="0.2">
      <c r="A91" s="50">
        <v>46065</v>
      </c>
      <c r="B91" s="56">
        <v>24852.69</v>
      </c>
      <c r="C91" s="56">
        <v>46222.95</v>
      </c>
      <c r="D91" s="59">
        <f t="shared" si="3"/>
        <v>-1.3921065169058441E-4</v>
      </c>
      <c r="E91" s="59">
        <f t="shared" si="4"/>
        <v>-6.2087607079739857E-3</v>
      </c>
      <c r="F91" s="59">
        <f t="shared" si="5"/>
        <v>-3.1739856798322849E-3</v>
      </c>
      <c r="H91" s="49">
        <v>89</v>
      </c>
      <c r="I91" s="59">
        <f>Dashboard!$D$12 * SQRT($H91)</f>
        <v>0.48296496947873324</v>
      </c>
      <c r="J91" s="60">
        <f>(Dashboard!$D$13/SQRT(Dashboard!$F$4))* SQRT(H91)</f>
        <v>0.21608317540324212</v>
      </c>
      <c r="K91" s="59">
        <f>Dashboard!$D$14 * SQRT($H91)</f>
        <v>0.75665914143929647</v>
      </c>
      <c r="L91" s="59">
        <f>( (Dashboard!$B$13/SQRT(Dashboard!$F$4))*0.5 + (Dashboard!$C$13/SQRT(Dashboard!$F$4))*0.5 ) * SQRT(H91)</f>
        <v>0.226341361876264</v>
      </c>
      <c r="N91" s="49">
        <f>Dashboard!$F$2*N90+(1-Dashboard!$F$2)*(D91)^2</f>
        <v>5.8491524765318743E-5</v>
      </c>
      <c r="O91" s="49">
        <f>Dashboard!$F$2*O90+(1-Dashboard!$F$2)*(E91)^2</f>
        <v>7.843847230374048E-5</v>
      </c>
      <c r="P91" s="49">
        <f>Dashboard!$F$2*P90+(1-Dashboard!$F$2)*(F91)^2</f>
        <v>5.4901816850928696E-5</v>
      </c>
      <c r="R91" s="49">
        <v>89</v>
      </c>
      <c r="S91" s="59">
        <f ca="1">Dashboard!B$8* Dashboard!$F$4+Dashboard!B$10*SQRT(Dashboard!$F$4) * _xlfn.NORM.S.INV(RAND())</f>
        <v>2.1784535261438087E-2</v>
      </c>
      <c r="T91" s="59">
        <f ca="1">Dashboard!C$8* Dashboard!$F$4+Dashboard!C$10*SQRT(Dashboard!$F$4) * _xlfn.NORM.S.INV(RAND())</f>
        <v>-2.8076085461906746E-2</v>
      </c>
      <c r="U91" s="59">
        <f ca="1">Dashboard!D$8* Dashboard!$F$4+Dashboard!D$10*SQRT(Dashboard!$F$4) * _xlfn.NORM.S.INV(RAND())</f>
        <v>9.3855102993435167E-3</v>
      </c>
    </row>
    <row r="92" spans="1:21" x14ac:dyDescent="0.2">
      <c r="A92" s="50">
        <v>46066</v>
      </c>
      <c r="B92" s="56">
        <v>24914.880000000001</v>
      </c>
      <c r="C92" s="56">
        <v>45430.62</v>
      </c>
      <c r="D92" s="59">
        <f t="shared" si="3"/>
        <v>2.4992191650263802E-3</v>
      </c>
      <c r="E92" s="59">
        <f t="shared" si="4"/>
        <v>-1.7290100945630268E-2</v>
      </c>
      <c r="F92" s="59">
        <f t="shared" si="5"/>
        <v>-7.3954408903019438E-3</v>
      </c>
      <c r="H92" s="49">
        <v>90</v>
      </c>
      <c r="I92" s="59">
        <f>Dashboard!$D$12 * SQRT($H92)</f>
        <v>0.48567067675284531</v>
      </c>
      <c r="J92" s="60">
        <f>(Dashboard!$D$13/SQRT(Dashboard!$F$4))* SQRT(H92)</f>
        <v>0.21729373487742676</v>
      </c>
      <c r="K92" s="59">
        <f>Dashboard!$D$14 * SQRT($H92)</f>
        <v>0.76089816139394317</v>
      </c>
      <c r="L92" s="59">
        <f>( (Dashboard!$B$13/SQRT(Dashboard!$F$4))*0.5 + (Dashboard!$C$13/SQRT(Dashboard!$F$4))*0.5 ) * SQRT(H92)</f>
        <v>0.22760939063189409</v>
      </c>
      <c r="N92" s="49">
        <f>Dashboard!$F$2*N91+(1-Dashboard!$F$2)*(D92)^2</f>
        <v>5.535679906548973E-5</v>
      </c>
      <c r="O92" s="49">
        <f>Dashboard!$F$2*O91+(1-Dashboard!$F$2)*(E92)^2</f>
        <v>9.166901940812114E-5</v>
      </c>
      <c r="P92" s="49">
        <f>Dashboard!$F$2*P91+(1-Dashboard!$F$2)*(F92)^2</f>
        <v>5.4889260597589978E-5</v>
      </c>
      <c r="R92" s="49">
        <v>90</v>
      </c>
      <c r="S92" s="59">
        <f ca="1">Dashboard!B$8* Dashboard!$F$4+Dashboard!B$10*SQRT(Dashboard!$F$4) * _xlfn.NORM.S.INV(RAND())</f>
        <v>-2.6009497868470934E-2</v>
      </c>
      <c r="T92" s="59">
        <f ca="1">Dashboard!C$8* Dashboard!$F$4+Dashboard!C$10*SQRT(Dashboard!$F$4) * _xlfn.NORM.S.INV(RAND())</f>
        <v>2.2344669848732783E-2</v>
      </c>
      <c r="U92" s="59">
        <f ca="1">Dashboard!D$8* Dashboard!$F$4+Dashboard!D$10*SQRT(Dashboard!$F$4) * _xlfn.NORM.S.INV(RAND())</f>
        <v>-5.5892199300923316E-3</v>
      </c>
    </row>
    <row r="93" spans="1:21" x14ac:dyDescent="0.2">
      <c r="A93" s="50">
        <v>46069</v>
      </c>
      <c r="B93" s="56">
        <v>24800.91</v>
      </c>
      <c r="C93" s="56">
        <v>45419.199999999997</v>
      </c>
      <c r="D93" s="59">
        <f t="shared" si="3"/>
        <v>-4.5848692999600491E-3</v>
      </c>
      <c r="E93" s="59">
        <f t="shared" si="4"/>
        <v>-2.514039116456873E-4</v>
      </c>
      <c r="F93" s="59">
        <f t="shared" si="5"/>
        <v>-2.4181366058028684E-3</v>
      </c>
      <c r="H93" s="49">
        <v>91</v>
      </c>
      <c r="I93" s="59">
        <f>Dashboard!$D$12 * SQRT($H93)</f>
        <v>0.48836139361290598</v>
      </c>
      <c r="J93" s="60">
        <f>(Dashboard!$D$13/SQRT(Dashboard!$F$4))* SQRT(H93)</f>
        <v>0.21849758749609699</v>
      </c>
      <c r="K93" s="59">
        <f>Dashboard!$D$14 * SQRT($H93)</f>
        <v>0.76511369593133871</v>
      </c>
      <c r="L93" s="59">
        <f>( (Dashboard!$B$13/SQRT(Dashboard!$F$4))*0.5 + (Dashboard!$C$13/SQRT(Dashboard!$F$4))*0.5 ) * SQRT(H93)</f>
        <v>0.2288703941352887</v>
      </c>
      <c r="N93" s="49">
        <f>Dashboard!$F$2*N92+(1-Dashboard!$F$2)*(D93)^2</f>
        <v>5.3296652711423314E-5</v>
      </c>
      <c r="O93" s="49">
        <f>Dashboard!$F$2*O92+(1-Dashboard!$F$2)*(E93)^2</f>
        <v>8.6172670479241315E-5</v>
      </c>
      <c r="P93" s="49">
        <f>Dashboard!$F$2*P92+(1-Dashboard!$F$2)*(F93)^2</f>
        <v>5.1946748040394005E-5</v>
      </c>
      <c r="R93" s="49">
        <v>91</v>
      </c>
      <c r="S93" s="59">
        <f ca="1">Dashboard!B$8* Dashboard!$F$4+Dashboard!B$10*SQRT(Dashboard!$F$4) * _xlfn.NORM.S.INV(RAND())</f>
        <v>-3.8378136382411145E-2</v>
      </c>
      <c r="T93" s="59">
        <f ca="1">Dashboard!C$8* Dashboard!$F$4+Dashboard!C$10*SQRT(Dashboard!$F$4) * _xlfn.NORM.S.INV(RAND())</f>
        <v>8.6285541025720169E-3</v>
      </c>
      <c r="U93" s="59">
        <f ca="1">Dashboard!D$8* Dashboard!$F$4+Dashboard!D$10*SQRT(Dashboard!$F$4) * _xlfn.NORM.S.INV(RAND())</f>
        <v>-6.3937763146930775E-3</v>
      </c>
    </row>
    <row r="94" spans="1:21" x14ac:dyDescent="0.2">
      <c r="A94" s="50">
        <v>46070</v>
      </c>
      <c r="B94" s="56">
        <v>24998.400000000001</v>
      </c>
      <c r="C94" s="56">
        <v>45764.07</v>
      </c>
      <c r="D94" s="59">
        <f t="shared" si="3"/>
        <v>7.931476773981665E-3</v>
      </c>
      <c r="E94" s="59">
        <f t="shared" si="4"/>
        <v>7.5643622879809783E-3</v>
      </c>
      <c r="F94" s="59">
        <f t="shared" si="5"/>
        <v>7.7479195309813221E-3</v>
      </c>
      <c r="H94" s="49">
        <v>92</v>
      </c>
      <c r="I94" s="59">
        <f>Dashboard!$D$12 * SQRT($H94)</f>
        <v>0.49103736648600649</v>
      </c>
      <c r="J94" s="60">
        <f>(Dashboard!$D$13/SQRT(Dashboard!$F$4))* SQRT(H94)</f>
        <v>0.21969484351310498</v>
      </c>
      <c r="K94" s="59">
        <f>Dashboard!$D$14 * SQRT($H94)</f>
        <v>0.76930613112774726</v>
      </c>
      <c r="L94" s="59">
        <f>( (Dashboard!$B$13/SQRT(Dashboard!$F$4))*0.5 + (Dashboard!$C$13/SQRT(Dashboard!$F$4))*0.5 ) * SQRT(H94)</f>
        <v>0.23012448787441686</v>
      </c>
      <c r="N94" s="49">
        <f>Dashboard!$F$2*N93+(1-Dashboard!$F$2)*(D94)^2</f>
        <v>5.3873352977710555E-5</v>
      </c>
      <c r="O94" s="49">
        <f>Dashboard!$F$2*O93+(1-Dashboard!$F$2)*(E94)^2</f>
        <v>8.4435484859916567E-5</v>
      </c>
      <c r="P94" s="49">
        <f>Dashboard!$F$2*P93+(1-Dashboard!$F$2)*(F94)^2</f>
        <v>5.2431758581484073E-5</v>
      </c>
      <c r="R94" s="49">
        <v>92</v>
      </c>
      <c r="S94" s="59">
        <f ca="1">Dashboard!B$8* Dashboard!$F$4+Dashboard!B$10*SQRT(Dashboard!$F$4) * _xlfn.NORM.S.INV(RAND())</f>
        <v>2.2322256535961545E-2</v>
      </c>
      <c r="T94" s="59">
        <f ca="1">Dashboard!C$8* Dashboard!$F$4+Dashboard!C$10*SQRT(Dashboard!$F$4) * _xlfn.NORM.S.INV(RAND())</f>
        <v>-7.1647176442199258E-3</v>
      </c>
      <c r="U94" s="59">
        <f ca="1">Dashboard!D$8* Dashboard!$F$4+Dashboard!D$10*SQRT(Dashboard!$F$4) * _xlfn.NORM.S.INV(RAND())</f>
        <v>1.4752581145736495E-2</v>
      </c>
    </row>
    <row r="95" spans="1:21" x14ac:dyDescent="0.2">
      <c r="A95" s="50">
        <v>46071</v>
      </c>
      <c r="B95" s="56">
        <v>25278.21</v>
      </c>
      <c r="C95" s="56">
        <v>46361.09</v>
      </c>
      <c r="D95" s="59">
        <f t="shared" si="3"/>
        <v>1.113093698958669E-2</v>
      </c>
      <c r="E95" s="59">
        <f t="shared" si="4"/>
        <v>1.2961244419026624E-2</v>
      </c>
      <c r="F95" s="59">
        <f t="shared" si="5"/>
        <v>1.2046090704306657E-2</v>
      </c>
      <c r="H95" s="49">
        <v>93</v>
      </c>
      <c r="I95" s="59">
        <f>Dashboard!$D$12 * SQRT($H95)</f>
        <v>0.49369883512064888</v>
      </c>
      <c r="J95" s="60">
        <f>(Dashboard!$D$13/SQRT(Dashboard!$F$4))* SQRT(H95)</f>
        <v>0.22088561019423789</v>
      </c>
      <c r="K95" s="59">
        <f>Dashboard!$D$14 * SQRT($H95)</f>
        <v>0.77347584259611668</v>
      </c>
      <c r="L95" s="59">
        <f>( (Dashboard!$B$13/SQRT(Dashboard!$F$4))*0.5 + (Dashboard!$C$13/SQRT(Dashboard!$F$4))*0.5 ) * SQRT(H95)</f>
        <v>0.23137178420732915</v>
      </c>
      <c r="N95" s="49">
        <f>Dashboard!$F$2*N94+(1-Dashboard!$F$2)*(D95)^2</f>
        <v>5.8074817295016874E-5</v>
      </c>
      <c r="O95" s="49">
        <f>Dashboard!$F$2*O94+(1-Dashboard!$F$2)*(E95)^2</f>
        <v>8.9448987181706512E-5</v>
      </c>
      <c r="P95" s="49">
        <f>Dashboard!$F$2*P94+(1-Dashboard!$F$2)*(F95)^2</f>
        <v>5.7992351141978026E-5</v>
      </c>
      <c r="R95" s="49">
        <v>93</v>
      </c>
      <c r="S95" s="59">
        <f ca="1">Dashboard!B$8* Dashboard!$F$4+Dashboard!B$10*SQRT(Dashboard!$F$4) * _xlfn.NORM.S.INV(RAND())</f>
        <v>7.858077112884547E-3</v>
      </c>
      <c r="T95" s="59">
        <f ca="1">Dashboard!C$8* Dashboard!$F$4+Dashboard!C$10*SQRT(Dashboard!$F$4) * _xlfn.NORM.S.INV(RAND())</f>
        <v>-1.323390268142062E-2</v>
      </c>
      <c r="U95" s="59">
        <f ca="1">Dashboard!D$8* Dashboard!$F$4+Dashboard!D$10*SQRT(Dashboard!$F$4) * _xlfn.NORM.S.INV(RAND())</f>
        <v>3.0383594870993832E-2</v>
      </c>
    </row>
    <row r="96" spans="1:21" x14ac:dyDescent="0.2">
      <c r="A96" s="50">
        <v>46072</v>
      </c>
      <c r="B96" s="56">
        <v>25043.57</v>
      </c>
      <c r="C96" s="56">
        <v>45794.22</v>
      </c>
      <c r="D96" s="59">
        <f t="shared" si="3"/>
        <v>-9.3256518552235577E-3</v>
      </c>
      <c r="E96" s="59">
        <f t="shared" si="4"/>
        <v>-1.2302647560352193E-2</v>
      </c>
      <c r="F96" s="59">
        <f t="shared" si="5"/>
        <v>-1.0814149707787876E-2</v>
      </c>
      <c r="H96" s="49">
        <v>94</v>
      </c>
      <c r="I96" s="59">
        <f>Dashboard!$D$12 * SQRT($H96)</f>
        <v>0.4963460328374335</v>
      </c>
      <c r="J96" s="60">
        <f>(Dashboard!$D$13/SQRT(Dashboard!$F$4))* SQRT(H96)</f>
        <v>0.22206999192937785</v>
      </c>
      <c r="K96" s="59">
        <f>Dashboard!$D$14 * SQRT($H96)</f>
        <v>0.77762319587882822</v>
      </c>
      <c r="L96" s="59">
        <f>( (Dashboard!$B$13/SQRT(Dashboard!$F$4))*0.5 + (Dashboard!$C$13/SQRT(Dashboard!$F$4))*0.5 ) * SQRT(H96)</f>
        <v>0.23261239247964227</v>
      </c>
      <c r="N96" s="49">
        <f>Dashboard!$F$2*N95+(1-Dashboard!$F$2)*(D96)^2</f>
        <v>5.9808395208805935E-5</v>
      </c>
      <c r="O96" s="49">
        <f>Dashboard!$F$2*O95+(1-Dashboard!$F$2)*(E96)^2</f>
        <v>9.3163356170458512E-5</v>
      </c>
      <c r="P96" s="49">
        <f>Dashboard!$F$2*P95+(1-Dashboard!$F$2)*(F96)^2</f>
        <v>6.1529560107606264E-5</v>
      </c>
      <c r="R96" s="49">
        <v>94</v>
      </c>
      <c r="S96" s="59">
        <f ca="1">Dashboard!B$8* Dashboard!$F$4+Dashboard!B$10*SQRT(Dashboard!$F$4) * _xlfn.NORM.S.INV(RAND())</f>
        <v>-5.7434644417820056E-2</v>
      </c>
      <c r="T96" s="59">
        <f ca="1">Dashboard!C$8* Dashboard!$F$4+Dashboard!C$10*SQRT(Dashboard!$F$4) * _xlfn.NORM.S.INV(RAND())</f>
        <v>-1.656289306310289E-2</v>
      </c>
      <c r="U96" s="59">
        <f ca="1">Dashboard!D$8* Dashboard!$F$4+Dashboard!D$10*SQRT(Dashboard!$F$4) * _xlfn.NORM.S.INV(RAND())</f>
        <v>4.0883811030489235E-2</v>
      </c>
    </row>
    <row r="97" spans="1:21" x14ac:dyDescent="0.2">
      <c r="A97" s="50">
        <v>46073</v>
      </c>
      <c r="B97" s="56">
        <v>25260.69</v>
      </c>
      <c r="C97" s="56">
        <v>46472.98</v>
      </c>
      <c r="D97" s="59">
        <f t="shared" si="3"/>
        <v>8.6323245092849929E-3</v>
      </c>
      <c r="E97" s="59">
        <f t="shared" si="4"/>
        <v>1.4713186152054596E-2</v>
      </c>
      <c r="F97" s="59">
        <f t="shared" si="5"/>
        <v>1.1672755330669794E-2</v>
      </c>
      <c r="H97" s="49">
        <v>95</v>
      </c>
      <c r="I97" s="59">
        <f>Dashboard!$D$12 * SQRT($H97)</f>
        <v>0.49897918676777647</v>
      </c>
      <c r="J97" s="60">
        <f>(Dashboard!$D$13/SQRT(Dashboard!$F$4))* SQRT(H97)</f>
        <v>0.22324809033930629</v>
      </c>
      <c r="K97" s="59">
        <f>Dashboard!$D$14 * SQRT($H97)</f>
        <v>0.78174854682169514</v>
      </c>
      <c r="L97" s="59">
        <f>( (Dashboard!$B$13/SQRT(Dashboard!$F$4))*0.5 + (Dashboard!$C$13/SQRT(Dashboard!$F$4))*0.5 ) * SQRT(H97)</f>
        <v>0.23384641913641391</v>
      </c>
      <c r="N97" s="49">
        <f>Dashboard!$F$2*N96+(1-Dashboard!$F$2)*(D97)^2</f>
        <v>6.0690913082293724E-5</v>
      </c>
      <c r="O97" s="49">
        <f>Dashboard!$F$2*O96+(1-Dashboard!$F$2)*(E97)^2</f>
        <v>1.0056222560493167E-4</v>
      </c>
      <c r="P97" s="49">
        <f>Dashboard!$F$2*P96+(1-Dashboard!$F$2)*(F97)^2</f>
        <v>6.6012979521730698E-5</v>
      </c>
      <c r="R97" s="49">
        <v>95</v>
      </c>
      <c r="S97" s="59">
        <f ca="1">Dashboard!B$8* Dashboard!$F$4+Dashboard!B$10*SQRT(Dashboard!$F$4) * _xlfn.NORM.S.INV(RAND())</f>
        <v>1.4619660722328716E-2</v>
      </c>
      <c r="T97" s="59">
        <f ca="1">Dashboard!C$8* Dashboard!$F$4+Dashboard!C$10*SQRT(Dashboard!$F$4) * _xlfn.NORM.S.INV(RAND())</f>
        <v>-2.8799244057671246E-3</v>
      </c>
      <c r="U97" s="59">
        <f ca="1">Dashboard!D$8* Dashboard!$F$4+Dashboard!D$10*SQRT(Dashboard!$F$4) * _xlfn.NORM.S.INV(RAND())</f>
        <v>1.4100040764719903E-2</v>
      </c>
    </row>
    <row r="98" spans="1:21" x14ac:dyDescent="0.2">
      <c r="A98" s="50">
        <v>46076</v>
      </c>
      <c r="B98" s="56">
        <v>24991.97</v>
      </c>
      <c r="C98" s="56">
        <v>46699.29</v>
      </c>
      <c r="D98" s="59">
        <f t="shared" si="3"/>
        <v>-1.0694859191329379E-2</v>
      </c>
      <c r="E98" s="59">
        <f t="shared" si="4"/>
        <v>4.8578926983229133E-3</v>
      </c>
      <c r="F98" s="59">
        <f t="shared" si="5"/>
        <v>-2.9184832465032327E-3</v>
      </c>
      <c r="H98" s="49">
        <v>96</v>
      </c>
      <c r="I98" s="59">
        <f>Dashboard!$D$12 * SQRT($H98)</f>
        <v>0.50159851808134814</v>
      </c>
      <c r="J98" s="60">
        <f>(Dashboard!$D$13/SQRT(Dashboard!$F$4))* SQRT(H98)</f>
        <v>0.22442000437746226</v>
      </c>
      <c r="K98" s="59">
        <f>Dashboard!$D$14 * SQRT($H98)</f>
        <v>0.78585224193028935</v>
      </c>
      <c r="L98" s="59">
        <f>( (Dashboard!$B$13/SQRT(Dashboard!$F$4))*0.5 + (Dashboard!$C$13/SQRT(Dashboard!$F$4))*0.5 ) * SQRT(H98)</f>
        <v>0.23507396782873177</v>
      </c>
      <c r="N98" s="49">
        <f>Dashboard!$F$2*N97+(1-Dashboard!$F$2)*(D98)^2</f>
        <v>6.3912259084697849E-5</v>
      </c>
      <c r="O98" s="49">
        <f>Dashboard!$F$2*O97+(1-Dashboard!$F$2)*(E98)^2</f>
        <v>9.5944439356740918E-5</v>
      </c>
      <c r="P98" s="49">
        <f>Dashboard!$F$2*P97+(1-Dashboard!$F$2)*(F98)^2</f>
        <v>6.2563253418034066E-5</v>
      </c>
      <c r="R98" s="49">
        <v>96</v>
      </c>
      <c r="S98" s="59">
        <f ca="1">Dashboard!B$8* Dashboard!$F$4+Dashboard!B$10*SQRT(Dashboard!$F$4) * _xlfn.NORM.S.INV(RAND())</f>
        <v>-5.7640972178821859E-2</v>
      </c>
      <c r="T98" s="59">
        <f ca="1">Dashboard!C$8* Dashboard!$F$4+Dashboard!C$10*SQRT(Dashboard!$F$4) * _xlfn.NORM.S.INV(RAND())</f>
        <v>-5.839253726819095E-2</v>
      </c>
      <c r="U98" s="59">
        <f ca="1">Dashboard!D$8* Dashboard!$F$4+Dashboard!D$10*SQRT(Dashboard!$F$4) * _xlfn.NORM.S.INV(RAND())</f>
        <v>-5.4512758625752084E-2</v>
      </c>
    </row>
    <row r="99" spans="1:21" x14ac:dyDescent="0.2">
      <c r="A99" s="50">
        <v>46077</v>
      </c>
      <c r="B99" s="56">
        <v>24986.25</v>
      </c>
      <c r="C99" s="56">
        <v>46651.72</v>
      </c>
      <c r="D99" s="59">
        <f t="shared" si="3"/>
        <v>-2.2889970971257622E-4</v>
      </c>
      <c r="E99" s="59">
        <f t="shared" si="4"/>
        <v>-1.0191642086691984E-3</v>
      </c>
      <c r="F99" s="59">
        <f t="shared" si="5"/>
        <v>-6.2403195919088724E-4</v>
      </c>
      <c r="H99" s="49">
        <v>97</v>
      </c>
      <c r="I99" s="59">
        <f>Dashboard!$D$12 * SQRT($H99)</f>
        <v>0.50420424220287696</v>
      </c>
      <c r="J99" s="60">
        <f>(Dashboard!$D$13/SQRT(Dashboard!$F$4))* SQRT(H99)</f>
        <v>0.22558583042694264</v>
      </c>
      <c r="K99" s="59">
        <f>Dashboard!$D$14 * SQRT($H99)</f>
        <v>0.78993461870960668</v>
      </c>
      <c r="L99" s="59">
        <f>( (Dashboard!$B$13/SQRT(Dashboard!$F$4))*0.5 + (Dashboard!$C$13/SQRT(Dashboard!$F$4))*0.5 ) * SQRT(H99)</f>
        <v>0.23629513951531855</v>
      </c>
      <c r="N99" s="49">
        <f>Dashboard!$F$2*N98+(1-Dashboard!$F$2)*(D99)^2</f>
        <v>6.0080667244242369E-5</v>
      </c>
      <c r="O99" s="49">
        <f>Dashboard!$F$2*O98+(1-Dashboard!$F$2)*(E99)^2</f>
        <v>9.0250094736390402E-5</v>
      </c>
      <c r="P99" s="49">
        <f>Dashboard!$F$2*P98+(1-Dashboard!$F$2)*(F99)^2</f>
        <v>5.8832823166117513E-5</v>
      </c>
      <c r="R99" s="49">
        <v>97</v>
      </c>
      <c r="S99" s="59">
        <f ca="1">Dashboard!B$8* Dashboard!$F$4+Dashboard!B$10*SQRT(Dashboard!$F$4) * _xlfn.NORM.S.INV(RAND())</f>
        <v>-8.7564761247655998E-2</v>
      </c>
      <c r="T99" s="59">
        <f ca="1">Dashboard!C$8* Dashboard!$F$4+Dashboard!C$10*SQRT(Dashboard!$F$4) * _xlfn.NORM.S.INV(RAND())</f>
        <v>1.4215214877962741E-2</v>
      </c>
      <c r="U99" s="59">
        <f ca="1">Dashboard!D$8* Dashboard!$F$4+Dashboard!D$10*SQRT(Dashboard!$F$4) * _xlfn.NORM.S.INV(RAND())</f>
        <v>-4.3296913246663127E-2</v>
      </c>
    </row>
    <row r="100" spans="1:21" x14ac:dyDescent="0.2">
      <c r="A100" s="50">
        <v>46078</v>
      </c>
      <c r="B100" s="56">
        <v>25175.94</v>
      </c>
      <c r="C100" s="56">
        <v>47170.44</v>
      </c>
      <c r="D100" s="59">
        <f t="shared" si="3"/>
        <v>7.563102974429972E-3</v>
      </c>
      <c r="E100" s="59">
        <f t="shared" si="4"/>
        <v>1.1057628290868335E-2</v>
      </c>
      <c r="F100" s="59">
        <f t="shared" si="5"/>
        <v>9.3103656326491528E-3</v>
      </c>
      <c r="H100" s="49">
        <v>98</v>
      </c>
      <c r="I100" s="59">
        <f>Dashboard!$D$12 * SQRT($H100)</f>
        <v>0.50679656901892145</v>
      </c>
      <c r="J100" s="60">
        <f>(Dashboard!$D$13/SQRT(Dashboard!$F$4))* SQRT(H100)</f>
        <v>0.22674566239301347</v>
      </c>
      <c r="K100" s="59">
        <f>Dashboard!$D$14 * SQRT($H100)</f>
        <v>0.79399600598801612</v>
      </c>
      <c r="L100" s="59">
        <f>( (Dashboard!$B$13/SQRT(Dashboard!$F$4))*0.5 + (Dashboard!$C$13/SQRT(Dashboard!$F$4))*0.5 ) * SQRT(H100)</f>
        <v>0.23751003255943551</v>
      </c>
      <c r="N100" s="49">
        <f>Dashboard!$F$2*N99+(1-Dashboard!$F$2)*(D100)^2</f>
        <v>5.990785880569772E-5</v>
      </c>
      <c r="O100" s="49">
        <f>Dashboard!$F$2*O99+(1-Dashboard!$F$2)*(E100)^2</f>
        <v>9.217135765734769E-5</v>
      </c>
      <c r="P100" s="49">
        <f>Dashboard!$F$2*P99+(1-Dashboard!$F$2)*(F100)^2</f>
        <v>6.0503828268967328E-5</v>
      </c>
      <c r="R100" s="49">
        <v>98</v>
      </c>
      <c r="S100" s="59">
        <f ca="1">Dashboard!B$8* Dashboard!$F$4+Dashboard!B$10*SQRT(Dashboard!$F$4) * _xlfn.NORM.S.INV(RAND())</f>
        <v>7.2541604230902355E-3</v>
      </c>
      <c r="T100" s="59">
        <f ca="1">Dashboard!C$8* Dashboard!$F$4+Dashboard!C$10*SQRT(Dashboard!$F$4) * _xlfn.NORM.S.INV(RAND())</f>
        <v>5.0050922129238402E-2</v>
      </c>
      <c r="U100" s="59">
        <f ca="1">Dashboard!D$8* Dashboard!$F$4+Dashboard!D$10*SQRT(Dashboard!$F$4) * _xlfn.NORM.S.INV(RAND())</f>
        <v>-1.0666073076447107E-2</v>
      </c>
    </row>
    <row r="101" spans="1:21" x14ac:dyDescent="0.2">
      <c r="A101" s="50">
        <v>46079</v>
      </c>
      <c r="B101" s="56">
        <v>25289.02</v>
      </c>
      <c r="C101" s="56">
        <v>47425.94</v>
      </c>
      <c r="D101" s="59">
        <f t="shared" si="3"/>
        <v>4.481532899638074E-3</v>
      </c>
      <c r="E101" s="59">
        <f t="shared" si="4"/>
        <v>5.4019111789320867E-3</v>
      </c>
      <c r="F101" s="59">
        <f t="shared" si="5"/>
        <v>4.9417220392850804E-3</v>
      </c>
      <c r="H101" s="49">
        <v>99</v>
      </c>
      <c r="I101" s="59">
        <f>Dashboard!$D$12 * SQRT($H101)</f>
        <v>0.50937570307516966</v>
      </c>
      <c r="J101" s="60">
        <f>(Dashboard!$D$13/SQRT(Dashboard!$F$4))* SQRT(H101)</f>
        <v>0.22789959179138425</v>
      </c>
      <c r="K101" s="59">
        <f>Dashboard!$D$14 * SQRT($H101)</f>
        <v>0.79803672422636762</v>
      </c>
      <c r="L101" s="59">
        <f>( (Dashboard!$B$13/SQRT(Dashboard!$F$4))*0.5 + (Dashboard!$C$13/SQRT(Dashboard!$F$4))*0.5 ) * SQRT(H101)</f>
        <v>0.23871874282134689</v>
      </c>
      <c r="N101" s="49">
        <f>Dashboard!$F$2*N100+(1-Dashboard!$F$2)*(D101)^2</f>
        <v>5.7518435505188167E-5</v>
      </c>
      <c r="O101" s="49">
        <f>Dashboard!$F$2*O100+(1-Dashboard!$F$2)*(E101)^2</f>
        <v>8.8391914861011113E-5</v>
      </c>
      <c r="P101" s="49">
        <f>Dashboard!$F$2*P100+(1-Dashboard!$F$2)*(F101)^2</f>
        <v>5.8338835575642643E-5</v>
      </c>
      <c r="R101" s="49">
        <v>99</v>
      </c>
      <c r="S101" s="59">
        <f ca="1">Dashboard!B$8* Dashboard!$F$4+Dashboard!B$10*SQRT(Dashboard!$F$4) * _xlfn.NORM.S.INV(RAND())</f>
        <v>6.375595442954584E-3</v>
      </c>
      <c r="T101" s="59">
        <f ca="1">Dashboard!C$8* Dashboard!$F$4+Dashboard!C$10*SQRT(Dashboard!$F$4) * _xlfn.NORM.S.INV(RAND())</f>
        <v>8.4588882400794568E-2</v>
      </c>
      <c r="U101" s="59">
        <f ca="1">Dashboard!D$8* Dashboard!$F$4+Dashboard!D$10*SQRT(Dashboard!$F$4) * _xlfn.NORM.S.INV(RAND())</f>
        <v>8.4536071230453431E-3</v>
      </c>
    </row>
    <row r="102" spans="1:21" x14ac:dyDescent="0.2">
      <c r="A102" s="50">
        <v>46080</v>
      </c>
      <c r="B102" s="56">
        <v>25284.26</v>
      </c>
      <c r="C102" s="56">
        <v>47209.89</v>
      </c>
      <c r="D102" s="59">
        <f t="shared" si="3"/>
        <v>-1.8824169656617184E-4</v>
      </c>
      <c r="E102" s="59">
        <f t="shared" si="4"/>
        <v>-4.5659318536317994E-3</v>
      </c>
      <c r="F102" s="59">
        <f t="shared" si="5"/>
        <v>-2.3770867750989855E-3</v>
      </c>
      <c r="H102" s="49">
        <v>100</v>
      </c>
      <c r="I102" s="59">
        <f>Dashboard!$D$12 * SQRT($H102)</f>
        <v>0.51194184376479368</v>
      </c>
      <c r="J102" s="60">
        <f>(Dashboard!$D$13/SQRT(Dashboard!$F$4))* SQRT(H102)</f>
        <v>0.22904770783247907</v>
      </c>
      <c r="K102" s="59">
        <f>Dashboard!$D$14 * SQRT($H102)</f>
        <v>0.80205708581308688</v>
      </c>
      <c r="L102" s="59">
        <f>( (Dashboard!$B$13/SQRT(Dashboard!$F$4))*0.5 + (Dashboard!$C$13/SQRT(Dashboard!$F$4))*0.5 ) * SQRT(H102)</f>
        <v>0.2399213637465922</v>
      </c>
      <c r="N102" s="49">
        <f>Dashboard!$F$2*N101+(1-Dashboard!$F$2)*(D102)^2</f>
        <v>5.406945547105644E-5</v>
      </c>
      <c r="O102" s="49">
        <f>Dashboard!$F$2*O101+(1-Dashboard!$F$2)*(E102)^2</f>
        <v>8.4339263990871013E-5</v>
      </c>
      <c r="P102" s="49">
        <f>Dashboard!$F$2*P101+(1-Dashboard!$F$2)*(F102)^2</f>
        <v>5.5177537933285112E-5</v>
      </c>
      <c r="R102" s="49">
        <v>100</v>
      </c>
      <c r="S102" s="59">
        <f ca="1">Dashboard!B$8* Dashboard!$F$4+Dashboard!B$10*SQRT(Dashboard!$F$4) * _xlfn.NORM.S.INV(RAND())</f>
        <v>1.1102838676322314E-2</v>
      </c>
      <c r="T102" s="59">
        <f ca="1">Dashboard!C$8* Dashboard!$F$4+Dashboard!C$10*SQRT(Dashboard!$F$4) * _xlfn.NORM.S.INV(RAND())</f>
        <v>6.9031488454963583E-3</v>
      </c>
      <c r="U102" s="59">
        <f ca="1">Dashboard!D$8* Dashboard!$F$4+Dashboard!D$10*SQRT(Dashboard!$F$4) * _xlfn.NORM.S.INV(RAND())</f>
        <v>-8.4871250130454136E-3</v>
      </c>
    </row>
    <row r="103" spans="1:21" x14ac:dyDescent="0.2">
      <c r="A103" s="50">
        <v>46083</v>
      </c>
      <c r="B103" s="56">
        <v>24638</v>
      </c>
      <c r="C103" s="56">
        <v>46280.4</v>
      </c>
      <c r="D103" s="59">
        <f t="shared" si="3"/>
        <v>-2.5892101200438944E-2</v>
      </c>
      <c r="E103" s="59">
        <f t="shared" si="4"/>
        <v>-1.9884859210177651E-2</v>
      </c>
      <c r="F103" s="59">
        <f t="shared" si="5"/>
        <v>-2.2888480205308297E-2</v>
      </c>
      <c r="N103" s="49">
        <f>Dashboard!$F$2*N102+(1-Dashboard!$F$2)*(D103)^2</f>
        <v>9.1049342417219391E-5</v>
      </c>
      <c r="O103" s="49">
        <f>Dashboard!$F$2*O102+(1-Dashboard!$F$2)*(E103)^2</f>
        <v>1.0300336569993399E-4</v>
      </c>
      <c r="P103" s="49">
        <f>Dashboard!$F$2*P102+(1-Dashboard!$F$2)*(F103)^2</f>
        <v>8.3299837223815411E-5</v>
      </c>
      <c r="R103" s="49">
        <v>101</v>
      </c>
      <c r="S103" s="59">
        <f ca="1">Dashboard!B$8* Dashboard!$F$4+Dashboard!B$10*SQRT(Dashboard!$F$4) * _xlfn.NORM.S.INV(RAND())</f>
        <v>-1.5401432195819079E-2</v>
      </c>
      <c r="T103" s="59">
        <f ca="1">Dashboard!C$8* Dashboard!$F$4+Dashboard!C$10*SQRT(Dashboard!$F$4) * _xlfn.NORM.S.INV(RAND())</f>
        <v>1.5205759912862923E-2</v>
      </c>
      <c r="U103" s="59">
        <f ca="1">Dashboard!D$8* Dashboard!$F$4+Dashboard!D$10*SQRT(Dashboard!$F$4) * _xlfn.NORM.S.INV(RAND())</f>
        <v>-3.8465289846375372E-2</v>
      </c>
    </row>
    <row r="104" spans="1:21" x14ac:dyDescent="0.2">
      <c r="A104" s="50">
        <v>46084</v>
      </c>
      <c r="B104" s="56">
        <v>23790.65</v>
      </c>
      <c r="C104" s="56">
        <v>44468.46</v>
      </c>
      <c r="D104" s="59">
        <f t="shared" si="3"/>
        <v>-3.4997320193794507E-2</v>
      </c>
      <c r="E104" s="59">
        <f t="shared" si="4"/>
        <v>-3.9938371495205773E-2</v>
      </c>
      <c r="F104" s="59">
        <f t="shared" si="5"/>
        <v>-3.7467845844500136E-2</v>
      </c>
      <c r="N104" s="49">
        <f>Dashboard!$F$2*N103+(1-Dashboard!$F$2)*(D104)^2</f>
        <v>1.5907512711700489E-4</v>
      </c>
      <c r="O104" s="49">
        <f>Dashboard!$F$2*O103+(1-Dashboard!$F$2)*(E104)^2</f>
        <v>1.9252757481928192E-4</v>
      </c>
      <c r="P104" s="49">
        <f>Dashboard!$F$2*P103+(1-Dashboard!$F$2)*(F104)^2</f>
        <v>1.6253221532402012E-4</v>
      </c>
      <c r="R104" s="49">
        <v>102</v>
      </c>
      <c r="S104" s="59">
        <f ca="1">Dashboard!B$8* Dashboard!$F$4+Dashboard!B$10*SQRT(Dashboard!$F$4) * _xlfn.NORM.S.INV(RAND())</f>
        <v>-2.4593658447751125E-2</v>
      </c>
      <c r="T104" s="59">
        <f ca="1">Dashboard!C$8* Dashboard!$F$4+Dashboard!C$10*SQRT(Dashboard!$F$4) * _xlfn.NORM.S.INV(RAND())</f>
        <v>-2.8144277081380387E-2</v>
      </c>
      <c r="U104" s="59">
        <f ca="1">Dashboard!D$8* Dashboard!$F$4+Dashboard!D$10*SQRT(Dashboard!$F$4) * _xlfn.NORM.S.INV(RAND())</f>
        <v>1.1274699539444223E-2</v>
      </c>
    </row>
    <row r="105" spans="1:21" x14ac:dyDescent="0.2">
      <c r="A105" s="50">
        <v>46085</v>
      </c>
      <c r="B105" s="56">
        <v>24205.360000000001</v>
      </c>
      <c r="C105" s="56">
        <v>45336.88</v>
      </c>
      <c r="D105" s="59">
        <f t="shared" si="3"/>
        <v>1.7281449895200616E-2</v>
      </c>
      <c r="E105" s="59">
        <f t="shared" si="4"/>
        <v>1.9340655466568695E-2</v>
      </c>
      <c r="F105" s="59">
        <f t="shared" si="5"/>
        <v>1.8311052680884655E-2</v>
      </c>
      <c r="N105" s="49">
        <f>Dashboard!$F$2*N104+(1-Dashboard!$F$2)*(D105)^2</f>
        <v>1.6744953011880437E-4</v>
      </c>
      <c r="O105" s="49">
        <f>Dashboard!$F$2*O104+(1-Dashboard!$F$2)*(E105)^2</f>
        <v>2.0341957756271582E-4</v>
      </c>
      <c r="P105" s="49">
        <f>Dashboard!$F$2*P104+(1-Dashboard!$F$2)*(F105)^2</f>
        <v>1.728979614215069E-4</v>
      </c>
      <c r="R105" s="49">
        <v>103</v>
      </c>
      <c r="S105" s="59">
        <f ca="1">Dashboard!B$8* Dashboard!$F$4+Dashboard!B$10*SQRT(Dashboard!$F$4) * _xlfn.NORM.S.INV(RAND())</f>
        <v>1.7840745076416364E-2</v>
      </c>
      <c r="T105" s="59">
        <f ca="1">Dashboard!C$8* Dashboard!$F$4+Dashboard!C$10*SQRT(Dashboard!$F$4) * _xlfn.NORM.S.INV(RAND())</f>
        <v>9.0614933596164498E-3</v>
      </c>
      <c r="U105" s="59">
        <f ca="1">Dashboard!D$8* Dashboard!$F$4+Dashboard!D$10*SQRT(Dashboard!$F$4) * _xlfn.NORM.S.INV(RAND())</f>
        <v>-7.2720748384304235E-4</v>
      </c>
    </row>
    <row r="106" spans="1:21" x14ac:dyDescent="0.2">
      <c r="A106" s="50">
        <v>46086</v>
      </c>
      <c r="B106" s="56">
        <v>23815.75</v>
      </c>
      <c r="C106" s="56">
        <v>44608.55</v>
      </c>
      <c r="D106" s="59">
        <f t="shared" si="3"/>
        <v>-1.6226969727585274E-2</v>
      </c>
      <c r="E106" s="59">
        <f t="shared" si="4"/>
        <v>-1.6195284612816573E-2</v>
      </c>
      <c r="F106" s="59">
        <f t="shared" si="5"/>
        <v>-1.6211127170200922E-2</v>
      </c>
      <c r="N106" s="49">
        <f>Dashboard!$F$2*N105+(1-Dashboard!$F$2)*(D106)^2</f>
        <v>1.7320143110407423E-4</v>
      </c>
      <c r="O106" s="49">
        <f>Dashboard!$F$2*O105+(1-Dashboard!$F$2)*(E106)^2</f>
        <v>2.0695163753036086E-4</v>
      </c>
      <c r="P106" s="49">
        <f>Dashboard!$F$2*P105+(1-Dashboard!$F$2)*(F106)^2</f>
        <v>1.7829212238392207E-4</v>
      </c>
      <c r="R106" s="49">
        <v>104</v>
      </c>
      <c r="S106" s="59">
        <f ca="1">Dashboard!B$8* Dashboard!$F$4+Dashboard!B$10*SQRT(Dashboard!$F$4) * _xlfn.NORM.S.INV(RAND())</f>
        <v>8.3951509325037258E-3</v>
      </c>
      <c r="T106" s="59">
        <f ca="1">Dashboard!C$8* Dashboard!$F$4+Dashboard!C$10*SQRT(Dashboard!$F$4) * _xlfn.NORM.S.INV(RAND())</f>
        <v>3.2411275515869466E-3</v>
      </c>
      <c r="U106" s="59">
        <f ca="1">Dashboard!D$8* Dashboard!$F$4+Dashboard!D$10*SQRT(Dashboard!$F$4) * _xlfn.NORM.S.INV(RAND())</f>
        <v>-1.3098531767065782E-2</v>
      </c>
    </row>
    <row r="107" spans="1:21" x14ac:dyDescent="0.2">
      <c r="A107" s="50">
        <v>46087</v>
      </c>
      <c r="B107" s="56">
        <v>23591.03</v>
      </c>
      <c r="C107" s="56">
        <v>44152.26</v>
      </c>
      <c r="D107" s="59">
        <f t="shared" si="3"/>
        <v>-9.4805714783167544E-3</v>
      </c>
      <c r="E107" s="59">
        <f t="shared" si="4"/>
        <v>-1.0281429821199034E-2</v>
      </c>
      <c r="F107" s="59">
        <f t="shared" si="5"/>
        <v>-9.8810006497578942E-3</v>
      </c>
      <c r="N107" s="49">
        <f>Dashboard!$F$2*N106+(1-Dashboard!$F$2)*(D107)^2</f>
        <v>1.6820221937115815E-4</v>
      </c>
      <c r="O107" s="49">
        <f>Dashboard!$F$2*O106+(1-Dashboard!$F$2)*(E107)^2</f>
        <v>2.0087700722863365E-4</v>
      </c>
      <c r="P107" s="49">
        <f>Dashboard!$F$2*P106+(1-Dashboard!$F$2)*(F107)^2</f>
        <v>1.7345264547131769E-4</v>
      </c>
      <c r="R107" s="49">
        <v>105</v>
      </c>
      <c r="S107" s="59">
        <f ca="1">Dashboard!B$8* Dashboard!$F$4+Dashboard!B$10*SQRT(Dashboard!$F$4) * _xlfn.NORM.S.INV(RAND())</f>
        <v>-8.1743204248867496E-3</v>
      </c>
      <c r="T107" s="59">
        <f ca="1">Dashboard!C$8* Dashboard!$F$4+Dashboard!C$10*SQRT(Dashboard!$F$4) * _xlfn.NORM.S.INV(RAND())</f>
        <v>-1.6857020348398994E-2</v>
      </c>
      <c r="U107" s="59">
        <f ca="1">Dashboard!D$8* Dashboard!$F$4+Dashboard!D$10*SQRT(Dashboard!$F$4) * _xlfn.NORM.S.INV(RAND())</f>
        <v>2.484340245574488E-2</v>
      </c>
    </row>
    <row r="108" spans="1:21" x14ac:dyDescent="0.2">
      <c r="A108" s="50">
        <v>46090</v>
      </c>
      <c r="B108" s="56">
        <v>23409.37</v>
      </c>
      <c r="C108" s="56">
        <v>44024.959999999999</v>
      </c>
      <c r="D108" s="59">
        <f t="shared" si="3"/>
        <v>-7.7301854708395745E-3</v>
      </c>
      <c r="E108" s="59">
        <f t="shared" si="4"/>
        <v>-2.8873690606395662E-3</v>
      </c>
      <c r="F108" s="59">
        <f t="shared" si="5"/>
        <v>-5.3087772657395699E-3</v>
      </c>
      <c r="N108" s="49">
        <f>Dashboard!$F$2*N107+(1-Dashboard!$F$2)*(D108)^2</f>
        <v>1.616954322537034E-4</v>
      </c>
      <c r="O108" s="49">
        <f>Dashboard!$F$2*O107+(1-Dashboard!$F$2)*(E108)^2</f>
        <v>1.8932460080045595E-4</v>
      </c>
      <c r="P108" s="49">
        <f>Dashboard!$F$2*P107+(1-Dashboard!$F$2)*(F108)^2</f>
        <v>1.6473647370647261E-4</v>
      </c>
      <c r="R108" s="49">
        <v>106</v>
      </c>
      <c r="S108" s="59">
        <f ca="1">Dashboard!B$8* Dashboard!$F$4+Dashboard!B$10*SQRT(Dashboard!$F$4) * _xlfn.NORM.S.INV(RAND())</f>
        <v>-2.5394294203988789E-2</v>
      </c>
      <c r="T108" s="59">
        <f ca="1">Dashboard!C$8* Dashboard!$F$4+Dashboard!C$10*SQRT(Dashboard!$F$4) * _xlfn.NORM.S.INV(RAND())</f>
        <v>8.4550063247193046E-3</v>
      </c>
      <c r="U108" s="59">
        <f ca="1">Dashboard!D$8* Dashboard!$F$4+Dashboard!D$10*SQRT(Dashboard!$F$4) * _xlfn.NORM.S.INV(RAND())</f>
        <v>-3.6808449051244765E-2</v>
      </c>
    </row>
    <row r="109" spans="1:21" x14ac:dyDescent="0.2">
      <c r="A109" s="50">
        <v>46091</v>
      </c>
      <c r="B109" s="56">
        <v>23968.63</v>
      </c>
      <c r="C109" s="56">
        <v>45201.69</v>
      </c>
      <c r="D109" s="59">
        <f t="shared" si="3"/>
        <v>2.360952247164529E-2</v>
      </c>
      <c r="E109" s="59">
        <f t="shared" si="4"/>
        <v>2.6377729712567459E-2</v>
      </c>
      <c r="F109" s="59">
        <f t="shared" si="5"/>
        <v>2.4993626092106376E-2</v>
      </c>
      <c r="N109" s="49">
        <f>Dashboard!$F$2*N108+(1-Dashboard!$F$2)*(D109)^2</f>
        <v>1.8543827939882865E-4</v>
      </c>
      <c r="O109" s="49">
        <f>Dashboard!$F$2*O108+(1-Dashboard!$F$2)*(E109)^2</f>
        <v>2.1971220223978446E-4</v>
      </c>
      <c r="P109" s="49">
        <f>Dashboard!$F$2*P108+(1-Dashboard!$F$2)*(F109)^2</f>
        <v>1.9233316599800553E-4</v>
      </c>
      <c r="R109" s="49">
        <v>107</v>
      </c>
      <c r="S109" s="59">
        <f ca="1">Dashboard!B$8* Dashboard!$F$4+Dashboard!B$10*SQRT(Dashboard!$F$4) * _xlfn.NORM.S.INV(RAND())</f>
        <v>-5.0347163526392361E-2</v>
      </c>
      <c r="T109" s="59">
        <f ca="1">Dashboard!C$8* Dashboard!$F$4+Dashboard!C$10*SQRT(Dashboard!$F$4) * _xlfn.NORM.S.INV(RAND())</f>
        <v>2.4789107862642778E-2</v>
      </c>
      <c r="U109" s="59">
        <f ca="1">Dashboard!D$8* Dashboard!$F$4+Dashboard!D$10*SQRT(Dashboard!$F$4) * _xlfn.NORM.S.INV(RAND())</f>
        <v>1.7998674856930238E-2</v>
      </c>
    </row>
    <row r="110" spans="1:21" x14ac:dyDescent="0.2">
      <c r="A110" s="50">
        <v>46092</v>
      </c>
      <c r="B110" s="56">
        <v>23640.03</v>
      </c>
      <c r="C110" s="56">
        <v>44772.959999999999</v>
      </c>
      <c r="D110" s="59">
        <f t="shared" si="3"/>
        <v>-1.3804430463467075E-2</v>
      </c>
      <c r="E110" s="59">
        <f t="shared" si="4"/>
        <v>-9.5300897499443465E-3</v>
      </c>
      <c r="F110" s="59">
        <f t="shared" si="5"/>
        <v>-1.1667260106705711E-2</v>
      </c>
      <c r="N110" s="49">
        <f>Dashboard!$F$2*N109+(1-Dashboard!$F$2)*(D110)^2</f>
        <v>1.8574572066014079E-4</v>
      </c>
      <c r="O110" s="49">
        <f>Dashboard!$F$2*O109+(1-Dashboard!$F$2)*(E110)^2</f>
        <v>2.1197882674391704E-4</v>
      </c>
      <c r="P110" s="49">
        <f>Dashboard!$F$2*P109+(1-Dashboard!$F$2)*(F110)^2</f>
        <v>1.8896067354197678E-4</v>
      </c>
      <c r="R110" s="49">
        <v>108</v>
      </c>
      <c r="S110" s="59">
        <f ca="1">Dashboard!B$8* Dashboard!$F$4+Dashboard!B$10*SQRT(Dashboard!$F$4) * _xlfn.NORM.S.INV(RAND())</f>
        <v>-2.8599252675389404E-3</v>
      </c>
      <c r="T110" s="59">
        <f ca="1">Dashboard!C$8* Dashboard!$F$4+Dashboard!C$10*SQRT(Dashboard!$F$4) * _xlfn.NORM.S.INV(RAND())</f>
        <v>-1.4317456656523717E-2</v>
      </c>
      <c r="U110" s="59">
        <f ca="1">Dashboard!D$8* Dashboard!$F$4+Dashboard!D$10*SQRT(Dashboard!$F$4) * _xlfn.NORM.S.INV(RAND())</f>
        <v>-2.1944744699081562E-2</v>
      </c>
    </row>
    <row r="111" spans="1:21" x14ac:dyDescent="0.2">
      <c r="A111" s="50">
        <v>46093</v>
      </c>
      <c r="B111" s="56">
        <v>23589.65</v>
      </c>
      <c r="C111" s="56">
        <v>44456.18</v>
      </c>
      <c r="D111" s="59">
        <f t="shared" si="3"/>
        <v>-2.1334050583600396E-3</v>
      </c>
      <c r="E111" s="59">
        <f t="shared" si="4"/>
        <v>-7.1004008531098265E-3</v>
      </c>
      <c r="F111" s="59">
        <f t="shared" si="5"/>
        <v>-4.616902955734933E-3</v>
      </c>
      <c r="N111" s="49">
        <f>Dashboard!$F$2*N110+(1-Dashboard!$F$2)*(D111)^2</f>
        <v>1.748740624491145E-4</v>
      </c>
      <c r="O111" s="49">
        <f>Dashboard!$F$2*O110+(1-Dashboard!$F$2)*(E111)^2</f>
        <v>2.0228503867577256E-4</v>
      </c>
      <c r="P111" s="49">
        <f>Dashboard!$F$2*P110+(1-Dashboard!$F$2)*(F111)^2</f>
        <v>1.7890198070361863E-4</v>
      </c>
      <c r="R111" s="49">
        <v>109</v>
      </c>
      <c r="S111" s="59">
        <f ca="1">Dashboard!B$8* Dashboard!$F$4+Dashboard!B$10*SQRT(Dashboard!$F$4) * _xlfn.NORM.S.INV(RAND())</f>
        <v>-1.2170771974532068E-2</v>
      </c>
      <c r="T111" s="59">
        <f ca="1">Dashboard!C$8* Dashboard!$F$4+Dashboard!C$10*SQRT(Dashboard!$F$4) * _xlfn.NORM.S.INV(RAND())</f>
        <v>1.6052485803907314E-2</v>
      </c>
      <c r="U111" s="59">
        <f ca="1">Dashboard!D$8* Dashboard!$F$4+Dashboard!D$10*SQRT(Dashboard!$F$4) * _xlfn.NORM.S.INV(RAND())</f>
        <v>2.8556078769984113E-2</v>
      </c>
    </row>
    <row r="112" spans="1:21" x14ac:dyDescent="0.2">
      <c r="A112" s="50">
        <v>46094</v>
      </c>
      <c r="B112" s="56">
        <v>23447.29</v>
      </c>
      <c r="C112" s="56">
        <v>44316.92</v>
      </c>
      <c r="D112" s="59">
        <f t="shared" si="3"/>
        <v>-6.0531333321124916E-3</v>
      </c>
      <c r="E112" s="59">
        <f t="shared" si="4"/>
        <v>-3.1374394773666294E-3</v>
      </c>
      <c r="F112" s="59">
        <f t="shared" si="5"/>
        <v>-4.5952864047395601E-3</v>
      </c>
      <c r="N112" s="49">
        <f>Dashboard!$F$2*N111+(1-Dashboard!$F$2)*(D112)^2</f>
        <v>1.6658004409034752E-4</v>
      </c>
      <c r="O112" s="49">
        <f>Dashboard!$F$2*O111+(1-Dashboard!$F$2)*(E112)^2</f>
        <v>1.9073854794367451E-4</v>
      </c>
      <c r="P112" s="49">
        <f>Dashboard!$F$2*P111+(1-Dashboard!$F$2)*(F112)^2</f>
        <v>1.6943486128989654E-4</v>
      </c>
      <c r="R112" s="49">
        <v>110</v>
      </c>
      <c r="S112" s="59">
        <f ca="1">Dashboard!B$8* Dashboard!$F$4+Dashboard!B$10*SQRT(Dashboard!$F$4) * _xlfn.NORM.S.INV(RAND())</f>
        <v>1.1474189941506039E-2</v>
      </c>
      <c r="T112" s="59">
        <f ca="1">Dashboard!C$8* Dashboard!$F$4+Dashboard!C$10*SQRT(Dashboard!$F$4) * _xlfn.NORM.S.INV(RAND())</f>
        <v>1.753975316574358E-2</v>
      </c>
      <c r="U112" s="59">
        <f ca="1">Dashboard!D$8* Dashboard!$F$4+Dashboard!D$10*SQRT(Dashboard!$F$4) * _xlfn.NORM.S.INV(RAND())</f>
        <v>-6.9448726671389616E-3</v>
      </c>
    </row>
    <row r="113" spans="1:21" x14ac:dyDescent="0.2">
      <c r="A113" s="50">
        <v>46097</v>
      </c>
      <c r="B113" s="56">
        <v>23564.01</v>
      </c>
      <c r="C113" s="56">
        <v>44347.56</v>
      </c>
      <c r="D113" s="59">
        <f t="shared" si="3"/>
        <v>4.9656248533651963E-3</v>
      </c>
      <c r="E113" s="59">
        <f t="shared" si="4"/>
        <v>6.9114489183679504E-4</v>
      </c>
      <c r="F113" s="59">
        <f t="shared" si="5"/>
        <v>2.8283848726009956E-3</v>
      </c>
      <c r="N113" s="49">
        <f>Dashboard!$F$2*N112+(1-Dashboard!$F$2)*(D113)^2</f>
        <v>1.5806468725598814E-4</v>
      </c>
      <c r="O113" s="49">
        <f>Dashboard!$F$2*O112+(1-Dashboard!$F$2)*(E113)^2</f>
        <v>1.7932289594274473E-4</v>
      </c>
      <c r="P113" s="49">
        <f>Dashboard!$F$2*P112+(1-Dashboard!$F$2)*(F113)^2</f>
        <v>1.5974875527175624E-4</v>
      </c>
      <c r="R113" s="49">
        <v>111</v>
      </c>
      <c r="S113" s="59">
        <f ca="1">Dashboard!B$8* Dashboard!$F$4+Dashboard!B$10*SQRT(Dashboard!$F$4) * _xlfn.NORM.S.INV(RAND())</f>
        <v>2.6937827872300875E-2</v>
      </c>
      <c r="T113" s="59">
        <f ca="1">Dashboard!C$8* Dashboard!$F$4+Dashboard!C$10*SQRT(Dashboard!$F$4) * _xlfn.NORM.S.INV(RAND())</f>
        <v>-5.0137912622866598E-2</v>
      </c>
      <c r="U113" s="59">
        <f ca="1">Dashboard!D$8* Dashboard!$F$4+Dashboard!D$10*SQRT(Dashboard!$F$4) * _xlfn.NORM.S.INV(RAND())</f>
        <v>-7.3801012563933663E-2</v>
      </c>
    </row>
    <row r="114" spans="1:21" x14ac:dyDescent="0.2">
      <c r="A114" s="50">
        <v>46098</v>
      </c>
      <c r="B114" s="56">
        <v>23730.92</v>
      </c>
      <c r="C114" s="56">
        <v>44887.54</v>
      </c>
      <c r="D114" s="59">
        <f t="shared" si="3"/>
        <v>7.0582911507338563E-3</v>
      </c>
      <c r="E114" s="59">
        <f t="shared" si="4"/>
        <v>1.2102560337317875E-2</v>
      </c>
      <c r="F114" s="59">
        <f t="shared" si="5"/>
        <v>9.5804257440258653E-3</v>
      </c>
      <c r="N114" s="49">
        <f>Dashboard!$F$2*N113+(1-Dashboard!$F$2)*(D114)^2</f>
        <v>1.515699744587405E-4</v>
      </c>
      <c r="O114" s="49">
        <f>Dashboard!$F$2*O113+(1-Dashboard!$F$2)*(E114)^2</f>
        <v>1.7735184018928521E-4</v>
      </c>
      <c r="P114" s="49">
        <f>Dashboard!$F$2*P113+(1-Dashboard!$F$2)*(F114)^2</f>
        <v>1.5567090340165847E-4</v>
      </c>
      <c r="R114" s="49">
        <v>112</v>
      </c>
      <c r="S114" s="59">
        <f ca="1">Dashboard!B$8* Dashboard!$F$4+Dashboard!B$10*SQRT(Dashboard!$F$4) * _xlfn.NORM.S.INV(RAND())</f>
        <v>-2.1909370239443439E-3</v>
      </c>
      <c r="T114" s="59">
        <f ca="1">Dashboard!C$8* Dashboard!$F$4+Dashboard!C$10*SQRT(Dashboard!$F$4) * _xlfn.NORM.S.INV(RAND())</f>
        <v>4.8570801869918341E-3</v>
      </c>
      <c r="U114" s="59">
        <f ca="1">Dashboard!D$8* Dashboard!$F$4+Dashboard!D$10*SQRT(Dashboard!$F$4) * _xlfn.NORM.S.INV(RAND())</f>
        <v>2.2828044022749544E-2</v>
      </c>
    </row>
    <row r="115" spans="1:21" x14ac:dyDescent="0.2">
      <c r="A115" s="50">
        <v>46099</v>
      </c>
      <c r="B115" s="56">
        <v>23502.25</v>
      </c>
      <c r="C115" s="56">
        <v>44741.34</v>
      </c>
      <c r="D115" s="59">
        <f t="shared" si="3"/>
        <v>-9.6826779385169107E-3</v>
      </c>
      <c r="E115" s="59">
        <f t="shared" si="4"/>
        <v>-3.2623442280179504E-3</v>
      </c>
      <c r="F115" s="59">
        <f t="shared" si="5"/>
        <v>-6.4725110832674305E-3</v>
      </c>
      <c r="N115" s="49">
        <f>Dashboard!$F$2*N114+(1-Dashboard!$F$2)*(D115)^2</f>
        <v>1.4810103111487859E-4</v>
      </c>
      <c r="O115" s="49">
        <f>Dashboard!$F$2*O114+(1-Dashboard!$F$2)*(E115)^2</f>
        <v>1.6734930316965302E-4</v>
      </c>
      <c r="P115" s="49">
        <f>Dashboard!$F$2*P114+(1-Dashboard!$F$2)*(F115)^2</f>
        <v>1.4884425318094013E-4</v>
      </c>
      <c r="R115" s="49">
        <v>113</v>
      </c>
      <c r="S115" s="59">
        <f ca="1">Dashboard!B$8* Dashboard!$F$4+Dashboard!B$10*SQRT(Dashboard!$F$4) * _xlfn.NORM.S.INV(RAND())</f>
        <v>1.6390439983708649E-2</v>
      </c>
      <c r="T115" s="59">
        <f ca="1">Dashboard!C$8* Dashboard!$F$4+Dashboard!C$10*SQRT(Dashboard!$F$4) * _xlfn.NORM.S.INV(RAND())</f>
        <v>-2.5370080098246754E-2</v>
      </c>
      <c r="U115" s="59">
        <f ca="1">Dashboard!D$8* Dashboard!$F$4+Dashboard!D$10*SQRT(Dashboard!$F$4) * _xlfn.NORM.S.INV(RAND())</f>
        <v>-1.9251424532638065E-2</v>
      </c>
    </row>
    <row r="116" spans="1:21" x14ac:dyDescent="0.2">
      <c r="A116" s="50">
        <v>46100</v>
      </c>
      <c r="B116" s="56">
        <v>22839.56</v>
      </c>
      <c r="C116" s="56">
        <v>43701.38</v>
      </c>
      <c r="D116" s="59">
        <f t="shared" si="3"/>
        <v>-2.8602041093823544E-2</v>
      </c>
      <c r="E116" s="59">
        <f t="shared" si="4"/>
        <v>-2.3518225890158506E-2</v>
      </c>
      <c r="F116" s="59">
        <f t="shared" si="5"/>
        <v>-2.6060133491991024E-2</v>
      </c>
      <c r="N116" s="49">
        <f>Dashboard!$F$2*N115+(1-Dashboard!$F$2)*(D116)^2</f>
        <v>1.8829957453195213E-4</v>
      </c>
      <c r="O116" s="49">
        <f>Dashboard!$F$2*O115+(1-Dashboard!$F$2)*(E116)^2</f>
        <v>1.9049476192070517E-4</v>
      </c>
      <c r="P116" s="49">
        <f>Dashboard!$F$2*P115+(1-Dashboard!$F$2)*(F116)^2</f>
        <v>1.8066143144730728E-4</v>
      </c>
      <c r="R116" s="49">
        <v>114</v>
      </c>
      <c r="S116" s="59">
        <f ca="1">Dashboard!B$8* Dashboard!$F$4+Dashboard!B$10*SQRT(Dashboard!$F$4) * _xlfn.NORM.S.INV(RAND())</f>
        <v>-1.8681139890255653E-2</v>
      </c>
      <c r="T116" s="59">
        <f ca="1">Dashboard!C$8* Dashboard!$F$4+Dashboard!C$10*SQRT(Dashboard!$F$4) * _xlfn.NORM.S.INV(RAND())</f>
        <v>-2.4423841293682445E-2</v>
      </c>
      <c r="U116" s="59">
        <f ca="1">Dashboard!D$8* Dashboard!$F$4+Dashboard!D$10*SQRT(Dashboard!$F$4) * _xlfn.NORM.S.INV(RAND())</f>
        <v>-1.2653958605762493E-3</v>
      </c>
    </row>
    <row r="117" spans="1:21" x14ac:dyDescent="0.2">
      <c r="A117" s="50">
        <v>46101</v>
      </c>
      <c r="B117" s="56">
        <v>22380.19</v>
      </c>
      <c r="C117" s="56">
        <v>42840.9</v>
      </c>
      <c r="D117" s="59">
        <f t="shared" si="3"/>
        <v>-2.0317927583202902E-2</v>
      </c>
      <c r="E117" s="59">
        <f t="shared" si="4"/>
        <v>-1.9886426788072439E-2</v>
      </c>
      <c r="F117" s="59">
        <f t="shared" si="5"/>
        <v>-2.0102177185637671E-2</v>
      </c>
      <c r="N117" s="49">
        <f>Dashboard!$F$2*N116+(1-Dashboard!$F$2)*(D117)^2</f>
        <v>2.0177069093661165E-4</v>
      </c>
      <c r="O117" s="49">
        <f>Dashboard!$F$2*O116+(1-Dashboard!$F$2)*(E117)^2</f>
        <v>2.0279327442930477E-4</v>
      </c>
      <c r="P117" s="49">
        <f>Dashboard!$F$2*P116+(1-Dashboard!$F$2)*(F117)^2</f>
        <v>1.9406759721663516E-4</v>
      </c>
      <c r="R117" s="49">
        <v>115</v>
      </c>
      <c r="S117" s="59">
        <f ca="1">Dashboard!B$8* Dashboard!$F$4+Dashboard!B$10*SQRT(Dashboard!$F$4) * _xlfn.NORM.S.INV(RAND())</f>
        <v>4.8864318502083497E-2</v>
      </c>
      <c r="T117" s="59">
        <f ca="1">Dashboard!C$8* Dashboard!$F$4+Dashboard!C$10*SQRT(Dashboard!$F$4) * _xlfn.NORM.S.INV(RAND())</f>
        <v>2.9645349988441805E-4</v>
      </c>
      <c r="U117" s="59">
        <f ca="1">Dashboard!D$8* Dashboard!$F$4+Dashboard!D$10*SQRT(Dashboard!$F$4) * _xlfn.NORM.S.INV(RAND())</f>
        <v>-3.2586453929115973E-2</v>
      </c>
    </row>
    <row r="118" spans="1:21" x14ac:dyDescent="0.2">
      <c r="A118" s="50">
        <v>46104</v>
      </c>
      <c r="B118" s="56">
        <v>22653.86</v>
      </c>
      <c r="C118" s="56">
        <v>43189.8</v>
      </c>
      <c r="D118" s="59">
        <f t="shared" si="3"/>
        <v>1.2154064264642389E-2</v>
      </c>
      <c r="E118" s="59">
        <f t="shared" si="4"/>
        <v>8.1111024981007501E-3</v>
      </c>
      <c r="F118" s="59">
        <f t="shared" si="5"/>
        <v>1.013258338137157E-2</v>
      </c>
      <c r="N118" s="49">
        <f>Dashboard!$F$2*N117+(1-Dashboard!$F$2)*(D118)^2</f>
        <v>1.9852772616935839E-4</v>
      </c>
      <c r="O118" s="49">
        <f>Dashboard!$F$2*O117+(1-Dashboard!$F$2)*(E118)^2</f>
        <v>1.9457307698762826E-4</v>
      </c>
      <c r="P118" s="49">
        <f>Dashboard!$F$2*P117+(1-Dashboard!$F$2)*(F118)^2</f>
        <v>1.8858369614246391E-4</v>
      </c>
      <c r="R118" s="49">
        <v>116</v>
      </c>
      <c r="S118" s="59">
        <f ca="1">Dashboard!B$8* Dashboard!$F$4+Dashboard!B$10*SQRT(Dashboard!$F$4) * _xlfn.NORM.S.INV(RAND())</f>
        <v>-1.4518247541035412E-2</v>
      </c>
      <c r="T118" s="59">
        <f ca="1">Dashboard!C$8* Dashboard!$F$4+Dashboard!C$10*SQRT(Dashboard!$F$4) * _xlfn.NORM.S.INV(RAND())</f>
        <v>3.6319656031543754E-3</v>
      </c>
      <c r="U118" s="59">
        <f ca="1">Dashboard!D$8* Dashboard!$F$4+Dashboard!D$10*SQRT(Dashboard!$F$4) * _xlfn.NORM.S.INV(RAND())</f>
        <v>-4.5386058234680539E-2</v>
      </c>
    </row>
    <row r="119" spans="1:21" x14ac:dyDescent="0.2">
      <c r="A119" s="50">
        <v>46105</v>
      </c>
      <c r="B119" s="56">
        <v>22636.91</v>
      </c>
      <c r="C119" s="56">
        <v>43369.53</v>
      </c>
      <c r="D119" s="59">
        <f t="shared" si="3"/>
        <v>-7.4849691411081241E-4</v>
      </c>
      <c r="E119" s="59">
        <f t="shared" si="4"/>
        <v>4.1527645441270626E-3</v>
      </c>
      <c r="F119" s="59">
        <f t="shared" si="5"/>
        <v>1.702133815008125E-3</v>
      </c>
      <c r="N119" s="49">
        <f>Dashboard!$F$2*N118+(1-Dashboard!$F$2)*(D119)^2</f>
        <v>1.8664967745702287E-4</v>
      </c>
      <c r="O119" s="49">
        <f>Dashboard!$F$2*O118+(1-Dashboard!$F$2)*(E119)^2</f>
        <v>1.8393341956990809E-4</v>
      </c>
      <c r="P119" s="49">
        <f>Dashboard!$F$2*P118+(1-Dashboard!$F$2)*(F119)^2</f>
        <v>1.7744250994536771E-4</v>
      </c>
      <c r="R119" s="49">
        <v>117</v>
      </c>
      <c r="S119" s="59">
        <f ca="1">Dashboard!B$8* Dashboard!$F$4+Dashboard!B$10*SQRT(Dashboard!$F$4) * _xlfn.NORM.S.INV(RAND())</f>
        <v>-4.6671663843537029E-3</v>
      </c>
      <c r="T119" s="59">
        <f ca="1">Dashboard!C$8* Dashboard!$F$4+Dashboard!C$10*SQRT(Dashboard!$F$4) * _xlfn.NORM.S.INV(RAND())</f>
        <v>-1.4525189043103154E-2</v>
      </c>
      <c r="U119" s="59">
        <f ca="1">Dashboard!D$8* Dashboard!$F$4+Dashboard!D$10*SQRT(Dashboard!$F$4) * _xlfn.NORM.S.INV(RAND())</f>
        <v>-1.2185865274981181E-2</v>
      </c>
    </row>
    <row r="120" spans="1:21" x14ac:dyDescent="0.2">
      <c r="A120" s="50">
        <v>46106</v>
      </c>
      <c r="B120" s="56">
        <v>22957.08</v>
      </c>
      <c r="C120" s="56">
        <v>44013.29</v>
      </c>
      <c r="D120" s="59">
        <f t="shared" si="3"/>
        <v>1.4044625742007863E-2</v>
      </c>
      <c r="E120" s="59">
        <f t="shared" si="4"/>
        <v>1.4734512961797766E-2</v>
      </c>
      <c r="F120" s="59">
        <f t="shared" si="5"/>
        <v>1.4389569351902814E-2</v>
      </c>
      <c r="N120" s="49">
        <f>Dashboard!$F$2*N119+(1-Dashboard!$F$2)*(D120)^2</f>
        <v>1.8728578754358569E-4</v>
      </c>
      <c r="O120" s="49">
        <f>Dashboard!$F$2*O119+(1-Dashboard!$F$2)*(E120)^2</f>
        <v>1.8592376672899678E-4</v>
      </c>
      <c r="P120" s="49">
        <f>Dashboard!$F$2*P119+(1-Dashboard!$F$2)*(F120)^2</f>
        <v>1.7921954171663888E-4</v>
      </c>
      <c r="R120" s="49">
        <v>118</v>
      </c>
      <c r="S120" s="59">
        <f ca="1">Dashboard!B$8* Dashboard!$F$4+Dashboard!B$10*SQRT(Dashboard!$F$4) * _xlfn.NORM.S.INV(RAND())</f>
        <v>-3.7457679227025795E-2</v>
      </c>
      <c r="T120" s="59">
        <f ca="1">Dashboard!C$8* Dashboard!$F$4+Dashboard!C$10*SQRT(Dashboard!$F$4) * _xlfn.NORM.S.INV(RAND())</f>
        <v>2.905162139990234E-2</v>
      </c>
      <c r="U120" s="59">
        <f ca="1">Dashboard!D$8* Dashboard!$F$4+Dashboard!D$10*SQRT(Dashboard!$F$4) * _xlfn.NORM.S.INV(RAND())</f>
        <v>2.1209905504248248E-3</v>
      </c>
    </row>
    <row r="121" spans="1:21" x14ac:dyDescent="0.2">
      <c r="A121" s="50">
        <v>46107</v>
      </c>
      <c r="B121" s="56">
        <v>22612.97</v>
      </c>
      <c r="C121" s="56">
        <v>43701.84</v>
      </c>
      <c r="D121" s="59">
        <f t="shared" si="3"/>
        <v>-1.5102750193770107E-2</v>
      </c>
      <c r="E121" s="59">
        <f t="shared" si="4"/>
        <v>-7.1014272879610114E-3</v>
      </c>
      <c r="F121" s="59">
        <f t="shared" si="5"/>
        <v>-1.1102088740865559E-2</v>
      </c>
      <c r="N121" s="49">
        <f>Dashboard!$F$2*N120+(1-Dashboard!$F$2)*(D121)^2</f>
        <v>1.8973422409589594E-4</v>
      </c>
      <c r="O121" s="49">
        <f>Dashboard!$F$2*O120+(1-Dashboard!$F$2)*(E121)^2</f>
        <v>1.7779415689682881E-4</v>
      </c>
      <c r="P121" s="49">
        <f>Dashboard!$F$2*P120+(1-Dashboard!$F$2)*(F121)^2</f>
        <v>1.7586175167824379E-4</v>
      </c>
      <c r="R121" s="49">
        <v>119</v>
      </c>
      <c r="S121" s="59">
        <f ca="1">Dashboard!B$8* Dashboard!$F$4+Dashboard!B$10*SQRT(Dashboard!$F$4) * _xlfn.NORM.S.INV(RAND())</f>
        <v>8.3829082606010658E-2</v>
      </c>
      <c r="T121" s="59">
        <f ca="1">Dashboard!C$8* Dashboard!$F$4+Dashboard!C$10*SQRT(Dashboard!$F$4) * _xlfn.NORM.S.INV(RAND())</f>
        <v>-5.7476040199551368E-2</v>
      </c>
      <c r="U121" s="59">
        <f ca="1">Dashboard!D$8* Dashboard!$F$4+Dashboard!D$10*SQRT(Dashboard!$F$4) * _xlfn.NORM.S.INV(RAND())</f>
        <v>1.0990972358198058E-2</v>
      </c>
    </row>
    <row r="122" spans="1:21" x14ac:dyDescent="0.2">
      <c r="A122" s="50">
        <v>46108</v>
      </c>
      <c r="B122" s="56">
        <v>22300.75</v>
      </c>
      <c r="C122" s="56">
        <v>43379.1</v>
      </c>
      <c r="D122" s="59">
        <f t="shared" si="3"/>
        <v>-1.3903325281961806E-2</v>
      </c>
      <c r="E122" s="59">
        <f t="shared" si="4"/>
        <v>-7.4124481827587884E-3</v>
      </c>
      <c r="F122" s="59">
        <f t="shared" si="5"/>
        <v>-1.0657886732360298E-2</v>
      </c>
      <c r="N122" s="49">
        <f>Dashboard!$F$2*N121+(1-Dashboard!$F$2)*(D122)^2</f>
        <v>1.8994831788390448E-4</v>
      </c>
      <c r="O122" s="49">
        <f>Dashboard!$F$2*O121+(1-Dashboard!$F$2)*(E122)^2</f>
        <v>1.7042317076674412E-4</v>
      </c>
      <c r="P122" s="49">
        <f>Dashboard!$F$2*P121+(1-Dashboard!$F$2)*(F122)^2</f>
        <v>1.7212547955353848E-4</v>
      </c>
      <c r="R122" s="49">
        <v>120</v>
      </c>
      <c r="S122" s="59">
        <f ca="1">Dashboard!B$8* Dashboard!$F$4+Dashboard!B$10*SQRT(Dashboard!$F$4) * _xlfn.NORM.S.INV(RAND())</f>
        <v>3.2611125186785585E-2</v>
      </c>
      <c r="T122" s="59">
        <f ca="1">Dashboard!C$8* Dashboard!$F$4+Dashboard!C$10*SQRT(Dashboard!$F$4) * _xlfn.NORM.S.INV(RAND())</f>
        <v>2.5287395682659107E-2</v>
      </c>
      <c r="U122" s="59">
        <f ca="1">Dashboard!D$8* Dashboard!$F$4+Dashboard!D$10*SQRT(Dashboard!$F$4) * _xlfn.NORM.S.INV(RAND())</f>
        <v>-4.0312965696570037E-2</v>
      </c>
    </row>
    <row r="123" spans="1:21" x14ac:dyDescent="0.2">
      <c r="A123" s="50">
        <v>46111</v>
      </c>
      <c r="B123" s="56">
        <v>22562.880000000001</v>
      </c>
      <c r="C123" s="56">
        <v>43823.24</v>
      </c>
      <c r="D123" s="59">
        <f t="shared" si="3"/>
        <v>1.1685767869020227E-2</v>
      </c>
      <c r="E123" s="59">
        <f t="shared" si="4"/>
        <v>1.0186511979149293E-2</v>
      </c>
      <c r="F123" s="59">
        <f t="shared" si="5"/>
        <v>1.0936139924084761E-2</v>
      </c>
      <c r="N123" s="49">
        <f>Dashboard!$F$2*N122+(1-Dashboard!$F$2)*(D123)^2</f>
        <v>1.8674484905218774E-4</v>
      </c>
      <c r="O123" s="49">
        <f>Dashboard!$F$2*O122+(1-Dashboard!$F$2)*(E123)^2</f>
        <v>1.6642368209882058E-4</v>
      </c>
      <c r="P123" s="49">
        <f>Dashboard!$F$2*P122+(1-Dashboard!$F$2)*(F123)^2</f>
        <v>1.6897390016667581E-4</v>
      </c>
      <c r="R123" s="49">
        <v>121</v>
      </c>
      <c r="S123" s="59">
        <f ca="1">Dashboard!B$8* Dashboard!$F$4+Dashboard!B$10*SQRT(Dashboard!$F$4) * _xlfn.NORM.S.INV(RAND())</f>
        <v>2.958729045845928E-3</v>
      </c>
      <c r="T123" s="59">
        <f ca="1">Dashboard!C$8* Dashboard!$F$4+Dashboard!C$10*SQRT(Dashboard!$F$4) * _xlfn.NORM.S.INV(RAND())</f>
        <v>1.5502674810014324E-2</v>
      </c>
      <c r="U123" s="59">
        <f ca="1">Dashboard!D$8* Dashboard!$F$4+Dashboard!D$10*SQRT(Dashboard!$F$4) * _xlfn.NORM.S.INV(RAND())</f>
        <v>-1.491543335489055E-2</v>
      </c>
    </row>
    <row r="124" spans="1:21" x14ac:dyDescent="0.2">
      <c r="A124" s="50">
        <v>46112</v>
      </c>
      <c r="B124" s="56">
        <v>22680.04</v>
      </c>
      <c r="C124" s="56">
        <v>44309.71</v>
      </c>
      <c r="D124" s="59">
        <f t="shared" si="3"/>
        <v>5.1791644698901884E-3</v>
      </c>
      <c r="E124" s="59">
        <f t="shared" si="4"/>
        <v>1.103957011727574E-2</v>
      </c>
      <c r="F124" s="59">
        <f t="shared" si="5"/>
        <v>8.1093672935829645E-3</v>
      </c>
      <c r="N124" s="49">
        <f>Dashboard!$F$2*N123+(1-Dashboard!$F$2)*(D124)^2</f>
        <v>1.7714958278542683E-4</v>
      </c>
      <c r="O124" s="49">
        <f>Dashboard!$F$2*O123+(1-Dashboard!$F$2)*(E124)^2</f>
        <v>1.6375058767534621E-4</v>
      </c>
      <c r="P124" s="49">
        <f>Dashboard!$F$2*P123+(1-Dashboard!$F$2)*(F124)^2</f>
        <v>1.6278117643080925E-4</v>
      </c>
      <c r="R124" s="49">
        <v>122</v>
      </c>
      <c r="S124" s="59">
        <f ca="1">Dashboard!B$8* Dashboard!$F$4+Dashboard!B$10*SQRT(Dashboard!$F$4) * _xlfn.NORM.S.INV(RAND())</f>
        <v>9.1442210504184499E-3</v>
      </c>
      <c r="T124" s="59">
        <f ca="1">Dashboard!C$8* Dashboard!$F$4+Dashboard!C$10*SQRT(Dashboard!$F$4) * _xlfn.NORM.S.INV(RAND())</f>
        <v>-8.995501279632126E-3</v>
      </c>
      <c r="U124" s="59">
        <f ca="1">Dashboard!D$8* Dashboard!$F$4+Dashboard!D$10*SQRT(Dashboard!$F$4) * _xlfn.NORM.S.INV(RAND())</f>
        <v>-1.596377126506781E-2</v>
      </c>
    </row>
    <row r="125" spans="1:21" x14ac:dyDescent="0.2">
      <c r="A125" s="50">
        <v>46113</v>
      </c>
      <c r="B125" s="56">
        <v>23298.89</v>
      </c>
      <c r="C125" s="56">
        <v>45714.95</v>
      </c>
      <c r="D125" s="59">
        <f t="shared" si="3"/>
        <v>2.6920477425453528E-2</v>
      </c>
      <c r="E125" s="59">
        <f t="shared" si="4"/>
        <v>3.1221537490914414E-2</v>
      </c>
      <c r="F125" s="59">
        <f t="shared" si="5"/>
        <v>2.9071007458183973E-2</v>
      </c>
      <c r="N125" s="49">
        <f>Dashboard!$F$2*N124+(1-Dashboard!$F$2)*(D125)^2</f>
        <v>2.1000333410716246E-4</v>
      </c>
      <c r="O125" s="49">
        <f>Dashboard!$F$2*O124+(1-Dashboard!$F$2)*(E125)^2</f>
        <v>2.1241261661261994E-4</v>
      </c>
      <c r="P125" s="49">
        <f>Dashboard!$F$2*P124+(1-Dashboard!$F$2)*(F125)^2</f>
        <v>2.0372171432298805E-4</v>
      </c>
      <c r="R125" s="49">
        <v>123</v>
      </c>
      <c r="S125" s="59">
        <f ca="1">Dashboard!B$8* Dashboard!$F$4+Dashboard!B$10*SQRT(Dashboard!$F$4) * _xlfn.NORM.S.INV(RAND())</f>
        <v>-4.1106106353191153E-2</v>
      </c>
      <c r="T125" s="59">
        <f ca="1">Dashboard!C$8* Dashboard!$F$4+Dashboard!C$10*SQRT(Dashboard!$F$4) * _xlfn.NORM.S.INV(RAND())</f>
        <v>-1.6358045304067655E-2</v>
      </c>
      <c r="U125" s="59">
        <f ca="1">Dashboard!D$8* Dashboard!$F$4+Dashboard!D$10*SQRT(Dashboard!$F$4) * _xlfn.NORM.S.INV(RAND())</f>
        <v>-9.0865550909382045E-3</v>
      </c>
    </row>
    <row r="126" spans="1:21" x14ac:dyDescent="0.2">
      <c r="A126" s="50">
        <v>46114</v>
      </c>
      <c r="B126" s="56">
        <v>23168.080000000002</v>
      </c>
      <c r="C126" s="56">
        <v>45624.94</v>
      </c>
      <c r="D126" s="59">
        <f t="shared" si="3"/>
        <v>-5.6302507158617612E-3</v>
      </c>
      <c r="E126" s="59">
        <f t="shared" si="4"/>
        <v>-1.9708810495835329E-3</v>
      </c>
      <c r="F126" s="59">
        <f t="shared" si="5"/>
        <v>-3.8005658827226473E-3</v>
      </c>
      <c r="N126" s="49">
        <f>Dashboard!$F$2*N125+(1-Dashboard!$F$2)*(D126)^2</f>
        <v>1.9930511744814042E-4</v>
      </c>
      <c r="O126" s="49">
        <f>Dashboard!$F$2*O125+(1-Dashboard!$F$2)*(E126)^2</f>
        <v>1.9990092194255917E-4</v>
      </c>
      <c r="P126" s="49">
        <f>Dashboard!$F$2*P125+(1-Dashboard!$F$2)*(F126)^2</f>
        <v>1.9236506952534369E-4</v>
      </c>
      <c r="R126" s="49">
        <v>124</v>
      </c>
      <c r="S126" s="59">
        <f ca="1">Dashboard!B$8* Dashboard!$F$4+Dashboard!B$10*SQRT(Dashboard!$F$4) * _xlfn.NORM.S.INV(RAND())</f>
        <v>-2.1071826425963676E-2</v>
      </c>
      <c r="T126" s="59">
        <f ca="1">Dashboard!C$8* Dashboard!$F$4+Dashboard!C$10*SQRT(Dashboard!$F$4) * _xlfn.NORM.S.INV(RAND())</f>
        <v>2.0838053033012539E-2</v>
      </c>
      <c r="U126" s="59">
        <f ca="1">Dashboard!D$8* Dashboard!$F$4+Dashboard!D$10*SQRT(Dashboard!$F$4) * _xlfn.NORM.S.INV(RAND())</f>
        <v>4.1161716912700638E-2</v>
      </c>
    </row>
    <row r="127" spans="1:21" x14ac:dyDescent="0.2">
      <c r="R127" s="49">
        <v>125</v>
      </c>
      <c r="S127" s="59">
        <f ca="1">Dashboard!B$8* Dashboard!$F$4+Dashboard!B$10*SQRT(Dashboard!$F$4) * _xlfn.NORM.S.INV(RAND())</f>
        <v>2.5025904192851979E-2</v>
      </c>
      <c r="T127" s="59">
        <f ca="1">Dashboard!C$8* Dashboard!$F$4+Dashboard!C$10*SQRT(Dashboard!$F$4) * _xlfn.NORM.S.INV(RAND())</f>
        <v>5.6603575888965283E-3</v>
      </c>
      <c r="U127" s="59">
        <f ca="1">Dashboard!D$8* Dashboard!$F$4+Dashboard!D$10*SQRT(Dashboard!$F$4) * _xlfn.NORM.S.INV(RAND())</f>
        <v>-1.1108778969319345E-2</v>
      </c>
    </row>
    <row r="128" spans="1:21" x14ac:dyDescent="0.2">
      <c r="R128" s="49">
        <v>126</v>
      </c>
      <c r="S128" s="59">
        <f ca="1">Dashboard!B$8* Dashboard!$F$4+Dashboard!B$10*SQRT(Dashboard!$F$4) * _xlfn.NORM.S.INV(RAND())</f>
        <v>1.0544272408613189E-2</v>
      </c>
      <c r="T128" s="59">
        <f ca="1">Dashboard!C$8* Dashboard!$F$4+Dashboard!C$10*SQRT(Dashboard!$F$4) * _xlfn.NORM.S.INV(RAND())</f>
        <v>4.5670167246534742E-2</v>
      </c>
      <c r="U128" s="59">
        <f ca="1">Dashboard!D$8* Dashboard!$F$4+Dashboard!D$10*SQRT(Dashboard!$F$4) * _xlfn.NORM.S.INV(RAND())</f>
        <v>-2.4870630704526355E-2</v>
      </c>
    </row>
    <row r="129" spans="18:21" x14ac:dyDescent="0.2">
      <c r="R129" s="49">
        <v>127</v>
      </c>
      <c r="S129" s="59">
        <f ca="1">Dashboard!B$8* Dashboard!$F$4+Dashboard!B$10*SQRT(Dashboard!$F$4) * _xlfn.NORM.S.INV(RAND())</f>
        <v>-4.3178346880978534E-3</v>
      </c>
      <c r="T129" s="59">
        <f ca="1">Dashboard!C$8* Dashboard!$F$4+Dashboard!C$10*SQRT(Dashboard!$F$4) * _xlfn.NORM.S.INV(RAND())</f>
        <v>3.3282714941138887E-2</v>
      </c>
      <c r="U129" s="59">
        <f ca="1">Dashboard!D$8* Dashboard!$F$4+Dashboard!D$10*SQRT(Dashboard!$F$4) * _xlfn.NORM.S.INV(RAND())</f>
        <v>2.4311083516951784E-2</v>
      </c>
    </row>
    <row r="130" spans="18:21" x14ac:dyDescent="0.2">
      <c r="R130" s="49">
        <v>128</v>
      </c>
      <c r="S130" s="59">
        <f ca="1">Dashboard!B$8* Dashboard!$F$4+Dashboard!B$10*SQRT(Dashboard!$F$4) * _xlfn.NORM.S.INV(RAND())</f>
        <v>-3.5134626168159176E-2</v>
      </c>
      <c r="T130" s="59">
        <f ca="1">Dashboard!C$8* Dashboard!$F$4+Dashboard!C$10*SQRT(Dashboard!$F$4) * _xlfn.NORM.S.INV(RAND())</f>
        <v>3.341162103394122E-2</v>
      </c>
      <c r="U130" s="59">
        <f ca="1">Dashboard!D$8* Dashboard!$F$4+Dashboard!D$10*SQRT(Dashboard!$F$4) * _xlfn.NORM.S.INV(RAND())</f>
        <v>-1.8253165059722305E-2</v>
      </c>
    </row>
    <row r="131" spans="18:21" x14ac:dyDescent="0.2">
      <c r="R131" s="49">
        <v>129</v>
      </c>
      <c r="S131" s="59">
        <f ca="1">Dashboard!B$8* Dashboard!$F$4+Dashboard!B$10*SQRT(Dashboard!$F$4) * _xlfn.NORM.S.INV(RAND())</f>
        <v>-5.3453364718263185E-3</v>
      </c>
      <c r="T131" s="59">
        <f ca="1">Dashboard!C$8* Dashboard!$F$4+Dashboard!C$10*SQRT(Dashboard!$F$4) * _xlfn.NORM.S.INV(RAND())</f>
        <v>2.6448897616040265E-3</v>
      </c>
      <c r="U131" s="59">
        <f ca="1">Dashboard!D$8* Dashboard!$F$4+Dashboard!D$10*SQRT(Dashboard!$F$4) * _xlfn.NORM.S.INV(RAND())</f>
        <v>6.033253749995398E-2</v>
      </c>
    </row>
    <row r="132" spans="18:21" x14ac:dyDescent="0.2">
      <c r="R132" s="49">
        <v>130</v>
      </c>
      <c r="S132" s="59">
        <f ca="1">Dashboard!B$8* Dashboard!$F$4+Dashboard!B$10*SQRT(Dashboard!$F$4) * _xlfn.NORM.S.INV(RAND())</f>
        <v>9.4829271091377738E-4</v>
      </c>
      <c r="T132" s="59">
        <f ca="1">Dashboard!C$8* Dashboard!$F$4+Dashboard!C$10*SQRT(Dashboard!$F$4) * _xlfn.NORM.S.INV(RAND())</f>
        <v>-5.3030099109207434E-3</v>
      </c>
      <c r="U132" s="59">
        <f ca="1">Dashboard!D$8* Dashboard!$F$4+Dashboard!D$10*SQRT(Dashboard!$F$4) * _xlfn.NORM.S.INV(RAND())</f>
        <v>-3.5160693557144358E-2</v>
      </c>
    </row>
    <row r="133" spans="18:21" x14ac:dyDescent="0.2">
      <c r="R133" s="49">
        <v>131</v>
      </c>
      <c r="S133" s="59">
        <f ca="1">Dashboard!B$8* Dashboard!$F$4+Dashboard!B$10*SQRT(Dashboard!$F$4) * _xlfn.NORM.S.INV(RAND())</f>
        <v>9.7689970990417051E-3</v>
      </c>
      <c r="T133" s="59">
        <f ca="1">Dashboard!C$8* Dashboard!$F$4+Dashboard!C$10*SQRT(Dashboard!$F$4) * _xlfn.NORM.S.INV(RAND())</f>
        <v>-3.6462529523435185E-2</v>
      </c>
      <c r="U133" s="59">
        <f ca="1">Dashboard!D$8* Dashboard!$F$4+Dashboard!D$10*SQRT(Dashboard!$F$4) * _xlfn.NORM.S.INV(RAND())</f>
        <v>-3.2039633510137257E-2</v>
      </c>
    </row>
    <row r="134" spans="18:21" x14ac:dyDescent="0.2">
      <c r="R134" s="49">
        <v>132</v>
      </c>
      <c r="S134" s="59">
        <f ca="1">Dashboard!B$8* Dashboard!$F$4+Dashboard!B$10*SQRT(Dashboard!$F$4) * _xlfn.NORM.S.INV(RAND())</f>
        <v>2.9119112568559008E-4</v>
      </c>
      <c r="T134" s="59">
        <f ca="1">Dashboard!C$8* Dashboard!$F$4+Dashboard!C$10*SQRT(Dashboard!$F$4) * _xlfn.NORM.S.INV(RAND())</f>
        <v>1.6770043428555917E-3</v>
      </c>
      <c r="U134" s="59">
        <f ca="1">Dashboard!D$8* Dashboard!$F$4+Dashboard!D$10*SQRT(Dashboard!$F$4) * _xlfn.NORM.S.INV(RAND())</f>
        <v>1.484207651103934E-2</v>
      </c>
    </row>
    <row r="135" spans="18:21" x14ac:dyDescent="0.2">
      <c r="R135" s="49">
        <v>133</v>
      </c>
      <c r="S135" s="59">
        <f ca="1">Dashboard!B$8* Dashboard!$F$4+Dashboard!B$10*SQRT(Dashboard!$F$4) * _xlfn.NORM.S.INV(RAND())</f>
        <v>-4.7680536549915536E-3</v>
      </c>
      <c r="T135" s="59">
        <f ca="1">Dashboard!C$8* Dashboard!$F$4+Dashboard!C$10*SQRT(Dashboard!$F$4) * _xlfn.NORM.S.INV(RAND())</f>
        <v>-1.4185735131565506E-2</v>
      </c>
      <c r="U135" s="59">
        <f ca="1">Dashboard!D$8* Dashboard!$F$4+Dashboard!D$10*SQRT(Dashboard!$F$4) * _xlfn.NORM.S.INV(RAND())</f>
        <v>-1.0877818429994494E-2</v>
      </c>
    </row>
    <row r="136" spans="18:21" x14ac:dyDescent="0.2">
      <c r="R136" s="49">
        <v>134</v>
      </c>
      <c r="S136" s="59">
        <f ca="1">Dashboard!B$8* Dashboard!$F$4+Dashboard!B$10*SQRT(Dashboard!$F$4) * _xlfn.NORM.S.INV(RAND())</f>
        <v>3.8825283543049524E-2</v>
      </c>
      <c r="T136" s="59">
        <f ca="1">Dashboard!C$8* Dashboard!$F$4+Dashboard!C$10*SQRT(Dashboard!$F$4) * _xlfn.NORM.S.INV(RAND())</f>
        <v>2.7995401781863539E-2</v>
      </c>
      <c r="U136" s="59">
        <f ca="1">Dashboard!D$8* Dashboard!$F$4+Dashboard!D$10*SQRT(Dashboard!$F$4) * _xlfn.NORM.S.INV(RAND())</f>
        <v>-2.0159065288199506E-2</v>
      </c>
    </row>
    <row r="137" spans="18:21" x14ac:dyDescent="0.2">
      <c r="R137" s="49">
        <v>135</v>
      </c>
      <c r="S137" s="59">
        <f ca="1">Dashboard!B$8* Dashboard!$F$4+Dashboard!B$10*SQRT(Dashboard!$F$4) * _xlfn.NORM.S.INV(RAND())</f>
        <v>4.0244867188982236E-2</v>
      </c>
      <c r="T137" s="59">
        <f ca="1">Dashboard!C$8* Dashboard!$F$4+Dashboard!C$10*SQRT(Dashboard!$F$4) * _xlfn.NORM.S.INV(RAND())</f>
        <v>-1.3317141694491445E-2</v>
      </c>
      <c r="U137" s="59">
        <f ca="1">Dashboard!D$8* Dashboard!$F$4+Dashboard!D$10*SQRT(Dashboard!$F$4) * _xlfn.NORM.S.INV(RAND())</f>
        <v>-3.0942461212944548E-2</v>
      </c>
    </row>
    <row r="138" spans="18:21" x14ac:dyDescent="0.2">
      <c r="R138" s="49">
        <v>136</v>
      </c>
      <c r="S138" s="59">
        <f ca="1">Dashboard!B$8* Dashboard!$F$4+Dashboard!B$10*SQRT(Dashboard!$F$4) * _xlfn.NORM.S.INV(RAND())</f>
        <v>-1.5208321247692632E-2</v>
      </c>
      <c r="T138" s="59">
        <f ca="1">Dashboard!C$8* Dashboard!$F$4+Dashboard!C$10*SQRT(Dashboard!$F$4) * _xlfn.NORM.S.INV(RAND())</f>
        <v>1.3930725069536389E-2</v>
      </c>
      <c r="U138" s="59">
        <f ca="1">Dashboard!D$8* Dashboard!$F$4+Dashboard!D$10*SQRT(Dashboard!$F$4) * _xlfn.NORM.S.INV(RAND())</f>
        <v>-2.6490357615306614E-2</v>
      </c>
    </row>
    <row r="139" spans="18:21" x14ac:dyDescent="0.2">
      <c r="R139" s="49">
        <v>137</v>
      </c>
      <c r="S139" s="59">
        <f ca="1">Dashboard!B$8* Dashboard!$F$4+Dashboard!B$10*SQRT(Dashboard!$F$4) * _xlfn.NORM.S.INV(RAND())</f>
        <v>-5.3273085061703751E-2</v>
      </c>
      <c r="T139" s="59">
        <f ca="1">Dashboard!C$8* Dashboard!$F$4+Dashboard!C$10*SQRT(Dashboard!$F$4) * _xlfn.NORM.S.INV(RAND())</f>
        <v>5.5483312613919748E-2</v>
      </c>
      <c r="U139" s="59">
        <f ca="1">Dashboard!D$8* Dashboard!$F$4+Dashboard!D$10*SQRT(Dashboard!$F$4) * _xlfn.NORM.S.INV(RAND())</f>
        <v>2.8767039371817415E-2</v>
      </c>
    </row>
    <row r="140" spans="18:21" x14ac:dyDescent="0.2">
      <c r="R140" s="49">
        <v>138</v>
      </c>
      <c r="S140" s="59">
        <f ca="1">Dashboard!B$8* Dashboard!$F$4+Dashboard!B$10*SQRT(Dashboard!$F$4) * _xlfn.NORM.S.INV(RAND())</f>
        <v>-3.4116963168305372E-3</v>
      </c>
      <c r="T140" s="59">
        <f ca="1">Dashboard!C$8* Dashboard!$F$4+Dashboard!C$10*SQRT(Dashboard!$F$4) * _xlfn.NORM.S.INV(RAND())</f>
        <v>-7.8802286277674903E-3</v>
      </c>
      <c r="U140" s="59">
        <f ca="1">Dashboard!D$8* Dashboard!$F$4+Dashboard!D$10*SQRT(Dashboard!$F$4) * _xlfn.NORM.S.INV(RAND())</f>
        <v>-1.1818115471043918E-2</v>
      </c>
    </row>
    <row r="141" spans="18:21" x14ac:dyDescent="0.2">
      <c r="R141" s="49">
        <v>139</v>
      </c>
      <c r="S141" s="59">
        <f ca="1">Dashboard!B$8* Dashboard!$F$4+Dashboard!B$10*SQRT(Dashboard!$F$4) * _xlfn.NORM.S.INV(RAND())</f>
        <v>1.6457898083469563E-2</v>
      </c>
      <c r="T141" s="59">
        <f ca="1">Dashboard!C$8* Dashboard!$F$4+Dashboard!C$10*SQRT(Dashboard!$F$4) * _xlfn.NORM.S.INV(RAND())</f>
        <v>1.179117585705252E-2</v>
      </c>
      <c r="U141" s="59">
        <f ca="1">Dashboard!D$8* Dashboard!$F$4+Dashboard!D$10*SQRT(Dashboard!$F$4) * _xlfn.NORM.S.INV(RAND())</f>
        <v>1.4086283188222453E-2</v>
      </c>
    </row>
    <row r="142" spans="18:21" x14ac:dyDescent="0.2">
      <c r="R142" s="49">
        <v>140</v>
      </c>
      <c r="S142" s="59">
        <f ca="1">Dashboard!B$8* Dashboard!$F$4+Dashboard!B$10*SQRT(Dashboard!$F$4) * _xlfn.NORM.S.INV(RAND())</f>
        <v>-4.7686994044060516E-2</v>
      </c>
      <c r="T142" s="59">
        <f ca="1">Dashboard!C$8* Dashboard!$F$4+Dashboard!C$10*SQRT(Dashboard!$F$4) * _xlfn.NORM.S.INV(RAND())</f>
        <v>4.6660780006465008E-3</v>
      </c>
      <c r="U142" s="59">
        <f ca="1">Dashboard!D$8* Dashboard!$F$4+Dashboard!D$10*SQRT(Dashboard!$F$4) * _xlfn.NORM.S.INV(RAND())</f>
        <v>-2.4967436642288485E-2</v>
      </c>
    </row>
    <row r="143" spans="18:21" x14ac:dyDescent="0.2">
      <c r="R143" s="49">
        <v>141</v>
      </c>
      <c r="S143" s="59">
        <f ca="1">Dashboard!B$8* Dashboard!$F$4+Dashboard!B$10*SQRT(Dashboard!$F$4) * _xlfn.NORM.S.INV(RAND())</f>
        <v>2.940095701175191E-2</v>
      </c>
      <c r="T143" s="59">
        <f ca="1">Dashboard!C$8* Dashboard!$F$4+Dashboard!C$10*SQRT(Dashboard!$F$4) * _xlfn.NORM.S.INV(RAND())</f>
        <v>-2.5279366695718465E-3</v>
      </c>
      <c r="U143" s="59">
        <f ca="1">Dashboard!D$8* Dashboard!$F$4+Dashboard!D$10*SQRT(Dashboard!$F$4) * _xlfn.NORM.S.INV(RAND())</f>
        <v>1.9879138056482698E-2</v>
      </c>
    </row>
    <row r="144" spans="18:21" x14ac:dyDescent="0.2">
      <c r="R144" s="49">
        <v>142</v>
      </c>
      <c r="S144" s="59">
        <f ca="1">Dashboard!B$8* Dashboard!$F$4+Dashboard!B$10*SQRT(Dashboard!$F$4) * _xlfn.NORM.S.INV(RAND())</f>
        <v>1.8356799976616829E-2</v>
      </c>
      <c r="T144" s="59">
        <f ca="1">Dashboard!C$8* Dashboard!$F$4+Dashboard!C$10*SQRT(Dashboard!$F$4) * _xlfn.NORM.S.INV(RAND())</f>
        <v>4.1336570643207221E-3</v>
      </c>
      <c r="U144" s="59">
        <f ca="1">Dashboard!D$8* Dashboard!$F$4+Dashboard!D$10*SQRT(Dashboard!$F$4) * _xlfn.NORM.S.INV(RAND())</f>
        <v>1.2554163617208229E-3</v>
      </c>
    </row>
    <row r="145" spans="18:21" x14ac:dyDescent="0.2">
      <c r="R145" s="49">
        <v>143</v>
      </c>
      <c r="S145" s="59">
        <f ca="1">Dashboard!B$8* Dashboard!$F$4+Dashboard!B$10*SQRT(Dashboard!$F$4) * _xlfn.NORM.S.INV(RAND())</f>
        <v>1.1642801556833561E-3</v>
      </c>
      <c r="T145" s="59">
        <f ca="1">Dashboard!C$8* Dashboard!$F$4+Dashboard!C$10*SQRT(Dashboard!$F$4) * _xlfn.NORM.S.INV(RAND())</f>
        <v>-5.7340170104369495E-2</v>
      </c>
      <c r="U145" s="59">
        <f ca="1">Dashboard!D$8* Dashboard!$F$4+Dashboard!D$10*SQRT(Dashboard!$F$4) * _xlfn.NORM.S.INV(RAND())</f>
        <v>2.1545943740595624E-2</v>
      </c>
    </row>
    <row r="146" spans="18:21" x14ac:dyDescent="0.2">
      <c r="R146" s="49">
        <v>144</v>
      </c>
      <c r="S146" s="59">
        <f ca="1">Dashboard!B$8* Dashboard!$F$4+Dashboard!B$10*SQRT(Dashboard!$F$4) * _xlfn.NORM.S.INV(RAND())</f>
        <v>5.2265214582892572E-2</v>
      </c>
      <c r="T146" s="59">
        <f ca="1">Dashboard!C$8* Dashboard!$F$4+Dashboard!C$10*SQRT(Dashboard!$F$4) * _xlfn.NORM.S.INV(RAND())</f>
        <v>7.2462281244064716E-4</v>
      </c>
      <c r="U146" s="59">
        <f ca="1">Dashboard!D$8* Dashboard!$F$4+Dashboard!D$10*SQRT(Dashboard!$F$4) * _xlfn.NORM.S.INV(RAND())</f>
        <v>2.689975572530294E-2</v>
      </c>
    </row>
    <row r="147" spans="18:21" x14ac:dyDescent="0.2">
      <c r="R147" s="49">
        <v>145</v>
      </c>
      <c r="S147" s="59">
        <f ca="1">Dashboard!B$8* Dashboard!$F$4+Dashboard!B$10*SQRT(Dashboard!$F$4) * _xlfn.NORM.S.INV(RAND())</f>
        <v>2.3899757166592629E-2</v>
      </c>
      <c r="T147" s="59">
        <f ca="1">Dashboard!C$8* Dashboard!$F$4+Dashboard!C$10*SQRT(Dashboard!$F$4) * _xlfn.NORM.S.INV(RAND())</f>
        <v>4.1507427448274986E-2</v>
      </c>
      <c r="U147" s="59">
        <f ca="1">Dashboard!D$8* Dashboard!$F$4+Dashboard!D$10*SQRT(Dashboard!$F$4) * _xlfn.NORM.S.INV(RAND())</f>
        <v>3.5429227270973605E-2</v>
      </c>
    </row>
    <row r="148" spans="18:21" x14ac:dyDescent="0.2">
      <c r="R148" s="49">
        <v>146</v>
      </c>
      <c r="S148" s="59">
        <f ca="1">Dashboard!B$8* Dashboard!$F$4+Dashboard!B$10*SQRT(Dashboard!$F$4) * _xlfn.NORM.S.INV(RAND())</f>
        <v>-4.4264932757126126E-2</v>
      </c>
      <c r="T148" s="59">
        <f ca="1">Dashboard!C$8* Dashboard!$F$4+Dashboard!C$10*SQRT(Dashboard!$F$4) * _xlfn.NORM.S.INV(RAND())</f>
        <v>4.0974691604785618E-2</v>
      </c>
      <c r="U148" s="59">
        <f ca="1">Dashboard!D$8* Dashboard!$F$4+Dashboard!D$10*SQRT(Dashboard!$F$4) * _xlfn.NORM.S.INV(RAND())</f>
        <v>-7.915811977790975E-3</v>
      </c>
    </row>
    <row r="149" spans="18:21" x14ac:dyDescent="0.2">
      <c r="R149" s="49">
        <v>147</v>
      </c>
      <c r="S149" s="59">
        <f ca="1">Dashboard!B$8* Dashboard!$F$4+Dashboard!B$10*SQRT(Dashboard!$F$4) * _xlfn.NORM.S.INV(RAND())</f>
        <v>-4.1435426303002169E-2</v>
      </c>
      <c r="T149" s="59">
        <f ca="1">Dashboard!C$8* Dashboard!$F$4+Dashboard!C$10*SQRT(Dashboard!$F$4) * _xlfn.NORM.S.INV(RAND())</f>
        <v>-2.4100191869887697E-2</v>
      </c>
      <c r="U149" s="59">
        <f ca="1">Dashboard!D$8* Dashboard!$F$4+Dashboard!D$10*SQRT(Dashboard!$F$4) * _xlfn.NORM.S.INV(RAND())</f>
        <v>6.729867607239249E-3</v>
      </c>
    </row>
    <row r="150" spans="18:21" x14ac:dyDescent="0.2">
      <c r="R150" s="49">
        <v>148</v>
      </c>
      <c r="S150" s="59">
        <f ca="1">Dashboard!B$8* Dashboard!$F$4+Dashboard!B$10*SQRT(Dashboard!$F$4) * _xlfn.NORM.S.INV(RAND())</f>
        <v>-4.6623693872516067E-2</v>
      </c>
      <c r="T150" s="59">
        <f ca="1">Dashboard!C$8* Dashboard!$F$4+Dashboard!C$10*SQRT(Dashboard!$F$4) * _xlfn.NORM.S.INV(RAND())</f>
        <v>2.9479503769674199E-3</v>
      </c>
      <c r="U150" s="59">
        <f ca="1">Dashboard!D$8* Dashboard!$F$4+Dashboard!D$10*SQRT(Dashboard!$F$4) * _xlfn.NORM.S.INV(RAND())</f>
        <v>1.1055447151675597E-2</v>
      </c>
    </row>
    <row r="151" spans="18:21" x14ac:dyDescent="0.2">
      <c r="R151" s="49">
        <v>149</v>
      </c>
      <c r="S151" s="59">
        <f ca="1">Dashboard!B$8* Dashboard!$F$4+Dashboard!B$10*SQRT(Dashboard!$F$4) * _xlfn.NORM.S.INV(RAND())</f>
        <v>-3.8078697415507817E-2</v>
      </c>
      <c r="T151" s="59">
        <f ca="1">Dashboard!C$8* Dashboard!$F$4+Dashboard!C$10*SQRT(Dashboard!$F$4) * _xlfn.NORM.S.INV(RAND())</f>
        <v>7.141403414494249E-2</v>
      </c>
      <c r="U151" s="59">
        <f ca="1">Dashboard!D$8* Dashboard!$F$4+Dashboard!D$10*SQRT(Dashboard!$F$4) * _xlfn.NORM.S.INV(RAND())</f>
        <v>-1.6220585933766039E-3</v>
      </c>
    </row>
    <row r="152" spans="18:21" x14ac:dyDescent="0.2">
      <c r="R152" s="49">
        <v>150</v>
      </c>
      <c r="S152" s="59">
        <f ca="1">Dashboard!B$8* Dashboard!$F$4+Dashboard!B$10*SQRT(Dashboard!$F$4) * _xlfn.NORM.S.INV(RAND())</f>
        <v>-3.6816014963693341E-2</v>
      </c>
      <c r="T152" s="59">
        <f ca="1">Dashboard!C$8* Dashboard!$F$4+Dashboard!C$10*SQRT(Dashboard!$F$4) * _xlfn.NORM.S.INV(RAND())</f>
        <v>2.4021670603197515E-2</v>
      </c>
      <c r="U152" s="59">
        <f ca="1">Dashboard!D$8* Dashboard!$F$4+Dashboard!D$10*SQRT(Dashboard!$F$4) * _xlfn.NORM.S.INV(RAND())</f>
        <v>-2.8043905846013992E-2</v>
      </c>
    </row>
    <row r="153" spans="18:21" x14ac:dyDescent="0.2">
      <c r="R153" s="49">
        <v>151</v>
      </c>
      <c r="S153" s="59">
        <f ca="1">Dashboard!B$8* Dashboard!$F$4+Dashboard!B$10*SQRT(Dashboard!$F$4) * _xlfn.NORM.S.INV(RAND())</f>
        <v>7.2503044563244929E-3</v>
      </c>
      <c r="T153" s="59">
        <f ca="1">Dashboard!C$8* Dashboard!$F$4+Dashboard!C$10*SQRT(Dashboard!$F$4) * _xlfn.NORM.S.INV(RAND())</f>
        <v>1.1806796478480135E-2</v>
      </c>
      <c r="U153" s="59">
        <f ca="1">Dashboard!D$8* Dashboard!$F$4+Dashboard!D$10*SQRT(Dashboard!$F$4) * _xlfn.NORM.S.INV(RAND())</f>
        <v>-5.1093940765221911E-2</v>
      </c>
    </row>
    <row r="154" spans="18:21" x14ac:dyDescent="0.2">
      <c r="R154" s="49">
        <v>152</v>
      </c>
      <c r="S154" s="59">
        <f ca="1">Dashboard!B$8* Dashboard!$F$4+Dashboard!B$10*SQRT(Dashboard!$F$4) * _xlfn.NORM.S.INV(RAND())</f>
        <v>-1.7313518472853645E-2</v>
      </c>
      <c r="T154" s="59">
        <f ca="1">Dashboard!C$8* Dashboard!$F$4+Dashboard!C$10*SQRT(Dashboard!$F$4) * _xlfn.NORM.S.INV(RAND())</f>
        <v>1.3509131002842165E-2</v>
      </c>
      <c r="U154" s="59">
        <f ca="1">Dashboard!D$8* Dashboard!$F$4+Dashboard!D$10*SQRT(Dashboard!$F$4) * _xlfn.NORM.S.INV(RAND())</f>
        <v>-3.1782653373887471E-2</v>
      </c>
    </row>
    <row r="155" spans="18:21" x14ac:dyDescent="0.2">
      <c r="R155" s="49">
        <v>153</v>
      </c>
      <c r="S155" s="59">
        <f ca="1">Dashboard!B$8* Dashboard!$F$4+Dashboard!B$10*SQRT(Dashboard!$F$4) * _xlfn.NORM.S.INV(RAND())</f>
        <v>-3.6613442263096575E-2</v>
      </c>
      <c r="T155" s="59">
        <f ca="1">Dashboard!C$8* Dashboard!$F$4+Dashboard!C$10*SQRT(Dashboard!$F$4) * _xlfn.NORM.S.INV(RAND())</f>
        <v>1.7896170686557602E-2</v>
      </c>
      <c r="U155" s="59">
        <f ca="1">Dashboard!D$8* Dashboard!$F$4+Dashboard!D$10*SQRT(Dashboard!$F$4) * _xlfn.NORM.S.INV(RAND())</f>
        <v>2.0931701625675519E-2</v>
      </c>
    </row>
    <row r="156" spans="18:21" x14ac:dyDescent="0.2">
      <c r="R156" s="49">
        <v>154</v>
      </c>
      <c r="S156" s="59">
        <f ca="1">Dashboard!B$8* Dashboard!$F$4+Dashboard!B$10*SQRT(Dashboard!$F$4) * _xlfn.NORM.S.INV(RAND())</f>
        <v>-1.1684697975461471E-2</v>
      </c>
      <c r="T156" s="59">
        <f ca="1">Dashboard!C$8* Dashboard!$F$4+Dashboard!C$10*SQRT(Dashboard!$F$4) * _xlfn.NORM.S.INV(RAND())</f>
        <v>-3.0038870985084943E-2</v>
      </c>
      <c r="U156" s="59">
        <f ca="1">Dashboard!D$8* Dashboard!$F$4+Dashboard!D$10*SQRT(Dashboard!$F$4) * _xlfn.NORM.S.INV(RAND())</f>
        <v>1.8092272821925929E-3</v>
      </c>
    </row>
    <row r="157" spans="18:21" x14ac:dyDescent="0.2">
      <c r="R157" s="49">
        <v>155</v>
      </c>
      <c r="S157" s="59">
        <f ca="1">Dashboard!B$8* Dashboard!$F$4+Dashboard!B$10*SQRT(Dashboard!$F$4) * _xlfn.NORM.S.INV(RAND())</f>
        <v>4.3188509781625452E-2</v>
      </c>
      <c r="T157" s="59">
        <f ca="1">Dashboard!C$8* Dashboard!$F$4+Dashboard!C$10*SQRT(Dashboard!$F$4) * _xlfn.NORM.S.INV(RAND())</f>
        <v>4.3863188581538981E-2</v>
      </c>
      <c r="U157" s="59">
        <f ca="1">Dashboard!D$8* Dashboard!$F$4+Dashboard!D$10*SQRT(Dashboard!$F$4) * _xlfn.NORM.S.INV(RAND())</f>
        <v>-9.143656606211358E-4</v>
      </c>
    </row>
    <row r="158" spans="18:21" x14ac:dyDescent="0.2">
      <c r="R158" s="49">
        <v>156</v>
      </c>
      <c r="S158" s="59">
        <f ca="1">Dashboard!B$8* Dashboard!$F$4+Dashboard!B$10*SQRT(Dashboard!$F$4) * _xlfn.NORM.S.INV(RAND())</f>
        <v>5.4904198427948213E-2</v>
      </c>
      <c r="T158" s="59">
        <f ca="1">Dashboard!C$8* Dashboard!$F$4+Dashboard!C$10*SQRT(Dashboard!$F$4) * _xlfn.NORM.S.INV(RAND())</f>
        <v>2.453282182657909E-2</v>
      </c>
      <c r="U158" s="59">
        <f ca="1">Dashboard!D$8* Dashboard!$F$4+Dashboard!D$10*SQRT(Dashboard!$F$4) * _xlfn.NORM.S.INV(RAND())</f>
        <v>-1.9075466038453961E-2</v>
      </c>
    </row>
    <row r="159" spans="18:21" x14ac:dyDescent="0.2">
      <c r="R159" s="49">
        <v>157</v>
      </c>
      <c r="S159" s="59">
        <f ca="1">Dashboard!B$8* Dashboard!$F$4+Dashboard!B$10*SQRT(Dashboard!$F$4) * _xlfn.NORM.S.INV(RAND())</f>
        <v>-7.6058561655674168E-3</v>
      </c>
      <c r="T159" s="59">
        <f ca="1">Dashboard!C$8* Dashboard!$F$4+Dashboard!C$10*SQRT(Dashboard!$F$4) * _xlfn.NORM.S.INV(RAND())</f>
        <v>3.4647421103651606E-2</v>
      </c>
      <c r="U159" s="59">
        <f ca="1">Dashboard!D$8* Dashboard!$F$4+Dashboard!D$10*SQRT(Dashboard!$F$4) * _xlfn.NORM.S.INV(RAND())</f>
        <v>1.0071115879823546E-2</v>
      </c>
    </row>
    <row r="160" spans="18:21" x14ac:dyDescent="0.2">
      <c r="R160" s="49">
        <v>158</v>
      </c>
      <c r="S160" s="59">
        <f ca="1">Dashboard!B$8* Dashboard!$F$4+Dashboard!B$10*SQRT(Dashboard!$F$4) * _xlfn.NORM.S.INV(RAND())</f>
        <v>4.1351067108049266E-3</v>
      </c>
      <c r="T160" s="59">
        <f ca="1">Dashboard!C$8* Dashboard!$F$4+Dashboard!C$10*SQRT(Dashboard!$F$4) * _xlfn.NORM.S.INV(RAND())</f>
        <v>1.7646721099102237E-2</v>
      </c>
      <c r="U160" s="59">
        <f ca="1">Dashboard!D$8* Dashboard!$F$4+Dashboard!D$10*SQRT(Dashboard!$F$4) * _xlfn.NORM.S.INV(RAND())</f>
        <v>-4.7275127400067197E-3</v>
      </c>
    </row>
    <row r="161" spans="18:21" x14ac:dyDescent="0.2">
      <c r="R161" s="49">
        <v>159</v>
      </c>
      <c r="S161" s="59">
        <f ca="1">Dashboard!B$8* Dashboard!$F$4+Dashboard!B$10*SQRT(Dashboard!$F$4) * _xlfn.NORM.S.INV(RAND())</f>
        <v>1.4055890876500747E-2</v>
      </c>
      <c r="T161" s="59">
        <f ca="1">Dashboard!C$8* Dashboard!$F$4+Dashboard!C$10*SQRT(Dashboard!$F$4) * _xlfn.NORM.S.INV(RAND())</f>
        <v>9.2698608272650269E-3</v>
      </c>
      <c r="U161" s="59">
        <f ca="1">Dashboard!D$8* Dashboard!$F$4+Dashboard!D$10*SQRT(Dashboard!$F$4) * _xlfn.NORM.S.INV(RAND())</f>
        <v>-4.9633664402683284E-2</v>
      </c>
    </row>
    <row r="162" spans="18:21" x14ac:dyDescent="0.2">
      <c r="R162" s="49">
        <v>160</v>
      </c>
      <c r="S162" s="59">
        <f ca="1">Dashboard!B$8* Dashboard!$F$4+Dashboard!B$10*SQRT(Dashboard!$F$4) * _xlfn.NORM.S.INV(RAND())</f>
        <v>-9.802644444026681E-4</v>
      </c>
      <c r="T162" s="59">
        <f ca="1">Dashboard!C$8* Dashboard!$F$4+Dashboard!C$10*SQRT(Dashboard!$F$4) * _xlfn.NORM.S.INV(RAND())</f>
        <v>1.8608619692922698E-2</v>
      </c>
      <c r="U162" s="59">
        <f ca="1">Dashboard!D$8* Dashboard!$F$4+Dashboard!D$10*SQRT(Dashboard!$F$4) * _xlfn.NORM.S.INV(RAND())</f>
        <v>-9.3174100793519399E-3</v>
      </c>
    </row>
    <row r="163" spans="18:21" x14ac:dyDescent="0.2">
      <c r="R163" s="49">
        <v>161</v>
      </c>
      <c r="S163" s="59">
        <f ca="1">Dashboard!B$8* Dashboard!$F$4+Dashboard!B$10*SQRT(Dashboard!$F$4) * _xlfn.NORM.S.INV(RAND())</f>
        <v>1.1224276980260007E-2</v>
      </c>
      <c r="T163" s="59">
        <f ca="1">Dashboard!C$8* Dashboard!$F$4+Dashboard!C$10*SQRT(Dashboard!$F$4) * _xlfn.NORM.S.INV(RAND())</f>
        <v>-1.1173177823875207E-2</v>
      </c>
      <c r="U163" s="59">
        <f ca="1">Dashboard!D$8* Dashboard!$F$4+Dashboard!D$10*SQRT(Dashboard!$F$4) * _xlfn.NORM.S.INV(RAND())</f>
        <v>7.0494660519778681E-3</v>
      </c>
    </row>
    <row r="164" spans="18:21" x14ac:dyDescent="0.2">
      <c r="R164" s="49">
        <v>162</v>
      </c>
      <c r="S164" s="59">
        <f ca="1">Dashboard!B$8* Dashboard!$F$4+Dashboard!B$10*SQRT(Dashboard!$F$4) * _xlfn.NORM.S.INV(RAND())</f>
        <v>1.8634429369018088E-2</v>
      </c>
      <c r="T164" s="59">
        <f ca="1">Dashboard!C$8* Dashboard!$F$4+Dashboard!C$10*SQRT(Dashboard!$F$4) * _xlfn.NORM.S.INV(RAND())</f>
        <v>2.5493334514169734E-2</v>
      </c>
      <c r="U164" s="59">
        <f ca="1">Dashboard!D$8* Dashboard!$F$4+Dashboard!D$10*SQRT(Dashboard!$F$4) * _xlfn.NORM.S.INV(RAND())</f>
        <v>-1.4461315453601041E-2</v>
      </c>
    </row>
    <row r="165" spans="18:21" x14ac:dyDescent="0.2">
      <c r="R165" s="49">
        <v>163</v>
      </c>
      <c r="S165" s="59">
        <f ca="1">Dashboard!B$8* Dashboard!$F$4+Dashboard!B$10*SQRT(Dashboard!$F$4) * _xlfn.NORM.S.INV(RAND())</f>
        <v>-5.942418631566114E-2</v>
      </c>
      <c r="T165" s="59">
        <f ca="1">Dashboard!C$8* Dashboard!$F$4+Dashboard!C$10*SQRT(Dashboard!$F$4) * _xlfn.NORM.S.INV(RAND())</f>
        <v>-2.3367870149861015E-2</v>
      </c>
      <c r="U165" s="59">
        <f ca="1">Dashboard!D$8* Dashboard!$F$4+Dashboard!D$10*SQRT(Dashboard!$F$4) * _xlfn.NORM.S.INV(RAND())</f>
        <v>-2.4479423159360414E-2</v>
      </c>
    </row>
    <row r="166" spans="18:21" x14ac:dyDescent="0.2">
      <c r="R166" s="49">
        <v>164</v>
      </c>
      <c r="S166" s="59">
        <f ca="1">Dashboard!B$8* Dashboard!$F$4+Dashboard!B$10*SQRT(Dashboard!$F$4) * _xlfn.NORM.S.INV(RAND())</f>
        <v>1.3323789769521267E-2</v>
      </c>
      <c r="T166" s="59">
        <f ca="1">Dashboard!C$8* Dashboard!$F$4+Dashboard!C$10*SQRT(Dashboard!$F$4) * _xlfn.NORM.S.INV(RAND())</f>
        <v>1.2465717228205279E-2</v>
      </c>
      <c r="U166" s="59">
        <f ca="1">Dashboard!D$8* Dashboard!$F$4+Dashboard!D$10*SQRT(Dashboard!$F$4) * _xlfn.NORM.S.INV(RAND())</f>
        <v>6.4457500701038265E-3</v>
      </c>
    </row>
    <row r="167" spans="18:21" x14ac:dyDescent="0.2">
      <c r="R167" s="49">
        <v>165</v>
      </c>
      <c r="S167" s="59">
        <f ca="1">Dashboard!B$8* Dashboard!$F$4+Dashboard!B$10*SQRT(Dashboard!$F$4) * _xlfn.NORM.S.INV(RAND())</f>
        <v>1.8684918765614657E-3</v>
      </c>
      <c r="T167" s="59">
        <f ca="1">Dashboard!C$8* Dashboard!$F$4+Dashboard!C$10*SQRT(Dashboard!$F$4) * _xlfn.NORM.S.INV(RAND())</f>
        <v>-2.3832725691584185E-2</v>
      </c>
      <c r="U167" s="59">
        <f ca="1">Dashboard!D$8* Dashboard!$F$4+Dashboard!D$10*SQRT(Dashboard!$F$4) * _xlfn.NORM.S.INV(RAND())</f>
        <v>2.5610331918333999E-2</v>
      </c>
    </row>
    <row r="168" spans="18:21" x14ac:dyDescent="0.2">
      <c r="R168" s="49">
        <v>166</v>
      </c>
      <c r="S168" s="59">
        <f ca="1">Dashboard!B$8* Dashboard!$F$4+Dashboard!B$10*SQRT(Dashboard!$F$4) * _xlfn.NORM.S.INV(RAND())</f>
        <v>-8.3074823897887617E-3</v>
      </c>
      <c r="T168" s="59">
        <f ca="1">Dashboard!C$8* Dashboard!$F$4+Dashboard!C$10*SQRT(Dashboard!$F$4) * _xlfn.NORM.S.INV(RAND())</f>
        <v>-3.4280705567212362E-2</v>
      </c>
      <c r="U168" s="59">
        <f ca="1">Dashboard!D$8* Dashboard!$F$4+Dashboard!D$10*SQRT(Dashboard!$F$4) * _xlfn.NORM.S.INV(RAND())</f>
        <v>-1.1413888952179641E-2</v>
      </c>
    </row>
    <row r="169" spans="18:21" x14ac:dyDescent="0.2">
      <c r="R169" s="49">
        <v>167</v>
      </c>
      <c r="S169" s="59">
        <f ca="1">Dashboard!B$8* Dashboard!$F$4+Dashboard!B$10*SQRT(Dashboard!$F$4) * _xlfn.NORM.S.INV(RAND())</f>
        <v>-1.151155226647318E-2</v>
      </c>
      <c r="T169" s="59">
        <f ca="1">Dashboard!C$8* Dashboard!$F$4+Dashboard!C$10*SQRT(Dashboard!$F$4) * _xlfn.NORM.S.INV(RAND())</f>
        <v>1.5909158438268244E-2</v>
      </c>
      <c r="U169" s="59">
        <f ca="1">Dashboard!D$8* Dashboard!$F$4+Dashboard!D$10*SQRT(Dashboard!$F$4) * _xlfn.NORM.S.INV(RAND())</f>
        <v>-2.0134537428560331E-2</v>
      </c>
    </row>
    <row r="170" spans="18:21" x14ac:dyDescent="0.2">
      <c r="R170" s="49">
        <v>168</v>
      </c>
      <c r="S170" s="59">
        <f ca="1">Dashboard!B$8* Dashboard!$F$4+Dashboard!B$10*SQRT(Dashboard!$F$4) * _xlfn.NORM.S.INV(RAND())</f>
        <v>-4.3770880241200065E-2</v>
      </c>
      <c r="T170" s="59">
        <f ca="1">Dashboard!C$8* Dashboard!$F$4+Dashboard!C$10*SQRT(Dashboard!$F$4) * _xlfn.NORM.S.INV(RAND())</f>
        <v>1.8237891176539175E-2</v>
      </c>
      <c r="U170" s="59">
        <f ca="1">Dashboard!D$8* Dashboard!$F$4+Dashboard!D$10*SQRT(Dashboard!$F$4) * _xlfn.NORM.S.INV(RAND())</f>
        <v>5.9894686003476296E-3</v>
      </c>
    </row>
    <row r="171" spans="18:21" x14ac:dyDescent="0.2">
      <c r="R171" s="49">
        <v>169</v>
      </c>
      <c r="S171" s="59">
        <f ca="1">Dashboard!B$8* Dashboard!$F$4+Dashboard!B$10*SQRT(Dashboard!$F$4) * _xlfn.NORM.S.INV(RAND())</f>
        <v>3.7750049506495915E-2</v>
      </c>
      <c r="T171" s="59">
        <f ca="1">Dashboard!C$8* Dashboard!$F$4+Dashboard!C$10*SQRT(Dashboard!$F$4) * _xlfn.NORM.S.INV(RAND())</f>
        <v>-1.9855694911405288E-2</v>
      </c>
      <c r="U171" s="59">
        <f ca="1">Dashboard!D$8* Dashboard!$F$4+Dashboard!D$10*SQRT(Dashboard!$F$4) * _xlfn.NORM.S.INV(RAND())</f>
        <v>-6.40528273238785E-2</v>
      </c>
    </row>
    <row r="172" spans="18:21" x14ac:dyDescent="0.2">
      <c r="R172" s="49">
        <v>170</v>
      </c>
      <c r="S172" s="59">
        <f ca="1">Dashboard!B$8* Dashboard!$F$4+Dashboard!B$10*SQRT(Dashboard!$F$4) * _xlfn.NORM.S.INV(RAND())</f>
        <v>-3.3594338433143849E-2</v>
      </c>
      <c r="T172" s="59">
        <f ca="1">Dashboard!C$8* Dashboard!$F$4+Dashboard!C$10*SQRT(Dashboard!$F$4) * _xlfn.NORM.S.INV(RAND())</f>
        <v>3.8039592712014059E-3</v>
      </c>
      <c r="U172" s="59">
        <f ca="1">Dashboard!D$8* Dashboard!$F$4+Dashboard!D$10*SQRT(Dashboard!$F$4) * _xlfn.NORM.S.INV(RAND())</f>
        <v>-7.2341612744803519E-3</v>
      </c>
    </row>
    <row r="173" spans="18:21" x14ac:dyDescent="0.2">
      <c r="R173" s="49">
        <v>171</v>
      </c>
      <c r="S173" s="59">
        <f ca="1">Dashboard!B$8* Dashboard!$F$4+Dashboard!B$10*SQRT(Dashboard!$F$4) * _xlfn.NORM.S.INV(RAND())</f>
        <v>-4.1058578722191832E-2</v>
      </c>
      <c r="T173" s="59">
        <f ca="1">Dashboard!C$8* Dashboard!$F$4+Dashboard!C$10*SQRT(Dashboard!$F$4) * _xlfn.NORM.S.INV(RAND())</f>
        <v>2.8258954083987233E-2</v>
      </c>
      <c r="U173" s="59">
        <f ca="1">Dashboard!D$8* Dashboard!$F$4+Dashboard!D$10*SQRT(Dashboard!$F$4) * _xlfn.NORM.S.INV(RAND())</f>
        <v>-1.2155784607001372E-2</v>
      </c>
    </row>
    <row r="174" spans="18:21" x14ac:dyDescent="0.2">
      <c r="R174" s="49">
        <v>172</v>
      </c>
      <c r="S174" s="59">
        <f ca="1">Dashboard!B$8* Dashboard!$F$4+Dashboard!B$10*SQRT(Dashboard!$F$4) * _xlfn.NORM.S.INV(RAND())</f>
        <v>-8.9293893957767181E-3</v>
      </c>
      <c r="T174" s="59">
        <f ca="1">Dashboard!C$8* Dashboard!$F$4+Dashboard!C$10*SQRT(Dashboard!$F$4) * _xlfn.NORM.S.INV(RAND())</f>
        <v>1.3656581718876574E-2</v>
      </c>
      <c r="U174" s="59">
        <f ca="1">Dashboard!D$8* Dashboard!$F$4+Dashboard!D$10*SQRT(Dashboard!$F$4) * _xlfn.NORM.S.INV(RAND())</f>
        <v>-1.4941544990823017E-2</v>
      </c>
    </row>
    <row r="175" spans="18:21" x14ac:dyDescent="0.2">
      <c r="R175" s="49">
        <v>173</v>
      </c>
      <c r="S175" s="59">
        <f ca="1">Dashboard!B$8* Dashboard!$F$4+Dashboard!B$10*SQRT(Dashboard!$F$4) * _xlfn.NORM.S.INV(RAND())</f>
        <v>-8.8523206412718623E-3</v>
      </c>
      <c r="T175" s="59">
        <f ca="1">Dashboard!C$8* Dashboard!$F$4+Dashboard!C$10*SQRT(Dashboard!$F$4) * _xlfn.NORM.S.INV(RAND())</f>
        <v>-7.8952347101512638E-2</v>
      </c>
      <c r="U175" s="59">
        <f ca="1">Dashboard!D$8* Dashboard!$F$4+Dashboard!D$10*SQRT(Dashboard!$F$4) * _xlfn.NORM.S.INV(RAND())</f>
        <v>4.4810677346378683E-2</v>
      </c>
    </row>
    <row r="176" spans="18:21" x14ac:dyDescent="0.2">
      <c r="R176" s="49">
        <v>174</v>
      </c>
      <c r="S176" s="59">
        <f ca="1">Dashboard!B$8* Dashboard!$F$4+Dashboard!B$10*SQRT(Dashboard!$F$4) * _xlfn.NORM.S.INV(RAND())</f>
        <v>1.1744801087746408E-2</v>
      </c>
      <c r="T176" s="59">
        <f ca="1">Dashboard!C$8* Dashboard!$F$4+Dashboard!C$10*SQRT(Dashboard!$F$4) * _xlfn.NORM.S.INV(RAND())</f>
        <v>5.6251653002158904E-2</v>
      </c>
      <c r="U176" s="59">
        <f ca="1">Dashboard!D$8* Dashboard!$F$4+Dashboard!D$10*SQRT(Dashboard!$F$4) * _xlfn.NORM.S.INV(RAND())</f>
        <v>-4.9540304682121721E-2</v>
      </c>
    </row>
    <row r="177" spans="18:21" x14ac:dyDescent="0.2">
      <c r="R177" s="49">
        <v>175</v>
      </c>
      <c r="S177" s="59">
        <f ca="1">Dashboard!B$8* Dashboard!$F$4+Dashboard!B$10*SQRT(Dashboard!$F$4) * _xlfn.NORM.S.INV(RAND())</f>
        <v>-2.0593683342407222E-2</v>
      </c>
      <c r="T177" s="59">
        <f ca="1">Dashboard!C$8* Dashboard!$F$4+Dashboard!C$10*SQRT(Dashboard!$F$4) * _xlfn.NORM.S.INV(RAND())</f>
        <v>-2.9889141644604485E-2</v>
      </c>
      <c r="U177" s="59">
        <f ca="1">Dashboard!D$8* Dashboard!$F$4+Dashboard!D$10*SQRT(Dashboard!$F$4) * _xlfn.NORM.S.INV(RAND())</f>
        <v>2.3695919945660924E-2</v>
      </c>
    </row>
    <row r="178" spans="18:21" x14ac:dyDescent="0.2">
      <c r="R178" s="49">
        <v>176</v>
      </c>
      <c r="S178" s="59">
        <f ca="1">Dashboard!B$8* Dashboard!$F$4+Dashboard!B$10*SQRT(Dashboard!$F$4) * _xlfn.NORM.S.INV(RAND())</f>
        <v>2.9558624857402183E-2</v>
      </c>
      <c r="T178" s="59">
        <f ca="1">Dashboard!C$8* Dashboard!$F$4+Dashboard!C$10*SQRT(Dashboard!$F$4) * _xlfn.NORM.S.INV(RAND())</f>
        <v>-2.92739940645488E-3</v>
      </c>
      <c r="U178" s="59">
        <f ca="1">Dashboard!D$8* Dashboard!$F$4+Dashboard!D$10*SQRT(Dashboard!$F$4) * _xlfn.NORM.S.INV(RAND())</f>
        <v>2.0141431063638138E-2</v>
      </c>
    </row>
    <row r="179" spans="18:21" x14ac:dyDescent="0.2">
      <c r="R179" s="49">
        <v>177</v>
      </c>
      <c r="S179" s="59">
        <f ca="1">Dashboard!B$8* Dashboard!$F$4+Dashboard!B$10*SQRT(Dashboard!$F$4) * _xlfn.NORM.S.INV(RAND())</f>
        <v>-3.0869955263911592E-2</v>
      </c>
      <c r="T179" s="59">
        <f ca="1">Dashboard!C$8* Dashboard!$F$4+Dashboard!C$10*SQRT(Dashboard!$F$4) * _xlfn.NORM.S.INV(RAND())</f>
        <v>4.1306320721318471E-2</v>
      </c>
      <c r="U179" s="59">
        <f ca="1">Dashboard!D$8* Dashboard!$F$4+Dashboard!D$10*SQRT(Dashboard!$F$4) * _xlfn.NORM.S.INV(RAND())</f>
        <v>3.5830043396193251E-2</v>
      </c>
    </row>
    <row r="180" spans="18:21" x14ac:dyDescent="0.2">
      <c r="R180" s="49">
        <v>178</v>
      </c>
      <c r="S180" s="59">
        <f ca="1">Dashboard!B$8* Dashboard!$F$4+Dashboard!B$10*SQRT(Dashboard!$F$4) * _xlfn.NORM.S.INV(RAND())</f>
        <v>-3.0906116116810343E-2</v>
      </c>
      <c r="T180" s="59">
        <f ca="1">Dashboard!C$8* Dashboard!$F$4+Dashboard!C$10*SQRT(Dashboard!$F$4) * _xlfn.NORM.S.INV(RAND())</f>
        <v>-3.0238103302288521E-3</v>
      </c>
      <c r="U180" s="59">
        <f ca="1">Dashboard!D$8* Dashboard!$F$4+Dashboard!D$10*SQRT(Dashboard!$F$4) * _xlfn.NORM.S.INV(RAND())</f>
        <v>4.2973005089399358E-2</v>
      </c>
    </row>
    <row r="181" spans="18:21" x14ac:dyDescent="0.2">
      <c r="R181" s="49">
        <v>179</v>
      </c>
      <c r="S181" s="59">
        <f ca="1">Dashboard!B$8* Dashboard!$F$4+Dashboard!B$10*SQRT(Dashboard!$F$4) * _xlfn.NORM.S.INV(RAND())</f>
        <v>2.2421210421148419E-2</v>
      </c>
      <c r="T181" s="59">
        <f ca="1">Dashboard!C$8* Dashboard!$F$4+Dashboard!C$10*SQRT(Dashboard!$F$4) * _xlfn.NORM.S.INV(RAND())</f>
        <v>-4.1294496336078179E-2</v>
      </c>
      <c r="U181" s="59">
        <f ca="1">Dashboard!D$8* Dashboard!$F$4+Dashboard!D$10*SQRT(Dashboard!$F$4) * _xlfn.NORM.S.INV(RAND())</f>
        <v>2.7112137116527484E-2</v>
      </c>
    </row>
    <row r="182" spans="18:21" x14ac:dyDescent="0.2">
      <c r="R182" s="49">
        <v>180</v>
      </c>
      <c r="S182" s="59">
        <f ca="1">Dashboard!B$8* Dashboard!$F$4+Dashboard!B$10*SQRT(Dashboard!$F$4) * _xlfn.NORM.S.INV(RAND())</f>
        <v>-2.8908715372281374E-2</v>
      </c>
      <c r="T182" s="59">
        <f ca="1">Dashboard!C$8* Dashboard!$F$4+Dashboard!C$10*SQRT(Dashboard!$F$4) * _xlfn.NORM.S.INV(RAND())</f>
        <v>4.9769690552395572E-3</v>
      </c>
      <c r="U182" s="59">
        <f ca="1">Dashboard!D$8* Dashboard!$F$4+Dashboard!D$10*SQRT(Dashboard!$F$4) * _xlfn.NORM.S.INV(RAND())</f>
        <v>-1.8486373629458659E-2</v>
      </c>
    </row>
    <row r="183" spans="18:21" x14ac:dyDescent="0.2">
      <c r="R183" s="49">
        <v>181</v>
      </c>
      <c r="S183" s="59">
        <f ca="1">Dashboard!B$8* Dashboard!$F$4+Dashboard!B$10*SQRT(Dashboard!$F$4) * _xlfn.NORM.S.INV(RAND())</f>
        <v>-4.6584927142420664E-2</v>
      </c>
      <c r="T183" s="59">
        <f ca="1">Dashboard!C$8* Dashboard!$F$4+Dashboard!C$10*SQRT(Dashboard!$F$4) * _xlfn.NORM.S.INV(RAND())</f>
        <v>3.6478530404701302E-2</v>
      </c>
      <c r="U183" s="59">
        <f ca="1">Dashboard!D$8* Dashboard!$F$4+Dashboard!D$10*SQRT(Dashboard!$F$4) * _xlfn.NORM.S.INV(RAND())</f>
        <v>1.8580356972450331E-2</v>
      </c>
    </row>
    <row r="184" spans="18:21" x14ac:dyDescent="0.2">
      <c r="R184" s="49">
        <v>182</v>
      </c>
      <c r="S184" s="59">
        <f ca="1">Dashboard!B$8* Dashboard!$F$4+Dashboard!B$10*SQRT(Dashboard!$F$4) * _xlfn.NORM.S.INV(RAND())</f>
        <v>3.6346373827692548E-2</v>
      </c>
      <c r="T184" s="59">
        <f ca="1">Dashboard!C$8* Dashboard!$F$4+Dashboard!C$10*SQRT(Dashboard!$F$4) * _xlfn.NORM.S.INV(RAND())</f>
        <v>-1.8206647733377768E-2</v>
      </c>
      <c r="U184" s="59">
        <f ca="1">Dashboard!D$8* Dashboard!$F$4+Dashboard!D$10*SQRT(Dashboard!$F$4) * _xlfn.NORM.S.INV(RAND())</f>
        <v>-3.8115150006903437E-2</v>
      </c>
    </row>
    <row r="185" spans="18:21" x14ac:dyDescent="0.2">
      <c r="R185" s="49">
        <v>183</v>
      </c>
      <c r="S185" s="59">
        <f ca="1">Dashboard!B$8* Dashboard!$F$4+Dashboard!B$10*SQRT(Dashboard!$F$4) * _xlfn.NORM.S.INV(RAND())</f>
        <v>-3.8917514853902456E-2</v>
      </c>
      <c r="T185" s="59">
        <f ca="1">Dashboard!C$8* Dashboard!$F$4+Dashboard!C$10*SQRT(Dashboard!$F$4) * _xlfn.NORM.S.INV(RAND())</f>
        <v>2.2856678462302122E-2</v>
      </c>
      <c r="U185" s="59">
        <f ca="1">Dashboard!D$8* Dashboard!$F$4+Dashboard!D$10*SQRT(Dashboard!$F$4) * _xlfn.NORM.S.INV(RAND())</f>
        <v>7.5442726183637344E-4</v>
      </c>
    </row>
    <row r="186" spans="18:21" x14ac:dyDescent="0.2">
      <c r="R186" s="49">
        <v>184</v>
      </c>
      <c r="S186" s="59">
        <f ca="1">Dashboard!B$8* Dashboard!$F$4+Dashboard!B$10*SQRT(Dashboard!$F$4) * _xlfn.NORM.S.INV(RAND())</f>
        <v>2.7126497394319771E-2</v>
      </c>
      <c r="T186" s="59">
        <f ca="1">Dashboard!C$8* Dashboard!$F$4+Dashboard!C$10*SQRT(Dashboard!$F$4) * _xlfn.NORM.S.INV(RAND())</f>
        <v>9.6881615931735526E-4</v>
      </c>
      <c r="U186" s="59">
        <f ca="1">Dashboard!D$8* Dashboard!$F$4+Dashboard!D$10*SQRT(Dashboard!$F$4) * _xlfn.NORM.S.INV(RAND())</f>
        <v>2.7941511618948506E-2</v>
      </c>
    </row>
    <row r="187" spans="18:21" x14ac:dyDescent="0.2">
      <c r="R187" s="49">
        <v>185</v>
      </c>
      <c r="S187" s="59">
        <f ca="1">Dashboard!B$8* Dashboard!$F$4+Dashboard!B$10*SQRT(Dashboard!$F$4) * _xlfn.NORM.S.INV(RAND())</f>
        <v>-2.2800899812049176E-3</v>
      </c>
      <c r="T187" s="59">
        <f ca="1">Dashboard!C$8* Dashboard!$F$4+Dashboard!C$10*SQRT(Dashboard!$F$4) * _xlfn.NORM.S.INV(RAND())</f>
        <v>6.413078715740135E-2</v>
      </c>
      <c r="U187" s="59">
        <f ca="1">Dashboard!D$8* Dashboard!$F$4+Dashboard!D$10*SQRT(Dashboard!$F$4) * _xlfn.NORM.S.INV(RAND())</f>
        <v>4.4987708969042528E-2</v>
      </c>
    </row>
    <row r="188" spans="18:21" x14ac:dyDescent="0.2">
      <c r="R188" s="49">
        <v>186</v>
      </c>
      <c r="S188" s="59">
        <f ca="1">Dashboard!B$8* Dashboard!$F$4+Dashboard!B$10*SQRT(Dashboard!$F$4) * _xlfn.NORM.S.INV(RAND())</f>
        <v>2.9304649637842892E-2</v>
      </c>
      <c r="T188" s="59">
        <f ca="1">Dashboard!C$8* Dashboard!$F$4+Dashboard!C$10*SQRT(Dashboard!$F$4) * _xlfn.NORM.S.INV(RAND())</f>
        <v>2.5470253335895074E-2</v>
      </c>
      <c r="U188" s="59">
        <f ca="1">Dashboard!D$8* Dashboard!$F$4+Dashboard!D$10*SQRT(Dashboard!$F$4) * _xlfn.NORM.S.INV(RAND())</f>
        <v>7.5375025949863728E-4</v>
      </c>
    </row>
    <row r="189" spans="18:21" x14ac:dyDescent="0.2">
      <c r="R189" s="49">
        <v>187</v>
      </c>
      <c r="S189" s="59">
        <f ca="1">Dashboard!B$8* Dashboard!$F$4+Dashboard!B$10*SQRT(Dashboard!$F$4) * _xlfn.NORM.S.INV(RAND())</f>
        <v>6.7649040331349726E-4</v>
      </c>
      <c r="T189" s="59">
        <f ca="1">Dashboard!C$8* Dashboard!$F$4+Dashboard!C$10*SQRT(Dashboard!$F$4) * _xlfn.NORM.S.INV(RAND())</f>
        <v>6.4969402949396002E-2</v>
      </c>
      <c r="U189" s="59">
        <f ca="1">Dashboard!D$8* Dashboard!$F$4+Dashboard!D$10*SQRT(Dashboard!$F$4) * _xlfn.NORM.S.INV(RAND())</f>
        <v>5.6944565025709139E-2</v>
      </c>
    </row>
    <row r="190" spans="18:21" x14ac:dyDescent="0.2">
      <c r="R190" s="49">
        <v>188</v>
      </c>
      <c r="S190" s="59">
        <f ca="1">Dashboard!B$8* Dashboard!$F$4+Dashboard!B$10*SQRT(Dashboard!$F$4) * _xlfn.NORM.S.INV(RAND())</f>
        <v>-4.1386206105410148E-2</v>
      </c>
      <c r="T190" s="59">
        <f ca="1">Dashboard!C$8* Dashboard!$F$4+Dashboard!C$10*SQRT(Dashboard!$F$4) * _xlfn.NORM.S.INV(RAND())</f>
        <v>3.5029599982660552E-2</v>
      </c>
      <c r="U190" s="59">
        <f ca="1">Dashboard!D$8* Dashboard!$F$4+Dashboard!D$10*SQRT(Dashboard!$F$4) * _xlfn.NORM.S.INV(RAND())</f>
        <v>3.7609336159257697E-2</v>
      </c>
    </row>
    <row r="191" spans="18:21" x14ac:dyDescent="0.2">
      <c r="R191" s="49">
        <v>189</v>
      </c>
      <c r="S191" s="59">
        <f ca="1">Dashboard!B$8* Dashboard!$F$4+Dashboard!B$10*SQRT(Dashboard!$F$4) * _xlfn.NORM.S.INV(RAND())</f>
        <v>1.9868669061487973E-2</v>
      </c>
      <c r="T191" s="59">
        <f ca="1">Dashboard!C$8* Dashboard!$F$4+Dashboard!C$10*SQRT(Dashboard!$F$4) * _xlfn.NORM.S.INV(RAND())</f>
        <v>-2.428604859049345E-2</v>
      </c>
      <c r="U191" s="59">
        <f ca="1">Dashboard!D$8* Dashboard!$F$4+Dashboard!D$10*SQRT(Dashboard!$F$4) * _xlfn.NORM.S.INV(RAND())</f>
        <v>-7.9063555617285772E-3</v>
      </c>
    </row>
    <row r="192" spans="18:21" x14ac:dyDescent="0.2">
      <c r="R192" s="49">
        <v>190</v>
      </c>
      <c r="S192" s="59">
        <f ca="1">Dashboard!B$8* Dashboard!$F$4+Dashboard!B$10*SQRT(Dashboard!$F$4) * _xlfn.NORM.S.INV(RAND())</f>
        <v>3.1761519892191087E-2</v>
      </c>
      <c r="T192" s="59">
        <f ca="1">Dashboard!C$8* Dashboard!$F$4+Dashboard!C$10*SQRT(Dashboard!$F$4) * _xlfn.NORM.S.INV(RAND())</f>
        <v>3.3912768684435858E-2</v>
      </c>
      <c r="U192" s="59">
        <f ca="1">Dashboard!D$8* Dashboard!$F$4+Dashboard!D$10*SQRT(Dashboard!$F$4) * _xlfn.NORM.S.INV(RAND())</f>
        <v>2.4117932926314943E-2</v>
      </c>
    </row>
    <row r="193" spans="18:21" x14ac:dyDescent="0.2">
      <c r="R193" s="49">
        <v>191</v>
      </c>
      <c r="S193" s="59">
        <f ca="1">Dashboard!B$8* Dashboard!$F$4+Dashboard!B$10*SQRT(Dashboard!$F$4) * _xlfn.NORM.S.INV(RAND())</f>
        <v>2.2873403868886526E-2</v>
      </c>
      <c r="T193" s="59">
        <f ca="1">Dashboard!C$8* Dashboard!$F$4+Dashboard!C$10*SQRT(Dashboard!$F$4) * _xlfn.NORM.S.INV(RAND())</f>
        <v>7.3233693107562586E-2</v>
      </c>
      <c r="U193" s="59">
        <f ca="1">Dashboard!D$8* Dashboard!$F$4+Dashboard!D$10*SQRT(Dashboard!$F$4) * _xlfn.NORM.S.INV(RAND())</f>
        <v>1.7251709734256042E-2</v>
      </c>
    </row>
    <row r="194" spans="18:21" x14ac:dyDescent="0.2">
      <c r="R194" s="49">
        <v>192</v>
      </c>
      <c r="S194" s="59">
        <f ca="1">Dashboard!B$8* Dashboard!$F$4+Dashboard!B$10*SQRT(Dashboard!$F$4) * _xlfn.NORM.S.INV(RAND())</f>
        <v>2.072521369237499E-3</v>
      </c>
      <c r="T194" s="59">
        <f ca="1">Dashboard!C$8* Dashboard!$F$4+Dashboard!C$10*SQRT(Dashboard!$F$4) * _xlfn.NORM.S.INV(RAND())</f>
        <v>-4.0094491374040794E-2</v>
      </c>
      <c r="U194" s="59">
        <f ca="1">Dashboard!D$8* Dashboard!$F$4+Dashboard!D$10*SQRT(Dashboard!$F$4) * _xlfn.NORM.S.INV(RAND())</f>
        <v>1.0414223506937118E-2</v>
      </c>
    </row>
    <row r="195" spans="18:21" x14ac:dyDescent="0.2">
      <c r="R195" s="49">
        <v>193</v>
      </c>
      <c r="S195" s="59">
        <f ca="1">Dashboard!B$8* Dashboard!$F$4+Dashboard!B$10*SQRT(Dashboard!$F$4) * _xlfn.NORM.S.INV(RAND())</f>
        <v>2.4035668069363886E-2</v>
      </c>
      <c r="T195" s="59">
        <f ca="1">Dashboard!C$8* Dashboard!$F$4+Dashboard!C$10*SQRT(Dashboard!$F$4) * _xlfn.NORM.S.INV(RAND())</f>
        <v>1.5466807794127038E-2</v>
      </c>
      <c r="U195" s="59">
        <f ca="1">Dashboard!D$8* Dashboard!$F$4+Dashboard!D$10*SQRT(Dashboard!$F$4) * _xlfn.NORM.S.INV(RAND())</f>
        <v>-1.8525204800150536E-2</v>
      </c>
    </row>
    <row r="196" spans="18:21" x14ac:dyDescent="0.2">
      <c r="R196" s="49">
        <v>194</v>
      </c>
      <c r="S196" s="59">
        <f ca="1">Dashboard!B$8* Dashboard!$F$4+Dashboard!B$10*SQRT(Dashboard!$F$4) * _xlfn.NORM.S.INV(RAND())</f>
        <v>-4.0073313731645265E-2</v>
      </c>
      <c r="T196" s="59">
        <f ca="1">Dashboard!C$8* Dashboard!$F$4+Dashboard!C$10*SQRT(Dashboard!$F$4) * _xlfn.NORM.S.INV(RAND())</f>
        <v>1.7385986729192747E-2</v>
      </c>
      <c r="U196" s="59">
        <f ca="1">Dashboard!D$8* Dashboard!$F$4+Dashboard!D$10*SQRT(Dashboard!$F$4) * _xlfn.NORM.S.INV(RAND())</f>
        <v>5.0710964930835344E-2</v>
      </c>
    </row>
    <row r="197" spans="18:21" x14ac:dyDescent="0.2">
      <c r="R197" s="49">
        <v>195</v>
      </c>
      <c r="S197" s="59">
        <f ca="1">Dashboard!B$8* Dashboard!$F$4+Dashboard!B$10*SQRT(Dashboard!$F$4) * _xlfn.NORM.S.INV(RAND())</f>
        <v>5.717039829560859E-2</v>
      </c>
      <c r="T197" s="59">
        <f ca="1">Dashboard!C$8* Dashboard!$F$4+Dashboard!C$10*SQRT(Dashboard!$F$4) * _xlfn.NORM.S.INV(RAND())</f>
        <v>-9.8141373939129792E-3</v>
      </c>
      <c r="U197" s="59">
        <f ca="1">Dashboard!D$8* Dashboard!$F$4+Dashboard!D$10*SQRT(Dashboard!$F$4) * _xlfn.NORM.S.INV(RAND())</f>
        <v>-1.6744464859223214E-2</v>
      </c>
    </row>
    <row r="198" spans="18:21" x14ac:dyDescent="0.2">
      <c r="R198" s="49">
        <v>196</v>
      </c>
      <c r="S198" s="59">
        <f ca="1">Dashboard!B$8* Dashboard!$F$4+Dashboard!B$10*SQRT(Dashboard!$F$4) * _xlfn.NORM.S.INV(RAND())</f>
        <v>-1.2473893223951584E-2</v>
      </c>
      <c r="T198" s="59">
        <f ca="1">Dashboard!C$8* Dashboard!$F$4+Dashboard!C$10*SQRT(Dashboard!$F$4) * _xlfn.NORM.S.INV(RAND())</f>
        <v>-2.2833069932886623E-2</v>
      </c>
      <c r="U198" s="59">
        <f ca="1">Dashboard!D$8* Dashboard!$F$4+Dashboard!D$10*SQRT(Dashboard!$F$4) * _xlfn.NORM.S.INV(RAND())</f>
        <v>-1.0089385374408785E-2</v>
      </c>
    </row>
    <row r="199" spans="18:21" x14ac:dyDescent="0.2">
      <c r="R199" s="49">
        <v>197</v>
      </c>
      <c r="S199" s="59">
        <f ca="1">Dashboard!B$8* Dashboard!$F$4+Dashboard!B$10*SQRT(Dashboard!$F$4) * _xlfn.NORM.S.INV(RAND())</f>
        <v>-3.515829371108517E-2</v>
      </c>
      <c r="T199" s="59">
        <f ca="1">Dashboard!C$8* Dashboard!$F$4+Dashboard!C$10*SQRT(Dashboard!$F$4) * _xlfn.NORM.S.INV(RAND())</f>
        <v>-7.5326176483902149E-2</v>
      </c>
      <c r="U199" s="59">
        <f ca="1">Dashboard!D$8* Dashboard!$F$4+Dashboard!D$10*SQRT(Dashboard!$F$4) * _xlfn.NORM.S.INV(RAND())</f>
        <v>-7.0180616341727446E-3</v>
      </c>
    </row>
    <row r="200" spans="18:21" x14ac:dyDescent="0.2">
      <c r="R200" s="49">
        <v>198</v>
      </c>
      <c r="S200" s="59">
        <f ca="1">Dashboard!B$8* Dashboard!$F$4+Dashboard!B$10*SQRT(Dashboard!$F$4) * _xlfn.NORM.S.INV(RAND())</f>
        <v>1.355604813630314E-3</v>
      </c>
      <c r="T200" s="59">
        <f ca="1">Dashboard!C$8* Dashboard!$F$4+Dashboard!C$10*SQRT(Dashboard!$F$4) * _xlfn.NORM.S.INV(RAND())</f>
        <v>1.2916748253125616E-2</v>
      </c>
      <c r="U200" s="59">
        <f ca="1">Dashboard!D$8* Dashboard!$F$4+Dashboard!D$10*SQRT(Dashboard!$F$4) * _xlfn.NORM.S.INV(RAND())</f>
        <v>-4.9626814809803814E-3</v>
      </c>
    </row>
    <row r="201" spans="18:21" x14ac:dyDescent="0.2">
      <c r="R201" s="49">
        <v>199</v>
      </c>
      <c r="S201" s="59">
        <f ca="1">Dashboard!B$8* Dashboard!$F$4+Dashboard!B$10*SQRT(Dashboard!$F$4) * _xlfn.NORM.S.INV(RAND())</f>
        <v>1.8588517276789555E-2</v>
      </c>
      <c r="T201" s="59">
        <f ca="1">Dashboard!C$8* Dashboard!$F$4+Dashboard!C$10*SQRT(Dashboard!$F$4) * _xlfn.NORM.S.INV(RAND())</f>
        <v>1.2966910447961177E-2</v>
      </c>
      <c r="U201" s="59">
        <f ca="1">Dashboard!D$8* Dashboard!$F$4+Dashboard!D$10*SQRT(Dashboard!$F$4) * _xlfn.NORM.S.INV(RAND())</f>
        <v>1.1299812296113326E-2</v>
      </c>
    </row>
    <row r="202" spans="18:21" x14ac:dyDescent="0.2">
      <c r="R202" s="49">
        <v>200</v>
      </c>
      <c r="S202" s="59">
        <f ca="1">Dashboard!B$8* Dashboard!$F$4+Dashboard!B$10*SQRT(Dashboard!$F$4) * _xlfn.NORM.S.INV(RAND())</f>
        <v>1.1366695823065032E-3</v>
      </c>
      <c r="T202" s="59">
        <f ca="1">Dashboard!C$8* Dashboard!$F$4+Dashboard!C$10*SQRT(Dashboard!$F$4) * _xlfn.NORM.S.INV(RAND())</f>
        <v>-4.7495957492929682E-2</v>
      </c>
      <c r="U202" s="59">
        <f ca="1">Dashboard!D$8* Dashboard!$F$4+Dashboard!D$10*SQRT(Dashboard!$F$4) * _xlfn.NORM.S.INV(RAND())</f>
        <v>-3.609210165385085E-2</v>
      </c>
    </row>
    <row r="203" spans="18:21" x14ac:dyDescent="0.2">
      <c r="R203" s="49">
        <v>201</v>
      </c>
      <c r="S203" s="59">
        <f ca="1">Dashboard!B$8* Dashboard!$F$4+Dashboard!B$10*SQRT(Dashboard!$F$4) * _xlfn.NORM.S.INV(RAND())</f>
        <v>2.1672150272185872E-2</v>
      </c>
      <c r="T203" s="59">
        <f ca="1">Dashboard!C$8* Dashboard!$F$4+Dashboard!C$10*SQRT(Dashboard!$F$4) * _xlfn.NORM.S.INV(RAND())</f>
        <v>8.4862789317435884E-3</v>
      </c>
      <c r="U203" s="59">
        <f ca="1">Dashboard!D$8* Dashboard!$F$4+Dashboard!D$10*SQRT(Dashboard!$F$4) * _xlfn.NORM.S.INV(RAND())</f>
        <v>1.5213148200372378E-2</v>
      </c>
    </row>
    <row r="204" spans="18:21" x14ac:dyDescent="0.2">
      <c r="R204" s="49">
        <v>202</v>
      </c>
      <c r="S204" s="59">
        <f ca="1">Dashboard!B$8* Dashboard!$F$4+Dashboard!B$10*SQRT(Dashboard!$F$4) * _xlfn.NORM.S.INV(RAND())</f>
        <v>-2.6528652035406962E-2</v>
      </c>
      <c r="T204" s="59">
        <f ca="1">Dashboard!C$8* Dashboard!$F$4+Dashboard!C$10*SQRT(Dashboard!$F$4) * _xlfn.NORM.S.INV(RAND())</f>
        <v>4.2174975153838064E-2</v>
      </c>
      <c r="U204" s="59">
        <f ca="1">Dashboard!D$8* Dashboard!$F$4+Dashboard!D$10*SQRT(Dashboard!$F$4) * _xlfn.NORM.S.INV(RAND())</f>
        <v>3.9027094992086508E-2</v>
      </c>
    </row>
    <row r="205" spans="18:21" x14ac:dyDescent="0.2">
      <c r="R205" s="49">
        <v>203</v>
      </c>
      <c r="S205" s="59">
        <f ca="1">Dashboard!B$8* Dashboard!$F$4+Dashboard!B$10*SQRT(Dashboard!$F$4) * _xlfn.NORM.S.INV(RAND())</f>
        <v>-1.288791107829616E-2</v>
      </c>
      <c r="T205" s="59">
        <f ca="1">Dashboard!C$8* Dashboard!$F$4+Dashboard!C$10*SQRT(Dashboard!$F$4) * _xlfn.NORM.S.INV(RAND())</f>
        <v>-9.7298876475815262E-3</v>
      </c>
      <c r="U205" s="59">
        <f ca="1">Dashboard!D$8* Dashboard!$F$4+Dashboard!D$10*SQRT(Dashboard!$F$4) * _xlfn.NORM.S.INV(RAND())</f>
        <v>1.9825081038869846E-2</v>
      </c>
    </row>
    <row r="206" spans="18:21" x14ac:dyDescent="0.2">
      <c r="R206" s="49">
        <v>204</v>
      </c>
      <c r="S206" s="59">
        <f ca="1">Dashboard!B$8* Dashboard!$F$4+Dashboard!B$10*SQRT(Dashboard!$F$4) * _xlfn.NORM.S.INV(RAND())</f>
        <v>-1.9315418598861829E-2</v>
      </c>
      <c r="T206" s="59">
        <f ca="1">Dashboard!C$8* Dashboard!$F$4+Dashboard!C$10*SQRT(Dashboard!$F$4) * _xlfn.NORM.S.INV(RAND())</f>
        <v>5.8127102051725228E-2</v>
      </c>
      <c r="U206" s="59">
        <f ca="1">Dashboard!D$8* Dashboard!$F$4+Dashboard!D$10*SQRT(Dashboard!$F$4) * _xlfn.NORM.S.INV(RAND())</f>
        <v>-2.5906952403387824E-3</v>
      </c>
    </row>
    <row r="207" spans="18:21" x14ac:dyDescent="0.2">
      <c r="R207" s="49">
        <v>205</v>
      </c>
      <c r="S207" s="59">
        <f ca="1">Dashboard!B$8* Dashboard!$F$4+Dashboard!B$10*SQRT(Dashboard!$F$4) * _xlfn.NORM.S.INV(RAND())</f>
        <v>-2.5701932187449907E-2</v>
      </c>
      <c r="T207" s="59">
        <f ca="1">Dashboard!C$8* Dashboard!$F$4+Dashboard!C$10*SQRT(Dashboard!$F$4) * _xlfn.NORM.S.INV(RAND())</f>
        <v>4.1229433138195271E-2</v>
      </c>
      <c r="U207" s="59">
        <f ca="1">Dashboard!D$8* Dashboard!$F$4+Dashboard!D$10*SQRT(Dashboard!$F$4) * _xlfn.NORM.S.INV(RAND())</f>
        <v>-7.9446635055185524E-2</v>
      </c>
    </row>
    <row r="208" spans="18:21" x14ac:dyDescent="0.2">
      <c r="R208" s="49">
        <v>206</v>
      </c>
      <c r="S208" s="59">
        <f ca="1">Dashboard!B$8* Dashboard!$F$4+Dashboard!B$10*SQRT(Dashboard!$F$4) * _xlfn.NORM.S.INV(RAND())</f>
        <v>-1.7810664231915567E-2</v>
      </c>
      <c r="T208" s="59">
        <f ca="1">Dashboard!C$8* Dashboard!$F$4+Dashboard!C$10*SQRT(Dashboard!$F$4) * _xlfn.NORM.S.INV(RAND())</f>
        <v>3.9214753620155137E-3</v>
      </c>
      <c r="U208" s="59">
        <f ca="1">Dashboard!D$8* Dashboard!$F$4+Dashboard!D$10*SQRT(Dashboard!$F$4) * _xlfn.NORM.S.INV(RAND())</f>
        <v>-7.006669827238482E-2</v>
      </c>
    </row>
    <row r="209" spans="18:21" x14ac:dyDescent="0.2">
      <c r="R209" s="49">
        <v>207</v>
      </c>
      <c r="S209" s="59">
        <f ca="1">Dashboard!B$8* Dashboard!$F$4+Dashboard!B$10*SQRT(Dashboard!$F$4) * _xlfn.NORM.S.INV(RAND())</f>
        <v>-1.6509258108012861E-2</v>
      </c>
      <c r="T209" s="59">
        <f ca="1">Dashboard!C$8* Dashboard!$F$4+Dashboard!C$10*SQRT(Dashboard!$F$4) * _xlfn.NORM.S.INV(RAND())</f>
        <v>2.5683399123508036E-2</v>
      </c>
      <c r="U209" s="59">
        <f ca="1">Dashboard!D$8* Dashboard!$F$4+Dashboard!D$10*SQRT(Dashboard!$F$4) * _xlfn.NORM.S.INV(RAND())</f>
        <v>-9.387025508852051E-4</v>
      </c>
    </row>
    <row r="210" spans="18:21" x14ac:dyDescent="0.2">
      <c r="R210" s="49">
        <v>208</v>
      </c>
      <c r="S210" s="59">
        <f ca="1">Dashboard!B$8* Dashboard!$F$4+Dashboard!B$10*SQRT(Dashboard!$F$4) * _xlfn.NORM.S.INV(RAND())</f>
        <v>-2.3332203192744493E-3</v>
      </c>
      <c r="T210" s="59">
        <f ca="1">Dashboard!C$8* Dashboard!$F$4+Dashboard!C$10*SQRT(Dashboard!$F$4) * _xlfn.NORM.S.INV(RAND())</f>
        <v>-5.9366726334988504E-2</v>
      </c>
      <c r="U210" s="59">
        <f ca="1">Dashboard!D$8* Dashboard!$F$4+Dashboard!D$10*SQRT(Dashboard!$F$4) * _xlfn.NORM.S.INV(RAND())</f>
        <v>-1.6086919510616179E-2</v>
      </c>
    </row>
    <row r="211" spans="18:21" x14ac:dyDescent="0.2">
      <c r="R211" s="49">
        <v>209</v>
      </c>
      <c r="S211" s="59">
        <f ca="1">Dashboard!B$8* Dashboard!$F$4+Dashboard!B$10*SQRT(Dashboard!$F$4) * _xlfn.NORM.S.INV(RAND())</f>
        <v>1.3907967625534505E-2</v>
      </c>
      <c r="T211" s="59">
        <f ca="1">Dashboard!C$8* Dashboard!$F$4+Dashboard!C$10*SQRT(Dashboard!$F$4) * _xlfn.NORM.S.INV(RAND())</f>
        <v>-1.3380032222461469E-2</v>
      </c>
      <c r="U211" s="59">
        <f ca="1">Dashboard!D$8* Dashboard!$F$4+Dashboard!D$10*SQRT(Dashboard!$F$4) * _xlfn.NORM.S.INV(RAND())</f>
        <v>1.0671130478625786E-2</v>
      </c>
    </row>
    <row r="212" spans="18:21" x14ac:dyDescent="0.2">
      <c r="R212" s="49">
        <v>210</v>
      </c>
      <c r="S212" s="59">
        <f ca="1">Dashboard!B$8* Dashboard!$F$4+Dashboard!B$10*SQRT(Dashboard!$F$4) * _xlfn.NORM.S.INV(RAND())</f>
        <v>-2.1173623123268794E-2</v>
      </c>
      <c r="T212" s="59">
        <f ca="1">Dashboard!C$8* Dashboard!$F$4+Dashboard!C$10*SQRT(Dashboard!$F$4) * _xlfn.NORM.S.INV(RAND())</f>
        <v>-1.7302377846864673E-2</v>
      </c>
      <c r="U212" s="59">
        <f ca="1">Dashboard!D$8* Dashboard!$F$4+Dashboard!D$10*SQRT(Dashboard!$F$4) * _xlfn.NORM.S.INV(RAND())</f>
        <v>-3.6966248049159038E-3</v>
      </c>
    </row>
    <row r="213" spans="18:21" x14ac:dyDescent="0.2">
      <c r="R213" s="49">
        <v>211</v>
      </c>
      <c r="S213" s="59">
        <f ca="1">Dashboard!B$8* Dashboard!$F$4+Dashboard!B$10*SQRT(Dashboard!$F$4) * _xlfn.NORM.S.INV(RAND())</f>
        <v>-2.1004212004229264E-2</v>
      </c>
      <c r="T213" s="59">
        <f ca="1">Dashboard!C$8* Dashboard!$F$4+Dashboard!C$10*SQRT(Dashboard!$F$4) * _xlfn.NORM.S.INV(RAND())</f>
        <v>7.1700131641548745E-2</v>
      </c>
      <c r="U213" s="59">
        <f ca="1">Dashboard!D$8* Dashboard!$F$4+Dashboard!D$10*SQRT(Dashboard!$F$4) * _xlfn.NORM.S.INV(RAND())</f>
        <v>9.6619796786991493E-5</v>
      </c>
    </row>
    <row r="214" spans="18:21" x14ac:dyDescent="0.2">
      <c r="R214" s="49">
        <v>212</v>
      </c>
      <c r="S214" s="59">
        <f ca="1">Dashboard!B$8* Dashboard!$F$4+Dashboard!B$10*SQRT(Dashboard!$F$4) * _xlfn.NORM.S.INV(RAND())</f>
        <v>9.9646429586001568E-3</v>
      </c>
      <c r="T214" s="59">
        <f ca="1">Dashboard!C$8* Dashboard!$F$4+Dashboard!C$10*SQRT(Dashboard!$F$4) * _xlfn.NORM.S.INV(RAND())</f>
        <v>-2.4750328683629922E-2</v>
      </c>
      <c r="U214" s="59">
        <f ca="1">Dashboard!D$8* Dashboard!$F$4+Dashboard!D$10*SQRT(Dashboard!$F$4) * _xlfn.NORM.S.INV(RAND())</f>
        <v>-4.3200367819177528E-2</v>
      </c>
    </row>
    <row r="215" spans="18:21" x14ac:dyDescent="0.2">
      <c r="R215" s="49">
        <v>213</v>
      </c>
      <c r="S215" s="59">
        <f ca="1">Dashboard!B$8* Dashboard!$F$4+Dashboard!B$10*SQRT(Dashboard!$F$4) * _xlfn.NORM.S.INV(RAND())</f>
        <v>-6.3489948162876508E-2</v>
      </c>
      <c r="T215" s="59">
        <f ca="1">Dashboard!C$8* Dashboard!$F$4+Dashboard!C$10*SQRT(Dashboard!$F$4) * _xlfn.NORM.S.INV(RAND())</f>
        <v>3.8245468990784216E-2</v>
      </c>
      <c r="U215" s="59">
        <f ca="1">Dashboard!D$8* Dashboard!$F$4+Dashboard!D$10*SQRT(Dashboard!$F$4) * _xlfn.NORM.S.INV(RAND())</f>
        <v>1.0766812085290159E-2</v>
      </c>
    </row>
    <row r="216" spans="18:21" x14ac:dyDescent="0.2">
      <c r="R216" s="49">
        <v>214</v>
      </c>
      <c r="S216" s="59">
        <f ca="1">Dashboard!B$8* Dashboard!$F$4+Dashboard!B$10*SQRT(Dashboard!$F$4) * _xlfn.NORM.S.INV(RAND())</f>
        <v>-5.8309496147713948E-2</v>
      </c>
      <c r="T216" s="59">
        <f ca="1">Dashboard!C$8* Dashboard!$F$4+Dashboard!C$10*SQRT(Dashboard!$F$4) * _xlfn.NORM.S.INV(RAND())</f>
        <v>-1.0771558007657167E-2</v>
      </c>
      <c r="U216" s="59">
        <f ca="1">Dashboard!D$8* Dashboard!$F$4+Dashboard!D$10*SQRT(Dashboard!$F$4) * _xlfn.NORM.S.INV(RAND())</f>
        <v>-3.9522653820702566E-2</v>
      </c>
    </row>
    <row r="217" spans="18:21" x14ac:dyDescent="0.2">
      <c r="R217" s="49">
        <v>215</v>
      </c>
      <c r="S217" s="59">
        <f ca="1">Dashboard!B$8* Dashboard!$F$4+Dashboard!B$10*SQRT(Dashboard!$F$4) * _xlfn.NORM.S.INV(RAND())</f>
        <v>7.4570163451700526E-3</v>
      </c>
      <c r="T217" s="59">
        <f ca="1">Dashboard!C$8* Dashboard!$F$4+Dashboard!C$10*SQRT(Dashboard!$F$4) * _xlfn.NORM.S.INV(RAND())</f>
        <v>1.3913470386607535E-2</v>
      </c>
      <c r="U217" s="59">
        <f ca="1">Dashboard!D$8* Dashboard!$F$4+Dashboard!D$10*SQRT(Dashboard!$F$4) * _xlfn.NORM.S.INV(RAND())</f>
        <v>-8.4898947250390808E-2</v>
      </c>
    </row>
    <row r="218" spans="18:21" x14ac:dyDescent="0.2">
      <c r="R218" s="49">
        <v>216</v>
      </c>
      <c r="S218" s="59">
        <f ca="1">Dashboard!B$8* Dashboard!$F$4+Dashboard!B$10*SQRT(Dashboard!$F$4) * _xlfn.NORM.S.INV(RAND())</f>
        <v>-2.035797902827118E-3</v>
      </c>
      <c r="T218" s="59">
        <f ca="1">Dashboard!C$8* Dashboard!$F$4+Dashboard!C$10*SQRT(Dashboard!$F$4) * _xlfn.NORM.S.INV(RAND())</f>
        <v>3.6074728156312271E-3</v>
      </c>
      <c r="U218" s="59">
        <f ca="1">Dashboard!D$8* Dashboard!$F$4+Dashboard!D$10*SQRT(Dashboard!$F$4) * _xlfn.NORM.S.INV(RAND())</f>
        <v>-2.0964047630903468E-2</v>
      </c>
    </row>
    <row r="219" spans="18:21" x14ac:dyDescent="0.2">
      <c r="R219" s="49">
        <v>217</v>
      </c>
      <c r="S219" s="59">
        <f ca="1">Dashboard!B$8* Dashboard!$F$4+Dashboard!B$10*SQRT(Dashboard!$F$4) * _xlfn.NORM.S.INV(RAND())</f>
        <v>-1.6331109460591804E-2</v>
      </c>
      <c r="T219" s="59">
        <f ca="1">Dashboard!C$8* Dashboard!$F$4+Dashboard!C$10*SQRT(Dashboard!$F$4) * _xlfn.NORM.S.INV(RAND())</f>
        <v>1.3052805680319714E-2</v>
      </c>
      <c r="U219" s="59">
        <f ca="1">Dashboard!D$8* Dashboard!$F$4+Dashboard!D$10*SQRT(Dashboard!$F$4) * _xlfn.NORM.S.INV(RAND())</f>
        <v>2.3956684522629529E-2</v>
      </c>
    </row>
    <row r="220" spans="18:21" x14ac:dyDescent="0.2">
      <c r="R220" s="49">
        <v>218</v>
      </c>
      <c r="S220" s="59">
        <f ca="1">Dashboard!B$8* Dashboard!$F$4+Dashboard!B$10*SQRT(Dashboard!$F$4) * _xlfn.NORM.S.INV(RAND())</f>
        <v>-2.3320013041682554E-2</v>
      </c>
      <c r="T220" s="59">
        <f ca="1">Dashboard!C$8* Dashboard!$F$4+Dashboard!C$10*SQRT(Dashboard!$F$4) * _xlfn.NORM.S.INV(RAND())</f>
        <v>-1.2334362837444848E-2</v>
      </c>
      <c r="U220" s="59">
        <f ca="1">Dashboard!D$8* Dashboard!$F$4+Dashboard!D$10*SQRT(Dashboard!$F$4) * _xlfn.NORM.S.INV(RAND())</f>
        <v>4.2663290857982983E-3</v>
      </c>
    </row>
    <row r="221" spans="18:21" x14ac:dyDescent="0.2">
      <c r="R221" s="49">
        <v>219</v>
      </c>
      <c r="S221" s="59">
        <f ca="1">Dashboard!B$8* Dashboard!$F$4+Dashboard!B$10*SQRT(Dashboard!$F$4) * _xlfn.NORM.S.INV(RAND())</f>
        <v>-1.1885983975924073E-2</v>
      </c>
      <c r="T221" s="59">
        <f ca="1">Dashboard!C$8* Dashboard!$F$4+Dashboard!C$10*SQRT(Dashboard!$F$4) * _xlfn.NORM.S.INV(RAND())</f>
        <v>2.7501004132981916E-2</v>
      </c>
      <c r="U221" s="59">
        <f ca="1">Dashboard!D$8* Dashboard!$F$4+Dashboard!D$10*SQRT(Dashboard!$F$4) * _xlfn.NORM.S.INV(RAND())</f>
        <v>-4.2962604675781974E-2</v>
      </c>
    </row>
    <row r="222" spans="18:21" x14ac:dyDescent="0.2">
      <c r="R222" s="49">
        <v>220</v>
      </c>
      <c r="S222" s="59">
        <f ca="1">Dashboard!B$8* Dashboard!$F$4+Dashboard!B$10*SQRT(Dashboard!$F$4) * _xlfn.NORM.S.INV(RAND())</f>
        <v>2.9213952084694685E-3</v>
      </c>
      <c r="T222" s="59">
        <f ca="1">Dashboard!C$8* Dashboard!$F$4+Dashboard!C$10*SQRT(Dashboard!$F$4) * _xlfn.NORM.S.INV(RAND())</f>
        <v>4.1305746499503325E-2</v>
      </c>
      <c r="U222" s="59">
        <f ca="1">Dashboard!D$8* Dashboard!$F$4+Dashboard!D$10*SQRT(Dashboard!$F$4) * _xlfn.NORM.S.INV(RAND())</f>
        <v>2.804920119630978E-2</v>
      </c>
    </row>
    <row r="223" spans="18:21" x14ac:dyDescent="0.2">
      <c r="R223" s="49">
        <v>221</v>
      </c>
      <c r="S223" s="59">
        <f ca="1">Dashboard!B$8* Dashboard!$F$4+Dashboard!B$10*SQRT(Dashboard!$F$4) * _xlfn.NORM.S.INV(RAND())</f>
        <v>9.3575257090568204E-3</v>
      </c>
      <c r="T223" s="59">
        <f ca="1">Dashboard!C$8* Dashboard!$F$4+Dashboard!C$10*SQRT(Dashboard!$F$4) * _xlfn.NORM.S.INV(RAND())</f>
        <v>1.7146230276283165E-3</v>
      </c>
      <c r="U223" s="59">
        <f ca="1">Dashboard!D$8* Dashboard!$F$4+Dashboard!D$10*SQRT(Dashboard!$F$4) * _xlfn.NORM.S.INV(RAND())</f>
        <v>3.7363256177037923E-2</v>
      </c>
    </row>
    <row r="224" spans="18:21" x14ac:dyDescent="0.2">
      <c r="R224" s="49">
        <v>222</v>
      </c>
      <c r="S224" s="59">
        <f ca="1">Dashboard!B$8* Dashboard!$F$4+Dashboard!B$10*SQRT(Dashboard!$F$4) * _xlfn.NORM.S.INV(RAND())</f>
        <v>1.1998830391243406E-3</v>
      </c>
      <c r="T224" s="59">
        <f ca="1">Dashboard!C$8* Dashboard!$F$4+Dashboard!C$10*SQRT(Dashboard!$F$4) * _xlfn.NORM.S.INV(RAND())</f>
        <v>5.5889498291677546E-3</v>
      </c>
      <c r="U224" s="59">
        <f ca="1">Dashboard!D$8* Dashboard!$F$4+Dashboard!D$10*SQRT(Dashboard!$F$4) * _xlfn.NORM.S.INV(RAND())</f>
        <v>-3.6350858339245014E-2</v>
      </c>
    </row>
    <row r="225" spans="18:21" x14ac:dyDescent="0.2">
      <c r="R225" s="49">
        <v>223</v>
      </c>
      <c r="S225" s="59">
        <f ca="1">Dashboard!B$8* Dashboard!$F$4+Dashboard!B$10*SQRT(Dashboard!$F$4) * _xlfn.NORM.S.INV(RAND())</f>
        <v>-1.6754533280434983E-2</v>
      </c>
      <c r="T225" s="59">
        <f ca="1">Dashboard!C$8* Dashboard!$F$4+Dashboard!C$10*SQRT(Dashboard!$F$4) * _xlfn.NORM.S.INV(RAND())</f>
        <v>-2.6761180500813702E-2</v>
      </c>
      <c r="U225" s="59">
        <f ca="1">Dashboard!D$8* Dashboard!$F$4+Dashboard!D$10*SQRT(Dashboard!$F$4) * _xlfn.NORM.S.INV(RAND())</f>
        <v>3.7825439279236067E-2</v>
      </c>
    </row>
    <row r="226" spans="18:21" x14ac:dyDescent="0.2">
      <c r="R226" s="49">
        <v>224</v>
      </c>
      <c r="S226" s="59">
        <f ca="1">Dashboard!B$8* Dashboard!$F$4+Dashboard!B$10*SQRT(Dashboard!$F$4) * _xlfn.NORM.S.INV(RAND())</f>
        <v>6.9729136120941591E-3</v>
      </c>
      <c r="T226" s="59">
        <f ca="1">Dashboard!C$8* Dashboard!$F$4+Dashboard!C$10*SQRT(Dashboard!$F$4) * _xlfn.NORM.S.INV(RAND())</f>
        <v>3.3332888903112541E-2</v>
      </c>
      <c r="U226" s="59">
        <f ca="1">Dashboard!D$8* Dashboard!$F$4+Dashboard!D$10*SQRT(Dashboard!$F$4) * _xlfn.NORM.S.INV(RAND())</f>
        <v>1.6936321261126541E-2</v>
      </c>
    </row>
    <row r="227" spans="18:21" x14ac:dyDescent="0.2">
      <c r="R227" s="49">
        <v>225</v>
      </c>
      <c r="S227" s="59">
        <f ca="1">Dashboard!B$8* Dashboard!$F$4+Dashboard!B$10*SQRT(Dashboard!$F$4) * _xlfn.NORM.S.INV(RAND())</f>
        <v>-5.3181174587315784E-2</v>
      </c>
      <c r="T227" s="59">
        <f ca="1">Dashboard!C$8* Dashboard!$F$4+Dashboard!C$10*SQRT(Dashboard!$F$4) * _xlfn.NORM.S.INV(RAND())</f>
        <v>-3.1499621296019228E-2</v>
      </c>
      <c r="U227" s="59">
        <f ca="1">Dashboard!D$8* Dashboard!$F$4+Dashboard!D$10*SQRT(Dashboard!$F$4) * _xlfn.NORM.S.INV(RAND())</f>
        <v>-3.6286689965177353E-3</v>
      </c>
    </row>
    <row r="228" spans="18:21" x14ac:dyDescent="0.2">
      <c r="R228" s="49">
        <v>226</v>
      </c>
      <c r="S228" s="59">
        <f ca="1">Dashboard!B$8* Dashboard!$F$4+Dashboard!B$10*SQRT(Dashboard!$F$4) * _xlfn.NORM.S.INV(RAND())</f>
        <v>-3.2133400754805995E-2</v>
      </c>
      <c r="T228" s="59">
        <f ca="1">Dashboard!C$8* Dashboard!$F$4+Dashboard!C$10*SQRT(Dashboard!$F$4) * _xlfn.NORM.S.INV(RAND())</f>
        <v>3.4044016714389926E-2</v>
      </c>
      <c r="U228" s="59">
        <f ca="1">Dashboard!D$8* Dashboard!$F$4+Dashboard!D$10*SQRT(Dashboard!$F$4) * _xlfn.NORM.S.INV(RAND())</f>
        <v>-1.2718873692956726E-3</v>
      </c>
    </row>
    <row r="229" spans="18:21" x14ac:dyDescent="0.2">
      <c r="R229" s="49">
        <v>227</v>
      </c>
      <c r="S229" s="59">
        <f ca="1">Dashboard!B$8* Dashboard!$F$4+Dashboard!B$10*SQRT(Dashboard!$F$4) * _xlfn.NORM.S.INV(RAND())</f>
        <v>-1.6681614213766616E-2</v>
      </c>
      <c r="T229" s="59">
        <f ca="1">Dashboard!C$8* Dashboard!$F$4+Dashboard!C$10*SQRT(Dashboard!$F$4) * _xlfn.NORM.S.INV(RAND())</f>
        <v>4.6405672753159991E-3</v>
      </c>
      <c r="U229" s="59">
        <f ca="1">Dashboard!D$8* Dashboard!$F$4+Dashboard!D$10*SQRT(Dashboard!$F$4) * _xlfn.NORM.S.INV(RAND())</f>
        <v>-4.6888087676823412E-2</v>
      </c>
    </row>
    <row r="230" spans="18:21" x14ac:dyDescent="0.2">
      <c r="R230" s="49">
        <v>228</v>
      </c>
      <c r="S230" s="59">
        <f ca="1">Dashboard!B$8* Dashboard!$F$4+Dashboard!B$10*SQRT(Dashboard!$F$4) * _xlfn.NORM.S.INV(RAND())</f>
        <v>-1.8099965836979821E-2</v>
      </c>
      <c r="T230" s="59">
        <f ca="1">Dashboard!C$8* Dashboard!$F$4+Dashboard!C$10*SQRT(Dashboard!$F$4) * _xlfn.NORM.S.INV(RAND())</f>
        <v>2.0704878461321144E-2</v>
      </c>
      <c r="U230" s="59">
        <f ca="1">Dashboard!D$8* Dashboard!$F$4+Dashboard!D$10*SQRT(Dashboard!$F$4) * _xlfn.NORM.S.INV(RAND())</f>
        <v>3.0572177304157981E-4</v>
      </c>
    </row>
    <row r="231" spans="18:21" x14ac:dyDescent="0.2">
      <c r="R231" s="49">
        <v>229</v>
      </c>
      <c r="S231" s="59">
        <f ca="1">Dashboard!B$8* Dashboard!$F$4+Dashboard!B$10*SQRT(Dashboard!$F$4) * _xlfn.NORM.S.INV(RAND())</f>
        <v>1.4350084851681056E-2</v>
      </c>
      <c r="T231" s="59">
        <f ca="1">Dashboard!C$8* Dashboard!$F$4+Dashboard!C$10*SQRT(Dashboard!$F$4) * _xlfn.NORM.S.INV(RAND())</f>
        <v>-1.7840089836368644E-2</v>
      </c>
      <c r="U231" s="59">
        <f ca="1">Dashboard!D$8* Dashboard!$F$4+Dashboard!D$10*SQRT(Dashboard!$F$4) * _xlfn.NORM.S.INV(RAND())</f>
        <v>1.6594558124913068E-2</v>
      </c>
    </row>
    <row r="232" spans="18:21" x14ac:dyDescent="0.2">
      <c r="R232" s="49">
        <v>230</v>
      </c>
      <c r="S232" s="59">
        <f ca="1">Dashboard!B$8* Dashboard!$F$4+Dashboard!B$10*SQRT(Dashboard!$F$4) * _xlfn.NORM.S.INV(RAND())</f>
        <v>-2.6358802453303437E-2</v>
      </c>
      <c r="T232" s="59">
        <f ca="1">Dashboard!C$8* Dashboard!$F$4+Dashboard!C$10*SQRT(Dashboard!$F$4) * _xlfn.NORM.S.INV(RAND())</f>
        <v>3.2604743126400063E-2</v>
      </c>
      <c r="U232" s="59">
        <f ca="1">Dashboard!D$8* Dashboard!$F$4+Dashboard!D$10*SQRT(Dashboard!$F$4) * _xlfn.NORM.S.INV(RAND())</f>
        <v>1.2914403869809377E-2</v>
      </c>
    </row>
    <row r="233" spans="18:21" x14ac:dyDescent="0.2">
      <c r="R233" s="49">
        <v>231</v>
      </c>
      <c r="S233" s="59">
        <f ca="1">Dashboard!B$8* Dashboard!$F$4+Dashboard!B$10*SQRT(Dashboard!$F$4) * _xlfn.NORM.S.INV(RAND())</f>
        <v>3.2492524657982656E-3</v>
      </c>
      <c r="T233" s="59">
        <f ca="1">Dashboard!C$8* Dashboard!$F$4+Dashboard!C$10*SQRT(Dashboard!$F$4) * _xlfn.NORM.S.INV(RAND())</f>
        <v>-2.5385517511918702E-2</v>
      </c>
      <c r="U233" s="59">
        <f ca="1">Dashboard!D$8* Dashboard!$F$4+Dashboard!D$10*SQRT(Dashboard!$F$4) * _xlfn.NORM.S.INV(RAND())</f>
        <v>2.2930463944991861E-2</v>
      </c>
    </row>
    <row r="234" spans="18:21" x14ac:dyDescent="0.2">
      <c r="R234" s="49">
        <v>232</v>
      </c>
      <c r="S234" s="59">
        <f ca="1">Dashboard!B$8* Dashboard!$F$4+Dashboard!B$10*SQRT(Dashboard!$F$4) * _xlfn.NORM.S.INV(RAND())</f>
        <v>-9.6230941943807852E-2</v>
      </c>
      <c r="T234" s="59">
        <f ca="1">Dashboard!C$8* Dashboard!$F$4+Dashboard!C$10*SQRT(Dashboard!$F$4) * _xlfn.NORM.S.INV(RAND())</f>
        <v>-2.7614321598483267E-3</v>
      </c>
      <c r="U234" s="59">
        <f ca="1">Dashboard!D$8* Dashboard!$F$4+Dashboard!D$10*SQRT(Dashboard!$F$4) * _xlfn.NORM.S.INV(RAND())</f>
        <v>-7.9124049284934848E-3</v>
      </c>
    </row>
    <row r="235" spans="18:21" x14ac:dyDescent="0.2">
      <c r="R235" s="49">
        <v>233</v>
      </c>
      <c r="S235" s="59">
        <f ca="1">Dashboard!B$8* Dashboard!$F$4+Dashboard!B$10*SQRT(Dashboard!$F$4) * _xlfn.NORM.S.INV(RAND())</f>
        <v>2.109573813529453E-3</v>
      </c>
      <c r="T235" s="59">
        <f ca="1">Dashboard!C$8* Dashboard!$F$4+Dashboard!C$10*SQRT(Dashboard!$F$4) * _xlfn.NORM.S.INV(RAND())</f>
        <v>-1.7228313265411625E-2</v>
      </c>
      <c r="U235" s="59">
        <f ca="1">Dashboard!D$8* Dashboard!$F$4+Dashboard!D$10*SQRT(Dashboard!$F$4) * _xlfn.NORM.S.INV(RAND())</f>
        <v>-2.5951251943342361E-2</v>
      </c>
    </row>
    <row r="236" spans="18:21" x14ac:dyDescent="0.2">
      <c r="R236" s="49">
        <v>234</v>
      </c>
      <c r="S236" s="59">
        <f ca="1">Dashboard!B$8* Dashboard!$F$4+Dashboard!B$10*SQRT(Dashboard!$F$4) * _xlfn.NORM.S.INV(RAND())</f>
        <v>-7.6529126565711737E-4</v>
      </c>
      <c r="T236" s="59">
        <f ca="1">Dashboard!C$8* Dashboard!$F$4+Dashboard!C$10*SQRT(Dashboard!$F$4) * _xlfn.NORM.S.INV(RAND())</f>
        <v>-2.0197200845545604E-2</v>
      </c>
      <c r="U236" s="59">
        <f ca="1">Dashboard!D$8* Dashboard!$F$4+Dashboard!D$10*SQRT(Dashboard!$F$4) * _xlfn.NORM.S.INV(RAND())</f>
        <v>6.7168723781809347E-4</v>
      </c>
    </row>
    <row r="237" spans="18:21" x14ac:dyDescent="0.2">
      <c r="R237" s="49">
        <v>235</v>
      </c>
      <c r="S237" s="59">
        <f ca="1">Dashboard!B$8* Dashboard!$F$4+Dashboard!B$10*SQRT(Dashboard!$F$4) * _xlfn.NORM.S.INV(RAND())</f>
        <v>-5.2653468873600555E-2</v>
      </c>
      <c r="T237" s="59">
        <f ca="1">Dashboard!C$8* Dashboard!$F$4+Dashboard!C$10*SQRT(Dashboard!$F$4) * _xlfn.NORM.S.INV(RAND())</f>
        <v>6.0913233574774031E-2</v>
      </c>
      <c r="U237" s="59">
        <f ca="1">Dashboard!D$8* Dashboard!$F$4+Dashboard!D$10*SQRT(Dashboard!$F$4) * _xlfn.NORM.S.INV(RAND())</f>
        <v>3.6559105888384E-3</v>
      </c>
    </row>
    <row r="238" spans="18:21" x14ac:dyDescent="0.2">
      <c r="R238" s="49">
        <v>236</v>
      </c>
      <c r="S238" s="59">
        <f ca="1">Dashboard!B$8* Dashboard!$F$4+Dashboard!B$10*SQRT(Dashboard!$F$4) * _xlfn.NORM.S.INV(RAND())</f>
        <v>-1.0424804248337097E-2</v>
      </c>
      <c r="T238" s="59">
        <f ca="1">Dashboard!C$8* Dashboard!$F$4+Dashboard!C$10*SQRT(Dashboard!$F$4) * _xlfn.NORM.S.INV(RAND())</f>
        <v>9.959027604495187E-3</v>
      </c>
      <c r="U238" s="59">
        <f ca="1">Dashboard!D$8* Dashboard!$F$4+Dashboard!D$10*SQRT(Dashboard!$F$4) * _xlfn.NORM.S.INV(RAND())</f>
        <v>-5.2204505607271745E-2</v>
      </c>
    </row>
    <row r="239" spans="18:21" x14ac:dyDescent="0.2">
      <c r="R239" s="49">
        <v>237</v>
      </c>
      <c r="S239" s="59">
        <f ca="1">Dashboard!B$8* Dashboard!$F$4+Dashboard!B$10*SQRT(Dashboard!$F$4) * _xlfn.NORM.S.INV(RAND())</f>
        <v>2.6415600975428971E-2</v>
      </c>
      <c r="T239" s="59">
        <f ca="1">Dashboard!C$8* Dashboard!$F$4+Dashboard!C$10*SQRT(Dashboard!$F$4) * _xlfn.NORM.S.INV(RAND())</f>
        <v>-1.5450029558265101E-2</v>
      </c>
      <c r="U239" s="59">
        <f ca="1">Dashboard!D$8* Dashboard!$F$4+Dashboard!D$10*SQRT(Dashboard!$F$4) * _xlfn.NORM.S.INV(RAND())</f>
        <v>1.1666095237491665E-2</v>
      </c>
    </row>
    <row r="240" spans="18:21" x14ac:dyDescent="0.2">
      <c r="R240" s="49">
        <v>238</v>
      </c>
      <c r="S240" s="59">
        <f ca="1">Dashboard!B$8* Dashboard!$F$4+Dashboard!B$10*SQRT(Dashboard!$F$4) * _xlfn.NORM.S.INV(RAND())</f>
        <v>-3.0380616724972284E-3</v>
      </c>
      <c r="T240" s="59">
        <f ca="1">Dashboard!C$8* Dashboard!$F$4+Dashboard!C$10*SQRT(Dashboard!$F$4) * _xlfn.NORM.S.INV(RAND())</f>
        <v>-8.9186348907653867E-3</v>
      </c>
      <c r="U240" s="59">
        <f ca="1">Dashboard!D$8* Dashboard!$F$4+Dashboard!D$10*SQRT(Dashboard!$F$4) * _xlfn.NORM.S.INV(RAND())</f>
        <v>-7.4324946912137951E-2</v>
      </c>
    </row>
    <row r="241" spans="18:21" x14ac:dyDescent="0.2">
      <c r="R241" s="49">
        <v>239</v>
      </c>
      <c r="S241" s="59">
        <f ca="1">Dashboard!B$8* Dashboard!$F$4+Dashboard!B$10*SQRT(Dashboard!$F$4) * _xlfn.NORM.S.INV(RAND())</f>
        <v>-2.0165335395002024E-2</v>
      </c>
      <c r="T241" s="59">
        <f ca="1">Dashboard!C$8* Dashboard!$F$4+Dashboard!C$10*SQRT(Dashboard!$F$4) * _xlfn.NORM.S.INV(RAND())</f>
        <v>-2.0996685557287103E-3</v>
      </c>
      <c r="U241" s="59">
        <f ca="1">Dashboard!D$8* Dashboard!$F$4+Dashboard!D$10*SQRT(Dashboard!$F$4) * _xlfn.NORM.S.INV(RAND())</f>
        <v>3.8289900711386453E-3</v>
      </c>
    </row>
    <row r="242" spans="18:21" x14ac:dyDescent="0.2">
      <c r="R242" s="49">
        <v>240</v>
      </c>
      <c r="S242" s="59">
        <f ca="1">Dashboard!B$8* Dashboard!$F$4+Dashboard!B$10*SQRT(Dashboard!$F$4) * _xlfn.NORM.S.INV(RAND())</f>
        <v>-4.0770947831074968E-2</v>
      </c>
      <c r="T242" s="59">
        <f ca="1">Dashboard!C$8* Dashboard!$F$4+Dashboard!C$10*SQRT(Dashboard!$F$4) * _xlfn.NORM.S.INV(RAND())</f>
        <v>1.4702091433534889E-2</v>
      </c>
      <c r="U242" s="59">
        <f ca="1">Dashboard!D$8* Dashboard!$F$4+Dashboard!D$10*SQRT(Dashboard!$F$4) * _xlfn.NORM.S.INV(RAND())</f>
        <v>9.1168739433928961E-3</v>
      </c>
    </row>
    <row r="243" spans="18:21" x14ac:dyDescent="0.2">
      <c r="R243" s="49">
        <v>241</v>
      </c>
      <c r="S243" s="59">
        <f ca="1">Dashboard!B$8* Dashboard!$F$4+Dashboard!B$10*SQRT(Dashboard!$F$4) * _xlfn.NORM.S.INV(RAND())</f>
        <v>1.9453077255099024E-2</v>
      </c>
      <c r="T243" s="59">
        <f ca="1">Dashboard!C$8* Dashboard!$F$4+Dashboard!C$10*SQRT(Dashboard!$F$4) * _xlfn.NORM.S.INV(RAND())</f>
        <v>5.485123722053677E-3</v>
      </c>
      <c r="U243" s="59">
        <f ca="1">Dashboard!D$8* Dashboard!$F$4+Dashboard!D$10*SQRT(Dashboard!$F$4) * _xlfn.NORM.S.INV(RAND())</f>
        <v>-9.8905693514863228E-3</v>
      </c>
    </row>
    <row r="244" spans="18:21" x14ac:dyDescent="0.2">
      <c r="R244" s="49">
        <v>242</v>
      </c>
      <c r="S244" s="59">
        <f ca="1">Dashboard!B$8* Dashboard!$F$4+Dashboard!B$10*SQRT(Dashboard!$F$4) * _xlfn.NORM.S.INV(RAND())</f>
        <v>-4.4228341750936123E-2</v>
      </c>
      <c r="T244" s="59">
        <f ca="1">Dashboard!C$8* Dashboard!$F$4+Dashboard!C$10*SQRT(Dashboard!$F$4) * _xlfn.NORM.S.INV(RAND())</f>
        <v>1.3601484708665738E-2</v>
      </c>
      <c r="U244" s="59">
        <f ca="1">Dashboard!D$8* Dashboard!$F$4+Dashboard!D$10*SQRT(Dashboard!$F$4) * _xlfn.NORM.S.INV(RAND())</f>
        <v>2.0843994569520693E-3</v>
      </c>
    </row>
    <row r="245" spans="18:21" x14ac:dyDescent="0.2">
      <c r="R245" s="49">
        <v>243</v>
      </c>
      <c r="S245" s="59">
        <f ca="1">Dashboard!B$8* Dashboard!$F$4+Dashboard!B$10*SQRT(Dashboard!$F$4) * _xlfn.NORM.S.INV(RAND())</f>
        <v>-2.9756232552071472E-2</v>
      </c>
      <c r="T245" s="59">
        <f ca="1">Dashboard!C$8* Dashboard!$F$4+Dashboard!C$10*SQRT(Dashboard!$F$4) * _xlfn.NORM.S.INV(RAND())</f>
        <v>1.1757983215601637E-2</v>
      </c>
      <c r="U245" s="59">
        <f ca="1">Dashboard!D$8* Dashboard!$F$4+Dashboard!D$10*SQRT(Dashboard!$F$4) * _xlfn.NORM.S.INV(RAND())</f>
        <v>-1.4074586791980342E-2</v>
      </c>
    </row>
    <row r="246" spans="18:21" x14ac:dyDescent="0.2">
      <c r="R246" s="49">
        <v>244</v>
      </c>
      <c r="S246" s="59">
        <f ca="1">Dashboard!B$8* Dashboard!$F$4+Dashboard!B$10*SQRT(Dashboard!$F$4) * _xlfn.NORM.S.INV(RAND())</f>
        <v>-1.2685450993940917E-2</v>
      </c>
      <c r="T246" s="59">
        <f ca="1">Dashboard!C$8* Dashboard!$F$4+Dashboard!C$10*SQRT(Dashboard!$F$4) * _xlfn.NORM.S.INV(RAND())</f>
        <v>-7.7176433578266404E-3</v>
      </c>
      <c r="U246" s="59">
        <f ca="1">Dashboard!D$8* Dashboard!$F$4+Dashboard!D$10*SQRT(Dashboard!$F$4) * _xlfn.NORM.S.INV(RAND())</f>
        <v>-4.1290470038137551E-2</v>
      </c>
    </row>
    <row r="247" spans="18:21" x14ac:dyDescent="0.2">
      <c r="R247" s="49">
        <v>245</v>
      </c>
      <c r="S247" s="59">
        <f ca="1">Dashboard!B$8* Dashboard!$F$4+Dashboard!B$10*SQRT(Dashboard!$F$4) * _xlfn.NORM.S.INV(RAND())</f>
        <v>5.7501786543651207E-2</v>
      </c>
      <c r="T247" s="59">
        <f ca="1">Dashboard!C$8* Dashboard!$F$4+Dashboard!C$10*SQRT(Dashboard!$F$4) * _xlfn.NORM.S.INV(RAND())</f>
        <v>-1.9716799956750679E-2</v>
      </c>
      <c r="U247" s="59">
        <f ca="1">Dashboard!D$8* Dashboard!$F$4+Dashboard!D$10*SQRT(Dashboard!$F$4) * _xlfn.NORM.S.INV(RAND())</f>
        <v>-8.4804587789589162E-3</v>
      </c>
    </row>
    <row r="248" spans="18:21" x14ac:dyDescent="0.2">
      <c r="R248" s="49">
        <v>246</v>
      </c>
      <c r="S248" s="59">
        <f ca="1">Dashboard!B$8* Dashboard!$F$4+Dashboard!B$10*SQRT(Dashboard!$F$4) * _xlfn.NORM.S.INV(RAND())</f>
        <v>-5.6831418416298267E-3</v>
      </c>
      <c r="T248" s="59">
        <f ca="1">Dashboard!C$8* Dashboard!$F$4+Dashboard!C$10*SQRT(Dashboard!$F$4) * _xlfn.NORM.S.INV(RAND())</f>
        <v>1.8693190875379198E-2</v>
      </c>
      <c r="U248" s="59">
        <f ca="1">Dashboard!D$8* Dashboard!$F$4+Dashboard!D$10*SQRT(Dashboard!$F$4) * _xlfn.NORM.S.INV(RAND())</f>
        <v>-3.295057596991572E-2</v>
      </c>
    </row>
    <row r="249" spans="18:21" x14ac:dyDescent="0.2">
      <c r="R249" s="49">
        <v>247</v>
      </c>
      <c r="S249" s="59">
        <f ca="1">Dashboard!B$8* Dashboard!$F$4+Dashboard!B$10*SQRT(Dashboard!$F$4) * _xlfn.NORM.S.INV(RAND())</f>
        <v>-5.4332099126950121E-3</v>
      </c>
      <c r="T249" s="59">
        <f ca="1">Dashboard!C$8* Dashboard!$F$4+Dashboard!C$10*SQRT(Dashboard!$F$4) * _xlfn.NORM.S.INV(RAND())</f>
        <v>4.732468565087565E-2</v>
      </c>
      <c r="U249" s="59">
        <f ca="1">Dashboard!D$8* Dashboard!$F$4+Dashboard!D$10*SQRT(Dashboard!$F$4) * _xlfn.NORM.S.INV(RAND())</f>
        <v>-3.3664133384646716E-2</v>
      </c>
    </row>
    <row r="250" spans="18:21" x14ac:dyDescent="0.2">
      <c r="R250" s="49">
        <v>248</v>
      </c>
      <c r="S250" s="59">
        <f ca="1">Dashboard!B$8* Dashboard!$F$4+Dashboard!B$10*SQRT(Dashboard!$F$4) * _xlfn.NORM.S.INV(RAND())</f>
        <v>-2.1859750525075571E-2</v>
      </c>
      <c r="T250" s="59">
        <f ca="1">Dashboard!C$8* Dashboard!$F$4+Dashboard!C$10*SQRT(Dashboard!$F$4) * _xlfn.NORM.S.INV(RAND())</f>
        <v>1.2714136917531461E-2</v>
      </c>
      <c r="U250" s="59">
        <f ca="1">Dashboard!D$8* Dashboard!$F$4+Dashboard!D$10*SQRT(Dashboard!$F$4) * _xlfn.NORM.S.INV(RAND())</f>
        <v>-1.0729682086617474E-2</v>
      </c>
    </row>
    <row r="251" spans="18:21" x14ac:dyDescent="0.2">
      <c r="R251" s="49">
        <v>249</v>
      </c>
      <c r="S251" s="59">
        <f ca="1">Dashboard!B$8* Dashboard!$F$4+Dashboard!B$10*SQRT(Dashboard!$F$4) * _xlfn.NORM.S.INV(RAND())</f>
        <v>-3.8565069416234214E-2</v>
      </c>
      <c r="T251" s="59">
        <f ca="1">Dashboard!C$8* Dashboard!$F$4+Dashboard!C$10*SQRT(Dashboard!$F$4) * _xlfn.NORM.S.INV(RAND())</f>
        <v>8.6006441765759598E-3</v>
      </c>
      <c r="U251" s="59">
        <f ca="1">Dashboard!D$8* Dashboard!$F$4+Dashboard!D$10*SQRT(Dashboard!$F$4) * _xlfn.NORM.S.INV(RAND())</f>
        <v>-2.6694767342274672E-2</v>
      </c>
    </row>
    <row r="252" spans="18:21" x14ac:dyDescent="0.2">
      <c r="R252" s="49">
        <v>250</v>
      </c>
      <c r="S252" s="59">
        <f ca="1">Dashboard!B$8* Dashboard!$F$4+Dashboard!B$10*SQRT(Dashboard!$F$4) * _xlfn.NORM.S.INV(RAND())</f>
        <v>1.4555386426426684E-2</v>
      </c>
      <c r="T252" s="59">
        <f ca="1">Dashboard!C$8* Dashboard!$F$4+Dashboard!C$10*SQRT(Dashboard!$F$4) * _xlfn.NORM.S.INV(RAND())</f>
        <v>2.1109750761911204E-2</v>
      </c>
      <c r="U252" s="59">
        <f ca="1">Dashboard!D$8* Dashboard!$F$4+Dashboard!D$10*SQRT(Dashboard!$F$4) * _xlfn.NORM.S.INV(RAND())</f>
        <v>3.2227610230765305E-3</v>
      </c>
    </row>
    <row r="253" spans="18:21" x14ac:dyDescent="0.2">
      <c r="R253" s="49">
        <v>251</v>
      </c>
      <c r="S253" s="59">
        <f ca="1">Dashboard!B$8* Dashboard!$F$4+Dashboard!B$10*SQRT(Dashboard!$F$4) * _xlfn.NORM.S.INV(RAND())</f>
        <v>2.1750537876614837E-2</v>
      </c>
      <c r="T253" s="59">
        <f ca="1">Dashboard!C$8* Dashboard!$F$4+Dashboard!C$10*SQRT(Dashboard!$F$4) * _xlfn.NORM.S.INV(RAND())</f>
        <v>-3.8038794132007045E-2</v>
      </c>
      <c r="U253" s="59">
        <f ca="1">Dashboard!D$8* Dashboard!$F$4+Dashboard!D$10*SQRT(Dashboard!$F$4) * _xlfn.NORM.S.INV(RAND())</f>
        <v>4.7668370591002526E-2</v>
      </c>
    </row>
    <row r="254" spans="18:21" x14ac:dyDescent="0.2">
      <c r="R254" s="49">
        <v>252</v>
      </c>
      <c r="S254" s="59">
        <f ca="1">Dashboard!B$8* Dashboard!$F$4+Dashboard!B$10*SQRT(Dashboard!$F$4) * _xlfn.NORM.S.INV(RAND())</f>
        <v>5.5000137663750219E-2</v>
      </c>
      <c r="T254" s="59">
        <f ca="1">Dashboard!C$8* Dashboard!$F$4+Dashboard!C$10*SQRT(Dashboard!$F$4) * _xlfn.NORM.S.INV(RAND())</f>
        <v>2.6140321532068106E-2</v>
      </c>
      <c r="U254" s="59">
        <f ca="1">Dashboard!D$8* Dashboard!$F$4+Dashboard!D$10*SQRT(Dashboard!$F$4) * _xlfn.NORM.S.INV(RAND())</f>
        <v>9.1594682008624972E-4</v>
      </c>
    </row>
    <row r="255" spans="18:21" x14ac:dyDescent="0.2">
      <c r="R255" s="49">
        <v>253</v>
      </c>
      <c r="S255" s="59">
        <f ca="1">Dashboard!B$8* Dashboard!$F$4+Dashboard!B$10*SQRT(Dashboard!$F$4) * _xlfn.NORM.S.INV(RAND())</f>
        <v>-2.1220119793546127E-2</v>
      </c>
      <c r="T255" s="59">
        <f ca="1">Dashboard!C$8* Dashboard!$F$4+Dashboard!C$10*SQRT(Dashboard!$F$4) * _xlfn.NORM.S.INV(RAND())</f>
        <v>2.7389322555127577E-2</v>
      </c>
      <c r="U255" s="59">
        <f ca="1">Dashboard!D$8* Dashboard!$F$4+Dashboard!D$10*SQRT(Dashboard!$F$4) * _xlfn.NORM.S.INV(RAND())</f>
        <v>-3.085195257126686E-3</v>
      </c>
    </row>
    <row r="256" spans="18:21" x14ac:dyDescent="0.2">
      <c r="R256" s="49">
        <v>254</v>
      </c>
      <c r="S256" s="59">
        <f ca="1">Dashboard!B$8* Dashboard!$F$4+Dashboard!B$10*SQRT(Dashboard!$F$4) * _xlfn.NORM.S.INV(RAND())</f>
        <v>3.6520225444782103E-3</v>
      </c>
      <c r="T256" s="59">
        <f ca="1">Dashboard!C$8* Dashboard!$F$4+Dashboard!C$10*SQRT(Dashboard!$F$4) * _xlfn.NORM.S.INV(RAND())</f>
        <v>1.1939794901266719E-2</v>
      </c>
      <c r="U256" s="59">
        <f ca="1">Dashboard!D$8* Dashboard!$F$4+Dashboard!D$10*SQRT(Dashboard!$F$4) * _xlfn.NORM.S.INV(RAND())</f>
        <v>-3.9902931400986746E-2</v>
      </c>
    </row>
    <row r="257" spans="18:21" x14ac:dyDescent="0.2">
      <c r="R257" s="49">
        <v>255</v>
      </c>
      <c r="S257" s="59">
        <f ca="1">Dashboard!B$8* Dashboard!$F$4+Dashboard!B$10*SQRT(Dashboard!$F$4) * _xlfn.NORM.S.INV(RAND())</f>
        <v>2.3265296747487646E-2</v>
      </c>
      <c r="T257" s="59">
        <f ca="1">Dashboard!C$8* Dashboard!$F$4+Dashboard!C$10*SQRT(Dashboard!$F$4) * _xlfn.NORM.S.INV(RAND())</f>
        <v>4.292171766465059E-3</v>
      </c>
      <c r="U257" s="59">
        <f ca="1">Dashboard!D$8* Dashboard!$F$4+Dashboard!D$10*SQRT(Dashboard!$F$4) * _xlfn.NORM.S.INV(RAND())</f>
        <v>5.3173453942229106E-3</v>
      </c>
    </row>
    <row r="258" spans="18:21" x14ac:dyDescent="0.2">
      <c r="R258" s="49">
        <v>256</v>
      </c>
      <c r="S258" s="59">
        <f ca="1">Dashboard!B$8* Dashboard!$F$4+Dashboard!B$10*SQRT(Dashboard!$F$4) * _xlfn.NORM.S.INV(RAND())</f>
        <v>5.0050995284444157E-3</v>
      </c>
      <c r="T258" s="59">
        <f ca="1">Dashboard!C$8* Dashboard!$F$4+Dashboard!C$10*SQRT(Dashboard!$F$4) * _xlfn.NORM.S.INV(RAND())</f>
        <v>-4.1324805759797134E-2</v>
      </c>
      <c r="U258" s="59">
        <f ca="1">Dashboard!D$8* Dashboard!$F$4+Dashboard!D$10*SQRT(Dashboard!$F$4) * _xlfn.NORM.S.INV(RAND())</f>
        <v>7.3657969458987768E-2</v>
      </c>
    </row>
    <row r="259" spans="18:21" x14ac:dyDescent="0.2">
      <c r="R259" s="49">
        <v>257</v>
      </c>
      <c r="S259" s="59">
        <f ca="1">Dashboard!B$8* Dashboard!$F$4+Dashboard!B$10*SQRT(Dashboard!$F$4) * _xlfn.NORM.S.INV(RAND())</f>
        <v>4.4262614244084848E-3</v>
      </c>
      <c r="T259" s="59">
        <f ca="1">Dashboard!C$8* Dashboard!$F$4+Dashboard!C$10*SQRT(Dashboard!$F$4) * _xlfn.NORM.S.INV(RAND())</f>
        <v>3.5857391374762328E-2</v>
      </c>
      <c r="U259" s="59">
        <f ca="1">Dashboard!D$8* Dashboard!$F$4+Dashboard!D$10*SQRT(Dashboard!$F$4) * _xlfn.NORM.S.INV(RAND())</f>
        <v>1.2703407502439732E-2</v>
      </c>
    </row>
    <row r="260" spans="18:21" x14ac:dyDescent="0.2">
      <c r="R260" s="49">
        <v>258</v>
      </c>
      <c r="S260" s="59">
        <f ca="1">Dashboard!B$8* Dashboard!$F$4+Dashboard!B$10*SQRT(Dashboard!$F$4) * _xlfn.NORM.S.INV(RAND())</f>
        <v>-1.4675283647015574E-2</v>
      </c>
      <c r="T260" s="59">
        <f ca="1">Dashboard!C$8* Dashboard!$F$4+Dashboard!C$10*SQRT(Dashboard!$F$4) * _xlfn.NORM.S.INV(RAND())</f>
        <v>3.1339889031013098E-2</v>
      </c>
      <c r="U260" s="59">
        <f ca="1">Dashboard!D$8* Dashboard!$F$4+Dashboard!D$10*SQRT(Dashboard!$F$4) * _xlfn.NORM.S.INV(RAND())</f>
        <v>1.9334811363483501E-2</v>
      </c>
    </row>
    <row r="261" spans="18:21" x14ac:dyDescent="0.2">
      <c r="R261" s="49">
        <v>259</v>
      </c>
      <c r="S261" s="59">
        <f ca="1">Dashboard!B$8* Dashboard!$F$4+Dashboard!B$10*SQRT(Dashboard!$F$4) * _xlfn.NORM.S.INV(RAND())</f>
        <v>-3.790483147289913E-2</v>
      </c>
      <c r="T261" s="59">
        <f ca="1">Dashboard!C$8* Dashboard!$F$4+Dashboard!C$10*SQRT(Dashboard!$F$4) * _xlfn.NORM.S.INV(RAND())</f>
        <v>-3.7316344936283658E-3</v>
      </c>
      <c r="U261" s="59">
        <f ca="1">Dashboard!D$8* Dashboard!$F$4+Dashboard!D$10*SQRT(Dashboard!$F$4) * _xlfn.NORM.S.INV(RAND())</f>
        <v>-3.5155246001797813E-2</v>
      </c>
    </row>
    <row r="262" spans="18:21" x14ac:dyDescent="0.2">
      <c r="R262" s="49">
        <v>260</v>
      </c>
      <c r="S262" s="59">
        <f ca="1">Dashboard!B$8* Dashboard!$F$4+Dashboard!B$10*SQRT(Dashboard!$F$4) * _xlfn.NORM.S.INV(RAND())</f>
        <v>2.8061934358971025E-3</v>
      </c>
      <c r="T262" s="59">
        <f ca="1">Dashboard!C$8* Dashboard!$F$4+Dashboard!C$10*SQRT(Dashboard!$F$4) * _xlfn.NORM.S.INV(RAND())</f>
        <v>-1.4062520103877863E-2</v>
      </c>
      <c r="U262" s="59">
        <f ca="1">Dashboard!D$8* Dashboard!$F$4+Dashboard!D$10*SQRT(Dashboard!$F$4) * _xlfn.NORM.S.INV(RAND())</f>
        <v>4.4644677618491807E-3</v>
      </c>
    </row>
    <row r="263" spans="18:21" x14ac:dyDescent="0.2">
      <c r="R263" s="49">
        <v>261</v>
      </c>
      <c r="S263" s="59">
        <f ca="1">Dashboard!B$8* Dashboard!$F$4+Dashboard!B$10*SQRT(Dashboard!$F$4) * _xlfn.NORM.S.INV(RAND())</f>
        <v>-2.0766923994571108E-3</v>
      </c>
      <c r="T263" s="59">
        <f ca="1">Dashboard!C$8* Dashboard!$F$4+Dashboard!C$10*SQRT(Dashboard!$F$4) * _xlfn.NORM.S.INV(RAND())</f>
        <v>-7.2297553825734591E-3</v>
      </c>
      <c r="U263" s="59">
        <f ca="1">Dashboard!D$8* Dashboard!$F$4+Dashboard!D$10*SQRT(Dashboard!$F$4) * _xlfn.NORM.S.INV(RAND())</f>
        <v>3.3624449984049141E-2</v>
      </c>
    </row>
    <row r="264" spans="18:21" x14ac:dyDescent="0.2">
      <c r="R264" s="49">
        <v>262</v>
      </c>
      <c r="S264" s="59">
        <f ca="1">Dashboard!B$8* Dashboard!$F$4+Dashboard!B$10*SQRT(Dashboard!$F$4) * _xlfn.NORM.S.INV(RAND())</f>
        <v>-4.3031661310971754E-2</v>
      </c>
      <c r="T264" s="59">
        <f ca="1">Dashboard!C$8* Dashboard!$F$4+Dashboard!C$10*SQRT(Dashboard!$F$4) * _xlfn.NORM.S.INV(RAND())</f>
        <v>2.1775504612868635E-2</v>
      </c>
      <c r="U264" s="59">
        <f ca="1">Dashboard!D$8* Dashboard!$F$4+Dashboard!D$10*SQRT(Dashboard!$F$4) * _xlfn.NORM.S.INV(RAND())</f>
        <v>2.8535876765322234E-2</v>
      </c>
    </row>
    <row r="265" spans="18:21" x14ac:dyDescent="0.2">
      <c r="R265" s="49">
        <v>263</v>
      </c>
      <c r="S265" s="59">
        <f ca="1">Dashboard!B$8* Dashboard!$F$4+Dashboard!B$10*SQRT(Dashboard!$F$4) * _xlfn.NORM.S.INV(RAND())</f>
        <v>1.866989108081217E-2</v>
      </c>
      <c r="T265" s="59">
        <f ca="1">Dashboard!C$8* Dashboard!$F$4+Dashboard!C$10*SQRT(Dashboard!$F$4) * _xlfn.NORM.S.INV(RAND())</f>
        <v>2.0732717130619506E-2</v>
      </c>
      <c r="U265" s="59">
        <f ca="1">Dashboard!D$8* Dashboard!$F$4+Dashboard!D$10*SQRT(Dashboard!$F$4) * _xlfn.NORM.S.INV(RAND())</f>
        <v>-4.2156594926088205E-2</v>
      </c>
    </row>
    <row r="266" spans="18:21" x14ac:dyDescent="0.2">
      <c r="R266" s="49">
        <v>264</v>
      </c>
      <c r="S266" s="59">
        <f ca="1">Dashboard!B$8* Dashboard!$F$4+Dashboard!B$10*SQRT(Dashboard!$F$4) * _xlfn.NORM.S.INV(RAND())</f>
        <v>3.0437880715917721E-2</v>
      </c>
      <c r="T266" s="59">
        <f ca="1">Dashboard!C$8* Dashboard!$F$4+Dashboard!C$10*SQRT(Dashboard!$F$4) * _xlfn.NORM.S.INV(RAND())</f>
        <v>3.0755794218631713E-2</v>
      </c>
      <c r="U266" s="59">
        <f ca="1">Dashboard!D$8* Dashboard!$F$4+Dashboard!D$10*SQRT(Dashboard!$F$4) * _xlfn.NORM.S.INV(RAND())</f>
        <v>-2.3370364127856827E-2</v>
      </c>
    </row>
    <row r="267" spans="18:21" x14ac:dyDescent="0.2">
      <c r="R267" s="49">
        <v>265</v>
      </c>
      <c r="S267" s="59">
        <f ca="1">Dashboard!B$8* Dashboard!$F$4+Dashboard!B$10*SQRT(Dashboard!$F$4) * _xlfn.NORM.S.INV(RAND())</f>
        <v>-1.5753222110931008E-2</v>
      </c>
      <c r="T267" s="59">
        <f ca="1">Dashboard!C$8* Dashboard!$F$4+Dashboard!C$10*SQRT(Dashboard!$F$4) * _xlfn.NORM.S.INV(RAND())</f>
        <v>-2.3593899878965201E-2</v>
      </c>
      <c r="U267" s="59">
        <f ca="1">Dashboard!D$8* Dashboard!$F$4+Dashboard!D$10*SQRT(Dashboard!$F$4) * _xlfn.NORM.S.INV(RAND())</f>
        <v>-2.2141245528565241E-2</v>
      </c>
    </row>
    <row r="268" spans="18:21" x14ac:dyDescent="0.2">
      <c r="R268" s="49">
        <v>266</v>
      </c>
      <c r="S268" s="59">
        <f ca="1">Dashboard!B$8* Dashboard!$F$4+Dashboard!B$10*SQRT(Dashboard!$F$4) * _xlfn.NORM.S.INV(RAND())</f>
        <v>-9.7952622571399126E-3</v>
      </c>
      <c r="T268" s="59">
        <f ca="1">Dashboard!C$8* Dashboard!$F$4+Dashboard!C$10*SQRT(Dashboard!$F$4) * _xlfn.NORM.S.INV(RAND())</f>
        <v>2.1405022724571367E-2</v>
      </c>
      <c r="U268" s="59">
        <f ca="1">Dashboard!D$8* Dashboard!$F$4+Dashboard!D$10*SQRT(Dashboard!$F$4) * _xlfn.NORM.S.INV(RAND())</f>
        <v>1.7540012749531157E-2</v>
      </c>
    </row>
    <row r="269" spans="18:21" x14ac:dyDescent="0.2">
      <c r="R269" s="49">
        <v>267</v>
      </c>
      <c r="S269" s="59">
        <f ca="1">Dashboard!B$8* Dashboard!$F$4+Dashboard!B$10*SQRT(Dashboard!$F$4) * _xlfn.NORM.S.INV(RAND())</f>
        <v>1.7540096515318383E-2</v>
      </c>
      <c r="T269" s="59">
        <f ca="1">Dashboard!C$8* Dashboard!$F$4+Dashboard!C$10*SQRT(Dashboard!$F$4) * _xlfn.NORM.S.INV(RAND())</f>
        <v>1.1689787784911417E-2</v>
      </c>
      <c r="U269" s="59">
        <f ca="1">Dashboard!D$8* Dashboard!$F$4+Dashboard!D$10*SQRT(Dashboard!$F$4) * _xlfn.NORM.S.INV(RAND())</f>
        <v>-7.9452346938933174E-2</v>
      </c>
    </row>
    <row r="270" spans="18:21" x14ac:dyDescent="0.2">
      <c r="R270" s="49">
        <v>268</v>
      </c>
      <c r="S270" s="59">
        <f ca="1">Dashboard!B$8* Dashboard!$F$4+Dashboard!B$10*SQRT(Dashboard!$F$4) * _xlfn.NORM.S.INV(RAND())</f>
        <v>1.1007324545456909E-2</v>
      </c>
      <c r="T270" s="59">
        <f ca="1">Dashboard!C$8* Dashboard!$F$4+Dashboard!C$10*SQRT(Dashboard!$F$4) * _xlfn.NORM.S.INV(RAND())</f>
        <v>1.0585004234660921E-2</v>
      </c>
      <c r="U270" s="59">
        <f ca="1">Dashboard!D$8* Dashboard!$F$4+Dashboard!D$10*SQRT(Dashboard!$F$4) * _xlfn.NORM.S.INV(RAND())</f>
        <v>-3.6454350685605062E-2</v>
      </c>
    </row>
    <row r="271" spans="18:21" x14ac:dyDescent="0.2">
      <c r="R271" s="49">
        <v>269</v>
      </c>
      <c r="S271" s="59">
        <f ca="1">Dashboard!B$8* Dashboard!$F$4+Dashboard!B$10*SQRT(Dashboard!$F$4) * _xlfn.NORM.S.INV(RAND())</f>
        <v>9.5669187279253508E-3</v>
      </c>
      <c r="T271" s="59">
        <f ca="1">Dashboard!C$8* Dashboard!$F$4+Dashboard!C$10*SQRT(Dashboard!$F$4) * _xlfn.NORM.S.INV(RAND())</f>
        <v>1.7493548754746797E-2</v>
      </c>
      <c r="U271" s="59">
        <f ca="1">Dashboard!D$8* Dashboard!$F$4+Dashboard!D$10*SQRT(Dashboard!$F$4) * _xlfn.NORM.S.INV(RAND())</f>
        <v>8.702342868046711E-3</v>
      </c>
    </row>
    <row r="272" spans="18:21" x14ac:dyDescent="0.2">
      <c r="R272" s="49">
        <v>270</v>
      </c>
      <c r="S272" s="59">
        <f ca="1">Dashboard!B$8* Dashboard!$F$4+Dashboard!B$10*SQRT(Dashboard!$F$4) * _xlfn.NORM.S.INV(RAND())</f>
        <v>-2.2179774839870457E-2</v>
      </c>
      <c r="T272" s="59">
        <f ca="1">Dashboard!C$8* Dashboard!$F$4+Dashboard!C$10*SQRT(Dashboard!$F$4) * _xlfn.NORM.S.INV(RAND())</f>
        <v>-6.16340740013579E-4</v>
      </c>
      <c r="U272" s="59">
        <f ca="1">Dashboard!D$8* Dashboard!$F$4+Dashboard!D$10*SQRT(Dashboard!$F$4) * _xlfn.NORM.S.INV(RAND())</f>
        <v>-4.0194296397651381E-3</v>
      </c>
    </row>
    <row r="273" spans="18:21" x14ac:dyDescent="0.2">
      <c r="R273" s="49">
        <v>271</v>
      </c>
      <c r="S273" s="59">
        <f ca="1">Dashboard!B$8* Dashboard!$F$4+Dashboard!B$10*SQRT(Dashboard!$F$4) * _xlfn.NORM.S.INV(RAND())</f>
        <v>-8.8263625082414324E-3</v>
      </c>
      <c r="T273" s="59">
        <f ca="1">Dashboard!C$8* Dashboard!$F$4+Dashboard!C$10*SQRT(Dashboard!$F$4) * _xlfn.NORM.S.INV(RAND())</f>
        <v>-1.6558122515386093E-2</v>
      </c>
      <c r="U273" s="59">
        <f ca="1">Dashboard!D$8* Dashboard!$F$4+Dashboard!D$10*SQRT(Dashboard!$F$4) * _xlfn.NORM.S.INV(RAND())</f>
        <v>3.2876649642351416E-2</v>
      </c>
    </row>
    <row r="274" spans="18:21" x14ac:dyDescent="0.2">
      <c r="R274" s="49">
        <v>272</v>
      </c>
      <c r="S274" s="59">
        <f ca="1">Dashboard!B$8* Dashboard!$F$4+Dashboard!B$10*SQRT(Dashboard!$F$4) * _xlfn.NORM.S.INV(RAND())</f>
        <v>-3.7665645730397421E-2</v>
      </c>
      <c r="T274" s="59">
        <f ca="1">Dashboard!C$8* Dashboard!$F$4+Dashboard!C$10*SQRT(Dashboard!$F$4) * _xlfn.NORM.S.INV(RAND())</f>
        <v>4.4178955471054132E-2</v>
      </c>
      <c r="U274" s="59">
        <f ca="1">Dashboard!D$8* Dashboard!$F$4+Dashboard!D$10*SQRT(Dashboard!$F$4) * _xlfn.NORM.S.INV(RAND())</f>
        <v>-4.6160998788198439E-2</v>
      </c>
    </row>
    <row r="275" spans="18:21" x14ac:dyDescent="0.2">
      <c r="R275" s="49">
        <v>273</v>
      </c>
      <c r="S275" s="59">
        <f ca="1">Dashboard!B$8* Dashboard!$F$4+Dashboard!B$10*SQRT(Dashboard!$F$4) * _xlfn.NORM.S.INV(RAND())</f>
        <v>-4.9752661418521728E-2</v>
      </c>
      <c r="T275" s="59">
        <f ca="1">Dashboard!C$8* Dashboard!$F$4+Dashboard!C$10*SQRT(Dashboard!$F$4) * _xlfn.NORM.S.INV(RAND())</f>
        <v>-4.6660630587625603E-2</v>
      </c>
      <c r="U275" s="59">
        <f ca="1">Dashboard!D$8* Dashboard!$F$4+Dashboard!D$10*SQRT(Dashboard!$F$4) * _xlfn.NORM.S.INV(RAND())</f>
        <v>8.2899250134853657E-3</v>
      </c>
    </row>
    <row r="276" spans="18:21" x14ac:dyDescent="0.2">
      <c r="R276" s="49">
        <v>274</v>
      </c>
      <c r="S276" s="59">
        <f ca="1">Dashboard!B$8* Dashboard!$F$4+Dashboard!B$10*SQRT(Dashboard!$F$4) * _xlfn.NORM.S.INV(RAND())</f>
        <v>-9.0830567389403941E-3</v>
      </c>
      <c r="T276" s="59">
        <f ca="1">Dashboard!C$8* Dashboard!$F$4+Dashboard!C$10*SQRT(Dashboard!$F$4) * _xlfn.NORM.S.INV(RAND())</f>
        <v>6.9310289663197314E-2</v>
      </c>
      <c r="U276" s="59">
        <f ca="1">Dashboard!D$8* Dashboard!$F$4+Dashboard!D$10*SQRT(Dashboard!$F$4) * _xlfn.NORM.S.INV(RAND())</f>
        <v>-3.9378313319511027E-2</v>
      </c>
    </row>
    <row r="277" spans="18:21" x14ac:dyDescent="0.2">
      <c r="R277" s="49">
        <v>275</v>
      </c>
      <c r="S277" s="59">
        <f ca="1">Dashboard!B$8* Dashboard!$F$4+Dashboard!B$10*SQRT(Dashboard!$F$4) * _xlfn.NORM.S.INV(RAND())</f>
        <v>1.2882297618000521E-2</v>
      </c>
      <c r="T277" s="59">
        <f ca="1">Dashboard!C$8* Dashboard!$F$4+Dashboard!C$10*SQRT(Dashboard!$F$4) * _xlfn.NORM.S.INV(RAND())</f>
        <v>4.3147050407340674E-2</v>
      </c>
      <c r="U277" s="59">
        <f ca="1">Dashboard!D$8* Dashboard!$F$4+Dashboard!D$10*SQRT(Dashboard!$F$4) * _xlfn.NORM.S.INV(RAND())</f>
        <v>-6.7657567275382271E-3</v>
      </c>
    </row>
    <row r="278" spans="18:21" x14ac:dyDescent="0.2">
      <c r="R278" s="49">
        <v>276</v>
      </c>
      <c r="S278" s="59">
        <f ca="1">Dashboard!B$8* Dashboard!$F$4+Dashboard!B$10*SQRT(Dashboard!$F$4) * _xlfn.NORM.S.INV(RAND())</f>
        <v>-2.5887201072480248E-3</v>
      </c>
      <c r="T278" s="59">
        <f ca="1">Dashboard!C$8* Dashboard!$F$4+Dashboard!C$10*SQRT(Dashboard!$F$4) * _xlfn.NORM.S.INV(RAND())</f>
        <v>-3.8232060963990483E-2</v>
      </c>
      <c r="U278" s="59">
        <f ca="1">Dashboard!D$8* Dashboard!$F$4+Dashboard!D$10*SQRT(Dashboard!$F$4) * _xlfn.NORM.S.INV(RAND())</f>
        <v>3.2712835401532039E-2</v>
      </c>
    </row>
    <row r="279" spans="18:21" x14ac:dyDescent="0.2">
      <c r="R279" s="49">
        <v>277</v>
      </c>
      <c r="S279" s="59">
        <f ca="1">Dashboard!B$8* Dashboard!$F$4+Dashboard!B$10*SQRT(Dashboard!$F$4) * _xlfn.NORM.S.INV(RAND())</f>
        <v>3.2865457045621167E-2</v>
      </c>
      <c r="T279" s="59">
        <f ca="1">Dashboard!C$8* Dashboard!$F$4+Dashboard!C$10*SQRT(Dashboard!$F$4) * _xlfn.NORM.S.INV(RAND())</f>
        <v>7.1304341436802227E-2</v>
      </c>
      <c r="U279" s="59">
        <f ca="1">Dashboard!D$8* Dashboard!$F$4+Dashboard!D$10*SQRT(Dashboard!$F$4) * _xlfn.NORM.S.INV(RAND())</f>
        <v>2.746580342174635E-2</v>
      </c>
    </row>
    <row r="280" spans="18:21" x14ac:dyDescent="0.2">
      <c r="R280" s="49">
        <v>278</v>
      </c>
      <c r="S280" s="59">
        <f ca="1">Dashboard!B$8* Dashboard!$F$4+Dashboard!B$10*SQRT(Dashboard!$F$4) * _xlfn.NORM.S.INV(RAND())</f>
        <v>-5.6168490934379055E-2</v>
      </c>
      <c r="T280" s="59">
        <f ca="1">Dashboard!C$8* Dashboard!$F$4+Dashboard!C$10*SQRT(Dashboard!$F$4) * _xlfn.NORM.S.INV(RAND())</f>
        <v>7.3060745210892716E-2</v>
      </c>
      <c r="U280" s="59">
        <f ca="1">Dashboard!D$8* Dashboard!$F$4+Dashboard!D$10*SQRT(Dashboard!$F$4) * _xlfn.NORM.S.INV(RAND())</f>
        <v>4.6062410762746045E-2</v>
      </c>
    </row>
    <row r="281" spans="18:21" x14ac:dyDescent="0.2">
      <c r="R281" s="49">
        <v>279</v>
      </c>
      <c r="S281" s="59">
        <f ca="1">Dashboard!B$8* Dashboard!$F$4+Dashboard!B$10*SQRT(Dashboard!$F$4) * _xlfn.NORM.S.INV(RAND())</f>
        <v>9.6953990596075363E-3</v>
      </c>
      <c r="T281" s="59">
        <f ca="1">Dashboard!C$8* Dashboard!$F$4+Dashboard!C$10*SQRT(Dashboard!$F$4) * _xlfn.NORM.S.INV(RAND())</f>
        <v>-4.7951177849074695E-3</v>
      </c>
      <c r="U281" s="59">
        <f ca="1">Dashboard!D$8* Dashboard!$F$4+Dashboard!D$10*SQRT(Dashboard!$F$4) * _xlfn.NORM.S.INV(RAND())</f>
        <v>4.0952912278797694E-2</v>
      </c>
    </row>
    <row r="282" spans="18:21" x14ac:dyDescent="0.2">
      <c r="R282" s="49">
        <v>280</v>
      </c>
      <c r="S282" s="59">
        <f ca="1">Dashboard!B$8* Dashboard!$F$4+Dashboard!B$10*SQRT(Dashboard!$F$4) * _xlfn.NORM.S.INV(RAND())</f>
        <v>-1.3108859627752611E-2</v>
      </c>
      <c r="T282" s="59">
        <f ca="1">Dashboard!C$8* Dashboard!$F$4+Dashboard!C$10*SQRT(Dashboard!$F$4) * _xlfn.NORM.S.INV(RAND())</f>
        <v>9.9345524176502137E-2</v>
      </c>
      <c r="U282" s="59">
        <f ca="1">Dashboard!D$8* Dashboard!$F$4+Dashboard!D$10*SQRT(Dashboard!$F$4) * _xlfn.NORM.S.INV(RAND())</f>
        <v>4.2969594796511829E-2</v>
      </c>
    </row>
    <row r="283" spans="18:21" x14ac:dyDescent="0.2">
      <c r="R283" s="49">
        <v>281</v>
      </c>
      <c r="S283" s="59">
        <f ca="1">Dashboard!B$8* Dashboard!$F$4+Dashboard!B$10*SQRT(Dashboard!$F$4) * _xlfn.NORM.S.INV(RAND())</f>
        <v>3.9494988950094945E-3</v>
      </c>
      <c r="T283" s="59">
        <f ca="1">Dashboard!C$8* Dashboard!$F$4+Dashboard!C$10*SQRT(Dashboard!$F$4) * _xlfn.NORM.S.INV(RAND())</f>
        <v>-5.3840366456159472E-2</v>
      </c>
      <c r="U283" s="59">
        <f ca="1">Dashboard!D$8* Dashboard!$F$4+Dashboard!D$10*SQRT(Dashboard!$F$4) * _xlfn.NORM.S.INV(RAND())</f>
        <v>-2.8610821635979229E-2</v>
      </c>
    </row>
    <row r="284" spans="18:21" x14ac:dyDescent="0.2">
      <c r="R284" s="49">
        <v>282</v>
      </c>
      <c r="S284" s="59">
        <f ca="1">Dashboard!B$8* Dashboard!$F$4+Dashboard!B$10*SQRT(Dashboard!$F$4) * _xlfn.NORM.S.INV(RAND())</f>
        <v>-1.5355405611498481E-3</v>
      </c>
      <c r="T284" s="59">
        <f ca="1">Dashboard!C$8* Dashboard!$F$4+Dashboard!C$10*SQRT(Dashboard!$F$4) * _xlfn.NORM.S.INV(RAND())</f>
        <v>3.1562360926268518E-2</v>
      </c>
      <c r="U284" s="59">
        <f ca="1">Dashboard!D$8* Dashboard!$F$4+Dashboard!D$10*SQRT(Dashboard!$F$4) * _xlfn.NORM.S.INV(RAND())</f>
        <v>-1.4651196857297474E-2</v>
      </c>
    </row>
    <row r="285" spans="18:21" x14ac:dyDescent="0.2">
      <c r="R285" s="49">
        <v>283</v>
      </c>
      <c r="S285" s="59">
        <f ca="1">Dashboard!B$8* Dashboard!$F$4+Dashboard!B$10*SQRT(Dashboard!$F$4) * _xlfn.NORM.S.INV(RAND())</f>
        <v>3.0971812038604531E-2</v>
      </c>
      <c r="T285" s="59">
        <f ca="1">Dashboard!C$8* Dashboard!$F$4+Dashboard!C$10*SQRT(Dashboard!$F$4) * _xlfn.NORM.S.INV(RAND())</f>
        <v>1.0934392954784874E-2</v>
      </c>
      <c r="U285" s="59">
        <f ca="1">Dashboard!D$8* Dashboard!$F$4+Dashboard!D$10*SQRT(Dashboard!$F$4) * _xlfn.NORM.S.INV(RAND())</f>
        <v>3.5205018989924321E-2</v>
      </c>
    </row>
    <row r="286" spans="18:21" x14ac:dyDescent="0.2">
      <c r="R286" s="49">
        <v>284</v>
      </c>
      <c r="S286" s="59">
        <f ca="1">Dashboard!B$8* Dashboard!$F$4+Dashboard!B$10*SQRT(Dashboard!$F$4) * _xlfn.NORM.S.INV(RAND())</f>
        <v>1.8800264813464675E-2</v>
      </c>
      <c r="T286" s="59">
        <f ca="1">Dashboard!C$8* Dashboard!$F$4+Dashboard!C$10*SQRT(Dashboard!$F$4) * _xlfn.NORM.S.INV(RAND())</f>
        <v>-4.166968446809001E-2</v>
      </c>
      <c r="U286" s="59">
        <f ca="1">Dashboard!D$8* Dashboard!$F$4+Dashboard!D$10*SQRT(Dashboard!$F$4) * _xlfn.NORM.S.INV(RAND())</f>
        <v>3.8692477369857807E-2</v>
      </c>
    </row>
    <row r="287" spans="18:21" x14ac:dyDescent="0.2">
      <c r="R287" s="49">
        <v>285</v>
      </c>
      <c r="S287" s="59">
        <f ca="1">Dashboard!B$8* Dashboard!$F$4+Dashboard!B$10*SQRT(Dashboard!$F$4) * _xlfn.NORM.S.INV(RAND())</f>
        <v>1.0741497376781218E-2</v>
      </c>
      <c r="T287" s="59">
        <f ca="1">Dashboard!C$8* Dashboard!$F$4+Dashboard!C$10*SQRT(Dashboard!$F$4) * _xlfn.NORM.S.INV(RAND())</f>
        <v>4.8125426752844973E-2</v>
      </c>
      <c r="U287" s="59">
        <f ca="1">Dashboard!D$8* Dashboard!$F$4+Dashboard!D$10*SQRT(Dashboard!$F$4) * _xlfn.NORM.S.INV(RAND())</f>
        <v>1.7175211625771718E-2</v>
      </c>
    </row>
    <row r="288" spans="18:21" x14ac:dyDescent="0.2">
      <c r="R288" s="49">
        <v>286</v>
      </c>
      <c r="S288" s="59">
        <f ca="1">Dashboard!B$8* Dashboard!$F$4+Dashboard!B$10*SQRT(Dashboard!$F$4) * _xlfn.NORM.S.INV(RAND())</f>
        <v>-8.0704391918038493E-3</v>
      </c>
      <c r="T288" s="59">
        <f ca="1">Dashboard!C$8* Dashboard!$F$4+Dashboard!C$10*SQRT(Dashboard!$F$4) * _xlfn.NORM.S.INV(RAND())</f>
        <v>4.6619167690130449E-2</v>
      </c>
      <c r="U288" s="59">
        <f ca="1">Dashboard!D$8* Dashboard!$F$4+Dashboard!D$10*SQRT(Dashboard!$F$4) * _xlfn.NORM.S.INV(RAND())</f>
        <v>7.2855642446645625E-3</v>
      </c>
    </row>
    <row r="289" spans="18:21" x14ac:dyDescent="0.2">
      <c r="R289" s="49">
        <v>287</v>
      </c>
      <c r="S289" s="59">
        <f ca="1">Dashboard!B$8* Dashboard!$F$4+Dashboard!B$10*SQRT(Dashboard!$F$4) * _xlfn.NORM.S.INV(RAND())</f>
        <v>-7.4274026759308082E-2</v>
      </c>
      <c r="T289" s="59">
        <f ca="1">Dashboard!C$8* Dashboard!$F$4+Dashboard!C$10*SQRT(Dashboard!$F$4) * _xlfn.NORM.S.INV(RAND())</f>
        <v>9.871761512321036E-3</v>
      </c>
      <c r="U289" s="59">
        <f ca="1">Dashboard!D$8* Dashboard!$F$4+Dashboard!D$10*SQRT(Dashboard!$F$4) * _xlfn.NORM.S.INV(RAND())</f>
        <v>-9.5154032264411683E-3</v>
      </c>
    </row>
    <row r="290" spans="18:21" x14ac:dyDescent="0.2">
      <c r="R290" s="49">
        <v>288</v>
      </c>
      <c r="S290" s="59">
        <f ca="1">Dashboard!B$8* Dashboard!$F$4+Dashboard!B$10*SQRT(Dashboard!$F$4) * _xlfn.NORM.S.INV(RAND())</f>
        <v>-4.5232421104742182E-2</v>
      </c>
      <c r="T290" s="59">
        <f ca="1">Dashboard!C$8* Dashboard!$F$4+Dashboard!C$10*SQRT(Dashboard!$F$4) * _xlfn.NORM.S.INV(RAND())</f>
        <v>1.5564829295764127E-2</v>
      </c>
      <c r="U290" s="59">
        <f ca="1">Dashboard!D$8* Dashboard!$F$4+Dashboard!D$10*SQRT(Dashboard!$F$4) * _xlfn.NORM.S.INV(RAND())</f>
        <v>-3.0715052510613464E-2</v>
      </c>
    </row>
    <row r="291" spans="18:21" x14ac:dyDescent="0.2">
      <c r="R291" s="49">
        <v>289</v>
      </c>
      <c r="S291" s="59">
        <f ca="1">Dashboard!B$8* Dashboard!$F$4+Dashboard!B$10*SQRT(Dashboard!$F$4) * _xlfn.NORM.S.INV(RAND())</f>
        <v>-2.2056703938546411E-2</v>
      </c>
      <c r="T291" s="59">
        <f ca="1">Dashboard!C$8* Dashboard!$F$4+Dashboard!C$10*SQRT(Dashboard!$F$4) * _xlfn.NORM.S.INV(RAND())</f>
        <v>-1.1951143662393936E-3</v>
      </c>
      <c r="U291" s="59">
        <f ca="1">Dashboard!D$8* Dashboard!$F$4+Dashboard!D$10*SQRT(Dashboard!$F$4) * _xlfn.NORM.S.INV(RAND())</f>
        <v>2.8494696519735065E-4</v>
      </c>
    </row>
    <row r="292" spans="18:21" x14ac:dyDescent="0.2">
      <c r="R292" s="49">
        <v>290</v>
      </c>
      <c r="S292" s="59">
        <f ca="1">Dashboard!B$8* Dashboard!$F$4+Dashboard!B$10*SQRT(Dashboard!$F$4) * _xlfn.NORM.S.INV(RAND())</f>
        <v>-3.9351267912847892E-3</v>
      </c>
      <c r="T292" s="59">
        <f ca="1">Dashboard!C$8* Dashboard!$F$4+Dashboard!C$10*SQRT(Dashboard!$F$4) * _xlfn.NORM.S.INV(RAND())</f>
        <v>1.7094158408349394E-2</v>
      </c>
      <c r="U292" s="59">
        <f ca="1">Dashboard!D$8* Dashboard!$F$4+Dashboard!D$10*SQRT(Dashboard!$F$4) * _xlfn.NORM.S.INV(RAND())</f>
        <v>-5.3441167942505276E-3</v>
      </c>
    </row>
    <row r="293" spans="18:21" x14ac:dyDescent="0.2">
      <c r="R293" s="49">
        <v>291</v>
      </c>
      <c r="S293" s="59">
        <f ca="1">Dashboard!B$8* Dashboard!$F$4+Dashboard!B$10*SQRT(Dashboard!$F$4) * _xlfn.NORM.S.INV(RAND())</f>
        <v>-3.8693838392165343E-2</v>
      </c>
      <c r="T293" s="59">
        <f ca="1">Dashboard!C$8* Dashboard!$F$4+Dashboard!C$10*SQRT(Dashboard!$F$4) * _xlfn.NORM.S.INV(RAND())</f>
        <v>-3.56584533159615E-2</v>
      </c>
      <c r="U293" s="59">
        <f ca="1">Dashboard!D$8* Dashboard!$F$4+Dashboard!D$10*SQRT(Dashboard!$F$4) * _xlfn.NORM.S.INV(RAND())</f>
        <v>-6.9371541342712909E-2</v>
      </c>
    </row>
    <row r="294" spans="18:21" x14ac:dyDescent="0.2">
      <c r="R294" s="49">
        <v>292</v>
      </c>
      <c r="S294" s="59">
        <f ca="1">Dashboard!B$8* Dashboard!$F$4+Dashboard!B$10*SQRT(Dashboard!$F$4) * _xlfn.NORM.S.INV(RAND())</f>
        <v>-7.7040489583051043E-3</v>
      </c>
      <c r="T294" s="59">
        <f ca="1">Dashboard!C$8* Dashboard!$F$4+Dashboard!C$10*SQRT(Dashboard!$F$4) * _xlfn.NORM.S.INV(RAND())</f>
        <v>2.4175514470404166E-2</v>
      </c>
      <c r="U294" s="59">
        <f ca="1">Dashboard!D$8* Dashboard!$F$4+Dashboard!D$10*SQRT(Dashboard!$F$4) * _xlfn.NORM.S.INV(RAND())</f>
        <v>-3.3819627863997719E-2</v>
      </c>
    </row>
    <row r="295" spans="18:21" x14ac:dyDescent="0.2">
      <c r="R295" s="49">
        <v>293</v>
      </c>
      <c r="S295" s="59">
        <f ca="1">Dashboard!B$8* Dashboard!$F$4+Dashboard!B$10*SQRT(Dashboard!$F$4) * _xlfn.NORM.S.INV(RAND())</f>
        <v>1.6319027823832773E-2</v>
      </c>
      <c r="T295" s="59">
        <f ca="1">Dashboard!C$8* Dashboard!$F$4+Dashboard!C$10*SQRT(Dashboard!$F$4) * _xlfn.NORM.S.INV(RAND())</f>
        <v>1.0643064020838101E-2</v>
      </c>
      <c r="U295" s="59">
        <f ca="1">Dashboard!D$8* Dashboard!$F$4+Dashboard!D$10*SQRT(Dashboard!$F$4) * _xlfn.NORM.S.INV(RAND())</f>
        <v>2.2834400216245814E-2</v>
      </c>
    </row>
    <row r="296" spans="18:21" x14ac:dyDescent="0.2">
      <c r="R296" s="49">
        <v>294</v>
      </c>
      <c r="S296" s="59">
        <f ca="1">Dashboard!B$8* Dashboard!$F$4+Dashboard!B$10*SQRT(Dashboard!$F$4) * _xlfn.NORM.S.INV(RAND())</f>
        <v>1.5482589063382563E-2</v>
      </c>
      <c r="T296" s="59">
        <f ca="1">Dashboard!C$8* Dashboard!$F$4+Dashboard!C$10*SQRT(Dashboard!$F$4) * _xlfn.NORM.S.INV(RAND())</f>
        <v>-1.6819893979118886E-2</v>
      </c>
      <c r="U296" s="59">
        <f ca="1">Dashboard!D$8* Dashboard!$F$4+Dashboard!D$10*SQRT(Dashboard!$F$4) * _xlfn.NORM.S.INV(RAND())</f>
        <v>-2.3474977702457295E-2</v>
      </c>
    </row>
    <row r="297" spans="18:21" x14ac:dyDescent="0.2">
      <c r="R297" s="49">
        <v>295</v>
      </c>
      <c r="S297" s="59">
        <f ca="1">Dashboard!B$8* Dashboard!$F$4+Dashboard!B$10*SQRT(Dashboard!$F$4) * _xlfn.NORM.S.INV(RAND())</f>
        <v>-8.670268850043095E-3</v>
      </c>
      <c r="T297" s="59">
        <f ca="1">Dashboard!C$8* Dashboard!$F$4+Dashboard!C$10*SQRT(Dashboard!$F$4) * _xlfn.NORM.S.INV(RAND())</f>
        <v>-2.5102177053443721E-2</v>
      </c>
      <c r="U297" s="59">
        <f ca="1">Dashboard!D$8* Dashboard!$F$4+Dashboard!D$10*SQRT(Dashboard!$F$4) * _xlfn.NORM.S.INV(RAND())</f>
        <v>-1.6203582488392678E-2</v>
      </c>
    </row>
    <row r="298" spans="18:21" x14ac:dyDescent="0.2">
      <c r="R298" s="49">
        <v>296</v>
      </c>
      <c r="S298" s="59">
        <f ca="1">Dashboard!B$8* Dashboard!$F$4+Dashboard!B$10*SQRT(Dashboard!$F$4) * _xlfn.NORM.S.INV(RAND())</f>
        <v>3.6531494924073229E-4</v>
      </c>
      <c r="T298" s="59">
        <f ca="1">Dashboard!C$8* Dashboard!$F$4+Dashboard!C$10*SQRT(Dashboard!$F$4) * _xlfn.NORM.S.INV(RAND())</f>
        <v>-2.0067794162453384E-2</v>
      </c>
      <c r="U298" s="59">
        <f ca="1">Dashboard!D$8* Dashboard!$F$4+Dashboard!D$10*SQRT(Dashboard!$F$4) * _xlfn.NORM.S.INV(RAND())</f>
        <v>-1.2322875498896548E-2</v>
      </c>
    </row>
    <row r="299" spans="18:21" x14ac:dyDescent="0.2">
      <c r="R299" s="49">
        <v>297</v>
      </c>
      <c r="S299" s="59">
        <f ca="1">Dashboard!B$8* Dashboard!$F$4+Dashboard!B$10*SQRT(Dashboard!$F$4) * _xlfn.NORM.S.INV(RAND())</f>
        <v>-3.2909238042477494E-2</v>
      </c>
      <c r="T299" s="59">
        <f ca="1">Dashboard!C$8* Dashboard!$F$4+Dashboard!C$10*SQRT(Dashboard!$F$4) * _xlfn.NORM.S.INV(RAND())</f>
        <v>-3.3241512597136577E-2</v>
      </c>
      <c r="U299" s="59">
        <f ca="1">Dashboard!D$8* Dashboard!$F$4+Dashboard!D$10*SQRT(Dashboard!$F$4) * _xlfn.NORM.S.INV(RAND())</f>
        <v>1.0483502805383347E-2</v>
      </c>
    </row>
    <row r="300" spans="18:21" x14ac:dyDescent="0.2">
      <c r="R300" s="49">
        <v>298</v>
      </c>
      <c r="S300" s="59">
        <f ca="1">Dashboard!B$8* Dashboard!$F$4+Dashboard!B$10*SQRT(Dashboard!$F$4) * _xlfn.NORM.S.INV(RAND())</f>
        <v>6.0420712717764846E-3</v>
      </c>
      <c r="T300" s="59">
        <f ca="1">Dashboard!C$8* Dashboard!$F$4+Dashboard!C$10*SQRT(Dashboard!$F$4) * _xlfn.NORM.S.INV(RAND())</f>
        <v>1.1985586355032371E-2</v>
      </c>
      <c r="U300" s="59">
        <f ca="1">Dashboard!D$8* Dashboard!$F$4+Dashboard!D$10*SQRT(Dashboard!$F$4) * _xlfn.NORM.S.INV(RAND())</f>
        <v>2.2663276529511556E-2</v>
      </c>
    </row>
    <row r="301" spans="18:21" x14ac:dyDescent="0.2">
      <c r="R301" s="49">
        <v>299</v>
      </c>
      <c r="S301" s="59">
        <f ca="1">Dashboard!B$8* Dashboard!$F$4+Dashboard!B$10*SQRT(Dashboard!$F$4) * _xlfn.NORM.S.INV(RAND())</f>
        <v>-8.5574475015942602E-3</v>
      </c>
      <c r="T301" s="59">
        <f ca="1">Dashboard!C$8* Dashboard!$F$4+Dashboard!C$10*SQRT(Dashboard!$F$4) * _xlfn.NORM.S.INV(RAND())</f>
        <v>2.1816855503401244E-2</v>
      </c>
      <c r="U301" s="59">
        <f ca="1">Dashboard!D$8* Dashboard!$F$4+Dashboard!D$10*SQRT(Dashboard!$F$4) * _xlfn.NORM.S.INV(RAND())</f>
        <v>-4.1816133661865013E-2</v>
      </c>
    </row>
    <row r="302" spans="18:21" x14ac:dyDescent="0.2">
      <c r="R302" s="49">
        <v>300</v>
      </c>
      <c r="S302" s="59">
        <f ca="1">Dashboard!B$8* Dashboard!$F$4+Dashboard!B$10*SQRT(Dashboard!$F$4) * _xlfn.NORM.S.INV(RAND())</f>
        <v>-2.2019652840005254E-2</v>
      </c>
      <c r="T302" s="59">
        <f ca="1">Dashboard!C$8* Dashboard!$F$4+Dashboard!C$10*SQRT(Dashboard!$F$4) * _xlfn.NORM.S.INV(RAND())</f>
        <v>-3.4263556257939067E-2</v>
      </c>
      <c r="U302" s="59">
        <f ca="1">Dashboard!D$8* Dashboard!$F$4+Dashboard!D$10*SQRT(Dashboard!$F$4) * _xlfn.NORM.S.INV(RAND())</f>
        <v>-1.9654247563868459E-2</v>
      </c>
    </row>
    <row r="303" spans="18:21" x14ac:dyDescent="0.2">
      <c r="R303" s="49">
        <v>301</v>
      </c>
      <c r="S303" s="59">
        <f ca="1">Dashboard!B$8* Dashboard!$F$4+Dashboard!B$10*SQRT(Dashboard!$F$4) * _xlfn.NORM.S.INV(RAND())</f>
        <v>1.9698590654065935E-2</v>
      </c>
      <c r="T303" s="59">
        <f ca="1">Dashboard!C$8* Dashboard!$F$4+Dashboard!C$10*SQRT(Dashboard!$F$4) * _xlfn.NORM.S.INV(RAND())</f>
        <v>3.0409903489755318E-2</v>
      </c>
      <c r="U303" s="59">
        <f ca="1">Dashboard!D$8* Dashboard!$F$4+Dashboard!D$10*SQRT(Dashboard!$F$4) * _xlfn.NORM.S.INV(RAND())</f>
        <v>-6.1458802953818243E-3</v>
      </c>
    </row>
    <row r="304" spans="18:21" x14ac:dyDescent="0.2">
      <c r="R304" s="49">
        <v>302</v>
      </c>
      <c r="S304" s="59">
        <f ca="1">Dashboard!B$8* Dashboard!$F$4+Dashboard!B$10*SQRT(Dashboard!$F$4) * _xlfn.NORM.S.INV(RAND())</f>
        <v>1.8734730505640208E-2</v>
      </c>
      <c r="T304" s="59">
        <f ca="1">Dashboard!C$8* Dashboard!$F$4+Dashboard!C$10*SQRT(Dashboard!$F$4) * _xlfn.NORM.S.INV(RAND())</f>
        <v>1.3202370917067281E-2</v>
      </c>
      <c r="U304" s="59">
        <f ca="1">Dashboard!D$8* Dashboard!$F$4+Dashboard!D$10*SQRT(Dashboard!$F$4) * _xlfn.NORM.S.INV(RAND())</f>
        <v>-2.5225259866354665E-2</v>
      </c>
    </row>
    <row r="305" spans="18:21" x14ac:dyDescent="0.2">
      <c r="R305" s="49">
        <v>303</v>
      </c>
      <c r="S305" s="59">
        <f ca="1">Dashboard!B$8* Dashboard!$F$4+Dashboard!B$10*SQRT(Dashboard!$F$4) * _xlfn.NORM.S.INV(RAND())</f>
        <v>-6.2892237073721019E-3</v>
      </c>
      <c r="T305" s="59">
        <f ca="1">Dashboard!C$8* Dashboard!$F$4+Dashboard!C$10*SQRT(Dashboard!$F$4) * _xlfn.NORM.S.INV(RAND())</f>
        <v>-7.688519828897184E-3</v>
      </c>
      <c r="U305" s="59">
        <f ca="1">Dashboard!D$8* Dashboard!$F$4+Dashboard!D$10*SQRT(Dashboard!$F$4) * _xlfn.NORM.S.INV(RAND())</f>
        <v>-4.6580335467882438E-3</v>
      </c>
    </row>
    <row r="306" spans="18:21" x14ac:dyDescent="0.2">
      <c r="R306" s="49">
        <v>304</v>
      </c>
      <c r="S306" s="59">
        <f ca="1">Dashboard!B$8* Dashboard!$F$4+Dashboard!B$10*SQRT(Dashboard!$F$4) * _xlfn.NORM.S.INV(RAND())</f>
        <v>-2.0414838945156548E-2</v>
      </c>
      <c r="T306" s="59">
        <f ca="1">Dashboard!C$8* Dashboard!$F$4+Dashboard!C$10*SQRT(Dashboard!$F$4) * _xlfn.NORM.S.INV(RAND())</f>
        <v>1.077612112818899E-2</v>
      </c>
      <c r="U306" s="59">
        <f ca="1">Dashboard!D$8* Dashboard!$F$4+Dashboard!D$10*SQRT(Dashboard!$F$4) * _xlfn.NORM.S.INV(RAND())</f>
        <v>-2.1197596184362611E-2</v>
      </c>
    </row>
    <row r="307" spans="18:21" x14ac:dyDescent="0.2">
      <c r="R307" s="49">
        <v>305</v>
      </c>
      <c r="S307" s="59">
        <f ca="1">Dashboard!B$8* Dashboard!$F$4+Dashboard!B$10*SQRT(Dashboard!$F$4) * _xlfn.NORM.S.INV(RAND())</f>
        <v>4.3506102669468149E-3</v>
      </c>
      <c r="T307" s="59">
        <f ca="1">Dashboard!C$8* Dashboard!$F$4+Dashboard!C$10*SQRT(Dashboard!$F$4) * _xlfn.NORM.S.INV(RAND())</f>
        <v>2.1388983245292658E-2</v>
      </c>
      <c r="U307" s="59">
        <f ca="1">Dashboard!D$8* Dashboard!$F$4+Dashboard!D$10*SQRT(Dashboard!$F$4) * _xlfn.NORM.S.INV(RAND())</f>
        <v>7.9871912165653588E-3</v>
      </c>
    </row>
    <row r="308" spans="18:21" x14ac:dyDescent="0.2">
      <c r="R308" s="49">
        <v>306</v>
      </c>
      <c r="S308" s="59">
        <f ca="1">Dashboard!B$8* Dashboard!$F$4+Dashboard!B$10*SQRT(Dashboard!$F$4) * _xlfn.NORM.S.INV(RAND())</f>
        <v>3.0162289917292674E-2</v>
      </c>
      <c r="T308" s="59">
        <f ca="1">Dashboard!C$8* Dashboard!$F$4+Dashboard!C$10*SQRT(Dashboard!$F$4) * _xlfn.NORM.S.INV(RAND())</f>
        <v>-1.8303477399731202E-2</v>
      </c>
      <c r="U308" s="59">
        <f ca="1">Dashboard!D$8* Dashboard!$F$4+Dashboard!D$10*SQRT(Dashboard!$F$4) * _xlfn.NORM.S.INV(RAND())</f>
        <v>1.9326380628324164E-2</v>
      </c>
    </row>
    <row r="309" spans="18:21" x14ac:dyDescent="0.2">
      <c r="R309" s="49">
        <v>307</v>
      </c>
      <c r="S309" s="59">
        <f ca="1">Dashboard!B$8* Dashboard!$F$4+Dashboard!B$10*SQRT(Dashboard!$F$4) * _xlfn.NORM.S.INV(RAND())</f>
        <v>3.5302532835871654E-2</v>
      </c>
      <c r="T309" s="59">
        <f ca="1">Dashboard!C$8* Dashboard!$F$4+Dashboard!C$10*SQRT(Dashboard!$F$4) * _xlfn.NORM.S.INV(RAND())</f>
        <v>1.5538992617361049E-2</v>
      </c>
      <c r="U309" s="59">
        <f ca="1">Dashboard!D$8* Dashboard!$F$4+Dashboard!D$10*SQRT(Dashboard!$F$4) * _xlfn.NORM.S.INV(RAND())</f>
        <v>-2.0466054945731317E-2</v>
      </c>
    </row>
    <row r="310" spans="18:21" x14ac:dyDescent="0.2">
      <c r="R310" s="49">
        <v>308</v>
      </c>
      <c r="S310" s="59">
        <f ca="1">Dashboard!B$8* Dashboard!$F$4+Dashboard!B$10*SQRT(Dashboard!$F$4) * _xlfn.NORM.S.INV(RAND())</f>
        <v>8.2790070467586973E-3</v>
      </c>
      <c r="T310" s="59">
        <f ca="1">Dashboard!C$8* Dashboard!$F$4+Dashboard!C$10*SQRT(Dashboard!$F$4) * _xlfn.NORM.S.INV(RAND())</f>
        <v>-2.3730178062093741E-2</v>
      </c>
      <c r="U310" s="59">
        <f ca="1">Dashboard!D$8* Dashboard!$F$4+Dashboard!D$10*SQRT(Dashboard!$F$4) * _xlfn.NORM.S.INV(RAND())</f>
        <v>-2.752918088075337E-2</v>
      </c>
    </row>
    <row r="311" spans="18:21" x14ac:dyDescent="0.2">
      <c r="R311" s="49">
        <v>309</v>
      </c>
      <c r="S311" s="59">
        <f ca="1">Dashboard!B$8* Dashboard!$F$4+Dashboard!B$10*SQRT(Dashboard!$F$4) * _xlfn.NORM.S.INV(RAND())</f>
        <v>4.1501455259344636E-3</v>
      </c>
      <c r="T311" s="59">
        <f ca="1">Dashboard!C$8* Dashboard!$F$4+Dashboard!C$10*SQRT(Dashboard!$F$4) * _xlfn.NORM.S.INV(RAND())</f>
        <v>7.0853768604095223E-3</v>
      </c>
      <c r="U311" s="59">
        <f ca="1">Dashboard!D$8* Dashboard!$F$4+Dashboard!D$10*SQRT(Dashboard!$F$4) * _xlfn.NORM.S.INV(RAND())</f>
        <v>-2.5465259797729789E-2</v>
      </c>
    </row>
    <row r="312" spans="18:21" x14ac:dyDescent="0.2">
      <c r="R312" s="49">
        <v>310</v>
      </c>
      <c r="S312" s="59">
        <f ca="1">Dashboard!B$8* Dashboard!$F$4+Dashboard!B$10*SQRT(Dashboard!$F$4) * _xlfn.NORM.S.INV(RAND())</f>
        <v>4.8526256320275157E-2</v>
      </c>
      <c r="T312" s="59">
        <f ca="1">Dashboard!C$8* Dashboard!$F$4+Dashboard!C$10*SQRT(Dashboard!$F$4) * _xlfn.NORM.S.INV(RAND())</f>
        <v>4.2754567115933499E-2</v>
      </c>
      <c r="U312" s="59">
        <f ca="1">Dashboard!D$8* Dashboard!$F$4+Dashboard!D$10*SQRT(Dashboard!$F$4) * _xlfn.NORM.S.INV(RAND())</f>
        <v>1.1235587860548313E-2</v>
      </c>
    </row>
    <row r="313" spans="18:21" x14ac:dyDescent="0.2">
      <c r="R313" s="49">
        <v>311</v>
      </c>
      <c r="S313" s="59">
        <f ca="1">Dashboard!B$8* Dashboard!$F$4+Dashboard!B$10*SQRT(Dashboard!$F$4) * _xlfn.NORM.S.INV(RAND())</f>
        <v>-6.7631149460902526E-2</v>
      </c>
      <c r="T313" s="59">
        <f ca="1">Dashboard!C$8* Dashboard!$F$4+Dashboard!C$10*SQRT(Dashboard!$F$4) * _xlfn.NORM.S.INV(RAND())</f>
        <v>3.0142288719291994E-2</v>
      </c>
      <c r="U313" s="59">
        <f ca="1">Dashboard!D$8* Dashboard!$F$4+Dashboard!D$10*SQRT(Dashboard!$F$4) * _xlfn.NORM.S.INV(RAND())</f>
        <v>3.1723478251054156E-2</v>
      </c>
    </row>
    <row r="314" spans="18:21" x14ac:dyDescent="0.2">
      <c r="R314" s="49">
        <v>312</v>
      </c>
      <c r="S314" s="59">
        <f ca="1">Dashboard!B$8* Dashboard!$F$4+Dashboard!B$10*SQRT(Dashboard!$F$4) * _xlfn.NORM.S.INV(RAND())</f>
        <v>-2.7652552769469568E-2</v>
      </c>
      <c r="T314" s="59">
        <f ca="1">Dashboard!C$8* Dashboard!$F$4+Dashboard!C$10*SQRT(Dashboard!$F$4) * _xlfn.NORM.S.INV(RAND())</f>
        <v>-1.243769264124249E-2</v>
      </c>
      <c r="U314" s="59">
        <f ca="1">Dashboard!D$8* Dashboard!$F$4+Dashboard!D$10*SQRT(Dashboard!$F$4) * _xlfn.NORM.S.INV(RAND())</f>
        <v>-3.6541299863316383E-2</v>
      </c>
    </row>
    <row r="315" spans="18:21" x14ac:dyDescent="0.2">
      <c r="R315" s="49">
        <v>313</v>
      </c>
      <c r="S315" s="59">
        <f ca="1">Dashboard!B$8* Dashboard!$F$4+Dashboard!B$10*SQRT(Dashboard!$F$4) * _xlfn.NORM.S.INV(RAND())</f>
        <v>-2.6410000854034603E-2</v>
      </c>
      <c r="T315" s="59">
        <f ca="1">Dashboard!C$8* Dashboard!$F$4+Dashboard!C$10*SQRT(Dashboard!$F$4) * _xlfn.NORM.S.INV(RAND())</f>
        <v>1.0019424072192685E-2</v>
      </c>
      <c r="U315" s="59">
        <f ca="1">Dashboard!D$8* Dashboard!$F$4+Dashboard!D$10*SQRT(Dashboard!$F$4) * _xlfn.NORM.S.INV(RAND())</f>
        <v>3.1924541526376637E-2</v>
      </c>
    </row>
    <row r="316" spans="18:21" x14ac:dyDescent="0.2">
      <c r="R316" s="49">
        <v>314</v>
      </c>
      <c r="S316" s="59">
        <f ca="1">Dashboard!B$8* Dashboard!$F$4+Dashboard!B$10*SQRT(Dashboard!$F$4) * _xlfn.NORM.S.INV(RAND())</f>
        <v>9.1307028081030368E-3</v>
      </c>
      <c r="T316" s="59">
        <f ca="1">Dashboard!C$8* Dashboard!$F$4+Dashboard!C$10*SQRT(Dashboard!$F$4) * _xlfn.NORM.S.INV(RAND())</f>
        <v>-1.218877053113053E-2</v>
      </c>
      <c r="U316" s="59">
        <f ca="1">Dashboard!D$8* Dashboard!$F$4+Dashboard!D$10*SQRT(Dashboard!$F$4) * _xlfn.NORM.S.INV(RAND())</f>
        <v>-4.6965576542589767E-2</v>
      </c>
    </row>
    <row r="317" spans="18:21" x14ac:dyDescent="0.2">
      <c r="R317" s="49">
        <v>315</v>
      </c>
      <c r="S317" s="59">
        <f ca="1">Dashboard!B$8* Dashboard!$F$4+Dashboard!B$10*SQRT(Dashboard!$F$4) * _xlfn.NORM.S.INV(RAND())</f>
        <v>3.6279371213710068E-2</v>
      </c>
      <c r="T317" s="59">
        <f ca="1">Dashboard!C$8* Dashboard!$F$4+Dashboard!C$10*SQRT(Dashboard!$F$4) * _xlfn.NORM.S.INV(RAND())</f>
        <v>-1.9795971607536843E-3</v>
      </c>
      <c r="U317" s="59">
        <f ca="1">Dashboard!D$8* Dashboard!$F$4+Dashboard!D$10*SQRT(Dashboard!$F$4) * _xlfn.NORM.S.INV(RAND())</f>
        <v>-3.1880415839151974E-3</v>
      </c>
    </row>
    <row r="318" spans="18:21" x14ac:dyDescent="0.2">
      <c r="R318" s="49">
        <v>316</v>
      </c>
      <c r="S318" s="59">
        <f ca="1">Dashboard!B$8* Dashboard!$F$4+Dashboard!B$10*SQRT(Dashboard!$F$4) * _xlfn.NORM.S.INV(RAND())</f>
        <v>2.6843726730915375E-2</v>
      </c>
      <c r="T318" s="59">
        <f ca="1">Dashboard!C$8* Dashboard!$F$4+Dashboard!C$10*SQRT(Dashboard!$F$4) * _xlfn.NORM.S.INV(RAND())</f>
        <v>-6.2908835044443315E-3</v>
      </c>
      <c r="U318" s="59">
        <f ca="1">Dashboard!D$8* Dashboard!$F$4+Dashboard!D$10*SQRT(Dashboard!$F$4) * _xlfn.NORM.S.INV(RAND())</f>
        <v>-3.1568390381027283E-3</v>
      </c>
    </row>
    <row r="319" spans="18:21" x14ac:dyDescent="0.2">
      <c r="R319" s="49">
        <v>317</v>
      </c>
      <c r="S319" s="59">
        <f ca="1">Dashboard!B$8* Dashboard!$F$4+Dashboard!B$10*SQRT(Dashboard!$F$4) * _xlfn.NORM.S.INV(RAND())</f>
        <v>-1.5431786932164836E-2</v>
      </c>
      <c r="T319" s="59">
        <f ca="1">Dashboard!C$8* Dashboard!$F$4+Dashboard!C$10*SQRT(Dashboard!$F$4) * _xlfn.NORM.S.INV(RAND())</f>
        <v>3.1597550471008026E-2</v>
      </c>
      <c r="U319" s="59">
        <f ca="1">Dashboard!D$8* Dashboard!$F$4+Dashboard!D$10*SQRT(Dashboard!$F$4) * _xlfn.NORM.S.INV(RAND())</f>
        <v>3.0295061686484524E-3</v>
      </c>
    </row>
    <row r="320" spans="18:21" x14ac:dyDescent="0.2">
      <c r="R320" s="49">
        <v>318</v>
      </c>
      <c r="S320" s="59">
        <f ca="1">Dashboard!B$8* Dashboard!$F$4+Dashboard!B$10*SQRT(Dashboard!$F$4) * _xlfn.NORM.S.INV(RAND())</f>
        <v>9.1303946432625457E-3</v>
      </c>
      <c r="T320" s="59">
        <f ca="1">Dashboard!C$8* Dashboard!$F$4+Dashboard!C$10*SQRT(Dashboard!$F$4) * _xlfn.NORM.S.INV(RAND())</f>
        <v>-1.3514341157651183E-3</v>
      </c>
      <c r="U320" s="59">
        <f ca="1">Dashboard!D$8* Dashboard!$F$4+Dashboard!D$10*SQRT(Dashboard!$F$4) * _xlfn.NORM.S.INV(RAND())</f>
        <v>2.4585025868358409E-2</v>
      </c>
    </row>
    <row r="321" spans="18:21" x14ac:dyDescent="0.2">
      <c r="R321" s="49">
        <v>319</v>
      </c>
      <c r="S321" s="59">
        <f ca="1">Dashboard!B$8* Dashboard!$F$4+Dashboard!B$10*SQRT(Dashboard!$F$4) * _xlfn.NORM.S.INV(RAND())</f>
        <v>4.0379162622783724E-2</v>
      </c>
      <c r="T321" s="59">
        <f ca="1">Dashboard!C$8* Dashboard!$F$4+Dashboard!C$10*SQRT(Dashboard!$F$4) * _xlfn.NORM.S.INV(RAND())</f>
        <v>5.272284142141434E-2</v>
      </c>
      <c r="U321" s="59">
        <f ca="1">Dashboard!D$8* Dashboard!$F$4+Dashboard!D$10*SQRT(Dashboard!$F$4) * _xlfn.NORM.S.INV(RAND())</f>
        <v>-2.2849937710888595E-2</v>
      </c>
    </row>
    <row r="322" spans="18:21" x14ac:dyDescent="0.2">
      <c r="R322" s="49">
        <v>320</v>
      </c>
      <c r="S322" s="59">
        <f ca="1">Dashboard!B$8* Dashboard!$F$4+Dashboard!B$10*SQRT(Dashboard!$F$4) * _xlfn.NORM.S.INV(RAND())</f>
        <v>-4.7232130280650868E-2</v>
      </c>
      <c r="T322" s="59">
        <f ca="1">Dashboard!C$8* Dashboard!$F$4+Dashboard!C$10*SQRT(Dashboard!$F$4) * _xlfn.NORM.S.INV(RAND())</f>
        <v>3.0263124591544732E-2</v>
      </c>
      <c r="U322" s="59">
        <f ca="1">Dashboard!D$8* Dashboard!$F$4+Dashboard!D$10*SQRT(Dashboard!$F$4) * _xlfn.NORM.S.INV(RAND())</f>
        <v>-2.0994428847810099E-2</v>
      </c>
    </row>
    <row r="323" spans="18:21" x14ac:dyDescent="0.2">
      <c r="R323" s="49">
        <v>321</v>
      </c>
      <c r="S323" s="59">
        <f ca="1">Dashboard!B$8* Dashboard!$F$4+Dashboard!B$10*SQRT(Dashboard!$F$4) * _xlfn.NORM.S.INV(RAND())</f>
        <v>6.9103018285779447E-4</v>
      </c>
      <c r="T323" s="59">
        <f ca="1">Dashboard!C$8* Dashboard!$F$4+Dashboard!C$10*SQRT(Dashboard!$F$4) * _xlfn.NORM.S.INV(RAND())</f>
        <v>2.2866130298490505E-2</v>
      </c>
      <c r="U323" s="59">
        <f ca="1">Dashboard!D$8* Dashboard!$F$4+Dashboard!D$10*SQRT(Dashboard!$F$4) * _xlfn.NORM.S.INV(RAND())</f>
        <v>7.7132033765970567E-2</v>
      </c>
    </row>
    <row r="324" spans="18:21" x14ac:dyDescent="0.2">
      <c r="R324" s="49">
        <v>322</v>
      </c>
      <c r="S324" s="59">
        <f ca="1">Dashboard!B$8* Dashboard!$F$4+Dashboard!B$10*SQRT(Dashboard!$F$4) * _xlfn.NORM.S.INV(RAND())</f>
        <v>9.5278513653292395E-3</v>
      </c>
      <c r="T324" s="59">
        <f ca="1">Dashboard!C$8* Dashboard!$F$4+Dashboard!C$10*SQRT(Dashboard!$F$4) * _xlfn.NORM.S.INV(RAND())</f>
        <v>1.176385639250286E-2</v>
      </c>
      <c r="U324" s="59">
        <f ca="1">Dashboard!D$8* Dashboard!$F$4+Dashboard!D$10*SQRT(Dashboard!$F$4) * _xlfn.NORM.S.INV(RAND())</f>
        <v>-3.8605565033140721E-2</v>
      </c>
    </row>
    <row r="325" spans="18:21" x14ac:dyDescent="0.2">
      <c r="R325" s="49">
        <v>323</v>
      </c>
      <c r="S325" s="59">
        <f ca="1">Dashboard!B$8* Dashboard!$F$4+Dashboard!B$10*SQRT(Dashboard!$F$4) * _xlfn.NORM.S.INV(RAND())</f>
        <v>9.7674337293460634E-4</v>
      </c>
      <c r="T325" s="59">
        <f ca="1">Dashboard!C$8* Dashboard!$F$4+Dashboard!C$10*SQRT(Dashboard!$F$4) * _xlfn.NORM.S.INV(RAND())</f>
        <v>-3.7219769488984346E-2</v>
      </c>
      <c r="U325" s="59">
        <f ca="1">Dashboard!D$8* Dashboard!$F$4+Dashboard!D$10*SQRT(Dashboard!$F$4) * _xlfn.NORM.S.INV(RAND())</f>
        <v>7.2762915401885413E-3</v>
      </c>
    </row>
    <row r="326" spans="18:21" x14ac:dyDescent="0.2">
      <c r="R326" s="49">
        <v>324</v>
      </c>
      <c r="S326" s="59">
        <f ca="1">Dashboard!B$8* Dashboard!$F$4+Dashboard!B$10*SQRT(Dashboard!$F$4) * _xlfn.NORM.S.INV(RAND())</f>
        <v>-5.7716932119922237E-3</v>
      </c>
      <c r="T326" s="59">
        <f ca="1">Dashboard!C$8* Dashboard!$F$4+Dashboard!C$10*SQRT(Dashboard!$F$4) * _xlfn.NORM.S.INV(RAND())</f>
        <v>3.4241815017414391E-2</v>
      </c>
      <c r="U326" s="59">
        <f ca="1">Dashboard!D$8* Dashboard!$F$4+Dashboard!D$10*SQRT(Dashboard!$F$4) * _xlfn.NORM.S.INV(RAND())</f>
        <v>2.275509933300468E-2</v>
      </c>
    </row>
    <row r="327" spans="18:21" x14ac:dyDescent="0.2">
      <c r="R327" s="49">
        <v>325</v>
      </c>
      <c r="S327" s="59">
        <f ca="1">Dashboard!B$8* Dashboard!$F$4+Dashboard!B$10*SQRT(Dashboard!$F$4) * _xlfn.NORM.S.INV(RAND())</f>
        <v>-2.8135827173974552E-2</v>
      </c>
      <c r="T327" s="59">
        <f ca="1">Dashboard!C$8* Dashboard!$F$4+Dashboard!C$10*SQRT(Dashboard!$F$4) * _xlfn.NORM.S.INV(RAND())</f>
        <v>2.9636705439927566E-2</v>
      </c>
      <c r="U327" s="59">
        <f ca="1">Dashboard!D$8* Dashboard!$F$4+Dashboard!D$10*SQRT(Dashboard!$F$4) * _xlfn.NORM.S.INV(RAND())</f>
        <v>-1.0640098521630476E-2</v>
      </c>
    </row>
    <row r="328" spans="18:21" x14ac:dyDescent="0.2">
      <c r="R328" s="49">
        <v>326</v>
      </c>
      <c r="S328" s="59">
        <f ca="1">Dashboard!B$8* Dashboard!$F$4+Dashboard!B$10*SQRT(Dashboard!$F$4) * _xlfn.NORM.S.INV(RAND())</f>
        <v>-1.0896631433907008E-2</v>
      </c>
      <c r="T328" s="59">
        <f ca="1">Dashboard!C$8* Dashboard!$F$4+Dashboard!C$10*SQRT(Dashboard!$F$4) * _xlfn.NORM.S.INV(RAND())</f>
        <v>2.5184457532177459E-2</v>
      </c>
      <c r="U328" s="59">
        <f ca="1">Dashboard!D$8* Dashboard!$F$4+Dashboard!D$10*SQRT(Dashboard!$F$4) * _xlfn.NORM.S.INV(RAND())</f>
        <v>4.065991161651996E-2</v>
      </c>
    </row>
    <row r="329" spans="18:21" x14ac:dyDescent="0.2">
      <c r="R329" s="49">
        <v>327</v>
      </c>
      <c r="S329" s="59">
        <f ca="1">Dashboard!B$8* Dashboard!$F$4+Dashboard!B$10*SQRT(Dashboard!$F$4) * _xlfn.NORM.S.INV(RAND())</f>
        <v>2.4595656196287612E-2</v>
      </c>
      <c r="T329" s="59">
        <f ca="1">Dashboard!C$8* Dashboard!$F$4+Dashboard!C$10*SQRT(Dashboard!$F$4) * _xlfn.NORM.S.INV(RAND())</f>
        <v>-4.7160968221264719E-2</v>
      </c>
      <c r="U329" s="59">
        <f ca="1">Dashboard!D$8* Dashboard!$F$4+Dashboard!D$10*SQRT(Dashboard!$F$4) * _xlfn.NORM.S.INV(RAND())</f>
        <v>9.3093336296598741E-3</v>
      </c>
    </row>
    <row r="330" spans="18:21" x14ac:dyDescent="0.2">
      <c r="R330" s="49">
        <v>328</v>
      </c>
      <c r="S330" s="59">
        <f ca="1">Dashboard!B$8* Dashboard!$F$4+Dashboard!B$10*SQRT(Dashboard!$F$4) * _xlfn.NORM.S.INV(RAND())</f>
        <v>2.803931992493746E-2</v>
      </c>
      <c r="T330" s="59">
        <f ca="1">Dashboard!C$8* Dashboard!$F$4+Dashboard!C$10*SQRT(Dashboard!$F$4) * _xlfn.NORM.S.INV(RAND())</f>
        <v>4.7774439803719336E-2</v>
      </c>
      <c r="U330" s="59">
        <f ca="1">Dashboard!D$8* Dashboard!$F$4+Dashboard!D$10*SQRT(Dashboard!$F$4) * _xlfn.NORM.S.INV(RAND())</f>
        <v>-1.60575193914054E-2</v>
      </c>
    </row>
    <row r="331" spans="18:21" x14ac:dyDescent="0.2">
      <c r="R331" s="49">
        <v>329</v>
      </c>
      <c r="S331" s="59">
        <f ca="1">Dashboard!B$8* Dashboard!$F$4+Dashboard!B$10*SQRT(Dashboard!$F$4) * _xlfn.NORM.S.INV(RAND())</f>
        <v>-3.7896057021261968E-2</v>
      </c>
      <c r="T331" s="59">
        <f ca="1">Dashboard!C$8* Dashboard!$F$4+Dashboard!C$10*SQRT(Dashboard!$F$4) * _xlfn.NORM.S.INV(RAND())</f>
        <v>5.2998968360098077E-2</v>
      </c>
      <c r="U331" s="59">
        <f ca="1">Dashboard!D$8* Dashboard!$F$4+Dashboard!D$10*SQRT(Dashboard!$F$4) * _xlfn.NORM.S.INV(RAND())</f>
        <v>-5.454708834566268E-2</v>
      </c>
    </row>
    <row r="332" spans="18:21" x14ac:dyDescent="0.2">
      <c r="R332" s="49">
        <v>330</v>
      </c>
      <c r="S332" s="59">
        <f ca="1">Dashboard!B$8* Dashboard!$F$4+Dashboard!B$10*SQRT(Dashboard!$F$4) * _xlfn.NORM.S.INV(RAND())</f>
        <v>-2.2237027961836036E-3</v>
      </c>
      <c r="T332" s="59">
        <f ca="1">Dashboard!C$8* Dashboard!$F$4+Dashboard!C$10*SQRT(Dashboard!$F$4) * _xlfn.NORM.S.INV(RAND())</f>
        <v>-6.0094681711260131E-2</v>
      </c>
      <c r="U332" s="59">
        <f ca="1">Dashboard!D$8* Dashboard!$F$4+Dashboard!D$10*SQRT(Dashboard!$F$4) * _xlfn.NORM.S.INV(RAND())</f>
        <v>2.3290988678305855E-2</v>
      </c>
    </row>
    <row r="333" spans="18:21" x14ac:dyDescent="0.2">
      <c r="R333" s="49">
        <v>331</v>
      </c>
      <c r="S333" s="59">
        <f ca="1">Dashboard!B$8* Dashboard!$F$4+Dashboard!B$10*SQRT(Dashboard!$F$4) * _xlfn.NORM.S.INV(RAND())</f>
        <v>-1.1641175389671288E-2</v>
      </c>
      <c r="T333" s="59">
        <f ca="1">Dashboard!C$8* Dashboard!$F$4+Dashboard!C$10*SQRT(Dashboard!$F$4) * _xlfn.NORM.S.INV(RAND())</f>
        <v>-1.1706521238127085E-2</v>
      </c>
      <c r="U333" s="59">
        <f ca="1">Dashboard!D$8* Dashboard!$F$4+Dashboard!D$10*SQRT(Dashboard!$F$4) * _xlfn.NORM.S.INV(RAND())</f>
        <v>5.4807961442860993E-2</v>
      </c>
    </row>
    <row r="334" spans="18:21" x14ac:dyDescent="0.2">
      <c r="R334" s="49">
        <v>332</v>
      </c>
      <c r="S334" s="59">
        <f ca="1">Dashboard!B$8* Dashboard!$F$4+Dashboard!B$10*SQRT(Dashboard!$F$4) * _xlfn.NORM.S.INV(RAND())</f>
        <v>-2.9550343676642492E-2</v>
      </c>
      <c r="T334" s="59">
        <f ca="1">Dashboard!C$8* Dashboard!$F$4+Dashboard!C$10*SQRT(Dashboard!$F$4) * _xlfn.NORM.S.INV(RAND())</f>
        <v>-6.6293945187376177E-2</v>
      </c>
      <c r="U334" s="59">
        <f ca="1">Dashboard!D$8* Dashboard!$F$4+Dashboard!D$10*SQRT(Dashboard!$F$4) * _xlfn.NORM.S.INV(RAND())</f>
        <v>-9.2539548035118768E-3</v>
      </c>
    </row>
    <row r="335" spans="18:21" x14ac:dyDescent="0.2">
      <c r="R335" s="49">
        <v>333</v>
      </c>
      <c r="S335" s="59">
        <f ca="1">Dashboard!B$8* Dashboard!$F$4+Dashboard!B$10*SQRT(Dashboard!$F$4) * _xlfn.NORM.S.INV(RAND())</f>
        <v>-1.5045699023945501E-2</v>
      </c>
      <c r="T335" s="59">
        <f ca="1">Dashboard!C$8* Dashboard!$F$4+Dashboard!C$10*SQRT(Dashboard!$F$4) * _xlfn.NORM.S.INV(RAND())</f>
        <v>-5.6701658045188981E-3</v>
      </c>
      <c r="U335" s="59">
        <f ca="1">Dashboard!D$8* Dashboard!$F$4+Dashboard!D$10*SQRT(Dashboard!$F$4) * _xlfn.NORM.S.INV(RAND())</f>
        <v>3.3217247989488163E-2</v>
      </c>
    </row>
    <row r="336" spans="18:21" x14ac:dyDescent="0.2">
      <c r="R336" s="49">
        <v>334</v>
      </c>
      <c r="S336" s="59">
        <f ca="1">Dashboard!B$8* Dashboard!$F$4+Dashboard!B$10*SQRT(Dashboard!$F$4) * _xlfn.NORM.S.INV(RAND())</f>
        <v>-5.7365503471977835E-3</v>
      </c>
      <c r="T336" s="59">
        <f ca="1">Dashboard!C$8* Dashboard!$F$4+Dashboard!C$10*SQRT(Dashboard!$F$4) * _xlfn.NORM.S.INV(RAND())</f>
        <v>2.4538081143138449E-2</v>
      </c>
      <c r="U336" s="59">
        <f ca="1">Dashboard!D$8* Dashboard!$F$4+Dashboard!D$10*SQRT(Dashboard!$F$4) * _xlfn.NORM.S.INV(RAND())</f>
        <v>-9.6851840172095596E-3</v>
      </c>
    </row>
    <row r="337" spans="18:21" x14ac:dyDescent="0.2">
      <c r="R337" s="49">
        <v>335</v>
      </c>
      <c r="S337" s="59">
        <f ca="1">Dashboard!B$8* Dashboard!$F$4+Dashboard!B$10*SQRT(Dashboard!$F$4) * _xlfn.NORM.S.INV(RAND())</f>
        <v>2.5702151266580847E-2</v>
      </c>
      <c r="T337" s="59">
        <f ca="1">Dashboard!C$8* Dashboard!$F$4+Dashboard!C$10*SQRT(Dashboard!$F$4) * _xlfn.NORM.S.INV(RAND())</f>
        <v>2.8515823373492292E-2</v>
      </c>
      <c r="U337" s="59">
        <f ca="1">Dashboard!D$8* Dashboard!$F$4+Dashboard!D$10*SQRT(Dashboard!$F$4) * _xlfn.NORM.S.INV(RAND())</f>
        <v>4.5366081270778812E-2</v>
      </c>
    </row>
    <row r="338" spans="18:21" x14ac:dyDescent="0.2">
      <c r="R338" s="49">
        <v>336</v>
      </c>
      <c r="S338" s="59">
        <f ca="1">Dashboard!B$8* Dashboard!$F$4+Dashboard!B$10*SQRT(Dashboard!$F$4) * _xlfn.NORM.S.INV(RAND())</f>
        <v>2.3413394137027123E-2</v>
      </c>
      <c r="T338" s="59">
        <f ca="1">Dashboard!C$8* Dashboard!$F$4+Dashboard!C$10*SQRT(Dashboard!$F$4) * _xlfn.NORM.S.INV(RAND())</f>
        <v>5.790332928625079E-2</v>
      </c>
      <c r="U338" s="59">
        <f ca="1">Dashboard!D$8* Dashboard!$F$4+Dashboard!D$10*SQRT(Dashboard!$F$4) * _xlfn.NORM.S.INV(RAND())</f>
        <v>-5.6604034234291008E-2</v>
      </c>
    </row>
    <row r="339" spans="18:21" x14ac:dyDescent="0.2">
      <c r="R339" s="49">
        <v>337</v>
      </c>
      <c r="S339" s="59">
        <f ca="1">Dashboard!B$8* Dashboard!$F$4+Dashboard!B$10*SQRT(Dashboard!$F$4) * _xlfn.NORM.S.INV(RAND())</f>
        <v>-5.0478918082435667E-2</v>
      </c>
      <c r="T339" s="59">
        <f ca="1">Dashboard!C$8* Dashboard!$F$4+Dashboard!C$10*SQRT(Dashboard!$F$4) * _xlfn.NORM.S.INV(RAND())</f>
        <v>2.2855316115183304E-2</v>
      </c>
      <c r="U339" s="59">
        <f ca="1">Dashboard!D$8* Dashboard!$F$4+Dashboard!D$10*SQRT(Dashboard!$F$4) * _xlfn.NORM.S.INV(RAND())</f>
        <v>-1.4526518172857369E-2</v>
      </c>
    </row>
    <row r="340" spans="18:21" x14ac:dyDescent="0.2">
      <c r="R340" s="49">
        <v>338</v>
      </c>
      <c r="S340" s="59">
        <f ca="1">Dashboard!B$8* Dashboard!$F$4+Dashboard!B$10*SQRT(Dashboard!$F$4) * _xlfn.NORM.S.INV(RAND())</f>
        <v>-2.6449080388114506E-2</v>
      </c>
      <c r="T340" s="59">
        <f ca="1">Dashboard!C$8* Dashboard!$F$4+Dashboard!C$10*SQRT(Dashboard!$F$4) * _xlfn.NORM.S.INV(RAND())</f>
        <v>3.8784742064116889E-2</v>
      </c>
      <c r="U340" s="59">
        <f ca="1">Dashboard!D$8* Dashboard!$F$4+Dashboard!D$10*SQRT(Dashboard!$F$4) * _xlfn.NORM.S.INV(RAND())</f>
        <v>-5.2164890039945407E-2</v>
      </c>
    </row>
    <row r="341" spans="18:21" x14ac:dyDescent="0.2">
      <c r="R341" s="49">
        <v>339</v>
      </c>
      <c r="S341" s="59">
        <f ca="1">Dashboard!B$8* Dashboard!$F$4+Dashboard!B$10*SQRT(Dashboard!$F$4) * _xlfn.NORM.S.INV(RAND())</f>
        <v>2.6499104882422728E-2</v>
      </c>
      <c r="T341" s="59">
        <f ca="1">Dashboard!C$8* Dashboard!$F$4+Dashboard!C$10*SQRT(Dashboard!$F$4) * _xlfn.NORM.S.INV(RAND())</f>
        <v>-1.9726552971496357E-2</v>
      </c>
      <c r="U341" s="59">
        <f ca="1">Dashboard!D$8* Dashboard!$F$4+Dashboard!D$10*SQRT(Dashboard!$F$4) * _xlfn.NORM.S.INV(RAND())</f>
        <v>-5.0165332036053008E-2</v>
      </c>
    </row>
    <row r="342" spans="18:21" x14ac:dyDescent="0.2">
      <c r="R342" s="49">
        <v>340</v>
      </c>
      <c r="S342" s="59">
        <f ca="1">Dashboard!B$8* Dashboard!$F$4+Dashboard!B$10*SQRT(Dashboard!$F$4) * _xlfn.NORM.S.INV(RAND())</f>
        <v>-4.1418663624870509E-3</v>
      </c>
      <c r="T342" s="59">
        <f ca="1">Dashboard!C$8* Dashboard!$F$4+Dashboard!C$10*SQRT(Dashboard!$F$4) * _xlfn.NORM.S.INV(RAND())</f>
        <v>-3.0619481611272547E-2</v>
      </c>
      <c r="U342" s="59">
        <f ca="1">Dashboard!D$8* Dashboard!$F$4+Dashboard!D$10*SQRT(Dashboard!$F$4) * _xlfn.NORM.S.INV(RAND())</f>
        <v>3.8582347490707478E-2</v>
      </c>
    </row>
    <row r="343" spans="18:21" x14ac:dyDescent="0.2">
      <c r="R343" s="49">
        <v>341</v>
      </c>
      <c r="S343" s="59">
        <f ca="1">Dashboard!B$8* Dashboard!$F$4+Dashboard!B$10*SQRT(Dashboard!$F$4) * _xlfn.NORM.S.INV(RAND())</f>
        <v>3.2243998001651036E-2</v>
      </c>
      <c r="T343" s="59">
        <f ca="1">Dashboard!C$8* Dashboard!$F$4+Dashboard!C$10*SQRT(Dashboard!$F$4) * _xlfn.NORM.S.INV(RAND())</f>
        <v>5.273660424799656E-2</v>
      </c>
      <c r="U343" s="59">
        <f ca="1">Dashboard!D$8* Dashboard!$F$4+Dashboard!D$10*SQRT(Dashboard!$F$4) * _xlfn.NORM.S.INV(RAND())</f>
        <v>-2.4856698242487684E-3</v>
      </c>
    </row>
    <row r="344" spans="18:21" x14ac:dyDescent="0.2">
      <c r="R344" s="49">
        <v>342</v>
      </c>
      <c r="S344" s="59">
        <f ca="1">Dashboard!B$8* Dashboard!$F$4+Dashboard!B$10*SQRT(Dashboard!$F$4) * _xlfn.NORM.S.INV(RAND())</f>
        <v>-1.6806284222222183E-2</v>
      </c>
      <c r="T344" s="59">
        <f ca="1">Dashboard!C$8* Dashboard!$F$4+Dashboard!C$10*SQRT(Dashboard!$F$4) * _xlfn.NORM.S.INV(RAND())</f>
        <v>-7.2333728437372425E-3</v>
      </c>
      <c r="U344" s="59">
        <f ca="1">Dashboard!D$8* Dashboard!$F$4+Dashboard!D$10*SQRT(Dashboard!$F$4) * _xlfn.NORM.S.INV(RAND())</f>
        <v>2.1171274799362146E-2</v>
      </c>
    </row>
    <row r="345" spans="18:21" x14ac:dyDescent="0.2">
      <c r="R345" s="49">
        <v>343</v>
      </c>
      <c r="S345" s="59">
        <f ca="1">Dashboard!B$8* Dashboard!$F$4+Dashboard!B$10*SQRT(Dashboard!$F$4) * _xlfn.NORM.S.INV(RAND())</f>
        <v>-3.8290702161270285E-2</v>
      </c>
      <c r="T345" s="59">
        <f ca="1">Dashboard!C$8* Dashboard!$F$4+Dashboard!C$10*SQRT(Dashboard!$F$4) * _xlfn.NORM.S.INV(RAND())</f>
        <v>-2.5367129156325663E-4</v>
      </c>
      <c r="U345" s="59">
        <f ca="1">Dashboard!D$8* Dashboard!$F$4+Dashboard!D$10*SQRT(Dashboard!$F$4) * _xlfn.NORM.S.INV(RAND())</f>
        <v>-3.061299159859978E-2</v>
      </c>
    </row>
    <row r="346" spans="18:21" x14ac:dyDescent="0.2">
      <c r="R346" s="49">
        <v>344</v>
      </c>
      <c r="S346" s="59">
        <f ca="1">Dashboard!B$8* Dashboard!$F$4+Dashboard!B$10*SQRT(Dashboard!$F$4) * _xlfn.NORM.S.INV(RAND())</f>
        <v>-4.2828380971251878E-3</v>
      </c>
      <c r="T346" s="59">
        <f ca="1">Dashboard!C$8* Dashboard!$F$4+Dashboard!C$10*SQRT(Dashboard!$F$4) * _xlfn.NORM.S.INV(RAND())</f>
        <v>-2.3138744573719963E-2</v>
      </c>
      <c r="U346" s="59">
        <f ca="1">Dashboard!D$8* Dashboard!$F$4+Dashboard!D$10*SQRT(Dashboard!$F$4) * _xlfn.NORM.S.INV(RAND())</f>
        <v>1.3639346743569343E-2</v>
      </c>
    </row>
    <row r="347" spans="18:21" x14ac:dyDescent="0.2">
      <c r="R347" s="49">
        <v>345</v>
      </c>
      <c r="S347" s="59">
        <f ca="1">Dashboard!B$8* Dashboard!$F$4+Dashboard!B$10*SQRT(Dashboard!$F$4) * _xlfn.NORM.S.INV(RAND())</f>
        <v>3.417883737467018E-2</v>
      </c>
      <c r="T347" s="59">
        <f ca="1">Dashboard!C$8* Dashboard!$F$4+Dashboard!C$10*SQRT(Dashboard!$F$4) * _xlfn.NORM.S.INV(RAND())</f>
        <v>1.3804841045245869E-3</v>
      </c>
      <c r="U347" s="59">
        <f ca="1">Dashboard!D$8* Dashboard!$F$4+Dashboard!D$10*SQRT(Dashboard!$F$4) * _xlfn.NORM.S.INV(RAND())</f>
        <v>-1.6971313273534398E-2</v>
      </c>
    </row>
    <row r="348" spans="18:21" x14ac:dyDescent="0.2">
      <c r="R348" s="49">
        <v>346</v>
      </c>
      <c r="S348" s="59">
        <f ca="1">Dashboard!B$8* Dashboard!$F$4+Dashboard!B$10*SQRT(Dashboard!$F$4) * _xlfn.NORM.S.INV(RAND())</f>
        <v>7.6932490036593238E-3</v>
      </c>
      <c r="T348" s="59">
        <f ca="1">Dashboard!C$8* Dashboard!$F$4+Dashboard!C$10*SQRT(Dashboard!$F$4) * _xlfn.NORM.S.INV(RAND())</f>
        <v>-0.1246644270024205</v>
      </c>
      <c r="U348" s="59">
        <f ca="1">Dashboard!D$8* Dashboard!$F$4+Dashboard!D$10*SQRT(Dashboard!$F$4) * _xlfn.NORM.S.INV(RAND())</f>
        <v>1.4638036430095334E-2</v>
      </c>
    </row>
    <row r="349" spans="18:21" x14ac:dyDescent="0.2">
      <c r="R349" s="49">
        <v>347</v>
      </c>
      <c r="S349" s="59">
        <f ca="1">Dashboard!B$8* Dashboard!$F$4+Dashboard!B$10*SQRT(Dashboard!$F$4) * _xlfn.NORM.S.INV(RAND())</f>
        <v>-7.2153861740086467E-3</v>
      </c>
      <c r="T349" s="59">
        <f ca="1">Dashboard!C$8* Dashboard!$F$4+Dashboard!C$10*SQRT(Dashboard!$F$4) * _xlfn.NORM.S.INV(RAND())</f>
        <v>5.3065728695490887E-2</v>
      </c>
      <c r="U349" s="59">
        <f ca="1">Dashboard!D$8* Dashboard!$F$4+Dashboard!D$10*SQRT(Dashboard!$F$4) * _xlfn.NORM.S.INV(RAND())</f>
        <v>3.8529473196059628E-2</v>
      </c>
    </row>
    <row r="350" spans="18:21" x14ac:dyDescent="0.2">
      <c r="R350" s="49">
        <v>348</v>
      </c>
      <c r="S350" s="59">
        <f ca="1">Dashboard!B$8* Dashboard!$F$4+Dashboard!B$10*SQRT(Dashboard!$F$4) * _xlfn.NORM.S.INV(RAND())</f>
        <v>-5.0399427516803805E-2</v>
      </c>
      <c r="T350" s="59">
        <f ca="1">Dashboard!C$8* Dashboard!$F$4+Dashboard!C$10*SQRT(Dashboard!$F$4) * _xlfn.NORM.S.INV(RAND())</f>
        <v>8.4785335827991942E-3</v>
      </c>
      <c r="U350" s="59">
        <f ca="1">Dashboard!D$8* Dashboard!$F$4+Dashboard!D$10*SQRT(Dashboard!$F$4) * _xlfn.NORM.S.INV(RAND())</f>
        <v>-3.0394840147205428E-2</v>
      </c>
    </row>
    <row r="351" spans="18:21" x14ac:dyDescent="0.2">
      <c r="R351" s="49">
        <v>349</v>
      </c>
      <c r="S351" s="59">
        <f ca="1">Dashboard!B$8* Dashboard!$F$4+Dashboard!B$10*SQRT(Dashboard!$F$4) * _xlfn.NORM.S.INV(RAND())</f>
        <v>1.4990325572235603E-2</v>
      </c>
      <c r="T351" s="59">
        <f ca="1">Dashboard!C$8* Dashboard!$F$4+Dashboard!C$10*SQRT(Dashboard!$F$4) * _xlfn.NORM.S.INV(RAND())</f>
        <v>5.7909681807301765E-2</v>
      </c>
      <c r="U351" s="59">
        <f ca="1">Dashboard!D$8* Dashboard!$F$4+Dashboard!D$10*SQRT(Dashboard!$F$4) * _xlfn.NORM.S.INV(RAND())</f>
        <v>1.7621597979856941E-2</v>
      </c>
    </row>
    <row r="352" spans="18:21" x14ac:dyDescent="0.2">
      <c r="R352" s="49">
        <v>350</v>
      </c>
      <c r="S352" s="59">
        <f ca="1">Dashboard!B$8* Dashboard!$F$4+Dashboard!B$10*SQRT(Dashboard!$F$4) * _xlfn.NORM.S.INV(RAND())</f>
        <v>-2.6855026699644192E-3</v>
      </c>
      <c r="T352" s="59">
        <f ca="1">Dashboard!C$8* Dashboard!$F$4+Dashboard!C$10*SQRT(Dashboard!$F$4) * _xlfn.NORM.S.INV(RAND())</f>
        <v>-1.7038096000607329E-2</v>
      </c>
      <c r="U352" s="59">
        <f ca="1">Dashboard!D$8* Dashboard!$F$4+Dashboard!D$10*SQRT(Dashboard!$F$4) * _xlfn.NORM.S.INV(RAND())</f>
        <v>1.2532487153743487E-2</v>
      </c>
    </row>
    <row r="353" spans="18:21" x14ac:dyDescent="0.2">
      <c r="R353" s="49">
        <v>351</v>
      </c>
      <c r="S353" s="59">
        <f ca="1">Dashboard!B$8* Dashboard!$F$4+Dashboard!B$10*SQRT(Dashboard!$F$4) * _xlfn.NORM.S.INV(RAND())</f>
        <v>-4.5782372534328639E-2</v>
      </c>
      <c r="T353" s="59">
        <f ca="1">Dashboard!C$8* Dashboard!$F$4+Dashboard!C$10*SQRT(Dashboard!$F$4) * _xlfn.NORM.S.INV(RAND())</f>
        <v>-5.2163970829679938E-3</v>
      </c>
      <c r="U353" s="59">
        <f ca="1">Dashboard!D$8* Dashboard!$F$4+Dashboard!D$10*SQRT(Dashboard!$F$4) * _xlfn.NORM.S.INV(RAND())</f>
        <v>-1.4798499135771515E-2</v>
      </c>
    </row>
    <row r="354" spans="18:21" x14ac:dyDescent="0.2">
      <c r="R354" s="49">
        <v>352</v>
      </c>
      <c r="S354" s="59">
        <f ca="1">Dashboard!B$8* Dashboard!$F$4+Dashboard!B$10*SQRT(Dashboard!$F$4) * _xlfn.NORM.S.INV(RAND())</f>
        <v>1.5767279768978387E-3</v>
      </c>
      <c r="T354" s="59">
        <f ca="1">Dashboard!C$8* Dashboard!$F$4+Dashboard!C$10*SQRT(Dashboard!$F$4) * _xlfn.NORM.S.INV(RAND())</f>
        <v>6.6367342692539907E-3</v>
      </c>
      <c r="U354" s="59">
        <f ca="1">Dashboard!D$8* Dashboard!$F$4+Dashboard!D$10*SQRT(Dashboard!$F$4) * _xlfn.NORM.S.INV(RAND())</f>
        <v>-3.7901901412302749E-2</v>
      </c>
    </row>
    <row r="355" spans="18:21" x14ac:dyDescent="0.2">
      <c r="R355" s="49">
        <v>353</v>
      </c>
      <c r="S355" s="59">
        <f ca="1">Dashboard!B$8* Dashboard!$F$4+Dashboard!B$10*SQRT(Dashboard!$F$4) * _xlfn.NORM.S.INV(RAND())</f>
        <v>-4.898541418121518E-2</v>
      </c>
      <c r="T355" s="59">
        <f ca="1">Dashboard!C$8* Dashboard!$F$4+Dashboard!C$10*SQRT(Dashboard!$F$4) * _xlfn.NORM.S.INV(RAND())</f>
        <v>-5.1504585299321004E-2</v>
      </c>
      <c r="U355" s="59">
        <f ca="1">Dashboard!D$8* Dashboard!$F$4+Dashboard!D$10*SQRT(Dashboard!$F$4) * _xlfn.NORM.S.INV(RAND())</f>
        <v>-2.4674399124033713E-2</v>
      </c>
    </row>
    <row r="356" spans="18:21" x14ac:dyDescent="0.2">
      <c r="R356" s="49">
        <v>354</v>
      </c>
      <c r="S356" s="59">
        <f ca="1">Dashboard!B$8* Dashboard!$F$4+Dashboard!B$10*SQRT(Dashboard!$F$4) * _xlfn.NORM.S.INV(RAND())</f>
        <v>-2.9237139495185112E-3</v>
      </c>
      <c r="T356" s="59">
        <f ca="1">Dashboard!C$8* Dashboard!$F$4+Dashboard!C$10*SQRT(Dashboard!$F$4) * _xlfn.NORM.S.INV(RAND())</f>
        <v>-3.1421428361168735E-2</v>
      </c>
      <c r="U356" s="59">
        <f ca="1">Dashboard!D$8* Dashboard!$F$4+Dashboard!D$10*SQRT(Dashboard!$F$4) * _xlfn.NORM.S.INV(RAND())</f>
        <v>-1.4317369985603441E-3</v>
      </c>
    </row>
    <row r="357" spans="18:21" x14ac:dyDescent="0.2">
      <c r="R357" s="49">
        <v>355</v>
      </c>
      <c r="S357" s="59">
        <f ca="1">Dashboard!B$8* Dashboard!$F$4+Dashboard!B$10*SQRT(Dashboard!$F$4) * _xlfn.NORM.S.INV(RAND())</f>
        <v>7.6954805214595832E-3</v>
      </c>
      <c r="T357" s="59">
        <f ca="1">Dashboard!C$8* Dashboard!$F$4+Dashboard!C$10*SQRT(Dashboard!$F$4) * _xlfn.NORM.S.INV(RAND())</f>
        <v>-9.8130199424826918E-3</v>
      </c>
      <c r="U357" s="59">
        <f ca="1">Dashboard!D$8* Dashboard!$F$4+Dashboard!D$10*SQRT(Dashboard!$F$4) * _xlfn.NORM.S.INV(RAND())</f>
        <v>-1.6031676123441467E-2</v>
      </c>
    </row>
    <row r="358" spans="18:21" x14ac:dyDescent="0.2">
      <c r="R358" s="49">
        <v>356</v>
      </c>
      <c r="S358" s="59">
        <f ca="1">Dashboard!B$8* Dashboard!$F$4+Dashboard!B$10*SQRT(Dashboard!$F$4) * _xlfn.NORM.S.INV(RAND())</f>
        <v>-2.6913964740701388E-2</v>
      </c>
      <c r="T358" s="59">
        <f ca="1">Dashboard!C$8* Dashboard!$F$4+Dashboard!C$10*SQRT(Dashboard!$F$4) * _xlfn.NORM.S.INV(RAND())</f>
        <v>-4.947081418187174E-3</v>
      </c>
      <c r="U358" s="59">
        <f ca="1">Dashboard!D$8* Dashboard!$F$4+Dashboard!D$10*SQRT(Dashboard!$F$4) * _xlfn.NORM.S.INV(RAND())</f>
        <v>-3.0869740474192626E-2</v>
      </c>
    </row>
    <row r="359" spans="18:21" x14ac:dyDescent="0.2">
      <c r="R359" s="49">
        <v>357</v>
      </c>
      <c r="S359" s="59">
        <f ca="1">Dashboard!B$8* Dashboard!$F$4+Dashboard!B$10*SQRT(Dashboard!$F$4) * _xlfn.NORM.S.INV(RAND())</f>
        <v>1.7512791121368594E-3</v>
      </c>
      <c r="T359" s="59">
        <f ca="1">Dashboard!C$8* Dashboard!$F$4+Dashboard!C$10*SQRT(Dashboard!$F$4) * _xlfn.NORM.S.INV(RAND())</f>
        <v>-5.019239520032275E-3</v>
      </c>
      <c r="U359" s="59">
        <f ca="1">Dashboard!D$8* Dashboard!$F$4+Dashboard!D$10*SQRT(Dashboard!$F$4) * _xlfn.NORM.S.INV(RAND())</f>
        <v>-1.1579667154696728E-2</v>
      </c>
    </row>
    <row r="360" spans="18:21" x14ac:dyDescent="0.2">
      <c r="R360" s="49">
        <v>358</v>
      </c>
      <c r="S360" s="59">
        <f ca="1">Dashboard!B$8* Dashboard!$F$4+Dashboard!B$10*SQRT(Dashboard!$F$4) * _xlfn.NORM.S.INV(RAND())</f>
        <v>3.1868757174883328E-2</v>
      </c>
      <c r="T360" s="59">
        <f ca="1">Dashboard!C$8* Dashboard!$F$4+Dashboard!C$10*SQRT(Dashboard!$F$4) * _xlfn.NORM.S.INV(RAND())</f>
        <v>-6.8667484572848938E-3</v>
      </c>
      <c r="U360" s="59">
        <f ca="1">Dashboard!D$8* Dashboard!$F$4+Dashboard!D$10*SQRT(Dashboard!$F$4) * _xlfn.NORM.S.INV(RAND())</f>
        <v>2.4905239445736787E-2</v>
      </c>
    </row>
    <row r="361" spans="18:21" x14ac:dyDescent="0.2">
      <c r="R361" s="49">
        <v>359</v>
      </c>
      <c r="S361" s="59">
        <f ca="1">Dashboard!B$8* Dashboard!$F$4+Dashboard!B$10*SQRT(Dashboard!$F$4) * _xlfn.NORM.S.INV(RAND())</f>
        <v>-5.1188710586879292E-3</v>
      </c>
      <c r="T361" s="59">
        <f ca="1">Dashboard!C$8* Dashboard!$F$4+Dashboard!C$10*SQRT(Dashboard!$F$4) * _xlfn.NORM.S.INV(RAND())</f>
        <v>2.4354855084882537E-2</v>
      </c>
      <c r="U361" s="59">
        <f ca="1">Dashboard!D$8* Dashboard!$F$4+Dashboard!D$10*SQRT(Dashboard!$F$4) * _xlfn.NORM.S.INV(RAND())</f>
        <v>-2.3575999743630411E-2</v>
      </c>
    </row>
    <row r="362" spans="18:21" x14ac:dyDescent="0.2">
      <c r="R362" s="49">
        <v>360</v>
      </c>
      <c r="S362" s="59">
        <f ca="1">Dashboard!B$8* Dashboard!$F$4+Dashboard!B$10*SQRT(Dashboard!$F$4) * _xlfn.NORM.S.INV(RAND())</f>
        <v>-1.5335851755892948E-2</v>
      </c>
      <c r="T362" s="59">
        <f ca="1">Dashboard!C$8* Dashboard!$F$4+Dashboard!C$10*SQRT(Dashboard!$F$4) * _xlfn.NORM.S.INV(RAND())</f>
        <v>3.1500180718108096E-2</v>
      </c>
      <c r="U362" s="59">
        <f ca="1">Dashboard!D$8* Dashboard!$F$4+Dashboard!D$10*SQRT(Dashboard!$F$4) * _xlfn.NORM.S.INV(RAND())</f>
        <v>3.7051653249620745E-2</v>
      </c>
    </row>
    <row r="363" spans="18:21" x14ac:dyDescent="0.2">
      <c r="R363" s="49">
        <v>361</v>
      </c>
      <c r="S363" s="59">
        <f ca="1">Dashboard!B$8* Dashboard!$F$4+Dashboard!B$10*SQRT(Dashboard!$F$4) * _xlfn.NORM.S.INV(RAND())</f>
        <v>2.1034103243391562E-2</v>
      </c>
      <c r="T363" s="59">
        <f ca="1">Dashboard!C$8* Dashboard!$F$4+Dashboard!C$10*SQRT(Dashboard!$F$4) * _xlfn.NORM.S.INV(RAND())</f>
        <v>-1.4643983763089907E-2</v>
      </c>
      <c r="U363" s="59">
        <f ca="1">Dashboard!D$8* Dashboard!$F$4+Dashboard!D$10*SQRT(Dashboard!$F$4) * _xlfn.NORM.S.INV(RAND())</f>
        <v>2.0669210255981677E-2</v>
      </c>
    </row>
    <row r="364" spans="18:21" x14ac:dyDescent="0.2">
      <c r="R364" s="49">
        <v>362</v>
      </c>
      <c r="S364" s="59">
        <f ca="1">Dashboard!B$8* Dashboard!$F$4+Dashboard!B$10*SQRT(Dashboard!$F$4) * _xlfn.NORM.S.INV(RAND())</f>
        <v>-5.9733055112977933E-2</v>
      </c>
      <c r="T364" s="59">
        <f ca="1">Dashboard!C$8* Dashboard!$F$4+Dashboard!C$10*SQRT(Dashboard!$F$4) * _xlfn.NORM.S.INV(RAND())</f>
        <v>-2.3552641736033667E-2</v>
      </c>
      <c r="U364" s="59">
        <f ca="1">Dashboard!D$8* Dashboard!$F$4+Dashboard!D$10*SQRT(Dashboard!$F$4) * _xlfn.NORM.S.INV(RAND())</f>
        <v>1.7944279485990314E-2</v>
      </c>
    </row>
    <row r="365" spans="18:21" x14ac:dyDescent="0.2">
      <c r="R365" s="49">
        <v>363</v>
      </c>
      <c r="S365" s="59">
        <f ca="1">Dashboard!B$8* Dashboard!$F$4+Dashboard!B$10*SQRT(Dashboard!$F$4) * _xlfn.NORM.S.INV(RAND())</f>
        <v>2.5881040775006532E-2</v>
      </c>
      <c r="T365" s="59">
        <f ca="1">Dashboard!C$8* Dashboard!$F$4+Dashboard!C$10*SQRT(Dashboard!$F$4) * _xlfn.NORM.S.INV(RAND())</f>
        <v>2.9158435450606455E-2</v>
      </c>
      <c r="U365" s="59">
        <f ca="1">Dashboard!D$8* Dashboard!$F$4+Dashboard!D$10*SQRT(Dashboard!$F$4) * _xlfn.NORM.S.INV(RAND())</f>
        <v>6.8115101406167805E-2</v>
      </c>
    </row>
    <row r="366" spans="18:21" x14ac:dyDescent="0.2">
      <c r="R366" s="49">
        <v>364</v>
      </c>
      <c r="S366" s="59">
        <f ca="1">Dashboard!B$8* Dashboard!$F$4+Dashboard!B$10*SQRT(Dashboard!$F$4) * _xlfn.NORM.S.INV(RAND())</f>
        <v>6.0318144881332369E-4</v>
      </c>
      <c r="T366" s="59">
        <f ca="1">Dashboard!C$8* Dashboard!$F$4+Dashboard!C$10*SQRT(Dashboard!$F$4) * _xlfn.NORM.S.INV(RAND())</f>
        <v>-7.4274376190189206E-3</v>
      </c>
      <c r="U366" s="59">
        <f ca="1">Dashboard!D$8* Dashboard!$F$4+Dashboard!D$10*SQRT(Dashboard!$F$4) * _xlfn.NORM.S.INV(RAND())</f>
        <v>-3.7523238334502669E-2</v>
      </c>
    </row>
    <row r="367" spans="18:21" x14ac:dyDescent="0.2">
      <c r="R367" s="49">
        <v>365</v>
      </c>
      <c r="S367" s="59">
        <f ca="1">Dashboard!B$8* Dashboard!$F$4+Dashboard!B$10*SQRT(Dashboard!$F$4) * _xlfn.NORM.S.INV(RAND())</f>
        <v>-2.4540234611088917E-2</v>
      </c>
      <c r="T367" s="59">
        <f ca="1">Dashboard!C$8* Dashboard!$F$4+Dashboard!C$10*SQRT(Dashboard!$F$4) * _xlfn.NORM.S.INV(RAND())</f>
        <v>-6.5469722836126967E-2</v>
      </c>
      <c r="U367" s="59">
        <f ca="1">Dashboard!D$8* Dashboard!$F$4+Dashboard!D$10*SQRT(Dashboard!$F$4) * _xlfn.NORM.S.INV(RAND())</f>
        <v>2.8798929934726755E-2</v>
      </c>
    </row>
    <row r="368" spans="18:21" x14ac:dyDescent="0.2">
      <c r="R368" s="49">
        <v>366</v>
      </c>
      <c r="S368" s="59">
        <f ca="1">Dashboard!B$8* Dashboard!$F$4+Dashboard!B$10*SQRT(Dashboard!$F$4) * _xlfn.NORM.S.INV(RAND())</f>
        <v>-2.2159250970423455E-2</v>
      </c>
      <c r="T368" s="59">
        <f ca="1">Dashboard!C$8* Dashboard!$F$4+Dashboard!C$10*SQRT(Dashboard!$F$4) * _xlfn.NORM.S.INV(RAND())</f>
        <v>-2.1094458099067848E-2</v>
      </c>
      <c r="U368" s="59">
        <f ca="1">Dashboard!D$8* Dashboard!$F$4+Dashboard!D$10*SQRT(Dashboard!$F$4) * _xlfn.NORM.S.INV(RAND())</f>
        <v>-2.3647336394490896E-2</v>
      </c>
    </row>
    <row r="369" spans="18:21" x14ac:dyDescent="0.2">
      <c r="R369" s="49">
        <v>367</v>
      </c>
      <c r="S369" s="59">
        <f ca="1">Dashboard!B$8* Dashboard!$F$4+Dashboard!B$10*SQRT(Dashboard!$F$4) * _xlfn.NORM.S.INV(RAND())</f>
        <v>3.3345251168809984E-3</v>
      </c>
      <c r="T369" s="59">
        <f ca="1">Dashboard!C$8* Dashboard!$F$4+Dashboard!C$10*SQRT(Dashboard!$F$4) * _xlfn.NORM.S.INV(RAND())</f>
        <v>-2.0143213724832968E-2</v>
      </c>
      <c r="U369" s="59">
        <f ca="1">Dashboard!D$8* Dashboard!$F$4+Dashboard!D$10*SQRT(Dashboard!$F$4) * _xlfn.NORM.S.INV(RAND())</f>
        <v>-4.5613169874983796E-2</v>
      </c>
    </row>
    <row r="370" spans="18:21" x14ac:dyDescent="0.2">
      <c r="R370" s="49">
        <v>368</v>
      </c>
      <c r="S370" s="59">
        <f ca="1">Dashboard!B$8* Dashboard!$F$4+Dashboard!B$10*SQRT(Dashboard!$F$4) * _xlfn.NORM.S.INV(RAND())</f>
        <v>-7.8539687475361691E-2</v>
      </c>
      <c r="T370" s="59">
        <f ca="1">Dashboard!C$8* Dashboard!$F$4+Dashboard!C$10*SQRT(Dashboard!$F$4) * _xlfn.NORM.S.INV(RAND())</f>
        <v>3.0738674481959796E-2</v>
      </c>
      <c r="U370" s="59">
        <f ca="1">Dashboard!D$8* Dashboard!$F$4+Dashboard!D$10*SQRT(Dashboard!$F$4) * _xlfn.NORM.S.INV(RAND())</f>
        <v>-4.629720255540897E-3</v>
      </c>
    </row>
    <row r="371" spans="18:21" x14ac:dyDescent="0.2">
      <c r="R371" s="49">
        <v>369</v>
      </c>
      <c r="S371" s="59">
        <f ca="1">Dashboard!B$8* Dashboard!$F$4+Dashboard!B$10*SQRT(Dashboard!$F$4) * _xlfn.NORM.S.INV(RAND())</f>
        <v>-5.2822018798060512E-2</v>
      </c>
      <c r="T371" s="59">
        <f ca="1">Dashboard!C$8* Dashboard!$F$4+Dashboard!C$10*SQRT(Dashboard!$F$4) * _xlfn.NORM.S.INV(RAND())</f>
        <v>3.2407427535897745E-2</v>
      </c>
      <c r="U371" s="59">
        <f ca="1">Dashboard!D$8* Dashboard!$F$4+Dashboard!D$10*SQRT(Dashboard!$F$4) * _xlfn.NORM.S.INV(RAND())</f>
        <v>1.2346760153253937E-2</v>
      </c>
    </row>
    <row r="372" spans="18:21" x14ac:dyDescent="0.2">
      <c r="R372" s="49">
        <v>370</v>
      </c>
      <c r="S372" s="59">
        <f ca="1">Dashboard!B$8* Dashboard!$F$4+Dashboard!B$10*SQRT(Dashboard!$F$4) * _xlfn.NORM.S.INV(RAND())</f>
        <v>-5.9939333122068887E-2</v>
      </c>
      <c r="T372" s="59">
        <f ca="1">Dashboard!C$8* Dashboard!$F$4+Dashboard!C$10*SQRT(Dashboard!$F$4) * _xlfn.NORM.S.INV(RAND())</f>
        <v>2.0969492022297042E-2</v>
      </c>
      <c r="U372" s="59">
        <f ca="1">Dashboard!D$8* Dashboard!$F$4+Dashboard!D$10*SQRT(Dashboard!$F$4) * _xlfn.NORM.S.INV(RAND())</f>
        <v>-1.3770513697699003E-2</v>
      </c>
    </row>
    <row r="373" spans="18:21" x14ac:dyDescent="0.2">
      <c r="R373" s="49">
        <v>371</v>
      </c>
      <c r="S373" s="59">
        <f ca="1">Dashboard!B$8* Dashboard!$F$4+Dashboard!B$10*SQRT(Dashboard!$F$4) * _xlfn.NORM.S.INV(RAND())</f>
        <v>-5.0979588142155495E-2</v>
      </c>
      <c r="T373" s="59">
        <f ca="1">Dashboard!C$8* Dashboard!$F$4+Dashboard!C$10*SQRT(Dashboard!$F$4) * _xlfn.NORM.S.INV(RAND())</f>
        <v>-1.148855755363172E-2</v>
      </c>
      <c r="U373" s="59">
        <f ca="1">Dashboard!D$8* Dashboard!$F$4+Dashboard!D$10*SQRT(Dashboard!$F$4) * _xlfn.NORM.S.INV(RAND())</f>
        <v>-3.1309798750875209E-2</v>
      </c>
    </row>
    <row r="374" spans="18:21" x14ac:dyDescent="0.2">
      <c r="R374" s="49">
        <v>372</v>
      </c>
      <c r="S374" s="59">
        <f ca="1">Dashboard!B$8* Dashboard!$F$4+Dashboard!B$10*SQRT(Dashboard!$F$4) * _xlfn.NORM.S.INV(RAND())</f>
        <v>-5.7715037588174853E-2</v>
      </c>
      <c r="T374" s="59">
        <f ca="1">Dashboard!C$8* Dashboard!$F$4+Dashboard!C$10*SQRT(Dashboard!$F$4) * _xlfn.NORM.S.INV(RAND())</f>
        <v>1.0736159148698118E-2</v>
      </c>
      <c r="U374" s="59">
        <f ca="1">Dashboard!D$8* Dashboard!$F$4+Dashboard!D$10*SQRT(Dashboard!$F$4) * _xlfn.NORM.S.INV(RAND())</f>
        <v>-1.9689639889648941E-3</v>
      </c>
    </row>
    <row r="375" spans="18:21" x14ac:dyDescent="0.2">
      <c r="R375" s="49">
        <v>373</v>
      </c>
      <c r="S375" s="59">
        <f ca="1">Dashboard!B$8* Dashboard!$F$4+Dashboard!B$10*SQRT(Dashboard!$F$4) * _xlfn.NORM.S.INV(RAND())</f>
        <v>1.9078183521107163E-2</v>
      </c>
      <c r="T375" s="59">
        <f ca="1">Dashboard!C$8* Dashboard!$F$4+Dashboard!C$10*SQRT(Dashboard!$F$4) * _xlfn.NORM.S.INV(RAND())</f>
        <v>1.4012494855128042E-3</v>
      </c>
      <c r="U375" s="59">
        <f ca="1">Dashboard!D$8* Dashboard!$F$4+Dashboard!D$10*SQRT(Dashboard!$F$4) * _xlfn.NORM.S.INV(RAND())</f>
        <v>4.371960971786484E-3</v>
      </c>
    </row>
    <row r="376" spans="18:21" x14ac:dyDescent="0.2">
      <c r="R376" s="49">
        <v>374</v>
      </c>
      <c r="S376" s="59">
        <f ca="1">Dashboard!B$8* Dashboard!$F$4+Dashboard!B$10*SQRT(Dashboard!$F$4) * _xlfn.NORM.S.INV(RAND())</f>
        <v>-2.9540397459989202E-2</v>
      </c>
      <c r="T376" s="59">
        <f ca="1">Dashboard!C$8* Dashboard!$F$4+Dashboard!C$10*SQRT(Dashboard!$F$4) * _xlfn.NORM.S.INV(RAND())</f>
        <v>-6.4592143992118309E-2</v>
      </c>
      <c r="U376" s="59">
        <f ca="1">Dashboard!D$8* Dashboard!$F$4+Dashboard!D$10*SQRT(Dashboard!$F$4) * _xlfn.NORM.S.INV(RAND())</f>
        <v>-1.4449514682718254E-2</v>
      </c>
    </row>
    <row r="377" spans="18:21" x14ac:dyDescent="0.2">
      <c r="R377" s="49">
        <v>375</v>
      </c>
      <c r="S377" s="59">
        <f ca="1">Dashboard!B$8* Dashboard!$F$4+Dashboard!B$10*SQRT(Dashboard!$F$4) * _xlfn.NORM.S.INV(RAND())</f>
        <v>-4.8607472719336114E-3</v>
      </c>
      <c r="T377" s="59">
        <f ca="1">Dashboard!C$8* Dashboard!$F$4+Dashboard!C$10*SQRT(Dashboard!$F$4) * _xlfn.NORM.S.INV(RAND())</f>
        <v>-3.313040073682031E-2</v>
      </c>
      <c r="U377" s="59">
        <f ca="1">Dashboard!D$8* Dashboard!$F$4+Dashboard!D$10*SQRT(Dashboard!$F$4) * _xlfn.NORM.S.INV(RAND())</f>
        <v>-3.428788083725777E-2</v>
      </c>
    </row>
    <row r="378" spans="18:21" x14ac:dyDescent="0.2">
      <c r="R378" s="49">
        <v>376</v>
      </c>
      <c r="S378" s="59">
        <f ca="1">Dashboard!B$8* Dashboard!$F$4+Dashboard!B$10*SQRT(Dashboard!$F$4) * _xlfn.NORM.S.INV(RAND())</f>
        <v>-3.8937462870214663E-2</v>
      </c>
      <c r="T378" s="59">
        <f ca="1">Dashboard!C$8* Dashboard!$F$4+Dashboard!C$10*SQRT(Dashboard!$F$4) * _xlfn.NORM.S.INV(RAND())</f>
        <v>-6.1828821493057151E-3</v>
      </c>
      <c r="U378" s="59">
        <f ca="1">Dashboard!D$8* Dashboard!$F$4+Dashboard!D$10*SQRT(Dashboard!$F$4) * _xlfn.NORM.S.INV(RAND())</f>
        <v>-7.3541773454852853E-3</v>
      </c>
    </row>
    <row r="379" spans="18:21" x14ac:dyDescent="0.2">
      <c r="R379" s="49">
        <v>377</v>
      </c>
      <c r="S379" s="59">
        <f ca="1">Dashboard!B$8* Dashboard!$F$4+Dashboard!B$10*SQRT(Dashboard!$F$4) * _xlfn.NORM.S.INV(RAND())</f>
        <v>-5.9754689755743568E-3</v>
      </c>
      <c r="T379" s="59">
        <f ca="1">Dashboard!C$8* Dashboard!$F$4+Dashboard!C$10*SQRT(Dashboard!$F$4) * _xlfn.NORM.S.INV(RAND())</f>
        <v>-2.8712876659724818E-2</v>
      </c>
      <c r="U379" s="59">
        <f ca="1">Dashboard!D$8* Dashboard!$F$4+Dashboard!D$10*SQRT(Dashboard!$F$4) * _xlfn.NORM.S.INV(RAND())</f>
        <v>-1.3158581610878066E-2</v>
      </c>
    </row>
    <row r="380" spans="18:21" x14ac:dyDescent="0.2">
      <c r="R380" s="49">
        <v>378</v>
      </c>
      <c r="S380" s="59">
        <f ca="1">Dashboard!B$8* Dashboard!$F$4+Dashboard!B$10*SQRT(Dashboard!$F$4) * _xlfn.NORM.S.INV(RAND())</f>
        <v>-1.5925886202776053E-2</v>
      </c>
      <c r="T380" s="59">
        <f ca="1">Dashboard!C$8* Dashboard!$F$4+Dashboard!C$10*SQRT(Dashboard!$F$4) * _xlfn.NORM.S.INV(RAND())</f>
        <v>-1.9545543663396035E-3</v>
      </c>
      <c r="U380" s="59">
        <f ca="1">Dashboard!D$8* Dashboard!$F$4+Dashboard!D$10*SQRT(Dashboard!$F$4) * _xlfn.NORM.S.INV(RAND())</f>
        <v>-2.5543611042869258E-2</v>
      </c>
    </row>
    <row r="381" spans="18:21" x14ac:dyDescent="0.2">
      <c r="R381" s="49">
        <v>379</v>
      </c>
      <c r="S381" s="59">
        <f ca="1">Dashboard!B$8* Dashboard!$F$4+Dashboard!B$10*SQRT(Dashboard!$F$4) * _xlfn.NORM.S.INV(RAND())</f>
        <v>2.2596861891015056E-2</v>
      </c>
      <c r="T381" s="59">
        <f ca="1">Dashboard!C$8* Dashboard!$F$4+Dashboard!C$10*SQRT(Dashboard!$F$4) * _xlfn.NORM.S.INV(RAND())</f>
        <v>1.416096612178629E-2</v>
      </c>
      <c r="U381" s="59">
        <f ca="1">Dashboard!D$8* Dashboard!$F$4+Dashboard!D$10*SQRT(Dashboard!$F$4) * _xlfn.NORM.S.INV(RAND())</f>
        <v>1.2863326768613861E-2</v>
      </c>
    </row>
    <row r="382" spans="18:21" x14ac:dyDescent="0.2">
      <c r="R382" s="49">
        <v>380</v>
      </c>
      <c r="S382" s="59">
        <f ca="1">Dashboard!B$8* Dashboard!$F$4+Dashboard!B$10*SQRT(Dashboard!$F$4) * _xlfn.NORM.S.INV(RAND())</f>
        <v>-5.2716551145231064E-4</v>
      </c>
      <c r="T382" s="59">
        <f ca="1">Dashboard!C$8* Dashboard!$F$4+Dashboard!C$10*SQRT(Dashboard!$F$4) * _xlfn.NORM.S.INV(RAND())</f>
        <v>-5.0081724037047866E-2</v>
      </c>
      <c r="U382" s="59">
        <f ca="1">Dashboard!D$8* Dashboard!$F$4+Dashboard!D$10*SQRT(Dashboard!$F$4) * _xlfn.NORM.S.INV(RAND())</f>
        <v>-1.7480754250207189E-2</v>
      </c>
    </row>
    <row r="383" spans="18:21" x14ac:dyDescent="0.2">
      <c r="R383" s="49">
        <v>381</v>
      </c>
      <c r="S383" s="59">
        <f ca="1">Dashboard!B$8* Dashboard!$F$4+Dashboard!B$10*SQRT(Dashboard!$F$4) * _xlfn.NORM.S.INV(RAND())</f>
        <v>-2.8108413752519316E-2</v>
      </c>
      <c r="T383" s="59">
        <f ca="1">Dashboard!C$8* Dashboard!$F$4+Dashboard!C$10*SQRT(Dashboard!$F$4) * _xlfn.NORM.S.INV(RAND())</f>
        <v>-4.5268968538892854E-2</v>
      </c>
      <c r="U383" s="59">
        <f ca="1">Dashboard!D$8* Dashboard!$F$4+Dashboard!D$10*SQRT(Dashboard!$F$4) * _xlfn.NORM.S.INV(RAND())</f>
        <v>-1.2863839895144745E-2</v>
      </c>
    </row>
    <row r="384" spans="18:21" x14ac:dyDescent="0.2">
      <c r="R384" s="49">
        <v>382</v>
      </c>
      <c r="S384" s="59">
        <f ca="1">Dashboard!B$8* Dashboard!$F$4+Dashboard!B$10*SQRT(Dashboard!$F$4) * _xlfn.NORM.S.INV(RAND())</f>
        <v>-1.0820547413167916E-2</v>
      </c>
      <c r="T384" s="59">
        <f ca="1">Dashboard!C$8* Dashboard!$F$4+Dashboard!C$10*SQRT(Dashboard!$F$4) * _xlfn.NORM.S.INV(RAND())</f>
        <v>6.7158760578729479E-2</v>
      </c>
      <c r="U384" s="59">
        <f ca="1">Dashboard!D$8* Dashboard!$F$4+Dashboard!D$10*SQRT(Dashboard!$F$4) * _xlfn.NORM.S.INV(RAND())</f>
        <v>5.4013432501295616E-2</v>
      </c>
    </row>
    <row r="385" spans="18:21" x14ac:dyDescent="0.2">
      <c r="R385" s="49">
        <v>383</v>
      </c>
      <c r="S385" s="59">
        <f ca="1">Dashboard!B$8* Dashboard!$F$4+Dashboard!B$10*SQRT(Dashboard!$F$4) * _xlfn.NORM.S.INV(RAND())</f>
        <v>1.1210695793779002E-2</v>
      </c>
      <c r="T385" s="59">
        <f ca="1">Dashboard!C$8* Dashboard!$F$4+Dashboard!C$10*SQRT(Dashboard!$F$4) * _xlfn.NORM.S.INV(RAND())</f>
        <v>4.5539418261594002E-2</v>
      </c>
      <c r="U385" s="59">
        <f ca="1">Dashboard!D$8* Dashboard!$F$4+Dashboard!D$10*SQRT(Dashboard!$F$4) * _xlfn.NORM.S.INV(RAND())</f>
        <v>-1.0353682391128268E-2</v>
      </c>
    </row>
    <row r="386" spans="18:21" x14ac:dyDescent="0.2">
      <c r="R386" s="49">
        <v>384</v>
      </c>
      <c r="S386" s="59">
        <f ca="1">Dashboard!B$8* Dashboard!$F$4+Dashboard!B$10*SQRT(Dashboard!$F$4) * _xlfn.NORM.S.INV(RAND())</f>
        <v>-4.2811298485416302E-2</v>
      </c>
      <c r="T386" s="59">
        <f ca="1">Dashboard!C$8* Dashboard!$F$4+Dashboard!C$10*SQRT(Dashboard!$F$4) * _xlfn.NORM.S.INV(RAND())</f>
        <v>-2.0546263818217109E-3</v>
      </c>
      <c r="U386" s="59">
        <f ca="1">Dashboard!D$8* Dashboard!$F$4+Dashboard!D$10*SQRT(Dashboard!$F$4) * _xlfn.NORM.S.INV(RAND())</f>
        <v>2.7081567959823263E-2</v>
      </c>
    </row>
    <row r="387" spans="18:21" x14ac:dyDescent="0.2">
      <c r="R387" s="49">
        <v>385</v>
      </c>
      <c r="S387" s="59">
        <f ca="1">Dashboard!B$8* Dashboard!$F$4+Dashboard!B$10*SQRT(Dashboard!$F$4) * _xlfn.NORM.S.INV(RAND())</f>
        <v>1.0446206015798371E-2</v>
      </c>
      <c r="T387" s="59">
        <f ca="1">Dashboard!C$8* Dashboard!$F$4+Dashboard!C$10*SQRT(Dashboard!$F$4) * _xlfn.NORM.S.INV(RAND())</f>
        <v>7.9966001107052376E-2</v>
      </c>
      <c r="U387" s="59">
        <f ca="1">Dashboard!D$8* Dashboard!$F$4+Dashboard!D$10*SQRT(Dashboard!$F$4) * _xlfn.NORM.S.INV(RAND())</f>
        <v>-6.7066954308610824E-3</v>
      </c>
    </row>
    <row r="388" spans="18:21" x14ac:dyDescent="0.2">
      <c r="R388" s="49">
        <v>386</v>
      </c>
      <c r="S388" s="59">
        <f ca="1">Dashboard!B$8* Dashboard!$F$4+Dashboard!B$10*SQRT(Dashboard!$F$4) * _xlfn.NORM.S.INV(RAND())</f>
        <v>-1.9997286973589178E-2</v>
      </c>
      <c r="T388" s="59">
        <f ca="1">Dashboard!C$8* Dashboard!$F$4+Dashboard!C$10*SQRT(Dashboard!$F$4) * _xlfn.NORM.S.INV(RAND())</f>
        <v>3.4128139264697474E-2</v>
      </c>
      <c r="U388" s="59">
        <f ca="1">Dashboard!D$8* Dashboard!$F$4+Dashboard!D$10*SQRT(Dashboard!$F$4) * _xlfn.NORM.S.INV(RAND())</f>
        <v>8.1812914681387312E-3</v>
      </c>
    </row>
    <row r="389" spans="18:21" x14ac:dyDescent="0.2">
      <c r="R389" s="49">
        <v>387</v>
      </c>
      <c r="S389" s="59">
        <f ca="1">Dashboard!B$8* Dashboard!$F$4+Dashboard!B$10*SQRT(Dashboard!$F$4) * _xlfn.NORM.S.INV(RAND())</f>
        <v>2.0668611990477724E-2</v>
      </c>
      <c r="T389" s="59">
        <f ca="1">Dashboard!C$8* Dashboard!$F$4+Dashboard!C$10*SQRT(Dashboard!$F$4) * _xlfn.NORM.S.INV(RAND())</f>
        <v>-1.2957895928505374E-2</v>
      </c>
      <c r="U389" s="59">
        <f ca="1">Dashboard!D$8* Dashboard!$F$4+Dashboard!D$10*SQRT(Dashboard!$F$4) * _xlfn.NORM.S.INV(RAND())</f>
        <v>6.6203914623642387E-3</v>
      </c>
    </row>
    <row r="390" spans="18:21" x14ac:dyDescent="0.2">
      <c r="R390" s="49">
        <v>388</v>
      </c>
      <c r="S390" s="59">
        <f ca="1">Dashboard!B$8* Dashboard!$F$4+Dashboard!B$10*SQRT(Dashboard!$F$4) * _xlfn.NORM.S.INV(RAND())</f>
        <v>-2.8721760866726176E-2</v>
      </c>
      <c r="T390" s="59">
        <f ca="1">Dashboard!C$8* Dashboard!$F$4+Dashboard!C$10*SQRT(Dashboard!$F$4) * _xlfn.NORM.S.INV(RAND())</f>
        <v>-4.9757681025107926E-3</v>
      </c>
      <c r="U390" s="59">
        <f ca="1">Dashboard!D$8* Dashboard!$F$4+Dashboard!D$10*SQRT(Dashboard!$F$4) * _xlfn.NORM.S.INV(RAND())</f>
        <v>5.1306480956512704E-2</v>
      </c>
    </row>
    <row r="391" spans="18:21" x14ac:dyDescent="0.2">
      <c r="R391" s="49">
        <v>389</v>
      </c>
      <c r="S391" s="59">
        <f ca="1">Dashboard!B$8* Dashboard!$F$4+Dashboard!B$10*SQRT(Dashboard!$F$4) * _xlfn.NORM.S.INV(RAND())</f>
        <v>-9.0846258579189744E-3</v>
      </c>
      <c r="T391" s="59">
        <f ca="1">Dashboard!C$8* Dashboard!$F$4+Dashboard!C$10*SQRT(Dashboard!$F$4) * _xlfn.NORM.S.INV(RAND())</f>
        <v>-1.0964158781694967E-2</v>
      </c>
      <c r="U391" s="59">
        <f ca="1">Dashboard!D$8* Dashboard!$F$4+Dashboard!D$10*SQRT(Dashboard!$F$4) * _xlfn.NORM.S.INV(RAND())</f>
        <v>1.2377830930552359E-2</v>
      </c>
    </row>
    <row r="392" spans="18:21" x14ac:dyDescent="0.2">
      <c r="R392" s="49">
        <v>390</v>
      </c>
      <c r="S392" s="59">
        <f ca="1">Dashboard!B$8* Dashboard!$F$4+Dashboard!B$10*SQRT(Dashboard!$F$4) * _xlfn.NORM.S.INV(RAND())</f>
        <v>-9.1715761852852309E-2</v>
      </c>
      <c r="T392" s="59">
        <f ca="1">Dashboard!C$8* Dashboard!$F$4+Dashboard!C$10*SQRT(Dashboard!$F$4) * _xlfn.NORM.S.INV(RAND())</f>
        <v>3.0772565117268214E-2</v>
      </c>
      <c r="U392" s="59">
        <f ca="1">Dashboard!D$8* Dashboard!$F$4+Dashboard!D$10*SQRT(Dashboard!$F$4) * _xlfn.NORM.S.INV(RAND())</f>
        <v>1.2472759107189164E-2</v>
      </c>
    </row>
    <row r="393" spans="18:21" x14ac:dyDescent="0.2">
      <c r="R393" s="49">
        <v>391</v>
      </c>
      <c r="S393" s="59">
        <f ca="1">Dashboard!B$8* Dashboard!$F$4+Dashboard!B$10*SQRT(Dashboard!$F$4) * _xlfn.NORM.S.INV(RAND())</f>
        <v>1.4208458414622859E-2</v>
      </c>
      <c r="T393" s="59">
        <f ca="1">Dashboard!C$8* Dashboard!$F$4+Dashboard!C$10*SQRT(Dashboard!$F$4) * _xlfn.NORM.S.INV(RAND())</f>
        <v>4.6859524514694523E-2</v>
      </c>
      <c r="U393" s="59">
        <f ca="1">Dashboard!D$8* Dashboard!$F$4+Dashboard!D$10*SQRT(Dashboard!$F$4) * _xlfn.NORM.S.INV(RAND())</f>
        <v>-1.9777108598786022E-2</v>
      </c>
    </row>
    <row r="394" spans="18:21" x14ac:dyDescent="0.2">
      <c r="R394" s="49">
        <v>392</v>
      </c>
      <c r="S394" s="59">
        <f ca="1">Dashboard!B$8* Dashboard!$F$4+Dashboard!B$10*SQRT(Dashboard!$F$4) * _xlfn.NORM.S.INV(RAND())</f>
        <v>-4.2736216293039413E-2</v>
      </c>
      <c r="T394" s="59">
        <f ca="1">Dashboard!C$8* Dashboard!$F$4+Dashboard!C$10*SQRT(Dashboard!$F$4) * _xlfn.NORM.S.INV(RAND())</f>
        <v>6.6469967159992718E-2</v>
      </c>
      <c r="U394" s="59">
        <f ca="1">Dashboard!D$8* Dashboard!$F$4+Dashboard!D$10*SQRT(Dashboard!$F$4) * _xlfn.NORM.S.INV(RAND())</f>
        <v>-2.2444634154650988E-2</v>
      </c>
    </row>
    <row r="395" spans="18:21" x14ac:dyDescent="0.2">
      <c r="R395" s="49">
        <v>393</v>
      </c>
      <c r="S395" s="59">
        <f ca="1">Dashboard!B$8* Dashboard!$F$4+Dashboard!B$10*SQRT(Dashboard!$F$4) * _xlfn.NORM.S.INV(RAND())</f>
        <v>4.8516776052248772E-2</v>
      </c>
      <c r="T395" s="59">
        <f ca="1">Dashboard!C$8* Dashboard!$F$4+Dashboard!C$10*SQRT(Dashboard!$F$4) * _xlfn.NORM.S.INV(RAND())</f>
        <v>-1.8656144574218592E-2</v>
      </c>
      <c r="U395" s="59">
        <f ca="1">Dashboard!D$8* Dashboard!$F$4+Dashboard!D$10*SQRT(Dashboard!$F$4) * _xlfn.NORM.S.INV(RAND())</f>
        <v>1.4847750363748427E-2</v>
      </c>
    </row>
    <row r="396" spans="18:21" x14ac:dyDescent="0.2">
      <c r="R396" s="49">
        <v>394</v>
      </c>
      <c r="S396" s="59">
        <f ca="1">Dashboard!B$8* Dashboard!$F$4+Dashboard!B$10*SQRT(Dashboard!$F$4) * _xlfn.NORM.S.INV(RAND())</f>
        <v>-6.0670894658152404E-2</v>
      </c>
      <c r="T396" s="59">
        <f ca="1">Dashboard!C$8* Dashboard!$F$4+Dashboard!C$10*SQRT(Dashboard!$F$4) * _xlfn.NORM.S.INV(RAND())</f>
        <v>4.5859993665449544E-2</v>
      </c>
      <c r="U396" s="59">
        <f ca="1">Dashboard!D$8* Dashboard!$F$4+Dashboard!D$10*SQRT(Dashboard!$F$4) * _xlfn.NORM.S.INV(RAND())</f>
        <v>-3.8764504598256214E-2</v>
      </c>
    </row>
    <row r="397" spans="18:21" x14ac:dyDescent="0.2">
      <c r="R397" s="49">
        <v>395</v>
      </c>
      <c r="S397" s="59">
        <f ca="1">Dashboard!B$8* Dashboard!$F$4+Dashboard!B$10*SQRT(Dashboard!$F$4) * _xlfn.NORM.S.INV(RAND())</f>
        <v>-5.7697785652256674E-2</v>
      </c>
      <c r="T397" s="59">
        <f ca="1">Dashboard!C$8* Dashboard!$F$4+Dashboard!C$10*SQRT(Dashboard!$F$4) * _xlfn.NORM.S.INV(RAND())</f>
        <v>1.2681509748904276E-2</v>
      </c>
      <c r="U397" s="59">
        <f ca="1">Dashboard!D$8* Dashboard!$F$4+Dashboard!D$10*SQRT(Dashboard!$F$4) * _xlfn.NORM.S.INV(RAND())</f>
        <v>-3.4894511619835478E-2</v>
      </c>
    </row>
    <row r="398" spans="18:21" x14ac:dyDescent="0.2">
      <c r="R398" s="49">
        <v>396</v>
      </c>
      <c r="S398" s="59">
        <f ca="1">Dashboard!B$8* Dashboard!$F$4+Dashboard!B$10*SQRT(Dashboard!$F$4) * _xlfn.NORM.S.INV(RAND())</f>
        <v>9.0057872197407147E-3</v>
      </c>
      <c r="T398" s="59">
        <f ca="1">Dashboard!C$8* Dashboard!$F$4+Dashboard!C$10*SQRT(Dashboard!$F$4) * _xlfn.NORM.S.INV(RAND())</f>
        <v>-1.7608259861141458E-2</v>
      </c>
      <c r="U398" s="59">
        <f ca="1">Dashboard!D$8* Dashboard!$F$4+Dashboard!D$10*SQRT(Dashboard!$F$4) * _xlfn.NORM.S.INV(RAND())</f>
        <v>-2.325769606363759E-2</v>
      </c>
    </row>
    <row r="399" spans="18:21" x14ac:dyDescent="0.2">
      <c r="R399" s="49">
        <v>397</v>
      </c>
      <c r="S399" s="59">
        <f ca="1">Dashboard!B$8* Dashboard!$F$4+Dashboard!B$10*SQRT(Dashboard!$F$4) * _xlfn.NORM.S.INV(RAND())</f>
        <v>-7.6041531309954669E-4</v>
      </c>
      <c r="T399" s="59">
        <f ca="1">Dashboard!C$8* Dashboard!$F$4+Dashboard!C$10*SQRT(Dashboard!$F$4) * _xlfn.NORM.S.INV(RAND())</f>
        <v>-1.2883171226655828E-2</v>
      </c>
      <c r="U399" s="59">
        <f ca="1">Dashboard!D$8* Dashboard!$F$4+Dashboard!D$10*SQRT(Dashboard!$F$4) * _xlfn.NORM.S.INV(RAND())</f>
        <v>-1.3068882024002184E-2</v>
      </c>
    </row>
    <row r="400" spans="18:21" x14ac:dyDescent="0.2">
      <c r="R400" s="49">
        <v>398</v>
      </c>
      <c r="S400" s="59">
        <f ca="1">Dashboard!B$8* Dashboard!$F$4+Dashboard!B$10*SQRT(Dashboard!$F$4) * _xlfn.NORM.S.INV(RAND())</f>
        <v>-3.7947356698679727E-2</v>
      </c>
      <c r="T400" s="59">
        <f ca="1">Dashboard!C$8* Dashboard!$F$4+Dashboard!C$10*SQRT(Dashboard!$F$4) * _xlfn.NORM.S.INV(RAND())</f>
        <v>9.4755148330847704E-4</v>
      </c>
      <c r="U400" s="59">
        <f ca="1">Dashboard!D$8* Dashboard!$F$4+Dashboard!D$10*SQRT(Dashboard!$F$4) * _xlfn.NORM.S.INV(RAND())</f>
        <v>-1.2776425431307388E-2</v>
      </c>
    </row>
    <row r="401" spans="18:21" x14ac:dyDescent="0.2">
      <c r="R401" s="49">
        <v>399</v>
      </c>
      <c r="S401" s="59">
        <f ca="1">Dashboard!B$8* Dashboard!$F$4+Dashboard!B$10*SQRT(Dashboard!$F$4) * _xlfn.NORM.S.INV(RAND())</f>
        <v>-2.5891264239310614E-3</v>
      </c>
      <c r="T401" s="59">
        <f ca="1">Dashboard!C$8* Dashboard!$F$4+Dashboard!C$10*SQRT(Dashboard!$F$4) * _xlfn.NORM.S.INV(RAND())</f>
        <v>3.2869334527905081E-2</v>
      </c>
      <c r="U401" s="59">
        <f ca="1">Dashboard!D$8* Dashboard!$F$4+Dashboard!D$10*SQRT(Dashboard!$F$4) * _xlfn.NORM.S.INV(RAND())</f>
        <v>-8.6191825723096818E-2</v>
      </c>
    </row>
    <row r="402" spans="18:21" x14ac:dyDescent="0.2">
      <c r="R402" s="49">
        <v>400</v>
      </c>
      <c r="S402" s="59">
        <f ca="1">Dashboard!B$8* Dashboard!$F$4+Dashboard!B$10*SQRT(Dashboard!$F$4) * _xlfn.NORM.S.INV(RAND())</f>
        <v>4.6264107536247767E-2</v>
      </c>
      <c r="T402" s="59">
        <f ca="1">Dashboard!C$8* Dashboard!$F$4+Dashboard!C$10*SQRT(Dashboard!$F$4) * _xlfn.NORM.S.INV(RAND())</f>
        <v>7.5859678824486285E-2</v>
      </c>
      <c r="U402" s="59">
        <f ca="1">Dashboard!D$8* Dashboard!$F$4+Dashboard!D$10*SQRT(Dashboard!$F$4) * _xlfn.NORM.S.INV(RAND())</f>
        <v>1.7034082447897465E-2</v>
      </c>
    </row>
    <row r="403" spans="18:21" x14ac:dyDescent="0.2">
      <c r="R403" s="49">
        <v>401</v>
      </c>
      <c r="S403" s="59">
        <f ca="1">Dashboard!B$8* Dashboard!$F$4+Dashboard!B$10*SQRT(Dashboard!$F$4) * _xlfn.NORM.S.INV(RAND())</f>
        <v>3.3690048524672341E-2</v>
      </c>
      <c r="T403" s="59">
        <f ca="1">Dashboard!C$8* Dashboard!$F$4+Dashboard!C$10*SQRT(Dashboard!$F$4) * _xlfn.NORM.S.INV(RAND())</f>
        <v>3.0124000152149451E-2</v>
      </c>
      <c r="U403" s="59">
        <f ca="1">Dashboard!D$8* Dashboard!$F$4+Dashboard!D$10*SQRT(Dashboard!$F$4) * _xlfn.NORM.S.INV(RAND())</f>
        <v>3.1708877604753813E-2</v>
      </c>
    </row>
    <row r="404" spans="18:21" x14ac:dyDescent="0.2">
      <c r="R404" s="49">
        <v>402</v>
      </c>
      <c r="S404" s="59">
        <f ca="1">Dashboard!B$8* Dashboard!$F$4+Dashboard!B$10*SQRT(Dashboard!$F$4) * _xlfn.NORM.S.INV(RAND())</f>
        <v>-3.2766109906983067E-2</v>
      </c>
      <c r="T404" s="59">
        <f ca="1">Dashboard!C$8* Dashboard!$F$4+Dashboard!C$10*SQRT(Dashboard!$F$4) * _xlfn.NORM.S.INV(RAND())</f>
        <v>4.0958874266607069E-2</v>
      </c>
      <c r="U404" s="59">
        <f ca="1">Dashboard!D$8* Dashboard!$F$4+Dashboard!D$10*SQRT(Dashboard!$F$4) * _xlfn.NORM.S.INV(RAND())</f>
        <v>1.7386355360808188E-2</v>
      </c>
    </row>
    <row r="405" spans="18:21" x14ac:dyDescent="0.2">
      <c r="R405" s="49">
        <v>403</v>
      </c>
      <c r="S405" s="59">
        <f ca="1">Dashboard!B$8* Dashboard!$F$4+Dashboard!B$10*SQRT(Dashboard!$F$4) * _xlfn.NORM.S.INV(RAND())</f>
        <v>6.0880743654987121E-2</v>
      </c>
      <c r="T405" s="59">
        <f ca="1">Dashboard!C$8* Dashboard!$F$4+Dashboard!C$10*SQRT(Dashboard!$F$4) * _xlfn.NORM.S.INV(RAND())</f>
        <v>1.4399740873588779E-2</v>
      </c>
      <c r="U405" s="59">
        <f ca="1">Dashboard!D$8* Dashboard!$F$4+Dashboard!D$10*SQRT(Dashboard!$F$4) * _xlfn.NORM.S.INV(RAND())</f>
        <v>4.9369163898450134E-2</v>
      </c>
    </row>
    <row r="406" spans="18:21" x14ac:dyDescent="0.2">
      <c r="R406" s="49">
        <v>404</v>
      </c>
      <c r="S406" s="59">
        <f ca="1">Dashboard!B$8* Dashboard!$F$4+Dashboard!B$10*SQRT(Dashboard!$F$4) * _xlfn.NORM.S.INV(RAND())</f>
        <v>-5.8690422423024663E-2</v>
      </c>
      <c r="T406" s="59">
        <f ca="1">Dashboard!C$8* Dashboard!$F$4+Dashboard!C$10*SQRT(Dashboard!$F$4) * _xlfn.NORM.S.INV(RAND())</f>
        <v>2.878400399374897E-3</v>
      </c>
      <c r="U406" s="59">
        <f ca="1">Dashboard!D$8* Dashboard!$F$4+Dashboard!D$10*SQRT(Dashboard!$F$4) * _xlfn.NORM.S.INV(RAND())</f>
        <v>-3.2127004867596329E-2</v>
      </c>
    </row>
    <row r="407" spans="18:21" x14ac:dyDescent="0.2">
      <c r="R407" s="49">
        <v>405</v>
      </c>
      <c r="S407" s="59">
        <f ca="1">Dashboard!B$8* Dashboard!$F$4+Dashboard!B$10*SQRT(Dashboard!$F$4) * _xlfn.NORM.S.INV(RAND())</f>
        <v>-2.0267428713092464E-2</v>
      </c>
      <c r="T407" s="59">
        <f ca="1">Dashboard!C$8* Dashboard!$F$4+Dashboard!C$10*SQRT(Dashboard!$F$4) * _xlfn.NORM.S.INV(RAND())</f>
        <v>-2.0689856865875888E-2</v>
      </c>
      <c r="U407" s="59">
        <f ca="1">Dashboard!D$8* Dashboard!$F$4+Dashboard!D$10*SQRT(Dashboard!$F$4) * _xlfn.NORM.S.INV(RAND())</f>
        <v>8.4159879452495052E-3</v>
      </c>
    </row>
    <row r="408" spans="18:21" x14ac:dyDescent="0.2">
      <c r="R408" s="49">
        <v>406</v>
      </c>
      <c r="S408" s="59">
        <f ca="1">Dashboard!B$8* Dashboard!$F$4+Dashboard!B$10*SQRT(Dashboard!$F$4) * _xlfn.NORM.S.INV(RAND())</f>
        <v>-2.1619324067829924E-2</v>
      </c>
      <c r="T408" s="59">
        <f ca="1">Dashboard!C$8* Dashboard!$F$4+Dashboard!C$10*SQRT(Dashboard!$F$4) * _xlfn.NORM.S.INV(RAND())</f>
        <v>3.8918111667411511E-3</v>
      </c>
      <c r="U408" s="59">
        <f ca="1">Dashboard!D$8* Dashboard!$F$4+Dashboard!D$10*SQRT(Dashboard!$F$4) * _xlfn.NORM.S.INV(RAND())</f>
        <v>-2.2026032451054101E-2</v>
      </c>
    </row>
    <row r="409" spans="18:21" x14ac:dyDescent="0.2">
      <c r="R409" s="49">
        <v>407</v>
      </c>
      <c r="S409" s="59">
        <f ca="1">Dashboard!B$8* Dashboard!$F$4+Dashboard!B$10*SQRT(Dashboard!$F$4) * _xlfn.NORM.S.INV(RAND())</f>
        <v>2.1966150524799785E-3</v>
      </c>
      <c r="T409" s="59">
        <f ca="1">Dashboard!C$8* Dashboard!$F$4+Dashboard!C$10*SQRT(Dashboard!$F$4) * _xlfn.NORM.S.INV(RAND())</f>
        <v>3.110804210817341E-3</v>
      </c>
      <c r="U409" s="59">
        <f ca="1">Dashboard!D$8* Dashboard!$F$4+Dashboard!D$10*SQRT(Dashboard!$F$4) * _xlfn.NORM.S.INV(RAND())</f>
        <v>1.5004535644919782E-3</v>
      </c>
    </row>
    <row r="410" spans="18:21" x14ac:dyDescent="0.2">
      <c r="R410" s="49">
        <v>408</v>
      </c>
      <c r="S410" s="59">
        <f ca="1">Dashboard!B$8* Dashboard!$F$4+Dashboard!B$10*SQRT(Dashboard!$F$4) * _xlfn.NORM.S.INV(RAND())</f>
        <v>-5.2044804167009399E-2</v>
      </c>
      <c r="T410" s="59">
        <f ca="1">Dashboard!C$8* Dashboard!$F$4+Dashboard!C$10*SQRT(Dashboard!$F$4) * _xlfn.NORM.S.INV(RAND())</f>
        <v>-3.4290391227989693E-2</v>
      </c>
      <c r="U410" s="59">
        <f ca="1">Dashboard!D$8* Dashboard!$F$4+Dashboard!D$10*SQRT(Dashboard!$F$4) * _xlfn.NORM.S.INV(RAND())</f>
        <v>2.7969570034892567E-2</v>
      </c>
    </row>
    <row r="411" spans="18:21" x14ac:dyDescent="0.2">
      <c r="R411" s="49">
        <v>409</v>
      </c>
      <c r="S411" s="59">
        <f ca="1">Dashboard!B$8* Dashboard!$F$4+Dashboard!B$10*SQRT(Dashboard!$F$4) * _xlfn.NORM.S.INV(RAND())</f>
        <v>-1.6559944320566837E-2</v>
      </c>
      <c r="T411" s="59">
        <f ca="1">Dashboard!C$8* Dashboard!$F$4+Dashboard!C$10*SQRT(Dashboard!$F$4) * _xlfn.NORM.S.INV(RAND())</f>
        <v>-4.625049104246123E-4</v>
      </c>
      <c r="U411" s="59">
        <f ca="1">Dashboard!D$8* Dashboard!$F$4+Dashboard!D$10*SQRT(Dashboard!$F$4) * _xlfn.NORM.S.INV(RAND())</f>
        <v>-5.426601793861275E-2</v>
      </c>
    </row>
    <row r="412" spans="18:21" x14ac:dyDescent="0.2">
      <c r="R412" s="49">
        <v>410</v>
      </c>
      <c r="S412" s="59">
        <f ca="1">Dashboard!B$8* Dashboard!$F$4+Dashboard!B$10*SQRT(Dashboard!$F$4) * _xlfn.NORM.S.INV(RAND())</f>
        <v>2.8468387511220598E-2</v>
      </c>
      <c r="T412" s="59">
        <f ca="1">Dashboard!C$8* Dashboard!$F$4+Dashboard!C$10*SQRT(Dashboard!$F$4) * _xlfn.NORM.S.INV(RAND())</f>
        <v>3.5845122289919441E-3</v>
      </c>
      <c r="U412" s="59">
        <f ca="1">Dashboard!D$8* Dashboard!$F$4+Dashboard!D$10*SQRT(Dashboard!$F$4) * _xlfn.NORM.S.INV(RAND())</f>
        <v>3.2520626390484669E-2</v>
      </c>
    </row>
    <row r="413" spans="18:21" x14ac:dyDescent="0.2">
      <c r="R413" s="49">
        <v>411</v>
      </c>
      <c r="S413" s="59">
        <f ca="1">Dashboard!B$8* Dashboard!$F$4+Dashboard!B$10*SQRT(Dashboard!$F$4) * _xlfn.NORM.S.INV(RAND())</f>
        <v>-8.3259590263752722E-2</v>
      </c>
      <c r="T413" s="59">
        <f ca="1">Dashboard!C$8* Dashboard!$F$4+Dashboard!C$10*SQRT(Dashboard!$F$4) * _xlfn.NORM.S.INV(RAND())</f>
        <v>4.4057043373201569E-3</v>
      </c>
      <c r="U413" s="59">
        <f ca="1">Dashboard!D$8* Dashboard!$F$4+Dashboard!D$10*SQRT(Dashboard!$F$4) * _xlfn.NORM.S.INV(RAND())</f>
        <v>9.7619484140424491E-3</v>
      </c>
    </row>
    <row r="414" spans="18:21" x14ac:dyDescent="0.2">
      <c r="R414" s="49">
        <v>412</v>
      </c>
      <c r="S414" s="59">
        <f ca="1">Dashboard!B$8* Dashboard!$F$4+Dashboard!B$10*SQRT(Dashboard!$F$4) * _xlfn.NORM.S.INV(RAND())</f>
        <v>2.1522062581132498E-2</v>
      </c>
      <c r="T414" s="59">
        <f ca="1">Dashboard!C$8* Dashboard!$F$4+Dashboard!C$10*SQRT(Dashboard!$F$4) * _xlfn.NORM.S.INV(RAND())</f>
        <v>2.6531946801444561E-2</v>
      </c>
      <c r="U414" s="59">
        <f ca="1">Dashboard!D$8* Dashboard!$F$4+Dashboard!D$10*SQRT(Dashboard!$F$4) * _xlfn.NORM.S.INV(RAND())</f>
        <v>5.5990088843680856E-3</v>
      </c>
    </row>
    <row r="415" spans="18:21" x14ac:dyDescent="0.2">
      <c r="R415" s="49">
        <v>413</v>
      </c>
      <c r="S415" s="59">
        <f ca="1">Dashboard!B$8* Dashboard!$F$4+Dashboard!B$10*SQRT(Dashboard!$F$4) * _xlfn.NORM.S.INV(RAND())</f>
        <v>1.6623493771656228E-2</v>
      </c>
      <c r="T415" s="59">
        <f ca="1">Dashboard!C$8* Dashboard!$F$4+Dashboard!C$10*SQRT(Dashboard!$F$4) * _xlfn.NORM.S.INV(RAND())</f>
        <v>8.176241424154039E-3</v>
      </c>
      <c r="U415" s="59">
        <f ca="1">Dashboard!D$8* Dashboard!$F$4+Dashboard!D$10*SQRT(Dashboard!$F$4) * _xlfn.NORM.S.INV(RAND())</f>
        <v>1.7487336467746074E-2</v>
      </c>
    </row>
    <row r="416" spans="18:21" x14ac:dyDescent="0.2">
      <c r="R416" s="49">
        <v>414</v>
      </c>
      <c r="S416" s="59">
        <f ca="1">Dashboard!B$8* Dashboard!$F$4+Dashboard!B$10*SQRT(Dashboard!$F$4) * _xlfn.NORM.S.INV(RAND())</f>
        <v>5.7159113959498749E-2</v>
      </c>
      <c r="T416" s="59">
        <f ca="1">Dashboard!C$8* Dashboard!$F$4+Dashboard!C$10*SQRT(Dashboard!$F$4) * _xlfn.NORM.S.INV(RAND())</f>
        <v>-1.0956709946954944E-2</v>
      </c>
      <c r="U416" s="59">
        <f ca="1">Dashboard!D$8* Dashboard!$F$4+Dashboard!D$10*SQRT(Dashboard!$F$4) * _xlfn.NORM.S.INV(RAND())</f>
        <v>1.1450959467606867E-2</v>
      </c>
    </row>
    <row r="417" spans="18:21" x14ac:dyDescent="0.2">
      <c r="R417" s="49">
        <v>415</v>
      </c>
      <c r="S417" s="59">
        <f ca="1">Dashboard!B$8* Dashboard!$F$4+Dashboard!B$10*SQRT(Dashboard!$F$4) * _xlfn.NORM.S.INV(RAND())</f>
        <v>-2.8475675261018095E-2</v>
      </c>
      <c r="T417" s="59">
        <f ca="1">Dashboard!C$8* Dashboard!$F$4+Dashboard!C$10*SQRT(Dashboard!$F$4) * _xlfn.NORM.S.INV(RAND())</f>
        <v>5.89586696195614E-2</v>
      </c>
      <c r="U417" s="59">
        <f ca="1">Dashboard!D$8* Dashboard!$F$4+Dashboard!D$10*SQRT(Dashboard!$F$4) * _xlfn.NORM.S.INV(RAND())</f>
        <v>-1.5898046131301968E-2</v>
      </c>
    </row>
    <row r="418" spans="18:21" x14ac:dyDescent="0.2">
      <c r="R418" s="49">
        <v>416</v>
      </c>
      <c r="S418" s="59">
        <f ca="1">Dashboard!B$8* Dashboard!$F$4+Dashboard!B$10*SQRT(Dashboard!$F$4) * _xlfn.NORM.S.INV(RAND())</f>
        <v>-3.3790266900490182E-2</v>
      </c>
      <c r="T418" s="59">
        <f ca="1">Dashboard!C$8* Dashboard!$F$4+Dashboard!C$10*SQRT(Dashboard!$F$4) * _xlfn.NORM.S.INV(RAND())</f>
        <v>-4.0822355356315065E-2</v>
      </c>
      <c r="U418" s="59">
        <f ca="1">Dashboard!D$8* Dashboard!$F$4+Dashboard!D$10*SQRT(Dashboard!$F$4) * _xlfn.NORM.S.INV(RAND())</f>
        <v>-4.1018285843769315E-4</v>
      </c>
    </row>
    <row r="419" spans="18:21" x14ac:dyDescent="0.2">
      <c r="R419" s="49">
        <v>417</v>
      </c>
      <c r="S419" s="59">
        <f ca="1">Dashboard!B$8* Dashboard!$F$4+Dashboard!B$10*SQRT(Dashboard!$F$4) * _xlfn.NORM.S.INV(RAND())</f>
        <v>-1.8224999928160263E-2</v>
      </c>
      <c r="T419" s="59">
        <f ca="1">Dashboard!C$8* Dashboard!$F$4+Dashboard!C$10*SQRT(Dashboard!$F$4) * _xlfn.NORM.S.INV(RAND())</f>
        <v>3.3940940617609404E-2</v>
      </c>
      <c r="U419" s="59">
        <f ca="1">Dashboard!D$8* Dashboard!$F$4+Dashboard!D$10*SQRT(Dashboard!$F$4) * _xlfn.NORM.S.INV(RAND())</f>
        <v>3.1556653859712895E-2</v>
      </c>
    </row>
    <row r="420" spans="18:21" x14ac:dyDescent="0.2">
      <c r="R420" s="49">
        <v>418</v>
      </c>
      <c r="S420" s="59">
        <f ca="1">Dashboard!B$8* Dashboard!$F$4+Dashboard!B$10*SQRT(Dashboard!$F$4) * _xlfn.NORM.S.INV(RAND())</f>
        <v>-5.3859604932586361E-2</v>
      </c>
      <c r="T420" s="59">
        <f ca="1">Dashboard!C$8* Dashboard!$F$4+Dashboard!C$10*SQRT(Dashboard!$F$4) * _xlfn.NORM.S.INV(RAND())</f>
        <v>-1.7344636989708642E-2</v>
      </c>
      <c r="U420" s="59">
        <f ca="1">Dashboard!D$8* Dashboard!$F$4+Dashboard!D$10*SQRT(Dashboard!$F$4) * _xlfn.NORM.S.INV(RAND())</f>
        <v>1.1459237087022104E-2</v>
      </c>
    </row>
    <row r="421" spans="18:21" x14ac:dyDescent="0.2">
      <c r="R421" s="49">
        <v>419</v>
      </c>
      <c r="S421" s="59">
        <f ca="1">Dashboard!B$8* Dashboard!$F$4+Dashboard!B$10*SQRT(Dashboard!$F$4) * _xlfn.NORM.S.INV(RAND())</f>
        <v>3.7740385232658068E-2</v>
      </c>
      <c r="T421" s="59">
        <f ca="1">Dashboard!C$8* Dashboard!$F$4+Dashboard!C$10*SQRT(Dashboard!$F$4) * _xlfn.NORM.S.INV(RAND())</f>
        <v>-3.4518272462554393E-2</v>
      </c>
      <c r="U421" s="59">
        <f ca="1">Dashboard!D$8* Dashboard!$F$4+Dashboard!D$10*SQRT(Dashboard!$F$4) * _xlfn.NORM.S.INV(RAND())</f>
        <v>1.1679498388223266E-2</v>
      </c>
    </row>
    <row r="422" spans="18:21" x14ac:dyDescent="0.2">
      <c r="R422" s="49">
        <v>420</v>
      </c>
      <c r="S422" s="59">
        <f ca="1">Dashboard!B$8* Dashboard!$F$4+Dashboard!B$10*SQRT(Dashboard!$F$4) * _xlfn.NORM.S.INV(RAND())</f>
        <v>-4.6150633618483178E-3</v>
      </c>
      <c r="T422" s="59">
        <f ca="1">Dashboard!C$8* Dashboard!$F$4+Dashboard!C$10*SQRT(Dashboard!$F$4) * _xlfn.NORM.S.INV(RAND())</f>
        <v>-1.4864774005896662E-2</v>
      </c>
      <c r="U422" s="59">
        <f ca="1">Dashboard!D$8* Dashboard!$F$4+Dashboard!D$10*SQRT(Dashboard!$F$4) * _xlfn.NORM.S.INV(RAND())</f>
        <v>4.4778091935541262E-2</v>
      </c>
    </row>
    <row r="423" spans="18:21" x14ac:dyDescent="0.2">
      <c r="R423" s="49">
        <v>421</v>
      </c>
      <c r="S423" s="59">
        <f ca="1">Dashboard!B$8* Dashboard!$F$4+Dashboard!B$10*SQRT(Dashboard!$F$4) * _xlfn.NORM.S.INV(RAND())</f>
        <v>1.9408225026953767E-2</v>
      </c>
      <c r="T423" s="59">
        <f ca="1">Dashboard!C$8* Dashboard!$F$4+Dashboard!C$10*SQRT(Dashboard!$F$4) * _xlfn.NORM.S.INV(RAND())</f>
        <v>-1.6587054648282099E-2</v>
      </c>
      <c r="U423" s="59">
        <f ca="1">Dashboard!D$8* Dashboard!$F$4+Dashboard!D$10*SQRT(Dashboard!$F$4) * _xlfn.NORM.S.INV(RAND())</f>
        <v>2.9109669454563142E-2</v>
      </c>
    </row>
    <row r="424" spans="18:21" x14ac:dyDescent="0.2">
      <c r="R424" s="49">
        <v>422</v>
      </c>
      <c r="S424" s="59">
        <f ca="1">Dashboard!B$8* Dashboard!$F$4+Dashboard!B$10*SQRT(Dashboard!$F$4) * _xlfn.NORM.S.INV(RAND())</f>
        <v>2.0098330346344104E-2</v>
      </c>
      <c r="T424" s="59">
        <f ca="1">Dashboard!C$8* Dashboard!$F$4+Dashboard!C$10*SQRT(Dashboard!$F$4) * _xlfn.NORM.S.INV(RAND())</f>
        <v>2.3125982885253949E-3</v>
      </c>
      <c r="U424" s="59">
        <f ca="1">Dashboard!D$8* Dashboard!$F$4+Dashboard!D$10*SQRT(Dashboard!$F$4) * _xlfn.NORM.S.INV(RAND())</f>
        <v>3.0057397262441023E-2</v>
      </c>
    </row>
    <row r="425" spans="18:21" x14ac:dyDescent="0.2">
      <c r="R425" s="49">
        <v>423</v>
      </c>
      <c r="S425" s="59">
        <f ca="1">Dashboard!B$8* Dashboard!$F$4+Dashboard!B$10*SQRT(Dashboard!$F$4) * _xlfn.NORM.S.INV(RAND())</f>
        <v>2.8197326987362256E-2</v>
      </c>
      <c r="T425" s="59">
        <f ca="1">Dashboard!C$8* Dashboard!$F$4+Dashboard!C$10*SQRT(Dashboard!$F$4) * _xlfn.NORM.S.INV(RAND())</f>
        <v>3.9997706305976077E-3</v>
      </c>
      <c r="U425" s="59">
        <f ca="1">Dashboard!D$8* Dashboard!$F$4+Dashboard!D$10*SQRT(Dashboard!$F$4) * _xlfn.NORM.S.INV(RAND())</f>
        <v>-1.2676451627378828E-2</v>
      </c>
    </row>
    <row r="426" spans="18:21" x14ac:dyDescent="0.2">
      <c r="R426" s="49">
        <v>424</v>
      </c>
      <c r="S426" s="59">
        <f ca="1">Dashboard!B$8* Dashboard!$F$4+Dashboard!B$10*SQRT(Dashboard!$F$4) * _xlfn.NORM.S.INV(RAND())</f>
        <v>2.3357876086415832E-2</v>
      </c>
      <c r="T426" s="59">
        <f ca="1">Dashboard!C$8* Dashboard!$F$4+Dashboard!C$10*SQRT(Dashboard!$F$4) * _xlfn.NORM.S.INV(RAND())</f>
        <v>-8.416160996319727E-5</v>
      </c>
      <c r="U426" s="59">
        <f ca="1">Dashboard!D$8* Dashboard!$F$4+Dashboard!D$10*SQRT(Dashboard!$F$4) * _xlfn.NORM.S.INV(RAND())</f>
        <v>-6.7985791676095628E-2</v>
      </c>
    </row>
    <row r="427" spans="18:21" x14ac:dyDescent="0.2">
      <c r="R427" s="49">
        <v>425</v>
      </c>
      <c r="S427" s="59">
        <f ca="1">Dashboard!B$8* Dashboard!$F$4+Dashboard!B$10*SQRT(Dashboard!$F$4) * _xlfn.NORM.S.INV(RAND())</f>
        <v>2.6857308926602409E-2</v>
      </c>
      <c r="T427" s="59">
        <f ca="1">Dashboard!C$8* Dashboard!$F$4+Dashboard!C$10*SQRT(Dashboard!$F$4) * _xlfn.NORM.S.INV(RAND())</f>
        <v>6.2742110558529265E-3</v>
      </c>
      <c r="U427" s="59">
        <f ca="1">Dashboard!D$8* Dashboard!$F$4+Dashboard!D$10*SQRT(Dashboard!$F$4) * _xlfn.NORM.S.INV(RAND())</f>
        <v>-4.8159347200293197E-2</v>
      </c>
    </row>
    <row r="428" spans="18:21" x14ac:dyDescent="0.2">
      <c r="R428" s="49">
        <v>426</v>
      </c>
      <c r="S428" s="59">
        <f ca="1">Dashboard!B$8* Dashboard!$F$4+Dashboard!B$10*SQRT(Dashboard!$F$4) * _xlfn.NORM.S.INV(RAND())</f>
        <v>2.010534117978225E-2</v>
      </c>
      <c r="T428" s="59">
        <f ca="1">Dashboard!C$8* Dashboard!$F$4+Dashboard!C$10*SQRT(Dashboard!$F$4) * _xlfn.NORM.S.INV(RAND())</f>
        <v>8.7102930196056253E-3</v>
      </c>
      <c r="U428" s="59">
        <f ca="1">Dashboard!D$8* Dashboard!$F$4+Dashboard!D$10*SQRT(Dashboard!$F$4) * _xlfn.NORM.S.INV(RAND())</f>
        <v>-2.0959483680043928E-2</v>
      </c>
    </row>
    <row r="429" spans="18:21" x14ac:dyDescent="0.2">
      <c r="R429" s="49">
        <v>427</v>
      </c>
      <c r="S429" s="59">
        <f ca="1">Dashboard!B$8* Dashboard!$F$4+Dashboard!B$10*SQRT(Dashboard!$F$4) * _xlfn.NORM.S.INV(RAND())</f>
        <v>-8.7957078415461468E-3</v>
      </c>
      <c r="T429" s="59">
        <f ca="1">Dashboard!C$8* Dashboard!$F$4+Dashboard!C$10*SQRT(Dashboard!$F$4) * _xlfn.NORM.S.INV(RAND())</f>
        <v>-5.2123562872004883E-2</v>
      </c>
      <c r="U429" s="59">
        <f ca="1">Dashboard!D$8* Dashboard!$F$4+Dashboard!D$10*SQRT(Dashboard!$F$4) * _xlfn.NORM.S.INV(RAND())</f>
        <v>-6.605280784509808E-2</v>
      </c>
    </row>
    <row r="430" spans="18:21" x14ac:dyDescent="0.2">
      <c r="R430" s="49">
        <v>428</v>
      </c>
      <c r="S430" s="59">
        <f ca="1">Dashboard!B$8* Dashboard!$F$4+Dashboard!B$10*SQRT(Dashboard!$F$4) * _xlfn.NORM.S.INV(RAND())</f>
        <v>8.1025397437244021E-3</v>
      </c>
      <c r="T430" s="59">
        <f ca="1">Dashboard!C$8* Dashboard!$F$4+Dashboard!C$10*SQRT(Dashboard!$F$4) * _xlfn.NORM.S.INV(RAND())</f>
        <v>3.3372271548028645E-2</v>
      </c>
      <c r="U430" s="59">
        <f ca="1">Dashboard!D$8* Dashboard!$F$4+Dashboard!D$10*SQRT(Dashboard!$F$4) * _xlfn.NORM.S.INV(RAND())</f>
        <v>-4.4793224276371189E-2</v>
      </c>
    </row>
    <row r="431" spans="18:21" x14ac:dyDescent="0.2">
      <c r="R431" s="49">
        <v>429</v>
      </c>
      <c r="S431" s="59">
        <f ca="1">Dashboard!B$8* Dashboard!$F$4+Dashboard!B$10*SQRT(Dashboard!$F$4) * _xlfn.NORM.S.INV(RAND())</f>
        <v>-8.2422323784347336E-3</v>
      </c>
      <c r="T431" s="59">
        <f ca="1">Dashboard!C$8* Dashboard!$F$4+Dashboard!C$10*SQRT(Dashboard!$F$4) * _xlfn.NORM.S.INV(RAND())</f>
        <v>-7.9355734693383403E-3</v>
      </c>
      <c r="U431" s="59">
        <f ca="1">Dashboard!D$8* Dashboard!$F$4+Dashboard!D$10*SQRT(Dashboard!$F$4) * _xlfn.NORM.S.INV(RAND())</f>
        <v>9.2219482349231892E-3</v>
      </c>
    </row>
    <row r="432" spans="18:21" x14ac:dyDescent="0.2">
      <c r="R432" s="49">
        <v>430</v>
      </c>
      <c r="S432" s="59">
        <f ca="1">Dashboard!B$8* Dashboard!$F$4+Dashboard!B$10*SQRT(Dashboard!$F$4) * _xlfn.NORM.S.INV(RAND())</f>
        <v>-1.8803971643513821E-2</v>
      </c>
      <c r="T432" s="59">
        <f ca="1">Dashboard!C$8* Dashboard!$F$4+Dashboard!C$10*SQRT(Dashboard!$F$4) * _xlfn.NORM.S.INV(RAND())</f>
        <v>5.3345309932785301E-2</v>
      </c>
      <c r="U432" s="59">
        <f ca="1">Dashboard!D$8* Dashboard!$F$4+Dashboard!D$10*SQRT(Dashboard!$F$4) * _xlfn.NORM.S.INV(RAND())</f>
        <v>-5.4622883847268142E-2</v>
      </c>
    </row>
    <row r="433" spans="18:21" x14ac:dyDescent="0.2">
      <c r="R433" s="49">
        <v>431</v>
      </c>
      <c r="S433" s="59">
        <f ca="1">Dashboard!B$8* Dashboard!$F$4+Dashboard!B$10*SQRT(Dashboard!$F$4) * _xlfn.NORM.S.INV(RAND())</f>
        <v>1.0592614814977043E-3</v>
      </c>
      <c r="T433" s="59">
        <f ca="1">Dashboard!C$8* Dashboard!$F$4+Dashboard!C$10*SQRT(Dashboard!$F$4) * _xlfn.NORM.S.INV(RAND())</f>
        <v>-2.7502476548998251E-2</v>
      </c>
      <c r="U433" s="59">
        <f ca="1">Dashboard!D$8* Dashboard!$F$4+Dashboard!D$10*SQRT(Dashboard!$F$4) * _xlfn.NORM.S.INV(RAND())</f>
        <v>-4.5670392953365835E-2</v>
      </c>
    </row>
    <row r="434" spans="18:21" x14ac:dyDescent="0.2">
      <c r="R434" s="49">
        <v>432</v>
      </c>
      <c r="S434" s="59">
        <f ca="1">Dashboard!B$8* Dashboard!$F$4+Dashboard!B$10*SQRT(Dashboard!$F$4) * _xlfn.NORM.S.INV(RAND())</f>
        <v>3.6521375106947702E-2</v>
      </c>
      <c r="T434" s="59">
        <f ca="1">Dashboard!C$8* Dashboard!$F$4+Dashboard!C$10*SQRT(Dashboard!$F$4) * _xlfn.NORM.S.INV(RAND())</f>
        <v>1.0382574846708235E-2</v>
      </c>
      <c r="U434" s="59">
        <f ca="1">Dashboard!D$8* Dashboard!$F$4+Dashboard!D$10*SQRT(Dashboard!$F$4) * _xlfn.NORM.S.INV(RAND())</f>
        <v>-2.7902427753746208E-2</v>
      </c>
    </row>
    <row r="435" spans="18:21" x14ac:dyDescent="0.2">
      <c r="R435" s="49">
        <v>433</v>
      </c>
      <c r="S435" s="59">
        <f ca="1">Dashboard!B$8* Dashboard!$F$4+Dashboard!B$10*SQRT(Dashboard!$F$4) * _xlfn.NORM.S.INV(RAND())</f>
        <v>-1.029707352958977E-2</v>
      </c>
      <c r="T435" s="59">
        <f ca="1">Dashboard!C$8* Dashboard!$F$4+Dashboard!C$10*SQRT(Dashboard!$F$4) * _xlfn.NORM.S.INV(RAND())</f>
        <v>1.3217215990601733E-2</v>
      </c>
      <c r="U435" s="59">
        <f ca="1">Dashboard!D$8* Dashboard!$F$4+Dashboard!D$10*SQRT(Dashboard!$F$4) * _xlfn.NORM.S.INV(RAND())</f>
        <v>-3.8501319686392477E-2</v>
      </c>
    </row>
    <row r="436" spans="18:21" x14ac:dyDescent="0.2">
      <c r="R436" s="49">
        <v>434</v>
      </c>
      <c r="S436" s="59">
        <f ca="1">Dashboard!B$8* Dashboard!$F$4+Dashboard!B$10*SQRT(Dashboard!$F$4) * _xlfn.NORM.S.INV(RAND())</f>
        <v>-2.942018260941958E-2</v>
      </c>
      <c r="T436" s="59">
        <f ca="1">Dashboard!C$8* Dashboard!$F$4+Dashboard!C$10*SQRT(Dashboard!$F$4) * _xlfn.NORM.S.INV(RAND())</f>
        <v>2.8889511416762048E-2</v>
      </c>
      <c r="U436" s="59">
        <f ca="1">Dashboard!D$8* Dashboard!$F$4+Dashboard!D$10*SQRT(Dashboard!$F$4) * _xlfn.NORM.S.INV(RAND())</f>
        <v>-2.1412073087193183E-2</v>
      </c>
    </row>
    <row r="437" spans="18:21" x14ac:dyDescent="0.2">
      <c r="R437" s="49">
        <v>435</v>
      </c>
      <c r="S437" s="59">
        <f ca="1">Dashboard!B$8* Dashboard!$F$4+Dashboard!B$10*SQRT(Dashboard!$F$4) * _xlfn.NORM.S.INV(RAND())</f>
        <v>-1.5336171751777396E-2</v>
      </c>
      <c r="T437" s="59">
        <f ca="1">Dashboard!C$8* Dashboard!$F$4+Dashboard!C$10*SQRT(Dashboard!$F$4) * _xlfn.NORM.S.INV(RAND())</f>
        <v>-2.0236133025095294E-2</v>
      </c>
      <c r="U437" s="59">
        <f ca="1">Dashboard!D$8* Dashboard!$F$4+Dashboard!D$10*SQRT(Dashboard!$F$4) * _xlfn.NORM.S.INV(RAND())</f>
        <v>-2.3597093723840338E-2</v>
      </c>
    </row>
    <row r="438" spans="18:21" x14ac:dyDescent="0.2">
      <c r="R438" s="49">
        <v>436</v>
      </c>
      <c r="S438" s="59">
        <f ca="1">Dashboard!B$8* Dashboard!$F$4+Dashboard!B$10*SQRT(Dashboard!$F$4) * _xlfn.NORM.S.INV(RAND())</f>
        <v>1.7829842452083515E-2</v>
      </c>
      <c r="T438" s="59">
        <f ca="1">Dashboard!C$8* Dashboard!$F$4+Dashboard!C$10*SQRT(Dashboard!$F$4) * _xlfn.NORM.S.INV(RAND())</f>
        <v>-3.7363971202817363E-2</v>
      </c>
      <c r="U438" s="59">
        <f ca="1">Dashboard!D$8* Dashboard!$F$4+Dashboard!D$10*SQRT(Dashboard!$F$4) * _xlfn.NORM.S.INV(RAND())</f>
        <v>4.9024915125676603E-3</v>
      </c>
    </row>
    <row r="439" spans="18:21" x14ac:dyDescent="0.2">
      <c r="R439" s="49">
        <v>437</v>
      </c>
      <c r="S439" s="59">
        <f ca="1">Dashboard!B$8* Dashboard!$F$4+Dashboard!B$10*SQRT(Dashboard!$F$4) * _xlfn.NORM.S.INV(RAND())</f>
        <v>7.076433282005988E-2</v>
      </c>
      <c r="T439" s="59">
        <f ca="1">Dashboard!C$8* Dashboard!$F$4+Dashboard!C$10*SQRT(Dashboard!$F$4) * _xlfn.NORM.S.INV(RAND())</f>
        <v>8.1455881429872926E-3</v>
      </c>
      <c r="U439" s="59">
        <f ca="1">Dashboard!D$8* Dashboard!$F$4+Dashboard!D$10*SQRT(Dashboard!$F$4) * _xlfn.NORM.S.INV(RAND())</f>
        <v>-1.1824931458868558E-2</v>
      </c>
    </row>
    <row r="440" spans="18:21" x14ac:dyDescent="0.2">
      <c r="R440" s="49">
        <v>438</v>
      </c>
      <c r="S440" s="59">
        <f ca="1">Dashboard!B$8* Dashboard!$F$4+Dashboard!B$10*SQRT(Dashboard!$F$4) * _xlfn.NORM.S.INV(RAND())</f>
        <v>-7.5196112720131436E-2</v>
      </c>
      <c r="T440" s="59">
        <f ca="1">Dashboard!C$8* Dashboard!$F$4+Dashboard!C$10*SQRT(Dashboard!$F$4) * _xlfn.NORM.S.INV(RAND())</f>
        <v>1.1545512979053586E-3</v>
      </c>
      <c r="U440" s="59">
        <f ca="1">Dashboard!D$8* Dashboard!$F$4+Dashboard!D$10*SQRT(Dashboard!$F$4) * _xlfn.NORM.S.INV(RAND())</f>
        <v>7.1224927732502358E-3</v>
      </c>
    </row>
    <row r="441" spans="18:21" x14ac:dyDescent="0.2">
      <c r="R441" s="49">
        <v>439</v>
      </c>
      <c r="S441" s="59">
        <f ca="1">Dashboard!B$8* Dashboard!$F$4+Dashboard!B$10*SQRT(Dashboard!$F$4) * _xlfn.NORM.S.INV(RAND())</f>
        <v>2.4098235981688029E-3</v>
      </c>
      <c r="T441" s="59">
        <f ca="1">Dashboard!C$8* Dashboard!$F$4+Dashboard!C$10*SQRT(Dashboard!$F$4) * _xlfn.NORM.S.INV(RAND())</f>
        <v>-1.6567502182407514E-2</v>
      </c>
      <c r="U441" s="59">
        <f ca="1">Dashboard!D$8* Dashboard!$F$4+Dashboard!D$10*SQRT(Dashboard!$F$4) * _xlfn.NORM.S.INV(RAND())</f>
        <v>-1.7905453318586066E-2</v>
      </c>
    </row>
    <row r="442" spans="18:21" x14ac:dyDescent="0.2">
      <c r="R442" s="49">
        <v>440</v>
      </c>
      <c r="S442" s="59">
        <f ca="1">Dashboard!B$8* Dashboard!$F$4+Dashboard!B$10*SQRT(Dashboard!$F$4) * _xlfn.NORM.S.INV(RAND())</f>
        <v>-2.9155800274352626E-2</v>
      </c>
      <c r="T442" s="59">
        <f ca="1">Dashboard!C$8* Dashboard!$F$4+Dashboard!C$10*SQRT(Dashboard!$F$4) * _xlfn.NORM.S.INV(RAND())</f>
        <v>1.7782555146385243E-2</v>
      </c>
      <c r="U442" s="59">
        <f ca="1">Dashboard!D$8* Dashboard!$F$4+Dashboard!D$10*SQRT(Dashboard!$F$4) * _xlfn.NORM.S.INV(RAND())</f>
        <v>-7.6942572472107991E-3</v>
      </c>
    </row>
    <row r="443" spans="18:21" x14ac:dyDescent="0.2">
      <c r="R443" s="49">
        <v>441</v>
      </c>
      <c r="S443" s="59">
        <f ca="1">Dashboard!B$8* Dashboard!$F$4+Dashboard!B$10*SQRT(Dashboard!$F$4) * _xlfn.NORM.S.INV(RAND())</f>
        <v>-7.1902285584100395E-3</v>
      </c>
      <c r="T443" s="59">
        <f ca="1">Dashboard!C$8* Dashboard!$F$4+Dashboard!C$10*SQRT(Dashboard!$F$4) * _xlfn.NORM.S.INV(RAND())</f>
        <v>5.0448173670706885E-2</v>
      </c>
      <c r="U443" s="59">
        <f ca="1">Dashboard!D$8* Dashboard!$F$4+Dashboard!D$10*SQRT(Dashboard!$F$4) * _xlfn.NORM.S.INV(RAND())</f>
        <v>2.6843067611073579E-2</v>
      </c>
    </row>
    <row r="444" spans="18:21" x14ac:dyDescent="0.2">
      <c r="R444" s="49">
        <v>442</v>
      </c>
      <c r="S444" s="59">
        <f ca="1">Dashboard!B$8* Dashboard!$F$4+Dashboard!B$10*SQRT(Dashboard!$F$4) * _xlfn.NORM.S.INV(RAND())</f>
        <v>-7.2753748335614224E-3</v>
      </c>
      <c r="T444" s="59">
        <f ca="1">Dashboard!C$8* Dashboard!$F$4+Dashboard!C$10*SQRT(Dashboard!$F$4) * _xlfn.NORM.S.INV(RAND())</f>
        <v>-6.5246918679451862E-3</v>
      </c>
      <c r="U444" s="59">
        <f ca="1">Dashboard!D$8* Dashboard!$F$4+Dashboard!D$10*SQRT(Dashboard!$F$4) * _xlfn.NORM.S.INV(RAND())</f>
        <v>5.7566759678687584E-3</v>
      </c>
    </row>
    <row r="445" spans="18:21" x14ac:dyDescent="0.2">
      <c r="R445" s="49">
        <v>443</v>
      </c>
      <c r="S445" s="59">
        <f ca="1">Dashboard!B$8* Dashboard!$F$4+Dashboard!B$10*SQRT(Dashboard!$F$4) * _xlfn.NORM.S.INV(RAND())</f>
        <v>-2.2743394209906023E-2</v>
      </c>
      <c r="T445" s="59">
        <f ca="1">Dashboard!C$8* Dashboard!$F$4+Dashboard!C$10*SQRT(Dashboard!$F$4) * _xlfn.NORM.S.INV(RAND())</f>
        <v>-1.145616201093155E-2</v>
      </c>
      <c r="U445" s="59">
        <f ca="1">Dashboard!D$8* Dashboard!$F$4+Dashboard!D$10*SQRT(Dashboard!$F$4) * _xlfn.NORM.S.INV(RAND())</f>
        <v>-2.4370080213625082E-2</v>
      </c>
    </row>
    <row r="446" spans="18:21" x14ac:dyDescent="0.2">
      <c r="R446" s="49">
        <v>444</v>
      </c>
      <c r="S446" s="59">
        <f ca="1">Dashboard!B$8* Dashboard!$F$4+Dashboard!B$10*SQRT(Dashboard!$F$4) * _xlfn.NORM.S.INV(RAND())</f>
        <v>-1.2431413311628152E-3</v>
      </c>
      <c r="T446" s="59">
        <f ca="1">Dashboard!C$8* Dashboard!$F$4+Dashboard!C$10*SQRT(Dashboard!$F$4) * _xlfn.NORM.S.INV(RAND())</f>
        <v>2.9252886083843677E-2</v>
      </c>
      <c r="U446" s="59">
        <f ca="1">Dashboard!D$8* Dashboard!$F$4+Dashboard!D$10*SQRT(Dashboard!$F$4) * _xlfn.NORM.S.INV(RAND())</f>
        <v>-4.2128298911079508E-3</v>
      </c>
    </row>
    <row r="447" spans="18:21" x14ac:dyDescent="0.2">
      <c r="R447" s="49">
        <v>445</v>
      </c>
      <c r="S447" s="59">
        <f ca="1">Dashboard!B$8* Dashboard!$F$4+Dashboard!B$10*SQRT(Dashboard!$F$4) * _xlfn.NORM.S.INV(RAND())</f>
        <v>1.9938015886199104E-2</v>
      </c>
      <c r="T447" s="59">
        <f ca="1">Dashboard!C$8* Dashboard!$F$4+Dashboard!C$10*SQRT(Dashboard!$F$4) * _xlfn.NORM.S.INV(RAND())</f>
        <v>2.4273903247702087E-2</v>
      </c>
      <c r="U447" s="59">
        <f ca="1">Dashboard!D$8* Dashboard!$F$4+Dashboard!D$10*SQRT(Dashboard!$F$4) * _xlfn.NORM.S.INV(RAND())</f>
        <v>1.9349891941878705E-2</v>
      </c>
    </row>
    <row r="448" spans="18:21" x14ac:dyDescent="0.2">
      <c r="R448" s="49">
        <v>446</v>
      </c>
      <c r="S448" s="59">
        <f ca="1">Dashboard!B$8* Dashboard!$F$4+Dashboard!B$10*SQRT(Dashboard!$F$4) * _xlfn.NORM.S.INV(RAND())</f>
        <v>-6.2454483178231102E-2</v>
      </c>
      <c r="T448" s="59">
        <f ca="1">Dashboard!C$8* Dashboard!$F$4+Dashboard!C$10*SQRT(Dashboard!$F$4) * _xlfn.NORM.S.INV(RAND())</f>
        <v>8.9235050891172916E-3</v>
      </c>
      <c r="U448" s="59">
        <f ca="1">Dashboard!D$8* Dashboard!$F$4+Dashboard!D$10*SQRT(Dashboard!$F$4) * _xlfn.NORM.S.INV(RAND())</f>
        <v>-2.0817544499314791E-2</v>
      </c>
    </row>
    <row r="449" spans="18:21" x14ac:dyDescent="0.2">
      <c r="R449" s="49">
        <v>447</v>
      </c>
      <c r="S449" s="59">
        <f ca="1">Dashboard!B$8* Dashboard!$F$4+Dashboard!B$10*SQRT(Dashboard!$F$4) * _xlfn.NORM.S.INV(RAND())</f>
        <v>9.7315846310974674E-3</v>
      </c>
      <c r="T449" s="59">
        <f ca="1">Dashboard!C$8* Dashboard!$F$4+Dashboard!C$10*SQRT(Dashboard!$F$4) * _xlfn.NORM.S.INV(RAND())</f>
        <v>2.4057405781189187E-2</v>
      </c>
      <c r="U449" s="59">
        <f ca="1">Dashboard!D$8* Dashboard!$F$4+Dashboard!D$10*SQRT(Dashboard!$F$4) * _xlfn.NORM.S.INV(RAND())</f>
        <v>-2.1699186134750283E-2</v>
      </c>
    </row>
    <row r="450" spans="18:21" x14ac:dyDescent="0.2">
      <c r="R450" s="49">
        <v>448</v>
      </c>
      <c r="S450" s="59">
        <f ca="1">Dashboard!B$8* Dashboard!$F$4+Dashboard!B$10*SQRT(Dashboard!$F$4) * _xlfn.NORM.S.INV(RAND())</f>
        <v>7.9984774332198475E-3</v>
      </c>
      <c r="T450" s="59">
        <f ca="1">Dashboard!C$8* Dashboard!$F$4+Dashboard!C$10*SQRT(Dashboard!$F$4) * _xlfn.NORM.S.INV(RAND())</f>
        <v>6.1312155290212618E-2</v>
      </c>
      <c r="U450" s="59">
        <f ca="1">Dashboard!D$8* Dashboard!$F$4+Dashboard!D$10*SQRT(Dashboard!$F$4) * _xlfn.NORM.S.INV(RAND())</f>
        <v>-4.7255870070930774E-2</v>
      </c>
    </row>
    <row r="451" spans="18:21" x14ac:dyDescent="0.2">
      <c r="R451" s="49">
        <v>449</v>
      </c>
      <c r="S451" s="59">
        <f ca="1">Dashboard!B$8* Dashboard!$F$4+Dashboard!B$10*SQRT(Dashboard!$F$4) * _xlfn.NORM.S.INV(RAND())</f>
        <v>3.400383130939693E-2</v>
      </c>
      <c r="T451" s="59">
        <f ca="1">Dashboard!C$8* Dashboard!$F$4+Dashboard!C$10*SQRT(Dashboard!$F$4) * _xlfn.NORM.S.INV(RAND())</f>
        <v>-3.3088010116969829E-3</v>
      </c>
      <c r="U451" s="59">
        <f ca="1">Dashboard!D$8* Dashboard!$F$4+Dashboard!D$10*SQRT(Dashboard!$F$4) * _xlfn.NORM.S.INV(RAND())</f>
        <v>1.0442931292203056E-2</v>
      </c>
    </row>
    <row r="452" spans="18:21" x14ac:dyDescent="0.2">
      <c r="R452" s="49">
        <v>450</v>
      </c>
      <c r="S452" s="59">
        <f ca="1">Dashboard!B$8* Dashboard!$F$4+Dashboard!B$10*SQRT(Dashboard!$F$4) * _xlfn.NORM.S.INV(RAND())</f>
        <v>1.5814760163240682E-2</v>
      </c>
      <c r="T452" s="59">
        <f ca="1">Dashboard!C$8* Dashboard!$F$4+Dashboard!C$10*SQRT(Dashboard!$F$4) * _xlfn.NORM.S.INV(RAND())</f>
        <v>6.0969516189783773E-2</v>
      </c>
      <c r="U452" s="59">
        <f ca="1">Dashboard!D$8* Dashboard!$F$4+Dashboard!D$10*SQRT(Dashboard!$F$4) * _xlfn.NORM.S.INV(RAND())</f>
        <v>-2.6105291318441739E-3</v>
      </c>
    </row>
    <row r="453" spans="18:21" x14ac:dyDescent="0.2">
      <c r="R453" s="49">
        <v>451</v>
      </c>
      <c r="S453" s="59">
        <f ca="1">Dashboard!B$8* Dashboard!$F$4+Dashboard!B$10*SQRT(Dashboard!$F$4) * _xlfn.NORM.S.INV(RAND())</f>
        <v>-4.6638105534358584E-2</v>
      </c>
      <c r="T453" s="59">
        <f ca="1">Dashboard!C$8* Dashboard!$F$4+Dashboard!C$10*SQRT(Dashboard!$F$4) * _xlfn.NORM.S.INV(RAND())</f>
        <v>4.9183559524065529E-2</v>
      </c>
      <c r="U453" s="59">
        <f ca="1">Dashboard!D$8* Dashboard!$F$4+Dashboard!D$10*SQRT(Dashboard!$F$4) * _xlfn.NORM.S.INV(RAND())</f>
        <v>1.5616693001015421E-2</v>
      </c>
    </row>
    <row r="454" spans="18:21" x14ac:dyDescent="0.2">
      <c r="R454" s="49">
        <v>452</v>
      </c>
      <c r="S454" s="59">
        <f ca="1">Dashboard!B$8* Dashboard!$F$4+Dashboard!B$10*SQRT(Dashboard!$F$4) * _xlfn.NORM.S.INV(RAND())</f>
        <v>-1.5726331483458079E-2</v>
      </c>
      <c r="T454" s="59">
        <f ca="1">Dashboard!C$8* Dashboard!$F$4+Dashboard!C$10*SQRT(Dashboard!$F$4) * _xlfn.NORM.S.INV(RAND())</f>
        <v>5.5434437949636491E-3</v>
      </c>
      <c r="U454" s="59">
        <f ca="1">Dashboard!D$8* Dashboard!$F$4+Dashboard!D$10*SQRT(Dashboard!$F$4) * _xlfn.NORM.S.INV(RAND())</f>
        <v>1.0527250025729677E-2</v>
      </c>
    </row>
    <row r="455" spans="18:21" x14ac:dyDescent="0.2">
      <c r="R455" s="49">
        <v>453</v>
      </c>
      <c r="S455" s="59">
        <f ca="1">Dashboard!B$8* Dashboard!$F$4+Dashboard!B$10*SQRT(Dashboard!$F$4) * _xlfn.NORM.S.INV(RAND())</f>
        <v>4.487149035508195E-2</v>
      </c>
      <c r="T455" s="59">
        <f ca="1">Dashboard!C$8* Dashboard!$F$4+Dashboard!C$10*SQRT(Dashboard!$F$4) * _xlfn.NORM.S.INV(RAND())</f>
        <v>2.4303267401357947E-3</v>
      </c>
      <c r="U455" s="59">
        <f ca="1">Dashboard!D$8* Dashboard!$F$4+Dashboard!D$10*SQRT(Dashboard!$F$4) * _xlfn.NORM.S.INV(RAND())</f>
        <v>4.0493252608591766E-4</v>
      </c>
    </row>
    <row r="456" spans="18:21" x14ac:dyDescent="0.2">
      <c r="R456" s="49">
        <v>454</v>
      </c>
      <c r="S456" s="59">
        <f ca="1">Dashboard!B$8* Dashboard!$F$4+Dashboard!B$10*SQRT(Dashboard!$F$4) * _xlfn.NORM.S.INV(RAND())</f>
        <v>-3.6548744099845105E-2</v>
      </c>
      <c r="T456" s="59">
        <f ca="1">Dashboard!C$8* Dashboard!$F$4+Dashboard!C$10*SQRT(Dashboard!$F$4) * _xlfn.NORM.S.INV(RAND())</f>
        <v>-3.351872209713487E-2</v>
      </c>
      <c r="U456" s="59">
        <f ca="1">Dashboard!D$8* Dashboard!$F$4+Dashboard!D$10*SQRT(Dashboard!$F$4) * _xlfn.NORM.S.INV(RAND())</f>
        <v>-2.9242001993740076E-2</v>
      </c>
    </row>
    <row r="457" spans="18:21" x14ac:dyDescent="0.2">
      <c r="R457" s="49">
        <v>455</v>
      </c>
      <c r="S457" s="59">
        <f ca="1">Dashboard!B$8* Dashboard!$F$4+Dashboard!B$10*SQRT(Dashboard!$F$4) * _xlfn.NORM.S.INV(RAND())</f>
        <v>-1.7025536353923176E-2</v>
      </c>
      <c r="T457" s="59">
        <f ca="1">Dashboard!C$8* Dashboard!$F$4+Dashboard!C$10*SQRT(Dashboard!$F$4) * _xlfn.NORM.S.INV(RAND())</f>
        <v>9.0093638196331836E-3</v>
      </c>
      <c r="U457" s="59">
        <f ca="1">Dashboard!D$8* Dashboard!$F$4+Dashboard!D$10*SQRT(Dashboard!$F$4) * _xlfn.NORM.S.INV(RAND())</f>
        <v>2.0027651381292748E-2</v>
      </c>
    </row>
    <row r="458" spans="18:21" x14ac:dyDescent="0.2">
      <c r="R458" s="49">
        <v>456</v>
      </c>
      <c r="S458" s="59">
        <f ca="1">Dashboard!B$8* Dashboard!$F$4+Dashboard!B$10*SQRT(Dashboard!$F$4) * _xlfn.NORM.S.INV(RAND())</f>
        <v>2.7193628027874339E-2</v>
      </c>
      <c r="T458" s="59">
        <f ca="1">Dashboard!C$8* Dashboard!$F$4+Dashboard!C$10*SQRT(Dashboard!$F$4) * _xlfn.NORM.S.INV(RAND())</f>
        <v>5.0578206514674262E-2</v>
      </c>
      <c r="U458" s="59">
        <f ca="1">Dashboard!D$8* Dashboard!$F$4+Dashboard!D$10*SQRT(Dashboard!$F$4) * _xlfn.NORM.S.INV(RAND())</f>
        <v>5.7783983718053933E-2</v>
      </c>
    </row>
    <row r="459" spans="18:21" x14ac:dyDescent="0.2">
      <c r="R459" s="49">
        <v>457</v>
      </c>
      <c r="S459" s="59">
        <f ca="1">Dashboard!B$8* Dashboard!$F$4+Dashboard!B$10*SQRT(Dashboard!$F$4) * _xlfn.NORM.S.INV(RAND())</f>
        <v>1.5995013208509649E-2</v>
      </c>
      <c r="T459" s="59">
        <f ca="1">Dashboard!C$8* Dashboard!$F$4+Dashboard!C$10*SQRT(Dashboard!$F$4) * _xlfn.NORM.S.INV(RAND())</f>
        <v>5.1216257272788876E-2</v>
      </c>
      <c r="U459" s="59">
        <f ca="1">Dashboard!D$8* Dashboard!$F$4+Dashboard!D$10*SQRT(Dashboard!$F$4) * _xlfn.NORM.S.INV(RAND())</f>
        <v>-4.0682474545691363E-2</v>
      </c>
    </row>
    <row r="460" spans="18:21" x14ac:dyDescent="0.2">
      <c r="R460" s="49">
        <v>458</v>
      </c>
      <c r="S460" s="59">
        <f ca="1">Dashboard!B$8* Dashboard!$F$4+Dashboard!B$10*SQRT(Dashboard!$F$4) * _xlfn.NORM.S.INV(RAND())</f>
        <v>-2.8350413244330572E-3</v>
      </c>
      <c r="T460" s="59">
        <f ca="1">Dashboard!C$8* Dashboard!$F$4+Dashboard!C$10*SQRT(Dashboard!$F$4) * _xlfn.NORM.S.INV(RAND())</f>
        <v>5.6189816845711007E-3</v>
      </c>
      <c r="U460" s="59">
        <f ca="1">Dashboard!D$8* Dashboard!$F$4+Dashboard!D$10*SQRT(Dashboard!$F$4) * _xlfn.NORM.S.INV(RAND())</f>
        <v>1.241443043173125E-2</v>
      </c>
    </row>
    <row r="461" spans="18:21" x14ac:dyDescent="0.2">
      <c r="R461" s="49">
        <v>459</v>
      </c>
      <c r="S461" s="59">
        <f ca="1">Dashboard!B$8* Dashboard!$F$4+Dashboard!B$10*SQRT(Dashboard!$F$4) * _xlfn.NORM.S.INV(RAND())</f>
        <v>1.4911331599978756E-2</v>
      </c>
      <c r="T461" s="59">
        <f ca="1">Dashboard!C$8* Dashboard!$F$4+Dashboard!C$10*SQRT(Dashboard!$F$4) * _xlfn.NORM.S.INV(RAND())</f>
        <v>1.9878986682304346E-2</v>
      </c>
      <c r="U461" s="59">
        <f ca="1">Dashboard!D$8* Dashboard!$F$4+Dashboard!D$10*SQRT(Dashboard!$F$4) * _xlfn.NORM.S.INV(RAND())</f>
        <v>-4.9489686578976982E-2</v>
      </c>
    </row>
    <row r="462" spans="18:21" x14ac:dyDescent="0.2">
      <c r="R462" s="49">
        <v>460</v>
      </c>
      <c r="S462" s="59">
        <f ca="1">Dashboard!B$8* Dashboard!$F$4+Dashboard!B$10*SQRT(Dashboard!$F$4) * _xlfn.NORM.S.INV(RAND())</f>
        <v>4.9381731878740801E-2</v>
      </c>
      <c r="T462" s="59">
        <f ca="1">Dashboard!C$8* Dashboard!$F$4+Dashboard!C$10*SQRT(Dashboard!$F$4) * _xlfn.NORM.S.INV(RAND())</f>
        <v>-3.6994038627712377E-3</v>
      </c>
      <c r="U462" s="59">
        <f ca="1">Dashboard!D$8* Dashboard!$F$4+Dashboard!D$10*SQRT(Dashboard!$F$4) * _xlfn.NORM.S.INV(RAND())</f>
        <v>5.964601801792685E-2</v>
      </c>
    </row>
    <row r="463" spans="18:21" x14ac:dyDescent="0.2">
      <c r="R463" s="49">
        <v>461</v>
      </c>
      <c r="S463" s="59">
        <f ca="1">Dashboard!B$8* Dashboard!$F$4+Dashboard!B$10*SQRT(Dashboard!$F$4) * _xlfn.NORM.S.INV(RAND())</f>
        <v>-1.6073782174424907E-2</v>
      </c>
      <c r="T463" s="59">
        <f ca="1">Dashboard!C$8* Dashboard!$F$4+Dashboard!C$10*SQRT(Dashboard!$F$4) * _xlfn.NORM.S.INV(RAND())</f>
        <v>-7.6740429592214764E-3</v>
      </c>
      <c r="U463" s="59">
        <f ca="1">Dashboard!D$8* Dashboard!$F$4+Dashboard!D$10*SQRT(Dashboard!$F$4) * _xlfn.NORM.S.INV(RAND())</f>
        <v>-3.1117968548050209E-2</v>
      </c>
    </row>
    <row r="464" spans="18:21" x14ac:dyDescent="0.2">
      <c r="R464" s="49">
        <v>462</v>
      </c>
      <c r="S464" s="59">
        <f ca="1">Dashboard!B$8* Dashboard!$F$4+Dashboard!B$10*SQRT(Dashboard!$F$4) * _xlfn.NORM.S.INV(RAND())</f>
        <v>-5.6010749040546252E-2</v>
      </c>
      <c r="T464" s="59">
        <f ca="1">Dashboard!C$8* Dashboard!$F$4+Dashboard!C$10*SQRT(Dashboard!$F$4) * _xlfn.NORM.S.INV(RAND())</f>
        <v>1.7752323819409912E-2</v>
      </c>
      <c r="U464" s="59">
        <f ca="1">Dashboard!D$8* Dashboard!$F$4+Dashboard!D$10*SQRT(Dashboard!$F$4) * _xlfn.NORM.S.INV(RAND())</f>
        <v>-3.6831586095514179E-2</v>
      </c>
    </row>
    <row r="465" spans="18:21" x14ac:dyDescent="0.2">
      <c r="R465" s="49">
        <v>463</v>
      </c>
      <c r="S465" s="59">
        <f ca="1">Dashboard!B$8* Dashboard!$F$4+Dashboard!B$10*SQRT(Dashboard!$F$4) * _xlfn.NORM.S.INV(RAND())</f>
        <v>-8.2491337408813932E-3</v>
      </c>
      <c r="T465" s="59">
        <f ca="1">Dashboard!C$8* Dashboard!$F$4+Dashboard!C$10*SQRT(Dashboard!$F$4) * _xlfn.NORM.S.INV(RAND())</f>
        <v>-2.6275881374371833E-3</v>
      </c>
      <c r="U465" s="59">
        <f ca="1">Dashboard!D$8* Dashboard!$F$4+Dashboard!D$10*SQRT(Dashboard!$F$4) * _xlfn.NORM.S.INV(RAND())</f>
        <v>1.5600290371828581E-2</v>
      </c>
    </row>
    <row r="466" spans="18:21" x14ac:dyDescent="0.2">
      <c r="R466" s="49">
        <v>464</v>
      </c>
      <c r="S466" s="59">
        <f ca="1">Dashboard!B$8* Dashboard!$F$4+Dashboard!B$10*SQRT(Dashboard!$F$4) * _xlfn.NORM.S.INV(RAND())</f>
        <v>-5.9116168879742546E-2</v>
      </c>
      <c r="T466" s="59">
        <f ca="1">Dashboard!C$8* Dashboard!$F$4+Dashboard!C$10*SQRT(Dashboard!$F$4) * _xlfn.NORM.S.INV(RAND())</f>
        <v>-1.890573628066175E-2</v>
      </c>
      <c r="U466" s="59">
        <f ca="1">Dashboard!D$8* Dashboard!$F$4+Dashboard!D$10*SQRT(Dashboard!$F$4) * _xlfn.NORM.S.INV(RAND())</f>
        <v>5.5370857456721843E-3</v>
      </c>
    </row>
    <row r="467" spans="18:21" x14ac:dyDescent="0.2">
      <c r="R467" s="49">
        <v>465</v>
      </c>
      <c r="S467" s="59">
        <f ca="1">Dashboard!B$8* Dashboard!$F$4+Dashboard!B$10*SQRT(Dashboard!$F$4) * _xlfn.NORM.S.INV(RAND())</f>
        <v>-3.0883029840585177E-2</v>
      </c>
      <c r="T467" s="59">
        <f ca="1">Dashboard!C$8* Dashboard!$F$4+Dashboard!C$10*SQRT(Dashboard!$F$4) * _xlfn.NORM.S.INV(RAND())</f>
        <v>2.8380901587620064E-2</v>
      </c>
      <c r="U467" s="59">
        <f ca="1">Dashboard!D$8* Dashboard!$F$4+Dashboard!D$10*SQRT(Dashboard!$F$4) * _xlfn.NORM.S.INV(RAND())</f>
        <v>6.2547371773112193E-3</v>
      </c>
    </row>
    <row r="468" spans="18:21" x14ac:dyDescent="0.2">
      <c r="R468" s="49">
        <v>466</v>
      </c>
      <c r="S468" s="59">
        <f ca="1">Dashboard!B$8* Dashboard!$F$4+Dashboard!B$10*SQRT(Dashboard!$F$4) * _xlfn.NORM.S.INV(RAND())</f>
        <v>-9.6537319462710429E-3</v>
      </c>
      <c r="T468" s="59">
        <f ca="1">Dashboard!C$8* Dashboard!$F$4+Dashboard!C$10*SQRT(Dashboard!$F$4) * _xlfn.NORM.S.INV(RAND())</f>
        <v>8.3409352976174782E-3</v>
      </c>
      <c r="U468" s="59">
        <f ca="1">Dashboard!D$8* Dashboard!$F$4+Dashboard!D$10*SQRT(Dashboard!$F$4) * _xlfn.NORM.S.INV(RAND())</f>
        <v>1.7299036474940407E-2</v>
      </c>
    </row>
    <row r="469" spans="18:21" x14ac:dyDescent="0.2">
      <c r="R469" s="49">
        <v>467</v>
      </c>
      <c r="S469" s="59">
        <f ca="1">Dashboard!B$8* Dashboard!$F$4+Dashboard!B$10*SQRT(Dashboard!$F$4) * _xlfn.NORM.S.INV(RAND())</f>
        <v>-1.4483901426695431E-2</v>
      </c>
      <c r="T469" s="59">
        <f ca="1">Dashboard!C$8* Dashboard!$F$4+Dashboard!C$10*SQRT(Dashboard!$F$4) * _xlfn.NORM.S.INV(RAND())</f>
        <v>-1.0482137339269063E-2</v>
      </c>
      <c r="U469" s="59">
        <f ca="1">Dashboard!D$8* Dashboard!$F$4+Dashboard!D$10*SQRT(Dashboard!$F$4) * _xlfn.NORM.S.INV(RAND())</f>
        <v>-5.9482897277339476E-3</v>
      </c>
    </row>
    <row r="470" spans="18:21" x14ac:dyDescent="0.2">
      <c r="R470" s="49">
        <v>468</v>
      </c>
      <c r="S470" s="59">
        <f ca="1">Dashboard!B$8* Dashboard!$F$4+Dashboard!B$10*SQRT(Dashboard!$F$4) * _xlfn.NORM.S.INV(RAND())</f>
        <v>-2.9139485226667525E-2</v>
      </c>
      <c r="T470" s="59">
        <f ca="1">Dashboard!C$8* Dashboard!$F$4+Dashboard!C$10*SQRT(Dashboard!$F$4) * _xlfn.NORM.S.INV(RAND())</f>
        <v>3.7484993398771864E-2</v>
      </c>
      <c r="U470" s="59">
        <f ca="1">Dashboard!D$8* Dashboard!$F$4+Dashboard!D$10*SQRT(Dashboard!$F$4) * _xlfn.NORM.S.INV(RAND())</f>
        <v>2.9739928950707283E-2</v>
      </c>
    </row>
    <row r="471" spans="18:21" x14ac:dyDescent="0.2">
      <c r="R471" s="49">
        <v>469</v>
      </c>
      <c r="S471" s="59">
        <f ca="1">Dashboard!B$8* Dashboard!$F$4+Dashboard!B$10*SQRT(Dashboard!$F$4) * _xlfn.NORM.S.INV(RAND())</f>
        <v>8.5283135170576244E-2</v>
      </c>
      <c r="T471" s="59">
        <f ca="1">Dashboard!C$8* Dashboard!$F$4+Dashboard!C$10*SQRT(Dashboard!$F$4) * _xlfn.NORM.S.INV(RAND())</f>
        <v>-2.919682155862514E-2</v>
      </c>
      <c r="U471" s="59">
        <f ca="1">Dashboard!D$8* Dashboard!$F$4+Dashboard!D$10*SQRT(Dashboard!$F$4) * _xlfn.NORM.S.INV(RAND())</f>
        <v>3.3719341725006687E-2</v>
      </c>
    </row>
    <row r="472" spans="18:21" x14ac:dyDescent="0.2">
      <c r="R472" s="49">
        <v>470</v>
      </c>
      <c r="S472" s="59">
        <f ca="1">Dashboard!B$8* Dashboard!$F$4+Dashboard!B$10*SQRT(Dashboard!$F$4) * _xlfn.NORM.S.INV(RAND())</f>
        <v>7.3044071286994375E-2</v>
      </c>
      <c r="T472" s="59">
        <f ca="1">Dashboard!C$8* Dashboard!$F$4+Dashboard!C$10*SQRT(Dashboard!$F$4) * _xlfn.NORM.S.INV(RAND())</f>
        <v>1.628582659515012E-3</v>
      </c>
      <c r="U472" s="59">
        <f ca="1">Dashboard!D$8* Dashboard!$F$4+Dashboard!D$10*SQRT(Dashboard!$F$4) * _xlfn.NORM.S.INV(RAND())</f>
        <v>-2.6199158353684172E-2</v>
      </c>
    </row>
    <row r="473" spans="18:21" x14ac:dyDescent="0.2">
      <c r="R473" s="49">
        <v>471</v>
      </c>
      <c r="S473" s="59">
        <f ca="1">Dashboard!B$8* Dashboard!$F$4+Dashboard!B$10*SQRT(Dashboard!$F$4) * _xlfn.NORM.S.INV(RAND())</f>
        <v>-5.7121194913124073E-3</v>
      </c>
      <c r="T473" s="59">
        <f ca="1">Dashboard!C$8* Dashboard!$F$4+Dashboard!C$10*SQRT(Dashboard!$F$4) * _xlfn.NORM.S.INV(RAND())</f>
        <v>1.5595885429544064E-2</v>
      </c>
      <c r="U473" s="59">
        <f ca="1">Dashboard!D$8* Dashboard!$F$4+Dashboard!D$10*SQRT(Dashboard!$F$4) * _xlfn.NORM.S.INV(RAND())</f>
        <v>6.3634509000620504E-4</v>
      </c>
    </row>
    <row r="474" spans="18:21" x14ac:dyDescent="0.2">
      <c r="R474" s="49">
        <v>472</v>
      </c>
      <c r="S474" s="59">
        <f ca="1">Dashboard!B$8* Dashboard!$F$4+Dashboard!B$10*SQRT(Dashboard!$F$4) * _xlfn.NORM.S.INV(RAND())</f>
        <v>1.9526748446622888E-2</v>
      </c>
      <c r="T474" s="59">
        <f ca="1">Dashboard!C$8* Dashboard!$F$4+Dashboard!C$10*SQRT(Dashboard!$F$4) * _xlfn.NORM.S.INV(RAND())</f>
        <v>9.603200611197505E-3</v>
      </c>
      <c r="U474" s="59">
        <f ca="1">Dashboard!D$8* Dashboard!$F$4+Dashboard!D$10*SQRT(Dashboard!$F$4) * _xlfn.NORM.S.INV(RAND())</f>
        <v>-3.0896212255487162E-2</v>
      </c>
    </row>
    <row r="475" spans="18:21" x14ac:dyDescent="0.2">
      <c r="R475" s="49">
        <v>473</v>
      </c>
      <c r="S475" s="59">
        <f ca="1">Dashboard!B$8* Dashboard!$F$4+Dashboard!B$10*SQRT(Dashboard!$F$4) * _xlfn.NORM.S.INV(RAND())</f>
        <v>-2.9035576615819174E-2</v>
      </c>
      <c r="T475" s="59">
        <f ca="1">Dashboard!C$8* Dashboard!$F$4+Dashboard!C$10*SQRT(Dashboard!$F$4) * _xlfn.NORM.S.INV(RAND())</f>
        <v>6.2608504600408121E-2</v>
      </c>
      <c r="U475" s="59">
        <f ca="1">Dashboard!D$8* Dashboard!$F$4+Dashboard!D$10*SQRT(Dashboard!$F$4) * _xlfn.NORM.S.INV(RAND())</f>
        <v>1.1264073554240778E-2</v>
      </c>
    </row>
    <row r="476" spans="18:21" x14ac:dyDescent="0.2">
      <c r="R476" s="49">
        <v>474</v>
      </c>
      <c r="S476" s="59">
        <f ca="1">Dashboard!B$8* Dashboard!$F$4+Dashboard!B$10*SQRT(Dashboard!$F$4) * _xlfn.NORM.S.INV(RAND())</f>
        <v>2.5036466773423929E-2</v>
      </c>
      <c r="T476" s="59">
        <f ca="1">Dashboard!C$8* Dashboard!$F$4+Dashboard!C$10*SQRT(Dashboard!$F$4) * _xlfn.NORM.S.INV(RAND())</f>
        <v>-3.6533757926509106E-2</v>
      </c>
      <c r="U476" s="59">
        <f ca="1">Dashboard!D$8* Dashboard!$F$4+Dashboard!D$10*SQRT(Dashboard!$F$4) * _xlfn.NORM.S.INV(RAND())</f>
        <v>1.5467289795345397E-3</v>
      </c>
    </row>
    <row r="477" spans="18:21" x14ac:dyDescent="0.2">
      <c r="R477" s="49">
        <v>475</v>
      </c>
      <c r="S477" s="59">
        <f ca="1">Dashboard!B$8* Dashboard!$F$4+Dashboard!B$10*SQRT(Dashboard!$F$4) * _xlfn.NORM.S.INV(RAND())</f>
        <v>5.3202057684408801E-3</v>
      </c>
      <c r="T477" s="59">
        <f ca="1">Dashboard!C$8* Dashboard!$F$4+Dashboard!C$10*SQRT(Dashboard!$F$4) * _xlfn.NORM.S.INV(RAND())</f>
        <v>4.7037863473753869E-3</v>
      </c>
      <c r="U477" s="59">
        <f ca="1">Dashboard!D$8* Dashboard!$F$4+Dashboard!D$10*SQRT(Dashboard!$F$4) * _xlfn.NORM.S.INV(RAND())</f>
        <v>-3.2605904351761597E-2</v>
      </c>
    </row>
    <row r="478" spans="18:21" x14ac:dyDescent="0.2">
      <c r="R478" s="49">
        <v>476</v>
      </c>
      <c r="S478" s="59">
        <f ca="1">Dashboard!B$8* Dashboard!$F$4+Dashboard!B$10*SQRT(Dashboard!$F$4) * _xlfn.NORM.S.INV(RAND())</f>
        <v>3.5273884592251593E-2</v>
      </c>
      <c r="T478" s="59">
        <f ca="1">Dashboard!C$8* Dashboard!$F$4+Dashboard!C$10*SQRT(Dashboard!$F$4) * _xlfn.NORM.S.INV(RAND())</f>
        <v>-8.8449307413447573E-3</v>
      </c>
      <c r="U478" s="59">
        <f ca="1">Dashboard!D$8* Dashboard!$F$4+Dashboard!D$10*SQRT(Dashboard!$F$4) * _xlfn.NORM.S.INV(RAND())</f>
        <v>-2.9386722904071886E-3</v>
      </c>
    </row>
    <row r="479" spans="18:21" x14ac:dyDescent="0.2">
      <c r="R479" s="49">
        <v>477</v>
      </c>
      <c r="S479" s="59">
        <f ca="1">Dashboard!B$8* Dashboard!$F$4+Dashboard!B$10*SQRT(Dashboard!$F$4) * _xlfn.NORM.S.INV(RAND())</f>
        <v>6.6611849062577028E-2</v>
      </c>
      <c r="T479" s="59">
        <f ca="1">Dashboard!C$8* Dashboard!$F$4+Dashboard!C$10*SQRT(Dashboard!$F$4) * _xlfn.NORM.S.INV(RAND())</f>
        <v>-8.2170830899630634E-2</v>
      </c>
      <c r="U479" s="59">
        <f ca="1">Dashboard!D$8* Dashboard!$F$4+Dashboard!D$10*SQRT(Dashboard!$F$4) * _xlfn.NORM.S.INV(RAND())</f>
        <v>-3.8447718811323729E-2</v>
      </c>
    </row>
    <row r="480" spans="18:21" x14ac:dyDescent="0.2">
      <c r="R480" s="49">
        <v>478</v>
      </c>
      <c r="S480" s="59">
        <f ca="1">Dashboard!B$8* Dashboard!$F$4+Dashboard!B$10*SQRT(Dashboard!$F$4) * _xlfn.NORM.S.INV(RAND())</f>
        <v>4.9745771584803616E-2</v>
      </c>
      <c r="T480" s="59">
        <f ca="1">Dashboard!C$8* Dashboard!$F$4+Dashboard!C$10*SQRT(Dashboard!$F$4) * _xlfn.NORM.S.INV(RAND())</f>
        <v>-3.2445028857619546E-2</v>
      </c>
      <c r="U480" s="59">
        <f ca="1">Dashboard!D$8* Dashboard!$F$4+Dashboard!D$10*SQRT(Dashboard!$F$4) * _xlfn.NORM.S.INV(RAND())</f>
        <v>-8.0209892332601587E-3</v>
      </c>
    </row>
    <row r="481" spans="18:21" x14ac:dyDescent="0.2">
      <c r="R481" s="49">
        <v>479</v>
      </c>
      <c r="S481" s="59">
        <f ca="1">Dashboard!B$8* Dashboard!$F$4+Dashboard!B$10*SQRT(Dashboard!$F$4) * _xlfn.NORM.S.INV(RAND())</f>
        <v>5.0751470051063063E-3</v>
      </c>
      <c r="T481" s="59">
        <f ca="1">Dashboard!C$8* Dashboard!$F$4+Dashboard!C$10*SQRT(Dashboard!$F$4) * _xlfn.NORM.S.INV(RAND())</f>
        <v>3.7859704932003725E-2</v>
      </c>
      <c r="U481" s="59">
        <f ca="1">Dashboard!D$8* Dashboard!$F$4+Dashboard!D$10*SQRT(Dashboard!$F$4) * _xlfn.NORM.S.INV(RAND())</f>
        <v>1.313707813030791E-2</v>
      </c>
    </row>
    <row r="482" spans="18:21" x14ac:dyDescent="0.2">
      <c r="R482" s="49">
        <v>480</v>
      </c>
      <c r="S482" s="59">
        <f ca="1">Dashboard!B$8* Dashboard!$F$4+Dashboard!B$10*SQRT(Dashboard!$F$4) * _xlfn.NORM.S.INV(RAND())</f>
        <v>-1.496882969003274E-3</v>
      </c>
      <c r="T482" s="59">
        <f ca="1">Dashboard!C$8* Dashboard!$F$4+Dashboard!C$10*SQRT(Dashboard!$F$4) * _xlfn.NORM.S.INV(RAND())</f>
        <v>5.6664331593543303E-3</v>
      </c>
      <c r="U482" s="59">
        <f ca="1">Dashboard!D$8* Dashboard!$F$4+Dashboard!D$10*SQRT(Dashboard!$F$4) * _xlfn.NORM.S.INV(RAND())</f>
        <v>-3.0570921812241841E-2</v>
      </c>
    </row>
    <row r="483" spans="18:21" x14ac:dyDescent="0.2">
      <c r="R483" s="49">
        <v>481</v>
      </c>
      <c r="S483" s="59">
        <f ca="1">Dashboard!B$8* Dashboard!$F$4+Dashboard!B$10*SQRT(Dashboard!$F$4) * _xlfn.NORM.S.INV(RAND())</f>
        <v>-1.7133857206292548E-2</v>
      </c>
      <c r="T483" s="59">
        <f ca="1">Dashboard!C$8* Dashboard!$F$4+Dashboard!C$10*SQRT(Dashboard!$F$4) * _xlfn.NORM.S.INV(RAND())</f>
        <v>-4.7873290283421494E-2</v>
      </c>
      <c r="U483" s="59">
        <f ca="1">Dashboard!D$8* Dashboard!$F$4+Dashboard!D$10*SQRT(Dashboard!$F$4) * _xlfn.NORM.S.INV(RAND())</f>
        <v>-3.0695850610670729E-2</v>
      </c>
    </row>
    <row r="484" spans="18:21" x14ac:dyDescent="0.2">
      <c r="R484" s="49">
        <v>482</v>
      </c>
      <c r="S484" s="59">
        <f ca="1">Dashboard!B$8* Dashboard!$F$4+Dashboard!B$10*SQRT(Dashboard!$F$4) * _xlfn.NORM.S.INV(RAND())</f>
        <v>-2.3348984909816545E-2</v>
      </c>
      <c r="T484" s="59">
        <f ca="1">Dashboard!C$8* Dashboard!$F$4+Dashboard!C$10*SQRT(Dashboard!$F$4) * _xlfn.NORM.S.INV(RAND())</f>
        <v>4.1293727204772077E-2</v>
      </c>
      <c r="U484" s="59">
        <f ca="1">Dashboard!D$8* Dashboard!$F$4+Dashboard!D$10*SQRT(Dashboard!$F$4) * _xlfn.NORM.S.INV(RAND())</f>
        <v>3.6648038925128378E-2</v>
      </c>
    </row>
    <row r="485" spans="18:21" x14ac:dyDescent="0.2">
      <c r="R485" s="49">
        <v>483</v>
      </c>
      <c r="S485" s="59">
        <f ca="1">Dashboard!B$8* Dashboard!$F$4+Dashboard!B$10*SQRT(Dashboard!$F$4) * _xlfn.NORM.S.INV(RAND())</f>
        <v>-3.8978187262415462E-2</v>
      </c>
      <c r="T485" s="59">
        <f ca="1">Dashboard!C$8* Dashboard!$F$4+Dashboard!C$10*SQRT(Dashboard!$F$4) * _xlfn.NORM.S.INV(RAND())</f>
        <v>5.8329419949148566E-4</v>
      </c>
      <c r="U485" s="59">
        <f ca="1">Dashboard!D$8* Dashboard!$F$4+Dashboard!D$10*SQRT(Dashboard!$F$4) * _xlfn.NORM.S.INV(RAND())</f>
        <v>5.8133947698360243E-2</v>
      </c>
    </row>
    <row r="486" spans="18:21" x14ac:dyDescent="0.2">
      <c r="R486" s="49">
        <v>484</v>
      </c>
      <c r="S486" s="59">
        <f ca="1">Dashboard!B$8* Dashboard!$F$4+Dashboard!B$10*SQRT(Dashboard!$F$4) * _xlfn.NORM.S.INV(RAND())</f>
        <v>-9.1287179724149903E-3</v>
      </c>
      <c r="T486" s="59">
        <f ca="1">Dashboard!C$8* Dashboard!$F$4+Dashboard!C$10*SQRT(Dashboard!$F$4) * _xlfn.NORM.S.INV(RAND())</f>
        <v>2.2112664765898157E-3</v>
      </c>
      <c r="U486" s="59">
        <f ca="1">Dashboard!D$8* Dashboard!$F$4+Dashboard!D$10*SQRT(Dashboard!$F$4) * _xlfn.NORM.S.INV(RAND())</f>
        <v>3.2539993040369967E-2</v>
      </c>
    </row>
    <row r="487" spans="18:21" x14ac:dyDescent="0.2">
      <c r="R487" s="49">
        <v>485</v>
      </c>
      <c r="S487" s="59">
        <f ca="1">Dashboard!B$8* Dashboard!$F$4+Dashboard!B$10*SQRT(Dashboard!$F$4) * _xlfn.NORM.S.INV(RAND())</f>
        <v>-1.9895685869445193E-2</v>
      </c>
      <c r="T487" s="59">
        <f ca="1">Dashboard!C$8* Dashboard!$F$4+Dashboard!C$10*SQRT(Dashboard!$F$4) * _xlfn.NORM.S.INV(RAND())</f>
        <v>4.5969717001965917E-3</v>
      </c>
      <c r="U487" s="59">
        <f ca="1">Dashboard!D$8* Dashboard!$F$4+Dashboard!D$10*SQRT(Dashboard!$F$4) * _xlfn.NORM.S.INV(RAND())</f>
        <v>-3.5093840939288939E-2</v>
      </c>
    </row>
    <row r="488" spans="18:21" x14ac:dyDescent="0.2">
      <c r="R488" s="49">
        <v>486</v>
      </c>
      <c r="S488" s="59">
        <f ca="1">Dashboard!B$8* Dashboard!$F$4+Dashboard!B$10*SQRT(Dashboard!$F$4) * _xlfn.NORM.S.INV(RAND())</f>
        <v>-1.9937850870946176E-2</v>
      </c>
      <c r="T488" s="59">
        <f ca="1">Dashboard!C$8* Dashboard!$F$4+Dashboard!C$10*SQRT(Dashboard!$F$4) * _xlfn.NORM.S.INV(RAND())</f>
        <v>1.8712636658098976E-2</v>
      </c>
      <c r="U488" s="59">
        <f ca="1">Dashboard!D$8* Dashboard!$F$4+Dashboard!D$10*SQRT(Dashboard!$F$4) * _xlfn.NORM.S.INV(RAND())</f>
        <v>-8.8696464494995367E-3</v>
      </c>
    </row>
    <row r="489" spans="18:21" x14ac:dyDescent="0.2">
      <c r="R489" s="49">
        <v>487</v>
      </c>
      <c r="S489" s="59">
        <f ca="1">Dashboard!B$8* Dashboard!$F$4+Dashboard!B$10*SQRT(Dashboard!$F$4) * _xlfn.NORM.S.INV(RAND())</f>
        <v>2.9256566630116686E-4</v>
      </c>
      <c r="T489" s="59">
        <f ca="1">Dashboard!C$8* Dashboard!$F$4+Dashboard!C$10*SQRT(Dashboard!$F$4) * _xlfn.NORM.S.INV(RAND())</f>
        <v>-1.2341939316865533E-2</v>
      </c>
      <c r="U489" s="59">
        <f ca="1">Dashboard!D$8* Dashboard!$F$4+Dashboard!D$10*SQRT(Dashboard!$F$4) * _xlfn.NORM.S.INV(RAND())</f>
        <v>3.1037034291605627E-2</v>
      </c>
    </row>
    <row r="490" spans="18:21" x14ac:dyDescent="0.2">
      <c r="R490" s="49">
        <v>488</v>
      </c>
      <c r="S490" s="59">
        <f ca="1">Dashboard!B$8* Dashboard!$F$4+Dashboard!B$10*SQRT(Dashboard!$F$4) * _xlfn.NORM.S.INV(RAND())</f>
        <v>-1.791645120560665E-2</v>
      </c>
      <c r="T490" s="59">
        <f ca="1">Dashboard!C$8* Dashboard!$F$4+Dashboard!C$10*SQRT(Dashboard!$F$4) * _xlfn.NORM.S.INV(RAND())</f>
        <v>4.6084962992392266E-2</v>
      </c>
      <c r="U490" s="59">
        <f ca="1">Dashboard!D$8* Dashboard!$F$4+Dashboard!D$10*SQRT(Dashboard!$F$4) * _xlfn.NORM.S.INV(RAND())</f>
        <v>4.0512900195271886E-2</v>
      </c>
    </row>
    <row r="491" spans="18:21" x14ac:dyDescent="0.2">
      <c r="R491" s="49">
        <v>489</v>
      </c>
      <c r="S491" s="59">
        <f ca="1">Dashboard!B$8* Dashboard!$F$4+Dashboard!B$10*SQRT(Dashboard!$F$4) * _xlfn.NORM.S.INV(RAND())</f>
        <v>-3.3511487001834761E-2</v>
      </c>
      <c r="T491" s="59">
        <f ca="1">Dashboard!C$8* Dashboard!$F$4+Dashboard!C$10*SQRT(Dashboard!$F$4) * _xlfn.NORM.S.INV(RAND())</f>
        <v>-6.642507346083662E-2</v>
      </c>
      <c r="U491" s="59">
        <f ca="1">Dashboard!D$8* Dashboard!$F$4+Dashboard!D$10*SQRT(Dashboard!$F$4) * _xlfn.NORM.S.INV(RAND())</f>
        <v>5.5803785197176194E-2</v>
      </c>
    </row>
    <row r="492" spans="18:21" x14ac:dyDescent="0.2">
      <c r="R492" s="49">
        <v>490</v>
      </c>
      <c r="S492" s="59">
        <f ca="1">Dashboard!B$8* Dashboard!$F$4+Dashboard!B$10*SQRT(Dashboard!$F$4) * _xlfn.NORM.S.INV(RAND())</f>
        <v>-1.2791870425672267E-2</v>
      </c>
      <c r="T492" s="59">
        <f ca="1">Dashboard!C$8* Dashboard!$F$4+Dashboard!C$10*SQRT(Dashboard!$F$4) * _xlfn.NORM.S.INV(RAND())</f>
        <v>-7.8429106195964E-3</v>
      </c>
      <c r="U492" s="59">
        <f ca="1">Dashboard!D$8* Dashboard!$F$4+Dashboard!D$10*SQRT(Dashboard!$F$4) * _xlfn.NORM.S.INV(RAND())</f>
        <v>1.218696898925694E-2</v>
      </c>
    </row>
    <row r="493" spans="18:21" x14ac:dyDescent="0.2">
      <c r="R493" s="49">
        <v>491</v>
      </c>
      <c r="S493" s="59">
        <f ca="1">Dashboard!B$8* Dashboard!$F$4+Dashboard!B$10*SQRT(Dashboard!$F$4) * _xlfn.NORM.S.INV(RAND())</f>
        <v>-2.5494392658009714E-2</v>
      </c>
      <c r="T493" s="59">
        <f ca="1">Dashboard!C$8* Dashboard!$F$4+Dashboard!C$10*SQRT(Dashboard!$F$4) * _xlfn.NORM.S.INV(RAND())</f>
        <v>-4.2989961768494296E-2</v>
      </c>
      <c r="U493" s="59">
        <f ca="1">Dashboard!D$8* Dashboard!$F$4+Dashboard!D$10*SQRT(Dashboard!$F$4) * _xlfn.NORM.S.INV(RAND())</f>
        <v>-1.9547226066461497E-2</v>
      </c>
    </row>
    <row r="494" spans="18:21" x14ac:dyDescent="0.2">
      <c r="R494" s="49">
        <v>492</v>
      </c>
      <c r="S494" s="59">
        <f ca="1">Dashboard!B$8* Dashboard!$F$4+Dashboard!B$10*SQRT(Dashboard!$F$4) * _xlfn.NORM.S.INV(RAND())</f>
        <v>-9.8134853510147384E-3</v>
      </c>
      <c r="T494" s="59">
        <f ca="1">Dashboard!C$8* Dashboard!$F$4+Dashboard!C$10*SQRT(Dashboard!$F$4) * _xlfn.NORM.S.INV(RAND())</f>
        <v>1.2615781875336862E-2</v>
      </c>
      <c r="U494" s="59">
        <f ca="1">Dashboard!D$8* Dashboard!$F$4+Dashboard!D$10*SQRT(Dashboard!$F$4) * _xlfn.NORM.S.INV(RAND())</f>
        <v>4.1548557897699775E-3</v>
      </c>
    </row>
    <row r="495" spans="18:21" x14ac:dyDescent="0.2">
      <c r="R495" s="49">
        <v>493</v>
      </c>
      <c r="S495" s="59">
        <f ca="1">Dashboard!B$8* Dashboard!$F$4+Dashboard!B$10*SQRT(Dashboard!$F$4) * _xlfn.NORM.S.INV(RAND())</f>
        <v>-1.8010023533510871E-2</v>
      </c>
      <c r="T495" s="59">
        <f ca="1">Dashboard!C$8* Dashboard!$F$4+Dashboard!C$10*SQRT(Dashboard!$F$4) * _xlfn.NORM.S.INV(RAND())</f>
        <v>4.896390748935639E-2</v>
      </c>
      <c r="U495" s="59">
        <f ca="1">Dashboard!D$8* Dashboard!$F$4+Dashboard!D$10*SQRT(Dashboard!$F$4) * _xlfn.NORM.S.INV(RAND())</f>
        <v>-3.2198802210356516E-2</v>
      </c>
    </row>
    <row r="496" spans="18:21" x14ac:dyDescent="0.2">
      <c r="R496" s="49">
        <v>494</v>
      </c>
      <c r="S496" s="59">
        <f ca="1">Dashboard!B$8* Dashboard!$F$4+Dashboard!B$10*SQRT(Dashboard!$F$4) * _xlfn.NORM.S.INV(RAND())</f>
        <v>-1.0490748604025643E-2</v>
      </c>
      <c r="T496" s="59">
        <f ca="1">Dashboard!C$8* Dashboard!$F$4+Dashboard!C$10*SQRT(Dashboard!$F$4) * _xlfn.NORM.S.INV(RAND())</f>
        <v>7.6941193865073976E-2</v>
      </c>
      <c r="U496" s="59">
        <f ca="1">Dashboard!D$8* Dashboard!$F$4+Dashboard!D$10*SQRT(Dashboard!$F$4) * _xlfn.NORM.S.INV(RAND())</f>
        <v>2.0637405843365837E-2</v>
      </c>
    </row>
    <row r="497" spans="18:21" x14ac:dyDescent="0.2">
      <c r="R497" s="49">
        <v>495</v>
      </c>
      <c r="S497" s="59">
        <f ca="1">Dashboard!B$8* Dashboard!$F$4+Dashboard!B$10*SQRT(Dashboard!$F$4) * _xlfn.NORM.S.INV(RAND())</f>
        <v>-2.2591890970882333E-4</v>
      </c>
      <c r="T497" s="59">
        <f ca="1">Dashboard!C$8* Dashboard!$F$4+Dashboard!C$10*SQRT(Dashboard!$F$4) * _xlfn.NORM.S.INV(RAND())</f>
        <v>3.4019566728260862E-2</v>
      </c>
      <c r="U497" s="59">
        <f ca="1">Dashboard!D$8* Dashboard!$F$4+Dashboard!D$10*SQRT(Dashboard!$F$4) * _xlfn.NORM.S.INV(RAND())</f>
        <v>5.3457018058897021E-2</v>
      </c>
    </row>
    <row r="498" spans="18:21" x14ac:dyDescent="0.2">
      <c r="R498" s="49">
        <v>496</v>
      </c>
      <c r="S498" s="59">
        <f ca="1">Dashboard!B$8* Dashboard!$F$4+Dashboard!B$10*SQRT(Dashboard!$F$4) * _xlfn.NORM.S.INV(RAND())</f>
        <v>4.8106240326551645E-3</v>
      </c>
      <c r="T498" s="59">
        <f ca="1">Dashboard!C$8* Dashboard!$F$4+Dashboard!C$10*SQRT(Dashboard!$F$4) * _xlfn.NORM.S.INV(RAND())</f>
        <v>3.3868580867403339E-2</v>
      </c>
      <c r="U498" s="59">
        <f ca="1">Dashboard!D$8* Dashboard!$F$4+Dashboard!D$10*SQRT(Dashboard!$F$4) * _xlfn.NORM.S.INV(RAND())</f>
        <v>-5.9226657714145696E-2</v>
      </c>
    </row>
    <row r="499" spans="18:21" x14ac:dyDescent="0.2">
      <c r="R499" s="49">
        <v>497</v>
      </c>
      <c r="S499" s="59">
        <f ca="1">Dashboard!B$8* Dashboard!$F$4+Dashboard!B$10*SQRT(Dashboard!$F$4) * _xlfn.NORM.S.INV(RAND())</f>
        <v>3.3454781380311605E-2</v>
      </c>
      <c r="T499" s="59">
        <f ca="1">Dashboard!C$8* Dashboard!$F$4+Dashboard!C$10*SQRT(Dashboard!$F$4) * _xlfn.NORM.S.INV(RAND())</f>
        <v>-2.4820907876656442E-2</v>
      </c>
      <c r="U499" s="59">
        <f ca="1">Dashboard!D$8* Dashboard!$F$4+Dashboard!D$10*SQRT(Dashboard!$F$4) * _xlfn.NORM.S.INV(RAND())</f>
        <v>1.0000312652330653E-3</v>
      </c>
    </row>
    <row r="500" spans="18:21" x14ac:dyDescent="0.2">
      <c r="R500" s="49">
        <v>498</v>
      </c>
      <c r="S500" s="59">
        <f ca="1">Dashboard!B$8* Dashboard!$F$4+Dashboard!B$10*SQRT(Dashboard!$F$4) * _xlfn.NORM.S.INV(RAND())</f>
        <v>2.3935472926600665E-3</v>
      </c>
      <c r="T500" s="59">
        <f ca="1">Dashboard!C$8* Dashboard!$F$4+Dashboard!C$10*SQRT(Dashboard!$F$4) * _xlfn.NORM.S.INV(RAND())</f>
        <v>-3.7733599515261541E-2</v>
      </c>
      <c r="U500" s="59">
        <f ca="1">Dashboard!D$8* Dashboard!$F$4+Dashboard!D$10*SQRT(Dashboard!$F$4) * _xlfn.NORM.S.INV(RAND())</f>
        <v>5.5102276228412635E-2</v>
      </c>
    </row>
    <row r="501" spans="18:21" x14ac:dyDescent="0.2">
      <c r="R501" s="49">
        <v>499</v>
      </c>
      <c r="S501" s="59">
        <f ca="1">Dashboard!B$8* Dashboard!$F$4+Dashboard!B$10*SQRT(Dashboard!$F$4) * _xlfn.NORM.S.INV(RAND())</f>
        <v>-5.0155628246510188E-2</v>
      </c>
      <c r="T501" s="59">
        <f ca="1">Dashboard!C$8* Dashboard!$F$4+Dashboard!C$10*SQRT(Dashboard!$F$4) * _xlfn.NORM.S.INV(RAND())</f>
        <v>5.9422617209786498E-2</v>
      </c>
      <c r="U501" s="59">
        <f ca="1">Dashboard!D$8* Dashboard!$F$4+Dashboard!D$10*SQRT(Dashboard!$F$4) * _xlfn.NORM.S.INV(RAND())</f>
        <v>-5.6992764863024292E-2</v>
      </c>
    </row>
    <row r="502" spans="18:21" x14ac:dyDescent="0.2">
      <c r="R502" s="49">
        <v>500</v>
      </c>
      <c r="S502" s="59">
        <f ca="1">Dashboard!B$8* Dashboard!$F$4+Dashboard!B$10*SQRT(Dashboard!$F$4) * _xlfn.NORM.S.INV(RAND())</f>
        <v>1.0427455128149649E-2</v>
      </c>
      <c r="T502" s="59">
        <f ca="1">Dashboard!C$8* Dashboard!$F$4+Dashboard!C$10*SQRT(Dashboard!$F$4) * _xlfn.NORM.S.INV(RAND())</f>
        <v>2.5476298261935964E-2</v>
      </c>
      <c r="U502" s="59">
        <f ca="1">Dashboard!D$8* Dashboard!$F$4+Dashboard!D$10*SQRT(Dashboard!$F$4) * _xlfn.NORM.S.INV(RAND())</f>
        <v>-4.3523852496046005E-2</v>
      </c>
    </row>
    <row r="503" spans="18:21" x14ac:dyDescent="0.2">
      <c r="R503" s="49">
        <v>501</v>
      </c>
      <c r="S503" s="59">
        <f ca="1">Dashboard!B$8* Dashboard!$F$4+Dashboard!B$10*SQRT(Dashboard!$F$4) * _xlfn.NORM.S.INV(RAND())</f>
        <v>-4.1578077517768354E-2</v>
      </c>
      <c r="T503" s="59">
        <f ca="1">Dashboard!C$8* Dashboard!$F$4+Dashboard!C$10*SQRT(Dashboard!$F$4) * _xlfn.NORM.S.INV(RAND())</f>
        <v>-4.8136105847108993E-2</v>
      </c>
      <c r="U503" s="59">
        <f ca="1">Dashboard!D$8* Dashboard!$F$4+Dashboard!D$10*SQRT(Dashboard!$F$4) * _xlfn.NORM.S.INV(RAND())</f>
        <v>1.0457280755922312E-2</v>
      </c>
    </row>
    <row r="504" spans="18:21" x14ac:dyDescent="0.2">
      <c r="R504" s="49">
        <v>502</v>
      </c>
      <c r="S504" s="59">
        <f ca="1">Dashboard!B$8* Dashboard!$F$4+Dashboard!B$10*SQRT(Dashboard!$F$4) * _xlfn.NORM.S.INV(RAND())</f>
        <v>-3.0769327470886836E-2</v>
      </c>
      <c r="T504" s="59">
        <f ca="1">Dashboard!C$8* Dashboard!$F$4+Dashboard!C$10*SQRT(Dashboard!$F$4) * _xlfn.NORM.S.INV(RAND())</f>
        <v>-7.0599413302708205E-2</v>
      </c>
      <c r="U504" s="59">
        <f ca="1">Dashboard!D$8* Dashboard!$F$4+Dashboard!D$10*SQRT(Dashboard!$F$4) * _xlfn.NORM.S.INV(RAND())</f>
        <v>3.4221491865750301E-4</v>
      </c>
    </row>
    <row r="505" spans="18:21" x14ac:dyDescent="0.2">
      <c r="R505" s="49">
        <v>503</v>
      </c>
      <c r="S505" s="59">
        <f ca="1">Dashboard!B$8* Dashboard!$F$4+Dashboard!B$10*SQRT(Dashboard!$F$4) * _xlfn.NORM.S.INV(RAND())</f>
        <v>-4.6653793488505159E-2</v>
      </c>
      <c r="T505" s="59">
        <f ca="1">Dashboard!C$8* Dashboard!$F$4+Dashboard!C$10*SQRT(Dashboard!$F$4) * _xlfn.NORM.S.INV(RAND())</f>
        <v>2.7433171843818959E-3</v>
      </c>
      <c r="U505" s="59">
        <f ca="1">Dashboard!D$8* Dashboard!$F$4+Dashboard!D$10*SQRT(Dashboard!$F$4) * _xlfn.NORM.S.INV(RAND())</f>
        <v>8.3746375470011972E-2</v>
      </c>
    </row>
    <row r="506" spans="18:21" x14ac:dyDescent="0.2">
      <c r="R506" s="49">
        <v>504</v>
      </c>
      <c r="S506" s="59">
        <f ca="1">Dashboard!B$8* Dashboard!$F$4+Dashboard!B$10*SQRT(Dashboard!$F$4) * _xlfn.NORM.S.INV(RAND())</f>
        <v>9.4919918117559697E-3</v>
      </c>
      <c r="T506" s="59">
        <f ca="1">Dashboard!C$8* Dashboard!$F$4+Dashboard!C$10*SQRT(Dashboard!$F$4) * _xlfn.NORM.S.INV(RAND())</f>
        <v>1.2275019036241976E-2</v>
      </c>
      <c r="U506" s="59">
        <f ca="1">Dashboard!D$8* Dashboard!$F$4+Dashboard!D$10*SQRT(Dashboard!$F$4) * _xlfn.NORM.S.INV(RAND())</f>
        <v>2.0722551380840414E-2</v>
      </c>
    </row>
    <row r="507" spans="18:21" x14ac:dyDescent="0.2">
      <c r="R507" s="49">
        <v>505</v>
      </c>
      <c r="S507" s="59">
        <f ca="1">Dashboard!B$8* Dashboard!$F$4+Dashboard!B$10*SQRT(Dashboard!$F$4) * _xlfn.NORM.S.INV(RAND())</f>
        <v>-2.7890257728267955E-2</v>
      </c>
      <c r="T507" s="59">
        <f ca="1">Dashboard!C$8* Dashboard!$F$4+Dashboard!C$10*SQRT(Dashboard!$F$4) * _xlfn.NORM.S.INV(RAND())</f>
        <v>2.2652768528975231E-3</v>
      </c>
      <c r="U507" s="59">
        <f ca="1">Dashboard!D$8* Dashboard!$F$4+Dashboard!D$10*SQRT(Dashboard!$F$4) * _xlfn.NORM.S.INV(RAND())</f>
        <v>5.0087779772821216E-2</v>
      </c>
    </row>
    <row r="508" spans="18:21" x14ac:dyDescent="0.2">
      <c r="R508" s="49">
        <v>506</v>
      </c>
      <c r="S508" s="59">
        <f ca="1">Dashboard!B$8* Dashboard!$F$4+Dashboard!B$10*SQRT(Dashboard!$F$4) * _xlfn.NORM.S.INV(RAND())</f>
        <v>-8.9911524530986164E-2</v>
      </c>
      <c r="T508" s="59">
        <f ca="1">Dashboard!C$8* Dashboard!$F$4+Dashboard!C$10*SQRT(Dashboard!$F$4) * _xlfn.NORM.S.INV(RAND())</f>
        <v>9.26384825594136E-3</v>
      </c>
      <c r="U508" s="59">
        <f ca="1">Dashboard!D$8* Dashboard!$F$4+Dashboard!D$10*SQRT(Dashboard!$F$4) * _xlfn.NORM.S.INV(RAND())</f>
        <v>-7.4622601349164748E-3</v>
      </c>
    </row>
    <row r="509" spans="18:21" x14ac:dyDescent="0.2">
      <c r="R509" s="49">
        <v>507</v>
      </c>
      <c r="S509" s="59">
        <f ca="1">Dashboard!B$8* Dashboard!$F$4+Dashboard!B$10*SQRT(Dashboard!$F$4) * _xlfn.NORM.S.INV(RAND())</f>
        <v>-5.0712558127386169E-2</v>
      </c>
      <c r="T509" s="59">
        <f ca="1">Dashboard!C$8* Dashboard!$F$4+Dashboard!C$10*SQRT(Dashboard!$F$4) * _xlfn.NORM.S.INV(RAND())</f>
        <v>-1.9455071449423093E-2</v>
      </c>
      <c r="U509" s="59">
        <f ca="1">Dashboard!D$8* Dashboard!$F$4+Dashboard!D$10*SQRT(Dashboard!$F$4) * _xlfn.NORM.S.INV(RAND())</f>
        <v>-1.3483077721447299E-2</v>
      </c>
    </row>
    <row r="510" spans="18:21" x14ac:dyDescent="0.2">
      <c r="R510" s="49">
        <v>508</v>
      </c>
      <c r="S510" s="59">
        <f ca="1">Dashboard!B$8* Dashboard!$F$4+Dashboard!B$10*SQRT(Dashboard!$F$4) * _xlfn.NORM.S.INV(RAND())</f>
        <v>-3.9245263288678264E-2</v>
      </c>
      <c r="T510" s="59">
        <f ca="1">Dashboard!C$8* Dashboard!$F$4+Dashboard!C$10*SQRT(Dashboard!$F$4) * _xlfn.NORM.S.INV(RAND())</f>
        <v>5.067854649729911E-2</v>
      </c>
      <c r="U510" s="59">
        <f ca="1">Dashboard!D$8* Dashboard!$F$4+Dashboard!D$10*SQRT(Dashboard!$F$4) * _xlfn.NORM.S.INV(RAND())</f>
        <v>-1.4174503386191688E-2</v>
      </c>
    </row>
    <row r="511" spans="18:21" x14ac:dyDescent="0.2">
      <c r="R511" s="49">
        <v>509</v>
      </c>
      <c r="S511" s="59">
        <f ca="1">Dashboard!B$8* Dashboard!$F$4+Dashboard!B$10*SQRT(Dashboard!$F$4) * _xlfn.NORM.S.INV(RAND())</f>
        <v>-4.6556621088803395E-2</v>
      </c>
      <c r="T511" s="59">
        <f ca="1">Dashboard!C$8* Dashboard!$F$4+Dashboard!C$10*SQRT(Dashboard!$F$4) * _xlfn.NORM.S.INV(RAND())</f>
        <v>-2.6444436032954304E-2</v>
      </c>
      <c r="U511" s="59">
        <f ca="1">Dashboard!D$8* Dashboard!$F$4+Dashboard!D$10*SQRT(Dashboard!$F$4) * _xlfn.NORM.S.INV(RAND())</f>
        <v>-4.1479906995248318E-2</v>
      </c>
    </row>
    <row r="512" spans="18:21" x14ac:dyDescent="0.2">
      <c r="R512" s="49">
        <v>510</v>
      </c>
      <c r="S512" s="59">
        <f ca="1">Dashboard!B$8* Dashboard!$F$4+Dashboard!B$10*SQRT(Dashboard!$F$4) * _xlfn.NORM.S.INV(RAND())</f>
        <v>1.466697396340713E-2</v>
      </c>
      <c r="T512" s="59">
        <f ca="1">Dashboard!C$8* Dashboard!$F$4+Dashboard!C$10*SQRT(Dashboard!$F$4) * _xlfn.NORM.S.INV(RAND())</f>
        <v>2.4740928012641536E-2</v>
      </c>
      <c r="U512" s="59">
        <f ca="1">Dashboard!D$8* Dashboard!$F$4+Dashboard!D$10*SQRT(Dashboard!$F$4) * _xlfn.NORM.S.INV(RAND())</f>
        <v>-1.6893206689709474E-2</v>
      </c>
    </row>
    <row r="513" spans="18:21" x14ac:dyDescent="0.2">
      <c r="R513" s="49">
        <v>511</v>
      </c>
      <c r="S513" s="59">
        <f ca="1">Dashboard!B$8* Dashboard!$F$4+Dashboard!B$10*SQRT(Dashboard!$F$4) * _xlfn.NORM.S.INV(RAND())</f>
        <v>1.2386230185417407E-2</v>
      </c>
      <c r="T513" s="59">
        <f ca="1">Dashboard!C$8* Dashboard!$F$4+Dashboard!C$10*SQRT(Dashboard!$F$4) * _xlfn.NORM.S.INV(RAND())</f>
        <v>4.0781320322122339E-2</v>
      </c>
      <c r="U513" s="59">
        <f ca="1">Dashboard!D$8* Dashboard!$F$4+Dashboard!D$10*SQRT(Dashboard!$F$4) * _xlfn.NORM.S.INV(RAND())</f>
        <v>-4.2973183966973826E-2</v>
      </c>
    </row>
    <row r="514" spans="18:21" x14ac:dyDescent="0.2">
      <c r="R514" s="49">
        <v>512</v>
      </c>
      <c r="S514" s="59">
        <f ca="1">Dashboard!B$8* Dashboard!$F$4+Dashboard!B$10*SQRT(Dashboard!$F$4) * _xlfn.NORM.S.INV(RAND())</f>
        <v>3.2910154723573393E-2</v>
      </c>
      <c r="T514" s="59">
        <f ca="1">Dashboard!C$8* Dashboard!$F$4+Dashboard!C$10*SQRT(Dashboard!$F$4) * _xlfn.NORM.S.INV(RAND())</f>
        <v>-7.3138502681735801E-2</v>
      </c>
      <c r="U514" s="59">
        <f ca="1">Dashboard!D$8* Dashboard!$F$4+Dashboard!D$10*SQRT(Dashboard!$F$4) * _xlfn.NORM.S.INV(RAND())</f>
        <v>-3.5214591637957884E-2</v>
      </c>
    </row>
    <row r="515" spans="18:21" x14ac:dyDescent="0.2">
      <c r="R515" s="49">
        <v>513</v>
      </c>
      <c r="S515" s="59">
        <f ca="1">Dashboard!B$8* Dashboard!$F$4+Dashboard!B$10*SQRT(Dashboard!$F$4) * _xlfn.NORM.S.INV(RAND())</f>
        <v>-4.8665016835096275E-2</v>
      </c>
      <c r="T515" s="59">
        <f ca="1">Dashboard!C$8* Dashboard!$F$4+Dashboard!C$10*SQRT(Dashboard!$F$4) * _xlfn.NORM.S.INV(RAND())</f>
        <v>1.9549032497146512E-2</v>
      </c>
      <c r="U515" s="59">
        <f ca="1">Dashboard!D$8* Dashboard!$F$4+Dashboard!D$10*SQRT(Dashboard!$F$4) * _xlfn.NORM.S.INV(RAND())</f>
        <v>3.9071596859222143E-3</v>
      </c>
    </row>
    <row r="516" spans="18:21" x14ac:dyDescent="0.2">
      <c r="R516" s="49">
        <v>514</v>
      </c>
      <c r="S516" s="59">
        <f ca="1">Dashboard!B$8* Dashboard!$F$4+Dashboard!B$10*SQRT(Dashboard!$F$4) * _xlfn.NORM.S.INV(RAND())</f>
        <v>3.2062057019540811E-2</v>
      </c>
      <c r="T516" s="59">
        <f ca="1">Dashboard!C$8* Dashboard!$F$4+Dashboard!C$10*SQRT(Dashboard!$F$4) * _xlfn.NORM.S.INV(RAND())</f>
        <v>4.9478766464138998E-2</v>
      </c>
      <c r="U516" s="59">
        <f ca="1">Dashboard!D$8* Dashboard!$F$4+Dashboard!D$10*SQRT(Dashboard!$F$4) * _xlfn.NORM.S.INV(RAND())</f>
        <v>2.8285177026512825E-2</v>
      </c>
    </row>
    <row r="517" spans="18:21" x14ac:dyDescent="0.2">
      <c r="R517" s="49">
        <v>515</v>
      </c>
      <c r="S517" s="59">
        <f ca="1">Dashboard!B$8* Dashboard!$F$4+Dashboard!B$10*SQRT(Dashboard!$F$4) * _xlfn.NORM.S.INV(RAND())</f>
        <v>3.6110107245101164E-2</v>
      </c>
      <c r="T517" s="59">
        <f ca="1">Dashboard!C$8* Dashboard!$F$4+Dashboard!C$10*SQRT(Dashboard!$F$4) * _xlfn.NORM.S.INV(RAND())</f>
        <v>2.2494614230013717E-3</v>
      </c>
      <c r="U517" s="59">
        <f ca="1">Dashboard!D$8* Dashboard!$F$4+Dashboard!D$10*SQRT(Dashboard!$F$4) * _xlfn.NORM.S.INV(RAND())</f>
        <v>-8.0925794176224374E-3</v>
      </c>
    </row>
    <row r="518" spans="18:21" x14ac:dyDescent="0.2">
      <c r="R518" s="49">
        <v>516</v>
      </c>
      <c r="S518" s="59">
        <f ca="1">Dashboard!B$8* Dashboard!$F$4+Dashboard!B$10*SQRT(Dashboard!$F$4) * _xlfn.NORM.S.INV(RAND())</f>
        <v>-1.7382775210038465E-2</v>
      </c>
      <c r="T518" s="59">
        <f ca="1">Dashboard!C$8* Dashboard!$F$4+Dashboard!C$10*SQRT(Dashboard!$F$4) * _xlfn.NORM.S.INV(RAND())</f>
        <v>3.8177751872840756E-3</v>
      </c>
      <c r="U518" s="59">
        <f ca="1">Dashboard!D$8* Dashboard!$F$4+Dashboard!D$10*SQRT(Dashboard!$F$4) * _xlfn.NORM.S.INV(RAND())</f>
        <v>1.1948964597126016E-4</v>
      </c>
    </row>
    <row r="519" spans="18:21" x14ac:dyDescent="0.2">
      <c r="R519" s="49">
        <v>517</v>
      </c>
      <c r="S519" s="59">
        <f ca="1">Dashboard!B$8* Dashboard!$F$4+Dashboard!B$10*SQRT(Dashboard!$F$4) * _xlfn.NORM.S.INV(RAND())</f>
        <v>-2.5997360529667582E-3</v>
      </c>
      <c r="T519" s="59">
        <f ca="1">Dashboard!C$8* Dashboard!$F$4+Dashboard!C$10*SQRT(Dashboard!$F$4) * _xlfn.NORM.S.INV(RAND())</f>
        <v>-7.2225348752795902E-3</v>
      </c>
      <c r="U519" s="59">
        <f ca="1">Dashboard!D$8* Dashboard!$F$4+Dashboard!D$10*SQRT(Dashboard!$F$4) * _xlfn.NORM.S.INV(RAND())</f>
        <v>-1.656653760549465E-2</v>
      </c>
    </row>
    <row r="520" spans="18:21" x14ac:dyDescent="0.2">
      <c r="R520" s="49">
        <v>518</v>
      </c>
      <c r="S520" s="59">
        <f ca="1">Dashboard!B$8* Dashboard!$F$4+Dashboard!B$10*SQRT(Dashboard!$F$4) * _xlfn.NORM.S.INV(RAND())</f>
        <v>1.7093341951943591E-2</v>
      </c>
      <c r="T520" s="59">
        <f ca="1">Dashboard!C$8* Dashboard!$F$4+Dashboard!C$10*SQRT(Dashboard!$F$4) * _xlfn.NORM.S.INV(RAND())</f>
        <v>2.3762040567851276E-3</v>
      </c>
      <c r="U520" s="59">
        <f ca="1">Dashboard!D$8* Dashboard!$F$4+Dashboard!D$10*SQRT(Dashboard!$F$4) * _xlfn.NORM.S.INV(RAND())</f>
        <v>8.3442781339508141E-3</v>
      </c>
    </row>
    <row r="521" spans="18:21" x14ac:dyDescent="0.2">
      <c r="R521" s="49">
        <v>519</v>
      </c>
      <c r="S521" s="59">
        <f ca="1">Dashboard!B$8* Dashboard!$F$4+Dashboard!B$10*SQRT(Dashboard!$F$4) * _xlfn.NORM.S.INV(RAND())</f>
        <v>-1.5263061390518454E-2</v>
      </c>
      <c r="T521" s="59">
        <f ca="1">Dashboard!C$8* Dashboard!$F$4+Dashboard!C$10*SQRT(Dashboard!$F$4) * _xlfn.NORM.S.INV(RAND())</f>
        <v>-6.898153882134858E-3</v>
      </c>
      <c r="U521" s="59">
        <f ca="1">Dashboard!D$8* Dashboard!$F$4+Dashboard!D$10*SQRT(Dashboard!$F$4) * _xlfn.NORM.S.INV(RAND())</f>
        <v>5.2244331041462694E-3</v>
      </c>
    </row>
    <row r="522" spans="18:21" x14ac:dyDescent="0.2">
      <c r="R522" s="49">
        <v>520</v>
      </c>
      <c r="S522" s="59">
        <f ca="1">Dashboard!B$8* Dashboard!$F$4+Dashboard!B$10*SQRT(Dashboard!$F$4) * _xlfn.NORM.S.INV(RAND())</f>
        <v>8.3702989916450334E-3</v>
      </c>
      <c r="T522" s="59">
        <f ca="1">Dashboard!C$8* Dashboard!$F$4+Dashboard!C$10*SQRT(Dashboard!$F$4) * _xlfn.NORM.S.INV(RAND())</f>
        <v>-2.140566920812749E-2</v>
      </c>
      <c r="U522" s="59">
        <f ca="1">Dashboard!D$8* Dashboard!$F$4+Dashboard!D$10*SQRT(Dashboard!$F$4) * _xlfn.NORM.S.INV(RAND())</f>
        <v>-1.455067146690241E-2</v>
      </c>
    </row>
    <row r="523" spans="18:21" x14ac:dyDescent="0.2">
      <c r="R523" s="49">
        <v>521</v>
      </c>
      <c r="S523" s="59">
        <f ca="1">Dashboard!B$8* Dashboard!$F$4+Dashboard!B$10*SQRT(Dashboard!$F$4) * _xlfn.NORM.S.INV(RAND())</f>
        <v>6.7112434038300806E-2</v>
      </c>
      <c r="T523" s="59">
        <f ca="1">Dashboard!C$8* Dashboard!$F$4+Dashboard!C$10*SQRT(Dashboard!$F$4) * _xlfn.NORM.S.INV(RAND())</f>
        <v>6.7928118196059232E-4</v>
      </c>
      <c r="U523" s="59">
        <f ca="1">Dashboard!D$8* Dashboard!$F$4+Dashboard!D$10*SQRT(Dashboard!$F$4) * _xlfn.NORM.S.INV(RAND())</f>
        <v>-1.7876686901245813E-2</v>
      </c>
    </row>
    <row r="524" spans="18:21" x14ac:dyDescent="0.2">
      <c r="R524" s="49">
        <v>522</v>
      </c>
      <c r="S524" s="59">
        <f ca="1">Dashboard!B$8* Dashboard!$F$4+Dashboard!B$10*SQRT(Dashboard!$F$4) * _xlfn.NORM.S.INV(RAND())</f>
        <v>7.3859749705552577E-4</v>
      </c>
      <c r="T524" s="59">
        <f ca="1">Dashboard!C$8* Dashboard!$F$4+Dashboard!C$10*SQRT(Dashboard!$F$4) * _xlfn.NORM.S.INV(RAND())</f>
        <v>3.8392584589144685E-2</v>
      </c>
      <c r="U524" s="59">
        <f ca="1">Dashboard!D$8* Dashboard!$F$4+Dashboard!D$10*SQRT(Dashboard!$F$4) * _xlfn.NORM.S.INV(RAND())</f>
        <v>-1.7528439474875892E-2</v>
      </c>
    </row>
    <row r="525" spans="18:21" x14ac:dyDescent="0.2">
      <c r="R525" s="49">
        <v>523</v>
      </c>
      <c r="S525" s="59">
        <f ca="1">Dashboard!B$8* Dashboard!$F$4+Dashboard!B$10*SQRT(Dashboard!$F$4) * _xlfn.NORM.S.INV(RAND())</f>
        <v>-3.8030983999003412E-2</v>
      </c>
      <c r="T525" s="59">
        <f ca="1">Dashboard!C$8* Dashboard!$F$4+Dashboard!C$10*SQRT(Dashboard!$F$4) * _xlfn.NORM.S.INV(RAND())</f>
        <v>-4.1099150600783958E-2</v>
      </c>
      <c r="U525" s="59">
        <f ca="1">Dashboard!D$8* Dashboard!$F$4+Dashboard!D$10*SQRT(Dashboard!$F$4) * _xlfn.NORM.S.INV(RAND())</f>
        <v>-4.5130612488065269E-2</v>
      </c>
    </row>
    <row r="526" spans="18:21" x14ac:dyDescent="0.2">
      <c r="R526" s="49">
        <v>524</v>
      </c>
      <c r="S526" s="59">
        <f ca="1">Dashboard!B$8* Dashboard!$F$4+Dashboard!B$10*SQRT(Dashboard!$F$4) * _xlfn.NORM.S.INV(RAND())</f>
        <v>-1.0153175439919301E-2</v>
      </c>
      <c r="T526" s="59">
        <f ca="1">Dashboard!C$8* Dashboard!$F$4+Dashboard!C$10*SQRT(Dashboard!$F$4) * _xlfn.NORM.S.INV(RAND())</f>
        <v>3.6973559814697091E-2</v>
      </c>
      <c r="U526" s="59">
        <f ca="1">Dashboard!D$8* Dashboard!$F$4+Dashboard!D$10*SQRT(Dashboard!$F$4) * _xlfn.NORM.S.INV(RAND())</f>
        <v>-1.3984357880442985E-4</v>
      </c>
    </row>
    <row r="527" spans="18:21" x14ac:dyDescent="0.2">
      <c r="R527" s="49">
        <v>525</v>
      </c>
      <c r="S527" s="59">
        <f ca="1">Dashboard!B$8* Dashboard!$F$4+Dashboard!B$10*SQRT(Dashboard!$F$4) * _xlfn.NORM.S.INV(RAND())</f>
        <v>-2.5113835665648294E-2</v>
      </c>
      <c r="T527" s="59">
        <f ca="1">Dashboard!C$8* Dashboard!$F$4+Dashboard!C$10*SQRT(Dashboard!$F$4) * _xlfn.NORM.S.INV(RAND())</f>
        <v>-2.0334563079343341E-2</v>
      </c>
      <c r="U527" s="59">
        <f ca="1">Dashboard!D$8* Dashboard!$F$4+Dashboard!D$10*SQRT(Dashboard!$F$4) * _xlfn.NORM.S.INV(RAND())</f>
        <v>-2.0420713179493351E-2</v>
      </c>
    </row>
    <row r="528" spans="18:21" x14ac:dyDescent="0.2">
      <c r="R528" s="49">
        <v>526</v>
      </c>
      <c r="S528" s="59">
        <f ca="1">Dashboard!B$8* Dashboard!$F$4+Dashboard!B$10*SQRT(Dashboard!$F$4) * _xlfn.NORM.S.INV(RAND())</f>
        <v>2.7908607512069791E-2</v>
      </c>
      <c r="T528" s="59">
        <f ca="1">Dashboard!C$8* Dashboard!$F$4+Dashboard!C$10*SQRT(Dashboard!$F$4) * _xlfn.NORM.S.INV(RAND())</f>
        <v>2.4531930498448658E-2</v>
      </c>
      <c r="U528" s="59">
        <f ca="1">Dashboard!D$8* Dashboard!$F$4+Dashboard!D$10*SQRT(Dashboard!$F$4) * _xlfn.NORM.S.INV(RAND())</f>
        <v>-9.6150911798946574E-3</v>
      </c>
    </row>
    <row r="529" spans="18:21" x14ac:dyDescent="0.2">
      <c r="R529" s="49">
        <v>527</v>
      </c>
      <c r="S529" s="59">
        <f ca="1">Dashboard!B$8* Dashboard!$F$4+Dashboard!B$10*SQRT(Dashboard!$F$4) * _xlfn.NORM.S.INV(RAND())</f>
        <v>1.0397105772042125E-2</v>
      </c>
      <c r="T529" s="59">
        <f ca="1">Dashboard!C$8* Dashboard!$F$4+Dashboard!C$10*SQRT(Dashboard!$F$4) * _xlfn.NORM.S.INV(RAND())</f>
        <v>-1.6592901347551339E-2</v>
      </c>
      <c r="U529" s="59">
        <f ca="1">Dashboard!D$8* Dashboard!$F$4+Dashboard!D$10*SQRT(Dashboard!$F$4) * _xlfn.NORM.S.INV(RAND())</f>
        <v>-1.3730409820375511E-2</v>
      </c>
    </row>
    <row r="530" spans="18:21" x14ac:dyDescent="0.2">
      <c r="R530" s="49">
        <v>528</v>
      </c>
      <c r="S530" s="59">
        <f ca="1">Dashboard!B$8* Dashboard!$F$4+Dashboard!B$10*SQRT(Dashboard!$F$4) * _xlfn.NORM.S.INV(RAND())</f>
        <v>2.9225720177938905E-3</v>
      </c>
      <c r="T530" s="59">
        <f ca="1">Dashboard!C$8* Dashboard!$F$4+Dashboard!C$10*SQRT(Dashboard!$F$4) * _xlfn.NORM.S.INV(RAND())</f>
        <v>3.1633855246512306E-2</v>
      </c>
      <c r="U530" s="59">
        <f ca="1">Dashboard!D$8* Dashboard!$F$4+Dashboard!D$10*SQRT(Dashboard!$F$4) * _xlfn.NORM.S.INV(RAND())</f>
        <v>5.800098369034605E-3</v>
      </c>
    </row>
    <row r="531" spans="18:21" x14ac:dyDescent="0.2">
      <c r="R531" s="49">
        <v>529</v>
      </c>
      <c r="S531" s="59">
        <f ca="1">Dashboard!B$8* Dashboard!$F$4+Dashboard!B$10*SQRT(Dashboard!$F$4) * _xlfn.NORM.S.INV(RAND())</f>
        <v>4.7091076172797668E-2</v>
      </c>
      <c r="T531" s="59">
        <f ca="1">Dashboard!C$8* Dashboard!$F$4+Dashboard!C$10*SQRT(Dashboard!$F$4) * _xlfn.NORM.S.INV(RAND())</f>
        <v>-2.0746291591037688E-2</v>
      </c>
      <c r="U531" s="59">
        <f ca="1">Dashboard!D$8* Dashboard!$F$4+Dashboard!D$10*SQRT(Dashboard!$F$4) * _xlfn.NORM.S.INV(RAND())</f>
        <v>3.0910713317047478E-2</v>
      </c>
    </row>
    <row r="532" spans="18:21" x14ac:dyDescent="0.2">
      <c r="R532" s="49">
        <v>530</v>
      </c>
      <c r="S532" s="59">
        <f ca="1">Dashboard!B$8* Dashboard!$F$4+Dashboard!B$10*SQRT(Dashboard!$F$4) * _xlfn.NORM.S.INV(RAND())</f>
        <v>-4.8516733408922111E-2</v>
      </c>
      <c r="T532" s="59">
        <f ca="1">Dashboard!C$8* Dashboard!$F$4+Dashboard!C$10*SQRT(Dashboard!$F$4) * _xlfn.NORM.S.INV(RAND())</f>
        <v>1.9170718178779969E-3</v>
      </c>
      <c r="U532" s="59">
        <f ca="1">Dashboard!D$8* Dashboard!$F$4+Dashboard!D$10*SQRT(Dashboard!$F$4) * _xlfn.NORM.S.INV(RAND())</f>
        <v>-1.8024916240228195E-4</v>
      </c>
    </row>
    <row r="533" spans="18:21" x14ac:dyDescent="0.2">
      <c r="R533" s="49">
        <v>531</v>
      </c>
      <c r="S533" s="59">
        <f ca="1">Dashboard!B$8* Dashboard!$F$4+Dashboard!B$10*SQRT(Dashboard!$F$4) * _xlfn.NORM.S.INV(RAND())</f>
        <v>6.467849353124136E-2</v>
      </c>
      <c r="T533" s="59">
        <f ca="1">Dashboard!C$8* Dashboard!$F$4+Dashboard!C$10*SQRT(Dashboard!$F$4) * _xlfn.NORM.S.INV(RAND())</f>
        <v>-2.2744273321495265E-3</v>
      </c>
      <c r="U533" s="59">
        <f ca="1">Dashboard!D$8* Dashboard!$F$4+Dashboard!D$10*SQRT(Dashboard!$F$4) * _xlfn.NORM.S.INV(RAND())</f>
        <v>5.8105034735517445E-2</v>
      </c>
    </row>
    <row r="534" spans="18:21" x14ac:dyDescent="0.2">
      <c r="R534" s="49">
        <v>532</v>
      </c>
      <c r="S534" s="59">
        <f ca="1">Dashboard!B$8* Dashboard!$F$4+Dashboard!B$10*SQRT(Dashboard!$F$4) * _xlfn.NORM.S.INV(RAND())</f>
        <v>-3.9123790923935933E-2</v>
      </c>
      <c r="T534" s="59">
        <f ca="1">Dashboard!C$8* Dashboard!$F$4+Dashboard!C$10*SQRT(Dashboard!$F$4) * _xlfn.NORM.S.INV(RAND())</f>
        <v>-2.3907453384119516E-2</v>
      </c>
      <c r="U534" s="59">
        <f ca="1">Dashboard!D$8* Dashboard!$F$4+Dashboard!D$10*SQRT(Dashboard!$F$4) * _xlfn.NORM.S.INV(RAND())</f>
        <v>8.4609303349583243E-4</v>
      </c>
    </row>
    <row r="535" spans="18:21" x14ac:dyDescent="0.2">
      <c r="R535" s="49">
        <v>533</v>
      </c>
      <c r="S535" s="59">
        <f ca="1">Dashboard!B$8* Dashboard!$F$4+Dashboard!B$10*SQRT(Dashboard!$F$4) * _xlfn.NORM.S.INV(RAND())</f>
        <v>-3.8149416565165642E-2</v>
      </c>
      <c r="T535" s="59">
        <f ca="1">Dashboard!C$8* Dashboard!$F$4+Dashboard!C$10*SQRT(Dashboard!$F$4) * _xlfn.NORM.S.INV(RAND())</f>
        <v>3.6397812974625653E-2</v>
      </c>
      <c r="U535" s="59">
        <f ca="1">Dashboard!D$8* Dashboard!$F$4+Dashboard!D$10*SQRT(Dashboard!$F$4) * _xlfn.NORM.S.INV(RAND())</f>
        <v>-2.0559062169522541E-2</v>
      </c>
    </row>
    <row r="536" spans="18:21" x14ac:dyDescent="0.2">
      <c r="R536" s="49">
        <v>534</v>
      </c>
      <c r="S536" s="59">
        <f ca="1">Dashboard!B$8* Dashboard!$F$4+Dashboard!B$10*SQRT(Dashboard!$F$4) * _xlfn.NORM.S.INV(RAND())</f>
        <v>1.0340018111341958E-2</v>
      </c>
      <c r="T536" s="59">
        <f ca="1">Dashboard!C$8* Dashboard!$F$4+Dashboard!C$10*SQRT(Dashboard!$F$4) * _xlfn.NORM.S.INV(RAND())</f>
        <v>-3.4635155112747888E-2</v>
      </c>
      <c r="U536" s="59">
        <f ca="1">Dashboard!D$8* Dashboard!$F$4+Dashboard!D$10*SQRT(Dashboard!$F$4) * _xlfn.NORM.S.INV(RAND())</f>
        <v>-3.8266601520220482E-2</v>
      </c>
    </row>
    <row r="537" spans="18:21" x14ac:dyDescent="0.2">
      <c r="R537" s="49">
        <v>535</v>
      </c>
      <c r="S537" s="59">
        <f ca="1">Dashboard!B$8* Dashboard!$F$4+Dashboard!B$10*SQRT(Dashboard!$F$4) * _xlfn.NORM.S.INV(RAND())</f>
        <v>-1.0586029483999476E-2</v>
      </c>
      <c r="T537" s="59">
        <f ca="1">Dashboard!C$8* Dashboard!$F$4+Dashboard!C$10*SQRT(Dashboard!$F$4) * _xlfn.NORM.S.INV(RAND())</f>
        <v>-1.5910192804003836E-2</v>
      </c>
      <c r="U537" s="59">
        <f ca="1">Dashboard!D$8* Dashboard!$F$4+Dashboard!D$10*SQRT(Dashboard!$F$4) * _xlfn.NORM.S.INV(RAND())</f>
        <v>-1.5243715503861437E-2</v>
      </c>
    </row>
    <row r="538" spans="18:21" x14ac:dyDescent="0.2">
      <c r="R538" s="49">
        <v>536</v>
      </c>
      <c r="S538" s="59">
        <f ca="1">Dashboard!B$8* Dashboard!$F$4+Dashboard!B$10*SQRT(Dashboard!$F$4) * _xlfn.NORM.S.INV(RAND())</f>
        <v>-2.6958231078627652E-2</v>
      </c>
      <c r="T538" s="59">
        <f ca="1">Dashboard!C$8* Dashboard!$F$4+Dashboard!C$10*SQRT(Dashboard!$F$4) * _xlfn.NORM.S.INV(RAND())</f>
        <v>5.4567780721300897E-2</v>
      </c>
      <c r="U538" s="59">
        <f ca="1">Dashboard!D$8* Dashboard!$F$4+Dashboard!D$10*SQRT(Dashboard!$F$4) * _xlfn.NORM.S.INV(RAND())</f>
        <v>-3.2585264755100478E-2</v>
      </c>
    </row>
    <row r="539" spans="18:21" x14ac:dyDescent="0.2">
      <c r="R539" s="49">
        <v>537</v>
      </c>
      <c r="S539" s="59">
        <f ca="1">Dashboard!B$8* Dashboard!$F$4+Dashboard!B$10*SQRT(Dashboard!$F$4) * _xlfn.NORM.S.INV(RAND())</f>
        <v>-5.4474068206254896E-3</v>
      </c>
      <c r="T539" s="59">
        <f ca="1">Dashboard!C$8* Dashboard!$F$4+Dashboard!C$10*SQRT(Dashboard!$F$4) * _xlfn.NORM.S.INV(RAND())</f>
        <v>4.9850734276826209E-2</v>
      </c>
      <c r="U539" s="59">
        <f ca="1">Dashboard!D$8* Dashboard!$F$4+Dashboard!D$10*SQRT(Dashboard!$F$4) * _xlfn.NORM.S.INV(RAND())</f>
        <v>-4.1791300488414937E-2</v>
      </c>
    </row>
    <row r="540" spans="18:21" x14ac:dyDescent="0.2">
      <c r="R540" s="49">
        <v>538</v>
      </c>
      <c r="S540" s="59">
        <f ca="1">Dashboard!B$8* Dashboard!$F$4+Dashboard!B$10*SQRT(Dashboard!$F$4) * _xlfn.NORM.S.INV(RAND())</f>
        <v>1.5465080328763078E-3</v>
      </c>
      <c r="T540" s="59">
        <f ca="1">Dashboard!C$8* Dashboard!$F$4+Dashboard!C$10*SQRT(Dashboard!$F$4) * _xlfn.NORM.S.INV(RAND())</f>
        <v>-3.3640172753415652E-2</v>
      </c>
      <c r="U540" s="59">
        <f ca="1">Dashboard!D$8* Dashboard!$F$4+Dashboard!D$10*SQRT(Dashboard!$F$4) * _xlfn.NORM.S.INV(RAND())</f>
        <v>-6.4877307642887044E-2</v>
      </c>
    </row>
    <row r="541" spans="18:21" x14ac:dyDescent="0.2">
      <c r="R541" s="49">
        <v>539</v>
      </c>
      <c r="S541" s="59">
        <f ca="1">Dashboard!B$8* Dashboard!$F$4+Dashboard!B$10*SQRT(Dashboard!$F$4) * _xlfn.NORM.S.INV(RAND())</f>
        <v>-2.7515830525001735E-2</v>
      </c>
      <c r="T541" s="59">
        <f ca="1">Dashboard!C$8* Dashboard!$F$4+Dashboard!C$10*SQRT(Dashboard!$F$4) * _xlfn.NORM.S.INV(RAND())</f>
        <v>3.0715056323738558E-2</v>
      </c>
      <c r="U541" s="59">
        <f ca="1">Dashboard!D$8* Dashboard!$F$4+Dashboard!D$10*SQRT(Dashboard!$F$4) * _xlfn.NORM.S.INV(RAND())</f>
        <v>-5.8159715278385772E-4</v>
      </c>
    </row>
    <row r="542" spans="18:21" x14ac:dyDescent="0.2">
      <c r="R542" s="49">
        <v>540</v>
      </c>
      <c r="S542" s="59">
        <f ca="1">Dashboard!B$8* Dashboard!$F$4+Dashboard!B$10*SQRT(Dashboard!$F$4) * _xlfn.NORM.S.INV(RAND())</f>
        <v>-5.3626024164870174E-2</v>
      </c>
      <c r="T542" s="59">
        <f ca="1">Dashboard!C$8* Dashboard!$F$4+Dashboard!C$10*SQRT(Dashboard!$F$4) * _xlfn.NORM.S.INV(RAND())</f>
        <v>-2.5194588742832959E-2</v>
      </c>
      <c r="U542" s="59">
        <f ca="1">Dashboard!D$8* Dashboard!$F$4+Dashboard!D$10*SQRT(Dashboard!$F$4) * _xlfn.NORM.S.INV(RAND())</f>
        <v>-4.6070300075101191E-2</v>
      </c>
    </row>
    <row r="543" spans="18:21" x14ac:dyDescent="0.2">
      <c r="R543" s="49">
        <v>541</v>
      </c>
      <c r="S543" s="59">
        <f ca="1">Dashboard!B$8* Dashboard!$F$4+Dashboard!B$10*SQRT(Dashboard!$F$4) * _xlfn.NORM.S.INV(RAND())</f>
        <v>-7.0409071864529507E-2</v>
      </c>
      <c r="T543" s="59">
        <f ca="1">Dashboard!C$8* Dashboard!$F$4+Dashboard!C$10*SQRT(Dashboard!$F$4) * _xlfn.NORM.S.INV(RAND())</f>
        <v>-2.9039024335287562E-2</v>
      </c>
      <c r="U543" s="59">
        <f ca="1">Dashboard!D$8* Dashboard!$F$4+Dashboard!D$10*SQRT(Dashboard!$F$4) * _xlfn.NORM.S.INV(RAND())</f>
        <v>-1.606201327377552E-2</v>
      </c>
    </row>
    <row r="544" spans="18:21" x14ac:dyDescent="0.2">
      <c r="R544" s="49">
        <v>542</v>
      </c>
      <c r="S544" s="59">
        <f ca="1">Dashboard!B$8* Dashboard!$F$4+Dashboard!B$10*SQRT(Dashboard!$F$4) * _xlfn.NORM.S.INV(RAND())</f>
        <v>2.7364032072615257E-4</v>
      </c>
      <c r="T544" s="59">
        <f ca="1">Dashboard!C$8* Dashboard!$F$4+Dashboard!C$10*SQRT(Dashboard!$F$4) * _xlfn.NORM.S.INV(RAND())</f>
        <v>8.0443099311768955E-3</v>
      </c>
      <c r="U544" s="59">
        <f ca="1">Dashboard!D$8* Dashboard!$F$4+Dashboard!D$10*SQRT(Dashboard!$F$4) * _xlfn.NORM.S.INV(RAND())</f>
        <v>1.4995290769517475E-2</v>
      </c>
    </row>
    <row r="545" spans="18:21" x14ac:dyDescent="0.2">
      <c r="R545" s="49">
        <v>543</v>
      </c>
      <c r="S545" s="59">
        <f ca="1">Dashboard!B$8* Dashboard!$F$4+Dashboard!B$10*SQRT(Dashboard!$F$4) * _xlfn.NORM.S.INV(RAND())</f>
        <v>5.9245333009466106E-2</v>
      </c>
      <c r="T545" s="59">
        <f ca="1">Dashboard!C$8* Dashboard!$F$4+Dashboard!C$10*SQRT(Dashboard!$F$4) * _xlfn.NORM.S.INV(RAND())</f>
        <v>-9.2913949081999195E-3</v>
      </c>
      <c r="U545" s="59">
        <f ca="1">Dashboard!D$8* Dashboard!$F$4+Dashboard!D$10*SQRT(Dashboard!$F$4) * _xlfn.NORM.S.INV(RAND())</f>
        <v>4.5147683305180292E-2</v>
      </c>
    </row>
    <row r="546" spans="18:21" x14ac:dyDescent="0.2">
      <c r="R546" s="49">
        <v>544</v>
      </c>
      <c r="S546" s="59">
        <f ca="1">Dashboard!B$8* Dashboard!$F$4+Dashboard!B$10*SQRT(Dashboard!$F$4) * _xlfn.NORM.S.INV(RAND())</f>
        <v>-3.2444464236710151E-2</v>
      </c>
      <c r="T546" s="59">
        <f ca="1">Dashboard!C$8* Dashboard!$F$4+Dashboard!C$10*SQRT(Dashboard!$F$4) * _xlfn.NORM.S.INV(RAND())</f>
        <v>-7.1797986914060195E-3</v>
      </c>
      <c r="U546" s="59">
        <f ca="1">Dashboard!D$8* Dashboard!$F$4+Dashboard!D$10*SQRT(Dashboard!$F$4) * _xlfn.NORM.S.INV(RAND())</f>
        <v>-3.4484635596340497E-2</v>
      </c>
    </row>
    <row r="547" spans="18:21" x14ac:dyDescent="0.2">
      <c r="R547" s="49">
        <v>545</v>
      </c>
      <c r="S547" s="59">
        <f ca="1">Dashboard!B$8* Dashboard!$F$4+Dashboard!B$10*SQRT(Dashboard!$F$4) * _xlfn.NORM.S.INV(RAND())</f>
        <v>-4.9164761960037388E-3</v>
      </c>
      <c r="T547" s="59">
        <f ca="1">Dashboard!C$8* Dashboard!$F$4+Dashboard!C$10*SQRT(Dashboard!$F$4) * _xlfn.NORM.S.INV(RAND())</f>
        <v>3.6029338545211648E-2</v>
      </c>
      <c r="U547" s="59">
        <f ca="1">Dashboard!D$8* Dashboard!$F$4+Dashboard!D$10*SQRT(Dashboard!$F$4) * _xlfn.NORM.S.INV(RAND())</f>
        <v>-4.4524102650873656E-2</v>
      </c>
    </row>
    <row r="548" spans="18:21" x14ac:dyDescent="0.2">
      <c r="R548" s="49">
        <v>546</v>
      </c>
      <c r="S548" s="59">
        <f ca="1">Dashboard!B$8* Dashboard!$F$4+Dashboard!B$10*SQRT(Dashboard!$F$4) * _xlfn.NORM.S.INV(RAND())</f>
        <v>-5.7270050219201431E-2</v>
      </c>
      <c r="T548" s="59">
        <f ca="1">Dashboard!C$8* Dashboard!$F$4+Dashboard!C$10*SQRT(Dashboard!$F$4) * _xlfn.NORM.S.INV(RAND())</f>
        <v>-1.6740556799312686E-2</v>
      </c>
      <c r="U548" s="59">
        <f ca="1">Dashboard!D$8* Dashboard!$F$4+Dashboard!D$10*SQRT(Dashboard!$F$4) * _xlfn.NORM.S.INV(RAND())</f>
        <v>8.1654328920655481E-2</v>
      </c>
    </row>
    <row r="549" spans="18:21" x14ac:dyDescent="0.2">
      <c r="R549" s="49">
        <v>547</v>
      </c>
      <c r="S549" s="59">
        <f ca="1">Dashboard!B$8* Dashboard!$F$4+Dashboard!B$10*SQRT(Dashboard!$F$4) * _xlfn.NORM.S.INV(RAND())</f>
        <v>-5.2061652098127631E-3</v>
      </c>
      <c r="T549" s="59">
        <f ca="1">Dashboard!C$8* Dashboard!$F$4+Dashboard!C$10*SQRT(Dashboard!$F$4) * _xlfn.NORM.S.INV(RAND())</f>
        <v>-1.4924670115105773E-2</v>
      </c>
      <c r="U549" s="59">
        <f ca="1">Dashboard!D$8* Dashboard!$F$4+Dashboard!D$10*SQRT(Dashboard!$F$4) * _xlfn.NORM.S.INV(RAND())</f>
        <v>-5.4725610397717055E-2</v>
      </c>
    </row>
    <row r="550" spans="18:21" x14ac:dyDescent="0.2">
      <c r="R550" s="49">
        <v>548</v>
      </c>
      <c r="S550" s="59">
        <f ca="1">Dashboard!B$8* Dashboard!$F$4+Dashboard!B$10*SQRT(Dashboard!$F$4) * _xlfn.NORM.S.INV(RAND())</f>
        <v>-2.2368435773749397E-2</v>
      </c>
      <c r="T550" s="59">
        <f ca="1">Dashboard!C$8* Dashboard!$F$4+Dashboard!C$10*SQRT(Dashboard!$F$4) * _xlfn.NORM.S.INV(RAND())</f>
        <v>6.391417871993833E-3</v>
      </c>
      <c r="U550" s="59">
        <f ca="1">Dashboard!D$8* Dashboard!$F$4+Dashboard!D$10*SQRT(Dashboard!$F$4) * _xlfn.NORM.S.INV(RAND())</f>
        <v>4.3415629971341554E-4</v>
      </c>
    </row>
    <row r="551" spans="18:21" x14ac:dyDescent="0.2">
      <c r="R551" s="49">
        <v>549</v>
      </c>
      <c r="S551" s="59">
        <f ca="1">Dashboard!B$8* Dashboard!$F$4+Dashboard!B$10*SQRT(Dashboard!$F$4) * _xlfn.NORM.S.INV(RAND())</f>
        <v>4.2828516628193279E-3</v>
      </c>
      <c r="T551" s="59">
        <f ca="1">Dashboard!C$8* Dashboard!$F$4+Dashboard!C$10*SQRT(Dashboard!$F$4) * _xlfn.NORM.S.INV(RAND())</f>
        <v>2.3620598594414656E-2</v>
      </c>
      <c r="U551" s="59">
        <f ca="1">Dashboard!D$8* Dashboard!$F$4+Dashboard!D$10*SQRT(Dashboard!$F$4) * _xlfn.NORM.S.INV(RAND())</f>
        <v>-1.4353186881861824E-2</v>
      </c>
    </row>
    <row r="552" spans="18:21" x14ac:dyDescent="0.2">
      <c r="R552" s="49">
        <v>550</v>
      </c>
      <c r="S552" s="59">
        <f ca="1">Dashboard!B$8* Dashboard!$F$4+Dashboard!B$10*SQRT(Dashboard!$F$4) * _xlfn.NORM.S.INV(RAND())</f>
        <v>1.9742626642080346E-2</v>
      </c>
      <c r="T552" s="59">
        <f ca="1">Dashboard!C$8* Dashboard!$F$4+Dashboard!C$10*SQRT(Dashboard!$F$4) * _xlfn.NORM.S.INV(RAND())</f>
        <v>-7.0214113384897345E-2</v>
      </c>
      <c r="U552" s="59">
        <f ca="1">Dashboard!D$8* Dashboard!$F$4+Dashboard!D$10*SQRT(Dashboard!$F$4) * _xlfn.NORM.S.INV(RAND())</f>
        <v>2.527327709444244E-2</v>
      </c>
    </row>
    <row r="553" spans="18:21" x14ac:dyDescent="0.2">
      <c r="R553" s="49">
        <v>551</v>
      </c>
      <c r="S553" s="59">
        <f ca="1">Dashboard!B$8* Dashboard!$F$4+Dashboard!B$10*SQRT(Dashboard!$F$4) * _xlfn.NORM.S.INV(RAND())</f>
        <v>-2.3793191361190749E-2</v>
      </c>
      <c r="T553" s="59">
        <f ca="1">Dashboard!C$8* Dashboard!$F$4+Dashboard!C$10*SQRT(Dashboard!$F$4) * _xlfn.NORM.S.INV(RAND())</f>
        <v>3.5050919558420997E-2</v>
      </c>
      <c r="U553" s="59">
        <f ca="1">Dashboard!D$8* Dashboard!$F$4+Dashboard!D$10*SQRT(Dashboard!$F$4) * _xlfn.NORM.S.INV(RAND())</f>
        <v>-2.896739048038658E-2</v>
      </c>
    </row>
    <row r="554" spans="18:21" x14ac:dyDescent="0.2">
      <c r="R554" s="49">
        <v>552</v>
      </c>
      <c r="S554" s="59">
        <f ca="1">Dashboard!B$8* Dashboard!$F$4+Dashboard!B$10*SQRT(Dashboard!$F$4) * _xlfn.NORM.S.INV(RAND())</f>
        <v>1.9098058104992204E-2</v>
      </c>
      <c r="T554" s="59">
        <f ca="1">Dashboard!C$8* Dashboard!$F$4+Dashboard!C$10*SQRT(Dashboard!$F$4) * _xlfn.NORM.S.INV(RAND())</f>
        <v>3.0266037086531045E-2</v>
      </c>
      <c r="U554" s="59">
        <f ca="1">Dashboard!D$8* Dashboard!$F$4+Dashboard!D$10*SQRT(Dashboard!$F$4) * _xlfn.NORM.S.INV(RAND())</f>
        <v>-5.079552244063231E-4</v>
      </c>
    </row>
    <row r="555" spans="18:21" x14ac:dyDescent="0.2">
      <c r="R555" s="49">
        <v>553</v>
      </c>
      <c r="S555" s="59">
        <f ca="1">Dashboard!B$8* Dashboard!$F$4+Dashboard!B$10*SQRT(Dashboard!$F$4) * _xlfn.NORM.S.INV(RAND())</f>
        <v>-9.6136626831140205E-3</v>
      </c>
      <c r="T555" s="59">
        <f ca="1">Dashboard!C$8* Dashboard!$F$4+Dashboard!C$10*SQRT(Dashboard!$F$4) * _xlfn.NORM.S.INV(RAND())</f>
        <v>-1.8933202311062797E-2</v>
      </c>
      <c r="U555" s="59">
        <f ca="1">Dashboard!D$8* Dashboard!$F$4+Dashboard!D$10*SQRT(Dashboard!$F$4) * _xlfn.NORM.S.INV(RAND())</f>
        <v>-1.2641325725192281E-2</v>
      </c>
    </row>
    <row r="556" spans="18:21" x14ac:dyDescent="0.2">
      <c r="R556" s="49">
        <v>554</v>
      </c>
      <c r="S556" s="59">
        <f ca="1">Dashboard!B$8* Dashboard!$F$4+Dashboard!B$10*SQRT(Dashboard!$F$4) * _xlfn.NORM.S.INV(RAND())</f>
        <v>6.2628856634035605E-3</v>
      </c>
      <c r="T556" s="59">
        <f ca="1">Dashboard!C$8* Dashboard!$F$4+Dashboard!C$10*SQRT(Dashboard!$F$4) * _xlfn.NORM.S.INV(RAND())</f>
        <v>-1.4814379104237628E-2</v>
      </c>
      <c r="U556" s="59">
        <f ca="1">Dashboard!D$8* Dashboard!$F$4+Dashboard!D$10*SQRT(Dashboard!$F$4) * _xlfn.NORM.S.INV(RAND())</f>
        <v>3.0748137655514814E-2</v>
      </c>
    </row>
    <row r="557" spans="18:21" x14ac:dyDescent="0.2">
      <c r="R557" s="49">
        <v>555</v>
      </c>
      <c r="S557" s="59">
        <f ca="1">Dashboard!B$8* Dashboard!$F$4+Dashboard!B$10*SQRT(Dashboard!$F$4) * _xlfn.NORM.S.INV(RAND())</f>
        <v>1.8543773742108006E-2</v>
      </c>
      <c r="T557" s="59">
        <f ca="1">Dashboard!C$8* Dashboard!$F$4+Dashboard!C$10*SQRT(Dashboard!$F$4) * _xlfn.NORM.S.INV(RAND())</f>
        <v>6.3793772153977135E-2</v>
      </c>
      <c r="U557" s="59">
        <f ca="1">Dashboard!D$8* Dashboard!$F$4+Dashboard!D$10*SQRT(Dashboard!$F$4) * _xlfn.NORM.S.INV(RAND())</f>
        <v>3.1814690641963732E-2</v>
      </c>
    </row>
    <row r="558" spans="18:21" x14ac:dyDescent="0.2">
      <c r="R558" s="49">
        <v>556</v>
      </c>
      <c r="S558" s="59">
        <f ca="1">Dashboard!B$8* Dashboard!$F$4+Dashboard!B$10*SQRT(Dashboard!$F$4) * _xlfn.NORM.S.INV(RAND())</f>
        <v>-1.5008811697521152E-2</v>
      </c>
      <c r="T558" s="59">
        <f ca="1">Dashboard!C$8* Dashboard!$F$4+Dashboard!C$10*SQRT(Dashboard!$F$4) * _xlfn.NORM.S.INV(RAND())</f>
        <v>5.3643903807904583E-3</v>
      </c>
      <c r="U558" s="59">
        <f ca="1">Dashboard!D$8* Dashboard!$F$4+Dashboard!D$10*SQRT(Dashboard!$F$4) * _xlfn.NORM.S.INV(RAND())</f>
        <v>2.3510090231085631E-2</v>
      </c>
    </row>
    <row r="559" spans="18:21" x14ac:dyDescent="0.2">
      <c r="R559" s="49">
        <v>557</v>
      </c>
      <c r="S559" s="59">
        <f ca="1">Dashboard!B$8* Dashboard!$F$4+Dashboard!B$10*SQRT(Dashboard!$F$4) * _xlfn.NORM.S.INV(RAND())</f>
        <v>-2.0333604134598095E-2</v>
      </c>
      <c r="T559" s="59">
        <f ca="1">Dashboard!C$8* Dashboard!$F$4+Dashboard!C$10*SQRT(Dashboard!$F$4) * _xlfn.NORM.S.INV(RAND())</f>
        <v>-1.0809286144247291E-3</v>
      </c>
      <c r="U559" s="59">
        <f ca="1">Dashboard!D$8* Dashboard!$F$4+Dashboard!D$10*SQRT(Dashboard!$F$4) * _xlfn.NORM.S.INV(RAND())</f>
        <v>-3.1207244564520318E-2</v>
      </c>
    </row>
    <row r="560" spans="18:21" x14ac:dyDescent="0.2">
      <c r="R560" s="49">
        <v>558</v>
      </c>
      <c r="S560" s="59">
        <f ca="1">Dashboard!B$8* Dashboard!$F$4+Dashboard!B$10*SQRT(Dashboard!$F$4) * _xlfn.NORM.S.INV(RAND())</f>
        <v>-2.2953050647322296E-2</v>
      </c>
      <c r="T560" s="59">
        <f ca="1">Dashboard!C$8* Dashboard!$F$4+Dashboard!C$10*SQRT(Dashboard!$F$4) * _xlfn.NORM.S.INV(RAND())</f>
        <v>-4.1253479050190854E-2</v>
      </c>
      <c r="U560" s="59">
        <f ca="1">Dashboard!D$8* Dashboard!$F$4+Dashboard!D$10*SQRT(Dashboard!$F$4) * _xlfn.NORM.S.INV(RAND())</f>
        <v>1.4715987980391034E-2</v>
      </c>
    </row>
    <row r="561" spans="18:21" x14ac:dyDescent="0.2">
      <c r="R561" s="49">
        <v>559</v>
      </c>
      <c r="S561" s="59">
        <f ca="1">Dashboard!B$8* Dashboard!$F$4+Dashboard!B$10*SQRT(Dashboard!$F$4) * _xlfn.NORM.S.INV(RAND())</f>
        <v>-3.6324482116385552E-2</v>
      </c>
      <c r="T561" s="59">
        <f ca="1">Dashboard!C$8* Dashboard!$F$4+Dashboard!C$10*SQRT(Dashboard!$F$4) * _xlfn.NORM.S.INV(RAND())</f>
        <v>1.0046914471888642E-2</v>
      </c>
      <c r="U561" s="59">
        <f ca="1">Dashboard!D$8* Dashboard!$F$4+Dashboard!D$10*SQRT(Dashboard!$F$4) * _xlfn.NORM.S.INV(RAND())</f>
        <v>1.5137075432629309E-2</v>
      </c>
    </row>
    <row r="562" spans="18:21" x14ac:dyDescent="0.2">
      <c r="R562" s="49">
        <v>560</v>
      </c>
      <c r="S562" s="59">
        <f ca="1">Dashboard!B$8* Dashboard!$F$4+Dashboard!B$10*SQRT(Dashboard!$F$4) * _xlfn.NORM.S.INV(RAND())</f>
        <v>-1.365503208133329E-2</v>
      </c>
      <c r="T562" s="59">
        <f ca="1">Dashboard!C$8* Dashboard!$F$4+Dashboard!C$10*SQRT(Dashboard!$F$4) * _xlfn.NORM.S.INV(RAND())</f>
        <v>1.6992317490487343E-3</v>
      </c>
      <c r="U562" s="59">
        <f ca="1">Dashboard!D$8* Dashboard!$F$4+Dashboard!D$10*SQRT(Dashboard!$F$4) * _xlfn.NORM.S.INV(RAND())</f>
        <v>2.5885469507476746E-2</v>
      </c>
    </row>
    <row r="563" spans="18:21" x14ac:dyDescent="0.2">
      <c r="R563" s="49">
        <v>561</v>
      </c>
      <c r="S563" s="59">
        <f ca="1">Dashboard!B$8* Dashboard!$F$4+Dashboard!B$10*SQRT(Dashboard!$F$4) * _xlfn.NORM.S.INV(RAND())</f>
        <v>-3.902321918313529E-2</v>
      </c>
      <c r="T563" s="59">
        <f ca="1">Dashboard!C$8* Dashboard!$F$4+Dashboard!C$10*SQRT(Dashboard!$F$4) * _xlfn.NORM.S.INV(RAND())</f>
        <v>-2.4326441422129873E-2</v>
      </c>
      <c r="U563" s="59">
        <f ca="1">Dashboard!D$8* Dashboard!$F$4+Dashboard!D$10*SQRT(Dashboard!$F$4) * _xlfn.NORM.S.INV(RAND())</f>
        <v>-3.788682305649848E-2</v>
      </c>
    </row>
    <row r="564" spans="18:21" x14ac:dyDescent="0.2">
      <c r="R564" s="49">
        <v>562</v>
      </c>
      <c r="S564" s="59">
        <f ca="1">Dashboard!B$8* Dashboard!$F$4+Dashboard!B$10*SQRT(Dashboard!$F$4) * _xlfn.NORM.S.INV(RAND())</f>
        <v>1.9195302989713312E-3</v>
      </c>
      <c r="T564" s="59">
        <f ca="1">Dashboard!C$8* Dashboard!$F$4+Dashboard!C$10*SQRT(Dashboard!$F$4) * _xlfn.NORM.S.INV(RAND())</f>
        <v>4.7517259109702899E-2</v>
      </c>
      <c r="U564" s="59">
        <f ca="1">Dashboard!D$8* Dashboard!$F$4+Dashboard!D$10*SQRT(Dashboard!$F$4) * _xlfn.NORM.S.INV(RAND())</f>
        <v>6.3984709852792157E-3</v>
      </c>
    </row>
    <row r="565" spans="18:21" x14ac:dyDescent="0.2">
      <c r="R565" s="49">
        <v>563</v>
      </c>
      <c r="S565" s="59">
        <f ca="1">Dashboard!B$8* Dashboard!$F$4+Dashboard!B$10*SQRT(Dashboard!$F$4) * _xlfn.NORM.S.INV(RAND())</f>
        <v>1.5579119839410167E-3</v>
      </c>
      <c r="T565" s="59">
        <f ca="1">Dashboard!C$8* Dashboard!$F$4+Dashboard!C$10*SQRT(Dashboard!$F$4) * _xlfn.NORM.S.INV(RAND())</f>
        <v>1.4080830315039348E-2</v>
      </c>
      <c r="U565" s="59">
        <f ca="1">Dashboard!D$8* Dashboard!$F$4+Dashboard!D$10*SQRT(Dashboard!$F$4) * _xlfn.NORM.S.INV(RAND())</f>
        <v>-7.6696569382987004E-3</v>
      </c>
    </row>
    <row r="566" spans="18:21" x14ac:dyDescent="0.2">
      <c r="R566" s="49">
        <v>564</v>
      </c>
      <c r="S566" s="59">
        <f ca="1">Dashboard!B$8* Dashboard!$F$4+Dashboard!B$10*SQRT(Dashboard!$F$4) * _xlfn.NORM.S.INV(RAND())</f>
        <v>8.7415304370542912E-3</v>
      </c>
      <c r="T566" s="59">
        <f ca="1">Dashboard!C$8* Dashboard!$F$4+Dashboard!C$10*SQRT(Dashboard!$F$4) * _xlfn.NORM.S.INV(RAND())</f>
        <v>5.8145935956950695E-2</v>
      </c>
      <c r="U566" s="59">
        <f ca="1">Dashboard!D$8* Dashboard!$F$4+Dashboard!D$10*SQRT(Dashboard!$F$4) * _xlfn.NORM.S.INV(RAND())</f>
        <v>2.0053415922649986E-2</v>
      </c>
    </row>
    <row r="567" spans="18:21" x14ac:dyDescent="0.2">
      <c r="R567" s="49">
        <v>565</v>
      </c>
      <c r="S567" s="59">
        <f ca="1">Dashboard!B$8* Dashboard!$F$4+Dashboard!B$10*SQRT(Dashboard!$F$4) * _xlfn.NORM.S.INV(RAND())</f>
        <v>1.3685175147596243E-2</v>
      </c>
      <c r="T567" s="59">
        <f ca="1">Dashboard!C$8* Dashboard!$F$4+Dashboard!C$10*SQRT(Dashboard!$F$4) * _xlfn.NORM.S.INV(RAND())</f>
        <v>-3.9705412035392568E-3</v>
      </c>
      <c r="U567" s="59">
        <f ca="1">Dashboard!D$8* Dashboard!$F$4+Dashboard!D$10*SQRT(Dashboard!$F$4) * _xlfn.NORM.S.INV(RAND())</f>
        <v>2.922331824970989E-2</v>
      </c>
    </row>
    <row r="568" spans="18:21" x14ac:dyDescent="0.2">
      <c r="R568" s="49">
        <v>566</v>
      </c>
      <c r="S568" s="59">
        <f ca="1">Dashboard!B$8* Dashboard!$F$4+Dashboard!B$10*SQRT(Dashboard!$F$4) * _xlfn.NORM.S.INV(RAND())</f>
        <v>2.8595782975461378E-2</v>
      </c>
      <c r="T568" s="59">
        <f ca="1">Dashboard!C$8* Dashboard!$F$4+Dashboard!C$10*SQRT(Dashboard!$F$4) * _xlfn.NORM.S.INV(RAND())</f>
        <v>-5.8809433275939682E-2</v>
      </c>
      <c r="U568" s="59">
        <f ca="1">Dashboard!D$8* Dashboard!$F$4+Dashboard!D$10*SQRT(Dashboard!$F$4) * _xlfn.NORM.S.INV(RAND())</f>
        <v>-7.7985778083992938E-3</v>
      </c>
    </row>
    <row r="569" spans="18:21" x14ac:dyDescent="0.2">
      <c r="R569" s="49">
        <v>567</v>
      </c>
      <c r="S569" s="59">
        <f ca="1">Dashboard!B$8* Dashboard!$F$4+Dashboard!B$10*SQRT(Dashboard!$F$4) * _xlfn.NORM.S.INV(RAND())</f>
        <v>2.6863528787051134E-3</v>
      </c>
      <c r="T569" s="59">
        <f ca="1">Dashboard!C$8* Dashboard!$F$4+Dashboard!C$10*SQRT(Dashboard!$F$4) * _xlfn.NORM.S.INV(RAND())</f>
        <v>3.0815742787408333E-2</v>
      </c>
      <c r="U569" s="59">
        <f ca="1">Dashboard!D$8* Dashboard!$F$4+Dashboard!D$10*SQRT(Dashboard!$F$4) * _xlfn.NORM.S.INV(RAND())</f>
        <v>1.4973324422171239E-2</v>
      </c>
    </row>
    <row r="570" spans="18:21" x14ac:dyDescent="0.2">
      <c r="R570" s="49">
        <v>568</v>
      </c>
      <c r="S570" s="59">
        <f ca="1">Dashboard!B$8* Dashboard!$F$4+Dashboard!B$10*SQRT(Dashboard!$F$4) * _xlfn.NORM.S.INV(RAND())</f>
        <v>-1.406001750334685E-3</v>
      </c>
      <c r="T570" s="59">
        <f ca="1">Dashboard!C$8* Dashboard!$F$4+Dashboard!C$10*SQRT(Dashboard!$F$4) * _xlfn.NORM.S.INV(RAND())</f>
        <v>5.2931793811040106E-3</v>
      </c>
      <c r="U570" s="59">
        <f ca="1">Dashboard!D$8* Dashboard!$F$4+Dashboard!D$10*SQRT(Dashboard!$F$4) * _xlfn.NORM.S.INV(RAND())</f>
        <v>4.6373833074755982E-2</v>
      </c>
    </row>
    <row r="571" spans="18:21" x14ac:dyDescent="0.2">
      <c r="R571" s="49">
        <v>569</v>
      </c>
      <c r="S571" s="59">
        <f ca="1">Dashboard!B$8* Dashboard!$F$4+Dashboard!B$10*SQRT(Dashboard!$F$4) * _xlfn.NORM.S.INV(RAND())</f>
        <v>5.6312357178850032E-2</v>
      </c>
      <c r="T571" s="59">
        <f ca="1">Dashboard!C$8* Dashboard!$F$4+Dashboard!C$10*SQRT(Dashboard!$F$4) * _xlfn.NORM.S.INV(RAND())</f>
        <v>2.6123346729546731E-2</v>
      </c>
      <c r="U571" s="59">
        <f ca="1">Dashboard!D$8* Dashboard!$F$4+Dashboard!D$10*SQRT(Dashboard!$F$4) * _xlfn.NORM.S.INV(RAND())</f>
        <v>5.1601420612331562E-2</v>
      </c>
    </row>
    <row r="572" spans="18:21" x14ac:dyDescent="0.2">
      <c r="R572" s="49">
        <v>570</v>
      </c>
      <c r="S572" s="59">
        <f ca="1">Dashboard!B$8* Dashboard!$F$4+Dashboard!B$10*SQRT(Dashboard!$F$4) * _xlfn.NORM.S.INV(RAND())</f>
        <v>-7.5161700963819814E-2</v>
      </c>
      <c r="T572" s="59">
        <f ca="1">Dashboard!C$8* Dashboard!$F$4+Dashboard!C$10*SQRT(Dashboard!$F$4) * _xlfn.NORM.S.INV(RAND())</f>
        <v>2.3494960288155762E-2</v>
      </c>
      <c r="U572" s="59">
        <f ca="1">Dashboard!D$8* Dashboard!$F$4+Dashboard!D$10*SQRT(Dashboard!$F$4) * _xlfn.NORM.S.INV(RAND())</f>
        <v>1.2822049820540818E-2</v>
      </c>
    </row>
    <row r="573" spans="18:21" x14ac:dyDescent="0.2">
      <c r="R573" s="49">
        <v>571</v>
      </c>
      <c r="S573" s="59">
        <f ca="1">Dashboard!B$8* Dashboard!$F$4+Dashboard!B$10*SQRT(Dashboard!$F$4) * _xlfn.NORM.S.INV(RAND())</f>
        <v>-1.8688701062698457E-3</v>
      </c>
      <c r="T573" s="59">
        <f ca="1">Dashboard!C$8* Dashboard!$F$4+Dashboard!C$10*SQRT(Dashboard!$F$4) * _xlfn.NORM.S.INV(RAND())</f>
        <v>2.1534521758916809E-2</v>
      </c>
      <c r="U573" s="59">
        <f ca="1">Dashboard!D$8* Dashboard!$F$4+Dashboard!D$10*SQRT(Dashboard!$F$4) * _xlfn.NORM.S.INV(RAND())</f>
        <v>2.4124188925079792E-2</v>
      </c>
    </row>
    <row r="574" spans="18:21" x14ac:dyDescent="0.2">
      <c r="R574" s="49">
        <v>572</v>
      </c>
      <c r="S574" s="59">
        <f ca="1">Dashboard!B$8* Dashboard!$F$4+Dashboard!B$10*SQRT(Dashboard!$F$4) * _xlfn.NORM.S.INV(RAND())</f>
        <v>1.4726523570608078E-2</v>
      </c>
      <c r="T574" s="59">
        <f ca="1">Dashboard!C$8* Dashboard!$F$4+Dashboard!C$10*SQRT(Dashboard!$F$4) * _xlfn.NORM.S.INV(RAND())</f>
        <v>-1.988613927651689E-2</v>
      </c>
      <c r="U574" s="59">
        <f ca="1">Dashboard!D$8* Dashboard!$F$4+Dashboard!D$10*SQRT(Dashboard!$F$4) * _xlfn.NORM.S.INV(RAND())</f>
        <v>6.2860156389290397E-3</v>
      </c>
    </row>
    <row r="575" spans="18:21" x14ac:dyDescent="0.2">
      <c r="R575" s="49">
        <v>573</v>
      </c>
      <c r="S575" s="59">
        <f ca="1">Dashboard!B$8* Dashboard!$F$4+Dashboard!B$10*SQRT(Dashboard!$F$4) * _xlfn.NORM.S.INV(RAND())</f>
        <v>6.7870381551898319E-4</v>
      </c>
      <c r="T575" s="59">
        <f ca="1">Dashboard!C$8* Dashboard!$F$4+Dashboard!C$10*SQRT(Dashboard!$F$4) * _xlfn.NORM.S.INV(RAND())</f>
        <v>-3.0381091329043038E-2</v>
      </c>
      <c r="U575" s="59">
        <f ca="1">Dashboard!D$8* Dashboard!$F$4+Dashboard!D$10*SQRT(Dashboard!$F$4) * _xlfn.NORM.S.INV(RAND())</f>
        <v>-4.048935325453854E-3</v>
      </c>
    </row>
    <row r="576" spans="18:21" x14ac:dyDescent="0.2">
      <c r="R576" s="49">
        <v>574</v>
      </c>
      <c r="S576" s="59">
        <f ca="1">Dashboard!B$8* Dashboard!$F$4+Dashboard!B$10*SQRT(Dashboard!$F$4) * _xlfn.NORM.S.INV(RAND())</f>
        <v>-5.0459079185423514E-2</v>
      </c>
      <c r="T576" s="59">
        <f ca="1">Dashboard!C$8* Dashboard!$F$4+Dashboard!C$10*SQRT(Dashboard!$F$4) * _xlfn.NORM.S.INV(RAND())</f>
        <v>-3.3591976375655294E-2</v>
      </c>
      <c r="U576" s="59">
        <f ca="1">Dashboard!D$8* Dashboard!$F$4+Dashboard!D$10*SQRT(Dashboard!$F$4) * _xlfn.NORM.S.INV(RAND())</f>
        <v>2.3337197513869961E-2</v>
      </c>
    </row>
    <row r="577" spans="18:21" x14ac:dyDescent="0.2">
      <c r="R577" s="49">
        <v>575</v>
      </c>
      <c r="S577" s="59">
        <f ca="1">Dashboard!B$8* Dashboard!$F$4+Dashboard!B$10*SQRT(Dashboard!$F$4) * _xlfn.NORM.S.INV(RAND())</f>
        <v>-4.8868121579382577E-2</v>
      </c>
      <c r="T577" s="59">
        <f ca="1">Dashboard!C$8* Dashboard!$F$4+Dashboard!C$10*SQRT(Dashboard!$F$4) * _xlfn.NORM.S.INV(RAND())</f>
        <v>-1.5356241917374051E-2</v>
      </c>
      <c r="U577" s="59">
        <f ca="1">Dashboard!D$8* Dashboard!$F$4+Dashboard!D$10*SQRT(Dashboard!$F$4) * _xlfn.NORM.S.INV(RAND())</f>
        <v>-1.9880926864307993E-2</v>
      </c>
    </row>
    <row r="578" spans="18:21" x14ac:dyDescent="0.2">
      <c r="R578" s="49">
        <v>576</v>
      </c>
      <c r="S578" s="59">
        <f ca="1">Dashboard!B$8* Dashboard!$F$4+Dashboard!B$10*SQRT(Dashboard!$F$4) * _xlfn.NORM.S.INV(RAND())</f>
        <v>-2.6454717420854035E-2</v>
      </c>
      <c r="T578" s="59">
        <f ca="1">Dashboard!C$8* Dashboard!$F$4+Dashboard!C$10*SQRT(Dashboard!$F$4) * _xlfn.NORM.S.INV(RAND())</f>
        <v>-6.6141456408407105E-4</v>
      </c>
      <c r="U578" s="59">
        <f ca="1">Dashboard!D$8* Dashboard!$F$4+Dashboard!D$10*SQRT(Dashboard!$F$4) * _xlfn.NORM.S.INV(RAND())</f>
        <v>-1.3278696955111465E-2</v>
      </c>
    </row>
    <row r="579" spans="18:21" x14ac:dyDescent="0.2">
      <c r="R579" s="49">
        <v>577</v>
      </c>
      <c r="S579" s="59">
        <f ca="1">Dashboard!B$8* Dashboard!$F$4+Dashboard!B$10*SQRT(Dashboard!$F$4) * _xlfn.NORM.S.INV(RAND())</f>
        <v>2.7053906671797336E-3</v>
      </c>
      <c r="T579" s="59">
        <f ca="1">Dashboard!C$8* Dashboard!$F$4+Dashboard!C$10*SQRT(Dashboard!$F$4) * _xlfn.NORM.S.INV(RAND())</f>
        <v>-2.2078885835311608E-2</v>
      </c>
      <c r="U579" s="59">
        <f ca="1">Dashboard!D$8* Dashboard!$F$4+Dashboard!D$10*SQRT(Dashboard!$F$4) * _xlfn.NORM.S.INV(RAND())</f>
        <v>3.4057441325353972E-3</v>
      </c>
    </row>
    <row r="580" spans="18:21" x14ac:dyDescent="0.2">
      <c r="R580" s="49">
        <v>578</v>
      </c>
      <c r="S580" s="59">
        <f ca="1">Dashboard!B$8* Dashboard!$F$4+Dashboard!B$10*SQRT(Dashboard!$F$4) * _xlfn.NORM.S.INV(RAND())</f>
        <v>3.2255773748193176E-2</v>
      </c>
      <c r="T580" s="59">
        <f ca="1">Dashboard!C$8* Dashboard!$F$4+Dashboard!C$10*SQRT(Dashboard!$F$4) * _xlfn.NORM.S.INV(RAND())</f>
        <v>-1.9762968797573107E-2</v>
      </c>
      <c r="U580" s="59">
        <f ca="1">Dashboard!D$8* Dashboard!$F$4+Dashboard!D$10*SQRT(Dashboard!$F$4) * _xlfn.NORM.S.INV(RAND())</f>
        <v>2.086555643983528E-2</v>
      </c>
    </row>
    <row r="581" spans="18:21" x14ac:dyDescent="0.2">
      <c r="R581" s="49">
        <v>579</v>
      </c>
      <c r="S581" s="59">
        <f ca="1">Dashboard!B$8* Dashboard!$F$4+Dashboard!B$10*SQRT(Dashboard!$F$4) * _xlfn.NORM.S.INV(RAND())</f>
        <v>-1.7934006093976076E-2</v>
      </c>
      <c r="T581" s="59">
        <f ca="1">Dashboard!C$8* Dashboard!$F$4+Dashboard!C$10*SQRT(Dashboard!$F$4) * _xlfn.NORM.S.INV(RAND())</f>
        <v>1.6091543096220101E-2</v>
      </c>
      <c r="U581" s="59">
        <f ca="1">Dashboard!D$8* Dashboard!$F$4+Dashboard!D$10*SQRT(Dashboard!$F$4) * _xlfn.NORM.S.INV(RAND())</f>
        <v>7.2200428080474123E-3</v>
      </c>
    </row>
    <row r="582" spans="18:21" x14ac:dyDescent="0.2">
      <c r="R582" s="49">
        <v>580</v>
      </c>
      <c r="S582" s="59">
        <f ca="1">Dashboard!B$8* Dashboard!$F$4+Dashboard!B$10*SQRT(Dashboard!$F$4) * _xlfn.NORM.S.INV(RAND())</f>
        <v>-9.3225040275686406E-3</v>
      </c>
      <c r="T582" s="59">
        <f ca="1">Dashboard!C$8* Dashboard!$F$4+Dashboard!C$10*SQRT(Dashboard!$F$4) * _xlfn.NORM.S.INV(RAND())</f>
        <v>6.5366028712705637E-2</v>
      </c>
      <c r="U582" s="59">
        <f ca="1">Dashboard!D$8* Dashboard!$F$4+Dashboard!D$10*SQRT(Dashboard!$F$4) * _xlfn.NORM.S.INV(RAND())</f>
        <v>5.9448712458103452E-3</v>
      </c>
    </row>
    <row r="583" spans="18:21" x14ac:dyDescent="0.2">
      <c r="R583" s="49">
        <v>581</v>
      </c>
      <c r="S583" s="59">
        <f ca="1">Dashboard!B$8* Dashboard!$F$4+Dashboard!B$10*SQRT(Dashboard!$F$4) * _xlfn.NORM.S.INV(RAND())</f>
        <v>5.0741451772293084E-2</v>
      </c>
      <c r="T583" s="59">
        <f ca="1">Dashboard!C$8* Dashboard!$F$4+Dashboard!C$10*SQRT(Dashboard!$F$4) * _xlfn.NORM.S.INV(RAND())</f>
        <v>-2.3698256991983996E-3</v>
      </c>
      <c r="U583" s="59">
        <f ca="1">Dashboard!D$8* Dashboard!$F$4+Dashboard!D$10*SQRT(Dashboard!$F$4) * _xlfn.NORM.S.INV(RAND())</f>
        <v>-2.5967105867325879E-2</v>
      </c>
    </row>
    <row r="584" spans="18:21" x14ac:dyDescent="0.2">
      <c r="R584" s="49">
        <v>582</v>
      </c>
      <c r="S584" s="59">
        <f ca="1">Dashboard!B$8* Dashboard!$F$4+Dashboard!B$10*SQRT(Dashboard!$F$4) * _xlfn.NORM.S.INV(RAND())</f>
        <v>-1.5720975155950898E-3</v>
      </c>
      <c r="T584" s="59">
        <f ca="1">Dashboard!C$8* Dashboard!$F$4+Dashboard!C$10*SQRT(Dashboard!$F$4) * _xlfn.NORM.S.INV(RAND())</f>
        <v>3.3400170247239236E-2</v>
      </c>
      <c r="U584" s="59">
        <f ca="1">Dashboard!D$8* Dashboard!$F$4+Dashboard!D$10*SQRT(Dashboard!$F$4) * _xlfn.NORM.S.INV(RAND())</f>
        <v>-2.7930257995457061E-2</v>
      </c>
    </row>
    <row r="585" spans="18:21" x14ac:dyDescent="0.2">
      <c r="R585" s="49">
        <v>583</v>
      </c>
      <c r="S585" s="59">
        <f ca="1">Dashboard!B$8* Dashboard!$F$4+Dashboard!B$10*SQRT(Dashboard!$F$4) * _xlfn.NORM.S.INV(RAND())</f>
        <v>7.4006079027594141E-3</v>
      </c>
      <c r="T585" s="59">
        <f ca="1">Dashboard!C$8* Dashboard!$F$4+Dashboard!C$10*SQRT(Dashboard!$F$4) * _xlfn.NORM.S.INV(RAND())</f>
        <v>3.067243339981382E-2</v>
      </c>
      <c r="U585" s="59">
        <f ca="1">Dashboard!D$8* Dashboard!$F$4+Dashboard!D$10*SQRT(Dashboard!$F$4) * _xlfn.NORM.S.INV(RAND())</f>
        <v>2.3227191933988976E-3</v>
      </c>
    </row>
    <row r="586" spans="18:21" x14ac:dyDescent="0.2">
      <c r="R586" s="49">
        <v>584</v>
      </c>
      <c r="S586" s="59">
        <f ca="1">Dashboard!B$8* Dashboard!$F$4+Dashboard!B$10*SQRT(Dashboard!$F$4) * _xlfn.NORM.S.INV(RAND())</f>
        <v>3.0365310572858739E-2</v>
      </c>
      <c r="T586" s="59">
        <f ca="1">Dashboard!C$8* Dashboard!$F$4+Dashboard!C$10*SQRT(Dashboard!$F$4) * _xlfn.NORM.S.INV(RAND())</f>
        <v>3.1467937009051136E-2</v>
      </c>
      <c r="U586" s="59">
        <f ca="1">Dashboard!D$8* Dashboard!$F$4+Dashboard!D$10*SQRT(Dashboard!$F$4) * _xlfn.NORM.S.INV(RAND())</f>
        <v>-8.6853878252640942E-4</v>
      </c>
    </row>
    <row r="587" spans="18:21" x14ac:dyDescent="0.2">
      <c r="R587" s="49">
        <v>585</v>
      </c>
      <c r="S587" s="59">
        <f ca="1">Dashboard!B$8* Dashboard!$F$4+Dashboard!B$10*SQRT(Dashboard!$F$4) * _xlfn.NORM.S.INV(RAND())</f>
        <v>-5.7635959224773443E-3</v>
      </c>
      <c r="T587" s="59">
        <f ca="1">Dashboard!C$8* Dashboard!$F$4+Dashboard!C$10*SQRT(Dashboard!$F$4) * _xlfn.NORM.S.INV(RAND())</f>
        <v>-2.2862063300989912E-2</v>
      </c>
      <c r="U587" s="59">
        <f ca="1">Dashboard!D$8* Dashboard!$F$4+Dashboard!D$10*SQRT(Dashboard!$F$4) * _xlfn.NORM.S.INV(RAND())</f>
        <v>1.7726678131448237E-2</v>
      </c>
    </row>
    <row r="588" spans="18:21" x14ac:dyDescent="0.2">
      <c r="R588" s="49">
        <v>586</v>
      </c>
      <c r="S588" s="59">
        <f ca="1">Dashboard!B$8* Dashboard!$F$4+Dashboard!B$10*SQRT(Dashboard!$F$4) * _xlfn.NORM.S.INV(RAND())</f>
        <v>-4.6711210590926425E-3</v>
      </c>
      <c r="T588" s="59">
        <f ca="1">Dashboard!C$8* Dashboard!$F$4+Dashboard!C$10*SQRT(Dashboard!$F$4) * _xlfn.NORM.S.INV(RAND())</f>
        <v>1.9212954169972579E-2</v>
      </c>
      <c r="U588" s="59">
        <f ca="1">Dashboard!D$8* Dashboard!$F$4+Dashboard!D$10*SQRT(Dashboard!$F$4) * _xlfn.NORM.S.INV(RAND())</f>
        <v>-1.1655568308825234E-2</v>
      </c>
    </row>
    <row r="589" spans="18:21" x14ac:dyDescent="0.2">
      <c r="R589" s="49">
        <v>587</v>
      </c>
      <c r="S589" s="59">
        <f ca="1">Dashboard!B$8* Dashboard!$F$4+Dashboard!B$10*SQRT(Dashboard!$F$4) * _xlfn.NORM.S.INV(RAND())</f>
        <v>3.2924154543407566E-2</v>
      </c>
      <c r="T589" s="59">
        <f ca="1">Dashboard!C$8* Dashboard!$F$4+Dashboard!C$10*SQRT(Dashboard!$F$4) * _xlfn.NORM.S.INV(RAND())</f>
        <v>7.405834097362618E-3</v>
      </c>
      <c r="U589" s="59">
        <f ca="1">Dashboard!D$8* Dashboard!$F$4+Dashboard!D$10*SQRT(Dashboard!$F$4) * _xlfn.NORM.S.INV(RAND())</f>
        <v>7.918059674006879E-2</v>
      </c>
    </row>
    <row r="590" spans="18:21" x14ac:dyDescent="0.2">
      <c r="R590" s="49">
        <v>588</v>
      </c>
      <c r="S590" s="59">
        <f ca="1">Dashboard!B$8* Dashboard!$F$4+Dashboard!B$10*SQRT(Dashboard!$F$4) * _xlfn.NORM.S.INV(RAND())</f>
        <v>-3.5929880039098173E-2</v>
      </c>
      <c r="T590" s="59">
        <f ca="1">Dashboard!C$8* Dashboard!$F$4+Dashboard!C$10*SQRT(Dashboard!$F$4) * _xlfn.NORM.S.INV(RAND())</f>
        <v>-1.6056982381827421E-2</v>
      </c>
      <c r="U590" s="59">
        <f ca="1">Dashboard!D$8* Dashboard!$F$4+Dashboard!D$10*SQRT(Dashboard!$F$4) * _xlfn.NORM.S.INV(RAND())</f>
        <v>3.3413550511213258E-3</v>
      </c>
    </row>
    <row r="591" spans="18:21" x14ac:dyDescent="0.2">
      <c r="R591" s="49">
        <v>589</v>
      </c>
      <c r="S591" s="59">
        <f ca="1">Dashboard!B$8* Dashboard!$F$4+Dashboard!B$10*SQRT(Dashboard!$F$4) * _xlfn.NORM.S.INV(RAND())</f>
        <v>-8.121429472905535E-2</v>
      </c>
      <c r="T591" s="59">
        <f ca="1">Dashboard!C$8* Dashboard!$F$4+Dashboard!C$10*SQRT(Dashboard!$F$4) * _xlfn.NORM.S.INV(RAND())</f>
        <v>7.6600296895319312E-3</v>
      </c>
      <c r="U591" s="59">
        <f ca="1">Dashboard!D$8* Dashboard!$F$4+Dashboard!D$10*SQRT(Dashboard!$F$4) * _xlfn.NORM.S.INV(RAND())</f>
        <v>-2.6080587709745775E-2</v>
      </c>
    </row>
    <row r="592" spans="18:21" x14ac:dyDescent="0.2">
      <c r="R592" s="49">
        <v>590</v>
      </c>
      <c r="S592" s="59">
        <f ca="1">Dashboard!B$8* Dashboard!$F$4+Dashboard!B$10*SQRT(Dashboard!$F$4) * _xlfn.NORM.S.INV(RAND())</f>
        <v>-5.8556159222866819E-2</v>
      </c>
      <c r="T592" s="59">
        <f ca="1">Dashboard!C$8* Dashboard!$F$4+Dashboard!C$10*SQRT(Dashboard!$F$4) * _xlfn.NORM.S.INV(RAND())</f>
        <v>-1.7263056748086699E-3</v>
      </c>
      <c r="U592" s="59">
        <f ca="1">Dashboard!D$8* Dashboard!$F$4+Dashboard!D$10*SQRT(Dashboard!$F$4) * _xlfn.NORM.S.INV(RAND())</f>
        <v>2.1686508460389279E-2</v>
      </c>
    </row>
    <row r="593" spans="18:21" x14ac:dyDescent="0.2">
      <c r="R593" s="49">
        <v>591</v>
      </c>
      <c r="S593" s="59">
        <f ca="1">Dashboard!B$8* Dashboard!$F$4+Dashboard!B$10*SQRT(Dashboard!$F$4) * _xlfn.NORM.S.INV(RAND())</f>
        <v>-2.7233461640701522E-4</v>
      </c>
      <c r="T593" s="59">
        <f ca="1">Dashboard!C$8* Dashboard!$F$4+Dashboard!C$10*SQRT(Dashboard!$F$4) * _xlfn.NORM.S.INV(RAND())</f>
        <v>2.3697760578017882E-2</v>
      </c>
      <c r="U593" s="59">
        <f ca="1">Dashboard!D$8* Dashboard!$F$4+Dashboard!D$10*SQRT(Dashboard!$F$4) * _xlfn.NORM.S.INV(RAND())</f>
        <v>-2.6520568623170815E-2</v>
      </c>
    </row>
    <row r="594" spans="18:21" x14ac:dyDescent="0.2">
      <c r="R594" s="49">
        <v>592</v>
      </c>
      <c r="S594" s="59">
        <f ca="1">Dashboard!B$8* Dashboard!$F$4+Dashboard!B$10*SQRT(Dashboard!$F$4) * _xlfn.NORM.S.INV(RAND())</f>
        <v>2.4085784558639262E-3</v>
      </c>
      <c r="T594" s="59">
        <f ca="1">Dashboard!C$8* Dashboard!$F$4+Dashboard!C$10*SQRT(Dashboard!$F$4) * _xlfn.NORM.S.INV(RAND())</f>
        <v>-1.8863799655894797E-2</v>
      </c>
      <c r="U594" s="59">
        <f ca="1">Dashboard!D$8* Dashboard!$F$4+Dashboard!D$10*SQRT(Dashboard!$F$4) * _xlfn.NORM.S.INV(RAND())</f>
        <v>2.2121934590677145E-2</v>
      </c>
    </row>
    <row r="595" spans="18:21" x14ac:dyDescent="0.2">
      <c r="R595" s="49">
        <v>593</v>
      </c>
      <c r="S595" s="59">
        <f ca="1">Dashboard!B$8* Dashboard!$F$4+Dashboard!B$10*SQRT(Dashboard!$F$4) * _xlfn.NORM.S.INV(RAND())</f>
        <v>-8.4729427905328086E-2</v>
      </c>
      <c r="T595" s="59">
        <f ca="1">Dashboard!C$8* Dashboard!$F$4+Dashboard!C$10*SQRT(Dashboard!$F$4) * _xlfn.NORM.S.INV(RAND())</f>
        <v>9.4735141706388439E-3</v>
      </c>
      <c r="U595" s="59">
        <f ca="1">Dashboard!D$8* Dashboard!$F$4+Dashboard!D$10*SQRT(Dashboard!$F$4) * _xlfn.NORM.S.INV(RAND())</f>
        <v>-2.9587639511968349E-2</v>
      </c>
    </row>
    <row r="596" spans="18:21" x14ac:dyDescent="0.2">
      <c r="R596" s="49">
        <v>594</v>
      </c>
      <c r="S596" s="59">
        <f ca="1">Dashboard!B$8* Dashboard!$F$4+Dashboard!B$10*SQRT(Dashboard!$F$4) * _xlfn.NORM.S.INV(RAND())</f>
        <v>4.260690882389815E-2</v>
      </c>
      <c r="T596" s="59">
        <f ca="1">Dashboard!C$8* Dashboard!$F$4+Dashboard!C$10*SQRT(Dashboard!$F$4) * _xlfn.NORM.S.INV(RAND())</f>
        <v>1.7103752612284813E-2</v>
      </c>
      <c r="U596" s="59">
        <f ca="1">Dashboard!D$8* Dashboard!$F$4+Dashboard!D$10*SQRT(Dashboard!$F$4) * _xlfn.NORM.S.INV(RAND())</f>
        <v>2.5724335330175548E-2</v>
      </c>
    </row>
    <row r="597" spans="18:21" x14ac:dyDescent="0.2">
      <c r="R597" s="49">
        <v>595</v>
      </c>
      <c r="S597" s="59">
        <f ca="1">Dashboard!B$8* Dashboard!$F$4+Dashboard!B$10*SQRT(Dashboard!$F$4) * _xlfn.NORM.S.INV(RAND())</f>
        <v>-2.3227983860289486E-2</v>
      </c>
      <c r="T597" s="59">
        <f ca="1">Dashboard!C$8* Dashboard!$F$4+Dashboard!C$10*SQRT(Dashboard!$F$4) * _xlfn.NORM.S.INV(RAND())</f>
        <v>-2.2729040066086899E-2</v>
      </c>
      <c r="U597" s="59">
        <f ca="1">Dashboard!D$8* Dashboard!$F$4+Dashboard!D$10*SQRT(Dashboard!$F$4) * _xlfn.NORM.S.INV(RAND())</f>
        <v>-5.2682069682219715E-3</v>
      </c>
    </row>
    <row r="598" spans="18:21" x14ac:dyDescent="0.2">
      <c r="R598" s="49">
        <v>596</v>
      </c>
      <c r="S598" s="59">
        <f ca="1">Dashboard!B$8* Dashboard!$F$4+Dashboard!B$10*SQRT(Dashboard!$F$4) * _xlfn.NORM.S.INV(RAND())</f>
        <v>-9.2995061534789578E-3</v>
      </c>
      <c r="T598" s="59">
        <f ca="1">Dashboard!C$8* Dashboard!$F$4+Dashboard!C$10*SQRT(Dashboard!$F$4) * _xlfn.NORM.S.INV(RAND())</f>
        <v>4.5712315154171589E-2</v>
      </c>
      <c r="U598" s="59">
        <f ca="1">Dashboard!D$8* Dashboard!$F$4+Dashboard!D$10*SQRT(Dashboard!$F$4) * _xlfn.NORM.S.INV(RAND())</f>
        <v>1.1558210701163677E-2</v>
      </c>
    </row>
    <row r="599" spans="18:21" x14ac:dyDescent="0.2">
      <c r="R599" s="49">
        <v>597</v>
      </c>
      <c r="S599" s="59">
        <f ca="1">Dashboard!B$8* Dashboard!$F$4+Dashboard!B$10*SQRT(Dashboard!$F$4) * _xlfn.NORM.S.INV(RAND())</f>
        <v>-4.8027566925782576E-2</v>
      </c>
      <c r="T599" s="59">
        <f ca="1">Dashboard!C$8* Dashboard!$F$4+Dashboard!C$10*SQRT(Dashboard!$F$4) * _xlfn.NORM.S.INV(RAND())</f>
        <v>-9.8631837030629457E-3</v>
      </c>
      <c r="U599" s="59">
        <f ca="1">Dashboard!D$8* Dashboard!$F$4+Dashboard!D$10*SQRT(Dashboard!$F$4) * _xlfn.NORM.S.INV(RAND())</f>
        <v>-2.2131876089898056E-2</v>
      </c>
    </row>
    <row r="600" spans="18:21" x14ac:dyDescent="0.2">
      <c r="R600" s="49">
        <v>598</v>
      </c>
      <c r="S600" s="59">
        <f ca="1">Dashboard!B$8* Dashboard!$F$4+Dashboard!B$10*SQRT(Dashboard!$F$4) * _xlfn.NORM.S.INV(RAND())</f>
        <v>6.7991433015236226E-4</v>
      </c>
      <c r="T600" s="59">
        <f ca="1">Dashboard!C$8* Dashboard!$F$4+Dashboard!C$10*SQRT(Dashboard!$F$4) * _xlfn.NORM.S.INV(RAND())</f>
        <v>-5.5300042760301283E-3</v>
      </c>
      <c r="U600" s="59">
        <f ca="1">Dashboard!D$8* Dashboard!$F$4+Dashboard!D$10*SQRT(Dashboard!$F$4) * _xlfn.NORM.S.INV(RAND())</f>
        <v>4.8026775980384552E-2</v>
      </c>
    </row>
    <row r="601" spans="18:21" x14ac:dyDescent="0.2">
      <c r="R601" s="49">
        <v>599</v>
      </c>
      <c r="S601" s="59">
        <f ca="1">Dashboard!B$8* Dashboard!$F$4+Dashboard!B$10*SQRT(Dashboard!$F$4) * _xlfn.NORM.S.INV(RAND())</f>
        <v>-1.2176451689494092E-2</v>
      </c>
      <c r="T601" s="59">
        <f ca="1">Dashboard!C$8* Dashboard!$F$4+Dashboard!C$10*SQRT(Dashboard!$F$4) * _xlfn.NORM.S.INV(RAND())</f>
        <v>1.4269119683902189E-2</v>
      </c>
      <c r="U601" s="59">
        <f ca="1">Dashboard!D$8* Dashboard!$F$4+Dashboard!D$10*SQRT(Dashboard!$F$4) * _xlfn.NORM.S.INV(RAND())</f>
        <v>-3.4385265376344613E-2</v>
      </c>
    </row>
    <row r="602" spans="18:21" x14ac:dyDescent="0.2">
      <c r="R602" s="49">
        <v>600</v>
      </c>
      <c r="S602" s="59">
        <f ca="1">Dashboard!B$8* Dashboard!$F$4+Dashboard!B$10*SQRT(Dashboard!$F$4) * _xlfn.NORM.S.INV(RAND())</f>
        <v>8.7639780589457879E-3</v>
      </c>
      <c r="T602" s="59">
        <f ca="1">Dashboard!C$8* Dashboard!$F$4+Dashboard!C$10*SQRT(Dashboard!$F$4) * _xlfn.NORM.S.INV(RAND())</f>
        <v>4.3049383919172186E-3</v>
      </c>
      <c r="U602" s="59">
        <f ca="1">Dashboard!D$8* Dashboard!$F$4+Dashboard!D$10*SQRT(Dashboard!$F$4) * _xlfn.NORM.S.INV(RAND())</f>
        <v>2.1376954900979506E-2</v>
      </c>
    </row>
    <row r="603" spans="18:21" x14ac:dyDescent="0.2">
      <c r="R603" s="49">
        <v>601</v>
      </c>
      <c r="S603" s="59">
        <f ca="1">Dashboard!B$8* Dashboard!$F$4+Dashboard!B$10*SQRT(Dashboard!$F$4) * _xlfn.NORM.S.INV(RAND())</f>
        <v>-6.230214323282296E-2</v>
      </c>
      <c r="T603" s="59">
        <f ca="1">Dashboard!C$8* Dashboard!$F$4+Dashboard!C$10*SQRT(Dashboard!$F$4) * _xlfn.NORM.S.INV(RAND())</f>
        <v>-2.9674793220466584E-2</v>
      </c>
      <c r="U603" s="59">
        <f ca="1">Dashboard!D$8* Dashboard!$F$4+Dashboard!D$10*SQRT(Dashboard!$F$4) * _xlfn.NORM.S.INV(RAND())</f>
        <v>3.5354679589051106E-2</v>
      </c>
    </row>
    <row r="604" spans="18:21" x14ac:dyDescent="0.2">
      <c r="R604" s="49">
        <v>602</v>
      </c>
      <c r="S604" s="59">
        <f ca="1">Dashboard!B$8* Dashboard!$F$4+Dashboard!B$10*SQRT(Dashboard!$F$4) * _xlfn.NORM.S.INV(RAND())</f>
        <v>-4.1301415365367293E-2</v>
      </c>
      <c r="T604" s="59">
        <f ca="1">Dashboard!C$8* Dashboard!$F$4+Dashboard!C$10*SQRT(Dashboard!$F$4) * _xlfn.NORM.S.INV(RAND())</f>
        <v>1.1209836698259984E-2</v>
      </c>
      <c r="U604" s="59">
        <f ca="1">Dashboard!D$8* Dashboard!$F$4+Dashboard!D$10*SQRT(Dashboard!$F$4) * _xlfn.NORM.S.INV(RAND())</f>
        <v>5.6337978517870695E-2</v>
      </c>
    </row>
    <row r="605" spans="18:21" x14ac:dyDescent="0.2">
      <c r="R605" s="49">
        <v>603</v>
      </c>
      <c r="S605" s="59">
        <f ca="1">Dashboard!B$8* Dashboard!$F$4+Dashboard!B$10*SQRT(Dashboard!$F$4) * _xlfn.NORM.S.INV(RAND())</f>
        <v>-5.7110450749633467E-2</v>
      </c>
      <c r="T605" s="59">
        <f ca="1">Dashboard!C$8* Dashboard!$F$4+Dashboard!C$10*SQRT(Dashboard!$F$4) * _xlfn.NORM.S.INV(RAND())</f>
        <v>-6.5511547279313631E-2</v>
      </c>
      <c r="U605" s="59">
        <f ca="1">Dashboard!D$8* Dashboard!$F$4+Dashboard!D$10*SQRT(Dashboard!$F$4) * _xlfn.NORM.S.INV(RAND())</f>
        <v>7.8858269976668244E-3</v>
      </c>
    </row>
    <row r="606" spans="18:21" x14ac:dyDescent="0.2">
      <c r="R606" s="49">
        <v>604</v>
      </c>
      <c r="S606" s="59">
        <f ca="1">Dashboard!B$8* Dashboard!$F$4+Dashboard!B$10*SQRT(Dashboard!$F$4) * _xlfn.NORM.S.INV(RAND())</f>
        <v>1.1483268345648782E-2</v>
      </c>
      <c r="T606" s="59">
        <f ca="1">Dashboard!C$8* Dashboard!$F$4+Dashboard!C$10*SQRT(Dashboard!$F$4) * _xlfn.NORM.S.INV(RAND())</f>
        <v>2.1912824561833185E-2</v>
      </c>
      <c r="U606" s="59">
        <f ca="1">Dashboard!D$8* Dashboard!$F$4+Dashboard!D$10*SQRT(Dashboard!$F$4) * _xlfn.NORM.S.INV(RAND())</f>
        <v>1.8300565837520971E-2</v>
      </c>
    </row>
    <row r="607" spans="18:21" x14ac:dyDescent="0.2">
      <c r="R607" s="49">
        <v>605</v>
      </c>
      <c r="S607" s="59">
        <f ca="1">Dashboard!B$8* Dashboard!$F$4+Dashboard!B$10*SQRT(Dashboard!$F$4) * _xlfn.NORM.S.INV(RAND())</f>
        <v>-2.7058282169514232E-2</v>
      </c>
      <c r="T607" s="59">
        <f ca="1">Dashboard!C$8* Dashboard!$F$4+Dashboard!C$10*SQRT(Dashboard!$F$4) * _xlfn.NORM.S.INV(RAND())</f>
        <v>-4.2144119317738529E-3</v>
      </c>
      <c r="U607" s="59">
        <f ca="1">Dashboard!D$8* Dashboard!$F$4+Dashboard!D$10*SQRT(Dashboard!$F$4) * _xlfn.NORM.S.INV(RAND())</f>
        <v>3.4217059578066138E-2</v>
      </c>
    </row>
    <row r="608" spans="18:21" x14ac:dyDescent="0.2">
      <c r="R608" s="49">
        <v>606</v>
      </c>
      <c r="S608" s="59">
        <f ca="1">Dashboard!B$8* Dashboard!$F$4+Dashboard!B$10*SQRT(Dashboard!$F$4) * _xlfn.NORM.S.INV(RAND())</f>
        <v>-2.1854963733503464E-2</v>
      </c>
      <c r="T608" s="59">
        <f ca="1">Dashboard!C$8* Dashboard!$F$4+Dashboard!C$10*SQRT(Dashboard!$F$4) * _xlfn.NORM.S.INV(RAND())</f>
        <v>9.7417247397596114E-3</v>
      </c>
      <c r="U608" s="59">
        <f ca="1">Dashboard!D$8* Dashboard!$F$4+Dashboard!D$10*SQRT(Dashboard!$F$4) * _xlfn.NORM.S.INV(RAND())</f>
        <v>-2.1487263058258651E-2</v>
      </c>
    </row>
    <row r="609" spans="18:21" x14ac:dyDescent="0.2">
      <c r="R609" s="49">
        <v>607</v>
      </c>
      <c r="S609" s="59">
        <f ca="1">Dashboard!B$8* Dashboard!$F$4+Dashboard!B$10*SQRT(Dashboard!$F$4) * _xlfn.NORM.S.INV(RAND())</f>
        <v>1.0745062406342145E-2</v>
      </c>
      <c r="T609" s="59">
        <f ca="1">Dashboard!C$8* Dashboard!$F$4+Dashboard!C$10*SQRT(Dashboard!$F$4) * _xlfn.NORM.S.INV(RAND())</f>
        <v>-1.2031632339980464E-2</v>
      </c>
      <c r="U609" s="59">
        <f ca="1">Dashboard!D$8* Dashboard!$F$4+Dashboard!D$10*SQRT(Dashboard!$F$4) * _xlfn.NORM.S.INV(RAND())</f>
        <v>-2.227397007193381E-2</v>
      </c>
    </row>
    <row r="610" spans="18:21" x14ac:dyDescent="0.2">
      <c r="R610" s="49">
        <v>608</v>
      </c>
      <c r="S610" s="59">
        <f ca="1">Dashboard!B$8* Dashboard!$F$4+Dashboard!B$10*SQRT(Dashboard!$F$4) * _xlfn.NORM.S.INV(RAND())</f>
        <v>-1.678087664489708E-2</v>
      </c>
      <c r="T610" s="59">
        <f ca="1">Dashboard!C$8* Dashboard!$F$4+Dashboard!C$10*SQRT(Dashboard!$F$4) * _xlfn.NORM.S.INV(RAND())</f>
        <v>-1.094611894964086E-3</v>
      </c>
      <c r="U610" s="59">
        <f ca="1">Dashboard!D$8* Dashboard!$F$4+Dashboard!D$10*SQRT(Dashboard!$F$4) * _xlfn.NORM.S.INV(RAND())</f>
        <v>-3.8552409808974711E-3</v>
      </c>
    </row>
    <row r="611" spans="18:21" x14ac:dyDescent="0.2">
      <c r="R611" s="49">
        <v>609</v>
      </c>
      <c r="S611" s="59">
        <f ca="1">Dashboard!B$8* Dashboard!$F$4+Dashboard!B$10*SQRT(Dashboard!$F$4) * _xlfn.NORM.S.INV(RAND())</f>
        <v>-1.2054378437520831E-3</v>
      </c>
      <c r="T611" s="59">
        <f ca="1">Dashboard!C$8* Dashboard!$F$4+Dashboard!C$10*SQRT(Dashboard!$F$4) * _xlfn.NORM.S.INV(RAND())</f>
        <v>-5.4650502524987501E-2</v>
      </c>
      <c r="U611" s="59">
        <f ca="1">Dashboard!D$8* Dashboard!$F$4+Dashboard!D$10*SQRT(Dashboard!$F$4) * _xlfn.NORM.S.INV(RAND())</f>
        <v>1.9355696799674277E-2</v>
      </c>
    </row>
    <row r="612" spans="18:21" x14ac:dyDescent="0.2">
      <c r="R612" s="49">
        <v>610</v>
      </c>
      <c r="S612" s="59">
        <f ca="1">Dashboard!B$8* Dashboard!$F$4+Dashboard!B$10*SQRT(Dashboard!$F$4) * _xlfn.NORM.S.INV(RAND())</f>
        <v>-6.2299840074439127E-4</v>
      </c>
      <c r="T612" s="59">
        <f ca="1">Dashboard!C$8* Dashboard!$F$4+Dashboard!C$10*SQRT(Dashboard!$F$4) * _xlfn.NORM.S.INV(RAND())</f>
        <v>-1.8588423728700548E-2</v>
      </c>
      <c r="U612" s="59">
        <f ca="1">Dashboard!D$8* Dashboard!$F$4+Dashboard!D$10*SQRT(Dashboard!$F$4) * _xlfn.NORM.S.INV(RAND())</f>
        <v>4.3764903523399137E-2</v>
      </c>
    </row>
    <row r="613" spans="18:21" x14ac:dyDescent="0.2">
      <c r="R613" s="49">
        <v>611</v>
      </c>
      <c r="S613" s="59">
        <f ca="1">Dashboard!B$8* Dashboard!$F$4+Dashboard!B$10*SQRT(Dashboard!$F$4) * _xlfn.NORM.S.INV(RAND())</f>
        <v>1.8102182284052339E-2</v>
      </c>
      <c r="T613" s="59">
        <f ca="1">Dashboard!C$8* Dashboard!$F$4+Dashboard!C$10*SQRT(Dashboard!$F$4) * _xlfn.NORM.S.INV(RAND())</f>
        <v>-9.3462740470953605E-3</v>
      </c>
      <c r="U613" s="59">
        <f ca="1">Dashboard!D$8* Dashboard!$F$4+Dashboard!D$10*SQRT(Dashboard!$F$4) * _xlfn.NORM.S.INV(RAND())</f>
        <v>-1.6115040172888916E-2</v>
      </c>
    </row>
    <row r="614" spans="18:21" x14ac:dyDescent="0.2">
      <c r="R614" s="49">
        <v>612</v>
      </c>
      <c r="S614" s="59">
        <f ca="1">Dashboard!B$8* Dashboard!$F$4+Dashboard!B$10*SQRT(Dashboard!$F$4) * _xlfn.NORM.S.INV(RAND())</f>
        <v>-1.7711343640218827E-2</v>
      </c>
      <c r="T614" s="59">
        <f ca="1">Dashboard!C$8* Dashboard!$F$4+Dashboard!C$10*SQRT(Dashboard!$F$4) * _xlfn.NORM.S.INV(RAND())</f>
        <v>-2.2401040733398513E-2</v>
      </c>
      <c r="U614" s="59">
        <f ca="1">Dashboard!D$8* Dashboard!$F$4+Dashboard!D$10*SQRT(Dashboard!$F$4) * _xlfn.NORM.S.INV(RAND())</f>
        <v>-6.2364478309271741E-2</v>
      </c>
    </row>
    <row r="615" spans="18:21" x14ac:dyDescent="0.2">
      <c r="R615" s="49">
        <v>613</v>
      </c>
      <c r="S615" s="59">
        <f ca="1">Dashboard!B$8* Dashboard!$F$4+Dashboard!B$10*SQRT(Dashboard!$F$4) * _xlfn.NORM.S.INV(RAND())</f>
        <v>4.3061259004976676E-2</v>
      </c>
      <c r="T615" s="59">
        <f ca="1">Dashboard!C$8* Dashboard!$F$4+Dashboard!C$10*SQRT(Dashboard!$F$4) * _xlfn.NORM.S.INV(RAND())</f>
        <v>2.0747506876531287E-2</v>
      </c>
      <c r="U615" s="59">
        <f ca="1">Dashboard!D$8* Dashboard!$F$4+Dashboard!D$10*SQRT(Dashboard!$F$4) * _xlfn.NORM.S.INV(RAND())</f>
        <v>4.5632174777380649E-3</v>
      </c>
    </row>
    <row r="616" spans="18:21" x14ac:dyDescent="0.2">
      <c r="R616" s="49">
        <v>614</v>
      </c>
      <c r="S616" s="59">
        <f ca="1">Dashboard!B$8* Dashboard!$F$4+Dashboard!B$10*SQRT(Dashboard!$F$4) * _xlfn.NORM.S.INV(RAND())</f>
        <v>-6.2895667220337723E-2</v>
      </c>
      <c r="T616" s="59">
        <f ca="1">Dashboard!C$8* Dashboard!$F$4+Dashboard!C$10*SQRT(Dashboard!$F$4) * _xlfn.NORM.S.INV(RAND())</f>
        <v>-3.0574993924532149E-3</v>
      </c>
      <c r="U616" s="59">
        <f ca="1">Dashboard!D$8* Dashboard!$F$4+Dashboard!D$10*SQRT(Dashboard!$F$4) * _xlfn.NORM.S.INV(RAND())</f>
        <v>2.8816441587222463E-2</v>
      </c>
    </row>
    <row r="617" spans="18:21" x14ac:dyDescent="0.2">
      <c r="R617" s="49">
        <v>615</v>
      </c>
      <c r="S617" s="59">
        <f ca="1">Dashboard!B$8* Dashboard!$F$4+Dashboard!B$10*SQRT(Dashboard!$F$4) * _xlfn.NORM.S.INV(RAND())</f>
        <v>-3.8846472255056941E-2</v>
      </c>
      <c r="T617" s="59">
        <f ca="1">Dashboard!C$8* Dashboard!$F$4+Dashboard!C$10*SQRT(Dashboard!$F$4) * _xlfn.NORM.S.INV(RAND())</f>
        <v>5.9527867303019186E-3</v>
      </c>
      <c r="U617" s="59">
        <f ca="1">Dashboard!D$8* Dashboard!$F$4+Dashboard!D$10*SQRT(Dashboard!$F$4) * _xlfn.NORM.S.INV(RAND())</f>
        <v>2.5474782275618817E-2</v>
      </c>
    </row>
    <row r="618" spans="18:21" x14ac:dyDescent="0.2">
      <c r="R618" s="49">
        <v>616</v>
      </c>
      <c r="S618" s="59">
        <f ca="1">Dashboard!B$8* Dashboard!$F$4+Dashboard!B$10*SQRT(Dashboard!$F$4) * _xlfn.NORM.S.INV(RAND())</f>
        <v>-9.2373662674860215E-3</v>
      </c>
      <c r="T618" s="59">
        <f ca="1">Dashboard!C$8* Dashboard!$F$4+Dashboard!C$10*SQRT(Dashboard!$F$4) * _xlfn.NORM.S.INV(RAND())</f>
        <v>-9.1246015122876858E-4</v>
      </c>
      <c r="U618" s="59">
        <f ca="1">Dashboard!D$8* Dashboard!$F$4+Dashboard!D$10*SQRT(Dashboard!$F$4) * _xlfn.NORM.S.INV(RAND())</f>
        <v>-1.3154225584411195E-2</v>
      </c>
    </row>
    <row r="619" spans="18:21" x14ac:dyDescent="0.2">
      <c r="R619" s="49">
        <v>617</v>
      </c>
      <c r="S619" s="59">
        <f ca="1">Dashboard!B$8* Dashboard!$F$4+Dashboard!B$10*SQRT(Dashboard!$F$4) * _xlfn.NORM.S.INV(RAND())</f>
        <v>-6.6303756361385819E-3</v>
      </c>
      <c r="T619" s="59">
        <f ca="1">Dashboard!C$8* Dashboard!$F$4+Dashboard!C$10*SQRT(Dashboard!$F$4) * _xlfn.NORM.S.INV(RAND())</f>
        <v>1.958261305378908E-2</v>
      </c>
      <c r="U619" s="59">
        <f ca="1">Dashboard!D$8* Dashboard!$F$4+Dashboard!D$10*SQRT(Dashboard!$F$4) * _xlfn.NORM.S.INV(RAND())</f>
        <v>-1.6939563006188051E-2</v>
      </c>
    </row>
    <row r="620" spans="18:21" x14ac:dyDescent="0.2">
      <c r="R620" s="49">
        <v>618</v>
      </c>
      <c r="S620" s="59">
        <f ca="1">Dashboard!B$8* Dashboard!$F$4+Dashboard!B$10*SQRT(Dashboard!$F$4) * _xlfn.NORM.S.INV(RAND())</f>
        <v>-6.8081826277834476E-2</v>
      </c>
      <c r="T620" s="59">
        <f ca="1">Dashboard!C$8* Dashboard!$F$4+Dashboard!C$10*SQRT(Dashboard!$F$4) * _xlfn.NORM.S.INV(RAND())</f>
        <v>4.9725092045884052E-2</v>
      </c>
      <c r="U620" s="59">
        <f ca="1">Dashboard!D$8* Dashboard!$F$4+Dashboard!D$10*SQRT(Dashboard!$F$4) * _xlfn.NORM.S.INV(RAND())</f>
        <v>3.4331002325809018E-2</v>
      </c>
    </row>
    <row r="621" spans="18:21" x14ac:dyDescent="0.2">
      <c r="R621" s="49">
        <v>619</v>
      </c>
      <c r="S621" s="59">
        <f ca="1">Dashboard!B$8* Dashboard!$F$4+Dashboard!B$10*SQRT(Dashboard!$F$4) * _xlfn.NORM.S.INV(RAND())</f>
        <v>-2.2446928206019706E-2</v>
      </c>
      <c r="T621" s="59">
        <f ca="1">Dashboard!C$8* Dashboard!$F$4+Dashboard!C$10*SQRT(Dashboard!$F$4) * _xlfn.NORM.S.INV(RAND())</f>
        <v>-5.891911292398111E-2</v>
      </c>
      <c r="U621" s="59">
        <f ca="1">Dashboard!D$8* Dashboard!$F$4+Dashboard!D$10*SQRT(Dashboard!$F$4) * _xlfn.NORM.S.INV(RAND())</f>
        <v>1.610253424478619E-2</v>
      </c>
    </row>
    <row r="622" spans="18:21" x14ac:dyDescent="0.2">
      <c r="R622" s="49">
        <v>620</v>
      </c>
      <c r="S622" s="59">
        <f ca="1">Dashboard!B$8* Dashboard!$F$4+Dashboard!B$10*SQRT(Dashboard!$F$4) * _xlfn.NORM.S.INV(RAND())</f>
        <v>-3.6157929491505286E-2</v>
      </c>
      <c r="T622" s="59">
        <f ca="1">Dashboard!C$8* Dashboard!$F$4+Dashboard!C$10*SQRT(Dashboard!$F$4) * _xlfn.NORM.S.INV(RAND())</f>
        <v>-3.0054889889471453E-2</v>
      </c>
      <c r="U622" s="59">
        <f ca="1">Dashboard!D$8* Dashboard!$F$4+Dashboard!D$10*SQRT(Dashboard!$F$4) * _xlfn.NORM.S.INV(RAND())</f>
        <v>5.4946431089692854E-2</v>
      </c>
    </row>
    <row r="623" spans="18:21" x14ac:dyDescent="0.2">
      <c r="R623" s="49">
        <v>621</v>
      </c>
      <c r="S623" s="59">
        <f ca="1">Dashboard!B$8* Dashboard!$F$4+Dashboard!B$10*SQRT(Dashboard!$F$4) * _xlfn.NORM.S.INV(RAND())</f>
        <v>2.9726344427243701E-2</v>
      </c>
      <c r="T623" s="59">
        <f ca="1">Dashboard!C$8* Dashboard!$F$4+Dashboard!C$10*SQRT(Dashboard!$F$4) * _xlfn.NORM.S.INV(RAND())</f>
        <v>6.5718824287587345E-3</v>
      </c>
      <c r="U623" s="59">
        <f ca="1">Dashboard!D$8* Dashboard!$F$4+Dashboard!D$10*SQRT(Dashboard!$F$4) * _xlfn.NORM.S.INV(RAND())</f>
        <v>-2.440614211478755E-2</v>
      </c>
    </row>
    <row r="624" spans="18:21" x14ac:dyDescent="0.2">
      <c r="R624" s="49">
        <v>622</v>
      </c>
      <c r="S624" s="59">
        <f ca="1">Dashboard!B$8* Dashboard!$F$4+Dashboard!B$10*SQRT(Dashboard!$F$4) * _xlfn.NORM.S.INV(RAND())</f>
        <v>1.4407281999610238E-2</v>
      </c>
      <c r="T624" s="59">
        <f ca="1">Dashboard!C$8* Dashboard!$F$4+Dashboard!C$10*SQRT(Dashboard!$F$4) * _xlfn.NORM.S.INV(RAND())</f>
        <v>-2.3098408155308996E-2</v>
      </c>
      <c r="U624" s="59">
        <f ca="1">Dashboard!D$8* Dashboard!$F$4+Dashboard!D$10*SQRT(Dashboard!$F$4) * _xlfn.NORM.S.INV(RAND())</f>
        <v>-2.9781902338278144E-2</v>
      </c>
    </row>
    <row r="625" spans="18:21" x14ac:dyDescent="0.2">
      <c r="R625" s="49">
        <v>623</v>
      </c>
      <c r="S625" s="59">
        <f ca="1">Dashboard!B$8* Dashboard!$F$4+Dashboard!B$10*SQRT(Dashboard!$F$4) * _xlfn.NORM.S.INV(RAND())</f>
        <v>-3.2547627162477125E-2</v>
      </c>
      <c r="T625" s="59">
        <f ca="1">Dashboard!C$8* Dashboard!$F$4+Dashboard!C$10*SQRT(Dashboard!$F$4) * _xlfn.NORM.S.INV(RAND())</f>
        <v>1.5265300547148513E-2</v>
      </c>
      <c r="U625" s="59">
        <f ca="1">Dashboard!D$8* Dashboard!$F$4+Dashboard!D$10*SQRT(Dashboard!$F$4) * _xlfn.NORM.S.INV(RAND())</f>
        <v>1.7724914269028103E-2</v>
      </c>
    </row>
    <row r="626" spans="18:21" x14ac:dyDescent="0.2">
      <c r="R626" s="49">
        <v>624</v>
      </c>
      <c r="S626" s="59">
        <f ca="1">Dashboard!B$8* Dashboard!$F$4+Dashboard!B$10*SQRT(Dashboard!$F$4) * _xlfn.NORM.S.INV(RAND())</f>
        <v>-1.9780698730656195E-2</v>
      </c>
      <c r="T626" s="59">
        <f ca="1">Dashboard!C$8* Dashboard!$F$4+Dashboard!C$10*SQRT(Dashboard!$F$4) * _xlfn.NORM.S.INV(RAND())</f>
        <v>-4.2333205627076848E-2</v>
      </c>
      <c r="U626" s="59">
        <f ca="1">Dashboard!D$8* Dashboard!$F$4+Dashboard!D$10*SQRT(Dashboard!$F$4) * _xlfn.NORM.S.INV(RAND())</f>
        <v>2.1445045675926252E-2</v>
      </c>
    </row>
    <row r="627" spans="18:21" x14ac:dyDescent="0.2">
      <c r="R627" s="49">
        <v>625</v>
      </c>
      <c r="S627" s="59">
        <f ca="1">Dashboard!B$8* Dashboard!$F$4+Dashboard!B$10*SQRT(Dashboard!$F$4) * _xlfn.NORM.S.INV(RAND())</f>
        <v>3.0524226013674605E-2</v>
      </c>
      <c r="T627" s="59">
        <f ca="1">Dashboard!C$8* Dashboard!$F$4+Dashboard!C$10*SQRT(Dashboard!$F$4) * _xlfn.NORM.S.INV(RAND())</f>
        <v>2.1426602058461058E-2</v>
      </c>
      <c r="U627" s="59">
        <f ca="1">Dashboard!D$8* Dashboard!$F$4+Dashboard!D$10*SQRT(Dashboard!$F$4) * _xlfn.NORM.S.INV(RAND())</f>
        <v>-3.4090263293965618E-2</v>
      </c>
    </row>
    <row r="628" spans="18:21" x14ac:dyDescent="0.2">
      <c r="R628" s="49">
        <v>626</v>
      </c>
      <c r="S628" s="59">
        <f ca="1">Dashboard!B$8* Dashboard!$F$4+Dashboard!B$10*SQRT(Dashboard!$F$4) * _xlfn.NORM.S.INV(RAND())</f>
        <v>1.1724401879235105E-2</v>
      </c>
      <c r="T628" s="59">
        <f ca="1">Dashboard!C$8* Dashboard!$F$4+Dashboard!C$10*SQRT(Dashboard!$F$4) * _xlfn.NORM.S.INV(RAND())</f>
        <v>5.5512211381795615E-2</v>
      </c>
      <c r="U628" s="59">
        <f ca="1">Dashboard!D$8* Dashboard!$F$4+Dashboard!D$10*SQRT(Dashboard!$F$4) * _xlfn.NORM.S.INV(RAND())</f>
        <v>-4.0804438759399327E-2</v>
      </c>
    </row>
    <row r="629" spans="18:21" x14ac:dyDescent="0.2">
      <c r="R629" s="49">
        <v>627</v>
      </c>
      <c r="S629" s="59">
        <f ca="1">Dashboard!B$8* Dashboard!$F$4+Dashboard!B$10*SQRT(Dashboard!$F$4) * _xlfn.NORM.S.INV(RAND())</f>
        <v>-2.8492094506337197E-2</v>
      </c>
      <c r="T629" s="59">
        <f ca="1">Dashboard!C$8* Dashboard!$F$4+Dashboard!C$10*SQRT(Dashboard!$F$4) * _xlfn.NORM.S.INV(RAND())</f>
        <v>-4.3397212854555519E-3</v>
      </c>
      <c r="U629" s="59">
        <f ca="1">Dashboard!D$8* Dashboard!$F$4+Dashboard!D$10*SQRT(Dashboard!$F$4) * _xlfn.NORM.S.INV(RAND())</f>
        <v>-2.754850990082866E-2</v>
      </c>
    </row>
    <row r="630" spans="18:21" x14ac:dyDescent="0.2">
      <c r="R630" s="49">
        <v>628</v>
      </c>
      <c r="S630" s="59">
        <f ca="1">Dashboard!B$8* Dashboard!$F$4+Dashboard!B$10*SQRT(Dashboard!$F$4) * _xlfn.NORM.S.INV(RAND())</f>
        <v>-6.199179552953319E-2</v>
      </c>
      <c r="T630" s="59">
        <f ca="1">Dashboard!C$8* Dashboard!$F$4+Dashboard!C$10*SQRT(Dashboard!$F$4) * _xlfn.NORM.S.INV(RAND())</f>
        <v>-4.6129821571591102E-4</v>
      </c>
      <c r="U630" s="59">
        <f ca="1">Dashboard!D$8* Dashboard!$F$4+Dashboard!D$10*SQRT(Dashboard!$F$4) * _xlfn.NORM.S.INV(RAND())</f>
        <v>1.122306730179338E-2</v>
      </c>
    </row>
    <row r="631" spans="18:21" x14ac:dyDescent="0.2">
      <c r="R631" s="49">
        <v>629</v>
      </c>
      <c r="S631" s="59">
        <f ca="1">Dashboard!B$8* Dashboard!$F$4+Dashboard!B$10*SQRT(Dashboard!$F$4) * _xlfn.NORM.S.INV(RAND())</f>
        <v>2.8165581865501867E-2</v>
      </c>
      <c r="T631" s="59">
        <f ca="1">Dashboard!C$8* Dashboard!$F$4+Dashboard!C$10*SQRT(Dashboard!$F$4) * _xlfn.NORM.S.INV(RAND())</f>
        <v>-1.0808195254799487E-2</v>
      </c>
      <c r="U631" s="59">
        <f ca="1">Dashboard!D$8* Dashboard!$F$4+Dashboard!D$10*SQRT(Dashboard!$F$4) * _xlfn.NORM.S.INV(RAND())</f>
        <v>2.5543181977637937E-2</v>
      </c>
    </row>
    <row r="632" spans="18:21" x14ac:dyDescent="0.2">
      <c r="R632" s="49">
        <v>630</v>
      </c>
      <c r="S632" s="59">
        <f ca="1">Dashboard!B$8* Dashboard!$F$4+Dashboard!B$10*SQRT(Dashboard!$F$4) * _xlfn.NORM.S.INV(RAND())</f>
        <v>-1.7513633614522687E-2</v>
      </c>
      <c r="T632" s="59">
        <f ca="1">Dashboard!C$8* Dashboard!$F$4+Dashboard!C$10*SQRT(Dashboard!$F$4) * _xlfn.NORM.S.INV(RAND())</f>
        <v>1.8251719081952139E-2</v>
      </c>
      <c r="U632" s="59">
        <f ca="1">Dashboard!D$8* Dashboard!$F$4+Dashboard!D$10*SQRT(Dashboard!$F$4) * _xlfn.NORM.S.INV(RAND())</f>
        <v>-3.9604396692738505E-2</v>
      </c>
    </row>
    <row r="633" spans="18:21" x14ac:dyDescent="0.2">
      <c r="R633" s="49">
        <v>631</v>
      </c>
      <c r="S633" s="59">
        <f ca="1">Dashboard!B$8* Dashboard!$F$4+Dashboard!B$10*SQRT(Dashboard!$F$4) * _xlfn.NORM.S.INV(RAND())</f>
        <v>-4.550997745054796E-2</v>
      </c>
      <c r="T633" s="59">
        <f ca="1">Dashboard!C$8* Dashboard!$F$4+Dashboard!C$10*SQRT(Dashboard!$F$4) * _xlfn.NORM.S.INV(RAND())</f>
        <v>5.5377991730221525E-3</v>
      </c>
      <c r="U633" s="59">
        <f ca="1">Dashboard!D$8* Dashboard!$F$4+Dashboard!D$10*SQRT(Dashboard!$F$4) * _xlfn.NORM.S.INV(RAND())</f>
        <v>-2.9109422564074689E-2</v>
      </c>
    </row>
    <row r="634" spans="18:21" x14ac:dyDescent="0.2">
      <c r="R634" s="49">
        <v>632</v>
      </c>
      <c r="S634" s="59">
        <f ca="1">Dashboard!B$8* Dashboard!$F$4+Dashboard!B$10*SQRT(Dashboard!$F$4) * _xlfn.NORM.S.INV(RAND())</f>
        <v>-1.575560167364301E-2</v>
      </c>
      <c r="T634" s="59">
        <f ca="1">Dashboard!C$8* Dashboard!$F$4+Dashboard!C$10*SQRT(Dashboard!$F$4) * _xlfn.NORM.S.INV(RAND())</f>
        <v>-4.9015125810194194E-3</v>
      </c>
      <c r="U634" s="59">
        <f ca="1">Dashboard!D$8* Dashboard!$F$4+Dashboard!D$10*SQRT(Dashboard!$F$4) * _xlfn.NORM.S.INV(RAND())</f>
        <v>-4.695569354728981E-2</v>
      </c>
    </row>
    <row r="635" spans="18:21" x14ac:dyDescent="0.2">
      <c r="R635" s="49">
        <v>633</v>
      </c>
      <c r="S635" s="59">
        <f ca="1">Dashboard!B$8* Dashboard!$F$4+Dashboard!B$10*SQRT(Dashboard!$F$4) * _xlfn.NORM.S.INV(RAND())</f>
        <v>2.2708806844123103E-2</v>
      </c>
      <c r="T635" s="59">
        <f ca="1">Dashboard!C$8* Dashboard!$F$4+Dashboard!C$10*SQRT(Dashboard!$F$4) * _xlfn.NORM.S.INV(RAND())</f>
        <v>-6.0919417745079396E-3</v>
      </c>
      <c r="U635" s="59">
        <f ca="1">Dashboard!D$8* Dashboard!$F$4+Dashboard!D$10*SQRT(Dashboard!$F$4) * _xlfn.NORM.S.INV(RAND())</f>
        <v>2.0731876995693385E-2</v>
      </c>
    </row>
    <row r="636" spans="18:21" x14ac:dyDescent="0.2">
      <c r="R636" s="49">
        <v>634</v>
      </c>
      <c r="S636" s="59">
        <f ca="1">Dashboard!B$8* Dashboard!$F$4+Dashboard!B$10*SQRT(Dashboard!$F$4) * _xlfn.NORM.S.INV(RAND())</f>
        <v>-5.1640522777884446E-2</v>
      </c>
      <c r="T636" s="59">
        <f ca="1">Dashboard!C$8* Dashboard!$F$4+Dashboard!C$10*SQRT(Dashboard!$F$4) * _xlfn.NORM.S.INV(RAND())</f>
        <v>1.4952521954747056E-2</v>
      </c>
      <c r="U636" s="59">
        <f ca="1">Dashboard!D$8* Dashboard!$F$4+Dashboard!D$10*SQRT(Dashboard!$F$4) * _xlfn.NORM.S.INV(RAND())</f>
        <v>-8.2670474723069987E-2</v>
      </c>
    </row>
    <row r="637" spans="18:21" x14ac:dyDescent="0.2">
      <c r="R637" s="49">
        <v>635</v>
      </c>
      <c r="S637" s="59">
        <f ca="1">Dashboard!B$8* Dashboard!$F$4+Dashboard!B$10*SQRT(Dashboard!$F$4) * _xlfn.NORM.S.INV(RAND())</f>
        <v>-5.801731905981657E-3</v>
      </c>
      <c r="T637" s="59">
        <f ca="1">Dashboard!C$8* Dashboard!$F$4+Dashboard!C$10*SQRT(Dashboard!$F$4) * _xlfn.NORM.S.INV(RAND())</f>
        <v>2.9027323653341274E-3</v>
      </c>
      <c r="U637" s="59">
        <f ca="1">Dashboard!D$8* Dashboard!$F$4+Dashboard!D$10*SQRT(Dashboard!$F$4) * _xlfn.NORM.S.INV(RAND())</f>
        <v>1.0008339138504557E-2</v>
      </c>
    </row>
    <row r="638" spans="18:21" x14ac:dyDescent="0.2">
      <c r="R638" s="49">
        <v>636</v>
      </c>
      <c r="S638" s="59">
        <f ca="1">Dashboard!B$8* Dashboard!$F$4+Dashboard!B$10*SQRT(Dashboard!$F$4) * _xlfn.NORM.S.INV(RAND())</f>
        <v>4.8886035114454607E-3</v>
      </c>
      <c r="T638" s="59">
        <f ca="1">Dashboard!C$8* Dashboard!$F$4+Dashboard!C$10*SQRT(Dashboard!$F$4) * _xlfn.NORM.S.INV(RAND())</f>
        <v>-3.4958640083044168E-2</v>
      </c>
      <c r="U638" s="59">
        <f ca="1">Dashboard!D$8* Dashboard!$F$4+Dashboard!D$10*SQRT(Dashboard!$F$4) * _xlfn.NORM.S.INV(RAND())</f>
        <v>1.5373701098048243E-2</v>
      </c>
    </row>
    <row r="639" spans="18:21" x14ac:dyDescent="0.2">
      <c r="R639" s="49">
        <v>637</v>
      </c>
      <c r="S639" s="59">
        <f ca="1">Dashboard!B$8* Dashboard!$F$4+Dashboard!B$10*SQRT(Dashboard!$F$4) * _xlfn.NORM.S.INV(RAND())</f>
        <v>-3.8092876730806836E-2</v>
      </c>
      <c r="T639" s="59">
        <f ca="1">Dashboard!C$8* Dashboard!$F$4+Dashboard!C$10*SQRT(Dashboard!$F$4) * _xlfn.NORM.S.INV(RAND())</f>
        <v>3.3179446096159693E-2</v>
      </c>
      <c r="U639" s="59">
        <f ca="1">Dashboard!D$8* Dashboard!$F$4+Dashboard!D$10*SQRT(Dashboard!$F$4) * _xlfn.NORM.S.INV(RAND())</f>
        <v>-3.1226436016987203E-2</v>
      </c>
    </row>
    <row r="640" spans="18:21" x14ac:dyDescent="0.2">
      <c r="R640" s="49">
        <v>638</v>
      </c>
      <c r="S640" s="59">
        <f ca="1">Dashboard!B$8* Dashboard!$F$4+Dashboard!B$10*SQRT(Dashboard!$F$4) * _xlfn.NORM.S.INV(RAND())</f>
        <v>3.611942681129926E-2</v>
      </c>
      <c r="T640" s="59">
        <f ca="1">Dashboard!C$8* Dashboard!$F$4+Dashboard!C$10*SQRT(Dashboard!$F$4) * _xlfn.NORM.S.INV(RAND())</f>
        <v>2.8452757276335446E-2</v>
      </c>
      <c r="U640" s="59">
        <f ca="1">Dashboard!D$8* Dashboard!$F$4+Dashboard!D$10*SQRT(Dashboard!$F$4) * _xlfn.NORM.S.INV(RAND())</f>
        <v>-2.9880488156167048E-2</v>
      </c>
    </row>
    <row r="641" spans="18:21" x14ac:dyDescent="0.2">
      <c r="R641" s="49">
        <v>639</v>
      </c>
      <c r="S641" s="59">
        <f ca="1">Dashboard!B$8* Dashboard!$F$4+Dashboard!B$10*SQRT(Dashboard!$F$4) * _xlfn.NORM.S.INV(RAND())</f>
        <v>-3.0266461048030775E-2</v>
      </c>
      <c r="T641" s="59">
        <f ca="1">Dashboard!C$8* Dashboard!$F$4+Dashboard!C$10*SQRT(Dashboard!$F$4) * _xlfn.NORM.S.INV(RAND())</f>
        <v>3.9346997513417296E-2</v>
      </c>
      <c r="U641" s="59">
        <f ca="1">Dashboard!D$8* Dashboard!$F$4+Dashboard!D$10*SQRT(Dashboard!$F$4) * _xlfn.NORM.S.INV(RAND())</f>
        <v>-3.4774103124455336E-2</v>
      </c>
    </row>
    <row r="642" spans="18:21" x14ac:dyDescent="0.2">
      <c r="R642" s="49">
        <v>640</v>
      </c>
      <c r="S642" s="59">
        <f ca="1">Dashboard!B$8* Dashboard!$F$4+Dashboard!B$10*SQRT(Dashboard!$F$4) * _xlfn.NORM.S.INV(RAND())</f>
        <v>4.7632370507298023E-2</v>
      </c>
      <c r="T642" s="59">
        <f ca="1">Dashboard!C$8* Dashboard!$F$4+Dashboard!C$10*SQRT(Dashboard!$F$4) * _xlfn.NORM.S.INV(RAND())</f>
        <v>-3.655444601343439E-2</v>
      </c>
      <c r="U642" s="59">
        <f ca="1">Dashboard!D$8* Dashboard!$F$4+Dashboard!D$10*SQRT(Dashboard!$F$4) * _xlfn.NORM.S.INV(RAND())</f>
        <v>-7.6751643892080954E-3</v>
      </c>
    </row>
    <row r="643" spans="18:21" x14ac:dyDescent="0.2">
      <c r="R643" s="49">
        <v>641</v>
      </c>
      <c r="S643" s="59">
        <f ca="1">Dashboard!B$8* Dashboard!$F$4+Dashboard!B$10*SQRT(Dashboard!$F$4) * _xlfn.NORM.S.INV(RAND())</f>
        <v>-2.0331302098016417E-2</v>
      </c>
      <c r="T643" s="59">
        <f ca="1">Dashboard!C$8* Dashboard!$F$4+Dashboard!C$10*SQRT(Dashboard!$F$4) * _xlfn.NORM.S.INV(RAND())</f>
        <v>1.7644620995124861E-2</v>
      </c>
      <c r="U643" s="59">
        <f ca="1">Dashboard!D$8* Dashboard!$F$4+Dashboard!D$10*SQRT(Dashboard!$F$4) * _xlfn.NORM.S.INV(RAND())</f>
        <v>-1.7552246726259647E-2</v>
      </c>
    </row>
    <row r="644" spans="18:21" x14ac:dyDescent="0.2">
      <c r="R644" s="49">
        <v>642</v>
      </c>
      <c r="S644" s="59">
        <f ca="1">Dashboard!B$8* Dashboard!$F$4+Dashboard!B$10*SQRT(Dashboard!$F$4) * _xlfn.NORM.S.INV(RAND())</f>
        <v>1.4609217424930683E-2</v>
      </c>
      <c r="T644" s="59">
        <f ca="1">Dashboard!C$8* Dashboard!$F$4+Dashboard!C$10*SQRT(Dashboard!$F$4) * _xlfn.NORM.S.INV(RAND())</f>
        <v>1.521445205145296E-2</v>
      </c>
      <c r="U644" s="59">
        <f ca="1">Dashboard!D$8* Dashboard!$F$4+Dashboard!D$10*SQRT(Dashboard!$F$4) * _xlfn.NORM.S.INV(RAND())</f>
        <v>-5.5977828932758291E-3</v>
      </c>
    </row>
    <row r="645" spans="18:21" x14ac:dyDescent="0.2">
      <c r="R645" s="49">
        <v>643</v>
      </c>
      <c r="S645" s="59">
        <f ca="1">Dashboard!B$8* Dashboard!$F$4+Dashboard!B$10*SQRT(Dashboard!$F$4) * _xlfn.NORM.S.INV(RAND())</f>
        <v>-3.3712254148941814E-2</v>
      </c>
      <c r="T645" s="59">
        <f ca="1">Dashboard!C$8* Dashboard!$F$4+Dashboard!C$10*SQRT(Dashboard!$F$4) * _xlfn.NORM.S.INV(RAND())</f>
        <v>-3.7346594349505637E-2</v>
      </c>
      <c r="U645" s="59">
        <f ca="1">Dashboard!D$8* Dashboard!$F$4+Dashboard!D$10*SQRT(Dashboard!$F$4) * _xlfn.NORM.S.INV(RAND())</f>
        <v>4.0824274761912235E-2</v>
      </c>
    </row>
    <row r="646" spans="18:21" x14ac:dyDescent="0.2">
      <c r="R646" s="49">
        <v>644</v>
      </c>
      <c r="S646" s="59">
        <f ca="1">Dashboard!B$8* Dashboard!$F$4+Dashboard!B$10*SQRT(Dashboard!$F$4) * _xlfn.NORM.S.INV(RAND())</f>
        <v>6.2932894841356446E-2</v>
      </c>
      <c r="T646" s="59">
        <f ca="1">Dashboard!C$8* Dashboard!$F$4+Dashboard!C$10*SQRT(Dashboard!$F$4) * _xlfn.NORM.S.INV(RAND())</f>
        <v>-3.8744620311587125E-2</v>
      </c>
      <c r="U646" s="59">
        <f ca="1">Dashboard!D$8* Dashboard!$F$4+Dashboard!D$10*SQRT(Dashboard!$F$4) * _xlfn.NORM.S.INV(RAND())</f>
        <v>-3.9260546207475856E-2</v>
      </c>
    </row>
    <row r="647" spans="18:21" x14ac:dyDescent="0.2">
      <c r="R647" s="49">
        <v>645</v>
      </c>
      <c r="S647" s="59">
        <f ca="1">Dashboard!B$8* Dashboard!$F$4+Dashboard!B$10*SQRT(Dashboard!$F$4) * _xlfn.NORM.S.INV(RAND())</f>
        <v>-1.2157015119510261E-2</v>
      </c>
      <c r="T647" s="59">
        <f ca="1">Dashboard!C$8* Dashboard!$F$4+Dashboard!C$10*SQRT(Dashboard!$F$4) * _xlfn.NORM.S.INV(RAND())</f>
        <v>4.2086107123532952E-2</v>
      </c>
      <c r="U647" s="59">
        <f ca="1">Dashboard!D$8* Dashboard!$F$4+Dashboard!D$10*SQRT(Dashboard!$F$4) * _xlfn.NORM.S.INV(RAND())</f>
        <v>4.8604856057965544E-2</v>
      </c>
    </row>
    <row r="648" spans="18:21" x14ac:dyDescent="0.2">
      <c r="R648" s="49">
        <v>646</v>
      </c>
      <c r="S648" s="59">
        <f ca="1">Dashboard!B$8* Dashboard!$F$4+Dashboard!B$10*SQRT(Dashboard!$F$4) * _xlfn.NORM.S.INV(RAND())</f>
        <v>2.4851378118618969E-2</v>
      </c>
      <c r="T648" s="59">
        <f ca="1">Dashboard!C$8* Dashboard!$F$4+Dashboard!C$10*SQRT(Dashboard!$F$4) * _xlfn.NORM.S.INV(RAND())</f>
        <v>1.4804033171993181E-2</v>
      </c>
      <c r="U648" s="59">
        <f ca="1">Dashboard!D$8* Dashboard!$F$4+Dashboard!D$10*SQRT(Dashboard!$F$4) * _xlfn.NORM.S.INV(RAND())</f>
        <v>-2.5751797512174171E-2</v>
      </c>
    </row>
    <row r="649" spans="18:21" x14ac:dyDescent="0.2">
      <c r="R649" s="49">
        <v>647</v>
      </c>
      <c r="S649" s="59">
        <f ca="1">Dashboard!B$8* Dashboard!$F$4+Dashboard!B$10*SQRT(Dashboard!$F$4) * _xlfn.NORM.S.INV(RAND())</f>
        <v>-1.0889229885071591E-2</v>
      </c>
      <c r="T649" s="59">
        <f ca="1">Dashboard!C$8* Dashboard!$F$4+Dashboard!C$10*SQRT(Dashboard!$F$4) * _xlfn.NORM.S.INV(RAND())</f>
        <v>-3.0707684396160988E-2</v>
      </c>
      <c r="U649" s="59">
        <f ca="1">Dashboard!D$8* Dashboard!$F$4+Dashboard!D$10*SQRT(Dashboard!$F$4) * _xlfn.NORM.S.INV(RAND())</f>
        <v>4.1459809471034795E-3</v>
      </c>
    </row>
    <row r="650" spans="18:21" x14ac:dyDescent="0.2">
      <c r="R650" s="49">
        <v>648</v>
      </c>
      <c r="S650" s="59">
        <f ca="1">Dashboard!B$8* Dashboard!$F$4+Dashboard!B$10*SQRT(Dashboard!$F$4) * _xlfn.NORM.S.INV(RAND())</f>
        <v>-5.8465931982796364E-3</v>
      </c>
      <c r="T650" s="59">
        <f ca="1">Dashboard!C$8* Dashboard!$F$4+Dashboard!C$10*SQRT(Dashboard!$F$4) * _xlfn.NORM.S.INV(RAND())</f>
        <v>1.8115494940851899E-2</v>
      </c>
      <c r="U650" s="59">
        <f ca="1">Dashboard!D$8* Dashboard!$F$4+Dashboard!D$10*SQRT(Dashboard!$F$4) * _xlfn.NORM.S.INV(RAND())</f>
        <v>1.1653690988926931E-2</v>
      </c>
    </row>
    <row r="651" spans="18:21" x14ac:dyDescent="0.2">
      <c r="R651" s="49">
        <v>649</v>
      </c>
      <c r="S651" s="59">
        <f ca="1">Dashboard!B$8* Dashboard!$F$4+Dashboard!B$10*SQRT(Dashboard!$F$4) * _xlfn.NORM.S.INV(RAND())</f>
        <v>4.5026064302331449E-2</v>
      </c>
      <c r="T651" s="59">
        <f ca="1">Dashboard!C$8* Dashboard!$F$4+Dashboard!C$10*SQRT(Dashboard!$F$4) * _xlfn.NORM.S.INV(RAND())</f>
        <v>-2.9572931711473519E-2</v>
      </c>
      <c r="U651" s="59">
        <f ca="1">Dashboard!D$8* Dashboard!$F$4+Dashboard!D$10*SQRT(Dashboard!$F$4) * _xlfn.NORM.S.INV(RAND())</f>
        <v>-1.3466115705039021E-2</v>
      </c>
    </row>
    <row r="652" spans="18:21" x14ac:dyDescent="0.2">
      <c r="R652" s="49">
        <v>650</v>
      </c>
      <c r="S652" s="59">
        <f ca="1">Dashboard!B$8* Dashboard!$F$4+Dashboard!B$10*SQRT(Dashboard!$F$4) * _xlfn.NORM.S.INV(RAND())</f>
        <v>-2.7616733089573771E-3</v>
      </c>
      <c r="T652" s="59">
        <f ca="1">Dashboard!C$8* Dashboard!$F$4+Dashboard!C$10*SQRT(Dashboard!$F$4) * _xlfn.NORM.S.INV(RAND())</f>
        <v>1.2950580840456433E-2</v>
      </c>
      <c r="U652" s="59">
        <f ca="1">Dashboard!D$8* Dashboard!$F$4+Dashboard!D$10*SQRT(Dashboard!$F$4) * _xlfn.NORM.S.INV(RAND())</f>
        <v>-1.7873780163208165E-2</v>
      </c>
    </row>
    <row r="653" spans="18:21" x14ac:dyDescent="0.2">
      <c r="R653" s="49">
        <v>651</v>
      </c>
      <c r="S653" s="59">
        <f ca="1">Dashboard!B$8* Dashboard!$F$4+Dashboard!B$10*SQRT(Dashboard!$F$4) * _xlfn.NORM.S.INV(RAND())</f>
        <v>7.2135887827238978E-4</v>
      </c>
      <c r="T653" s="59">
        <f ca="1">Dashboard!C$8* Dashboard!$F$4+Dashboard!C$10*SQRT(Dashboard!$F$4) * _xlfn.NORM.S.INV(RAND())</f>
        <v>-4.715308528688273E-2</v>
      </c>
      <c r="U653" s="59">
        <f ca="1">Dashboard!D$8* Dashboard!$F$4+Dashboard!D$10*SQRT(Dashboard!$F$4) * _xlfn.NORM.S.INV(RAND())</f>
        <v>7.6781623138015582E-3</v>
      </c>
    </row>
    <row r="654" spans="18:21" x14ac:dyDescent="0.2">
      <c r="R654" s="49">
        <v>652</v>
      </c>
      <c r="S654" s="59">
        <f ca="1">Dashboard!B$8* Dashboard!$F$4+Dashboard!B$10*SQRT(Dashboard!$F$4) * _xlfn.NORM.S.INV(RAND())</f>
        <v>1.8395533313751503E-2</v>
      </c>
      <c r="T654" s="59">
        <f ca="1">Dashboard!C$8* Dashboard!$F$4+Dashboard!C$10*SQRT(Dashboard!$F$4) * _xlfn.NORM.S.INV(RAND())</f>
        <v>9.6410825835988902E-3</v>
      </c>
      <c r="U654" s="59">
        <f ca="1">Dashboard!D$8* Dashboard!$F$4+Dashboard!D$10*SQRT(Dashboard!$F$4) * _xlfn.NORM.S.INV(RAND())</f>
        <v>3.1242225466124162E-2</v>
      </c>
    </row>
    <row r="655" spans="18:21" x14ac:dyDescent="0.2">
      <c r="R655" s="49">
        <v>653</v>
      </c>
      <c r="S655" s="59">
        <f ca="1">Dashboard!B$8* Dashboard!$F$4+Dashboard!B$10*SQRT(Dashboard!$F$4) * _xlfn.NORM.S.INV(RAND())</f>
        <v>6.7180442814182197E-3</v>
      </c>
      <c r="T655" s="59">
        <f ca="1">Dashboard!C$8* Dashboard!$F$4+Dashboard!C$10*SQRT(Dashboard!$F$4) * _xlfn.NORM.S.INV(RAND())</f>
        <v>3.4064493341050169E-2</v>
      </c>
      <c r="U655" s="59">
        <f ca="1">Dashboard!D$8* Dashboard!$F$4+Dashboard!D$10*SQRT(Dashboard!$F$4) * _xlfn.NORM.S.INV(RAND())</f>
        <v>-1.2064336237014445E-2</v>
      </c>
    </row>
    <row r="656" spans="18:21" x14ac:dyDescent="0.2">
      <c r="R656" s="49">
        <v>654</v>
      </c>
      <c r="S656" s="59">
        <f ca="1">Dashboard!B$8* Dashboard!$F$4+Dashboard!B$10*SQRT(Dashboard!$F$4) * _xlfn.NORM.S.INV(RAND())</f>
        <v>-1.8497529620006156E-2</v>
      </c>
      <c r="T656" s="59">
        <f ca="1">Dashboard!C$8* Dashboard!$F$4+Dashboard!C$10*SQRT(Dashboard!$F$4) * _xlfn.NORM.S.INV(RAND())</f>
        <v>3.0758449743024892E-2</v>
      </c>
      <c r="U656" s="59">
        <f ca="1">Dashboard!D$8* Dashboard!$F$4+Dashboard!D$10*SQRT(Dashboard!$F$4) * _xlfn.NORM.S.INV(RAND())</f>
        <v>-6.4258024741155717E-2</v>
      </c>
    </row>
    <row r="657" spans="18:21" x14ac:dyDescent="0.2">
      <c r="R657" s="49">
        <v>655</v>
      </c>
      <c r="S657" s="59">
        <f ca="1">Dashboard!B$8* Dashboard!$F$4+Dashboard!B$10*SQRT(Dashboard!$F$4) * _xlfn.NORM.S.INV(RAND())</f>
        <v>8.1484181454593869E-3</v>
      </c>
      <c r="T657" s="59">
        <f ca="1">Dashboard!C$8* Dashboard!$F$4+Dashboard!C$10*SQRT(Dashboard!$F$4) * _xlfn.NORM.S.INV(RAND())</f>
        <v>4.434115837366014E-3</v>
      </c>
      <c r="U657" s="59">
        <f ca="1">Dashboard!D$8* Dashboard!$F$4+Dashboard!D$10*SQRT(Dashboard!$F$4) * _xlfn.NORM.S.INV(RAND())</f>
        <v>-3.6543865272974936E-2</v>
      </c>
    </row>
    <row r="658" spans="18:21" x14ac:dyDescent="0.2">
      <c r="R658" s="49">
        <v>656</v>
      </c>
      <c r="S658" s="59">
        <f ca="1">Dashboard!B$8* Dashboard!$F$4+Dashboard!B$10*SQRT(Dashboard!$F$4) * _xlfn.NORM.S.INV(RAND())</f>
        <v>-4.0386252836361936E-2</v>
      </c>
      <c r="T658" s="59">
        <f ca="1">Dashboard!C$8* Dashboard!$F$4+Dashboard!C$10*SQRT(Dashboard!$F$4) * _xlfn.NORM.S.INV(RAND())</f>
        <v>-2.6687578578451932E-3</v>
      </c>
      <c r="U658" s="59">
        <f ca="1">Dashboard!D$8* Dashboard!$F$4+Dashboard!D$10*SQRT(Dashboard!$F$4) * _xlfn.NORM.S.INV(RAND())</f>
        <v>-5.309887834694698E-2</v>
      </c>
    </row>
    <row r="659" spans="18:21" x14ac:dyDescent="0.2">
      <c r="R659" s="49">
        <v>657</v>
      </c>
      <c r="S659" s="59">
        <f ca="1">Dashboard!B$8* Dashboard!$F$4+Dashboard!B$10*SQRT(Dashboard!$F$4) * _xlfn.NORM.S.INV(RAND())</f>
        <v>-1.1497811667515947E-2</v>
      </c>
      <c r="T659" s="59">
        <f ca="1">Dashboard!C$8* Dashboard!$F$4+Dashboard!C$10*SQRT(Dashboard!$F$4) * _xlfn.NORM.S.INV(RAND())</f>
        <v>-1.2123187893878635E-2</v>
      </c>
      <c r="U659" s="59">
        <f ca="1">Dashboard!D$8* Dashboard!$F$4+Dashboard!D$10*SQRT(Dashboard!$F$4) * _xlfn.NORM.S.INV(RAND())</f>
        <v>7.327300101983511E-2</v>
      </c>
    </row>
    <row r="660" spans="18:21" x14ac:dyDescent="0.2">
      <c r="R660" s="49">
        <v>658</v>
      </c>
      <c r="S660" s="59">
        <f ca="1">Dashboard!B$8* Dashboard!$F$4+Dashboard!B$10*SQRT(Dashboard!$F$4) * _xlfn.NORM.S.INV(RAND())</f>
        <v>6.8401533110185139E-2</v>
      </c>
      <c r="T660" s="59">
        <f ca="1">Dashboard!C$8* Dashboard!$F$4+Dashboard!C$10*SQRT(Dashboard!$F$4) * _xlfn.NORM.S.INV(RAND())</f>
        <v>5.4832035406606444E-2</v>
      </c>
      <c r="U660" s="59">
        <f ca="1">Dashboard!D$8* Dashboard!$F$4+Dashboard!D$10*SQRT(Dashboard!$F$4) * _xlfn.NORM.S.INV(RAND())</f>
        <v>-3.1366173554909081E-2</v>
      </c>
    </row>
    <row r="661" spans="18:21" x14ac:dyDescent="0.2">
      <c r="R661" s="49">
        <v>659</v>
      </c>
      <c r="S661" s="59">
        <f ca="1">Dashboard!B$8* Dashboard!$F$4+Dashboard!B$10*SQRT(Dashboard!$F$4) * _xlfn.NORM.S.INV(RAND())</f>
        <v>1.2777882745035675E-2</v>
      </c>
      <c r="T661" s="59">
        <f ca="1">Dashboard!C$8* Dashboard!$F$4+Dashboard!C$10*SQRT(Dashboard!$F$4) * _xlfn.NORM.S.INV(RAND())</f>
        <v>-3.4125671359019172E-2</v>
      </c>
      <c r="U661" s="59">
        <f ca="1">Dashboard!D$8* Dashboard!$F$4+Dashboard!D$10*SQRT(Dashboard!$F$4) * _xlfn.NORM.S.INV(RAND())</f>
        <v>-1.8035490971356434E-2</v>
      </c>
    </row>
    <row r="662" spans="18:21" x14ac:dyDescent="0.2">
      <c r="R662" s="49">
        <v>660</v>
      </c>
      <c r="S662" s="59">
        <f ca="1">Dashboard!B$8* Dashboard!$F$4+Dashboard!B$10*SQRT(Dashboard!$F$4) * _xlfn.NORM.S.INV(RAND())</f>
        <v>-7.3115894157929195E-3</v>
      </c>
      <c r="T662" s="59">
        <f ca="1">Dashboard!C$8* Dashboard!$F$4+Dashboard!C$10*SQRT(Dashboard!$F$4) * _xlfn.NORM.S.INV(RAND())</f>
        <v>3.0586661856280783E-2</v>
      </c>
      <c r="U662" s="59">
        <f ca="1">Dashboard!D$8* Dashboard!$F$4+Dashboard!D$10*SQRT(Dashboard!$F$4) * _xlfn.NORM.S.INV(RAND())</f>
        <v>1.8251694338567749E-2</v>
      </c>
    </row>
    <row r="663" spans="18:21" x14ac:dyDescent="0.2">
      <c r="R663" s="49">
        <v>661</v>
      </c>
      <c r="S663" s="59">
        <f ca="1">Dashboard!B$8* Dashboard!$F$4+Dashboard!B$10*SQRT(Dashboard!$F$4) * _xlfn.NORM.S.INV(RAND())</f>
        <v>-4.7632159075727695E-2</v>
      </c>
      <c r="T663" s="59">
        <f ca="1">Dashboard!C$8* Dashboard!$F$4+Dashboard!C$10*SQRT(Dashboard!$F$4) * _xlfn.NORM.S.INV(RAND())</f>
        <v>3.2675182539419118E-2</v>
      </c>
      <c r="U663" s="59">
        <f ca="1">Dashboard!D$8* Dashboard!$F$4+Dashboard!D$10*SQRT(Dashboard!$F$4) * _xlfn.NORM.S.INV(RAND())</f>
        <v>-3.195112028729164E-3</v>
      </c>
    </row>
    <row r="664" spans="18:21" x14ac:dyDescent="0.2">
      <c r="R664" s="49">
        <v>662</v>
      </c>
      <c r="S664" s="59">
        <f ca="1">Dashboard!B$8* Dashboard!$F$4+Dashboard!B$10*SQRT(Dashboard!$F$4) * _xlfn.NORM.S.INV(RAND())</f>
        <v>-1.4840475505307845E-2</v>
      </c>
      <c r="T664" s="59">
        <f ca="1">Dashboard!C$8* Dashboard!$F$4+Dashboard!C$10*SQRT(Dashboard!$F$4) * _xlfn.NORM.S.INV(RAND())</f>
        <v>-7.3440249380875454E-3</v>
      </c>
      <c r="U664" s="59">
        <f ca="1">Dashboard!D$8* Dashboard!$F$4+Dashboard!D$10*SQRT(Dashboard!$F$4) * _xlfn.NORM.S.INV(RAND())</f>
        <v>-7.1801003829428112E-3</v>
      </c>
    </row>
    <row r="665" spans="18:21" x14ac:dyDescent="0.2">
      <c r="R665" s="49">
        <v>663</v>
      </c>
      <c r="S665" s="59">
        <f ca="1">Dashboard!B$8* Dashboard!$F$4+Dashboard!B$10*SQRT(Dashboard!$F$4) * _xlfn.NORM.S.INV(RAND())</f>
        <v>1.7357579702082397E-2</v>
      </c>
      <c r="T665" s="59">
        <f ca="1">Dashboard!C$8* Dashboard!$F$4+Dashboard!C$10*SQRT(Dashboard!$F$4) * _xlfn.NORM.S.INV(RAND())</f>
        <v>1.7695847095691459E-3</v>
      </c>
      <c r="U665" s="59">
        <f ca="1">Dashboard!D$8* Dashboard!$F$4+Dashboard!D$10*SQRT(Dashboard!$F$4) * _xlfn.NORM.S.INV(RAND())</f>
        <v>-2.0690936473270437E-3</v>
      </c>
    </row>
    <row r="666" spans="18:21" x14ac:dyDescent="0.2">
      <c r="R666" s="49">
        <v>664</v>
      </c>
      <c r="S666" s="59">
        <f ca="1">Dashboard!B$8* Dashboard!$F$4+Dashboard!B$10*SQRT(Dashboard!$F$4) * _xlfn.NORM.S.INV(RAND())</f>
        <v>-5.7763515483893677E-2</v>
      </c>
      <c r="T666" s="59">
        <f ca="1">Dashboard!C$8* Dashboard!$F$4+Dashboard!C$10*SQRT(Dashboard!$F$4) * _xlfn.NORM.S.INV(RAND())</f>
        <v>2.0565227281055774E-3</v>
      </c>
      <c r="U666" s="59">
        <f ca="1">Dashboard!D$8* Dashboard!$F$4+Dashboard!D$10*SQRT(Dashboard!$F$4) * _xlfn.NORM.S.INV(RAND())</f>
        <v>5.9009344057471734E-2</v>
      </c>
    </row>
    <row r="667" spans="18:21" x14ac:dyDescent="0.2">
      <c r="R667" s="49">
        <v>665</v>
      </c>
      <c r="S667" s="59">
        <f ca="1">Dashboard!B$8* Dashboard!$F$4+Dashboard!B$10*SQRT(Dashboard!$F$4) * _xlfn.NORM.S.INV(RAND())</f>
        <v>-3.2931206753868708E-2</v>
      </c>
      <c r="T667" s="59">
        <f ca="1">Dashboard!C$8* Dashboard!$F$4+Dashboard!C$10*SQRT(Dashboard!$F$4) * _xlfn.NORM.S.INV(RAND())</f>
        <v>4.7082506416293225E-2</v>
      </c>
      <c r="U667" s="59">
        <f ca="1">Dashboard!D$8* Dashboard!$F$4+Dashboard!D$10*SQRT(Dashboard!$F$4) * _xlfn.NORM.S.INV(RAND())</f>
        <v>-4.5365207853434605E-2</v>
      </c>
    </row>
    <row r="668" spans="18:21" x14ac:dyDescent="0.2">
      <c r="R668" s="49">
        <v>666</v>
      </c>
      <c r="S668" s="59">
        <f ca="1">Dashboard!B$8* Dashboard!$F$4+Dashboard!B$10*SQRT(Dashboard!$F$4) * _xlfn.NORM.S.INV(RAND())</f>
        <v>-9.8000186661294578E-3</v>
      </c>
      <c r="T668" s="59">
        <f ca="1">Dashboard!C$8* Dashboard!$F$4+Dashboard!C$10*SQRT(Dashboard!$F$4) * _xlfn.NORM.S.INV(RAND())</f>
        <v>-8.9215133774389992E-3</v>
      </c>
      <c r="U668" s="59">
        <f ca="1">Dashboard!D$8* Dashboard!$F$4+Dashboard!D$10*SQRT(Dashboard!$F$4) * _xlfn.NORM.S.INV(RAND())</f>
        <v>-7.0850754431511842E-2</v>
      </c>
    </row>
    <row r="669" spans="18:21" x14ac:dyDescent="0.2">
      <c r="R669" s="49">
        <v>667</v>
      </c>
      <c r="S669" s="59">
        <f ca="1">Dashboard!B$8* Dashboard!$F$4+Dashboard!B$10*SQRT(Dashboard!$F$4) * _xlfn.NORM.S.INV(RAND())</f>
        <v>-4.7191623668275569E-2</v>
      </c>
      <c r="T669" s="59">
        <f ca="1">Dashboard!C$8* Dashboard!$F$4+Dashboard!C$10*SQRT(Dashboard!$F$4) * _xlfn.NORM.S.INV(RAND())</f>
        <v>-3.828674572350764E-2</v>
      </c>
      <c r="U669" s="59">
        <f ca="1">Dashboard!D$8* Dashboard!$F$4+Dashboard!D$10*SQRT(Dashboard!$F$4) * _xlfn.NORM.S.INV(RAND())</f>
        <v>2.7948480267891748E-2</v>
      </c>
    </row>
    <row r="670" spans="18:21" x14ac:dyDescent="0.2">
      <c r="R670" s="49">
        <v>668</v>
      </c>
      <c r="S670" s="59">
        <f ca="1">Dashboard!B$8* Dashboard!$F$4+Dashboard!B$10*SQRT(Dashboard!$F$4) * _xlfn.NORM.S.INV(RAND())</f>
        <v>-4.4886559543667638E-2</v>
      </c>
      <c r="T670" s="59">
        <f ca="1">Dashboard!C$8* Dashboard!$F$4+Dashboard!C$10*SQRT(Dashboard!$F$4) * _xlfn.NORM.S.INV(RAND())</f>
        <v>5.3655685396622622E-3</v>
      </c>
      <c r="U670" s="59">
        <f ca="1">Dashboard!D$8* Dashboard!$F$4+Dashboard!D$10*SQRT(Dashboard!$F$4) * _xlfn.NORM.S.INV(RAND())</f>
        <v>-1.8763909777067482E-2</v>
      </c>
    </row>
    <row r="671" spans="18:21" x14ac:dyDescent="0.2">
      <c r="R671" s="49">
        <v>669</v>
      </c>
      <c r="S671" s="59">
        <f ca="1">Dashboard!B$8* Dashboard!$F$4+Dashboard!B$10*SQRT(Dashboard!$F$4) * _xlfn.NORM.S.INV(RAND())</f>
        <v>5.3694501942787506E-3</v>
      </c>
      <c r="T671" s="59">
        <f ca="1">Dashboard!C$8* Dashboard!$F$4+Dashboard!C$10*SQRT(Dashboard!$F$4) * _xlfn.NORM.S.INV(RAND())</f>
        <v>-8.1581834039232318E-2</v>
      </c>
      <c r="U671" s="59">
        <f ca="1">Dashboard!D$8* Dashboard!$F$4+Dashboard!D$10*SQRT(Dashboard!$F$4) * _xlfn.NORM.S.INV(RAND())</f>
        <v>-3.9785124383141524E-2</v>
      </c>
    </row>
    <row r="672" spans="18:21" x14ac:dyDescent="0.2">
      <c r="R672" s="49">
        <v>670</v>
      </c>
      <c r="S672" s="59">
        <f ca="1">Dashboard!B$8* Dashboard!$F$4+Dashboard!B$10*SQRT(Dashboard!$F$4) * _xlfn.NORM.S.INV(RAND())</f>
        <v>1.7642802005217152E-2</v>
      </c>
      <c r="T672" s="59">
        <f ca="1">Dashboard!C$8* Dashboard!$F$4+Dashboard!C$10*SQRT(Dashboard!$F$4) * _xlfn.NORM.S.INV(RAND())</f>
        <v>-7.8478422129585265E-3</v>
      </c>
      <c r="U672" s="59">
        <f ca="1">Dashboard!D$8* Dashboard!$F$4+Dashboard!D$10*SQRT(Dashboard!$F$4) * _xlfn.NORM.S.INV(RAND())</f>
        <v>-1.0853883895445069E-2</v>
      </c>
    </row>
    <row r="673" spans="18:21" x14ac:dyDescent="0.2">
      <c r="R673" s="49">
        <v>671</v>
      </c>
      <c r="S673" s="59">
        <f ca="1">Dashboard!B$8* Dashboard!$F$4+Dashboard!B$10*SQRT(Dashboard!$F$4) * _xlfn.NORM.S.INV(RAND())</f>
        <v>6.1929745554882357E-3</v>
      </c>
      <c r="T673" s="59">
        <f ca="1">Dashboard!C$8* Dashboard!$F$4+Dashboard!C$10*SQRT(Dashboard!$F$4) * _xlfn.NORM.S.INV(RAND())</f>
        <v>5.091267370938854E-2</v>
      </c>
      <c r="U673" s="59">
        <f ca="1">Dashboard!D$8* Dashboard!$F$4+Dashboard!D$10*SQRT(Dashboard!$F$4) * _xlfn.NORM.S.INV(RAND())</f>
        <v>-4.6506307469982707E-3</v>
      </c>
    </row>
    <row r="674" spans="18:21" x14ac:dyDescent="0.2">
      <c r="R674" s="49">
        <v>672</v>
      </c>
      <c r="S674" s="59">
        <f ca="1">Dashboard!B$8* Dashboard!$F$4+Dashboard!B$10*SQRT(Dashboard!$F$4) * _xlfn.NORM.S.INV(RAND())</f>
        <v>-2.7064741544108442E-2</v>
      </c>
      <c r="T674" s="59">
        <f ca="1">Dashboard!C$8* Dashboard!$F$4+Dashboard!C$10*SQRT(Dashboard!$F$4) * _xlfn.NORM.S.INV(RAND())</f>
        <v>-3.8272181114607555E-2</v>
      </c>
      <c r="U674" s="59">
        <f ca="1">Dashboard!D$8* Dashboard!$F$4+Dashboard!D$10*SQRT(Dashboard!$F$4) * _xlfn.NORM.S.INV(RAND())</f>
        <v>3.0027617405138807E-2</v>
      </c>
    </row>
    <row r="675" spans="18:21" x14ac:dyDescent="0.2">
      <c r="R675" s="49">
        <v>673</v>
      </c>
      <c r="S675" s="59">
        <f ca="1">Dashboard!B$8* Dashboard!$F$4+Dashboard!B$10*SQRT(Dashboard!$F$4) * _xlfn.NORM.S.INV(RAND())</f>
        <v>-9.2926661412415738E-3</v>
      </c>
      <c r="T675" s="59">
        <f ca="1">Dashboard!C$8* Dashboard!$F$4+Dashboard!C$10*SQRT(Dashboard!$F$4) * _xlfn.NORM.S.INV(RAND())</f>
        <v>-3.4104963546230951E-2</v>
      </c>
      <c r="U675" s="59">
        <f ca="1">Dashboard!D$8* Dashboard!$F$4+Dashboard!D$10*SQRT(Dashboard!$F$4) * _xlfn.NORM.S.INV(RAND())</f>
        <v>2.8250604549881288E-2</v>
      </c>
    </row>
    <row r="676" spans="18:21" x14ac:dyDescent="0.2">
      <c r="R676" s="49">
        <v>674</v>
      </c>
      <c r="S676" s="59">
        <f ca="1">Dashboard!B$8* Dashboard!$F$4+Dashboard!B$10*SQRT(Dashboard!$F$4) * _xlfn.NORM.S.INV(RAND())</f>
        <v>6.961893843647279E-3</v>
      </c>
      <c r="T676" s="59">
        <f ca="1">Dashboard!C$8* Dashboard!$F$4+Dashboard!C$10*SQRT(Dashboard!$F$4) * _xlfn.NORM.S.INV(RAND())</f>
        <v>-1.2655817151457308E-2</v>
      </c>
      <c r="U676" s="59">
        <f ca="1">Dashboard!D$8* Dashboard!$F$4+Dashboard!D$10*SQRT(Dashboard!$F$4) * _xlfn.NORM.S.INV(RAND())</f>
        <v>-1.9306168185084045E-3</v>
      </c>
    </row>
    <row r="677" spans="18:21" x14ac:dyDescent="0.2">
      <c r="R677" s="49">
        <v>675</v>
      </c>
      <c r="S677" s="59">
        <f ca="1">Dashboard!B$8* Dashboard!$F$4+Dashboard!B$10*SQRT(Dashboard!$F$4) * _xlfn.NORM.S.INV(RAND())</f>
        <v>-2.4188027048501638E-3</v>
      </c>
      <c r="T677" s="59">
        <f ca="1">Dashboard!C$8* Dashboard!$F$4+Dashboard!C$10*SQRT(Dashboard!$F$4) * _xlfn.NORM.S.INV(RAND())</f>
        <v>2.1022127690402955E-2</v>
      </c>
      <c r="U677" s="59">
        <f ca="1">Dashboard!D$8* Dashboard!$F$4+Dashboard!D$10*SQRT(Dashboard!$F$4) * _xlfn.NORM.S.INV(RAND())</f>
        <v>3.5288269360686436E-2</v>
      </c>
    </row>
    <row r="678" spans="18:21" x14ac:dyDescent="0.2">
      <c r="R678" s="49">
        <v>676</v>
      </c>
      <c r="S678" s="59">
        <f ca="1">Dashboard!B$8* Dashboard!$F$4+Dashboard!B$10*SQRT(Dashboard!$F$4) * _xlfn.NORM.S.INV(RAND())</f>
        <v>-2.3700817919902181E-2</v>
      </c>
      <c r="T678" s="59">
        <f ca="1">Dashboard!C$8* Dashboard!$F$4+Dashboard!C$10*SQRT(Dashboard!$F$4) * _xlfn.NORM.S.INV(RAND())</f>
        <v>3.4343863185728064E-3</v>
      </c>
      <c r="U678" s="59">
        <f ca="1">Dashboard!D$8* Dashboard!$F$4+Dashboard!D$10*SQRT(Dashboard!$F$4) * _xlfn.NORM.S.INV(RAND())</f>
        <v>2.7026121384371951E-2</v>
      </c>
    </row>
    <row r="679" spans="18:21" x14ac:dyDescent="0.2">
      <c r="R679" s="49">
        <v>677</v>
      </c>
      <c r="S679" s="59">
        <f ca="1">Dashboard!B$8* Dashboard!$F$4+Dashboard!B$10*SQRT(Dashboard!$F$4) * _xlfn.NORM.S.INV(RAND())</f>
        <v>-2.855958354742805E-3</v>
      </c>
      <c r="T679" s="59">
        <f ca="1">Dashboard!C$8* Dashboard!$F$4+Dashboard!C$10*SQRT(Dashboard!$F$4) * _xlfn.NORM.S.INV(RAND())</f>
        <v>-1.825339507934802E-2</v>
      </c>
      <c r="U679" s="59">
        <f ca="1">Dashboard!D$8* Dashboard!$F$4+Dashboard!D$10*SQRT(Dashboard!$F$4) * _xlfn.NORM.S.INV(RAND())</f>
        <v>2.6166379350904847E-2</v>
      </c>
    </row>
    <row r="680" spans="18:21" x14ac:dyDescent="0.2">
      <c r="R680" s="49">
        <v>678</v>
      </c>
      <c r="S680" s="59">
        <f ca="1">Dashboard!B$8* Dashboard!$F$4+Dashboard!B$10*SQRT(Dashboard!$F$4) * _xlfn.NORM.S.INV(RAND())</f>
        <v>-4.558337893170214E-2</v>
      </c>
      <c r="T680" s="59">
        <f ca="1">Dashboard!C$8* Dashboard!$F$4+Dashboard!C$10*SQRT(Dashboard!$F$4) * _xlfn.NORM.S.INV(RAND())</f>
        <v>-4.8468237939757264E-3</v>
      </c>
      <c r="U680" s="59">
        <f ca="1">Dashboard!D$8* Dashboard!$F$4+Dashboard!D$10*SQRT(Dashboard!$F$4) * _xlfn.NORM.S.INV(RAND())</f>
        <v>-3.9591490509253896E-2</v>
      </c>
    </row>
    <row r="681" spans="18:21" x14ac:dyDescent="0.2">
      <c r="R681" s="49">
        <v>679</v>
      </c>
      <c r="S681" s="59">
        <f ca="1">Dashboard!B$8* Dashboard!$F$4+Dashboard!B$10*SQRT(Dashboard!$F$4) * _xlfn.NORM.S.INV(RAND())</f>
        <v>-2.5113527472551585E-3</v>
      </c>
      <c r="T681" s="59">
        <f ca="1">Dashboard!C$8* Dashboard!$F$4+Dashboard!C$10*SQRT(Dashboard!$F$4) * _xlfn.NORM.S.INV(RAND())</f>
        <v>3.1935889865819397E-2</v>
      </c>
      <c r="U681" s="59">
        <f ca="1">Dashboard!D$8* Dashboard!$F$4+Dashboard!D$10*SQRT(Dashboard!$F$4) * _xlfn.NORM.S.INV(RAND())</f>
        <v>2.1630803068181954E-3</v>
      </c>
    </row>
    <row r="682" spans="18:21" x14ac:dyDescent="0.2">
      <c r="R682" s="49">
        <v>680</v>
      </c>
      <c r="S682" s="59">
        <f ca="1">Dashboard!B$8* Dashboard!$F$4+Dashboard!B$10*SQRT(Dashboard!$F$4) * _xlfn.NORM.S.INV(RAND())</f>
        <v>-4.5150451201232912E-3</v>
      </c>
      <c r="T682" s="59">
        <f ca="1">Dashboard!C$8* Dashboard!$F$4+Dashboard!C$10*SQRT(Dashboard!$F$4) * _xlfn.NORM.S.INV(RAND())</f>
        <v>2.1382638505413332E-2</v>
      </c>
      <c r="U682" s="59">
        <f ca="1">Dashboard!D$8* Dashboard!$F$4+Dashboard!D$10*SQRT(Dashboard!$F$4) * _xlfn.NORM.S.INV(RAND())</f>
        <v>3.4393602201809176E-2</v>
      </c>
    </row>
    <row r="683" spans="18:21" x14ac:dyDescent="0.2">
      <c r="R683" s="49">
        <v>681</v>
      </c>
      <c r="S683" s="59">
        <f ca="1">Dashboard!B$8* Dashboard!$F$4+Dashboard!B$10*SQRT(Dashboard!$F$4) * _xlfn.NORM.S.INV(RAND())</f>
        <v>-4.5062389891020261E-3</v>
      </c>
      <c r="T683" s="59">
        <f ca="1">Dashboard!C$8* Dashboard!$F$4+Dashboard!C$10*SQRT(Dashboard!$F$4) * _xlfn.NORM.S.INV(RAND())</f>
        <v>-3.2590453463431854E-2</v>
      </c>
      <c r="U683" s="59">
        <f ca="1">Dashboard!D$8* Dashboard!$F$4+Dashboard!D$10*SQRT(Dashboard!$F$4) * _xlfn.NORM.S.INV(RAND())</f>
        <v>-1.4103720461898445E-2</v>
      </c>
    </row>
    <row r="684" spans="18:21" x14ac:dyDescent="0.2">
      <c r="R684" s="49">
        <v>682</v>
      </c>
      <c r="S684" s="59">
        <f ca="1">Dashboard!B$8* Dashboard!$F$4+Dashboard!B$10*SQRT(Dashboard!$F$4) * _xlfn.NORM.S.INV(RAND())</f>
        <v>4.8803000580899647E-2</v>
      </c>
      <c r="T684" s="59">
        <f ca="1">Dashboard!C$8* Dashboard!$F$4+Dashboard!C$10*SQRT(Dashboard!$F$4) * _xlfn.NORM.S.INV(RAND())</f>
        <v>7.4675159926086134E-4</v>
      </c>
      <c r="U684" s="59">
        <f ca="1">Dashboard!D$8* Dashboard!$F$4+Dashboard!D$10*SQRT(Dashboard!$F$4) * _xlfn.NORM.S.INV(RAND())</f>
        <v>2.1198688609693248E-2</v>
      </c>
    </row>
    <row r="685" spans="18:21" x14ac:dyDescent="0.2">
      <c r="R685" s="49">
        <v>683</v>
      </c>
      <c r="S685" s="59">
        <f ca="1">Dashboard!B$8* Dashboard!$F$4+Dashboard!B$10*SQRT(Dashboard!$F$4) * _xlfn.NORM.S.INV(RAND())</f>
        <v>-3.4697937961097429E-2</v>
      </c>
      <c r="T685" s="59">
        <f ca="1">Dashboard!C$8* Dashboard!$F$4+Dashboard!C$10*SQRT(Dashboard!$F$4) * _xlfn.NORM.S.INV(RAND())</f>
        <v>-3.2071574581524535E-2</v>
      </c>
      <c r="U685" s="59">
        <f ca="1">Dashboard!D$8* Dashboard!$F$4+Dashboard!D$10*SQRT(Dashboard!$F$4) * _xlfn.NORM.S.INV(RAND())</f>
        <v>-2.0853662649267017E-2</v>
      </c>
    </row>
    <row r="686" spans="18:21" x14ac:dyDescent="0.2">
      <c r="R686" s="49">
        <v>684</v>
      </c>
      <c r="S686" s="59">
        <f ca="1">Dashboard!B$8* Dashboard!$F$4+Dashboard!B$10*SQRT(Dashboard!$F$4) * _xlfn.NORM.S.INV(RAND())</f>
        <v>-2.7330541369740585E-2</v>
      </c>
      <c r="T686" s="59">
        <f ca="1">Dashboard!C$8* Dashboard!$F$4+Dashboard!C$10*SQRT(Dashboard!$F$4) * _xlfn.NORM.S.INV(RAND())</f>
        <v>-6.5669182463132013E-3</v>
      </c>
      <c r="U686" s="59">
        <f ca="1">Dashboard!D$8* Dashboard!$F$4+Dashboard!D$10*SQRT(Dashboard!$F$4) * _xlfn.NORM.S.INV(RAND())</f>
        <v>-3.6541614349530342E-2</v>
      </c>
    </row>
    <row r="687" spans="18:21" x14ac:dyDescent="0.2">
      <c r="R687" s="49">
        <v>685</v>
      </c>
      <c r="S687" s="59">
        <f ca="1">Dashboard!B$8* Dashboard!$F$4+Dashboard!B$10*SQRT(Dashboard!$F$4) * _xlfn.NORM.S.INV(RAND())</f>
        <v>2.778838079581359E-2</v>
      </c>
      <c r="T687" s="59">
        <f ca="1">Dashboard!C$8* Dashboard!$F$4+Dashboard!C$10*SQRT(Dashboard!$F$4) * _xlfn.NORM.S.INV(RAND())</f>
        <v>3.3005507588760509E-2</v>
      </c>
      <c r="U687" s="59">
        <f ca="1">Dashboard!D$8* Dashboard!$F$4+Dashboard!D$10*SQRT(Dashboard!$F$4) * _xlfn.NORM.S.INV(RAND())</f>
        <v>2.3874995707656135E-2</v>
      </c>
    </row>
    <row r="688" spans="18:21" x14ac:dyDescent="0.2">
      <c r="R688" s="49">
        <v>686</v>
      </c>
      <c r="S688" s="59">
        <f ca="1">Dashboard!B$8* Dashboard!$F$4+Dashboard!B$10*SQRT(Dashboard!$F$4) * _xlfn.NORM.S.INV(RAND())</f>
        <v>6.1128985974304405E-3</v>
      </c>
      <c r="T688" s="59">
        <f ca="1">Dashboard!C$8* Dashboard!$F$4+Dashboard!C$10*SQRT(Dashboard!$F$4) * _xlfn.NORM.S.INV(RAND())</f>
        <v>-1.911137476871971E-2</v>
      </c>
      <c r="U688" s="59">
        <f ca="1">Dashboard!D$8* Dashboard!$F$4+Dashboard!D$10*SQRT(Dashboard!$F$4) * _xlfn.NORM.S.INV(RAND())</f>
        <v>4.315299307858126E-2</v>
      </c>
    </row>
    <row r="689" spans="18:21" x14ac:dyDescent="0.2">
      <c r="R689" s="49">
        <v>687</v>
      </c>
      <c r="S689" s="59">
        <f ca="1">Dashboard!B$8* Dashboard!$F$4+Dashboard!B$10*SQRT(Dashboard!$F$4) * _xlfn.NORM.S.INV(RAND())</f>
        <v>-4.6212174201378006E-2</v>
      </c>
      <c r="T689" s="59">
        <f ca="1">Dashboard!C$8* Dashboard!$F$4+Dashboard!C$10*SQRT(Dashboard!$F$4) * _xlfn.NORM.S.INV(RAND())</f>
        <v>3.7705415288043935E-2</v>
      </c>
      <c r="U689" s="59">
        <f ca="1">Dashboard!D$8* Dashboard!$F$4+Dashboard!D$10*SQRT(Dashboard!$F$4) * _xlfn.NORM.S.INV(RAND())</f>
        <v>6.9330388269569429E-3</v>
      </c>
    </row>
    <row r="690" spans="18:21" x14ac:dyDescent="0.2">
      <c r="R690" s="49">
        <v>688</v>
      </c>
      <c r="S690" s="59">
        <f ca="1">Dashboard!B$8* Dashboard!$F$4+Dashboard!B$10*SQRT(Dashboard!$F$4) * _xlfn.NORM.S.INV(RAND())</f>
        <v>-6.4549885879905079E-3</v>
      </c>
      <c r="T690" s="59">
        <f ca="1">Dashboard!C$8* Dashboard!$F$4+Dashboard!C$10*SQRT(Dashboard!$F$4) * _xlfn.NORM.S.INV(RAND())</f>
        <v>7.1182384329214103E-3</v>
      </c>
      <c r="U690" s="59">
        <f ca="1">Dashboard!D$8* Dashboard!$F$4+Dashboard!D$10*SQRT(Dashboard!$F$4) * _xlfn.NORM.S.INV(RAND())</f>
        <v>-5.7452568622011722E-3</v>
      </c>
    </row>
    <row r="691" spans="18:21" x14ac:dyDescent="0.2">
      <c r="R691" s="49">
        <v>689</v>
      </c>
      <c r="S691" s="59">
        <f ca="1">Dashboard!B$8* Dashboard!$F$4+Dashboard!B$10*SQRT(Dashboard!$F$4) * _xlfn.NORM.S.INV(RAND())</f>
        <v>4.0359666289752176E-2</v>
      </c>
      <c r="T691" s="59">
        <f ca="1">Dashboard!C$8* Dashboard!$F$4+Dashboard!C$10*SQRT(Dashboard!$F$4) * _xlfn.NORM.S.INV(RAND())</f>
        <v>-3.4835365010373424E-2</v>
      </c>
      <c r="U691" s="59">
        <f ca="1">Dashboard!D$8* Dashboard!$F$4+Dashboard!D$10*SQRT(Dashboard!$F$4) * _xlfn.NORM.S.INV(RAND())</f>
        <v>6.5533358887159832E-3</v>
      </c>
    </row>
    <row r="692" spans="18:21" x14ac:dyDescent="0.2">
      <c r="R692" s="49">
        <v>690</v>
      </c>
      <c r="S692" s="59">
        <f ca="1">Dashboard!B$8* Dashboard!$F$4+Dashboard!B$10*SQRT(Dashboard!$F$4) * _xlfn.NORM.S.INV(RAND())</f>
        <v>-3.3518642118169135E-2</v>
      </c>
      <c r="T692" s="59">
        <f ca="1">Dashboard!C$8* Dashboard!$F$4+Dashboard!C$10*SQRT(Dashboard!$F$4) * _xlfn.NORM.S.INV(RAND())</f>
        <v>-1.6921969126221157E-2</v>
      </c>
      <c r="U692" s="59">
        <f ca="1">Dashboard!D$8* Dashboard!$F$4+Dashboard!D$10*SQRT(Dashboard!$F$4) * _xlfn.NORM.S.INV(RAND())</f>
        <v>1.8061182200550707E-2</v>
      </c>
    </row>
    <row r="693" spans="18:21" x14ac:dyDescent="0.2">
      <c r="R693" s="49">
        <v>691</v>
      </c>
      <c r="S693" s="59">
        <f ca="1">Dashboard!B$8* Dashboard!$F$4+Dashboard!B$10*SQRT(Dashboard!$F$4) * _xlfn.NORM.S.INV(RAND())</f>
        <v>-3.2152879111404319E-2</v>
      </c>
      <c r="T693" s="59">
        <f ca="1">Dashboard!C$8* Dashboard!$F$4+Dashboard!C$10*SQRT(Dashboard!$F$4) * _xlfn.NORM.S.INV(RAND())</f>
        <v>-5.0702328876685424E-2</v>
      </c>
      <c r="U693" s="59">
        <f ca="1">Dashboard!D$8* Dashboard!$F$4+Dashboard!D$10*SQRT(Dashboard!$F$4) * _xlfn.NORM.S.INV(RAND())</f>
        <v>-4.8218484992372398E-2</v>
      </c>
    </row>
    <row r="694" spans="18:21" x14ac:dyDescent="0.2">
      <c r="R694" s="49">
        <v>692</v>
      </c>
      <c r="S694" s="59">
        <f ca="1">Dashboard!B$8* Dashboard!$F$4+Dashboard!B$10*SQRT(Dashboard!$F$4) * _xlfn.NORM.S.INV(RAND())</f>
        <v>-1.4119005660615424E-2</v>
      </c>
      <c r="T694" s="59">
        <f ca="1">Dashboard!C$8* Dashboard!$F$4+Dashboard!C$10*SQRT(Dashboard!$F$4) * _xlfn.NORM.S.INV(RAND())</f>
        <v>-9.9554858216611794E-2</v>
      </c>
      <c r="U694" s="59">
        <f ca="1">Dashboard!D$8* Dashboard!$F$4+Dashboard!D$10*SQRT(Dashboard!$F$4) * _xlfn.NORM.S.INV(RAND())</f>
        <v>-3.2773191914700087E-2</v>
      </c>
    </row>
    <row r="695" spans="18:21" x14ac:dyDescent="0.2">
      <c r="R695" s="49">
        <v>693</v>
      </c>
      <c r="S695" s="59">
        <f ca="1">Dashboard!B$8* Dashboard!$F$4+Dashboard!B$10*SQRT(Dashboard!$F$4) * _xlfn.NORM.S.INV(RAND())</f>
        <v>-2.1502082071829076E-2</v>
      </c>
      <c r="T695" s="59">
        <f ca="1">Dashboard!C$8* Dashboard!$F$4+Dashboard!C$10*SQRT(Dashboard!$F$4) * _xlfn.NORM.S.INV(RAND())</f>
        <v>1.4702104088311511E-2</v>
      </c>
      <c r="U695" s="59">
        <f ca="1">Dashboard!D$8* Dashboard!$F$4+Dashboard!D$10*SQRT(Dashboard!$F$4) * _xlfn.NORM.S.INV(RAND())</f>
        <v>-1.3426026209117104E-2</v>
      </c>
    </row>
    <row r="696" spans="18:21" x14ac:dyDescent="0.2">
      <c r="R696" s="49">
        <v>694</v>
      </c>
      <c r="S696" s="59">
        <f ca="1">Dashboard!B$8* Dashboard!$F$4+Dashboard!B$10*SQRT(Dashboard!$F$4) * _xlfn.NORM.S.INV(RAND())</f>
        <v>1.0300262819135519E-2</v>
      </c>
      <c r="T696" s="59">
        <f ca="1">Dashboard!C$8* Dashboard!$F$4+Dashboard!C$10*SQRT(Dashboard!$F$4) * _xlfn.NORM.S.INV(RAND())</f>
        <v>-6.0256146146478257E-2</v>
      </c>
      <c r="U696" s="59">
        <f ca="1">Dashboard!D$8* Dashboard!$F$4+Dashboard!D$10*SQRT(Dashboard!$F$4) * _xlfn.NORM.S.INV(RAND())</f>
        <v>-1.1731953882177865E-2</v>
      </c>
    </row>
    <row r="697" spans="18:21" x14ac:dyDescent="0.2">
      <c r="R697" s="49">
        <v>695</v>
      </c>
      <c r="S697" s="59">
        <f ca="1">Dashboard!B$8* Dashboard!$F$4+Dashboard!B$10*SQRT(Dashboard!$F$4) * _xlfn.NORM.S.INV(RAND())</f>
        <v>-3.0177050489019315E-2</v>
      </c>
      <c r="T697" s="59">
        <f ca="1">Dashboard!C$8* Dashboard!$F$4+Dashboard!C$10*SQRT(Dashboard!$F$4) * _xlfn.NORM.S.INV(RAND())</f>
        <v>-1.3215804210690033E-2</v>
      </c>
      <c r="U697" s="59">
        <f ca="1">Dashboard!D$8* Dashboard!$F$4+Dashboard!D$10*SQRT(Dashboard!$F$4) * _xlfn.NORM.S.INV(RAND())</f>
        <v>-3.5372793173244738E-2</v>
      </c>
    </row>
    <row r="698" spans="18:21" x14ac:dyDescent="0.2">
      <c r="R698" s="49">
        <v>696</v>
      </c>
      <c r="S698" s="59">
        <f ca="1">Dashboard!B$8* Dashboard!$F$4+Dashboard!B$10*SQRT(Dashboard!$F$4) * _xlfn.NORM.S.INV(RAND())</f>
        <v>-6.5455834368583751E-2</v>
      </c>
      <c r="T698" s="59">
        <f ca="1">Dashboard!C$8* Dashboard!$F$4+Dashboard!C$10*SQRT(Dashboard!$F$4) * _xlfn.NORM.S.INV(RAND())</f>
        <v>9.6417096839342218E-3</v>
      </c>
      <c r="U698" s="59">
        <f ca="1">Dashboard!D$8* Dashboard!$F$4+Dashboard!D$10*SQRT(Dashboard!$F$4) * _xlfn.NORM.S.INV(RAND())</f>
        <v>1.142035107233658E-2</v>
      </c>
    </row>
    <row r="699" spans="18:21" x14ac:dyDescent="0.2">
      <c r="R699" s="49">
        <v>697</v>
      </c>
      <c r="S699" s="59">
        <f ca="1">Dashboard!B$8* Dashboard!$F$4+Dashboard!B$10*SQRT(Dashboard!$F$4) * _xlfn.NORM.S.INV(RAND())</f>
        <v>-1.6855516055147891E-2</v>
      </c>
      <c r="T699" s="59">
        <f ca="1">Dashboard!C$8* Dashboard!$F$4+Dashboard!C$10*SQRT(Dashboard!$F$4) * _xlfn.NORM.S.INV(RAND())</f>
        <v>2.5736258054326465E-2</v>
      </c>
      <c r="U699" s="59">
        <f ca="1">Dashboard!D$8* Dashboard!$F$4+Dashboard!D$10*SQRT(Dashboard!$F$4) * _xlfn.NORM.S.INV(RAND())</f>
        <v>5.9850424027786439E-2</v>
      </c>
    </row>
    <row r="700" spans="18:21" x14ac:dyDescent="0.2">
      <c r="R700" s="49">
        <v>698</v>
      </c>
      <c r="S700" s="59">
        <f ca="1">Dashboard!B$8* Dashboard!$F$4+Dashboard!B$10*SQRT(Dashboard!$F$4) * _xlfn.NORM.S.INV(RAND())</f>
        <v>2.898477538128081E-2</v>
      </c>
      <c r="T700" s="59">
        <f ca="1">Dashboard!C$8* Dashboard!$F$4+Dashboard!C$10*SQRT(Dashboard!$F$4) * _xlfn.NORM.S.INV(RAND())</f>
        <v>3.8397380234421713E-2</v>
      </c>
      <c r="U700" s="59">
        <f ca="1">Dashboard!D$8* Dashboard!$F$4+Dashboard!D$10*SQRT(Dashboard!$F$4) * _xlfn.NORM.S.INV(RAND())</f>
        <v>-1.4719783752118125E-2</v>
      </c>
    </row>
    <row r="701" spans="18:21" x14ac:dyDescent="0.2">
      <c r="R701" s="49">
        <v>699</v>
      </c>
      <c r="S701" s="59">
        <f ca="1">Dashboard!B$8* Dashboard!$F$4+Dashboard!B$10*SQRT(Dashboard!$F$4) * _xlfn.NORM.S.INV(RAND())</f>
        <v>-3.6029351531867149E-2</v>
      </c>
      <c r="T701" s="59">
        <f ca="1">Dashboard!C$8* Dashboard!$F$4+Dashboard!C$10*SQRT(Dashboard!$F$4) * _xlfn.NORM.S.INV(RAND())</f>
        <v>6.2732359256682205E-2</v>
      </c>
      <c r="U701" s="59">
        <f ca="1">Dashboard!D$8* Dashboard!$F$4+Dashboard!D$10*SQRT(Dashboard!$F$4) * _xlfn.NORM.S.INV(RAND())</f>
        <v>-3.2730844108468764E-2</v>
      </c>
    </row>
    <row r="702" spans="18:21" x14ac:dyDescent="0.2">
      <c r="R702" s="49">
        <v>700</v>
      </c>
      <c r="S702" s="59">
        <f ca="1">Dashboard!B$8* Dashboard!$F$4+Dashboard!B$10*SQRT(Dashboard!$F$4) * _xlfn.NORM.S.INV(RAND())</f>
        <v>3.411103090291525E-2</v>
      </c>
      <c r="T702" s="59">
        <f ca="1">Dashboard!C$8* Dashboard!$F$4+Dashboard!C$10*SQRT(Dashboard!$F$4) * _xlfn.NORM.S.INV(RAND())</f>
        <v>-6.1794804452365805E-3</v>
      </c>
      <c r="U702" s="59">
        <f ca="1">Dashboard!D$8* Dashboard!$F$4+Dashboard!D$10*SQRT(Dashboard!$F$4) * _xlfn.NORM.S.INV(RAND())</f>
        <v>1.2711963584000433E-2</v>
      </c>
    </row>
    <row r="703" spans="18:21" x14ac:dyDescent="0.2">
      <c r="R703" s="49">
        <v>701</v>
      </c>
      <c r="S703" s="59">
        <f ca="1">Dashboard!B$8* Dashboard!$F$4+Dashboard!B$10*SQRT(Dashboard!$F$4) * _xlfn.NORM.S.INV(RAND())</f>
        <v>4.5173048815706648E-2</v>
      </c>
      <c r="T703" s="59">
        <f ca="1">Dashboard!C$8* Dashboard!$F$4+Dashboard!C$10*SQRT(Dashboard!$F$4) * _xlfn.NORM.S.INV(RAND())</f>
        <v>1.1702209582476853E-2</v>
      </c>
      <c r="U703" s="59">
        <f ca="1">Dashboard!D$8* Dashboard!$F$4+Dashboard!D$10*SQRT(Dashboard!$F$4) * _xlfn.NORM.S.INV(RAND())</f>
        <v>-3.7167926837592499E-2</v>
      </c>
    </row>
    <row r="704" spans="18:21" x14ac:dyDescent="0.2">
      <c r="R704" s="49">
        <v>702</v>
      </c>
      <c r="S704" s="59">
        <f ca="1">Dashboard!B$8* Dashboard!$F$4+Dashboard!B$10*SQRT(Dashboard!$F$4) * _xlfn.NORM.S.INV(RAND())</f>
        <v>4.4241703150761293E-2</v>
      </c>
      <c r="T704" s="59">
        <f ca="1">Dashboard!C$8* Dashboard!$F$4+Dashboard!C$10*SQRT(Dashboard!$F$4) * _xlfn.NORM.S.INV(RAND())</f>
        <v>-1.5212261175550541E-2</v>
      </c>
      <c r="U704" s="59">
        <f ca="1">Dashboard!D$8* Dashboard!$F$4+Dashboard!D$10*SQRT(Dashboard!$F$4) * _xlfn.NORM.S.INV(RAND())</f>
        <v>5.6057112364239314E-4</v>
      </c>
    </row>
    <row r="705" spans="18:21" x14ac:dyDescent="0.2">
      <c r="R705" s="49">
        <v>703</v>
      </c>
      <c r="S705" s="59">
        <f ca="1">Dashboard!B$8* Dashboard!$F$4+Dashboard!B$10*SQRT(Dashboard!$F$4) * _xlfn.NORM.S.INV(RAND())</f>
        <v>-3.7181106541610144E-2</v>
      </c>
      <c r="T705" s="59">
        <f ca="1">Dashboard!C$8* Dashboard!$F$4+Dashboard!C$10*SQRT(Dashboard!$F$4) * _xlfn.NORM.S.INV(RAND())</f>
        <v>3.7749127472288514E-2</v>
      </c>
      <c r="U705" s="59">
        <f ca="1">Dashboard!D$8* Dashboard!$F$4+Dashboard!D$10*SQRT(Dashboard!$F$4) * _xlfn.NORM.S.INV(RAND())</f>
        <v>-3.016684667195671E-2</v>
      </c>
    </row>
    <row r="706" spans="18:21" x14ac:dyDescent="0.2">
      <c r="R706" s="49">
        <v>704</v>
      </c>
      <c r="S706" s="59">
        <f ca="1">Dashboard!B$8* Dashboard!$F$4+Dashboard!B$10*SQRT(Dashboard!$F$4) * _xlfn.NORM.S.INV(RAND())</f>
        <v>-2.3995007866936993E-2</v>
      </c>
      <c r="T706" s="59">
        <f ca="1">Dashboard!C$8* Dashboard!$F$4+Dashboard!C$10*SQRT(Dashboard!$F$4) * _xlfn.NORM.S.INV(RAND())</f>
        <v>6.0894434384791356E-2</v>
      </c>
      <c r="U706" s="59">
        <f ca="1">Dashboard!D$8* Dashboard!$F$4+Dashboard!D$10*SQRT(Dashboard!$F$4) * _xlfn.NORM.S.INV(RAND())</f>
        <v>1.9668117368554113E-2</v>
      </c>
    </row>
    <row r="707" spans="18:21" x14ac:dyDescent="0.2">
      <c r="R707" s="49">
        <v>705</v>
      </c>
      <c r="S707" s="59">
        <f ca="1">Dashboard!B$8* Dashboard!$F$4+Dashboard!B$10*SQRT(Dashboard!$F$4) * _xlfn.NORM.S.INV(RAND())</f>
        <v>-4.0828229179613207E-2</v>
      </c>
      <c r="T707" s="59">
        <f ca="1">Dashboard!C$8* Dashboard!$F$4+Dashboard!C$10*SQRT(Dashboard!$F$4) * _xlfn.NORM.S.INV(RAND())</f>
        <v>4.6927775825023138E-2</v>
      </c>
      <c r="U707" s="59">
        <f ca="1">Dashboard!D$8* Dashboard!$F$4+Dashboard!D$10*SQRT(Dashboard!$F$4) * _xlfn.NORM.S.INV(RAND())</f>
        <v>-2.7718142879174226E-3</v>
      </c>
    </row>
    <row r="708" spans="18:21" x14ac:dyDescent="0.2">
      <c r="R708" s="49">
        <v>706</v>
      </c>
      <c r="S708" s="59">
        <f ca="1">Dashboard!B$8* Dashboard!$F$4+Dashboard!B$10*SQRT(Dashboard!$F$4) * _xlfn.NORM.S.INV(RAND())</f>
        <v>4.0984398537695504E-3</v>
      </c>
      <c r="T708" s="59">
        <f ca="1">Dashboard!C$8* Dashboard!$F$4+Dashboard!C$10*SQRT(Dashboard!$F$4) * _xlfn.NORM.S.INV(RAND())</f>
        <v>3.8308808101618803E-2</v>
      </c>
      <c r="U708" s="59">
        <f ca="1">Dashboard!D$8* Dashboard!$F$4+Dashboard!D$10*SQRT(Dashboard!$F$4) * _xlfn.NORM.S.INV(RAND())</f>
        <v>2.8503462899084897E-3</v>
      </c>
    </row>
    <row r="709" spans="18:21" x14ac:dyDescent="0.2">
      <c r="R709" s="49">
        <v>707</v>
      </c>
      <c r="S709" s="59">
        <f ca="1">Dashboard!B$8* Dashboard!$F$4+Dashboard!B$10*SQRT(Dashboard!$F$4) * _xlfn.NORM.S.INV(RAND())</f>
        <v>4.0737706993285563E-2</v>
      </c>
      <c r="T709" s="59">
        <f ca="1">Dashboard!C$8* Dashboard!$F$4+Dashboard!C$10*SQRT(Dashboard!$F$4) * _xlfn.NORM.S.INV(RAND())</f>
        <v>2.2490217490806021E-2</v>
      </c>
      <c r="U709" s="59">
        <f ca="1">Dashboard!D$8* Dashboard!$F$4+Dashboard!D$10*SQRT(Dashboard!$F$4) * _xlfn.NORM.S.INV(RAND())</f>
        <v>3.641209351526796E-2</v>
      </c>
    </row>
    <row r="710" spans="18:21" x14ac:dyDescent="0.2">
      <c r="R710" s="49">
        <v>708</v>
      </c>
      <c r="S710" s="59">
        <f ca="1">Dashboard!B$8* Dashboard!$F$4+Dashboard!B$10*SQRT(Dashboard!$F$4) * _xlfn.NORM.S.INV(RAND())</f>
        <v>-4.752180395693744E-2</v>
      </c>
      <c r="T710" s="59">
        <f ca="1">Dashboard!C$8* Dashboard!$F$4+Dashboard!C$10*SQRT(Dashboard!$F$4) * _xlfn.NORM.S.INV(RAND())</f>
        <v>-4.2151678979817789E-3</v>
      </c>
      <c r="U710" s="59">
        <f ca="1">Dashboard!D$8* Dashboard!$F$4+Dashboard!D$10*SQRT(Dashboard!$F$4) * _xlfn.NORM.S.INV(RAND())</f>
        <v>5.2575353626146404E-2</v>
      </c>
    </row>
    <row r="711" spans="18:21" x14ac:dyDescent="0.2">
      <c r="R711" s="49">
        <v>709</v>
      </c>
      <c r="S711" s="59">
        <f ca="1">Dashboard!B$8* Dashboard!$F$4+Dashboard!B$10*SQRT(Dashboard!$F$4) * _xlfn.NORM.S.INV(RAND())</f>
        <v>-8.152795015088167E-2</v>
      </c>
      <c r="T711" s="59">
        <f ca="1">Dashboard!C$8* Dashboard!$F$4+Dashboard!C$10*SQRT(Dashboard!$F$4) * _xlfn.NORM.S.INV(RAND())</f>
        <v>4.0466636623678783E-2</v>
      </c>
      <c r="U711" s="59">
        <f ca="1">Dashboard!D$8* Dashboard!$F$4+Dashboard!D$10*SQRT(Dashboard!$F$4) * _xlfn.NORM.S.INV(RAND())</f>
        <v>3.0795913652549519E-2</v>
      </c>
    </row>
    <row r="712" spans="18:21" x14ac:dyDescent="0.2">
      <c r="R712" s="49">
        <v>710</v>
      </c>
      <c r="S712" s="59">
        <f ca="1">Dashboard!B$8* Dashboard!$F$4+Dashboard!B$10*SQRT(Dashboard!$F$4) * _xlfn.NORM.S.INV(RAND())</f>
        <v>-2.5432513295070333E-2</v>
      </c>
      <c r="T712" s="59">
        <f ca="1">Dashboard!C$8* Dashboard!$F$4+Dashboard!C$10*SQRT(Dashboard!$F$4) * _xlfn.NORM.S.INV(RAND())</f>
        <v>-8.805174157137028E-3</v>
      </c>
      <c r="U712" s="59">
        <f ca="1">Dashboard!D$8* Dashboard!$F$4+Dashboard!D$10*SQRT(Dashboard!$F$4) * _xlfn.NORM.S.INV(RAND())</f>
        <v>1.0237920843139672E-2</v>
      </c>
    </row>
    <row r="713" spans="18:21" x14ac:dyDescent="0.2">
      <c r="R713" s="49">
        <v>711</v>
      </c>
      <c r="S713" s="59">
        <f ca="1">Dashboard!B$8* Dashboard!$F$4+Dashboard!B$10*SQRT(Dashboard!$F$4) * _xlfn.NORM.S.INV(RAND())</f>
        <v>-3.2997847165363546E-3</v>
      </c>
      <c r="T713" s="59">
        <f ca="1">Dashboard!C$8* Dashboard!$F$4+Dashboard!C$10*SQRT(Dashboard!$F$4) * _xlfn.NORM.S.INV(RAND())</f>
        <v>-6.4415851688693959E-2</v>
      </c>
      <c r="U713" s="59">
        <f ca="1">Dashboard!D$8* Dashboard!$F$4+Dashboard!D$10*SQRT(Dashboard!$F$4) * _xlfn.NORM.S.INV(RAND())</f>
        <v>1.6186111917816014E-2</v>
      </c>
    </row>
    <row r="714" spans="18:21" x14ac:dyDescent="0.2">
      <c r="R714" s="49">
        <v>712</v>
      </c>
      <c r="S714" s="59">
        <f ca="1">Dashboard!B$8* Dashboard!$F$4+Dashboard!B$10*SQRT(Dashboard!$F$4) * _xlfn.NORM.S.INV(RAND())</f>
        <v>3.0564649707345383E-2</v>
      </c>
      <c r="T714" s="59">
        <f ca="1">Dashboard!C$8* Dashboard!$F$4+Dashboard!C$10*SQRT(Dashboard!$F$4) * _xlfn.NORM.S.INV(RAND())</f>
        <v>1.8479054094807691E-5</v>
      </c>
      <c r="U714" s="59">
        <f ca="1">Dashboard!D$8* Dashboard!$F$4+Dashboard!D$10*SQRT(Dashboard!$F$4) * _xlfn.NORM.S.INV(RAND())</f>
        <v>-3.0718297724582247E-2</v>
      </c>
    </row>
    <row r="715" spans="18:21" x14ac:dyDescent="0.2">
      <c r="R715" s="49">
        <v>713</v>
      </c>
      <c r="S715" s="59">
        <f ca="1">Dashboard!B$8* Dashboard!$F$4+Dashboard!B$10*SQRT(Dashboard!$F$4) * _xlfn.NORM.S.INV(RAND())</f>
        <v>6.414032099389429E-3</v>
      </c>
      <c r="T715" s="59">
        <f ca="1">Dashboard!C$8* Dashboard!$F$4+Dashboard!C$10*SQRT(Dashboard!$F$4) * _xlfn.NORM.S.INV(RAND())</f>
        <v>2.4548074897176486E-3</v>
      </c>
      <c r="U715" s="59">
        <f ca="1">Dashboard!D$8* Dashboard!$F$4+Dashboard!D$10*SQRT(Dashboard!$F$4) * _xlfn.NORM.S.INV(RAND())</f>
        <v>2.4640404868883012E-3</v>
      </c>
    </row>
    <row r="716" spans="18:21" x14ac:dyDescent="0.2">
      <c r="R716" s="49">
        <v>714</v>
      </c>
      <c r="S716" s="59">
        <f ca="1">Dashboard!B$8* Dashboard!$F$4+Dashboard!B$10*SQRT(Dashboard!$F$4) * _xlfn.NORM.S.INV(RAND())</f>
        <v>4.9343026375763488E-2</v>
      </c>
      <c r="T716" s="59">
        <f ca="1">Dashboard!C$8* Dashboard!$F$4+Dashboard!C$10*SQRT(Dashboard!$F$4) * _xlfn.NORM.S.INV(RAND())</f>
        <v>1.8562270171226414E-2</v>
      </c>
      <c r="U716" s="59">
        <f ca="1">Dashboard!D$8* Dashboard!$F$4+Dashboard!D$10*SQRT(Dashboard!$F$4) * _xlfn.NORM.S.INV(RAND())</f>
        <v>5.0569924371166093E-2</v>
      </c>
    </row>
    <row r="717" spans="18:21" x14ac:dyDescent="0.2">
      <c r="R717" s="49">
        <v>715</v>
      </c>
      <c r="S717" s="59">
        <f ca="1">Dashboard!B$8* Dashboard!$F$4+Dashboard!B$10*SQRT(Dashboard!$F$4) * _xlfn.NORM.S.INV(RAND())</f>
        <v>7.9174845937592372E-2</v>
      </c>
      <c r="T717" s="59">
        <f ca="1">Dashboard!C$8* Dashboard!$F$4+Dashboard!C$10*SQRT(Dashboard!$F$4) * _xlfn.NORM.S.INV(RAND())</f>
        <v>4.4592003028996992E-3</v>
      </c>
      <c r="U717" s="59">
        <f ca="1">Dashboard!D$8* Dashboard!$F$4+Dashboard!D$10*SQRT(Dashboard!$F$4) * _xlfn.NORM.S.INV(RAND())</f>
        <v>5.6908928498793102E-2</v>
      </c>
    </row>
    <row r="718" spans="18:21" x14ac:dyDescent="0.2">
      <c r="R718" s="49">
        <v>716</v>
      </c>
      <c r="S718" s="59">
        <f ca="1">Dashboard!B$8* Dashboard!$F$4+Dashboard!B$10*SQRT(Dashboard!$F$4) * _xlfn.NORM.S.INV(RAND())</f>
        <v>-6.0103289335068991E-2</v>
      </c>
      <c r="T718" s="59">
        <f ca="1">Dashboard!C$8* Dashboard!$F$4+Dashboard!C$10*SQRT(Dashboard!$F$4) * _xlfn.NORM.S.INV(RAND())</f>
        <v>6.8687624027558444E-2</v>
      </c>
      <c r="U718" s="59">
        <f ca="1">Dashboard!D$8* Dashboard!$F$4+Dashboard!D$10*SQRT(Dashboard!$F$4) * _xlfn.NORM.S.INV(RAND())</f>
        <v>-4.2539741358113149E-2</v>
      </c>
    </row>
    <row r="719" spans="18:21" x14ac:dyDescent="0.2">
      <c r="R719" s="49">
        <v>717</v>
      </c>
      <c r="S719" s="59">
        <f ca="1">Dashboard!B$8* Dashboard!$F$4+Dashboard!B$10*SQRT(Dashboard!$F$4) * _xlfn.NORM.S.INV(RAND())</f>
        <v>2.0526242902575605E-2</v>
      </c>
      <c r="T719" s="59">
        <f ca="1">Dashboard!C$8* Dashboard!$F$4+Dashboard!C$10*SQRT(Dashboard!$F$4) * _xlfn.NORM.S.INV(RAND())</f>
        <v>1.7041782062515238E-2</v>
      </c>
      <c r="U719" s="59">
        <f ca="1">Dashboard!D$8* Dashboard!$F$4+Dashboard!D$10*SQRT(Dashboard!$F$4) * _xlfn.NORM.S.INV(RAND())</f>
        <v>6.3254928713925027E-3</v>
      </c>
    </row>
    <row r="720" spans="18:21" x14ac:dyDescent="0.2">
      <c r="R720" s="49">
        <v>718</v>
      </c>
      <c r="S720" s="59">
        <f ca="1">Dashboard!B$8* Dashboard!$F$4+Dashboard!B$10*SQRT(Dashboard!$F$4) * _xlfn.NORM.S.INV(RAND())</f>
        <v>-1.11077387955732E-2</v>
      </c>
      <c r="T720" s="59">
        <f ca="1">Dashboard!C$8* Dashboard!$F$4+Dashboard!C$10*SQRT(Dashboard!$F$4) * _xlfn.NORM.S.INV(RAND())</f>
        <v>-1.2733298395454895E-2</v>
      </c>
      <c r="U720" s="59">
        <f ca="1">Dashboard!D$8* Dashboard!$F$4+Dashboard!D$10*SQRT(Dashboard!$F$4) * _xlfn.NORM.S.INV(RAND())</f>
        <v>-1.0505074805006903E-2</v>
      </c>
    </row>
    <row r="721" spans="18:21" x14ac:dyDescent="0.2">
      <c r="R721" s="49">
        <v>719</v>
      </c>
      <c r="S721" s="59">
        <f ca="1">Dashboard!B$8* Dashboard!$F$4+Dashboard!B$10*SQRT(Dashboard!$F$4) * _xlfn.NORM.S.INV(RAND())</f>
        <v>-2.9914923562430584E-2</v>
      </c>
      <c r="T721" s="59">
        <f ca="1">Dashboard!C$8* Dashboard!$F$4+Dashboard!C$10*SQRT(Dashboard!$F$4) * _xlfn.NORM.S.INV(RAND())</f>
        <v>-3.3672337729674665E-2</v>
      </c>
      <c r="U721" s="59">
        <f ca="1">Dashboard!D$8* Dashboard!$F$4+Dashboard!D$10*SQRT(Dashboard!$F$4) * _xlfn.NORM.S.INV(RAND())</f>
        <v>-1.961470597250956E-3</v>
      </c>
    </row>
    <row r="722" spans="18:21" x14ac:dyDescent="0.2">
      <c r="R722" s="49">
        <v>720</v>
      </c>
      <c r="S722" s="59">
        <f ca="1">Dashboard!B$8* Dashboard!$F$4+Dashboard!B$10*SQRT(Dashboard!$F$4) * _xlfn.NORM.S.INV(RAND())</f>
        <v>-3.1645341766871407E-2</v>
      </c>
      <c r="T722" s="59">
        <f ca="1">Dashboard!C$8* Dashboard!$F$4+Dashboard!C$10*SQRT(Dashboard!$F$4) * _xlfn.NORM.S.INV(RAND())</f>
        <v>-4.8609350392536374E-2</v>
      </c>
      <c r="U722" s="59">
        <f ca="1">Dashboard!D$8* Dashboard!$F$4+Dashboard!D$10*SQRT(Dashboard!$F$4) * _xlfn.NORM.S.INV(RAND())</f>
        <v>-5.8363857677200301E-2</v>
      </c>
    </row>
    <row r="723" spans="18:21" x14ac:dyDescent="0.2">
      <c r="R723" s="49">
        <v>721</v>
      </c>
      <c r="S723" s="59">
        <f ca="1">Dashboard!B$8* Dashboard!$F$4+Dashboard!B$10*SQRT(Dashboard!$F$4) * _xlfn.NORM.S.INV(RAND())</f>
        <v>2.0630540421385325E-2</v>
      </c>
      <c r="T723" s="59">
        <f ca="1">Dashboard!C$8* Dashboard!$F$4+Dashboard!C$10*SQRT(Dashboard!$F$4) * _xlfn.NORM.S.INV(RAND())</f>
        <v>2.5341127604954283E-2</v>
      </c>
      <c r="U723" s="59">
        <f ca="1">Dashboard!D$8* Dashboard!$F$4+Dashboard!D$10*SQRT(Dashboard!$F$4) * _xlfn.NORM.S.INV(RAND())</f>
        <v>-2.6020823546800921E-3</v>
      </c>
    </row>
    <row r="724" spans="18:21" x14ac:dyDescent="0.2">
      <c r="R724" s="49">
        <v>722</v>
      </c>
      <c r="S724" s="59">
        <f ca="1">Dashboard!B$8* Dashboard!$F$4+Dashboard!B$10*SQRT(Dashboard!$F$4) * _xlfn.NORM.S.INV(RAND())</f>
        <v>-6.2507474496271059E-2</v>
      </c>
      <c r="T724" s="59">
        <f ca="1">Dashboard!C$8* Dashboard!$F$4+Dashboard!C$10*SQRT(Dashboard!$F$4) * _xlfn.NORM.S.INV(RAND())</f>
        <v>3.2748752288317348E-2</v>
      </c>
      <c r="U724" s="59">
        <f ca="1">Dashboard!D$8* Dashboard!$F$4+Dashboard!D$10*SQRT(Dashboard!$F$4) * _xlfn.NORM.S.INV(RAND())</f>
        <v>-4.7240680281684218E-2</v>
      </c>
    </row>
    <row r="725" spans="18:21" x14ac:dyDescent="0.2">
      <c r="R725" s="49">
        <v>723</v>
      </c>
      <c r="S725" s="59">
        <f ca="1">Dashboard!B$8* Dashboard!$F$4+Dashboard!B$10*SQRT(Dashboard!$F$4) * _xlfn.NORM.S.INV(RAND())</f>
        <v>7.3079903683468325E-2</v>
      </c>
      <c r="T725" s="59">
        <f ca="1">Dashboard!C$8* Dashboard!$F$4+Dashboard!C$10*SQRT(Dashboard!$F$4) * _xlfn.NORM.S.INV(RAND())</f>
        <v>1.7865363249302362E-2</v>
      </c>
      <c r="U725" s="59">
        <f ca="1">Dashboard!D$8* Dashboard!$F$4+Dashboard!D$10*SQRT(Dashboard!$F$4) * _xlfn.NORM.S.INV(RAND())</f>
        <v>-5.3961622894259055E-3</v>
      </c>
    </row>
    <row r="726" spans="18:21" x14ac:dyDescent="0.2">
      <c r="R726" s="49">
        <v>724</v>
      </c>
      <c r="S726" s="59">
        <f ca="1">Dashboard!B$8* Dashboard!$F$4+Dashboard!B$10*SQRT(Dashboard!$F$4) * _xlfn.NORM.S.INV(RAND())</f>
        <v>2.5502532506523554E-2</v>
      </c>
      <c r="T726" s="59">
        <f ca="1">Dashboard!C$8* Dashboard!$F$4+Dashboard!C$10*SQRT(Dashboard!$F$4) * _xlfn.NORM.S.INV(RAND())</f>
        <v>-1.5768499016942852E-3</v>
      </c>
      <c r="U726" s="59">
        <f ca="1">Dashboard!D$8* Dashboard!$F$4+Dashboard!D$10*SQRT(Dashboard!$F$4) * _xlfn.NORM.S.INV(RAND())</f>
        <v>1.9041219667989096E-2</v>
      </c>
    </row>
    <row r="727" spans="18:21" x14ac:dyDescent="0.2">
      <c r="R727" s="49">
        <v>725</v>
      </c>
      <c r="S727" s="59">
        <f ca="1">Dashboard!B$8* Dashboard!$F$4+Dashboard!B$10*SQRT(Dashboard!$F$4) * _xlfn.NORM.S.INV(RAND())</f>
        <v>-6.7876479380045551E-3</v>
      </c>
      <c r="T727" s="59">
        <f ca="1">Dashboard!C$8* Dashboard!$F$4+Dashboard!C$10*SQRT(Dashboard!$F$4) * _xlfn.NORM.S.INV(RAND())</f>
        <v>-3.6887502138971476E-2</v>
      </c>
      <c r="U727" s="59">
        <f ca="1">Dashboard!D$8* Dashboard!$F$4+Dashboard!D$10*SQRT(Dashboard!$F$4) * _xlfn.NORM.S.INV(RAND())</f>
        <v>-3.8760956575178722E-3</v>
      </c>
    </row>
    <row r="728" spans="18:21" x14ac:dyDescent="0.2">
      <c r="R728" s="49">
        <v>726</v>
      </c>
      <c r="S728" s="59">
        <f ca="1">Dashboard!B$8* Dashboard!$F$4+Dashboard!B$10*SQRT(Dashboard!$F$4) * _xlfn.NORM.S.INV(RAND())</f>
        <v>-3.1055305973151932E-2</v>
      </c>
      <c r="T728" s="59">
        <f ca="1">Dashboard!C$8* Dashboard!$F$4+Dashboard!C$10*SQRT(Dashboard!$F$4) * _xlfn.NORM.S.INV(RAND())</f>
        <v>3.099422052365473E-2</v>
      </c>
      <c r="U728" s="59">
        <f ca="1">Dashboard!D$8* Dashboard!$F$4+Dashboard!D$10*SQRT(Dashboard!$F$4) * _xlfn.NORM.S.INV(RAND())</f>
        <v>-1.5469021980239167E-2</v>
      </c>
    </row>
    <row r="729" spans="18:21" x14ac:dyDescent="0.2">
      <c r="R729" s="49">
        <v>727</v>
      </c>
      <c r="S729" s="59">
        <f ca="1">Dashboard!B$8* Dashboard!$F$4+Dashboard!B$10*SQRT(Dashboard!$F$4) * _xlfn.NORM.S.INV(RAND())</f>
        <v>-7.3077683568908477E-3</v>
      </c>
      <c r="T729" s="59">
        <f ca="1">Dashboard!C$8* Dashboard!$F$4+Dashboard!C$10*SQRT(Dashboard!$F$4) * _xlfn.NORM.S.INV(RAND())</f>
        <v>9.9965493823107009E-5</v>
      </c>
      <c r="U729" s="59">
        <f ca="1">Dashboard!D$8* Dashboard!$F$4+Dashboard!D$10*SQRT(Dashboard!$F$4) * _xlfn.NORM.S.INV(RAND())</f>
        <v>1.4177190807200823E-3</v>
      </c>
    </row>
    <row r="730" spans="18:21" x14ac:dyDescent="0.2">
      <c r="R730" s="49">
        <v>728</v>
      </c>
      <c r="S730" s="59">
        <f ca="1">Dashboard!B$8* Dashboard!$F$4+Dashboard!B$10*SQRT(Dashboard!$F$4) * _xlfn.NORM.S.INV(RAND())</f>
        <v>1.0492165010423942E-2</v>
      </c>
      <c r="T730" s="59">
        <f ca="1">Dashboard!C$8* Dashboard!$F$4+Dashboard!C$10*SQRT(Dashboard!$F$4) * _xlfn.NORM.S.INV(RAND())</f>
        <v>2.9407671722570701E-2</v>
      </c>
      <c r="U730" s="59">
        <f ca="1">Dashboard!D$8* Dashboard!$F$4+Dashboard!D$10*SQRT(Dashboard!$F$4) * _xlfn.NORM.S.INV(RAND())</f>
        <v>-1.5543673562515514E-2</v>
      </c>
    </row>
    <row r="731" spans="18:21" x14ac:dyDescent="0.2">
      <c r="R731" s="49">
        <v>729</v>
      </c>
      <c r="S731" s="59">
        <f ca="1">Dashboard!B$8* Dashboard!$F$4+Dashboard!B$10*SQRT(Dashboard!$F$4) * _xlfn.NORM.S.INV(RAND())</f>
        <v>-5.1009838536164578E-3</v>
      </c>
      <c r="T731" s="59">
        <f ca="1">Dashboard!C$8* Dashboard!$F$4+Dashboard!C$10*SQRT(Dashboard!$F$4) * _xlfn.NORM.S.INV(RAND())</f>
        <v>-1.0225883341242848E-2</v>
      </c>
      <c r="U731" s="59">
        <f ca="1">Dashboard!D$8* Dashboard!$F$4+Dashboard!D$10*SQRT(Dashboard!$F$4) * _xlfn.NORM.S.INV(RAND())</f>
        <v>-3.0944653689665091E-2</v>
      </c>
    </row>
    <row r="732" spans="18:21" x14ac:dyDescent="0.2">
      <c r="R732" s="49">
        <v>730</v>
      </c>
      <c r="S732" s="59">
        <f ca="1">Dashboard!B$8* Dashboard!$F$4+Dashboard!B$10*SQRT(Dashboard!$F$4) * _xlfn.NORM.S.INV(RAND())</f>
        <v>2.6808213493601532E-2</v>
      </c>
      <c r="T732" s="59">
        <f ca="1">Dashboard!C$8* Dashboard!$F$4+Dashboard!C$10*SQRT(Dashboard!$F$4) * _xlfn.NORM.S.INV(RAND())</f>
        <v>1.4538153545657458E-2</v>
      </c>
      <c r="U732" s="59">
        <f ca="1">Dashboard!D$8* Dashboard!$F$4+Dashboard!D$10*SQRT(Dashboard!$F$4) * _xlfn.NORM.S.INV(RAND())</f>
        <v>-1.2385623168609031E-2</v>
      </c>
    </row>
    <row r="733" spans="18:21" x14ac:dyDescent="0.2">
      <c r="R733" s="49">
        <v>731</v>
      </c>
      <c r="S733" s="59">
        <f ca="1">Dashboard!B$8* Dashboard!$F$4+Dashboard!B$10*SQRT(Dashboard!$F$4) * _xlfn.NORM.S.INV(RAND())</f>
        <v>-5.0534043102723903E-4</v>
      </c>
      <c r="T733" s="59">
        <f ca="1">Dashboard!C$8* Dashboard!$F$4+Dashboard!C$10*SQRT(Dashboard!$F$4) * _xlfn.NORM.S.INV(RAND())</f>
        <v>3.6402157822805245E-2</v>
      </c>
      <c r="U733" s="59">
        <f ca="1">Dashboard!D$8* Dashboard!$F$4+Dashboard!D$10*SQRT(Dashboard!$F$4) * _xlfn.NORM.S.INV(RAND())</f>
        <v>-1.3423912353169634E-2</v>
      </c>
    </row>
    <row r="734" spans="18:21" x14ac:dyDescent="0.2">
      <c r="R734" s="49">
        <v>732</v>
      </c>
      <c r="S734" s="59">
        <f ca="1">Dashboard!B$8* Dashboard!$F$4+Dashboard!B$10*SQRT(Dashboard!$F$4) * _xlfn.NORM.S.INV(RAND())</f>
        <v>2.7608297765362097E-3</v>
      </c>
      <c r="T734" s="59">
        <f ca="1">Dashboard!C$8* Dashboard!$F$4+Dashboard!C$10*SQRT(Dashboard!$F$4) * _xlfn.NORM.S.INV(RAND())</f>
        <v>4.3827565146202195E-2</v>
      </c>
      <c r="U734" s="59">
        <f ca="1">Dashboard!D$8* Dashboard!$F$4+Dashboard!D$10*SQRT(Dashboard!$F$4) * _xlfn.NORM.S.INV(RAND())</f>
        <v>3.2839154613300593E-2</v>
      </c>
    </row>
    <row r="735" spans="18:21" x14ac:dyDescent="0.2">
      <c r="R735" s="49">
        <v>733</v>
      </c>
      <c r="S735" s="59">
        <f ca="1">Dashboard!B$8* Dashboard!$F$4+Dashboard!B$10*SQRT(Dashboard!$F$4) * _xlfn.NORM.S.INV(RAND())</f>
        <v>-5.9553380011158917E-2</v>
      </c>
      <c r="T735" s="59">
        <f ca="1">Dashboard!C$8* Dashboard!$F$4+Dashboard!C$10*SQRT(Dashboard!$F$4) * _xlfn.NORM.S.INV(RAND())</f>
        <v>5.739989276805179E-2</v>
      </c>
      <c r="U735" s="59">
        <f ca="1">Dashboard!D$8* Dashboard!$F$4+Dashboard!D$10*SQRT(Dashboard!$F$4) * _xlfn.NORM.S.INV(RAND())</f>
        <v>2.0401468150271638E-2</v>
      </c>
    </row>
    <row r="736" spans="18:21" x14ac:dyDescent="0.2">
      <c r="R736" s="49">
        <v>734</v>
      </c>
      <c r="S736" s="59">
        <f ca="1">Dashboard!B$8* Dashboard!$F$4+Dashboard!B$10*SQRT(Dashboard!$F$4) * _xlfn.NORM.S.INV(RAND())</f>
        <v>-2.7175253443320765E-2</v>
      </c>
      <c r="T736" s="59">
        <f ca="1">Dashboard!C$8* Dashboard!$F$4+Dashboard!C$10*SQRT(Dashboard!$F$4) * _xlfn.NORM.S.INV(RAND())</f>
        <v>-6.5648842816870044E-3</v>
      </c>
      <c r="U736" s="59">
        <f ca="1">Dashboard!D$8* Dashboard!$F$4+Dashboard!D$10*SQRT(Dashboard!$F$4) * _xlfn.NORM.S.INV(RAND())</f>
        <v>4.8318763950040595E-2</v>
      </c>
    </row>
    <row r="737" spans="18:21" x14ac:dyDescent="0.2">
      <c r="R737" s="49">
        <v>735</v>
      </c>
      <c r="S737" s="59">
        <f ca="1">Dashboard!B$8* Dashboard!$F$4+Dashboard!B$10*SQRT(Dashboard!$F$4) * _xlfn.NORM.S.INV(RAND())</f>
        <v>3.9068774316095921E-2</v>
      </c>
      <c r="T737" s="59">
        <f ca="1">Dashboard!C$8* Dashboard!$F$4+Dashboard!C$10*SQRT(Dashboard!$F$4) * _xlfn.NORM.S.INV(RAND())</f>
        <v>7.1418808093872948E-3</v>
      </c>
      <c r="U737" s="59">
        <f ca="1">Dashboard!D$8* Dashboard!$F$4+Dashboard!D$10*SQRT(Dashboard!$F$4) * _xlfn.NORM.S.INV(RAND())</f>
        <v>-3.3336578491199378E-2</v>
      </c>
    </row>
    <row r="738" spans="18:21" x14ac:dyDescent="0.2">
      <c r="R738" s="49">
        <v>736</v>
      </c>
      <c r="S738" s="59">
        <f ca="1">Dashboard!B$8* Dashboard!$F$4+Dashboard!B$10*SQRT(Dashboard!$F$4) * _xlfn.NORM.S.INV(RAND())</f>
        <v>-1.6847289005913035E-2</v>
      </c>
      <c r="T738" s="59">
        <f ca="1">Dashboard!C$8* Dashboard!$F$4+Dashboard!C$10*SQRT(Dashboard!$F$4) * _xlfn.NORM.S.INV(RAND())</f>
        <v>5.3349477240106295E-2</v>
      </c>
      <c r="U738" s="59">
        <f ca="1">Dashboard!D$8* Dashboard!$F$4+Dashboard!D$10*SQRT(Dashboard!$F$4) * _xlfn.NORM.S.INV(RAND())</f>
        <v>-1.4936813868785365E-2</v>
      </c>
    </row>
    <row r="739" spans="18:21" x14ac:dyDescent="0.2">
      <c r="R739" s="49">
        <v>737</v>
      </c>
      <c r="S739" s="59">
        <f ca="1">Dashboard!B$8* Dashboard!$F$4+Dashboard!B$10*SQRT(Dashboard!$F$4) * _xlfn.NORM.S.INV(RAND())</f>
        <v>-4.9537980411676369E-2</v>
      </c>
      <c r="T739" s="59">
        <f ca="1">Dashboard!C$8* Dashboard!$F$4+Dashboard!C$10*SQRT(Dashboard!$F$4) * _xlfn.NORM.S.INV(RAND())</f>
        <v>2.3042983987207683E-2</v>
      </c>
      <c r="U739" s="59">
        <f ca="1">Dashboard!D$8* Dashboard!$F$4+Dashboard!D$10*SQRT(Dashboard!$F$4) * _xlfn.NORM.S.INV(RAND())</f>
        <v>4.4426863283968717E-3</v>
      </c>
    </row>
    <row r="740" spans="18:21" x14ac:dyDescent="0.2">
      <c r="R740" s="49">
        <v>738</v>
      </c>
      <c r="S740" s="59">
        <f ca="1">Dashboard!B$8* Dashboard!$F$4+Dashboard!B$10*SQRT(Dashboard!$F$4) * _xlfn.NORM.S.INV(RAND())</f>
        <v>9.3405805028909245E-3</v>
      </c>
      <c r="T740" s="59">
        <f ca="1">Dashboard!C$8* Dashboard!$F$4+Dashboard!C$10*SQRT(Dashboard!$F$4) * _xlfn.NORM.S.INV(RAND())</f>
        <v>-8.5178769325562446E-3</v>
      </c>
      <c r="U740" s="59">
        <f ca="1">Dashboard!D$8* Dashboard!$F$4+Dashboard!D$10*SQRT(Dashboard!$F$4) * _xlfn.NORM.S.INV(RAND())</f>
        <v>1.0619295335444348E-2</v>
      </c>
    </row>
    <row r="741" spans="18:21" x14ac:dyDescent="0.2">
      <c r="R741" s="49">
        <v>739</v>
      </c>
      <c r="S741" s="59">
        <f ca="1">Dashboard!B$8* Dashboard!$F$4+Dashboard!B$10*SQRT(Dashboard!$F$4) * _xlfn.NORM.S.INV(RAND())</f>
        <v>-1.8641808568430679E-3</v>
      </c>
      <c r="T741" s="59">
        <f ca="1">Dashboard!C$8* Dashboard!$F$4+Dashboard!C$10*SQRT(Dashboard!$F$4) * _xlfn.NORM.S.INV(RAND())</f>
        <v>-3.6624257044056849E-2</v>
      </c>
      <c r="U741" s="59">
        <f ca="1">Dashboard!D$8* Dashboard!$F$4+Dashboard!D$10*SQRT(Dashboard!$F$4) * _xlfn.NORM.S.INV(RAND())</f>
        <v>4.4605276931620627E-2</v>
      </c>
    </row>
    <row r="742" spans="18:21" x14ac:dyDescent="0.2">
      <c r="R742" s="49">
        <v>740</v>
      </c>
      <c r="S742" s="59">
        <f ca="1">Dashboard!B$8* Dashboard!$F$4+Dashboard!B$10*SQRT(Dashboard!$F$4) * _xlfn.NORM.S.INV(RAND())</f>
        <v>-3.0047508520055347E-2</v>
      </c>
      <c r="T742" s="59">
        <f ca="1">Dashboard!C$8* Dashboard!$F$4+Dashboard!C$10*SQRT(Dashboard!$F$4) * _xlfn.NORM.S.INV(RAND())</f>
        <v>-1.5483878088331415E-2</v>
      </c>
      <c r="U742" s="59">
        <f ca="1">Dashboard!D$8* Dashboard!$F$4+Dashboard!D$10*SQRT(Dashboard!$F$4) * _xlfn.NORM.S.INV(RAND())</f>
        <v>-1.896384882749733E-3</v>
      </c>
    </row>
    <row r="743" spans="18:21" x14ac:dyDescent="0.2">
      <c r="R743" s="49">
        <v>741</v>
      </c>
      <c r="S743" s="59">
        <f ca="1">Dashboard!B$8* Dashboard!$F$4+Dashboard!B$10*SQRT(Dashboard!$F$4) * _xlfn.NORM.S.INV(RAND())</f>
        <v>-0.10243682687557461</v>
      </c>
      <c r="T743" s="59">
        <f ca="1">Dashboard!C$8* Dashboard!$F$4+Dashboard!C$10*SQRT(Dashboard!$F$4) * _xlfn.NORM.S.INV(RAND())</f>
        <v>1.1297223844700834E-2</v>
      </c>
      <c r="U743" s="59">
        <f ca="1">Dashboard!D$8* Dashboard!$F$4+Dashboard!D$10*SQRT(Dashboard!$F$4) * _xlfn.NORM.S.INV(RAND())</f>
        <v>2.701382575165184E-2</v>
      </c>
    </row>
    <row r="744" spans="18:21" x14ac:dyDescent="0.2">
      <c r="R744" s="49">
        <v>742</v>
      </c>
      <c r="S744" s="59">
        <f ca="1">Dashboard!B$8* Dashboard!$F$4+Dashboard!B$10*SQRT(Dashboard!$F$4) * _xlfn.NORM.S.INV(RAND())</f>
        <v>5.9435483138246287E-2</v>
      </c>
      <c r="T744" s="59">
        <f ca="1">Dashboard!C$8* Dashboard!$F$4+Dashboard!C$10*SQRT(Dashboard!$F$4) * _xlfn.NORM.S.INV(RAND())</f>
        <v>-2.1649484223569913E-3</v>
      </c>
      <c r="U744" s="59">
        <f ca="1">Dashboard!D$8* Dashboard!$F$4+Dashboard!D$10*SQRT(Dashboard!$F$4) * _xlfn.NORM.S.INV(RAND())</f>
        <v>-7.0416896710167848E-2</v>
      </c>
    </row>
    <row r="745" spans="18:21" x14ac:dyDescent="0.2">
      <c r="R745" s="49">
        <v>743</v>
      </c>
      <c r="S745" s="59">
        <f ca="1">Dashboard!B$8* Dashboard!$F$4+Dashboard!B$10*SQRT(Dashboard!$F$4) * _xlfn.NORM.S.INV(RAND())</f>
        <v>-1.6209216907118205E-2</v>
      </c>
      <c r="T745" s="59">
        <f ca="1">Dashboard!C$8* Dashboard!$F$4+Dashboard!C$10*SQRT(Dashboard!$F$4) * _xlfn.NORM.S.INV(RAND())</f>
        <v>6.0192281813104792E-2</v>
      </c>
      <c r="U745" s="59">
        <f ca="1">Dashboard!D$8* Dashboard!$F$4+Dashboard!D$10*SQRT(Dashboard!$F$4) * _xlfn.NORM.S.INV(RAND())</f>
        <v>-4.9772127560065091E-3</v>
      </c>
    </row>
    <row r="746" spans="18:21" x14ac:dyDescent="0.2">
      <c r="R746" s="49">
        <v>744</v>
      </c>
      <c r="S746" s="59">
        <f ca="1">Dashboard!B$8* Dashboard!$F$4+Dashboard!B$10*SQRT(Dashboard!$F$4) * _xlfn.NORM.S.INV(RAND())</f>
        <v>-5.4246349347472798E-3</v>
      </c>
      <c r="T746" s="59">
        <f ca="1">Dashboard!C$8* Dashboard!$F$4+Dashboard!C$10*SQRT(Dashboard!$F$4) * _xlfn.NORM.S.INV(RAND())</f>
        <v>-1.041045021802009E-2</v>
      </c>
      <c r="U746" s="59">
        <f ca="1">Dashboard!D$8* Dashboard!$F$4+Dashboard!D$10*SQRT(Dashboard!$F$4) * _xlfn.NORM.S.INV(RAND())</f>
        <v>-1.4383428390134475E-2</v>
      </c>
    </row>
    <row r="747" spans="18:21" x14ac:dyDescent="0.2">
      <c r="R747" s="49">
        <v>745</v>
      </c>
      <c r="S747" s="59">
        <f ca="1">Dashboard!B$8* Dashboard!$F$4+Dashboard!B$10*SQRT(Dashboard!$F$4) * _xlfn.NORM.S.INV(RAND())</f>
        <v>4.2378569237123909E-2</v>
      </c>
      <c r="T747" s="59">
        <f ca="1">Dashboard!C$8* Dashboard!$F$4+Dashboard!C$10*SQRT(Dashboard!$F$4) * _xlfn.NORM.S.INV(RAND())</f>
        <v>-4.699723636630735E-2</v>
      </c>
      <c r="U747" s="59">
        <f ca="1">Dashboard!D$8* Dashboard!$F$4+Dashboard!D$10*SQRT(Dashboard!$F$4) * _xlfn.NORM.S.INV(RAND())</f>
        <v>-4.4061537602443059E-2</v>
      </c>
    </row>
    <row r="748" spans="18:21" x14ac:dyDescent="0.2">
      <c r="R748" s="49">
        <v>746</v>
      </c>
      <c r="S748" s="59">
        <f ca="1">Dashboard!B$8* Dashboard!$F$4+Dashboard!B$10*SQRT(Dashboard!$F$4) * _xlfn.NORM.S.INV(RAND())</f>
        <v>7.3286718533269651E-2</v>
      </c>
      <c r="T748" s="59">
        <f ca="1">Dashboard!C$8* Dashboard!$F$4+Dashboard!C$10*SQRT(Dashboard!$F$4) * _xlfn.NORM.S.INV(RAND())</f>
        <v>2.1052043692399838E-2</v>
      </c>
      <c r="U748" s="59">
        <f ca="1">Dashboard!D$8* Dashboard!$F$4+Dashboard!D$10*SQRT(Dashboard!$F$4) * _xlfn.NORM.S.INV(RAND())</f>
        <v>-1.5279242694921501E-2</v>
      </c>
    </row>
    <row r="749" spans="18:21" x14ac:dyDescent="0.2">
      <c r="R749" s="49">
        <v>747</v>
      </c>
      <c r="S749" s="59">
        <f ca="1">Dashboard!B$8* Dashboard!$F$4+Dashboard!B$10*SQRT(Dashboard!$F$4) * _xlfn.NORM.S.INV(RAND())</f>
        <v>1.3725024286228562E-2</v>
      </c>
      <c r="T749" s="59">
        <f ca="1">Dashboard!C$8* Dashboard!$F$4+Dashboard!C$10*SQRT(Dashboard!$F$4) * _xlfn.NORM.S.INV(RAND())</f>
        <v>3.1261876667427552E-2</v>
      </c>
      <c r="U749" s="59">
        <f ca="1">Dashboard!D$8* Dashboard!$F$4+Dashboard!D$10*SQRT(Dashboard!$F$4) * _xlfn.NORM.S.INV(RAND())</f>
        <v>-4.2884292961327796E-3</v>
      </c>
    </row>
    <row r="750" spans="18:21" x14ac:dyDescent="0.2">
      <c r="R750" s="49">
        <v>748</v>
      </c>
      <c r="S750" s="59">
        <f ca="1">Dashboard!B$8* Dashboard!$F$4+Dashboard!B$10*SQRT(Dashboard!$F$4) * _xlfn.NORM.S.INV(RAND())</f>
        <v>4.1617698136658332E-2</v>
      </c>
      <c r="T750" s="59">
        <f ca="1">Dashboard!C$8* Dashboard!$F$4+Dashboard!C$10*SQRT(Dashboard!$F$4) * _xlfn.NORM.S.INV(RAND())</f>
        <v>2.9750932030672264E-2</v>
      </c>
      <c r="U750" s="59">
        <f ca="1">Dashboard!D$8* Dashboard!$F$4+Dashboard!D$10*SQRT(Dashboard!$F$4) * _xlfn.NORM.S.INV(RAND())</f>
        <v>-1.9558324632318116E-2</v>
      </c>
    </row>
    <row r="751" spans="18:21" x14ac:dyDescent="0.2">
      <c r="R751" s="49">
        <v>749</v>
      </c>
      <c r="S751" s="59">
        <f ca="1">Dashboard!B$8* Dashboard!$F$4+Dashboard!B$10*SQRT(Dashboard!$F$4) * _xlfn.NORM.S.INV(RAND())</f>
        <v>-4.4479645352213527E-2</v>
      </c>
      <c r="T751" s="59">
        <f ca="1">Dashboard!C$8* Dashboard!$F$4+Dashboard!C$10*SQRT(Dashboard!$F$4) * _xlfn.NORM.S.INV(RAND())</f>
        <v>3.2348131618328377E-2</v>
      </c>
      <c r="U751" s="59">
        <f ca="1">Dashboard!D$8* Dashboard!$F$4+Dashboard!D$10*SQRT(Dashboard!$F$4) * _xlfn.NORM.S.INV(RAND())</f>
        <v>-3.0372981973016338E-2</v>
      </c>
    </row>
    <row r="752" spans="18:21" x14ac:dyDescent="0.2">
      <c r="R752" s="49">
        <v>750</v>
      </c>
      <c r="S752" s="59">
        <f ca="1">Dashboard!B$8* Dashboard!$F$4+Dashboard!B$10*SQRT(Dashboard!$F$4) * _xlfn.NORM.S.INV(RAND())</f>
        <v>-6.1007279252011992E-2</v>
      </c>
      <c r="T752" s="59">
        <f ca="1">Dashboard!C$8* Dashboard!$F$4+Dashboard!C$10*SQRT(Dashboard!$F$4) * _xlfn.NORM.S.INV(RAND())</f>
        <v>7.3503949224079768E-2</v>
      </c>
      <c r="U752" s="59">
        <f ca="1">Dashboard!D$8* Dashboard!$F$4+Dashboard!D$10*SQRT(Dashboard!$F$4) * _xlfn.NORM.S.INV(RAND())</f>
        <v>-9.6612116508464144E-3</v>
      </c>
    </row>
    <row r="753" spans="18:21" x14ac:dyDescent="0.2">
      <c r="R753" s="49">
        <v>751</v>
      </c>
      <c r="S753" s="59">
        <f ca="1">Dashboard!B$8* Dashboard!$F$4+Dashboard!B$10*SQRT(Dashboard!$F$4) * _xlfn.NORM.S.INV(RAND())</f>
        <v>-4.9037974750347546E-2</v>
      </c>
      <c r="T753" s="59">
        <f ca="1">Dashboard!C$8* Dashboard!$F$4+Dashboard!C$10*SQRT(Dashboard!$F$4) * _xlfn.NORM.S.INV(RAND())</f>
        <v>1.8745862080622296E-2</v>
      </c>
      <c r="U753" s="59">
        <f ca="1">Dashboard!D$8* Dashboard!$F$4+Dashboard!D$10*SQRT(Dashboard!$F$4) * _xlfn.NORM.S.INV(RAND())</f>
        <v>-3.8172943955421743E-2</v>
      </c>
    </row>
    <row r="754" spans="18:21" x14ac:dyDescent="0.2">
      <c r="R754" s="49">
        <v>752</v>
      </c>
      <c r="S754" s="59">
        <f ca="1">Dashboard!B$8* Dashboard!$F$4+Dashboard!B$10*SQRT(Dashboard!$F$4) * _xlfn.NORM.S.INV(RAND())</f>
        <v>3.5947486925973673E-2</v>
      </c>
      <c r="T754" s="59">
        <f ca="1">Dashboard!C$8* Dashboard!$F$4+Dashboard!C$10*SQRT(Dashboard!$F$4) * _xlfn.NORM.S.INV(RAND())</f>
        <v>-1.0227956435852198E-2</v>
      </c>
      <c r="U754" s="59">
        <f ca="1">Dashboard!D$8* Dashboard!$F$4+Dashboard!D$10*SQRT(Dashboard!$F$4) * _xlfn.NORM.S.INV(RAND())</f>
        <v>1.8560930946822287E-2</v>
      </c>
    </row>
    <row r="755" spans="18:21" x14ac:dyDescent="0.2">
      <c r="R755" s="49">
        <v>753</v>
      </c>
      <c r="S755" s="59">
        <f ca="1">Dashboard!B$8* Dashboard!$F$4+Dashboard!B$10*SQRT(Dashboard!$F$4) * _xlfn.NORM.S.INV(RAND())</f>
        <v>-3.2672971210220947E-2</v>
      </c>
      <c r="T755" s="59">
        <f ca="1">Dashboard!C$8* Dashboard!$F$4+Dashboard!C$10*SQRT(Dashboard!$F$4) * _xlfn.NORM.S.INV(RAND())</f>
        <v>1.6147964634217922E-2</v>
      </c>
      <c r="U755" s="59">
        <f ca="1">Dashboard!D$8* Dashboard!$F$4+Dashboard!D$10*SQRT(Dashboard!$F$4) * _xlfn.NORM.S.INV(RAND())</f>
        <v>2.3395888321521698E-2</v>
      </c>
    </row>
    <row r="756" spans="18:21" x14ac:dyDescent="0.2">
      <c r="R756" s="49">
        <v>754</v>
      </c>
      <c r="S756" s="59">
        <f ca="1">Dashboard!B$8* Dashboard!$F$4+Dashboard!B$10*SQRT(Dashboard!$F$4) * _xlfn.NORM.S.INV(RAND())</f>
        <v>2.4074462076327421E-2</v>
      </c>
      <c r="T756" s="59">
        <f ca="1">Dashboard!C$8* Dashboard!$F$4+Dashboard!C$10*SQRT(Dashboard!$F$4) * _xlfn.NORM.S.INV(RAND())</f>
        <v>3.8088284718401109E-2</v>
      </c>
      <c r="U756" s="59">
        <f ca="1">Dashboard!D$8* Dashboard!$F$4+Dashboard!D$10*SQRT(Dashboard!$F$4) * _xlfn.NORM.S.INV(RAND())</f>
        <v>-2.9750644511852772E-2</v>
      </c>
    </row>
    <row r="757" spans="18:21" x14ac:dyDescent="0.2">
      <c r="R757" s="49">
        <v>755</v>
      </c>
      <c r="S757" s="59">
        <f ca="1">Dashboard!B$8* Dashboard!$F$4+Dashboard!B$10*SQRT(Dashboard!$F$4) * _xlfn.NORM.S.INV(RAND())</f>
        <v>-5.6269054642234695E-2</v>
      </c>
      <c r="T757" s="59">
        <f ca="1">Dashboard!C$8* Dashboard!$F$4+Dashboard!C$10*SQRT(Dashboard!$F$4) * _xlfn.NORM.S.INV(RAND())</f>
        <v>2.0473723014422917E-2</v>
      </c>
      <c r="U757" s="59">
        <f ca="1">Dashboard!D$8* Dashboard!$F$4+Dashboard!D$10*SQRT(Dashboard!$F$4) * _xlfn.NORM.S.INV(RAND())</f>
        <v>1.572785007021079E-2</v>
      </c>
    </row>
    <row r="758" spans="18:21" x14ac:dyDescent="0.2">
      <c r="R758" s="49">
        <v>756</v>
      </c>
      <c r="S758" s="59">
        <f ca="1">Dashboard!B$8* Dashboard!$F$4+Dashboard!B$10*SQRT(Dashboard!$F$4) * _xlfn.NORM.S.INV(RAND())</f>
        <v>2.7587522408775898E-2</v>
      </c>
      <c r="T758" s="59">
        <f ca="1">Dashboard!C$8* Dashboard!$F$4+Dashboard!C$10*SQRT(Dashboard!$F$4) * _xlfn.NORM.S.INV(RAND())</f>
        <v>4.0470986257378223E-2</v>
      </c>
      <c r="U758" s="59">
        <f ca="1">Dashboard!D$8* Dashboard!$F$4+Dashboard!D$10*SQRT(Dashboard!$F$4) * _xlfn.NORM.S.INV(RAND())</f>
        <v>2.1331202072140634E-2</v>
      </c>
    </row>
    <row r="759" spans="18:21" x14ac:dyDescent="0.2">
      <c r="R759" s="49">
        <v>757</v>
      </c>
      <c r="S759" s="59">
        <f ca="1">Dashboard!B$8* Dashboard!$F$4+Dashboard!B$10*SQRT(Dashboard!$F$4) * _xlfn.NORM.S.INV(RAND())</f>
        <v>-5.5114475642763028E-3</v>
      </c>
      <c r="T759" s="59">
        <f ca="1">Dashboard!C$8* Dashboard!$F$4+Dashboard!C$10*SQRT(Dashboard!$F$4) * _xlfn.NORM.S.INV(RAND())</f>
        <v>1.9867077495962029E-2</v>
      </c>
      <c r="U759" s="59">
        <f ca="1">Dashboard!D$8* Dashboard!$F$4+Dashboard!D$10*SQRT(Dashboard!$F$4) * _xlfn.NORM.S.INV(RAND())</f>
        <v>-6.196934361363044E-3</v>
      </c>
    </row>
    <row r="760" spans="18:21" x14ac:dyDescent="0.2">
      <c r="R760" s="49">
        <v>758</v>
      </c>
      <c r="S760" s="59">
        <f ca="1">Dashboard!B$8* Dashboard!$F$4+Dashboard!B$10*SQRT(Dashboard!$F$4) * _xlfn.NORM.S.INV(RAND())</f>
        <v>-1.980748055882052E-2</v>
      </c>
      <c r="T760" s="59">
        <f ca="1">Dashboard!C$8* Dashboard!$F$4+Dashboard!C$10*SQRT(Dashboard!$F$4) * _xlfn.NORM.S.INV(RAND())</f>
        <v>1.4815602080844956E-2</v>
      </c>
      <c r="U760" s="59">
        <f ca="1">Dashboard!D$8* Dashboard!$F$4+Dashboard!D$10*SQRT(Dashboard!$F$4) * _xlfn.NORM.S.INV(RAND())</f>
        <v>-6.0535643033284216E-2</v>
      </c>
    </row>
    <row r="761" spans="18:21" x14ac:dyDescent="0.2">
      <c r="R761" s="49">
        <v>759</v>
      </c>
      <c r="S761" s="59">
        <f ca="1">Dashboard!B$8* Dashboard!$F$4+Dashboard!B$10*SQRT(Dashboard!$F$4) * _xlfn.NORM.S.INV(RAND())</f>
        <v>5.0598671315581351E-2</v>
      </c>
      <c r="T761" s="59">
        <f ca="1">Dashboard!C$8* Dashboard!$F$4+Dashboard!C$10*SQRT(Dashboard!$F$4) * _xlfn.NORM.S.INV(RAND())</f>
        <v>-4.5931603422634413E-3</v>
      </c>
      <c r="U761" s="59">
        <f ca="1">Dashboard!D$8* Dashboard!$F$4+Dashboard!D$10*SQRT(Dashboard!$F$4) * _xlfn.NORM.S.INV(RAND())</f>
        <v>2.1002146488183271E-2</v>
      </c>
    </row>
    <row r="762" spans="18:21" x14ac:dyDescent="0.2">
      <c r="R762" s="49">
        <v>760</v>
      </c>
      <c r="S762" s="59">
        <f ca="1">Dashboard!B$8* Dashboard!$F$4+Dashboard!B$10*SQRT(Dashboard!$F$4) * _xlfn.NORM.S.INV(RAND())</f>
        <v>3.5586669915004213E-2</v>
      </c>
      <c r="T762" s="59">
        <f ca="1">Dashboard!C$8* Dashboard!$F$4+Dashboard!C$10*SQRT(Dashboard!$F$4) * _xlfn.NORM.S.INV(RAND())</f>
        <v>2.2066704247760793E-3</v>
      </c>
      <c r="U762" s="59">
        <f ca="1">Dashboard!D$8* Dashboard!$F$4+Dashboard!D$10*SQRT(Dashboard!$F$4) * _xlfn.NORM.S.INV(RAND())</f>
        <v>-8.248632377873634E-3</v>
      </c>
    </row>
    <row r="763" spans="18:21" x14ac:dyDescent="0.2">
      <c r="R763" s="49">
        <v>761</v>
      </c>
      <c r="S763" s="59">
        <f ca="1">Dashboard!B$8* Dashboard!$F$4+Dashboard!B$10*SQRT(Dashboard!$F$4) * _xlfn.NORM.S.INV(RAND())</f>
        <v>1.2330011561086195E-2</v>
      </c>
      <c r="T763" s="59">
        <f ca="1">Dashboard!C$8* Dashboard!$F$4+Dashboard!C$10*SQRT(Dashboard!$F$4) * _xlfn.NORM.S.INV(RAND())</f>
        <v>-6.1965415235752289E-2</v>
      </c>
      <c r="U763" s="59">
        <f ca="1">Dashboard!D$8* Dashboard!$F$4+Dashboard!D$10*SQRT(Dashboard!$F$4) * _xlfn.NORM.S.INV(RAND())</f>
        <v>-8.7387056533058567E-3</v>
      </c>
    </row>
    <row r="764" spans="18:21" x14ac:dyDescent="0.2">
      <c r="R764" s="49">
        <v>762</v>
      </c>
      <c r="S764" s="59">
        <f ca="1">Dashboard!B$8* Dashboard!$F$4+Dashboard!B$10*SQRT(Dashboard!$F$4) * _xlfn.NORM.S.INV(RAND())</f>
        <v>-6.056155236770043E-2</v>
      </c>
      <c r="T764" s="59">
        <f ca="1">Dashboard!C$8* Dashboard!$F$4+Dashboard!C$10*SQRT(Dashboard!$F$4) * _xlfn.NORM.S.INV(RAND())</f>
        <v>1.2622219106367322E-2</v>
      </c>
      <c r="U764" s="59">
        <f ca="1">Dashboard!D$8* Dashboard!$F$4+Dashboard!D$10*SQRT(Dashboard!$F$4) * _xlfn.NORM.S.INV(RAND())</f>
        <v>1.2939596438114617E-2</v>
      </c>
    </row>
    <row r="765" spans="18:21" x14ac:dyDescent="0.2">
      <c r="R765" s="49">
        <v>763</v>
      </c>
      <c r="S765" s="59">
        <f ca="1">Dashboard!B$8* Dashboard!$F$4+Dashboard!B$10*SQRT(Dashboard!$F$4) * _xlfn.NORM.S.INV(RAND())</f>
        <v>-4.6601075385660929E-3</v>
      </c>
      <c r="T765" s="59">
        <f ca="1">Dashboard!C$8* Dashboard!$F$4+Dashboard!C$10*SQRT(Dashboard!$F$4) * _xlfn.NORM.S.INV(RAND())</f>
        <v>4.1370878329936932E-2</v>
      </c>
      <c r="U765" s="59">
        <f ca="1">Dashboard!D$8* Dashboard!$F$4+Dashboard!D$10*SQRT(Dashboard!$F$4) * _xlfn.NORM.S.INV(RAND())</f>
        <v>-1.8870812535594084E-2</v>
      </c>
    </row>
    <row r="766" spans="18:21" x14ac:dyDescent="0.2">
      <c r="R766" s="49">
        <v>764</v>
      </c>
      <c r="S766" s="59">
        <f ca="1">Dashboard!B$8* Dashboard!$F$4+Dashboard!B$10*SQRT(Dashboard!$F$4) * _xlfn.NORM.S.INV(RAND())</f>
        <v>-2.1832069318268164E-2</v>
      </c>
      <c r="T766" s="59">
        <f ca="1">Dashboard!C$8* Dashboard!$F$4+Dashboard!C$10*SQRT(Dashboard!$F$4) * _xlfn.NORM.S.INV(RAND())</f>
        <v>2.9845477500845359E-3</v>
      </c>
      <c r="U766" s="59">
        <f ca="1">Dashboard!D$8* Dashboard!$F$4+Dashboard!D$10*SQRT(Dashboard!$F$4) * _xlfn.NORM.S.INV(RAND())</f>
        <v>-7.4871194628316415E-3</v>
      </c>
    </row>
    <row r="767" spans="18:21" x14ac:dyDescent="0.2">
      <c r="R767" s="49">
        <v>765</v>
      </c>
      <c r="S767" s="59">
        <f ca="1">Dashboard!B$8* Dashboard!$F$4+Dashboard!B$10*SQRT(Dashboard!$F$4) * _xlfn.NORM.S.INV(RAND())</f>
        <v>-1.4907558574657875E-2</v>
      </c>
      <c r="T767" s="59">
        <f ca="1">Dashboard!C$8* Dashboard!$F$4+Dashboard!C$10*SQRT(Dashboard!$F$4) * _xlfn.NORM.S.INV(RAND())</f>
        <v>2.0094790178802068E-2</v>
      </c>
      <c r="U767" s="59">
        <f ca="1">Dashboard!D$8* Dashboard!$F$4+Dashboard!D$10*SQRT(Dashboard!$F$4) * _xlfn.NORM.S.INV(RAND())</f>
        <v>-2.2643757732337122E-2</v>
      </c>
    </row>
    <row r="768" spans="18:21" x14ac:dyDescent="0.2">
      <c r="R768" s="49">
        <v>766</v>
      </c>
      <c r="S768" s="59">
        <f ca="1">Dashboard!B$8* Dashboard!$F$4+Dashboard!B$10*SQRT(Dashboard!$F$4) * _xlfn.NORM.S.INV(RAND())</f>
        <v>-2.195852661610747E-2</v>
      </c>
      <c r="T768" s="59">
        <f ca="1">Dashboard!C$8* Dashboard!$F$4+Dashboard!C$10*SQRT(Dashboard!$F$4) * _xlfn.NORM.S.INV(RAND())</f>
        <v>4.2138472445843428E-2</v>
      </c>
      <c r="U768" s="59">
        <f ca="1">Dashboard!D$8* Dashboard!$F$4+Dashboard!D$10*SQRT(Dashboard!$F$4) * _xlfn.NORM.S.INV(RAND())</f>
        <v>3.7782629660274424E-2</v>
      </c>
    </row>
    <row r="769" spans="18:21" x14ac:dyDescent="0.2">
      <c r="R769" s="49">
        <v>767</v>
      </c>
      <c r="S769" s="59">
        <f ca="1">Dashboard!B$8* Dashboard!$F$4+Dashboard!B$10*SQRT(Dashboard!$F$4) * _xlfn.NORM.S.INV(RAND())</f>
        <v>3.1060081070140397E-2</v>
      </c>
      <c r="T769" s="59">
        <f ca="1">Dashboard!C$8* Dashboard!$F$4+Dashboard!C$10*SQRT(Dashboard!$F$4) * _xlfn.NORM.S.INV(RAND())</f>
        <v>2.1905222648865907E-2</v>
      </c>
      <c r="U769" s="59">
        <f ca="1">Dashboard!D$8* Dashboard!$F$4+Dashboard!D$10*SQRT(Dashboard!$F$4) * _xlfn.NORM.S.INV(RAND())</f>
        <v>2.8777245315454083E-3</v>
      </c>
    </row>
    <row r="770" spans="18:21" x14ac:dyDescent="0.2">
      <c r="R770" s="49">
        <v>768</v>
      </c>
      <c r="S770" s="59">
        <f ca="1">Dashboard!B$8* Dashboard!$F$4+Dashboard!B$10*SQRT(Dashboard!$F$4) * _xlfn.NORM.S.INV(RAND())</f>
        <v>9.6953041472838744E-3</v>
      </c>
      <c r="T770" s="59">
        <f ca="1">Dashboard!C$8* Dashboard!$F$4+Dashboard!C$10*SQRT(Dashboard!$F$4) * _xlfn.NORM.S.INV(RAND())</f>
        <v>3.8896051658018987E-2</v>
      </c>
      <c r="U770" s="59">
        <f ca="1">Dashboard!D$8* Dashboard!$F$4+Dashboard!D$10*SQRT(Dashboard!$F$4) * _xlfn.NORM.S.INV(RAND())</f>
        <v>-1.971224072754961E-2</v>
      </c>
    </row>
    <row r="771" spans="18:21" x14ac:dyDescent="0.2">
      <c r="R771" s="49">
        <v>769</v>
      </c>
      <c r="S771" s="59">
        <f ca="1">Dashboard!B$8* Dashboard!$F$4+Dashboard!B$10*SQRT(Dashboard!$F$4) * _xlfn.NORM.S.INV(RAND())</f>
        <v>-2.8941174195117998E-2</v>
      </c>
      <c r="T771" s="59">
        <f ca="1">Dashboard!C$8* Dashboard!$F$4+Dashboard!C$10*SQRT(Dashboard!$F$4) * _xlfn.NORM.S.INV(RAND())</f>
        <v>8.7337115587194925E-3</v>
      </c>
      <c r="U771" s="59">
        <f ca="1">Dashboard!D$8* Dashboard!$F$4+Dashboard!D$10*SQRT(Dashboard!$F$4) * _xlfn.NORM.S.INV(RAND())</f>
        <v>-2.5683511440281005E-2</v>
      </c>
    </row>
    <row r="772" spans="18:21" x14ac:dyDescent="0.2">
      <c r="R772" s="49">
        <v>770</v>
      </c>
      <c r="S772" s="59">
        <f ca="1">Dashboard!B$8* Dashboard!$F$4+Dashboard!B$10*SQRT(Dashboard!$F$4) * _xlfn.NORM.S.INV(RAND())</f>
        <v>-1.2849277017020476E-2</v>
      </c>
      <c r="T772" s="59">
        <f ca="1">Dashboard!C$8* Dashboard!$F$4+Dashboard!C$10*SQRT(Dashboard!$F$4) * _xlfn.NORM.S.INV(RAND())</f>
        <v>5.2671308516347069E-2</v>
      </c>
      <c r="U772" s="59">
        <f ca="1">Dashboard!D$8* Dashboard!$F$4+Dashboard!D$10*SQRT(Dashboard!$F$4) * _xlfn.NORM.S.INV(RAND())</f>
        <v>-1.8288964192395478E-3</v>
      </c>
    </row>
    <row r="773" spans="18:21" x14ac:dyDescent="0.2">
      <c r="R773" s="49">
        <v>771</v>
      </c>
      <c r="S773" s="59">
        <f ca="1">Dashboard!B$8* Dashboard!$F$4+Dashboard!B$10*SQRT(Dashboard!$F$4) * _xlfn.NORM.S.INV(RAND())</f>
        <v>-5.322460775982215E-2</v>
      </c>
      <c r="T773" s="59">
        <f ca="1">Dashboard!C$8* Dashboard!$F$4+Dashboard!C$10*SQRT(Dashboard!$F$4) * _xlfn.NORM.S.INV(RAND())</f>
        <v>3.6572028671298516E-2</v>
      </c>
      <c r="U773" s="59">
        <f ca="1">Dashboard!D$8* Dashboard!$F$4+Dashboard!D$10*SQRT(Dashboard!$F$4) * _xlfn.NORM.S.INV(RAND())</f>
        <v>2.1436776880731562E-2</v>
      </c>
    </row>
    <row r="774" spans="18:21" x14ac:dyDescent="0.2">
      <c r="R774" s="49">
        <v>772</v>
      </c>
      <c r="S774" s="59">
        <f ca="1">Dashboard!B$8* Dashboard!$F$4+Dashboard!B$10*SQRT(Dashboard!$F$4) * _xlfn.NORM.S.INV(RAND())</f>
        <v>-2.9214887981645281E-2</v>
      </c>
      <c r="T774" s="59">
        <f ca="1">Dashboard!C$8* Dashboard!$F$4+Dashboard!C$10*SQRT(Dashboard!$F$4) * _xlfn.NORM.S.INV(RAND())</f>
        <v>-4.2283936980099602E-3</v>
      </c>
      <c r="U774" s="59">
        <f ca="1">Dashboard!D$8* Dashboard!$F$4+Dashboard!D$10*SQRT(Dashboard!$F$4) * _xlfn.NORM.S.INV(RAND())</f>
        <v>-2.0751335832320344E-2</v>
      </c>
    </row>
    <row r="775" spans="18:21" x14ac:dyDescent="0.2">
      <c r="R775" s="49">
        <v>773</v>
      </c>
      <c r="S775" s="59">
        <f ca="1">Dashboard!B$8* Dashboard!$F$4+Dashboard!B$10*SQRT(Dashboard!$F$4) * _xlfn.NORM.S.INV(RAND())</f>
        <v>7.907208028342759E-2</v>
      </c>
      <c r="T775" s="59">
        <f ca="1">Dashboard!C$8* Dashboard!$F$4+Dashboard!C$10*SQRT(Dashboard!$F$4) * _xlfn.NORM.S.INV(RAND())</f>
        <v>7.4030791893260981E-3</v>
      </c>
      <c r="U775" s="59">
        <f ca="1">Dashboard!D$8* Dashboard!$F$4+Dashboard!D$10*SQRT(Dashboard!$F$4) * _xlfn.NORM.S.INV(RAND())</f>
        <v>-8.0461536841594673E-3</v>
      </c>
    </row>
    <row r="776" spans="18:21" x14ac:dyDescent="0.2">
      <c r="R776" s="49">
        <v>774</v>
      </c>
      <c r="S776" s="59">
        <f ca="1">Dashboard!B$8* Dashboard!$F$4+Dashboard!B$10*SQRT(Dashboard!$F$4) * _xlfn.NORM.S.INV(RAND())</f>
        <v>7.3046608162019133E-2</v>
      </c>
      <c r="T776" s="59">
        <f ca="1">Dashboard!C$8* Dashboard!$F$4+Dashboard!C$10*SQRT(Dashboard!$F$4) * _xlfn.NORM.S.INV(RAND())</f>
        <v>-1.9417823019552933E-2</v>
      </c>
      <c r="U776" s="59">
        <f ca="1">Dashboard!D$8* Dashboard!$F$4+Dashboard!D$10*SQRT(Dashboard!$F$4) * _xlfn.NORM.S.INV(RAND())</f>
        <v>-5.8493907547207735E-2</v>
      </c>
    </row>
    <row r="777" spans="18:21" x14ac:dyDescent="0.2">
      <c r="R777" s="49">
        <v>775</v>
      </c>
      <c r="S777" s="59">
        <f ca="1">Dashboard!B$8* Dashboard!$F$4+Dashboard!B$10*SQRT(Dashboard!$F$4) * _xlfn.NORM.S.INV(RAND())</f>
        <v>1.7765538824643053E-2</v>
      </c>
      <c r="T777" s="59">
        <f ca="1">Dashboard!C$8* Dashboard!$F$4+Dashboard!C$10*SQRT(Dashboard!$F$4) * _xlfn.NORM.S.INV(RAND())</f>
        <v>-6.136797409766323E-2</v>
      </c>
      <c r="U777" s="59">
        <f ca="1">Dashboard!D$8* Dashboard!$F$4+Dashboard!D$10*SQRT(Dashboard!$F$4) * _xlfn.NORM.S.INV(RAND())</f>
        <v>-3.0870441896242853E-2</v>
      </c>
    </row>
    <row r="778" spans="18:21" x14ac:dyDescent="0.2">
      <c r="R778" s="49">
        <v>776</v>
      </c>
      <c r="S778" s="59">
        <f ca="1">Dashboard!B$8* Dashboard!$F$4+Dashboard!B$10*SQRT(Dashboard!$F$4) * _xlfn.NORM.S.INV(RAND())</f>
        <v>-4.3340149109029995E-2</v>
      </c>
      <c r="T778" s="59">
        <f ca="1">Dashboard!C$8* Dashboard!$F$4+Dashboard!C$10*SQRT(Dashboard!$F$4) * _xlfn.NORM.S.INV(RAND())</f>
        <v>2.3050699391495667E-2</v>
      </c>
      <c r="U778" s="59">
        <f ca="1">Dashboard!D$8* Dashboard!$F$4+Dashboard!D$10*SQRT(Dashboard!$F$4) * _xlfn.NORM.S.INV(RAND())</f>
        <v>4.0902068361017181E-2</v>
      </c>
    </row>
    <row r="779" spans="18:21" x14ac:dyDescent="0.2">
      <c r="R779" s="49">
        <v>777</v>
      </c>
      <c r="S779" s="59">
        <f ca="1">Dashboard!B$8* Dashboard!$F$4+Dashboard!B$10*SQRT(Dashboard!$F$4) * _xlfn.NORM.S.INV(RAND())</f>
        <v>9.1905542750922772E-3</v>
      </c>
      <c r="T779" s="59">
        <f ca="1">Dashboard!C$8* Dashboard!$F$4+Dashboard!C$10*SQRT(Dashboard!$F$4) * _xlfn.NORM.S.INV(RAND())</f>
        <v>-3.3417127791550053E-2</v>
      </c>
      <c r="U779" s="59">
        <f ca="1">Dashboard!D$8* Dashboard!$F$4+Dashboard!D$10*SQRT(Dashboard!$F$4) * _xlfn.NORM.S.INV(RAND())</f>
        <v>-2.2564472824933006E-2</v>
      </c>
    </row>
    <row r="780" spans="18:21" x14ac:dyDescent="0.2">
      <c r="R780" s="49">
        <v>778</v>
      </c>
      <c r="S780" s="59">
        <f ca="1">Dashboard!B$8* Dashboard!$F$4+Dashboard!B$10*SQRT(Dashboard!$F$4) * _xlfn.NORM.S.INV(RAND())</f>
        <v>8.8741650446706316E-3</v>
      </c>
      <c r="T780" s="59">
        <f ca="1">Dashboard!C$8* Dashboard!$F$4+Dashboard!C$10*SQRT(Dashboard!$F$4) * _xlfn.NORM.S.INV(RAND())</f>
        <v>4.8206847967053046E-2</v>
      </c>
      <c r="U780" s="59">
        <f ca="1">Dashboard!D$8* Dashboard!$F$4+Dashboard!D$10*SQRT(Dashboard!$F$4) * _xlfn.NORM.S.INV(RAND())</f>
        <v>2.6408805017323133E-2</v>
      </c>
    </row>
    <row r="781" spans="18:21" x14ac:dyDescent="0.2">
      <c r="R781" s="49">
        <v>779</v>
      </c>
      <c r="S781" s="59">
        <f ca="1">Dashboard!B$8* Dashboard!$F$4+Dashboard!B$10*SQRT(Dashboard!$F$4) * _xlfn.NORM.S.INV(RAND())</f>
        <v>3.741454121632825E-2</v>
      </c>
      <c r="T781" s="59">
        <f ca="1">Dashboard!C$8* Dashboard!$F$4+Dashboard!C$10*SQRT(Dashboard!$F$4) * _xlfn.NORM.S.INV(RAND())</f>
        <v>-2.3906165097589041E-2</v>
      </c>
      <c r="U781" s="59">
        <f ca="1">Dashboard!D$8* Dashboard!$F$4+Dashboard!D$10*SQRT(Dashboard!$F$4) * _xlfn.NORM.S.INV(RAND())</f>
        <v>2.0859800163040339E-2</v>
      </c>
    </row>
    <row r="782" spans="18:21" x14ac:dyDescent="0.2">
      <c r="R782" s="49">
        <v>780</v>
      </c>
      <c r="S782" s="59">
        <f ca="1">Dashboard!B$8* Dashboard!$F$4+Dashboard!B$10*SQRT(Dashboard!$F$4) * _xlfn.NORM.S.INV(RAND())</f>
        <v>2.8790926297593805E-2</v>
      </c>
      <c r="T782" s="59">
        <f ca="1">Dashboard!C$8* Dashboard!$F$4+Dashboard!C$10*SQRT(Dashboard!$F$4) * _xlfn.NORM.S.INV(RAND())</f>
        <v>1.6078153438325856E-2</v>
      </c>
      <c r="U782" s="59">
        <f ca="1">Dashboard!D$8* Dashboard!$F$4+Dashboard!D$10*SQRT(Dashboard!$F$4) * _xlfn.NORM.S.INV(RAND())</f>
        <v>-7.6942419348494107E-2</v>
      </c>
    </row>
    <row r="783" spans="18:21" x14ac:dyDescent="0.2">
      <c r="R783" s="49">
        <v>781</v>
      </c>
      <c r="S783" s="59">
        <f ca="1">Dashboard!B$8* Dashboard!$F$4+Dashboard!B$10*SQRT(Dashboard!$F$4) * _xlfn.NORM.S.INV(RAND())</f>
        <v>3.4131781734588699E-3</v>
      </c>
      <c r="T783" s="59">
        <f ca="1">Dashboard!C$8* Dashboard!$F$4+Dashboard!C$10*SQRT(Dashboard!$F$4) * _xlfn.NORM.S.INV(RAND())</f>
        <v>-5.0317290792526838E-3</v>
      </c>
      <c r="U783" s="59">
        <f ca="1">Dashboard!D$8* Dashboard!$F$4+Dashboard!D$10*SQRT(Dashboard!$F$4) * _xlfn.NORM.S.INV(RAND())</f>
        <v>-3.3093199104702944E-2</v>
      </c>
    </row>
    <row r="784" spans="18:21" x14ac:dyDescent="0.2">
      <c r="R784" s="49">
        <v>782</v>
      </c>
      <c r="S784" s="59">
        <f ca="1">Dashboard!B$8* Dashboard!$F$4+Dashboard!B$10*SQRT(Dashboard!$F$4) * _xlfn.NORM.S.INV(RAND())</f>
        <v>4.2450187175436541E-2</v>
      </c>
      <c r="T784" s="59">
        <f ca="1">Dashboard!C$8* Dashboard!$F$4+Dashboard!C$10*SQRT(Dashboard!$F$4) * _xlfn.NORM.S.INV(RAND())</f>
        <v>-6.4353365242752628E-3</v>
      </c>
      <c r="U784" s="59">
        <f ca="1">Dashboard!D$8* Dashboard!$F$4+Dashboard!D$10*SQRT(Dashboard!$F$4) * _xlfn.NORM.S.INV(RAND())</f>
        <v>-3.2237526106433457E-3</v>
      </c>
    </row>
    <row r="785" spans="18:21" x14ac:dyDescent="0.2">
      <c r="R785" s="49">
        <v>783</v>
      </c>
      <c r="S785" s="59">
        <f ca="1">Dashboard!B$8* Dashboard!$F$4+Dashboard!B$10*SQRT(Dashboard!$F$4) * _xlfn.NORM.S.INV(RAND())</f>
        <v>5.6041245158129239E-3</v>
      </c>
      <c r="T785" s="59">
        <f ca="1">Dashboard!C$8* Dashboard!$F$4+Dashboard!C$10*SQRT(Dashboard!$F$4) * _xlfn.NORM.S.INV(RAND())</f>
        <v>-1.8680616493492622E-2</v>
      </c>
      <c r="U785" s="59">
        <f ca="1">Dashboard!D$8* Dashboard!$F$4+Dashboard!D$10*SQRT(Dashboard!$F$4) * _xlfn.NORM.S.INV(RAND())</f>
        <v>1.6268973653247611E-2</v>
      </c>
    </row>
    <row r="786" spans="18:21" x14ac:dyDescent="0.2">
      <c r="R786" s="49">
        <v>784</v>
      </c>
      <c r="S786" s="59">
        <f ca="1">Dashboard!B$8* Dashboard!$F$4+Dashboard!B$10*SQRT(Dashboard!$F$4) * _xlfn.NORM.S.INV(RAND())</f>
        <v>-6.146748019505982E-2</v>
      </c>
      <c r="T786" s="59">
        <f ca="1">Dashboard!C$8* Dashboard!$F$4+Dashboard!C$10*SQRT(Dashboard!$F$4) * _xlfn.NORM.S.INV(RAND())</f>
        <v>-4.9684973670184205E-3</v>
      </c>
      <c r="U786" s="59">
        <f ca="1">Dashboard!D$8* Dashboard!$F$4+Dashboard!D$10*SQRT(Dashboard!$F$4) * _xlfn.NORM.S.INV(RAND())</f>
        <v>-3.3314546443848563E-2</v>
      </c>
    </row>
    <row r="787" spans="18:21" x14ac:dyDescent="0.2">
      <c r="R787" s="49">
        <v>785</v>
      </c>
      <c r="S787" s="59">
        <f ca="1">Dashboard!B$8* Dashboard!$F$4+Dashboard!B$10*SQRT(Dashboard!$F$4) * _xlfn.NORM.S.INV(RAND())</f>
        <v>-4.4972932367522214E-2</v>
      </c>
      <c r="T787" s="59">
        <f ca="1">Dashboard!C$8* Dashboard!$F$4+Dashboard!C$10*SQRT(Dashboard!$F$4) * _xlfn.NORM.S.INV(RAND())</f>
        <v>1.5482633600213409E-2</v>
      </c>
      <c r="U787" s="59">
        <f ca="1">Dashboard!D$8* Dashboard!$F$4+Dashboard!D$10*SQRT(Dashboard!$F$4) * _xlfn.NORM.S.INV(RAND())</f>
        <v>-1.7878607247092539E-2</v>
      </c>
    </row>
    <row r="788" spans="18:21" x14ac:dyDescent="0.2">
      <c r="R788" s="49">
        <v>786</v>
      </c>
      <c r="S788" s="59">
        <f ca="1">Dashboard!B$8* Dashboard!$F$4+Dashboard!B$10*SQRT(Dashboard!$F$4) * _xlfn.NORM.S.INV(RAND())</f>
        <v>-8.448434469578301E-3</v>
      </c>
      <c r="T788" s="59">
        <f ca="1">Dashboard!C$8* Dashboard!$F$4+Dashboard!C$10*SQRT(Dashboard!$F$4) * _xlfn.NORM.S.INV(RAND())</f>
        <v>4.625992848747517E-2</v>
      </c>
      <c r="U788" s="59">
        <f ca="1">Dashboard!D$8* Dashboard!$F$4+Dashboard!D$10*SQRT(Dashboard!$F$4) * _xlfn.NORM.S.INV(RAND())</f>
        <v>-3.907418523728922E-2</v>
      </c>
    </row>
    <row r="789" spans="18:21" x14ac:dyDescent="0.2">
      <c r="R789" s="49">
        <v>787</v>
      </c>
      <c r="S789" s="59">
        <f ca="1">Dashboard!B$8* Dashboard!$F$4+Dashboard!B$10*SQRT(Dashboard!$F$4) * _xlfn.NORM.S.INV(RAND())</f>
        <v>8.9100262496057004E-3</v>
      </c>
      <c r="T789" s="59">
        <f ca="1">Dashboard!C$8* Dashboard!$F$4+Dashboard!C$10*SQRT(Dashboard!$F$4) * _xlfn.NORM.S.INV(RAND())</f>
        <v>-2.3659556047855392E-2</v>
      </c>
      <c r="U789" s="59">
        <f ca="1">Dashboard!D$8* Dashboard!$F$4+Dashboard!D$10*SQRT(Dashboard!$F$4) * _xlfn.NORM.S.INV(RAND())</f>
        <v>-5.0955287291379416E-2</v>
      </c>
    </row>
    <row r="790" spans="18:21" x14ac:dyDescent="0.2">
      <c r="R790" s="49">
        <v>788</v>
      </c>
      <c r="S790" s="59">
        <f ca="1">Dashboard!B$8* Dashboard!$F$4+Dashboard!B$10*SQRT(Dashboard!$F$4) * _xlfn.NORM.S.INV(RAND())</f>
        <v>-2.5373387166292179E-2</v>
      </c>
      <c r="T790" s="59">
        <f ca="1">Dashboard!C$8* Dashboard!$F$4+Dashboard!C$10*SQRT(Dashboard!$F$4) * _xlfn.NORM.S.INV(RAND())</f>
        <v>-1.935165557626076E-2</v>
      </c>
      <c r="U790" s="59">
        <f ca="1">Dashboard!D$8* Dashboard!$F$4+Dashboard!D$10*SQRT(Dashboard!$F$4) * _xlfn.NORM.S.INV(RAND())</f>
        <v>2.9194524033869396E-2</v>
      </c>
    </row>
    <row r="791" spans="18:21" x14ac:dyDescent="0.2">
      <c r="R791" s="49">
        <v>789</v>
      </c>
      <c r="S791" s="59">
        <f ca="1">Dashboard!B$8* Dashboard!$F$4+Dashboard!B$10*SQRT(Dashboard!$F$4) * _xlfn.NORM.S.INV(RAND())</f>
        <v>-5.5980943621661935E-2</v>
      </c>
      <c r="T791" s="59">
        <f ca="1">Dashboard!C$8* Dashboard!$F$4+Dashboard!C$10*SQRT(Dashboard!$F$4) * _xlfn.NORM.S.INV(RAND())</f>
        <v>-2.1337315840636386E-2</v>
      </c>
      <c r="U791" s="59">
        <f ca="1">Dashboard!D$8* Dashboard!$F$4+Dashboard!D$10*SQRT(Dashboard!$F$4) * _xlfn.NORM.S.INV(RAND())</f>
        <v>2.8892480925966487E-3</v>
      </c>
    </row>
    <row r="792" spans="18:21" x14ac:dyDescent="0.2">
      <c r="R792" s="49">
        <v>790</v>
      </c>
      <c r="S792" s="59">
        <f ca="1">Dashboard!B$8* Dashboard!$F$4+Dashboard!B$10*SQRT(Dashboard!$F$4) * _xlfn.NORM.S.INV(RAND())</f>
        <v>1.5986077727839366E-2</v>
      </c>
      <c r="T792" s="59">
        <f ca="1">Dashboard!C$8* Dashboard!$F$4+Dashboard!C$10*SQRT(Dashboard!$F$4) * _xlfn.NORM.S.INV(RAND())</f>
        <v>3.1836473784178823E-2</v>
      </c>
      <c r="U792" s="59">
        <f ca="1">Dashboard!D$8* Dashboard!$F$4+Dashboard!D$10*SQRT(Dashboard!$F$4) * _xlfn.NORM.S.INV(RAND())</f>
        <v>2.6024022084428573E-2</v>
      </c>
    </row>
    <row r="793" spans="18:21" x14ac:dyDescent="0.2">
      <c r="R793" s="49">
        <v>791</v>
      </c>
      <c r="S793" s="59">
        <f ca="1">Dashboard!B$8* Dashboard!$F$4+Dashboard!B$10*SQRT(Dashboard!$F$4) * _xlfn.NORM.S.INV(RAND())</f>
        <v>1.0186067063663626E-2</v>
      </c>
      <c r="T793" s="59">
        <f ca="1">Dashboard!C$8* Dashboard!$F$4+Dashboard!C$10*SQRT(Dashboard!$F$4) * _xlfn.NORM.S.INV(RAND())</f>
        <v>-3.6873017626986625E-3</v>
      </c>
      <c r="U793" s="59">
        <f ca="1">Dashboard!D$8* Dashboard!$F$4+Dashboard!D$10*SQRT(Dashboard!$F$4) * _xlfn.NORM.S.INV(RAND())</f>
        <v>-3.5279164455312456E-2</v>
      </c>
    </row>
    <row r="794" spans="18:21" x14ac:dyDescent="0.2">
      <c r="R794" s="49">
        <v>792</v>
      </c>
      <c r="S794" s="59">
        <f ca="1">Dashboard!B$8* Dashboard!$F$4+Dashboard!B$10*SQRT(Dashboard!$F$4) * _xlfn.NORM.S.INV(RAND())</f>
        <v>-6.320600958558977E-4</v>
      </c>
      <c r="T794" s="59">
        <f ca="1">Dashboard!C$8* Dashboard!$F$4+Dashboard!C$10*SQRT(Dashboard!$F$4) * _xlfn.NORM.S.INV(RAND())</f>
        <v>-2.1080460305982488E-2</v>
      </c>
      <c r="U794" s="59">
        <f ca="1">Dashboard!D$8* Dashboard!$F$4+Dashboard!D$10*SQRT(Dashboard!$F$4) * _xlfn.NORM.S.INV(RAND())</f>
        <v>1.1812292925837348E-2</v>
      </c>
    </row>
    <row r="795" spans="18:21" x14ac:dyDescent="0.2">
      <c r="R795" s="49">
        <v>793</v>
      </c>
      <c r="S795" s="59">
        <f ca="1">Dashboard!B$8* Dashboard!$F$4+Dashboard!B$10*SQRT(Dashboard!$F$4) * _xlfn.NORM.S.INV(RAND())</f>
        <v>-3.5705303921825374E-2</v>
      </c>
      <c r="T795" s="59">
        <f ca="1">Dashboard!C$8* Dashboard!$F$4+Dashboard!C$10*SQRT(Dashboard!$F$4) * _xlfn.NORM.S.INV(RAND())</f>
        <v>-4.5405540048325905E-3</v>
      </c>
      <c r="U795" s="59">
        <f ca="1">Dashboard!D$8* Dashboard!$F$4+Dashboard!D$10*SQRT(Dashboard!$F$4) * _xlfn.NORM.S.INV(RAND())</f>
        <v>7.5798659223624817E-2</v>
      </c>
    </row>
    <row r="796" spans="18:21" x14ac:dyDescent="0.2">
      <c r="R796" s="49">
        <v>794</v>
      </c>
      <c r="S796" s="59">
        <f ca="1">Dashboard!B$8* Dashboard!$F$4+Dashboard!B$10*SQRT(Dashboard!$F$4) * _xlfn.NORM.S.INV(RAND())</f>
        <v>2.0697479729854515E-2</v>
      </c>
      <c r="T796" s="59">
        <f ca="1">Dashboard!C$8* Dashboard!$F$4+Dashboard!C$10*SQRT(Dashboard!$F$4) * _xlfn.NORM.S.INV(RAND())</f>
        <v>3.3899076230415597E-2</v>
      </c>
      <c r="U796" s="59">
        <f ca="1">Dashboard!D$8* Dashboard!$F$4+Dashboard!D$10*SQRT(Dashboard!$F$4) * _xlfn.NORM.S.INV(RAND())</f>
        <v>-2.4046019526774792E-2</v>
      </c>
    </row>
    <row r="797" spans="18:21" x14ac:dyDescent="0.2">
      <c r="R797" s="49">
        <v>795</v>
      </c>
      <c r="S797" s="59">
        <f ca="1">Dashboard!B$8* Dashboard!$F$4+Dashboard!B$10*SQRT(Dashboard!$F$4) * _xlfn.NORM.S.INV(RAND())</f>
        <v>-3.465668429227723E-2</v>
      </c>
      <c r="T797" s="59">
        <f ca="1">Dashboard!C$8* Dashboard!$F$4+Dashboard!C$10*SQRT(Dashboard!$F$4) * _xlfn.NORM.S.INV(RAND())</f>
        <v>-2.8001295059390068E-2</v>
      </c>
      <c r="U797" s="59">
        <f ca="1">Dashboard!D$8* Dashboard!$F$4+Dashboard!D$10*SQRT(Dashboard!$F$4) * _xlfn.NORM.S.INV(RAND())</f>
        <v>3.6783902831532607E-2</v>
      </c>
    </row>
    <row r="798" spans="18:21" x14ac:dyDescent="0.2">
      <c r="R798" s="49">
        <v>796</v>
      </c>
      <c r="S798" s="59">
        <f ca="1">Dashboard!B$8* Dashboard!$F$4+Dashboard!B$10*SQRT(Dashboard!$F$4) * _xlfn.NORM.S.INV(RAND())</f>
        <v>-4.1146306033768572E-2</v>
      </c>
      <c r="T798" s="59">
        <f ca="1">Dashboard!C$8* Dashboard!$F$4+Dashboard!C$10*SQRT(Dashboard!$F$4) * _xlfn.NORM.S.INV(RAND())</f>
        <v>4.2692854425507402E-2</v>
      </c>
      <c r="U798" s="59">
        <f ca="1">Dashboard!D$8* Dashboard!$F$4+Dashboard!D$10*SQRT(Dashboard!$F$4) * _xlfn.NORM.S.INV(RAND())</f>
        <v>7.5856633366523114E-3</v>
      </c>
    </row>
    <row r="799" spans="18:21" x14ac:dyDescent="0.2">
      <c r="R799" s="49">
        <v>797</v>
      </c>
      <c r="S799" s="59">
        <f ca="1">Dashboard!B$8* Dashboard!$F$4+Dashboard!B$10*SQRT(Dashboard!$F$4) * _xlfn.NORM.S.INV(RAND())</f>
        <v>1.9853067825875127E-2</v>
      </c>
      <c r="T799" s="59">
        <f ca="1">Dashboard!C$8* Dashboard!$F$4+Dashboard!C$10*SQRT(Dashboard!$F$4) * _xlfn.NORM.S.INV(RAND())</f>
        <v>8.3870828708352031E-3</v>
      </c>
      <c r="U799" s="59">
        <f ca="1">Dashboard!D$8* Dashboard!$F$4+Dashboard!D$10*SQRT(Dashboard!$F$4) * _xlfn.NORM.S.INV(RAND())</f>
        <v>2.1729834186022829E-3</v>
      </c>
    </row>
    <row r="800" spans="18:21" x14ac:dyDescent="0.2">
      <c r="R800" s="49">
        <v>798</v>
      </c>
      <c r="S800" s="59">
        <f ca="1">Dashboard!B$8* Dashboard!$F$4+Dashboard!B$10*SQRT(Dashboard!$F$4) * _xlfn.NORM.S.INV(RAND())</f>
        <v>1.1493184335234731E-3</v>
      </c>
      <c r="T800" s="59">
        <f ca="1">Dashboard!C$8* Dashboard!$F$4+Dashboard!C$10*SQRT(Dashboard!$F$4) * _xlfn.NORM.S.INV(RAND())</f>
        <v>2.4749841973354138E-2</v>
      </c>
      <c r="U800" s="59">
        <f ca="1">Dashboard!D$8* Dashboard!$F$4+Dashboard!D$10*SQRT(Dashboard!$F$4) * _xlfn.NORM.S.INV(RAND())</f>
        <v>-7.0512923864526076E-3</v>
      </c>
    </row>
    <row r="801" spans="18:21" x14ac:dyDescent="0.2">
      <c r="R801" s="49">
        <v>799</v>
      </c>
      <c r="S801" s="59">
        <f ca="1">Dashboard!B$8* Dashboard!$F$4+Dashboard!B$10*SQRT(Dashboard!$F$4) * _xlfn.NORM.S.INV(RAND())</f>
        <v>-6.8146409717132848E-3</v>
      </c>
      <c r="T801" s="59">
        <f ca="1">Dashboard!C$8* Dashboard!$F$4+Dashboard!C$10*SQRT(Dashboard!$F$4) * _xlfn.NORM.S.INV(RAND())</f>
        <v>-3.2164725901237159E-2</v>
      </c>
      <c r="U801" s="59">
        <f ca="1">Dashboard!D$8* Dashboard!$F$4+Dashboard!D$10*SQRT(Dashboard!$F$4) * _xlfn.NORM.S.INV(RAND())</f>
        <v>2.2658843845466944E-2</v>
      </c>
    </row>
    <row r="802" spans="18:21" x14ac:dyDescent="0.2">
      <c r="R802" s="49">
        <v>800</v>
      </c>
      <c r="S802" s="59">
        <f ca="1">Dashboard!B$8* Dashboard!$F$4+Dashboard!B$10*SQRT(Dashboard!$F$4) * _xlfn.NORM.S.INV(RAND())</f>
        <v>-1.5781574205714452E-2</v>
      </c>
      <c r="T802" s="59">
        <f ca="1">Dashboard!C$8* Dashboard!$F$4+Dashboard!C$10*SQRT(Dashboard!$F$4) * _xlfn.NORM.S.INV(RAND())</f>
        <v>4.531390806541629E-2</v>
      </c>
      <c r="U802" s="59">
        <f ca="1">Dashboard!D$8* Dashboard!$F$4+Dashboard!D$10*SQRT(Dashboard!$F$4) * _xlfn.NORM.S.INV(RAND())</f>
        <v>-4.1125006048167323E-2</v>
      </c>
    </row>
    <row r="803" spans="18:21" x14ac:dyDescent="0.2">
      <c r="R803" s="49">
        <v>801</v>
      </c>
      <c r="S803" s="59">
        <f ca="1">Dashboard!B$8* Dashboard!$F$4+Dashboard!B$10*SQRT(Dashboard!$F$4) * _xlfn.NORM.S.INV(RAND())</f>
        <v>-3.6683833328480342E-3</v>
      </c>
      <c r="T803" s="59">
        <f ca="1">Dashboard!C$8* Dashboard!$F$4+Dashboard!C$10*SQRT(Dashboard!$F$4) * _xlfn.NORM.S.INV(RAND())</f>
        <v>-5.7466156528645257E-2</v>
      </c>
      <c r="U803" s="59">
        <f ca="1">Dashboard!D$8* Dashboard!$F$4+Dashboard!D$10*SQRT(Dashboard!$F$4) * _xlfn.NORM.S.INV(RAND())</f>
        <v>-6.2341431422797888E-3</v>
      </c>
    </row>
    <row r="804" spans="18:21" x14ac:dyDescent="0.2">
      <c r="R804" s="49">
        <v>802</v>
      </c>
      <c r="S804" s="59">
        <f ca="1">Dashboard!B$8* Dashboard!$F$4+Dashboard!B$10*SQRT(Dashboard!$F$4) * _xlfn.NORM.S.INV(RAND())</f>
        <v>-3.3002746804758057E-3</v>
      </c>
      <c r="T804" s="59">
        <f ca="1">Dashboard!C$8* Dashboard!$F$4+Dashboard!C$10*SQRT(Dashboard!$F$4) * _xlfn.NORM.S.INV(RAND())</f>
        <v>3.2791899372335467E-2</v>
      </c>
      <c r="U804" s="59">
        <f ca="1">Dashboard!D$8* Dashboard!$F$4+Dashboard!D$10*SQRT(Dashboard!$F$4) * _xlfn.NORM.S.INV(RAND())</f>
        <v>-4.1426580781419267E-2</v>
      </c>
    </row>
    <row r="805" spans="18:21" x14ac:dyDescent="0.2">
      <c r="R805" s="49">
        <v>803</v>
      </c>
      <c r="S805" s="59">
        <f ca="1">Dashboard!B$8* Dashboard!$F$4+Dashboard!B$10*SQRT(Dashboard!$F$4) * _xlfn.NORM.S.INV(RAND())</f>
        <v>-1.96202286678894E-2</v>
      </c>
      <c r="T805" s="59">
        <f ca="1">Dashboard!C$8* Dashboard!$F$4+Dashboard!C$10*SQRT(Dashboard!$F$4) * _xlfn.NORM.S.INV(RAND())</f>
        <v>-3.2804527368785197E-2</v>
      </c>
      <c r="U805" s="59">
        <f ca="1">Dashboard!D$8* Dashboard!$F$4+Dashboard!D$10*SQRT(Dashboard!$F$4) * _xlfn.NORM.S.INV(RAND())</f>
        <v>2.8370745504765239E-2</v>
      </c>
    </row>
    <row r="806" spans="18:21" x14ac:dyDescent="0.2">
      <c r="R806" s="49">
        <v>804</v>
      </c>
      <c r="S806" s="59">
        <f ca="1">Dashboard!B$8* Dashboard!$F$4+Dashboard!B$10*SQRT(Dashboard!$F$4) * _xlfn.NORM.S.INV(RAND())</f>
        <v>-3.0781630942593181E-2</v>
      </c>
      <c r="T806" s="59">
        <f ca="1">Dashboard!C$8* Dashboard!$F$4+Dashboard!C$10*SQRT(Dashboard!$F$4) * _xlfn.NORM.S.INV(RAND())</f>
        <v>-9.1997881979149557E-2</v>
      </c>
      <c r="U806" s="59">
        <f ca="1">Dashboard!D$8* Dashboard!$F$4+Dashboard!D$10*SQRT(Dashboard!$F$4) * _xlfn.NORM.S.INV(RAND())</f>
        <v>1.8202468094745423E-2</v>
      </c>
    </row>
    <row r="807" spans="18:21" x14ac:dyDescent="0.2">
      <c r="R807" s="49">
        <v>805</v>
      </c>
      <c r="S807" s="59">
        <f ca="1">Dashboard!B$8* Dashboard!$F$4+Dashboard!B$10*SQRT(Dashboard!$F$4) * _xlfn.NORM.S.INV(RAND())</f>
        <v>-7.4461837769992942E-3</v>
      </c>
      <c r="T807" s="59">
        <f ca="1">Dashboard!C$8* Dashboard!$F$4+Dashboard!C$10*SQRT(Dashboard!$F$4) * _xlfn.NORM.S.INV(RAND())</f>
        <v>-3.8019639241123268E-2</v>
      </c>
      <c r="U807" s="59">
        <f ca="1">Dashboard!D$8* Dashboard!$F$4+Dashboard!D$10*SQRT(Dashboard!$F$4) * _xlfn.NORM.S.INV(RAND())</f>
        <v>3.9012057923895052E-3</v>
      </c>
    </row>
    <row r="808" spans="18:21" x14ac:dyDescent="0.2">
      <c r="R808" s="49">
        <v>806</v>
      </c>
      <c r="S808" s="59">
        <f ca="1">Dashboard!B$8* Dashboard!$F$4+Dashboard!B$10*SQRT(Dashboard!$F$4) * _xlfn.NORM.S.INV(RAND())</f>
        <v>-4.7528147980009885E-2</v>
      </c>
      <c r="T808" s="59">
        <f ca="1">Dashboard!C$8* Dashboard!$F$4+Dashboard!C$10*SQRT(Dashboard!$F$4) * _xlfn.NORM.S.INV(RAND())</f>
        <v>-6.806293127514778E-4</v>
      </c>
      <c r="U808" s="59">
        <f ca="1">Dashboard!D$8* Dashboard!$F$4+Dashboard!D$10*SQRT(Dashboard!$F$4) * _xlfn.NORM.S.INV(RAND())</f>
        <v>-2.3109217206056694E-2</v>
      </c>
    </row>
    <row r="809" spans="18:21" x14ac:dyDescent="0.2">
      <c r="R809" s="49">
        <v>807</v>
      </c>
      <c r="S809" s="59">
        <f ca="1">Dashboard!B$8* Dashboard!$F$4+Dashboard!B$10*SQRT(Dashboard!$F$4) * _xlfn.NORM.S.INV(RAND())</f>
        <v>2.5170576275188358E-2</v>
      </c>
      <c r="T809" s="59">
        <f ca="1">Dashboard!C$8* Dashboard!$F$4+Dashboard!C$10*SQRT(Dashboard!$F$4) * _xlfn.NORM.S.INV(RAND())</f>
        <v>-3.4658086418801123E-2</v>
      </c>
      <c r="U809" s="59">
        <f ca="1">Dashboard!D$8* Dashboard!$F$4+Dashboard!D$10*SQRT(Dashboard!$F$4) * _xlfn.NORM.S.INV(RAND())</f>
        <v>4.9774311744263104E-2</v>
      </c>
    </row>
    <row r="810" spans="18:21" x14ac:dyDescent="0.2">
      <c r="R810" s="49">
        <v>808</v>
      </c>
      <c r="S810" s="59">
        <f ca="1">Dashboard!B$8* Dashboard!$F$4+Dashboard!B$10*SQRT(Dashboard!$F$4) * _xlfn.NORM.S.INV(RAND())</f>
        <v>3.0913709544116645E-2</v>
      </c>
      <c r="T810" s="59">
        <f ca="1">Dashboard!C$8* Dashboard!$F$4+Dashboard!C$10*SQRT(Dashboard!$F$4) * _xlfn.NORM.S.INV(RAND())</f>
        <v>1.2981248460642587E-2</v>
      </c>
      <c r="U810" s="59">
        <f ca="1">Dashboard!D$8* Dashboard!$F$4+Dashboard!D$10*SQRT(Dashboard!$F$4) * _xlfn.NORM.S.INV(RAND())</f>
        <v>5.5730959597659592E-2</v>
      </c>
    </row>
    <row r="811" spans="18:21" x14ac:dyDescent="0.2">
      <c r="R811" s="49">
        <v>809</v>
      </c>
      <c r="S811" s="59">
        <f ca="1">Dashboard!B$8* Dashboard!$F$4+Dashboard!B$10*SQRT(Dashboard!$F$4) * _xlfn.NORM.S.INV(RAND())</f>
        <v>-3.7337090411096341E-2</v>
      </c>
      <c r="T811" s="59">
        <f ca="1">Dashboard!C$8* Dashboard!$F$4+Dashboard!C$10*SQRT(Dashboard!$F$4) * _xlfn.NORM.S.INV(RAND())</f>
        <v>-2.3558255122112032E-2</v>
      </c>
      <c r="U811" s="59">
        <f ca="1">Dashboard!D$8* Dashboard!$F$4+Dashboard!D$10*SQRT(Dashboard!$F$4) * _xlfn.NORM.S.INV(RAND())</f>
        <v>-2.82008574859023E-2</v>
      </c>
    </row>
    <row r="812" spans="18:21" x14ac:dyDescent="0.2">
      <c r="R812" s="49">
        <v>810</v>
      </c>
      <c r="S812" s="59">
        <f ca="1">Dashboard!B$8* Dashboard!$F$4+Dashboard!B$10*SQRT(Dashboard!$F$4) * _xlfn.NORM.S.INV(RAND())</f>
        <v>-2.6987846524750482E-2</v>
      </c>
      <c r="T812" s="59">
        <f ca="1">Dashboard!C$8* Dashboard!$F$4+Dashboard!C$10*SQRT(Dashboard!$F$4) * _xlfn.NORM.S.INV(RAND())</f>
        <v>1.2500532739983423E-3</v>
      </c>
      <c r="U812" s="59">
        <f ca="1">Dashboard!D$8* Dashboard!$F$4+Dashboard!D$10*SQRT(Dashboard!$F$4) * _xlfn.NORM.S.INV(RAND())</f>
        <v>-4.4880140766883087E-3</v>
      </c>
    </row>
    <row r="813" spans="18:21" x14ac:dyDescent="0.2">
      <c r="R813" s="49">
        <v>811</v>
      </c>
      <c r="S813" s="59">
        <f ca="1">Dashboard!B$8* Dashboard!$F$4+Dashboard!B$10*SQRT(Dashboard!$F$4) * _xlfn.NORM.S.INV(RAND())</f>
        <v>1.6724732410472641E-2</v>
      </c>
      <c r="T813" s="59">
        <f ca="1">Dashboard!C$8* Dashboard!$F$4+Dashboard!C$10*SQRT(Dashboard!$F$4) * _xlfn.NORM.S.INV(RAND())</f>
        <v>1.8480964230430569E-2</v>
      </c>
      <c r="U813" s="59">
        <f ca="1">Dashboard!D$8* Dashboard!$F$4+Dashboard!D$10*SQRT(Dashboard!$F$4) * _xlfn.NORM.S.INV(RAND())</f>
        <v>2.8493680434170981E-2</v>
      </c>
    </row>
    <row r="814" spans="18:21" x14ac:dyDescent="0.2">
      <c r="R814" s="49">
        <v>812</v>
      </c>
      <c r="S814" s="59">
        <f ca="1">Dashboard!B$8* Dashboard!$F$4+Dashboard!B$10*SQRT(Dashboard!$F$4) * _xlfn.NORM.S.INV(RAND())</f>
        <v>-1.7736386659851834E-3</v>
      </c>
      <c r="T814" s="59">
        <f ca="1">Dashboard!C$8* Dashboard!$F$4+Dashboard!C$10*SQRT(Dashboard!$F$4) * _xlfn.NORM.S.INV(RAND())</f>
        <v>6.6462801268909258E-3</v>
      </c>
      <c r="U814" s="59">
        <f ca="1">Dashboard!D$8* Dashboard!$F$4+Dashboard!D$10*SQRT(Dashboard!$F$4) * _xlfn.NORM.S.INV(RAND())</f>
        <v>-1.4836136398699585E-2</v>
      </c>
    </row>
    <row r="815" spans="18:21" x14ac:dyDescent="0.2">
      <c r="R815" s="49">
        <v>813</v>
      </c>
      <c r="S815" s="59">
        <f ca="1">Dashboard!B$8* Dashboard!$F$4+Dashboard!B$10*SQRT(Dashboard!$F$4) * _xlfn.NORM.S.INV(RAND())</f>
        <v>-9.1944167845253201E-4</v>
      </c>
      <c r="T815" s="59">
        <f ca="1">Dashboard!C$8* Dashboard!$F$4+Dashboard!C$10*SQRT(Dashboard!$F$4) * _xlfn.NORM.S.INV(RAND())</f>
        <v>-3.2402198420327849E-2</v>
      </c>
      <c r="U815" s="59">
        <f ca="1">Dashboard!D$8* Dashboard!$F$4+Dashboard!D$10*SQRT(Dashboard!$F$4) * _xlfn.NORM.S.INV(RAND())</f>
        <v>-4.1273540941472342E-2</v>
      </c>
    </row>
    <row r="816" spans="18:21" x14ac:dyDescent="0.2">
      <c r="R816" s="49">
        <v>814</v>
      </c>
      <c r="S816" s="59">
        <f ca="1">Dashboard!B$8* Dashboard!$F$4+Dashboard!B$10*SQRT(Dashboard!$F$4) * _xlfn.NORM.S.INV(RAND())</f>
        <v>-4.0224260610970813E-3</v>
      </c>
      <c r="T816" s="59">
        <f ca="1">Dashboard!C$8* Dashboard!$F$4+Dashboard!C$10*SQRT(Dashboard!$F$4) * _xlfn.NORM.S.INV(RAND())</f>
        <v>-6.6402299737807979E-2</v>
      </c>
      <c r="U816" s="59">
        <f ca="1">Dashboard!D$8* Dashboard!$F$4+Dashboard!D$10*SQRT(Dashboard!$F$4) * _xlfn.NORM.S.INV(RAND())</f>
        <v>-5.154700462449654E-3</v>
      </c>
    </row>
    <row r="817" spans="18:21" x14ac:dyDescent="0.2">
      <c r="R817" s="49">
        <v>815</v>
      </c>
      <c r="S817" s="59">
        <f ca="1">Dashboard!B$8* Dashboard!$F$4+Dashboard!B$10*SQRT(Dashboard!$F$4) * _xlfn.NORM.S.INV(RAND())</f>
        <v>5.0474361896640479E-2</v>
      </c>
      <c r="T817" s="59">
        <f ca="1">Dashboard!C$8* Dashboard!$F$4+Dashboard!C$10*SQRT(Dashboard!$F$4) * _xlfn.NORM.S.INV(RAND())</f>
        <v>2.7804013905552781E-2</v>
      </c>
      <c r="U817" s="59">
        <f ca="1">Dashboard!D$8* Dashboard!$F$4+Dashboard!D$10*SQRT(Dashboard!$F$4) * _xlfn.NORM.S.INV(RAND())</f>
        <v>1.2871958134533849E-2</v>
      </c>
    </row>
    <row r="818" spans="18:21" x14ac:dyDescent="0.2">
      <c r="R818" s="49">
        <v>816</v>
      </c>
      <c r="S818" s="59">
        <f ca="1">Dashboard!B$8* Dashboard!$F$4+Dashboard!B$10*SQRT(Dashboard!$F$4) * _xlfn.NORM.S.INV(RAND())</f>
        <v>6.2688787815348111E-3</v>
      </c>
      <c r="T818" s="59">
        <f ca="1">Dashboard!C$8* Dashboard!$F$4+Dashboard!C$10*SQRT(Dashboard!$F$4) * _xlfn.NORM.S.INV(RAND())</f>
        <v>8.8935762657068144E-3</v>
      </c>
      <c r="U818" s="59">
        <f ca="1">Dashboard!D$8* Dashboard!$F$4+Dashboard!D$10*SQRT(Dashboard!$F$4) * _xlfn.NORM.S.INV(RAND())</f>
        <v>-1.4111755315069828E-2</v>
      </c>
    </row>
    <row r="819" spans="18:21" x14ac:dyDescent="0.2">
      <c r="R819" s="49">
        <v>817</v>
      </c>
      <c r="S819" s="59">
        <f ca="1">Dashboard!B$8* Dashboard!$F$4+Dashboard!B$10*SQRT(Dashboard!$F$4) * _xlfn.NORM.S.INV(RAND())</f>
        <v>-2.8615735473924361E-2</v>
      </c>
      <c r="T819" s="59">
        <f ca="1">Dashboard!C$8* Dashboard!$F$4+Dashboard!C$10*SQRT(Dashboard!$F$4) * _xlfn.NORM.S.INV(RAND())</f>
        <v>-2.0760960062912611E-2</v>
      </c>
      <c r="U819" s="59">
        <f ca="1">Dashboard!D$8* Dashboard!$F$4+Dashboard!D$10*SQRT(Dashboard!$F$4) * _xlfn.NORM.S.INV(RAND())</f>
        <v>3.4349463863935954E-2</v>
      </c>
    </row>
    <row r="820" spans="18:21" x14ac:dyDescent="0.2">
      <c r="R820" s="49">
        <v>818</v>
      </c>
      <c r="S820" s="59">
        <f ca="1">Dashboard!B$8* Dashboard!$F$4+Dashboard!B$10*SQRT(Dashboard!$F$4) * _xlfn.NORM.S.INV(RAND())</f>
        <v>2.2801207650722494E-2</v>
      </c>
      <c r="T820" s="59">
        <f ca="1">Dashboard!C$8* Dashboard!$F$4+Dashboard!C$10*SQRT(Dashboard!$F$4) * _xlfn.NORM.S.INV(RAND())</f>
        <v>-9.8256372106284851E-3</v>
      </c>
      <c r="U820" s="59">
        <f ca="1">Dashboard!D$8* Dashboard!$F$4+Dashboard!D$10*SQRT(Dashboard!$F$4) * _xlfn.NORM.S.INV(RAND())</f>
        <v>9.0113642078177379E-3</v>
      </c>
    </row>
    <row r="821" spans="18:21" x14ac:dyDescent="0.2">
      <c r="R821" s="49">
        <v>819</v>
      </c>
      <c r="S821" s="59">
        <f ca="1">Dashboard!B$8* Dashboard!$F$4+Dashboard!B$10*SQRT(Dashboard!$F$4) * _xlfn.NORM.S.INV(RAND())</f>
        <v>-2.0856528912350493E-2</v>
      </c>
      <c r="T821" s="59">
        <f ca="1">Dashboard!C$8* Dashboard!$F$4+Dashboard!C$10*SQRT(Dashboard!$F$4) * _xlfn.NORM.S.INV(RAND())</f>
        <v>-7.1251342737649687E-2</v>
      </c>
      <c r="U821" s="59">
        <f ca="1">Dashboard!D$8* Dashboard!$F$4+Dashboard!D$10*SQRT(Dashboard!$F$4) * _xlfn.NORM.S.INV(RAND())</f>
        <v>-1.9468367462752986E-2</v>
      </c>
    </row>
    <row r="822" spans="18:21" x14ac:dyDescent="0.2">
      <c r="R822" s="49">
        <v>820</v>
      </c>
      <c r="S822" s="59">
        <f ca="1">Dashboard!B$8* Dashboard!$F$4+Dashboard!B$10*SQRT(Dashboard!$F$4) * _xlfn.NORM.S.INV(RAND())</f>
        <v>-3.1192483184001571E-2</v>
      </c>
      <c r="T822" s="59">
        <f ca="1">Dashboard!C$8* Dashboard!$F$4+Dashboard!C$10*SQRT(Dashboard!$F$4) * _xlfn.NORM.S.INV(RAND())</f>
        <v>1.8262227529313719E-3</v>
      </c>
      <c r="U822" s="59">
        <f ca="1">Dashboard!D$8* Dashboard!$F$4+Dashboard!D$10*SQRT(Dashboard!$F$4) * _xlfn.NORM.S.INV(RAND())</f>
        <v>-3.1438286342358145E-3</v>
      </c>
    </row>
    <row r="823" spans="18:21" x14ac:dyDescent="0.2">
      <c r="R823" s="49">
        <v>821</v>
      </c>
      <c r="S823" s="59">
        <f ca="1">Dashboard!B$8* Dashboard!$F$4+Dashboard!B$10*SQRT(Dashboard!$F$4) * _xlfn.NORM.S.INV(RAND())</f>
        <v>3.7352254403070686E-3</v>
      </c>
      <c r="T823" s="59">
        <f ca="1">Dashboard!C$8* Dashboard!$F$4+Dashboard!C$10*SQRT(Dashboard!$F$4) * _xlfn.NORM.S.INV(RAND())</f>
        <v>7.5096961484738975E-2</v>
      </c>
      <c r="U823" s="59">
        <f ca="1">Dashboard!D$8* Dashboard!$F$4+Dashboard!D$10*SQRT(Dashboard!$F$4) * _xlfn.NORM.S.INV(RAND())</f>
        <v>3.030255469638958E-2</v>
      </c>
    </row>
    <row r="824" spans="18:21" x14ac:dyDescent="0.2">
      <c r="R824" s="49">
        <v>822</v>
      </c>
      <c r="S824" s="59">
        <f ca="1">Dashboard!B$8* Dashboard!$F$4+Dashboard!B$10*SQRT(Dashboard!$F$4) * _xlfn.NORM.S.INV(RAND())</f>
        <v>9.7211582876942995E-3</v>
      </c>
      <c r="T824" s="59">
        <f ca="1">Dashboard!C$8* Dashboard!$F$4+Dashboard!C$10*SQRT(Dashboard!$F$4) * _xlfn.NORM.S.INV(RAND())</f>
        <v>1.6741150130879602E-2</v>
      </c>
      <c r="U824" s="59">
        <f ca="1">Dashboard!D$8* Dashboard!$F$4+Dashboard!D$10*SQRT(Dashboard!$F$4) * _xlfn.NORM.S.INV(RAND())</f>
        <v>4.6548566959361139E-2</v>
      </c>
    </row>
    <row r="825" spans="18:21" x14ac:dyDescent="0.2">
      <c r="R825" s="49">
        <v>823</v>
      </c>
      <c r="S825" s="59">
        <f ca="1">Dashboard!B$8* Dashboard!$F$4+Dashboard!B$10*SQRT(Dashboard!$F$4) * _xlfn.NORM.S.INV(RAND())</f>
        <v>-4.3089274349441778E-2</v>
      </c>
      <c r="T825" s="59">
        <f ca="1">Dashboard!C$8* Dashboard!$F$4+Dashboard!C$10*SQRT(Dashboard!$F$4) * _xlfn.NORM.S.INV(RAND())</f>
        <v>-1.6362562945370276E-2</v>
      </c>
      <c r="U825" s="59">
        <f ca="1">Dashboard!D$8* Dashboard!$F$4+Dashboard!D$10*SQRT(Dashboard!$F$4) * _xlfn.NORM.S.INV(RAND())</f>
        <v>3.9117660973185968E-2</v>
      </c>
    </row>
    <row r="826" spans="18:21" x14ac:dyDescent="0.2">
      <c r="R826" s="49">
        <v>824</v>
      </c>
      <c r="S826" s="59">
        <f ca="1">Dashboard!B$8* Dashboard!$F$4+Dashboard!B$10*SQRT(Dashboard!$F$4) * _xlfn.NORM.S.INV(RAND())</f>
        <v>2.811109963255177E-3</v>
      </c>
      <c r="T826" s="59">
        <f ca="1">Dashboard!C$8* Dashboard!$F$4+Dashboard!C$10*SQRT(Dashboard!$F$4) * _xlfn.NORM.S.INV(RAND())</f>
        <v>6.4771709417182702E-3</v>
      </c>
      <c r="U826" s="59">
        <f ca="1">Dashboard!D$8* Dashboard!$F$4+Dashboard!D$10*SQRT(Dashboard!$F$4) * _xlfn.NORM.S.INV(RAND())</f>
        <v>-5.8399572954382958E-2</v>
      </c>
    </row>
    <row r="827" spans="18:21" x14ac:dyDescent="0.2">
      <c r="R827" s="49">
        <v>825</v>
      </c>
      <c r="S827" s="59">
        <f ca="1">Dashboard!B$8* Dashboard!$F$4+Dashboard!B$10*SQRT(Dashboard!$F$4) * _xlfn.NORM.S.INV(RAND())</f>
        <v>-1.4901337458520595E-2</v>
      </c>
      <c r="T827" s="59">
        <f ca="1">Dashboard!C$8* Dashboard!$F$4+Dashboard!C$10*SQRT(Dashboard!$F$4) * _xlfn.NORM.S.INV(RAND())</f>
        <v>3.8548607255888254E-2</v>
      </c>
      <c r="U827" s="59">
        <f ca="1">Dashboard!D$8* Dashboard!$F$4+Dashboard!D$10*SQRT(Dashboard!$F$4) * _xlfn.NORM.S.INV(RAND())</f>
        <v>-5.1196213434564319E-2</v>
      </c>
    </row>
    <row r="828" spans="18:21" x14ac:dyDescent="0.2">
      <c r="R828" s="49">
        <v>826</v>
      </c>
      <c r="S828" s="59">
        <f ca="1">Dashboard!B$8* Dashboard!$F$4+Dashboard!B$10*SQRT(Dashboard!$F$4) * _xlfn.NORM.S.INV(RAND())</f>
        <v>1.1533166883760172E-2</v>
      </c>
      <c r="T828" s="59">
        <f ca="1">Dashboard!C$8* Dashboard!$F$4+Dashboard!C$10*SQRT(Dashboard!$F$4) * _xlfn.NORM.S.INV(RAND())</f>
        <v>-4.266717287143084E-2</v>
      </c>
      <c r="U828" s="59">
        <f ca="1">Dashboard!D$8* Dashboard!$F$4+Dashboard!D$10*SQRT(Dashboard!$F$4) * _xlfn.NORM.S.INV(RAND())</f>
        <v>-1.0915630252255257E-2</v>
      </c>
    </row>
    <row r="829" spans="18:21" x14ac:dyDescent="0.2">
      <c r="R829" s="49">
        <v>827</v>
      </c>
      <c r="S829" s="59">
        <f ca="1">Dashboard!B$8* Dashboard!$F$4+Dashboard!B$10*SQRT(Dashboard!$F$4) * _xlfn.NORM.S.INV(RAND())</f>
        <v>2.4798461733275975E-2</v>
      </c>
      <c r="T829" s="59">
        <f ca="1">Dashboard!C$8* Dashboard!$F$4+Dashboard!C$10*SQRT(Dashboard!$F$4) * _xlfn.NORM.S.INV(RAND())</f>
        <v>-4.3132181003266247E-2</v>
      </c>
      <c r="U829" s="59">
        <f ca="1">Dashboard!D$8* Dashboard!$F$4+Dashboard!D$10*SQRT(Dashboard!$F$4) * _xlfn.NORM.S.INV(RAND())</f>
        <v>5.4344867918226999E-2</v>
      </c>
    </row>
    <row r="830" spans="18:21" x14ac:dyDescent="0.2">
      <c r="R830" s="49">
        <v>828</v>
      </c>
      <c r="S830" s="59">
        <f ca="1">Dashboard!B$8* Dashboard!$F$4+Dashboard!B$10*SQRT(Dashboard!$F$4) * _xlfn.NORM.S.INV(RAND())</f>
        <v>-9.1841383448655386E-3</v>
      </c>
      <c r="T830" s="59">
        <f ca="1">Dashboard!C$8* Dashboard!$F$4+Dashboard!C$10*SQRT(Dashboard!$F$4) * _xlfn.NORM.S.INV(RAND())</f>
        <v>4.6143181002741918E-3</v>
      </c>
      <c r="U830" s="59">
        <f ca="1">Dashboard!D$8* Dashboard!$F$4+Dashboard!D$10*SQRT(Dashboard!$F$4) * _xlfn.NORM.S.INV(RAND())</f>
        <v>-3.8266232921419382E-2</v>
      </c>
    </row>
    <row r="831" spans="18:21" x14ac:dyDescent="0.2">
      <c r="R831" s="49">
        <v>829</v>
      </c>
      <c r="S831" s="59">
        <f ca="1">Dashboard!B$8* Dashboard!$F$4+Dashboard!B$10*SQRT(Dashboard!$F$4) * _xlfn.NORM.S.INV(RAND())</f>
        <v>-1.3488970167740784E-2</v>
      </c>
      <c r="T831" s="59">
        <f ca="1">Dashboard!C$8* Dashboard!$F$4+Dashboard!C$10*SQRT(Dashboard!$F$4) * _xlfn.NORM.S.INV(RAND())</f>
        <v>1.94383264270751E-2</v>
      </c>
      <c r="U831" s="59">
        <f ca="1">Dashboard!D$8* Dashboard!$F$4+Dashboard!D$10*SQRT(Dashboard!$F$4) * _xlfn.NORM.S.INV(RAND())</f>
        <v>-3.4528477362806988E-2</v>
      </c>
    </row>
    <row r="832" spans="18:21" x14ac:dyDescent="0.2">
      <c r="R832" s="49">
        <v>830</v>
      </c>
      <c r="S832" s="59">
        <f ca="1">Dashboard!B$8* Dashboard!$F$4+Dashboard!B$10*SQRT(Dashboard!$F$4) * _xlfn.NORM.S.INV(RAND())</f>
        <v>-4.9107643329390719E-3</v>
      </c>
      <c r="T832" s="59">
        <f ca="1">Dashboard!C$8* Dashboard!$F$4+Dashboard!C$10*SQRT(Dashboard!$F$4) * _xlfn.NORM.S.INV(RAND())</f>
        <v>-1.5016704611412659E-2</v>
      </c>
      <c r="U832" s="59">
        <f ca="1">Dashboard!D$8* Dashboard!$F$4+Dashboard!D$10*SQRT(Dashboard!$F$4) * _xlfn.NORM.S.INV(RAND())</f>
        <v>-3.947941998769209E-2</v>
      </c>
    </row>
    <row r="833" spans="18:21" x14ac:dyDescent="0.2">
      <c r="R833" s="49">
        <v>831</v>
      </c>
      <c r="S833" s="59">
        <f ca="1">Dashboard!B$8* Dashboard!$F$4+Dashboard!B$10*SQRT(Dashboard!$F$4) * _xlfn.NORM.S.INV(RAND())</f>
        <v>2.9791324347703818E-2</v>
      </c>
      <c r="T833" s="59">
        <f ca="1">Dashboard!C$8* Dashboard!$F$4+Dashboard!C$10*SQRT(Dashboard!$F$4) * _xlfn.NORM.S.INV(RAND())</f>
        <v>3.4317532581591963E-4</v>
      </c>
      <c r="U833" s="59">
        <f ca="1">Dashboard!D$8* Dashboard!$F$4+Dashboard!D$10*SQRT(Dashboard!$F$4) * _xlfn.NORM.S.INV(RAND())</f>
        <v>-7.7337135232606229E-3</v>
      </c>
    </row>
    <row r="834" spans="18:21" x14ac:dyDescent="0.2">
      <c r="R834" s="49">
        <v>832</v>
      </c>
      <c r="S834" s="59">
        <f ca="1">Dashboard!B$8* Dashboard!$F$4+Dashboard!B$10*SQRT(Dashboard!$F$4) * _xlfn.NORM.S.INV(RAND())</f>
        <v>-2.5149954815099546E-2</v>
      </c>
      <c r="T834" s="59">
        <f ca="1">Dashboard!C$8* Dashboard!$F$4+Dashboard!C$10*SQRT(Dashboard!$F$4) * _xlfn.NORM.S.INV(RAND())</f>
        <v>9.6795431191452029E-3</v>
      </c>
      <c r="U834" s="59">
        <f ca="1">Dashboard!D$8* Dashboard!$F$4+Dashboard!D$10*SQRT(Dashboard!$F$4) * _xlfn.NORM.S.INV(RAND())</f>
        <v>-1.1317639436962763E-3</v>
      </c>
    </row>
    <row r="835" spans="18:21" x14ac:dyDescent="0.2">
      <c r="R835" s="49">
        <v>833</v>
      </c>
      <c r="S835" s="59">
        <f ca="1">Dashboard!B$8* Dashboard!$F$4+Dashboard!B$10*SQRT(Dashboard!$F$4) * _xlfn.NORM.S.INV(RAND())</f>
        <v>1.0745912624996476E-2</v>
      </c>
      <c r="T835" s="59">
        <f ca="1">Dashboard!C$8* Dashboard!$F$4+Dashboard!C$10*SQRT(Dashboard!$F$4) * _xlfn.NORM.S.INV(RAND())</f>
        <v>-3.3932179396694351E-2</v>
      </c>
      <c r="U835" s="59">
        <f ca="1">Dashboard!D$8* Dashboard!$F$4+Dashboard!D$10*SQRT(Dashboard!$F$4) * _xlfn.NORM.S.INV(RAND())</f>
        <v>1.4749588251852313E-2</v>
      </c>
    </row>
    <row r="836" spans="18:21" x14ac:dyDescent="0.2">
      <c r="R836" s="49">
        <v>834</v>
      </c>
      <c r="S836" s="59">
        <f ca="1">Dashboard!B$8* Dashboard!$F$4+Dashboard!B$10*SQRT(Dashboard!$F$4) * _xlfn.NORM.S.INV(RAND())</f>
        <v>-1.1558083205777496E-2</v>
      </c>
      <c r="T836" s="59">
        <f ca="1">Dashboard!C$8* Dashboard!$F$4+Dashboard!C$10*SQRT(Dashboard!$F$4) * _xlfn.NORM.S.INV(RAND())</f>
        <v>5.1624674825782287E-3</v>
      </c>
      <c r="U836" s="59">
        <f ca="1">Dashboard!D$8* Dashboard!$F$4+Dashboard!D$10*SQRT(Dashboard!$F$4) * _xlfn.NORM.S.INV(RAND())</f>
        <v>-3.8522741925665495E-2</v>
      </c>
    </row>
    <row r="837" spans="18:21" x14ac:dyDescent="0.2">
      <c r="R837" s="49">
        <v>835</v>
      </c>
      <c r="S837" s="59">
        <f ca="1">Dashboard!B$8* Dashboard!$F$4+Dashboard!B$10*SQRT(Dashboard!$F$4) * _xlfn.NORM.S.INV(RAND())</f>
        <v>2.5746748495149893E-2</v>
      </c>
      <c r="T837" s="59">
        <f ca="1">Dashboard!C$8* Dashboard!$F$4+Dashboard!C$10*SQRT(Dashboard!$F$4) * _xlfn.NORM.S.INV(RAND())</f>
        <v>-3.3227192306952225E-3</v>
      </c>
      <c r="U837" s="59">
        <f ca="1">Dashboard!D$8* Dashboard!$F$4+Dashboard!D$10*SQRT(Dashboard!$F$4) * _xlfn.NORM.S.INV(RAND())</f>
        <v>-1.3759762714232275E-3</v>
      </c>
    </row>
    <row r="838" spans="18:21" x14ac:dyDescent="0.2">
      <c r="R838" s="49">
        <v>836</v>
      </c>
      <c r="S838" s="59">
        <f ca="1">Dashboard!B$8* Dashboard!$F$4+Dashboard!B$10*SQRT(Dashboard!$F$4) * _xlfn.NORM.S.INV(RAND())</f>
        <v>-1.5018492539431716E-2</v>
      </c>
      <c r="T838" s="59">
        <f ca="1">Dashboard!C$8* Dashboard!$F$4+Dashboard!C$10*SQRT(Dashboard!$F$4) * _xlfn.NORM.S.INV(RAND())</f>
        <v>-4.0967591887995744E-2</v>
      </c>
      <c r="U838" s="59">
        <f ca="1">Dashboard!D$8* Dashboard!$F$4+Dashboard!D$10*SQRT(Dashboard!$F$4) * _xlfn.NORM.S.INV(RAND())</f>
        <v>3.3156306992110654E-2</v>
      </c>
    </row>
    <row r="839" spans="18:21" x14ac:dyDescent="0.2">
      <c r="R839" s="49">
        <v>837</v>
      </c>
      <c r="S839" s="59">
        <f ca="1">Dashboard!B$8* Dashboard!$F$4+Dashboard!B$10*SQRT(Dashboard!$F$4) * _xlfn.NORM.S.INV(RAND())</f>
        <v>-2.9908531765719497E-2</v>
      </c>
      <c r="T839" s="59">
        <f ca="1">Dashboard!C$8* Dashboard!$F$4+Dashboard!C$10*SQRT(Dashboard!$F$4) * _xlfn.NORM.S.INV(RAND())</f>
        <v>2.7670068012793404E-2</v>
      </c>
      <c r="U839" s="59">
        <f ca="1">Dashboard!D$8* Dashboard!$F$4+Dashboard!D$10*SQRT(Dashboard!$F$4) * _xlfn.NORM.S.INV(RAND())</f>
        <v>-2.2547726112868299E-2</v>
      </c>
    </row>
    <row r="840" spans="18:21" x14ac:dyDescent="0.2">
      <c r="R840" s="49">
        <v>838</v>
      </c>
      <c r="S840" s="59">
        <f ca="1">Dashboard!B$8* Dashboard!$F$4+Dashboard!B$10*SQRT(Dashboard!$F$4) * _xlfn.NORM.S.INV(RAND())</f>
        <v>2.6698517211705408E-2</v>
      </c>
      <c r="T840" s="59">
        <f ca="1">Dashboard!C$8* Dashboard!$F$4+Dashboard!C$10*SQRT(Dashboard!$F$4) * _xlfn.NORM.S.INV(RAND())</f>
        <v>-1.8311350526237075E-2</v>
      </c>
      <c r="U840" s="59">
        <f ca="1">Dashboard!D$8* Dashboard!$F$4+Dashboard!D$10*SQRT(Dashboard!$F$4) * _xlfn.NORM.S.INV(RAND())</f>
        <v>6.347271317061895E-2</v>
      </c>
    </row>
    <row r="841" spans="18:21" x14ac:dyDescent="0.2">
      <c r="R841" s="49">
        <v>839</v>
      </c>
      <c r="S841" s="59">
        <f ca="1">Dashboard!B$8* Dashboard!$F$4+Dashboard!B$10*SQRT(Dashboard!$F$4) * _xlfn.NORM.S.INV(RAND())</f>
        <v>-3.6992955369793488E-2</v>
      </c>
      <c r="T841" s="59">
        <f ca="1">Dashboard!C$8* Dashboard!$F$4+Dashboard!C$10*SQRT(Dashboard!$F$4) * _xlfn.NORM.S.INV(RAND())</f>
        <v>2.0566178866544379E-2</v>
      </c>
      <c r="U841" s="59">
        <f ca="1">Dashboard!D$8* Dashboard!$F$4+Dashboard!D$10*SQRT(Dashboard!$F$4) * _xlfn.NORM.S.INV(RAND())</f>
        <v>2.6886325479531646E-2</v>
      </c>
    </row>
    <row r="842" spans="18:21" x14ac:dyDescent="0.2">
      <c r="R842" s="49">
        <v>840</v>
      </c>
      <c r="S842" s="59">
        <f ca="1">Dashboard!B$8* Dashboard!$F$4+Dashboard!B$10*SQRT(Dashboard!$F$4) * _xlfn.NORM.S.INV(RAND())</f>
        <v>-6.5387533115102217E-3</v>
      </c>
      <c r="T842" s="59">
        <f ca="1">Dashboard!C$8* Dashboard!$F$4+Dashboard!C$10*SQRT(Dashboard!$F$4) * _xlfn.NORM.S.INV(RAND())</f>
        <v>-1.8610595789165393E-2</v>
      </c>
      <c r="U842" s="59">
        <f ca="1">Dashboard!D$8* Dashboard!$F$4+Dashboard!D$10*SQRT(Dashboard!$F$4) * _xlfn.NORM.S.INV(RAND())</f>
        <v>-2.708114371652446E-3</v>
      </c>
    </row>
    <row r="843" spans="18:21" x14ac:dyDescent="0.2">
      <c r="R843" s="49">
        <v>841</v>
      </c>
      <c r="S843" s="59">
        <f ca="1">Dashboard!B$8* Dashboard!$F$4+Dashboard!B$10*SQRT(Dashboard!$F$4) * _xlfn.NORM.S.INV(RAND())</f>
        <v>1.4007749269221893E-2</v>
      </c>
      <c r="T843" s="59">
        <f ca="1">Dashboard!C$8* Dashboard!$F$4+Dashboard!C$10*SQRT(Dashboard!$F$4) * _xlfn.NORM.S.INV(RAND())</f>
        <v>6.3778321873146096E-2</v>
      </c>
      <c r="U843" s="59">
        <f ca="1">Dashboard!D$8* Dashboard!$F$4+Dashboard!D$10*SQRT(Dashboard!$F$4) * _xlfn.NORM.S.INV(RAND())</f>
        <v>-4.580757695727411E-2</v>
      </c>
    </row>
    <row r="844" spans="18:21" x14ac:dyDescent="0.2">
      <c r="R844" s="49">
        <v>842</v>
      </c>
      <c r="S844" s="59">
        <f ca="1">Dashboard!B$8* Dashboard!$F$4+Dashboard!B$10*SQRT(Dashboard!$F$4) * _xlfn.NORM.S.INV(RAND())</f>
        <v>-3.3657145400896218E-2</v>
      </c>
      <c r="T844" s="59">
        <f ca="1">Dashboard!C$8* Dashboard!$F$4+Dashboard!C$10*SQRT(Dashboard!$F$4) * _xlfn.NORM.S.INV(RAND())</f>
        <v>3.4008331367443696E-2</v>
      </c>
      <c r="U844" s="59">
        <f ca="1">Dashboard!D$8* Dashboard!$F$4+Dashboard!D$10*SQRT(Dashboard!$F$4) * _xlfn.NORM.S.INV(RAND())</f>
        <v>-2.287493649348608E-2</v>
      </c>
    </row>
    <row r="845" spans="18:21" x14ac:dyDescent="0.2">
      <c r="R845" s="49">
        <v>843</v>
      </c>
      <c r="S845" s="59">
        <f ca="1">Dashboard!B$8* Dashboard!$F$4+Dashboard!B$10*SQRT(Dashboard!$F$4) * _xlfn.NORM.S.INV(RAND())</f>
        <v>-6.080504819702813E-3</v>
      </c>
      <c r="T845" s="59">
        <f ca="1">Dashboard!C$8* Dashboard!$F$4+Dashboard!C$10*SQRT(Dashboard!$F$4) * _xlfn.NORM.S.INV(RAND())</f>
        <v>-1.6392817667973757E-2</v>
      </c>
      <c r="U845" s="59">
        <f ca="1">Dashboard!D$8* Dashboard!$F$4+Dashboard!D$10*SQRT(Dashboard!$F$4) * _xlfn.NORM.S.INV(RAND())</f>
        <v>-3.2347383833906417E-2</v>
      </c>
    </row>
    <row r="846" spans="18:21" x14ac:dyDescent="0.2">
      <c r="R846" s="49">
        <v>844</v>
      </c>
      <c r="S846" s="59">
        <f ca="1">Dashboard!B$8* Dashboard!$F$4+Dashboard!B$10*SQRT(Dashboard!$F$4) * _xlfn.NORM.S.INV(RAND())</f>
        <v>-9.8739161670519139E-3</v>
      </c>
      <c r="T846" s="59">
        <f ca="1">Dashboard!C$8* Dashboard!$F$4+Dashboard!C$10*SQRT(Dashboard!$F$4) * _xlfn.NORM.S.INV(RAND())</f>
        <v>3.8270149642760914E-4</v>
      </c>
      <c r="U846" s="59">
        <f ca="1">Dashboard!D$8* Dashboard!$F$4+Dashboard!D$10*SQRT(Dashboard!$F$4) * _xlfn.NORM.S.INV(RAND())</f>
        <v>-6.5405593099144982E-2</v>
      </c>
    </row>
    <row r="847" spans="18:21" x14ac:dyDescent="0.2">
      <c r="R847" s="49">
        <v>845</v>
      </c>
      <c r="S847" s="59">
        <f ca="1">Dashboard!B$8* Dashboard!$F$4+Dashboard!B$10*SQRT(Dashboard!$F$4) * _xlfn.NORM.S.INV(RAND())</f>
        <v>-8.4135883447527413E-2</v>
      </c>
      <c r="T847" s="59">
        <f ca="1">Dashboard!C$8* Dashboard!$F$4+Dashboard!C$10*SQRT(Dashboard!$F$4) * _xlfn.NORM.S.INV(RAND())</f>
        <v>-6.0196387510460164E-2</v>
      </c>
      <c r="U847" s="59">
        <f ca="1">Dashboard!D$8* Dashboard!$F$4+Dashboard!D$10*SQRT(Dashboard!$F$4) * _xlfn.NORM.S.INV(RAND())</f>
        <v>3.6285039553550329E-2</v>
      </c>
    </row>
    <row r="848" spans="18:21" x14ac:dyDescent="0.2">
      <c r="R848" s="49">
        <v>846</v>
      </c>
      <c r="S848" s="59">
        <f ca="1">Dashboard!B$8* Dashboard!$F$4+Dashboard!B$10*SQRT(Dashboard!$F$4) * _xlfn.NORM.S.INV(RAND())</f>
        <v>-1.0588664631136294E-2</v>
      </c>
      <c r="T848" s="59">
        <f ca="1">Dashboard!C$8* Dashboard!$F$4+Dashboard!C$10*SQRT(Dashboard!$F$4) * _xlfn.NORM.S.INV(RAND())</f>
        <v>-5.8405674332790342E-2</v>
      </c>
      <c r="U848" s="59">
        <f ca="1">Dashboard!D$8* Dashboard!$F$4+Dashboard!D$10*SQRT(Dashboard!$F$4) * _xlfn.NORM.S.INV(RAND())</f>
        <v>3.2290942687958492E-2</v>
      </c>
    </row>
    <row r="849" spans="18:21" x14ac:dyDescent="0.2">
      <c r="R849" s="49">
        <v>847</v>
      </c>
      <c r="S849" s="59">
        <f ca="1">Dashboard!B$8* Dashboard!$F$4+Dashboard!B$10*SQRT(Dashboard!$F$4) * _xlfn.NORM.S.INV(RAND())</f>
        <v>1.3838594648897326E-2</v>
      </c>
      <c r="T849" s="59">
        <f ca="1">Dashboard!C$8* Dashboard!$F$4+Dashboard!C$10*SQRT(Dashboard!$F$4) * _xlfn.NORM.S.INV(RAND())</f>
        <v>-3.6675322836121745E-2</v>
      </c>
      <c r="U849" s="59">
        <f ca="1">Dashboard!D$8* Dashboard!$F$4+Dashboard!D$10*SQRT(Dashboard!$F$4) * _xlfn.NORM.S.INV(RAND())</f>
        <v>4.0653801231794566E-2</v>
      </c>
    </row>
    <row r="850" spans="18:21" x14ac:dyDescent="0.2">
      <c r="R850" s="49">
        <v>848</v>
      </c>
      <c r="S850" s="59">
        <f ca="1">Dashboard!B$8* Dashboard!$F$4+Dashboard!B$10*SQRT(Dashboard!$F$4) * _xlfn.NORM.S.INV(RAND())</f>
        <v>6.4429451040185857E-3</v>
      </c>
      <c r="T850" s="59">
        <f ca="1">Dashboard!C$8* Dashboard!$F$4+Dashboard!C$10*SQRT(Dashboard!$F$4) * _xlfn.NORM.S.INV(RAND())</f>
        <v>-1.5322567597097481E-2</v>
      </c>
      <c r="U850" s="59">
        <f ca="1">Dashboard!D$8* Dashboard!$F$4+Dashboard!D$10*SQRT(Dashboard!$F$4) * _xlfn.NORM.S.INV(RAND())</f>
        <v>-4.6187480274419636E-2</v>
      </c>
    </row>
    <row r="851" spans="18:21" x14ac:dyDescent="0.2">
      <c r="R851" s="49">
        <v>849</v>
      </c>
      <c r="S851" s="59">
        <f ca="1">Dashboard!B$8* Dashboard!$F$4+Dashboard!B$10*SQRT(Dashboard!$F$4) * _xlfn.NORM.S.INV(RAND())</f>
        <v>-7.0688195888113398E-2</v>
      </c>
      <c r="T851" s="59">
        <f ca="1">Dashboard!C$8* Dashboard!$F$4+Dashboard!C$10*SQRT(Dashboard!$F$4) * _xlfn.NORM.S.INV(RAND())</f>
        <v>2.5722714462478504E-2</v>
      </c>
      <c r="U851" s="59">
        <f ca="1">Dashboard!D$8* Dashboard!$F$4+Dashboard!D$10*SQRT(Dashboard!$F$4) * _xlfn.NORM.S.INV(RAND())</f>
        <v>2.564686778534769E-2</v>
      </c>
    </row>
    <row r="852" spans="18:21" x14ac:dyDescent="0.2">
      <c r="R852" s="49">
        <v>850</v>
      </c>
      <c r="S852" s="59">
        <f ca="1">Dashboard!B$8* Dashboard!$F$4+Dashboard!B$10*SQRT(Dashboard!$F$4) * _xlfn.NORM.S.INV(RAND())</f>
        <v>4.0042717547428774E-2</v>
      </c>
      <c r="T852" s="59">
        <f ca="1">Dashboard!C$8* Dashboard!$F$4+Dashboard!C$10*SQRT(Dashboard!$F$4) * _xlfn.NORM.S.INV(RAND())</f>
        <v>1.2188331173066573E-3</v>
      </c>
      <c r="U852" s="59">
        <f ca="1">Dashboard!D$8* Dashboard!$F$4+Dashboard!D$10*SQRT(Dashboard!$F$4) * _xlfn.NORM.S.INV(RAND())</f>
        <v>8.4321060674394273E-3</v>
      </c>
    </row>
    <row r="853" spans="18:21" x14ac:dyDescent="0.2">
      <c r="R853" s="49">
        <v>851</v>
      </c>
      <c r="S853" s="59">
        <f ca="1">Dashboard!B$8* Dashboard!$F$4+Dashboard!B$10*SQRT(Dashboard!$F$4) * _xlfn.NORM.S.INV(RAND())</f>
        <v>1.4923207402272964E-2</v>
      </c>
      <c r="T853" s="59">
        <f ca="1">Dashboard!C$8* Dashboard!$F$4+Dashboard!C$10*SQRT(Dashboard!$F$4) * _xlfn.NORM.S.INV(RAND())</f>
        <v>2.7678545383496352E-2</v>
      </c>
      <c r="U853" s="59">
        <f ca="1">Dashboard!D$8* Dashboard!$F$4+Dashboard!D$10*SQRT(Dashboard!$F$4) * _xlfn.NORM.S.INV(RAND())</f>
        <v>1.4407869443503189E-2</v>
      </c>
    </row>
    <row r="854" spans="18:21" x14ac:dyDescent="0.2">
      <c r="R854" s="49">
        <v>852</v>
      </c>
      <c r="S854" s="59">
        <f ca="1">Dashboard!B$8* Dashboard!$F$4+Dashboard!B$10*SQRT(Dashboard!$F$4) * _xlfn.NORM.S.INV(RAND())</f>
        <v>-1.5474398965853382E-2</v>
      </c>
      <c r="T854" s="59">
        <f ca="1">Dashboard!C$8* Dashboard!$F$4+Dashboard!C$10*SQRT(Dashboard!$F$4) * _xlfn.NORM.S.INV(RAND())</f>
        <v>-8.0025459393806564E-3</v>
      </c>
      <c r="U854" s="59">
        <f ca="1">Dashboard!D$8* Dashboard!$F$4+Dashboard!D$10*SQRT(Dashboard!$F$4) * _xlfn.NORM.S.INV(RAND())</f>
        <v>-1.8441435856261536E-2</v>
      </c>
    </row>
    <row r="855" spans="18:21" x14ac:dyDescent="0.2">
      <c r="R855" s="49">
        <v>853</v>
      </c>
      <c r="S855" s="59">
        <f ca="1">Dashboard!B$8* Dashboard!$F$4+Dashboard!B$10*SQRT(Dashboard!$F$4) * _xlfn.NORM.S.INV(RAND())</f>
        <v>2.8233915859233339E-3</v>
      </c>
      <c r="T855" s="59">
        <f ca="1">Dashboard!C$8* Dashboard!$F$4+Dashboard!C$10*SQRT(Dashboard!$F$4) * _xlfn.NORM.S.INV(RAND())</f>
        <v>1.3278429245913711E-2</v>
      </c>
      <c r="U855" s="59">
        <f ca="1">Dashboard!D$8* Dashboard!$F$4+Dashboard!D$10*SQRT(Dashboard!$F$4) * _xlfn.NORM.S.INV(RAND())</f>
        <v>4.6221684898993861E-3</v>
      </c>
    </row>
    <row r="856" spans="18:21" x14ac:dyDescent="0.2">
      <c r="R856" s="49">
        <v>854</v>
      </c>
      <c r="S856" s="59">
        <f ca="1">Dashboard!B$8* Dashboard!$F$4+Dashboard!B$10*SQRT(Dashboard!$F$4) * _xlfn.NORM.S.INV(RAND())</f>
        <v>3.9023900436525691E-2</v>
      </c>
      <c r="T856" s="59">
        <f ca="1">Dashboard!C$8* Dashboard!$F$4+Dashboard!C$10*SQRT(Dashboard!$F$4) * _xlfn.NORM.S.INV(RAND())</f>
        <v>-4.8611996104199501E-2</v>
      </c>
      <c r="U856" s="59">
        <f ca="1">Dashboard!D$8* Dashboard!$F$4+Dashboard!D$10*SQRT(Dashboard!$F$4) * _xlfn.NORM.S.INV(RAND())</f>
        <v>3.8801917531059785E-2</v>
      </c>
    </row>
    <row r="857" spans="18:21" x14ac:dyDescent="0.2">
      <c r="R857" s="49">
        <v>855</v>
      </c>
      <c r="S857" s="59">
        <f ca="1">Dashboard!B$8* Dashboard!$F$4+Dashboard!B$10*SQRT(Dashboard!$F$4) * _xlfn.NORM.S.INV(RAND())</f>
        <v>-8.6214696593479981E-2</v>
      </c>
      <c r="T857" s="59">
        <f ca="1">Dashboard!C$8* Dashboard!$F$4+Dashboard!C$10*SQRT(Dashboard!$F$4) * _xlfn.NORM.S.INV(RAND())</f>
        <v>7.7024019355086973E-2</v>
      </c>
      <c r="U857" s="59">
        <f ca="1">Dashboard!D$8* Dashboard!$F$4+Dashboard!D$10*SQRT(Dashboard!$F$4) * _xlfn.NORM.S.INV(RAND())</f>
        <v>-1.7685245498059044E-2</v>
      </c>
    </row>
    <row r="858" spans="18:21" x14ac:dyDescent="0.2">
      <c r="R858" s="49">
        <v>856</v>
      </c>
      <c r="S858" s="59">
        <f ca="1">Dashboard!B$8* Dashboard!$F$4+Dashboard!B$10*SQRT(Dashboard!$F$4) * _xlfn.NORM.S.INV(RAND())</f>
        <v>3.6102653371285964E-3</v>
      </c>
      <c r="T858" s="59">
        <f ca="1">Dashboard!C$8* Dashboard!$F$4+Dashboard!C$10*SQRT(Dashboard!$F$4) * _xlfn.NORM.S.INV(RAND())</f>
        <v>1.0871490021952354E-2</v>
      </c>
      <c r="U858" s="59">
        <f ca="1">Dashboard!D$8* Dashboard!$F$4+Dashboard!D$10*SQRT(Dashboard!$F$4) * _xlfn.NORM.S.INV(RAND())</f>
        <v>-1.0561924710526072E-2</v>
      </c>
    </row>
    <row r="859" spans="18:21" x14ac:dyDescent="0.2">
      <c r="R859" s="49">
        <v>857</v>
      </c>
      <c r="S859" s="59">
        <f ca="1">Dashboard!B$8* Dashboard!$F$4+Dashboard!B$10*SQRT(Dashboard!$F$4) * _xlfn.NORM.S.INV(RAND())</f>
        <v>-1.0742467037052344E-2</v>
      </c>
      <c r="T859" s="59">
        <f ca="1">Dashboard!C$8* Dashboard!$F$4+Dashboard!C$10*SQRT(Dashboard!$F$4) * _xlfn.NORM.S.INV(RAND())</f>
        <v>-1.6287058871468328E-2</v>
      </c>
      <c r="U859" s="59">
        <f ca="1">Dashboard!D$8* Dashboard!$F$4+Dashboard!D$10*SQRT(Dashboard!$F$4) * _xlfn.NORM.S.INV(RAND())</f>
        <v>-4.0323324654051806E-2</v>
      </c>
    </row>
    <row r="860" spans="18:21" x14ac:dyDescent="0.2">
      <c r="R860" s="49">
        <v>858</v>
      </c>
      <c r="S860" s="59">
        <f ca="1">Dashboard!B$8* Dashboard!$F$4+Dashboard!B$10*SQRT(Dashboard!$F$4) * _xlfn.NORM.S.INV(RAND())</f>
        <v>2.4204003393423898E-3</v>
      </c>
      <c r="T860" s="59">
        <f ca="1">Dashboard!C$8* Dashboard!$F$4+Dashboard!C$10*SQRT(Dashboard!$F$4) * _xlfn.NORM.S.INV(RAND())</f>
        <v>-1.6420624901419979E-3</v>
      </c>
      <c r="U860" s="59">
        <f ca="1">Dashboard!D$8* Dashboard!$F$4+Dashboard!D$10*SQRT(Dashboard!$F$4) * _xlfn.NORM.S.INV(RAND())</f>
        <v>6.2984736197754547E-3</v>
      </c>
    </row>
    <row r="861" spans="18:21" x14ac:dyDescent="0.2">
      <c r="R861" s="49">
        <v>859</v>
      </c>
      <c r="S861" s="59">
        <f ca="1">Dashboard!B$8* Dashboard!$F$4+Dashboard!B$10*SQRT(Dashboard!$F$4) * _xlfn.NORM.S.INV(RAND())</f>
        <v>-5.9904642345167132E-2</v>
      </c>
      <c r="T861" s="59">
        <f ca="1">Dashboard!C$8* Dashboard!$F$4+Dashboard!C$10*SQRT(Dashboard!$F$4) * _xlfn.NORM.S.INV(RAND())</f>
        <v>4.4524780615971302E-2</v>
      </c>
      <c r="U861" s="59">
        <f ca="1">Dashboard!D$8* Dashboard!$F$4+Dashboard!D$10*SQRT(Dashboard!$F$4) * _xlfn.NORM.S.INV(RAND())</f>
        <v>-1.6432172973390367E-2</v>
      </c>
    </row>
    <row r="862" spans="18:21" x14ac:dyDescent="0.2">
      <c r="R862" s="49">
        <v>860</v>
      </c>
      <c r="S862" s="59">
        <f ca="1">Dashboard!B$8* Dashboard!$F$4+Dashboard!B$10*SQRT(Dashboard!$F$4) * _xlfn.NORM.S.INV(RAND())</f>
        <v>5.060686686031983E-3</v>
      </c>
      <c r="T862" s="59">
        <f ca="1">Dashboard!C$8* Dashboard!$F$4+Dashboard!C$10*SQRT(Dashboard!$F$4) * _xlfn.NORM.S.INV(RAND())</f>
        <v>3.4176160779324651E-2</v>
      </c>
      <c r="U862" s="59">
        <f ca="1">Dashboard!D$8* Dashboard!$F$4+Dashboard!D$10*SQRT(Dashboard!$F$4) * _xlfn.NORM.S.INV(RAND())</f>
        <v>9.3344532854876157E-3</v>
      </c>
    </row>
    <row r="863" spans="18:21" x14ac:dyDescent="0.2">
      <c r="R863" s="49">
        <v>861</v>
      </c>
      <c r="S863" s="59">
        <f ca="1">Dashboard!B$8* Dashboard!$F$4+Dashboard!B$10*SQRT(Dashboard!$F$4) * _xlfn.NORM.S.INV(RAND())</f>
        <v>-4.4063054921195784E-2</v>
      </c>
      <c r="T863" s="59">
        <f ca="1">Dashboard!C$8* Dashboard!$F$4+Dashboard!C$10*SQRT(Dashboard!$F$4) * _xlfn.NORM.S.INV(RAND())</f>
        <v>-2.983125224246065E-3</v>
      </c>
      <c r="U863" s="59">
        <f ca="1">Dashboard!D$8* Dashboard!$F$4+Dashboard!D$10*SQRT(Dashboard!$F$4) * _xlfn.NORM.S.INV(RAND())</f>
        <v>3.0490728261572807E-2</v>
      </c>
    </row>
    <row r="864" spans="18:21" x14ac:dyDescent="0.2">
      <c r="R864" s="49">
        <v>862</v>
      </c>
      <c r="S864" s="59">
        <f ca="1">Dashboard!B$8* Dashboard!$F$4+Dashboard!B$10*SQRT(Dashboard!$F$4) * _xlfn.NORM.S.INV(RAND())</f>
        <v>-2.9952731371498459E-3</v>
      </c>
      <c r="T864" s="59">
        <f ca="1">Dashboard!C$8* Dashboard!$F$4+Dashboard!C$10*SQRT(Dashboard!$F$4) * _xlfn.NORM.S.INV(RAND())</f>
        <v>-2.1045706865234451E-2</v>
      </c>
      <c r="U864" s="59">
        <f ca="1">Dashboard!D$8* Dashboard!$F$4+Dashboard!D$10*SQRT(Dashboard!$F$4) * _xlfn.NORM.S.INV(RAND())</f>
        <v>-2.0003983873036868E-2</v>
      </c>
    </row>
    <row r="865" spans="18:21" x14ac:dyDescent="0.2">
      <c r="R865" s="49">
        <v>863</v>
      </c>
      <c r="S865" s="59">
        <f ca="1">Dashboard!B$8* Dashboard!$F$4+Dashboard!B$10*SQRT(Dashboard!$F$4) * _xlfn.NORM.S.INV(RAND())</f>
        <v>3.3934526779620798E-2</v>
      </c>
      <c r="T865" s="59">
        <f ca="1">Dashboard!C$8* Dashboard!$F$4+Dashboard!C$10*SQRT(Dashboard!$F$4) * _xlfn.NORM.S.INV(RAND())</f>
        <v>1.3550472797876103E-2</v>
      </c>
      <c r="U865" s="59">
        <f ca="1">Dashboard!D$8* Dashboard!$F$4+Dashboard!D$10*SQRT(Dashboard!$F$4) * _xlfn.NORM.S.INV(RAND())</f>
        <v>-7.4720365362128264E-3</v>
      </c>
    </row>
    <row r="866" spans="18:21" x14ac:dyDescent="0.2">
      <c r="R866" s="49">
        <v>864</v>
      </c>
      <c r="S866" s="59">
        <f ca="1">Dashboard!B$8* Dashboard!$F$4+Dashboard!B$10*SQRT(Dashboard!$F$4) * _xlfn.NORM.S.INV(RAND())</f>
        <v>-9.5264379205401123E-2</v>
      </c>
      <c r="T866" s="59">
        <f ca="1">Dashboard!C$8* Dashboard!$F$4+Dashboard!C$10*SQRT(Dashboard!$F$4) * _xlfn.NORM.S.INV(RAND())</f>
        <v>3.6840469108761778E-2</v>
      </c>
      <c r="U866" s="59">
        <f ca="1">Dashboard!D$8* Dashboard!$F$4+Dashboard!D$10*SQRT(Dashboard!$F$4) * _xlfn.NORM.S.INV(RAND())</f>
        <v>-1.6740295179037317E-3</v>
      </c>
    </row>
    <row r="867" spans="18:21" x14ac:dyDescent="0.2">
      <c r="R867" s="49">
        <v>865</v>
      </c>
      <c r="S867" s="59">
        <f ca="1">Dashboard!B$8* Dashboard!$F$4+Dashboard!B$10*SQRT(Dashboard!$F$4) * _xlfn.NORM.S.INV(RAND())</f>
        <v>-3.7670867927731097E-2</v>
      </c>
      <c r="T867" s="59">
        <f ca="1">Dashboard!C$8* Dashboard!$F$4+Dashboard!C$10*SQRT(Dashboard!$F$4) * _xlfn.NORM.S.INV(RAND())</f>
        <v>-2.8488401805055515E-3</v>
      </c>
      <c r="U867" s="59">
        <f ca="1">Dashboard!D$8* Dashboard!$F$4+Dashboard!D$10*SQRT(Dashboard!$F$4) * _xlfn.NORM.S.INV(RAND())</f>
        <v>1.3632869660194134E-2</v>
      </c>
    </row>
    <row r="868" spans="18:21" x14ac:dyDescent="0.2">
      <c r="R868" s="49">
        <v>866</v>
      </c>
      <c r="S868" s="59">
        <f ca="1">Dashboard!B$8* Dashboard!$F$4+Dashboard!B$10*SQRT(Dashboard!$F$4) * _xlfn.NORM.S.INV(RAND())</f>
        <v>-3.4567522165135124E-2</v>
      </c>
      <c r="T868" s="59">
        <f ca="1">Dashboard!C$8* Dashboard!$F$4+Dashboard!C$10*SQRT(Dashboard!$F$4) * _xlfn.NORM.S.INV(RAND())</f>
        <v>1.2485902351599257E-2</v>
      </c>
      <c r="U868" s="59">
        <f ca="1">Dashboard!D$8* Dashboard!$F$4+Dashboard!D$10*SQRT(Dashboard!$F$4) * _xlfn.NORM.S.INV(RAND())</f>
        <v>-3.7709925514355057E-2</v>
      </c>
    </row>
    <row r="869" spans="18:21" x14ac:dyDescent="0.2">
      <c r="R869" s="49">
        <v>867</v>
      </c>
      <c r="S869" s="59">
        <f ca="1">Dashboard!B$8* Dashboard!$F$4+Dashboard!B$10*SQRT(Dashboard!$F$4) * _xlfn.NORM.S.INV(RAND())</f>
        <v>-1.4642160522100215E-2</v>
      </c>
      <c r="T869" s="59">
        <f ca="1">Dashboard!C$8* Dashboard!$F$4+Dashboard!C$10*SQRT(Dashboard!$F$4) * _xlfn.NORM.S.INV(RAND())</f>
        <v>-7.7309453778103679E-2</v>
      </c>
      <c r="U869" s="59">
        <f ca="1">Dashboard!D$8* Dashboard!$F$4+Dashboard!D$10*SQRT(Dashboard!$F$4) * _xlfn.NORM.S.INV(RAND())</f>
        <v>-4.3171763396005265E-2</v>
      </c>
    </row>
    <row r="870" spans="18:21" x14ac:dyDescent="0.2">
      <c r="R870" s="49">
        <v>868</v>
      </c>
      <c r="S870" s="59">
        <f ca="1">Dashboard!B$8* Dashboard!$F$4+Dashboard!B$10*SQRT(Dashboard!$F$4) * _xlfn.NORM.S.INV(RAND())</f>
        <v>7.2685485943281627E-3</v>
      </c>
      <c r="T870" s="59">
        <f ca="1">Dashboard!C$8* Dashboard!$F$4+Dashboard!C$10*SQRT(Dashboard!$F$4) * _xlfn.NORM.S.INV(RAND())</f>
        <v>2.9111210108833351E-2</v>
      </c>
      <c r="U870" s="59">
        <f ca="1">Dashboard!D$8* Dashboard!$F$4+Dashboard!D$10*SQRT(Dashboard!$F$4) * _xlfn.NORM.S.INV(RAND())</f>
        <v>-1.5029641943241816E-2</v>
      </c>
    </row>
    <row r="871" spans="18:21" x14ac:dyDescent="0.2">
      <c r="R871" s="49">
        <v>869</v>
      </c>
      <c r="S871" s="59">
        <f ca="1">Dashboard!B$8* Dashboard!$F$4+Dashboard!B$10*SQRT(Dashboard!$F$4) * _xlfn.NORM.S.INV(RAND())</f>
        <v>7.5605293446228978E-3</v>
      </c>
      <c r="T871" s="59">
        <f ca="1">Dashboard!C$8* Dashboard!$F$4+Dashboard!C$10*SQRT(Dashboard!$F$4) * _xlfn.NORM.S.INV(RAND())</f>
        <v>4.55133137597643E-2</v>
      </c>
      <c r="U871" s="59">
        <f ca="1">Dashboard!D$8* Dashboard!$F$4+Dashboard!D$10*SQRT(Dashboard!$F$4) * _xlfn.NORM.S.INV(RAND())</f>
        <v>-3.7546510283900519E-2</v>
      </c>
    </row>
    <row r="872" spans="18:21" x14ac:dyDescent="0.2">
      <c r="R872" s="49">
        <v>870</v>
      </c>
      <c r="S872" s="59">
        <f ca="1">Dashboard!B$8* Dashboard!$F$4+Dashboard!B$10*SQRT(Dashboard!$F$4) * _xlfn.NORM.S.INV(RAND())</f>
        <v>4.7389175033220057E-2</v>
      </c>
      <c r="T872" s="59">
        <f ca="1">Dashboard!C$8* Dashboard!$F$4+Dashboard!C$10*SQRT(Dashboard!$F$4) * _xlfn.NORM.S.INV(RAND())</f>
        <v>2.0808284885117823E-2</v>
      </c>
      <c r="U872" s="59">
        <f ca="1">Dashboard!D$8* Dashboard!$F$4+Dashboard!D$10*SQRT(Dashboard!$F$4) * _xlfn.NORM.S.INV(RAND())</f>
        <v>5.3898984120190174E-2</v>
      </c>
    </row>
    <row r="873" spans="18:21" x14ac:dyDescent="0.2">
      <c r="R873" s="49">
        <v>871</v>
      </c>
      <c r="S873" s="59">
        <f ca="1">Dashboard!B$8* Dashboard!$F$4+Dashboard!B$10*SQRT(Dashboard!$F$4) * _xlfn.NORM.S.INV(RAND())</f>
        <v>-4.3740521978771339E-2</v>
      </c>
      <c r="T873" s="59">
        <f ca="1">Dashboard!C$8* Dashboard!$F$4+Dashboard!C$10*SQRT(Dashboard!$F$4) * _xlfn.NORM.S.INV(RAND())</f>
        <v>-1.3835533970837276E-2</v>
      </c>
      <c r="U873" s="59">
        <f ca="1">Dashboard!D$8* Dashboard!$F$4+Dashboard!D$10*SQRT(Dashboard!$F$4) * _xlfn.NORM.S.INV(RAND())</f>
        <v>-1.8002091372553146E-2</v>
      </c>
    </row>
    <row r="874" spans="18:21" x14ac:dyDescent="0.2">
      <c r="R874" s="49">
        <v>872</v>
      </c>
      <c r="S874" s="59">
        <f ca="1">Dashboard!B$8* Dashboard!$F$4+Dashboard!B$10*SQRT(Dashboard!$F$4) * _xlfn.NORM.S.INV(RAND())</f>
        <v>1.0894482496095375E-2</v>
      </c>
      <c r="T874" s="59">
        <f ca="1">Dashboard!C$8* Dashboard!$F$4+Dashboard!C$10*SQRT(Dashboard!$F$4) * _xlfn.NORM.S.INV(RAND())</f>
        <v>-2.2980227207070082E-3</v>
      </c>
      <c r="U874" s="59">
        <f ca="1">Dashboard!D$8* Dashboard!$F$4+Dashboard!D$10*SQRT(Dashboard!$F$4) * _xlfn.NORM.S.INV(RAND())</f>
        <v>1.2193211334740724E-2</v>
      </c>
    </row>
    <row r="875" spans="18:21" x14ac:dyDescent="0.2">
      <c r="R875" s="49">
        <v>873</v>
      </c>
      <c r="S875" s="59">
        <f ca="1">Dashboard!B$8* Dashboard!$F$4+Dashboard!B$10*SQRT(Dashboard!$F$4) * _xlfn.NORM.S.INV(RAND())</f>
        <v>1.2167022480728937E-2</v>
      </c>
      <c r="T875" s="59">
        <f ca="1">Dashboard!C$8* Dashboard!$F$4+Dashboard!C$10*SQRT(Dashboard!$F$4) * _xlfn.NORM.S.INV(RAND())</f>
        <v>2.8010904171152675E-2</v>
      </c>
      <c r="U875" s="59">
        <f ca="1">Dashboard!D$8* Dashboard!$F$4+Dashboard!D$10*SQRT(Dashboard!$F$4) * _xlfn.NORM.S.INV(RAND())</f>
        <v>3.1359677037569207E-2</v>
      </c>
    </row>
    <row r="876" spans="18:21" x14ac:dyDescent="0.2">
      <c r="R876" s="49">
        <v>874</v>
      </c>
      <c r="S876" s="59">
        <f ca="1">Dashboard!B$8* Dashboard!$F$4+Dashboard!B$10*SQRT(Dashboard!$F$4) * _xlfn.NORM.S.INV(RAND())</f>
        <v>-1.0463421347228349E-3</v>
      </c>
      <c r="T876" s="59">
        <f ca="1">Dashboard!C$8* Dashboard!$F$4+Dashboard!C$10*SQRT(Dashboard!$F$4) * _xlfn.NORM.S.INV(RAND())</f>
        <v>-3.2173140959146543E-2</v>
      </c>
      <c r="U876" s="59">
        <f ca="1">Dashboard!D$8* Dashboard!$F$4+Dashboard!D$10*SQRT(Dashboard!$F$4) * _xlfn.NORM.S.INV(RAND())</f>
        <v>-4.1047266094405725E-2</v>
      </c>
    </row>
    <row r="877" spans="18:21" x14ac:dyDescent="0.2">
      <c r="R877" s="49">
        <v>875</v>
      </c>
      <c r="S877" s="59">
        <f ca="1">Dashboard!B$8* Dashboard!$F$4+Dashboard!B$10*SQRT(Dashboard!$F$4) * _xlfn.NORM.S.INV(RAND())</f>
        <v>5.6729385955165343E-3</v>
      </c>
      <c r="T877" s="59">
        <f ca="1">Dashboard!C$8* Dashboard!$F$4+Dashboard!C$10*SQRT(Dashboard!$F$4) * _xlfn.NORM.S.INV(RAND())</f>
        <v>-7.4583593767238471E-2</v>
      </c>
      <c r="U877" s="59">
        <f ca="1">Dashboard!D$8* Dashboard!$F$4+Dashboard!D$10*SQRT(Dashboard!$F$4) * _xlfn.NORM.S.INV(RAND())</f>
        <v>4.1114531890799319E-2</v>
      </c>
    </row>
    <row r="878" spans="18:21" x14ac:dyDescent="0.2">
      <c r="R878" s="49">
        <v>876</v>
      </c>
      <c r="S878" s="59">
        <f ca="1">Dashboard!B$8* Dashboard!$F$4+Dashboard!B$10*SQRT(Dashboard!$F$4) * _xlfn.NORM.S.INV(RAND())</f>
        <v>-1.7693366090281947E-2</v>
      </c>
      <c r="T878" s="59">
        <f ca="1">Dashboard!C$8* Dashboard!$F$4+Dashboard!C$10*SQRT(Dashboard!$F$4) * _xlfn.NORM.S.INV(RAND())</f>
        <v>-5.6610805237220417E-2</v>
      </c>
      <c r="U878" s="59">
        <f ca="1">Dashboard!D$8* Dashboard!$F$4+Dashboard!D$10*SQRT(Dashboard!$F$4) * _xlfn.NORM.S.INV(RAND())</f>
        <v>2.0230516986187157E-2</v>
      </c>
    </row>
    <row r="879" spans="18:21" x14ac:dyDescent="0.2">
      <c r="R879" s="49">
        <v>877</v>
      </c>
      <c r="S879" s="59">
        <f ca="1">Dashboard!B$8* Dashboard!$F$4+Dashboard!B$10*SQRT(Dashboard!$F$4) * _xlfn.NORM.S.INV(RAND())</f>
        <v>-1.675018252859416E-2</v>
      </c>
      <c r="T879" s="59">
        <f ca="1">Dashboard!C$8* Dashboard!$F$4+Dashboard!C$10*SQRT(Dashboard!$F$4) * _xlfn.NORM.S.INV(RAND())</f>
        <v>-8.7970436868124308E-3</v>
      </c>
      <c r="U879" s="59">
        <f ca="1">Dashboard!D$8* Dashboard!$F$4+Dashboard!D$10*SQRT(Dashboard!$F$4) * _xlfn.NORM.S.INV(RAND())</f>
        <v>-9.4627765236571532E-3</v>
      </c>
    </row>
    <row r="880" spans="18:21" x14ac:dyDescent="0.2">
      <c r="R880" s="49">
        <v>878</v>
      </c>
      <c r="S880" s="59">
        <f ca="1">Dashboard!B$8* Dashboard!$F$4+Dashboard!B$10*SQRT(Dashboard!$F$4) * _xlfn.NORM.S.INV(RAND())</f>
        <v>-2.4421453986252999E-2</v>
      </c>
      <c r="T880" s="59">
        <f ca="1">Dashboard!C$8* Dashboard!$F$4+Dashboard!C$10*SQRT(Dashboard!$F$4) * _xlfn.NORM.S.INV(RAND())</f>
        <v>1.9951029716618315E-2</v>
      </c>
      <c r="U880" s="59">
        <f ca="1">Dashboard!D$8* Dashboard!$F$4+Dashboard!D$10*SQRT(Dashboard!$F$4) * _xlfn.NORM.S.INV(RAND())</f>
        <v>4.7852149241253528E-2</v>
      </c>
    </row>
    <row r="881" spans="18:21" x14ac:dyDescent="0.2">
      <c r="R881" s="49">
        <v>879</v>
      </c>
      <c r="S881" s="59">
        <f ca="1">Dashboard!B$8* Dashboard!$F$4+Dashboard!B$10*SQRT(Dashboard!$F$4) * _xlfn.NORM.S.INV(RAND())</f>
        <v>8.511050954642321E-3</v>
      </c>
      <c r="T881" s="59">
        <f ca="1">Dashboard!C$8* Dashboard!$F$4+Dashboard!C$10*SQRT(Dashboard!$F$4) * _xlfn.NORM.S.INV(RAND())</f>
        <v>2.2207061993330775E-2</v>
      </c>
      <c r="U881" s="59">
        <f ca="1">Dashboard!D$8* Dashboard!$F$4+Dashboard!D$10*SQRT(Dashboard!$F$4) * _xlfn.NORM.S.INV(RAND())</f>
        <v>-1.1953952517761702E-2</v>
      </c>
    </row>
    <row r="882" spans="18:21" x14ac:dyDescent="0.2">
      <c r="R882" s="49">
        <v>880</v>
      </c>
      <c r="S882" s="59">
        <f ca="1">Dashboard!B$8* Dashboard!$F$4+Dashboard!B$10*SQRT(Dashboard!$F$4) * _xlfn.NORM.S.INV(RAND())</f>
        <v>1.6663655799080572E-2</v>
      </c>
      <c r="T882" s="59">
        <f ca="1">Dashboard!C$8* Dashboard!$F$4+Dashboard!C$10*SQRT(Dashboard!$F$4) * _xlfn.NORM.S.INV(RAND())</f>
        <v>1.4998358578812813E-2</v>
      </c>
      <c r="U882" s="59">
        <f ca="1">Dashboard!D$8* Dashboard!$F$4+Dashboard!D$10*SQRT(Dashboard!$F$4) * _xlfn.NORM.S.INV(RAND())</f>
        <v>1.2258505880285913E-2</v>
      </c>
    </row>
    <row r="883" spans="18:21" x14ac:dyDescent="0.2">
      <c r="R883" s="49">
        <v>881</v>
      </c>
      <c r="S883" s="59">
        <f ca="1">Dashboard!B$8* Dashboard!$F$4+Dashboard!B$10*SQRT(Dashboard!$F$4) * _xlfn.NORM.S.INV(RAND())</f>
        <v>5.9305107041849783E-2</v>
      </c>
      <c r="T883" s="59">
        <f ca="1">Dashboard!C$8* Dashboard!$F$4+Dashboard!C$10*SQRT(Dashboard!$F$4) * _xlfn.NORM.S.INV(RAND())</f>
        <v>-2.3812471760014206E-2</v>
      </c>
      <c r="U883" s="59">
        <f ca="1">Dashboard!D$8* Dashboard!$F$4+Dashboard!D$10*SQRT(Dashboard!$F$4) * _xlfn.NORM.S.INV(RAND())</f>
        <v>1.5713230699947952E-2</v>
      </c>
    </row>
    <row r="884" spans="18:21" x14ac:dyDescent="0.2">
      <c r="R884" s="49">
        <v>882</v>
      </c>
      <c r="S884" s="59">
        <f ca="1">Dashboard!B$8* Dashboard!$F$4+Dashboard!B$10*SQRT(Dashboard!$F$4) * _xlfn.NORM.S.INV(RAND())</f>
        <v>-5.9017229593700538E-2</v>
      </c>
      <c r="T884" s="59">
        <f ca="1">Dashboard!C$8* Dashboard!$F$4+Dashboard!C$10*SQRT(Dashboard!$F$4) * _xlfn.NORM.S.INV(RAND())</f>
        <v>2.8008941893307826E-2</v>
      </c>
      <c r="U884" s="59">
        <f ca="1">Dashboard!D$8* Dashboard!$F$4+Dashboard!D$10*SQRT(Dashboard!$F$4) * _xlfn.NORM.S.INV(RAND())</f>
        <v>-4.2033822073162488E-2</v>
      </c>
    </row>
    <row r="885" spans="18:21" x14ac:dyDescent="0.2">
      <c r="R885" s="49">
        <v>883</v>
      </c>
      <c r="S885" s="59">
        <f ca="1">Dashboard!B$8* Dashboard!$F$4+Dashboard!B$10*SQRT(Dashboard!$F$4) * _xlfn.NORM.S.INV(RAND())</f>
        <v>-6.587237017296463E-3</v>
      </c>
      <c r="T885" s="59">
        <f ca="1">Dashboard!C$8* Dashboard!$F$4+Dashboard!C$10*SQRT(Dashboard!$F$4) * _xlfn.NORM.S.INV(RAND())</f>
        <v>9.4646368113200513E-2</v>
      </c>
      <c r="U885" s="59">
        <f ca="1">Dashboard!D$8* Dashboard!$F$4+Dashboard!D$10*SQRT(Dashboard!$F$4) * _xlfn.NORM.S.INV(RAND())</f>
        <v>-1.7118783698604416E-2</v>
      </c>
    </row>
    <row r="886" spans="18:21" x14ac:dyDescent="0.2">
      <c r="R886" s="49">
        <v>884</v>
      </c>
      <c r="S886" s="59">
        <f ca="1">Dashboard!B$8* Dashboard!$F$4+Dashboard!B$10*SQRT(Dashboard!$F$4) * _xlfn.NORM.S.INV(RAND())</f>
        <v>-2.1919356450028141E-2</v>
      </c>
      <c r="T886" s="59">
        <f ca="1">Dashboard!C$8* Dashboard!$F$4+Dashboard!C$10*SQRT(Dashboard!$F$4) * _xlfn.NORM.S.INV(RAND())</f>
        <v>-6.9950044935307418E-2</v>
      </c>
      <c r="U886" s="59">
        <f ca="1">Dashboard!D$8* Dashboard!$F$4+Dashboard!D$10*SQRT(Dashboard!$F$4) * _xlfn.NORM.S.INV(RAND())</f>
        <v>3.1776068055388795E-2</v>
      </c>
    </row>
    <row r="887" spans="18:21" x14ac:dyDescent="0.2">
      <c r="R887" s="49">
        <v>885</v>
      </c>
      <c r="S887" s="59">
        <f ca="1">Dashboard!B$8* Dashboard!$F$4+Dashboard!B$10*SQRT(Dashboard!$F$4) * _xlfn.NORM.S.INV(RAND())</f>
        <v>-7.5731178153874326E-2</v>
      </c>
      <c r="T887" s="59">
        <f ca="1">Dashboard!C$8* Dashboard!$F$4+Dashboard!C$10*SQRT(Dashboard!$F$4) * _xlfn.NORM.S.INV(RAND())</f>
        <v>-5.6478538088659949E-2</v>
      </c>
      <c r="U887" s="59">
        <f ca="1">Dashboard!D$8* Dashboard!$F$4+Dashboard!D$10*SQRT(Dashboard!$F$4) * _xlfn.NORM.S.INV(RAND())</f>
        <v>-2.8817048622455165E-2</v>
      </c>
    </row>
    <row r="888" spans="18:21" x14ac:dyDescent="0.2">
      <c r="R888" s="49">
        <v>886</v>
      </c>
      <c r="S888" s="59">
        <f ca="1">Dashboard!B$8* Dashboard!$F$4+Dashboard!B$10*SQRT(Dashboard!$F$4) * _xlfn.NORM.S.INV(RAND())</f>
        <v>-4.9967769222052502E-3</v>
      </c>
      <c r="T888" s="59">
        <f ca="1">Dashboard!C$8* Dashboard!$F$4+Dashboard!C$10*SQRT(Dashboard!$F$4) * _xlfn.NORM.S.INV(RAND())</f>
        <v>-1.518199343066785E-2</v>
      </c>
      <c r="U888" s="59">
        <f ca="1">Dashboard!D$8* Dashboard!$F$4+Dashboard!D$10*SQRT(Dashboard!$F$4) * _xlfn.NORM.S.INV(RAND())</f>
        <v>3.1130660353314768E-4</v>
      </c>
    </row>
    <row r="889" spans="18:21" x14ac:dyDescent="0.2">
      <c r="R889" s="49">
        <v>887</v>
      </c>
      <c r="S889" s="59">
        <f ca="1">Dashboard!B$8* Dashboard!$F$4+Dashboard!B$10*SQRT(Dashboard!$F$4) * _xlfn.NORM.S.INV(RAND())</f>
        <v>1.7092088530623301E-2</v>
      </c>
      <c r="T889" s="59">
        <f ca="1">Dashboard!C$8* Dashboard!$F$4+Dashboard!C$10*SQRT(Dashboard!$F$4) * _xlfn.NORM.S.INV(RAND())</f>
        <v>5.0975879215243235E-2</v>
      </c>
      <c r="U889" s="59">
        <f ca="1">Dashboard!D$8* Dashboard!$F$4+Dashboard!D$10*SQRT(Dashboard!$F$4) * _xlfn.NORM.S.INV(RAND())</f>
        <v>-7.0167062051933557E-2</v>
      </c>
    </row>
    <row r="890" spans="18:21" x14ac:dyDescent="0.2">
      <c r="R890" s="49">
        <v>888</v>
      </c>
      <c r="S890" s="59">
        <f ca="1">Dashboard!B$8* Dashboard!$F$4+Dashboard!B$10*SQRT(Dashboard!$F$4) * _xlfn.NORM.S.INV(RAND())</f>
        <v>1.5884603540087259E-3</v>
      </c>
      <c r="T890" s="59">
        <f ca="1">Dashboard!C$8* Dashboard!$F$4+Dashboard!C$10*SQRT(Dashboard!$F$4) * _xlfn.NORM.S.INV(RAND())</f>
        <v>-2.4060003697306105E-2</v>
      </c>
      <c r="U890" s="59">
        <f ca="1">Dashboard!D$8* Dashboard!$F$4+Dashboard!D$10*SQRT(Dashboard!$F$4) * _xlfn.NORM.S.INV(RAND())</f>
        <v>-3.9704053883757778E-2</v>
      </c>
    </row>
    <row r="891" spans="18:21" x14ac:dyDescent="0.2">
      <c r="R891" s="49">
        <v>889</v>
      </c>
      <c r="S891" s="59">
        <f ca="1">Dashboard!B$8* Dashboard!$F$4+Dashboard!B$10*SQRT(Dashboard!$F$4) * _xlfn.NORM.S.INV(RAND())</f>
        <v>-5.7956458237118369E-3</v>
      </c>
      <c r="T891" s="59">
        <f ca="1">Dashboard!C$8* Dashboard!$F$4+Dashboard!C$10*SQRT(Dashboard!$F$4) * _xlfn.NORM.S.INV(RAND())</f>
        <v>1.0519058058906889E-3</v>
      </c>
      <c r="U891" s="59">
        <f ca="1">Dashboard!D$8* Dashboard!$F$4+Dashboard!D$10*SQRT(Dashboard!$F$4) * _xlfn.NORM.S.INV(RAND())</f>
        <v>-1.7544121296774525E-4</v>
      </c>
    </row>
    <row r="892" spans="18:21" x14ac:dyDescent="0.2">
      <c r="R892" s="49">
        <v>890</v>
      </c>
      <c r="S892" s="59">
        <f ca="1">Dashboard!B$8* Dashboard!$F$4+Dashboard!B$10*SQRT(Dashboard!$F$4) * _xlfn.NORM.S.INV(RAND())</f>
        <v>8.0125161514900487E-3</v>
      </c>
      <c r="T892" s="59">
        <f ca="1">Dashboard!C$8* Dashboard!$F$4+Dashboard!C$10*SQRT(Dashboard!$F$4) * _xlfn.NORM.S.INV(RAND())</f>
        <v>3.7499885193521924E-2</v>
      </c>
      <c r="U892" s="59">
        <f ca="1">Dashboard!D$8* Dashboard!$F$4+Dashboard!D$10*SQRT(Dashboard!$F$4) * _xlfn.NORM.S.INV(RAND())</f>
        <v>-9.8035327941909702E-3</v>
      </c>
    </row>
    <row r="893" spans="18:21" x14ac:dyDescent="0.2">
      <c r="R893" s="49">
        <v>891</v>
      </c>
      <c r="S893" s="59">
        <f ca="1">Dashboard!B$8* Dashboard!$F$4+Dashboard!B$10*SQRT(Dashboard!$F$4) * _xlfn.NORM.S.INV(RAND())</f>
        <v>-8.0165418577973171E-2</v>
      </c>
      <c r="T893" s="59">
        <f ca="1">Dashboard!C$8* Dashboard!$F$4+Dashboard!C$10*SQRT(Dashboard!$F$4) * _xlfn.NORM.S.INV(RAND())</f>
        <v>3.8876036803815191E-2</v>
      </c>
      <c r="U893" s="59">
        <f ca="1">Dashboard!D$8* Dashboard!$F$4+Dashboard!D$10*SQRT(Dashboard!$F$4) * _xlfn.NORM.S.INV(RAND())</f>
        <v>5.5797775144391412E-4</v>
      </c>
    </row>
    <row r="894" spans="18:21" x14ac:dyDescent="0.2">
      <c r="R894" s="49">
        <v>892</v>
      </c>
      <c r="S894" s="59">
        <f ca="1">Dashboard!B$8* Dashboard!$F$4+Dashboard!B$10*SQRT(Dashboard!$F$4) * _xlfn.NORM.S.INV(RAND())</f>
        <v>2.8226945990935615E-2</v>
      </c>
      <c r="T894" s="59">
        <f ca="1">Dashboard!C$8* Dashboard!$F$4+Dashboard!C$10*SQRT(Dashboard!$F$4) * _xlfn.NORM.S.INV(RAND())</f>
        <v>3.1437267876963465E-2</v>
      </c>
      <c r="U894" s="59">
        <f ca="1">Dashboard!D$8* Dashboard!$F$4+Dashboard!D$10*SQRT(Dashboard!$F$4) * _xlfn.NORM.S.INV(RAND())</f>
        <v>4.5025051479052884E-2</v>
      </c>
    </row>
    <row r="895" spans="18:21" x14ac:dyDescent="0.2">
      <c r="R895" s="49">
        <v>893</v>
      </c>
      <c r="S895" s="59">
        <f ca="1">Dashboard!B$8* Dashboard!$F$4+Dashboard!B$10*SQRT(Dashboard!$F$4) * _xlfn.NORM.S.INV(RAND())</f>
        <v>-9.5176727569937034E-3</v>
      </c>
      <c r="T895" s="59">
        <f ca="1">Dashboard!C$8* Dashboard!$F$4+Dashboard!C$10*SQRT(Dashboard!$F$4) * _xlfn.NORM.S.INV(RAND())</f>
        <v>5.6735083619209301E-2</v>
      </c>
      <c r="U895" s="59">
        <f ca="1">Dashboard!D$8* Dashboard!$F$4+Dashboard!D$10*SQRT(Dashboard!$F$4) * _xlfn.NORM.S.INV(RAND())</f>
        <v>-2.8023328973711594E-2</v>
      </c>
    </row>
    <row r="896" spans="18:21" x14ac:dyDescent="0.2">
      <c r="R896" s="49">
        <v>894</v>
      </c>
      <c r="S896" s="59">
        <f ca="1">Dashboard!B$8* Dashboard!$F$4+Dashboard!B$10*SQRT(Dashboard!$F$4) * _xlfn.NORM.S.INV(RAND())</f>
        <v>3.6157799631744258E-2</v>
      </c>
      <c r="T896" s="59">
        <f ca="1">Dashboard!C$8* Dashboard!$F$4+Dashboard!C$10*SQRT(Dashboard!$F$4) * _xlfn.NORM.S.INV(RAND())</f>
        <v>6.0628144617565681E-2</v>
      </c>
      <c r="U896" s="59">
        <f ca="1">Dashboard!D$8* Dashboard!$F$4+Dashboard!D$10*SQRT(Dashboard!$F$4) * _xlfn.NORM.S.INV(RAND())</f>
        <v>-3.1264197297094731E-2</v>
      </c>
    </row>
    <row r="897" spans="18:21" x14ac:dyDescent="0.2">
      <c r="R897" s="49">
        <v>895</v>
      </c>
      <c r="S897" s="59">
        <f ca="1">Dashboard!B$8* Dashboard!$F$4+Dashboard!B$10*SQRT(Dashboard!$F$4) * _xlfn.NORM.S.INV(RAND())</f>
        <v>-2.1195921647547709E-2</v>
      </c>
      <c r="T897" s="59">
        <f ca="1">Dashboard!C$8* Dashboard!$F$4+Dashboard!C$10*SQRT(Dashboard!$F$4) * _xlfn.NORM.S.INV(RAND())</f>
        <v>4.6371104702742236E-2</v>
      </c>
      <c r="U897" s="59">
        <f ca="1">Dashboard!D$8* Dashboard!$F$4+Dashboard!D$10*SQRT(Dashboard!$F$4) * _xlfn.NORM.S.INV(RAND())</f>
        <v>-4.2393870317379172E-2</v>
      </c>
    </row>
    <row r="898" spans="18:21" x14ac:dyDescent="0.2">
      <c r="R898" s="49">
        <v>896</v>
      </c>
      <c r="S898" s="59">
        <f ca="1">Dashboard!B$8* Dashboard!$F$4+Dashboard!B$10*SQRT(Dashboard!$F$4) * _xlfn.NORM.S.INV(RAND())</f>
        <v>-2.9301634478481768E-2</v>
      </c>
      <c r="T898" s="59">
        <f ca="1">Dashboard!C$8* Dashboard!$F$4+Dashboard!C$10*SQRT(Dashboard!$F$4) * _xlfn.NORM.S.INV(RAND())</f>
        <v>-9.5230972994573282E-3</v>
      </c>
      <c r="U898" s="59">
        <f ca="1">Dashboard!D$8* Dashboard!$F$4+Dashboard!D$10*SQRT(Dashboard!$F$4) * _xlfn.NORM.S.INV(RAND())</f>
        <v>-6.0233432999707806E-2</v>
      </c>
    </row>
    <row r="899" spans="18:21" x14ac:dyDescent="0.2">
      <c r="R899" s="49">
        <v>897</v>
      </c>
      <c r="S899" s="59">
        <f ca="1">Dashboard!B$8* Dashboard!$F$4+Dashboard!B$10*SQRT(Dashboard!$F$4) * _xlfn.NORM.S.INV(RAND())</f>
        <v>-5.8249990241415077E-2</v>
      </c>
      <c r="T899" s="59">
        <f ca="1">Dashboard!C$8* Dashboard!$F$4+Dashboard!C$10*SQRT(Dashboard!$F$4) * _xlfn.NORM.S.INV(RAND())</f>
        <v>-1.7146594618709654E-2</v>
      </c>
      <c r="U899" s="59">
        <f ca="1">Dashboard!D$8* Dashboard!$F$4+Dashboard!D$10*SQRT(Dashboard!$F$4) * _xlfn.NORM.S.INV(RAND())</f>
        <v>4.4307216025382913E-3</v>
      </c>
    </row>
    <row r="900" spans="18:21" x14ac:dyDescent="0.2">
      <c r="R900" s="49">
        <v>898</v>
      </c>
      <c r="S900" s="59">
        <f ca="1">Dashboard!B$8* Dashboard!$F$4+Dashboard!B$10*SQRT(Dashboard!$F$4) * _xlfn.NORM.S.INV(RAND())</f>
        <v>-2.7149851527097986E-2</v>
      </c>
      <c r="T900" s="59">
        <f ca="1">Dashboard!C$8* Dashboard!$F$4+Dashboard!C$10*SQRT(Dashboard!$F$4) * _xlfn.NORM.S.INV(RAND())</f>
        <v>4.8543446303856805E-2</v>
      </c>
      <c r="U900" s="59">
        <f ca="1">Dashboard!D$8* Dashboard!$F$4+Dashboard!D$10*SQRT(Dashboard!$F$4) * _xlfn.NORM.S.INV(RAND())</f>
        <v>3.8976347198735363E-2</v>
      </c>
    </row>
    <row r="901" spans="18:21" x14ac:dyDescent="0.2">
      <c r="R901" s="49">
        <v>899</v>
      </c>
      <c r="S901" s="59">
        <f ca="1">Dashboard!B$8* Dashboard!$F$4+Dashboard!B$10*SQRT(Dashboard!$F$4) * _xlfn.NORM.S.INV(RAND())</f>
        <v>-2.1951953926909386E-2</v>
      </c>
      <c r="T901" s="59">
        <f ca="1">Dashboard!C$8* Dashboard!$F$4+Dashboard!C$10*SQRT(Dashboard!$F$4) * _xlfn.NORM.S.INV(RAND())</f>
        <v>1.7883693825690187E-3</v>
      </c>
      <c r="U901" s="59">
        <f ca="1">Dashboard!D$8* Dashboard!$F$4+Dashboard!D$10*SQRT(Dashboard!$F$4) * _xlfn.NORM.S.INV(RAND())</f>
        <v>3.4744038838182355E-2</v>
      </c>
    </row>
    <row r="902" spans="18:21" x14ac:dyDescent="0.2">
      <c r="R902" s="49">
        <v>900</v>
      </c>
      <c r="S902" s="59">
        <f ca="1">Dashboard!B$8* Dashboard!$F$4+Dashboard!B$10*SQRT(Dashboard!$F$4) * _xlfn.NORM.S.INV(RAND())</f>
        <v>-2.2581215671910633E-2</v>
      </c>
      <c r="T902" s="59">
        <f ca="1">Dashboard!C$8* Dashboard!$F$4+Dashboard!C$10*SQRT(Dashboard!$F$4) * _xlfn.NORM.S.INV(RAND())</f>
        <v>-1.3460728585128683E-2</v>
      </c>
      <c r="U902" s="59">
        <f ca="1">Dashboard!D$8* Dashboard!$F$4+Dashboard!D$10*SQRT(Dashboard!$F$4) * _xlfn.NORM.S.INV(RAND())</f>
        <v>-4.4115394932344176E-3</v>
      </c>
    </row>
    <row r="903" spans="18:21" x14ac:dyDescent="0.2">
      <c r="R903" s="49">
        <v>901</v>
      </c>
      <c r="S903" s="59">
        <f ca="1">Dashboard!B$8* Dashboard!$F$4+Dashboard!B$10*SQRT(Dashboard!$F$4) * _xlfn.NORM.S.INV(RAND())</f>
        <v>1.0608847968596832E-2</v>
      </c>
      <c r="T903" s="59">
        <f ca="1">Dashboard!C$8* Dashboard!$F$4+Dashboard!C$10*SQRT(Dashboard!$F$4) * _xlfn.NORM.S.INV(RAND())</f>
        <v>7.016161061700694E-3</v>
      </c>
      <c r="U903" s="59">
        <f ca="1">Dashboard!D$8* Dashboard!$F$4+Dashboard!D$10*SQRT(Dashboard!$F$4) * _xlfn.NORM.S.INV(RAND())</f>
        <v>1.9547822973313384E-2</v>
      </c>
    </row>
    <row r="904" spans="18:21" x14ac:dyDescent="0.2">
      <c r="R904" s="49">
        <v>902</v>
      </c>
      <c r="S904" s="59">
        <f ca="1">Dashboard!B$8* Dashboard!$F$4+Dashboard!B$10*SQRT(Dashboard!$F$4) * _xlfn.NORM.S.INV(RAND())</f>
        <v>-3.0508377731834381E-2</v>
      </c>
      <c r="T904" s="59">
        <f ca="1">Dashboard!C$8* Dashboard!$F$4+Dashboard!C$10*SQRT(Dashboard!$F$4) * _xlfn.NORM.S.INV(RAND())</f>
        <v>-1.4261423683678782E-2</v>
      </c>
      <c r="U904" s="59">
        <f ca="1">Dashboard!D$8* Dashboard!$F$4+Dashboard!D$10*SQRT(Dashboard!$F$4) * _xlfn.NORM.S.INV(RAND())</f>
        <v>-1.5237234968964794E-2</v>
      </c>
    </row>
    <row r="905" spans="18:21" x14ac:dyDescent="0.2">
      <c r="R905" s="49">
        <v>903</v>
      </c>
      <c r="S905" s="59">
        <f ca="1">Dashboard!B$8* Dashboard!$F$4+Dashboard!B$10*SQRT(Dashboard!$F$4) * _xlfn.NORM.S.INV(RAND())</f>
        <v>3.2219000325111567E-3</v>
      </c>
      <c r="T905" s="59">
        <f ca="1">Dashboard!C$8* Dashboard!$F$4+Dashboard!C$10*SQRT(Dashboard!$F$4) * _xlfn.NORM.S.INV(RAND())</f>
        <v>5.1806961639456472E-2</v>
      </c>
      <c r="U905" s="59">
        <f ca="1">Dashboard!D$8* Dashboard!$F$4+Dashboard!D$10*SQRT(Dashboard!$F$4) * _xlfn.NORM.S.INV(RAND())</f>
        <v>1.7655449039157264E-2</v>
      </c>
    </row>
    <row r="906" spans="18:21" x14ac:dyDescent="0.2">
      <c r="R906" s="49">
        <v>904</v>
      </c>
      <c r="S906" s="59">
        <f ca="1">Dashboard!B$8* Dashboard!$F$4+Dashboard!B$10*SQRT(Dashboard!$F$4) * _xlfn.NORM.S.INV(RAND())</f>
        <v>-1.2265850624707416E-2</v>
      </c>
      <c r="T906" s="59">
        <f ca="1">Dashboard!C$8* Dashboard!$F$4+Dashboard!C$10*SQRT(Dashboard!$F$4) * _xlfn.NORM.S.INV(RAND())</f>
        <v>3.0371614374208034E-2</v>
      </c>
      <c r="U906" s="59">
        <f ca="1">Dashboard!D$8* Dashboard!$F$4+Dashboard!D$10*SQRT(Dashboard!$F$4) * _xlfn.NORM.S.INV(RAND())</f>
        <v>6.4303409858882587E-3</v>
      </c>
    </row>
    <row r="907" spans="18:21" x14ac:dyDescent="0.2">
      <c r="R907" s="49">
        <v>905</v>
      </c>
      <c r="S907" s="59">
        <f ca="1">Dashboard!B$8* Dashboard!$F$4+Dashboard!B$10*SQRT(Dashboard!$F$4) * _xlfn.NORM.S.INV(RAND())</f>
        <v>-1.7364257945359882E-2</v>
      </c>
      <c r="T907" s="59">
        <f ca="1">Dashboard!C$8* Dashboard!$F$4+Dashboard!C$10*SQRT(Dashboard!$F$4) * _xlfn.NORM.S.INV(RAND())</f>
        <v>-3.2043172314930903E-3</v>
      </c>
      <c r="U907" s="59">
        <f ca="1">Dashboard!D$8* Dashboard!$F$4+Dashboard!D$10*SQRT(Dashboard!$F$4) * _xlfn.NORM.S.INV(RAND())</f>
        <v>-7.574778193671557E-3</v>
      </c>
    </row>
    <row r="908" spans="18:21" x14ac:dyDescent="0.2">
      <c r="R908" s="49">
        <v>906</v>
      </c>
      <c r="S908" s="59">
        <f ca="1">Dashboard!B$8* Dashboard!$F$4+Dashboard!B$10*SQRT(Dashboard!$F$4) * _xlfn.NORM.S.INV(RAND())</f>
        <v>6.5831406520083027E-3</v>
      </c>
      <c r="T908" s="59">
        <f ca="1">Dashboard!C$8* Dashboard!$F$4+Dashboard!C$10*SQRT(Dashboard!$F$4) * _xlfn.NORM.S.INV(RAND())</f>
        <v>3.4693371545433155E-3</v>
      </c>
      <c r="U908" s="59">
        <f ca="1">Dashboard!D$8* Dashboard!$F$4+Dashboard!D$10*SQRT(Dashboard!$F$4) * _xlfn.NORM.S.INV(RAND())</f>
        <v>-4.5290751026540871E-2</v>
      </c>
    </row>
    <row r="909" spans="18:21" x14ac:dyDescent="0.2">
      <c r="R909" s="49">
        <v>907</v>
      </c>
      <c r="S909" s="59">
        <f ca="1">Dashboard!B$8* Dashboard!$F$4+Dashboard!B$10*SQRT(Dashboard!$F$4) * _xlfn.NORM.S.INV(RAND())</f>
        <v>5.5486682405919644E-3</v>
      </c>
      <c r="T909" s="59">
        <f ca="1">Dashboard!C$8* Dashboard!$F$4+Dashboard!C$10*SQRT(Dashboard!$F$4) * _xlfn.NORM.S.INV(RAND())</f>
        <v>-5.1845060519107609E-2</v>
      </c>
      <c r="U909" s="59">
        <f ca="1">Dashboard!D$8* Dashboard!$F$4+Dashboard!D$10*SQRT(Dashboard!$F$4) * _xlfn.NORM.S.INV(RAND())</f>
        <v>-2.7648319338203543E-2</v>
      </c>
    </row>
    <row r="910" spans="18:21" x14ac:dyDescent="0.2">
      <c r="R910" s="49">
        <v>908</v>
      </c>
      <c r="S910" s="59">
        <f ca="1">Dashboard!B$8* Dashboard!$F$4+Dashboard!B$10*SQRT(Dashboard!$F$4) * _xlfn.NORM.S.INV(RAND())</f>
        <v>-3.4530508843095987E-3</v>
      </c>
      <c r="T910" s="59">
        <f ca="1">Dashboard!C$8* Dashboard!$F$4+Dashboard!C$10*SQRT(Dashboard!$F$4) * _xlfn.NORM.S.INV(RAND())</f>
        <v>-3.7766048495514341E-2</v>
      </c>
      <c r="U910" s="59">
        <f ca="1">Dashboard!D$8* Dashboard!$F$4+Dashboard!D$10*SQRT(Dashboard!$F$4) * _xlfn.NORM.S.INV(RAND())</f>
        <v>1.6438997724611156E-2</v>
      </c>
    </row>
    <row r="911" spans="18:21" x14ac:dyDescent="0.2">
      <c r="R911" s="49">
        <v>909</v>
      </c>
      <c r="S911" s="59">
        <f ca="1">Dashboard!B$8* Dashboard!$F$4+Dashboard!B$10*SQRT(Dashboard!$F$4) * _xlfn.NORM.S.INV(RAND())</f>
        <v>-5.3116515602167604E-2</v>
      </c>
      <c r="T911" s="59">
        <f ca="1">Dashboard!C$8* Dashboard!$F$4+Dashboard!C$10*SQRT(Dashboard!$F$4) * _xlfn.NORM.S.INV(RAND())</f>
        <v>-8.7317300530202653E-3</v>
      </c>
      <c r="U911" s="59">
        <f ca="1">Dashboard!D$8* Dashboard!$F$4+Dashboard!D$10*SQRT(Dashboard!$F$4) * _xlfn.NORM.S.INV(RAND())</f>
        <v>2.0045197557704654E-2</v>
      </c>
    </row>
    <row r="912" spans="18:21" x14ac:dyDescent="0.2">
      <c r="R912" s="49">
        <v>910</v>
      </c>
      <c r="S912" s="59">
        <f ca="1">Dashboard!B$8* Dashboard!$F$4+Dashboard!B$10*SQRT(Dashboard!$F$4) * _xlfn.NORM.S.INV(RAND())</f>
        <v>-2.1712755785313008E-3</v>
      </c>
      <c r="T912" s="59">
        <f ca="1">Dashboard!C$8* Dashboard!$F$4+Dashboard!C$10*SQRT(Dashboard!$F$4) * _xlfn.NORM.S.INV(RAND())</f>
        <v>-4.4034248823443353E-2</v>
      </c>
      <c r="U912" s="59">
        <f ca="1">Dashboard!D$8* Dashboard!$F$4+Dashboard!D$10*SQRT(Dashboard!$F$4) * _xlfn.NORM.S.INV(RAND())</f>
        <v>5.2402243204739782E-4</v>
      </c>
    </row>
    <row r="913" spans="18:21" x14ac:dyDescent="0.2">
      <c r="R913" s="49">
        <v>911</v>
      </c>
      <c r="S913" s="59">
        <f ca="1">Dashboard!B$8* Dashboard!$F$4+Dashboard!B$10*SQRT(Dashboard!$F$4) * _xlfn.NORM.S.INV(RAND())</f>
        <v>-3.2837856292406127E-3</v>
      </c>
      <c r="T913" s="59">
        <f ca="1">Dashboard!C$8* Dashboard!$F$4+Dashboard!C$10*SQRT(Dashboard!$F$4) * _xlfn.NORM.S.INV(RAND())</f>
        <v>-2.6287268975742899E-2</v>
      </c>
      <c r="U913" s="59">
        <f ca="1">Dashboard!D$8* Dashboard!$F$4+Dashboard!D$10*SQRT(Dashboard!$F$4) * _xlfn.NORM.S.INV(RAND())</f>
        <v>6.4671768495938017E-2</v>
      </c>
    </row>
    <row r="914" spans="18:21" x14ac:dyDescent="0.2">
      <c r="R914" s="49">
        <v>912</v>
      </c>
      <c r="S914" s="59">
        <f ca="1">Dashboard!B$8* Dashboard!$F$4+Dashboard!B$10*SQRT(Dashboard!$F$4) * _xlfn.NORM.S.INV(RAND())</f>
        <v>-2.2770493916359297E-2</v>
      </c>
      <c r="T914" s="59">
        <f ca="1">Dashboard!C$8* Dashboard!$F$4+Dashboard!C$10*SQRT(Dashboard!$F$4) * _xlfn.NORM.S.INV(RAND())</f>
        <v>4.189725165499171E-2</v>
      </c>
      <c r="U914" s="59">
        <f ca="1">Dashboard!D$8* Dashboard!$F$4+Dashboard!D$10*SQRT(Dashboard!$F$4) * _xlfn.NORM.S.INV(RAND())</f>
        <v>2.3428486695433841E-2</v>
      </c>
    </row>
    <row r="915" spans="18:21" x14ac:dyDescent="0.2">
      <c r="R915" s="49">
        <v>913</v>
      </c>
      <c r="S915" s="59">
        <f ca="1">Dashboard!B$8* Dashboard!$F$4+Dashboard!B$10*SQRT(Dashboard!$F$4) * _xlfn.NORM.S.INV(RAND())</f>
        <v>2.3116891827442428E-2</v>
      </c>
      <c r="T915" s="59">
        <f ca="1">Dashboard!C$8* Dashboard!$F$4+Dashboard!C$10*SQRT(Dashboard!$F$4) * _xlfn.NORM.S.INV(RAND())</f>
        <v>3.9952384076014494E-2</v>
      </c>
      <c r="U915" s="59">
        <f ca="1">Dashboard!D$8* Dashboard!$F$4+Dashboard!D$10*SQRT(Dashboard!$F$4) * _xlfn.NORM.S.INV(RAND())</f>
        <v>-3.8987167827906587E-2</v>
      </c>
    </row>
    <row r="916" spans="18:21" x14ac:dyDescent="0.2">
      <c r="R916" s="49">
        <v>914</v>
      </c>
      <c r="S916" s="59">
        <f ca="1">Dashboard!B$8* Dashboard!$F$4+Dashboard!B$10*SQRT(Dashboard!$F$4) * _xlfn.NORM.S.INV(RAND())</f>
        <v>-1.1932169259347838E-2</v>
      </c>
      <c r="T916" s="59">
        <f ca="1">Dashboard!C$8* Dashboard!$F$4+Dashboard!C$10*SQRT(Dashboard!$F$4) * _xlfn.NORM.S.INV(RAND())</f>
        <v>1.6709662210324848E-2</v>
      </c>
      <c r="U916" s="59">
        <f ca="1">Dashboard!D$8* Dashboard!$F$4+Dashboard!D$10*SQRT(Dashboard!$F$4) * _xlfn.NORM.S.INV(RAND())</f>
        <v>-1.603966354961598E-2</v>
      </c>
    </row>
    <row r="917" spans="18:21" x14ac:dyDescent="0.2">
      <c r="R917" s="49">
        <v>915</v>
      </c>
      <c r="S917" s="59">
        <f ca="1">Dashboard!B$8* Dashboard!$F$4+Dashboard!B$10*SQRT(Dashboard!$F$4) * _xlfn.NORM.S.INV(RAND())</f>
        <v>-3.4548075200579731E-2</v>
      </c>
      <c r="T917" s="59">
        <f ca="1">Dashboard!C$8* Dashboard!$F$4+Dashboard!C$10*SQRT(Dashboard!$F$4) * _xlfn.NORM.S.INV(RAND())</f>
        <v>4.946270725159236E-2</v>
      </c>
      <c r="U917" s="59">
        <f ca="1">Dashboard!D$8* Dashboard!$F$4+Dashboard!D$10*SQRT(Dashboard!$F$4) * _xlfn.NORM.S.INV(RAND())</f>
        <v>-1.2617193004344352E-2</v>
      </c>
    </row>
    <row r="918" spans="18:21" x14ac:dyDescent="0.2">
      <c r="R918" s="49">
        <v>916</v>
      </c>
      <c r="S918" s="59">
        <f ca="1">Dashboard!B$8* Dashboard!$F$4+Dashboard!B$10*SQRT(Dashboard!$F$4) * _xlfn.NORM.S.INV(RAND())</f>
        <v>-2.3682191224625365E-2</v>
      </c>
      <c r="T918" s="59">
        <f ca="1">Dashboard!C$8* Dashboard!$F$4+Dashboard!C$10*SQRT(Dashboard!$F$4) * _xlfn.NORM.S.INV(RAND())</f>
        <v>-2.7974014172721818E-2</v>
      </c>
      <c r="U918" s="59">
        <f ca="1">Dashboard!D$8* Dashboard!$F$4+Dashboard!D$10*SQRT(Dashboard!$F$4) * _xlfn.NORM.S.INV(RAND())</f>
        <v>1.4615487749084301E-2</v>
      </c>
    </row>
    <row r="919" spans="18:21" x14ac:dyDescent="0.2">
      <c r="R919" s="49">
        <v>917</v>
      </c>
      <c r="S919" s="59">
        <f ca="1">Dashboard!B$8* Dashboard!$F$4+Dashboard!B$10*SQRT(Dashboard!$F$4) * _xlfn.NORM.S.INV(RAND())</f>
        <v>-6.2681940073049877E-2</v>
      </c>
      <c r="T919" s="59">
        <f ca="1">Dashboard!C$8* Dashboard!$F$4+Dashboard!C$10*SQRT(Dashboard!$F$4) * _xlfn.NORM.S.INV(RAND())</f>
        <v>7.1925080452022901E-3</v>
      </c>
      <c r="U919" s="59">
        <f ca="1">Dashboard!D$8* Dashboard!$F$4+Dashboard!D$10*SQRT(Dashboard!$F$4) * _xlfn.NORM.S.INV(RAND())</f>
        <v>-6.1476938126269656E-2</v>
      </c>
    </row>
    <row r="920" spans="18:21" x14ac:dyDescent="0.2">
      <c r="R920" s="49">
        <v>918</v>
      </c>
      <c r="S920" s="59">
        <f ca="1">Dashboard!B$8* Dashboard!$F$4+Dashboard!B$10*SQRT(Dashboard!$F$4) * _xlfn.NORM.S.INV(RAND())</f>
        <v>-2.9753931278031519E-2</v>
      </c>
      <c r="T920" s="59">
        <f ca="1">Dashboard!C$8* Dashboard!$F$4+Dashboard!C$10*SQRT(Dashboard!$F$4) * _xlfn.NORM.S.INV(RAND())</f>
        <v>-1.030142551398135E-2</v>
      </c>
      <c r="U920" s="59">
        <f ca="1">Dashboard!D$8* Dashboard!$F$4+Dashboard!D$10*SQRT(Dashboard!$F$4) * _xlfn.NORM.S.INV(RAND())</f>
        <v>-1.9161259776789678E-2</v>
      </c>
    </row>
    <row r="921" spans="18:21" x14ac:dyDescent="0.2">
      <c r="R921" s="49">
        <v>919</v>
      </c>
      <c r="S921" s="59">
        <f ca="1">Dashboard!B$8* Dashboard!$F$4+Dashboard!B$10*SQRT(Dashboard!$F$4) * _xlfn.NORM.S.INV(RAND())</f>
        <v>3.124491922542906E-2</v>
      </c>
      <c r="T921" s="59">
        <f ca="1">Dashboard!C$8* Dashboard!$F$4+Dashboard!C$10*SQRT(Dashboard!$F$4) * _xlfn.NORM.S.INV(RAND())</f>
        <v>-4.4560295471108305E-2</v>
      </c>
      <c r="U921" s="59">
        <f ca="1">Dashboard!D$8* Dashboard!$F$4+Dashboard!D$10*SQRT(Dashboard!$F$4) * _xlfn.NORM.S.INV(RAND())</f>
        <v>6.0175158959664937E-2</v>
      </c>
    </row>
    <row r="922" spans="18:21" x14ac:dyDescent="0.2">
      <c r="R922" s="49">
        <v>920</v>
      </c>
      <c r="S922" s="59">
        <f ca="1">Dashboard!B$8* Dashboard!$F$4+Dashboard!B$10*SQRT(Dashboard!$F$4) * _xlfn.NORM.S.INV(RAND())</f>
        <v>6.3814282057789856E-4</v>
      </c>
      <c r="T922" s="59">
        <f ca="1">Dashboard!C$8* Dashboard!$F$4+Dashboard!C$10*SQRT(Dashboard!$F$4) * _xlfn.NORM.S.INV(RAND())</f>
        <v>2.3923268367050759E-2</v>
      </c>
      <c r="U922" s="59">
        <f ca="1">Dashboard!D$8* Dashboard!$F$4+Dashboard!D$10*SQRT(Dashboard!$F$4) * _xlfn.NORM.S.INV(RAND())</f>
        <v>-2.4036902552160146E-2</v>
      </c>
    </row>
    <row r="923" spans="18:21" x14ac:dyDescent="0.2">
      <c r="R923" s="49">
        <v>921</v>
      </c>
      <c r="S923" s="59">
        <f ca="1">Dashboard!B$8* Dashboard!$F$4+Dashboard!B$10*SQRT(Dashboard!$F$4) * _xlfn.NORM.S.INV(RAND())</f>
        <v>5.4748813780922147E-3</v>
      </c>
      <c r="T923" s="59">
        <f ca="1">Dashboard!C$8* Dashboard!$F$4+Dashboard!C$10*SQRT(Dashboard!$F$4) * _xlfn.NORM.S.INV(RAND())</f>
        <v>-1.5395782569338566E-2</v>
      </c>
      <c r="U923" s="59">
        <f ca="1">Dashboard!D$8* Dashboard!$F$4+Dashboard!D$10*SQRT(Dashboard!$F$4) * _xlfn.NORM.S.INV(RAND())</f>
        <v>2.329299394063198E-2</v>
      </c>
    </row>
    <row r="924" spans="18:21" x14ac:dyDescent="0.2">
      <c r="R924" s="49">
        <v>922</v>
      </c>
      <c r="S924" s="59">
        <f ca="1">Dashboard!B$8* Dashboard!$F$4+Dashboard!B$10*SQRT(Dashboard!$F$4) * _xlfn.NORM.S.INV(RAND())</f>
        <v>-3.5917622901941289E-2</v>
      </c>
      <c r="T924" s="59">
        <f ca="1">Dashboard!C$8* Dashboard!$F$4+Dashboard!C$10*SQRT(Dashboard!$F$4) * _xlfn.NORM.S.INV(RAND())</f>
        <v>7.2863371289884335E-2</v>
      </c>
      <c r="U924" s="59">
        <f ca="1">Dashboard!D$8* Dashboard!$F$4+Dashboard!D$10*SQRT(Dashboard!$F$4) * _xlfn.NORM.S.INV(RAND())</f>
        <v>-2.1458858333519973E-2</v>
      </c>
    </row>
    <row r="925" spans="18:21" x14ac:dyDescent="0.2">
      <c r="R925" s="49">
        <v>923</v>
      </c>
      <c r="S925" s="59">
        <f ca="1">Dashboard!B$8* Dashboard!$F$4+Dashboard!B$10*SQRT(Dashboard!$F$4) * _xlfn.NORM.S.INV(RAND())</f>
        <v>-5.177803786823848E-2</v>
      </c>
      <c r="T925" s="59">
        <f ca="1">Dashboard!C$8* Dashboard!$F$4+Dashboard!C$10*SQRT(Dashboard!$F$4) * _xlfn.NORM.S.INV(RAND())</f>
        <v>6.6116551719560282E-2</v>
      </c>
      <c r="U925" s="59">
        <f ca="1">Dashboard!D$8* Dashboard!$F$4+Dashboard!D$10*SQRT(Dashboard!$F$4) * _xlfn.NORM.S.INV(RAND())</f>
        <v>9.7751911036211125E-3</v>
      </c>
    </row>
    <row r="926" spans="18:21" x14ac:dyDescent="0.2">
      <c r="R926" s="49">
        <v>924</v>
      </c>
      <c r="S926" s="59">
        <f ca="1">Dashboard!B$8* Dashboard!$F$4+Dashboard!B$10*SQRT(Dashboard!$F$4) * _xlfn.NORM.S.INV(RAND())</f>
        <v>-9.9375683413054292E-3</v>
      </c>
      <c r="T926" s="59">
        <f ca="1">Dashboard!C$8* Dashboard!$F$4+Dashboard!C$10*SQRT(Dashboard!$F$4) * _xlfn.NORM.S.INV(RAND())</f>
        <v>2.2264724004681824E-2</v>
      </c>
      <c r="U926" s="59">
        <f ca="1">Dashboard!D$8* Dashboard!$F$4+Dashboard!D$10*SQRT(Dashboard!$F$4) * _xlfn.NORM.S.INV(RAND())</f>
        <v>1.4203343879837613E-3</v>
      </c>
    </row>
    <row r="927" spans="18:21" x14ac:dyDescent="0.2">
      <c r="R927" s="49">
        <v>925</v>
      </c>
      <c r="S927" s="59">
        <f ca="1">Dashboard!B$8* Dashboard!$F$4+Dashboard!B$10*SQRT(Dashboard!$F$4) * _xlfn.NORM.S.INV(RAND())</f>
        <v>-3.367170336859783E-2</v>
      </c>
      <c r="T927" s="59">
        <f ca="1">Dashboard!C$8* Dashboard!$F$4+Dashboard!C$10*SQRT(Dashboard!$F$4) * _xlfn.NORM.S.INV(RAND())</f>
        <v>3.5397452113400313E-2</v>
      </c>
      <c r="U927" s="59">
        <f ca="1">Dashboard!D$8* Dashboard!$F$4+Dashboard!D$10*SQRT(Dashboard!$F$4) * _xlfn.NORM.S.INV(RAND())</f>
        <v>-1.2187354284565724E-2</v>
      </c>
    </row>
    <row r="928" spans="18:21" x14ac:dyDescent="0.2">
      <c r="R928" s="49">
        <v>926</v>
      </c>
      <c r="S928" s="59">
        <f ca="1">Dashboard!B$8* Dashboard!$F$4+Dashboard!B$10*SQRT(Dashboard!$F$4) * _xlfn.NORM.S.INV(RAND())</f>
        <v>5.7264031739155553E-3</v>
      </c>
      <c r="T928" s="59">
        <f ca="1">Dashboard!C$8* Dashboard!$F$4+Dashboard!C$10*SQRT(Dashboard!$F$4) * _xlfn.NORM.S.INV(RAND())</f>
        <v>3.649977752726466E-2</v>
      </c>
      <c r="U928" s="59">
        <f ca="1">Dashboard!D$8* Dashboard!$F$4+Dashboard!D$10*SQRT(Dashboard!$F$4) * _xlfn.NORM.S.INV(RAND())</f>
        <v>-2.5289180830927589E-2</v>
      </c>
    </row>
    <row r="929" spans="18:21" x14ac:dyDescent="0.2">
      <c r="R929" s="49">
        <v>927</v>
      </c>
      <c r="S929" s="59">
        <f ca="1">Dashboard!B$8* Dashboard!$F$4+Dashboard!B$10*SQRT(Dashboard!$F$4) * _xlfn.NORM.S.INV(RAND())</f>
        <v>5.7417416024379421E-2</v>
      </c>
      <c r="T929" s="59">
        <f ca="1">Dashboard!C$8* Dashboard!$F$4+Dashboard!C$10*SQRT(Dashboard!$F$4) * _xlfn.NORM.S.INV(RAND())</f>
        <v>3.1263360785964985E-2</v>
      </c>
      <c r="U929" s="59">
        <f ca="1">Dashboard!D$8* Dashboard!$F$4+Dashboard!D$10*SQRT(Dashboard!$F$4) * _xlfn.NORM.S.INV(RAND())</f>
        <v>5.0423923338976745E-2</v>
      </c>
    </row>
    <row r="930" spans="18:21" x14ac:dyDescent="0.2">
      <c r="R930" s="49">
        <v>928</v>
      </c>
      <c r="S930" s="59">
        <f ca="1">Dashboard!B$8* Dashboard!$F$4+Dashboard!B$10*SQRT(Dashboard!$F$4) * _xlfn.NORM.S.INV(RAND())</f>
        <v>3.4249744712493826E-2</v>
      </c>
      <c r="T930" s="59">
        <f ca="1">Dashboard!C$8* Dashboard!$F$4+Dashboard!C$10*SQRT(Dashboard!$F$4) * _xlfn.NORM.S.INV(RAND())</f>
        <v>-7.0757461146558842E-2</v>
      </c>
      <c r="U930" s="59">
        <f ca="1">Dashboard!D$8* Dashboard!$F$4+Dashboard!D$10*SQRT(Dashboard!$F$4) * _xlfn.NORM.S.INV(RAND())</f>
        <v>1.699489917877689E-2</v>
      </c>
    </row>
    <row r="931" spans="18:21" x14ac:dyDescent="0.2">
      <c r="R931" s="49">
        <v>929</v>
      </c>
      <c r="S931" s="59">
        <f ca="1">Dashboard!B$8* Dashboard!$F$4+Dashboard!B$10*SQRT(Dashboard!$F$4) * _xlfn.NORM.S.INV(RAND())</f>
        <v>2.2231210724840036E-2</v>
      </c>
      <c r="T931" s="59">
        <f ca="1">Dashboard!C$8* Dashboard!$F$4+Dashboard!C$10*SQRT(Dashboard!$F$4) * _xlfn.NORM.S.INV(RAND())</f>
        <v>3.8827718972573332E-2</v>
      </c>
      <c r="U931" s="59">
        <f ca="1">Dashboard!D$8* Dashboard!$F$4+Dashboard!D$10*SQRT(Dashboard!$F$4) * _xlfn.NORM.S.INV(RAND())</f>
        <v>-8.0452615062567446E-3</v>
      </c>
    </row>
    <row r="932" spans="18:21" x14ac:dyDescent="0.2">
      <c r="R932" s="49">
        <v>930</v>
      </c>
      <c r="S932" s="59">
        <f ca="1">Dashboard!B$8* Dashboard!$F$4+Dashboard!B$10*SQRT(Dashboard!$F$4) * _xlfn.NORM.S.INV(RAND())</f>
        <v>1.0783904837140259E-2</v>
      </c>
      <c r="T932" s="59">
        <f ca="1">Dashboard!C$8* Dashboard!$F$4+Dashboard!C$10*SQRT(Dashboard!$F$4) * _xlfn.NORM.S.INV(RAND())</f>
        <v>5.3322417460819588E-2</v>
      </c>
      <c r="U932" s="59">
        <f ca="1">Dashboard!D$8* Dashboard!$F$4+Dashboard!D$10*SQRT(Dashboard!$F$4) * _xlfn.NORM.S.INV(RAND())</f>
        <v>-2.0510097576398042E-2</v>
      </c>
    </row>
    <row r="933" spans="18:21" x14ac:dyDescent="0.2">
      <c r="R933" s="49">
        <v>931</v>
      </c>
      <c r="S933" s="59">
        <f ca="1">Dashboard!B$8* Dashboard!$F$4+Dashboard!B$10*SQRT(Dashboard!$F$4) * _xlfn.NORM.S.INV(RAND())</f>
        <v>-7.033427101443579E-2</v>
      </c>
      <c r="T933" s="59">
        <f ca="1">Dashboard!C$8* Dashboard!$F$4+Dashboard!C$10*SQRT(Dashboard!$F$4) * _xlfn.NORM.S.INV(RAND())</f>
        <v>2.6295146696526342E-2</v>
      </c>
      <c r="U933" s="59">
        <f ca="1">Dashboard!D$8* Dashboard!$F$4+Dashboard!D$10*SQRT(Dashboard!$F$4) * _xlfn.NORM.S.INV(RAND())</f>
        <v>-1.8815713812425156E-2</v>
      </c>
    </row>
    <row r="934" spans="18:21" x14ac:dyDescent="0.2">
      <c r="R934" s="49">
        <v>932</v>
      </c>
      <c r="S934" s="59">
        <f ca="1">Dashboard!B$8* Dashboard!$F$4+Dashboard!B$10*SQRT(Dashboard!$F$4) * _xlfn.NORM.S.INV(RAND())</f>
        <v>-1.5665555903105019E-2</v>
      </c>
      <c r="T934" s="59">
        <f ca="1">Dashboard!C$8* Dashboard!$F$4+Dashboard!C$10*SQRT(Dashboard!$F$4) * _xlfn.NORM.S.INV(RAND())</f>
        <v>2.8718603192740774E-2</v>
      </c>
      <c r="U934" s="59">
        <f ca="1">Dashboard!D$8* Dashboard!$F$4+Dashboard!D$10*SQRT(Dashboard!$F$4) * _xlfn.NORM.S.INV(RAND())</f>
        <v>-1.0002154223003592E-2</v>
      </c>
    </row>
    <row r="935" spans="18:21" x14ac:dyDescent="0.2">
      <c r="R935" s="49">
        <v>933</v>
      </c>
      <c r="S935" s="59">
        <f ca="1">Dashboard!B$8* Dashboard!$F$4+Dashboard!B$10*SQRT(Dashboard!$F$4) * _xlfn.NORM.S.INV(RAND())</f>
        <v>2.8207527450831001E-2</v>
      </c>
      <c r="T935" s="59">
        <f ca="1">Dashboard!C$8* Dashboard!$F$4+Dashboard!C$10*SQRT(Dashboard!$F$4) * _xlfn.NORM.S.INV(RAND())</f>
        <v>1.8021728679682478E-2</v>
      </c>
      <c r="U935" s="59">
        <f ca="1">Dashboard!D$8* Dashboard!$F$4+Dashboard!D$10*SQRT(Dashboard!$F$4) * _xlfn.NORM.S.INV(RAND())</f>
        <v>-5.1698587533210872E-3</v>
      </c>
    </row>
    <row r="936" spans="18:21" x14ac:dyDescent="0.2">
      <c r="R936" s="49">
        <v>934</v>
      </c>
      <c r="S936" s="59">
        <f ca="1">Dashboard!B$8* Dashboard!$F$4+Dashboard!B$10*SQRT(Dashboard!$F$4) * _xlfn.NORM.S.INV(RAND())</f>
        <v>-4.5909398102526332E-2</v>
      </c>
      <c r="T936" s="59">
        <f ca="1">Dashboard!C$8* Dashboard!$F$4+Dashboard!C$10*SQRT(Dashboard!$F$4) * _xlfn.NORM.S.INV(RAND())</f>
        <v>3.9124142001259306E-2</v>
      </c>
      <c r="U936" s="59">
        <f ca="1">Dashboard!D$8* Dashboard!$F$4+Dashboard!D$10*SQRT(Dashboard!$F$4) * _xlfn.NORM.S.INV(RAND())</f>
        <v>-6.3239009646567802E-3</v>
      </c>
    </row>
    <row r="937" spans="18:21" x14ac:dyDescent="0.2">
      <c r="R937" s="49">
        <v>935</v>
      </c>
      <c r="S937" s="59">
        <f ca="1">Dashboard!B$8* Dashboard!$F$4+Dashboard!B$10*SQRT(Dashboard!$F$4) * _xlfn.NORM.S.INV(RAND())</f>
        <v>1.0888192855417755E-2</v>
      </c>
      <c r="T937" s="59">
        <f ca="1">Dashboard!C$8* Dashboard!$F$4+Dashboard!C$10*SQRT(Dashboard!$F$4) * _xlfn.NORM.S.INV(RAND())</f>
        <v>-8.2337292395020349E-3</v>
      </c>
      <c r="U937" s="59">
        <f ca="1">Dashboard!D$8* Dashboard!$F$4+Dashboard!D$10*SQRT(Dashboard!$F$4) * _xlfn.NORM.S.INV(RAND())</f>
        <v>9.9021807216898086E-2</v>
      </c>
    </row>
    <row r="938" spans="18:21" x14ac:dyDescent="0.2">
      <c r="R938" s="49">
        <v>936</v>
      </c>
      <c r="S938" s="59">
        <f ca="1">Dashboard!B$8* Dashboard!$F$4+Dashboard!B$10*SQRT(Dashboard!$F$4) * _xlfn.NORM.S.INV(RAND())</f>
        <v>3.9530392923697928E-2</v>
      </c>
      <c r="T938" s="59">
        <f ca="1">Dashboard!C$8* Dashboard!$F$4+Dashboard!C$10*SQRT(Dashboard!$F$4) * _xlfn.NORM.S.INV(RAND())</f>
        <v>1.3034477468777499E-4</v>
      </c>
      <c r="U938" s="59">
        <f ca="1">Dashboard!D$8* Dashboard!$F$4+Dashboard!D$10*SQRT(Dashboard!$F$4) * _xlfn.NORM.S.INV(RAND())</f>
        <v>2.0212683387984251E-2</v>
      </c>
    </row>
    <row r="939" spans="18:21" x14ac:dyDescent="0.2">
      <c r="R939" s="49">
        <v>937</v>
      </c>
      <c r="S939" s="59">
        <f ca="1">Dashboard!B$8* Dashboard!$F$4+Dashboard!B$10*SQRT(Dashboard!$F$4) * _xlfn.NORM.S.INV(RAND())</f>
        <v>3.084740928017974E-2</v>
      </c>
      <c r="T939" s="59">
        <f ca="1">Dashboard!C$8* Dashboard!$F$4+Dashboard!C$10*SQRT(Dashboard!$F$4) * _xlfn.NORM.S.INV(RAND())</f>
        <v>1.2321897895958448E-2</v>
      </c>
      <c r="U939" s="59">
        <f ca="1">Dashboard!D$8* Dashboard!$F$4+Dashboard!D$10*SQRT(Dashboard!$F$4) * _xlfn.NORM.S.INV(RAND())</f>
        <v>1.1034945935408835E-2</v>
      </c>
    </row>
    <row r="940" spans="18:21" x14ac:dyDescent="0.2">
      <c r="R940" s="49">
        <v>938</v>
      </c>
      <c r="S940" s="59">
        <f ca="1">Dashboard!B$8* Dashboard!$F$4+Dashboard!B$10*SQRT(Dashboard!$F$4) * _xlfn.NORM.S.INV(RAND())</f>
        <v>1.8162270565367858E-2</v>
      </c>
      <c r="T940" s="59">
        <f ca="1">Dashboard!C$8* Dashboard!$F$4+Dashboard!C$10*SQRT(Dashboard!$F$4) * _xlfn.NORM.S.INV(RAND())</f>
        <v>3.6701895731309907E-2</v>
      </c>
      <c r="U940" s="59">
        <f ca="1">Dashboard!D$8* Dashboard!$F$4+Dashboard!D$10*SQRT(Dashboard!$F$4) * _xlfn.NORM.S.INV(RAND())</f>
        <v>8.654537340757252E-4</v>
      </c>
    </row>
    <row r="941" spans="18:21" x14ac:dyDescent="0.2">
      <c r="R941" s="49">
        <v>939</v>
      </c>
      <c r="S941" s="59">
        <f ca="1">Dashboard!B$8* Dashboard!$F$4+Dashboard!B$10*SQRT(Dashboard!$F$4) * _xlfn.NORM.S.INV(RAND())</f>
        <v>5.5676967138433772E-3</v>
      </c>
      <c r="T941" s="59">
        <f ca="1">Dashboard!C$8* Dashboard!$F$4+Dashboard!C$10*SQRT(Dashboard!$F$4) * _xlfn.NORM.S.INV(RAND())</f>
        <v>4.1713069993962598E-2</v>
      </c>
      <c r="U941" s="59">
        <f ca="1">Dashboard!D$8* Dashboard!$F$4+Dashboard!D$10*SQRT(Dashboard!$F$4) * _xlfn.NORM.S.INV(RAND())</f>
        <v>4.060310333788722E-2</v>
      </c>
    </row>
    <row r="942" spans="18:21" x14ac:dyDescent="0.2">
      <c r="R942" s="49">
        <v>940</v>
      </c>
      <c r="S942" s="59">
        <f ca="1">Dashboard!B$8* Dashboard!$F$4+Dashboard!B$10*SQRT(Dashboard!$F$4) * _xlfn.NORM.S.INV(RAND())</f>
        <v>-7.1612048531640923E-5</v>
      </c>
      <c r="T942" s="59">
        <f ca="1">Dashboard!C$8* Dashboard!$F$4+Dashboard!C$10*SQRT(Dashboard!$F$4) * _xlfn.NORM.S.INV(RAND())</f>
        <v>2.2682424285844095E-2</v>
      </c>
      <c r="U942" s="59">
        <f ca="1">Dashboard!D$8* Dashboard!$F$4+Dashboard!D$10*SQRT(Dashboard!$F$4) * _xlfn.NORM.S.INV(RAND())</f>
        <v>-3.1325664706448264E-2</v>
      </c>
    </row>
    <row r="943" spans="18:21" x14ac:dyDescent="0.2">
      <c r="R943" s="49">
        <v>941</v>
      </c>
      <c r="S943" s="59">
        <f ca="1">Dashboard!B$8* Dashboard!$F$4+Dashboard!B$10*SQRT(Dashboard!$F$4) * _xlfn.NORM.S.INV(RAND())</f>
        <v>-4.884856324872535E-3</v>
      </c>
      <c r="T943" s="59">
        <f ca="1">Dashboard!C$8* Dashboard!$F$4+Dashboard!C$10*SQRT(Dashboard!$F$4) * _xlfn.NORM.S.INV(RAND())</f>
        <v>3.801161105272538E-2</v>
      </c>
      <c r="U943" s="59">
        <f ca="1">Dashboard!D$8* Dashboard!$F$4+Dashboard!D$10*SQRT(Dashboard!$F$4) * _xlfn.NORM.S.INV(RAND())</f>
        <v>-6.3166487128842222E-2</v>
      </c>
    </row>
    <row r="944" spans="18:21" x14ac:dyDescent="0.2">
      <c r="R944" s="49">
        <v>942</v>
      </c>
      <c r="S944" s="59">
        <f ca="1">Dashboard!B$8* Dashboard!$F$4+Dashboard!B$10*SQRT(Dashboard!$F$4) * _xlfn.NORM.S.INV(RAND())</f>
        <v>-1.0678551323879543E-2</v>
      </c>
      <c r="T944" s="59">
        <f ca="1">Dashboard!C$8* Dashboard!$F$4+Dashboard!C$10*SQRT(Dashboard!$F$4) * _xlfn.NORM.S.INV(RAND())</f>
        <v>-2.825536554598675E-2</v>
      </c>
      <c r="U944" s="59">
        <f ca="1">Dashboard!D$8* Dashboard!$F$4+Dashboard!D$10*SQRT(Dashboard!$F$4) * _xlfn.NORM.S.INV(RAND())</f>
        <v>7.4423546055836898E-2</v>
      </c>
    </row>
    <row r="945" spans="18:21" x14ac:dyDescent="0.2">
      <c r="R945" s="49">
        <v>943</v>
      </c>
      <c r="S945" s="59">
        <f ca="1">Dashboard!B$8* Dashboard!$F$4+Dashboard!B$10*SQRT(Dashboard!$F$4) * _xlfn.NORM.S.INV(RAND())</f>
        <v>-7.04849771298523E-2</v>
      </c>
      <c r="T945" s="59">
        <f ca="1">Dashboard!C$8* Dashboard!$F$4+Dashboard!C$10*SQRT(Dashboard!$F$4) * _xlfn.NORM.S.INV(RAND())</f>
        <v>-4.1527636112278318E-2</v>
      </c>
      <c r="U945" s="59">
        <f ca="1">Dashboard!D$8* Dashboard!$F$4+Dashboard!D$10*SQRT(Dashboard!$F$4) * _xlfn.NORM.S.INV(RAND())</f>
        <v>9.1378192262956178E-3</v>
      </c>
    </row>
    <row r="946" spans="18:21" x14ac:dyDescent="0.2">
      <c r="R946" s="49">
        <v>944</v>
      </c>
      <c r="S946" s="59">
        <f ca="1">Dashboard!B$8* Dashboard!$F$4+Dashboard!B$10*SQRT(Dashboard!$F$4) * _xlfn.NORM.S.INV(RAND())</f>
        <v>-1.9528716989896659E-2</v>
      </c>
      <c r="T946" s="59">
        <f ca="1">Dashboard!C$8* Dashboard!$F$4+Dashboard!C$10*SQRT(Dashboard!$F$4) * _xlfn.NORM.S.INV(RAND())</f>
        <v>1.7096096817817839E-2</v>
      </c>
      <c r="U946" s="59">
        <f ca="1">Dashboard!D$8* Dashboard!$F$4+Dashboard!D$10*SQRT(Dashboard!$F$4) * _xlfn.NORM.S.INV(RAND())</f>
        <v>-3.3865091284515293E-2</v>
      </c>
    </row>
    <row r="947" spans="18:21" x14ac:dyDescent="0.2">
      <c r="R947" s="49">
        <v>945</v>
      </c>
      <c r="S947" s="59">
        <f ca="1">Dashboard!B$8* Dashboard!$F$4+Dashboard!B$10*SQRT(Dashboard!$F$4) * _xlfn.NORM.S.INV(RAND())</f>
        <v>1.3132548815660802E-2</v>
      </c>
      <c r="T947" s="59">
        <f ca="1">Dashboard!C$8* Dashboard!$F$4+Dashboard!C$10*SQRT(Dashboard!$F$4) * _xlfn.NORM.S.INV(RAND())</f>
        <v>-2.5367017750378598E-2</v>
      </c>
      <c r="U947" s="59">
        <f ca="1">Dashboard!D$8* Dashboard!$F$4+Dashboard!D$10*SQRT(Dashboard!$F$4) * _xlfn.NORM.S.INV(RAND())</f>
        <v>-5.8591807831350944E-3</v>
      </c>
    </row>
    <row r="948" spans="18:21" x14ac:dyDescent="0.2">
      <c r="R948" s="49">
        <v>946</v>
      </c>
      <c r="S948" s="59">
        <f ca="1">Dashboard!B$8* Dashboard!$F$4+Dashboard!B$10*SQRT(Dashboard!$F$4) * _xlfn.NORM.S.INV(RAND())</f>
        <v>-1.7599223786511227E-3</v>
      </c>
      <c r="T948" s="59">
        <f ca="1">Dashboard!C$8* Dashboard!$F$4+Dashboard!C$10*SQRT(Dashboard!$F$4) * _xlfn.NORM.S.INV(RAND())</f>
        <v>6.1232946311911583E-2</v>
      </c>
      <c r="U948" s="59">
        <f ca="1">Dashboard!D$8* Dashboard!$F$4+Dashboard!D$10*SQRT(Dashboard!$F$4) * _xlfn.NORM.S.INV(RAND())</f>
        <v>-2.7450327215913454E-3</v>
      </c>
    </row>
    <row r="949" spans="18:21" x14ac:dyDescent="0.2">
      <c r="R949" s="49">
        <v>947</v>
      </c>
      <c r="S949" s="59">
        <f ca="1">Dashboard!B$8* Dashboard!$F$4+Dashboard!B$10*SQRT(Dashboard!$F$4) * _xlfn.NORM.S.INV(RAND())</f>
        <v>7.8364835040225442E-3</v>
      </c>
      <c r="T949" s="59">
        <f ca="1">Dashboard!C$8* Dashboard!$F$4+Dashboard!C$10*SQRT(Dashboard!$F$4) * _xlfn.NORM.S.INV(RAND())</f>
        <v>-8.727919813157653E-3</v>
      </c>
      <c r="U949" s="59">
        <f ca="1">Dashboard!D$8* Dashboard!$F$4+Dashboard!D$10*SQRT(Dashboard!$F$4) * _xlfn.NORM.S.INV(RAND())</f>
        <v>6.1876476167822499E-2</v>
      </c>
    </row>
    <row r="950" spans="18:21" x14ac:dyDescent="0.2">
      <c r="R950" s="49">
        <v>948</v>
      </c>
      <c r="S950" s="59">
        <f ca="1">Dashboard!B$8* Dashboard!$F$4+Dashboard!B$10*SQRT(Dashboard!$F$4) * _xlfn.NORM.S.INV(RAND())</f>
        <v>7.5441744680130752E-3</v>
      </c>
      <c r="T950" s="59">
        <f ca="1">Dashboard!C$8* Dashboard!$F$4+Dashboard!C$10*SQRT(Dashboard!$F$4) * _xlfn.NORM.S.INV(RAND())</f>
        <v>-6.2350908731994463E-3</v>
      </c>
      <c r="U950" s="59">
        <f ca="1">Dashboard!D$8* Dashboard!$F$4+Dashboard!D$10*SQRT(Dashboard!$F$4) * _xlfn.NORM.S.INV(RAND())</f>
        <v>-2.1131934520562494E-2</v>
      </c>
    </row>
    <row r="951" spans="18:21" x14ac:dyDescent="0.2">
      <c r="R951" s="49">
        <v>949</v>
      </c>
      <c r="S951" s="59">
        <f ca="1">Dashboard!B$8* Dashboard!$F$4+Dashboard!B$10*SQRT(Dashboard!$F$4) * _xlfn.NORM.S.INV(RAND())</f>
        <v>2.1621524359612315E-2</v>
      </c>
      <c r="T951" s="59">
        <f ca="1">Dashboard!C$8* Dashboard!$F$4+Dashboard!C$10*SQRT(Dashboard!$F$4) * _xlfn.NORM.S.INV(RAND())</f>
        <v>1.670047493373809E-2</v>
      </c>
      <c r="U951" s="59">
        <f ca="1">Dashboard!D$8* Dashboard!$F$4+Dashboard!D$10*SQRT(Dashboard!$F$4) * _xlfn.NORM.S.INV(RAND())</f>
        <v>-6.1754134096160498E-2</v>
      </c>
    </row>
    <row r="952" spans="18:21" x14ac:dyDescent="0.2">
      <c r="R952" s="49">
        <v>950</v>
      </c>
      <c r="S952" s="59">
        <f ca="1">Dashboard!B$8* Dashboard!$F$4+Dashboard!B$10*SQRT(Dashboard!$F$4) * _xlfn.NORM.S.INV(RAND())</f>
        <v>-3.6860558878553461E-2</v>
      </c>
      <c r="T952" s="59">
        <f ca="1">Dashboard!C$8* Dashboard!$F$4+Dashboard!C$10*SQRT(Dashboard!$F$4) * _xlfn.NORM.S.INV(RAND())</f>
        <v>4.6164258344071604E-2</v>
      </c>
      <c r="U952" s="59">
        <f ca="1">Dashboard!D$8* Dashboard!$F$4+Dashboard!D$10*SQRT(Dashboard!$F$4) * _xlfn.NORM.S.INV(RAND())</f>
        <v>1.0210061530821466E-2</v>
      </c>
    </row>
    <row r="953" spans="18:21" x14ac:dyDescent="0.2">
      <c r="R953" s="49">
        <v>951</v>
      </c>
      <c r="S953" s="59">
        <f ca="1">Dashboard!B$8* Dashboard!$F$4+Dashboard!B$10*SQRT(Dashboard!$F$4) * _xlfn.NORM.S.INV(RAND())</f>
        <v>5.5060680828737576E-3</v>
      </c>
      <c r="T953" s="59">
        <f ca="1">Dashboard!C$8* Dashboard!$F$4+Dashboard!C$10*SQRT(Dashboard!$F$4) * _xlfn.NORM.S.INV(RAND())</f>
        <v>-5.0488137027204741E-2</v>
      </c>
      <c r="U953" s="59">
        <f ca="1">Dashboard!D$8* Dashboard!$F$4+Dashboard!D$10*SQRT(Dashboard!$F$4) * _xlfn.NORM.S.INV(RAND())</f>
        <v>-5.2205574886199625E-2</v>
      </c>
    </row>
    <row r="954" spans="18:21" x14ac:dyDescent="0.2">
      <c r="R954" s="49">
        <v>952</v>
      </c>
      <c r="S954" s="59">
        <f ca="1">Dashboard!B$8* Dashboard!$F$4+Dashboard!B$10*SQRT(Dashboard!$F$4) * _xlfn.NORM.S.INV(RAND())</f>
        <v>-2.5325790820271712E-2</v>
      </c>
      <c r="T954" s="59">
        <f ca="1">Dashboard!C$8* Dashboard!$F$4+Dashboard!C$10*SQRT(Dashboard!$F$4) * _xlfn.NORM.S.INV(RAND())</f>
        <v>3.4848729559256261E-2</v>
      </c>
      <c r="U954" s="59">
        <f ca="1">Dashboard!D$8* Dashboard!$F$4+Dashboard!D$10*SQRT(Dashboard!$F$4) * _xlfn.NORM.S.INV(RAND())</f>
        <v>2.9773838763532508E-2</v>
      </c>
    </row>
    <row r="955" spans="18:21" x14ac:dyDescent="0.2">
      <c r="R955" s="49">
        <v>953</v>
      </c>
      <c r="S955" s="59">
        <f ca="1">Dashboard!B$8* Dashboard!$F$4+Dashboard!B$10*SQRT(Dashboard!$F$4) * _xlfn.NORM.S.INV(RAND())</f>
        <v>-5.5943932386170406E-3</v>
      </c>
      <c r="T955" s="59">
        <f ca="1">Dashboard!C$8* Dashboard!$F$4+Dashboard!C$10*SQRT(Dashboard!$F$4) * _xlfn.NORM.S.INV(RAND())</f>
        <v>6.5782180750472768E-3</v>
      </c>
      <c r="U955" s="59">
        <f ca="1">Dashboard!D$8* Dashboard!$F$4+Dashboard!D$10*SQRT(Dashboard!$F$4) * _xlfn.NORM.S.INV(RAND())</f>
        <v>3.9421883178450391E-2</v>
      </c>
    </row>
    <row r="956" spans="18:21" x14ac:dyDescent="0.2">
      <c r="R956" s="49">
        <v>954</v>
      </c>
      <c r="S956" s="59">
        <f ca="1">Dashboard!B$8* Dashboard!$F$4+Dashboard!B$10*SQRT(Dashboard!$F$4) * _xlfn.NORM.S.INV(RAND())</f>
        <v>-1.2802337516880839E-2</v>
      </c>
      <c r="T956" s="59">
        <f ca="1">Dashboard!C$8* Dashboard!$F$4+Dashboard!C$10*SQRT(Dashboard!$F$4) * _xlfn.NORM.S.INV(RAND())</f>
        <v>1.6290881656762367E-2</v>
      </c>
      <c r="U956" s="59">
        <f ca="1">Dashboard!D$8* Dashboard!$F$4+Dashboard!D$10*SQRT(Dashboard!$F$4) * _xlfn.NORM.S.INV(RAND())</f>
        <v>-6.1422129151355281E-2</v>
      </c>
    </row>
    <row r="957" spans="18:21" x14ac:dyDescent="0.2">
      <c r="R957" s="49">
        <v>955</v>
      </c>
      <c r="S957" s="59">
        <f ca="1">Dashboard!B$8* Dashboard!$F$4+Dashboard!B$10*SQRT(Dashboard!$F$4) * _xlfn.NORM.S.INV(RAND())</f>
        <v>-1.5938642593468118E-2</v>
      </c>
      <c r="T957" s="59">
        <f ca="1">Dashboard!C$8* Dashboard!$F$4+Dashboard!C$10*SQRT(Dashboard!$F$4) * _xlfn.NORM.S.INV(RAND())</f>
        <v>1.8563604536037202E-4</v>
      </c>
      <c r="U957" s="59">
        <f ca="1">Dashboard!D$8* Dashboard!$F$4+Dashboard!D$10*SQRT(Dashboard!$F$4) * _xlfn.NORM.S.INV(RAND())</f>
        <v>5.0366916448709394E-2</v>
      </c>
    </row>
    <row r="958" spans="18:21" x14ac:dyDescent="0.2">
      <c r="R958" s="49">
        <v>956</v>
      </c>
      <c r="S958" s="59">
        <f ca="1">Dashboard!B$8* Dashboard!$F$4+Dashboard!B$10*SQRT(Dashboard!$F$4) * _xlfn.NORM.S.INV(RAND())</f>
        <v>3.7936425259529005E-2</v>
      </c>
      <c r="T958" s="59">
        <f ca="1">Dashboard!C$8* Dashboard!$F$4+Dashboard!C$10*SQRT(Dashboard!$F$4) * _xlfn.NORM.S.INV(RAND())</f>
        <v>1.4047472191500626E-2</v>
      </c>
      <c r="U958" s="59">
        <f ca="1">Dashboard!D$8* Dashboard!$F$4+Dashboard!D$10*SQRT(Dashboard!$F$4) * _xlfn.NORM.S.INV(RAND())</f>
        <v>-1.5112394993292623E-2</v>
      </c>
    </row>
    <row r="959" spans="18:21" x14ac:dyDescent="0.2">
      <c r="R959" s="49">
        <v>957</v>
      </c>
      <c r="S959" s="59">
        <f ca="1">Dashboard!B$8* Dashboard!$F$4+Dashboard!B$10*SQRT(Dashboard!$F$4) * _xlfn.NORM.S.INV(RAND())</f>
        <v>-1.0323749838504355E-2</v>
      </c>
      <c r="T959" s="59">
        <f ca="1">Dashboard!C$8* Dashboard!$F$4+Dashboard!C$10*SQRT(Dashboard!$F$4) * _xlfn.NORM.S.INV(RAND())</f>
        <v>-2.4494217094867887E-2</v>
      </c>
      <c r="U959" s="59">
        <f ca="1">Dashboard!D$8* Dashboard!$F$4+Dashboard!D$10*SQRT(Dashboard!$F$4) * _xlfn.NORM.S.INV(RAND())</f>
        <v>-1.8576287632147512E-2</v>
      </c>
    </row>
    <row r="960" spans="18:21" x14ac:dyDescent="0.2">
      <c r="R960" s="49">
        <v>958</v>
      </c>
      <c r="S960" s="59">
        <f ca="1">Dashboard!B$8* Dashboard!$F$4+Dashboard!B$10*SQRT(Dashboard!$F$4) * _xlfn.NORM.S.INV(RAND())</f>
        <v>3.9861275389144184E-2</v>
      </c>
      <c r="T960" s="59">
        <f ca="1">Dashboard!C$8* Dashboard!$F$4+Dashboard!C$10*SQRT(Dashboard!$F$4) * _xlfn.NORM.S.INV(RAND())</f>
        <v>-1.097017571569632E-2</v>
      </c>
      <c r="U960" s="59">
        <f ca="1">Dashboard!D$8* Dashboard!$F$4+Dashboard!D$10*SQRT(Dashboard!$F$4) * _xlfn.NORM.S.INV(RAND())</f>
        <v>-1.8367159962777189E-2</v>
      </c>
    </row>
    <row r="961" spans="18:21" x14ac:dyDescent="0.2">
      <c r="R961" s="49">
        <v>959</v>
      </c>
      <c r="S961" s="59">
        <f ca="1">Dashboard!B$8* Dashboard!$F$4+Dashboard!B$10*SQRT(Dashboard!$F$4) * _xlfn.NORM.S.INV(RAND())</f>
        <v>6.8122781943792565E-2</v>
      </c>
      <c r="T961" s="59">
        <f ca="1">Dashboard!C$8* Dashboard!$F$4+Dashboard!C$10*SQRT(Dashboard!$F$4) * _xlfn.NORM.S.INV(RAND())</f>
        <v>5.9719504247444481E-2</v>
      </c>
      <c r="U961" s="59">
        <f ca="1">Dashboard!D$8* Dashboard!$F$4+Dashboard!D$10*SQRT(Dashboard!$F$4) * _xlfn.NORM.S.INV(RAND())</f>
        <v>2.9068847298228079E-2</v>
      </c>
    </row>
    <row r="962" spans="18:21" x14ac:dyDescent="0.2">
      <c r="R962" s="49">
        <v>960</v>
      </c>
      <c r="S962" s="59">
        <f ca="1">Dashboard!B$8* Dashboard!$F$4+Dashboard!B$10*SQRT(Dashboard!$F$4) * _xlfn.NORM.S.INV(RAND())</f>
        <v>1.0948286394302887E-2</v>
      </c>
      <c r="T962" s="59">
        <f ca="1">Dashboard!C$8* Dashboard!$F$4+Dashboard!C$10*SQRT(Dashboard!$F$4) * _xlfn.NORM.S.INV(RAND())</f>
        <v>-8.6106489910841369E-3</v>
      </c>
      <c r="U962" s="59">
        <f ca="1">Dashboard!D$8* Dashboard!$F$4+Dashboard!D$10*SQRT(Dashboard!$F$4) * _xlfn.NORM.S.INV(RAND())</f>
        <v>-2.6527793012110671E-2</v>
      </c>
    </row>
    <row r="963" spans="18:21" x14ac:dyDescent="0.2">
      <c r="R963" s="49">
        <v>961</v>
      </c>
      <c r="S963" s="59">
        <f ca="1">Dashboard!B$8* Dashboard!$F$4+Dashboard!B$10*SQRT(Dashboard!$F$4) * _xlfn.NORM.S.INV(RAND())</f>
        <v>3.6726366332812288E-2</v>
      </c>
      <c r="T963" s="59">
        <f ca="1">Dashboard!C$8* Dashboard!$F$4+Dashboard!C$10*SQRT(Dashboard!$F$4) * _xlfn.NORM.S.INV(RAND())</f>
        <v>-2.4899024180263862E-2</v>
      </c>
      <c r="U963" s="59">
        <f ca="1">Dashboard!D$8* Dashboard!$F$4+Dashboard!D$10*SQRT(Dashboard!$F$4) * _xlfn.NORM.S.INV(RAND())</f>
        <v>3.8107576335487628E-2</v>
      </c>
    </row>
    <row r="964" spans="18:21" x14ac:dyDescent="0.2">
      <c r="R964" s="49">
        <v>962</v>
      </c>
      <c r="S964" s="59">
        <f ca="1">Dashboard!B$8* Dashboard!$F$4+Dashboard!B$10*SQRT(Dashboard!$F$4) * _xlfn.NORM.S.INV(RAND())</f>
        <v>-1.6048861127396074E-3</v>
      </c>
      <c r="T964" s="59">
        <f ca="1">Dashboard!C$8* Dashboard!$F$4+Dashboard!C$10*SQRT(Dashboard!$F$4) * _xlfn.NORM.S.INV(RAND())</f>
        <v>1.6823039643853746E-2</v>
      </c>
      <c r="U964" s="59">
        <f ca="1">Dashboard!D$8* Dashboard!$F$4+Dashboard!D$10*SQRT(Dashboard!$F$4) * _xlfn.NORM.S.INV(RAND())</f>
        <v>1.7774947020315925E-2</v>
      </c>
    </row>
    <row r="965" spans="18:21" x14ac:dyDescent="0.2">
      <c r="R965" s="49">
        <v>963</v>
      </c>
      <c r="S965" s="59">
        <f ca="1">Dashboard!B$8* Dashboard!$F$4+Dashboard!B$10*SQRT(Dashboard!$F$4) * _xlfn.NORM.S.INV(RAND())</f>
        <v>7.8437097262287467E-2</v>
      </c>
      <c r="T965" s="59">
        <f ca="1">Dashboard!C$8* Dashboard!$F$4+Dashboard!C$10*SQRT(Dashboard!$F$4) * _xlfn.NORM.S.INV(RAND())</f>
        <v>-4.4696606842546151E-2</v>
      </c>
      <c r="U965" s="59">
        <f ca="1">Dashboard!D$8* Dashboard!$F$4+Dashboard!D$10*SQRT(Dashboard!$F$4) * _xlfn.NORM.S.INV(RAND())</f>
        <v>8.3801345195194304E-2</v>
      </c>
    </row>
    <row r="966" spans="18:21" x14ac:dyDescent="0.2">
      <c r="R966" s="49">
        <v>964</v>
      </c>
      <c r="S966" s="59">
        <f ca="1">Dashboard!B$8* Dashboard!$F$4+Dashboard!B$10*SQRT(Dashboard!$F$4) * _xlfn.NORM.S.INV(RAND())</f>
        <v>4.8612786985513162E-2</v>
      </c>
      <c r="T966" s="59">
        <f ca="1">Dashboard!C$8* Dashboard!$F$4+Dashboard!C$10*SQRT(Dashboard!$F$4) * _xlfn.NORM.S.INV(RAND())</f>
        <v>-3.040765452493743E-2</v>
      </c>
      <c r="U966" s="59">
        <f ca="1">Dashboard!D$8* Dashboard!$F$4+Dashboard!D$10*SQRT(Dashboard!$F$4) * _xlfn.NORM.S.INV(RAND())</f>
        <v>-3.2864492766430692E-2</v>
      </c>
    </row>
    <row r="967" spans="18:21" x14ac:dyDescent="0.2">
      <c r="R967" s="49">
        <v>965</v>
      </c>
      <c r="S967" s="59">
        <f ca="1">Dashboard!B$8* Dashboard!$F$4+Dashboard!B$10*SQRT(Dashboard!$F$4) * _xlfn.NORM.S.INV(RAND())</f>
        <v>1.9671241434717324E-2</v>
      </c>
      <c r="T967" s="59">
        <f ca="1">Dashboard!C$8* Dashboard!$F$4+Dashboard!C$10*SQRT(Dashboard!$F$4) * _xlfn.NORM.S.INV(RAND())</f>
        <v>1.7942577765060294E-2</v>
      </c>
      <c r="U967" s="59">
        <f ca="1">Dashboard!D$8* Dashboard!$F$4+Dashboard!D$10*SQRT(Dashboard!$F$4) * _xlfn.NORM.S.INV(RAND())</f>
        <v>-1.0907710812484423E-2</v>
      </c>
    </row>
    <row r="968" spans="18:21" x14ac:dyDescent="0.2">
      <c r="R968" s="49">
        <v>966</v>
      </c>
      <c r="S968" s="59">
        <f ca="1">Dashboard!B$8* Dashboard!$F$4+Dashboard!B$10*SQRT(Dashboard!$F$4) * _xlfn.NORM.S.INV(RAND())</f>
        <v>-2.0320850847432852E-3</v>
      </c>
      <c r="T968" s="59">
        <f ca="1">Dashboard!C$8* Dashboard!$F$4+Dashboard!C$10*SQRT(Dashboard!$F$4) * _xlfn.NORM.S.INV(RAND())</f>
        <v>-2.0399977111541429E-2</v>
      </c>
      <c r="U968" s="59">
        <f ca="1">Dashboard!D$8* Dashboard!$F$4+Dashboard!D$10*SQRT(Dashboard!$F$4) * _xlfn.NORM.S.INV(RAND())</f>
        <v>1.726681810379669E-2</v>
      </c>
    </row>
    <row r="969" spans="18:21" x14ac:dyDescent="0.2">
      <c r="R969" s="49">
        <v>967</v>
      </c>
      <c r="S969" s="59">
        <f ca="1">Dashboard!B$8* Dashboard!$F$4+Dashboard!B$10*SQRT(Dashboard!$F$4) * _xlfn.NORM.S.INV(RAND())</f>
        <v>-9.916569034902031E-3</v>
      </c>
      <c r="T969" s="59">
        <f ca="1">Dashboard!C$8* Dashboard!$F$4+Dashboard!C$10*SQRT(Dashboard!$F$4) * _xlfn.NORM.S.INV(RAND())</f>
        <v>-2.9578689568541105E-2</v>
      </c>
      <c r="U969" s="59">
        <f ca="1">Dashboard!D$8* Dashboard!$F$4+Dashboard!D$10*SQRT(Dashboard!$F$4) * _xlfn.NORM.S.INV(RAND())</f>
        <v>-2.5132254804484281E-2</v>
      </c>
    </row>
    <row r="970" spans="18:21" x14ac:dyDescent="0.2">
      <c r="R970" s="49">
        <v>968</v>
      </c>
      <c r="S970" s="59">
        <f ca="1">Dashboard!B$8* Dashboard!$F$4+Dashboard!B$10*SQRT(Dashboard!$F$4) * _xlfn.NORM.S.INV(RAND())</f>
        <v>-5.8465684745359313E-2</v>
      </c>
      <c r="T970" s="59">
        <f ca="1">Dashboard!C$8* Dashboard!$F$4+Dashboard!C$10*SQRT(Dashboard!$F$4) * _xlfn.NORM.S.INV(RAND())</f>
        <v>-5.0509196719830084E-2</v>
      </c>
      <c r="U970" s="59">
        <f ca="1">Dashboard!D$8* Dashboard!$F$4+Dashboard!D$10*SQRT(Dashboard!$F$4) * _xlfn.NORM.S.INV(RAND())</f>
        <v>-3.4928456980264731E-3</v>
      </c>
    </row>
    <row r="971" spans="18:21" x14ac:dyDescent="0.2">
      <c r="R971" s="49">
        <v>969</v>
      </c>
      <c r="S971" s="59">
        <f ca="1">Dashboard!B$8* Dashboard!$F$4+Dashboard!B$10*SQRT(Dashboard!$F$4) * _xlfn.NORM.S.INV(RAND())</f>
        <v>2.466801588140187E-2</v>
      </c>
      <c r="T971" s="59">
        <f ca="1">Dashboard!C$8* Dashboard!$F$4+Dashboard!C$10*SQRT(Dashboard!$F$4) * _xlfn.NORM.S.INV(RAND())</f>
        <v>3.0920836670900606E-2</v>
      </c>
      <c r="U971" s="59">
        <f ca="1">Dashboard!D$8* Dashboard!$F$4+Dashboard!D$10*SQRT(Dashboard!$F$4) * _xlfn.NORM.S.INV(RAND())</f>
        <v>-1.8616443775326157E-2</v>
      </c>
    </row>
    <row r="972" spans="18:21" x14ac:dyDescent="0.2">
      <c r="R972" s="49">
        <v>970</v>
      </c>
      <c r="S972" s="59">
        <f ca="1">Dashboard!B$8* Dashboard!$F$4+Dashboard!B$10*SQRT(Dashboard!$F$4) * _xlfn.NORM.S.INV(RAND())</f>
        <v>-5.1126876901117606E-2</v>
      </c>
      <c r="T972" s="59">
        <f ca="1">Dashboard!C$8* Dashboard!$F$4+Dashboard!C$10*SQRT(Dashboard!$F$4) * _xlfn.NORM.S.INV(RAND())</f>
        <v>-1.9070148668247425E-2</v>
      </c>
      <c r="U972" s="59">
        <f ca="1">Dashboard!D$8* Dashboard!$F$4+Dashboard!D$10*SQRT(Dashboard!$F$4) * _xlfn.NORM.S.INV(RAND())</f>
        <v>-4.2434900472028532E-2</v>
      </c>
    </row>
    <row r="973" spans="18:21" x14ac:dyDescent="0.2">
      <c r="R973" s="49">
        <v>971</v>
      </c>
      <c r="S973" s="59">
        <f ca="1">Dashboard!B$8* Dashboard!$F$4+Dashboard!B$10*SQRT(Dashboard!$F$4) * _xlfn.NORM.S.INV(RAND())</f>
        <v>8.289959152634762E-3</v>
      </c>
      <c r="T973" s="59">
        <f ca="1">Dashboard!C$8* Dashboard!$F$4+Dashboard!C$10*SQRT(Dashboard!$F$4) * _xlfn.NORM.S.INV(RAND())</f>
        <v>1.2820114950949845E-3</v>
      </c>
      <c r="U973" s="59">
        <f ca="1">Dashboard!D$8* Dashboard!$F$4+Dashboard!D$10*SQRT(Dashboard!$F$4) * _xlfn.NORM.S.INV(RAND())</f>
        <v>3.4041992330323262E-2</v>
      </c>
    </row>
    <row r="974" spans="18:21" x14ac:dyDescent="0.2">
      <c r="R974" s="49">
        <v>972</v>
      </c>
      <c r="S974" s="59">
        <f ca="1">Dashboard!B$8* Dashboard!$F$4+Dashboard!B$10*SQRT(Dashboard!$F$4) * _xlfn.NORM.S.INV(RAND())</f>
        <v>3.4557076778050158E-2</v>
      </c>
      <c r="T974" s="59">
        <f ca="1">Dashboard!C$8* Dashboard!$F$4+Dashboard!C$10*SQRT(Dashboard!$F$4) * _xlfn.NORM.S.INV(RAND())</f>
        <v>1.2255250646693109E-2</v>
      </c>
      <c r="U974" s="59">
        <f ca="1">Dashboard!D$8* Dashboard!$F$4+Dashboard!D$10*SQRT(Dashboard!$F$4) * _xlfn.NORM.S.INV(RAND())</f>
        <v>3.3960564504508246E-2</v>
      </c>
    </row>
    <row r="975" spans="18:21" x14ac:dyDescent="0.2">
      <c r="R975" s="49">
        <v>973</v>
      </c>
      <c r="S975" s="59">
        <f ca="1">Dashboard!B$8* Dashboard!$F$4+Dashboard!B$10*SQRT(Dashboard!$F$4) * _xlfn.NORM.S.INV(RAND())</f>
        <v>2.1097024505445296E-2</v>
      </c>
      <c r="T975" s="59">
        <f ca="1">Dashboard!C$8* Dashboard!$F$4+Dashboard!C$10*SQRT(Dashboard!$F$4) * _xlfn.NORM.S.INV(RAND())</f>
        <v>-3.3368404217815811E-2</v>
      </c>
      <c r="U975" s="59">
        <f ca="1">Dashboard!D$8* Dashboard!$F$4+Dashboard!D$10*SQRT(Dashboard!$F$4) * _xlfn.NORM.S.INV(RAND())</f>
        <v>-4.5000370341502421E-2</v>
      </c>
    </row>
    <row r="976" spans="18:21" x14ac:dyDescent="0.2">
      <c r="R976" s="49">
        <v>974</v>
      </c>
      <c r="S976" s="59">
        <f ca="1">Dashboard!B$8* Dashboard!$F$4+Dashboard!B$10*SQRT(Dashboard!$F$4) * _xlfn.NORM.S.INV(RAND())</f>
        <v>-1.9477024125199444E-4</v>
      </c>
      <c r="T976" s="59">
        <f ca="1">Dashboard!C$8* Dashboard!$F$4+Dashboard!C$10*SQRT(Dashboard!$F$4) * _xlfn.NORM.S.INV(RAND())</f>
        <v>4.0312496688085613E-2</v>
      </c>
      <c r="U976" s="59">
        <f ca="1">Dashboard!D$8* Dashboard!$F$4+Dashboard!D$10*SQRT(Dashboard!$F$4) * _xlfn.NORM.S.INV(RAND())</f>
        <v>-4.1771713435148169E-2</v>
      </c>
    </row>
    <row r="977" spans="18:21" x14ac:dyDescent="0.2">
      <c r="R977" s="49">
        <v>975</v>
      </c>
      <c r="S977" s="59">
        <f ca="1">Dashboard!B$8* Dashboard!$F$4+Dashboard!B$10*SQRT(Dashboard!$F$4) * _xlfn.NORM.S.INV(RAND())</f>
        <v>-2.7940798604479344E-2</v>
      </c>
      <c r="T977" s="59">
        <f ca="1">Dashboard!C$8* Dashboard!$F$4+Dashboard!C$10*SQRT(Dashboard!$F$4) * _xlfn.NORM.S.INV(RAND())</f>
        <v>5.6171920513188978E-2</v>
      </c>
      <c r="U977" s="59">
        <f ca="1">Dashboard!D$8* Dashboard!$F$4+Dashboard!D$10*SQRT(Dashboard!$F$4) * _xlfn.NORM.S.INV(RAND())</f>
        <v>1.3000754764044122E-3</v>
      </c>
    </row>
    <row r="978" spans="18:21" x14ac:dyDescent="0.2">
      <c r="R978" s="49">
        <v>976</v>
      </c>
      <c r="S978" s="59">
        <f ca="1">Dashboard!B$8* Dashboard!$F$4+Dashboard!B$10*SQRT(Dashboard!$F$4) * _xlfn.NORM.S.INV(RAND())</f>
        <v>3.9288935541357282E-2</v>
      </c>
      <c r="T978" s="59">
        <f ca="1">Dashboard!C$8* Dashboard!$F$4+Dashboard!C$10*SQRT(Dashboard!$F$4) * _xlfn.NORM.S.INV(RAND())</f>
        <v>1.5556333916817412E-2</v>
      </c>
      <c r="U978" s="59">
        <f ca="1">Dashboard!D$8* Dashboard!$F$4+Dashboard!D$10*SQRT(Dashboard!$F$4) * _xlfn.NORM.S.INV(RAND())</f>
        <v>3.1592982024852681E-2</v>
      </c>
    </row>
    <row r="979" spans="18:21" x14ac:dyDescent="0.2">
      <c r="R979" s="49">
        <v>977</v>
      </c>
      <c r="S979" s="59">
        <f ca="1">Dashboard!B$8* Dashboard!$F$4+Dashboard!B$10*SQRT(Dashboard!$F$4) * _xlfn.NORM.S.INV(RAND())</f>
        <v>-1.1370926553560881E-2</v>
      </c>
      <c r="T979" s="59">
        <f ca="1">Dashboard!C$8* Dashboard!$F$4+Dashboard!C$10*SQRT(Dashboard!$F$4) * _xlfn.NORM.S.INV(RAND())</f>
        <v>6.1345146023398335E-2</v>
      </c>
      <c r="U979" s="59">
        <f ca="1">Dashboard!D$8* Dashboard!$F$4+Dashboard!D$10*SQRT(Dashboard!$F$4) * _xlfn.NORM.S.INV(RAND())</f>
        <v>2.2869854472949936E-3</v>
      </c>
    </row>
    <row r="980" spans="18:21" x14ac:dyDescent="0.2">
      <c r="R980" s="49">
        <v>978</v>
      </c>
      <c r="S980" s="59">
        <f ca="1">Dashboard!B$8* Dashboard!$F$4+Dashboard!B$10*SQRT(Dashboard!$F$4) * _xlfn.NORM.S.INV(RAND())</f>
        <v>-2.1279139260897632E-2</v>
      </c>
      <c r="T980" s="59">
        <f ca="1">Dashboard!C$8* Dashboard!$F$4+Dashboard!C$10*SQRT(Dashboard!$F$4) * _xlfn.NORM.S.INV(RAND())</f>
        <v>-3.3516292567755249E-2</v>
      </c>
      <c r="U980" s="59">
        <f ca="1">Dashboard!D$8* Dashboard!$F$4+Dashboard!D$10*SQRT(Dashboard!$F$4) * _xlfn.NORM.S.INV(RAND())</f>
        <v>-2.5993795388316632E-2</v>
      </c>
    </row>
    <row r="981" spans="18:21" x14ac:dyDescent="0.2">
      <c r="R981" s="49">
        <v>979</v>
      </c>
      <c r="S981" s="59">
        <f ca="1">Dashboard!B$8* Dashboard!$F$4+Dashboard!B$10*SQRT(Dashboard!$F$4) * _xlfn.NORM.S.INV(RAND())</f>
        <v>-5.2199459163563409E-2</v>
      </c>
      <c r="T981" s="59">
        <f ca="1">Dashboard!C$8* Dashboard!$F$4+Dashboard!C$10*SQRT(Dashboard!$F$4) * _xlfn.NORM.S.INV(RAND())</f>
        <v>-3.3504945649127068E-3</v>
      </c>
      <c r="U981" s="59">
        <f ca="1">Dashboard!D$8* Dashboard!$F$4+Dashboard!D$10*SQRT(Dashboard!$F$4) * _xlfn.NORM.S.INV(RAND())</f>
        <v>7.9346692516395236E-3</v>
      </c>
    </row>
    <row r="982" spans="18:21" x14ac:dyDescent="0.2">
      <c r="R982" s="49">
        <v>980</v>
      </c>
      <c r="S982" s="59">
        <f ca="1">Dashboard!B$8* Dashboard!$F$4+Dashboard!B$10*SQRT(Dashboard!$F$4) * _xlfn.NORM.S.INV(RAND())</f>
        <v>-3.1527059300020893E-2</v>
      </c>
      <c r="T982" s="59">
        <f ca="1">Dashboard!C$8* Dashboard!$F$4+Dashboard!C$10*SQRT(Dashboard!$F$4) * _xlfn.NORM.S.INV(RAND())</f>
        <v>0.10775939297378637</v>
      </c>
      <c r="U982" s="59">
        <f ca="1">Dashboard!D$8* Dashboard!$F$4+Dashboard!D$10*SQRT(Dashboard!$F$4) * _xlfn.NORM.S.INV(RAND())</f>
        <v>-1.3365570011437158E-4</v>
      </c>
    </row>
    <row r="983" spans="18:21" x14ac:dyDescent="0.2">
      <c r="R983" s="49">
        <v>981</v>
      </c>
      <c r="S983" s="59">
        <f ca="1">Dashboard!B$8* Dashboard!$F$4+Dashboard!B$10*SQRT(Dashboard!$F$4) * _xlfn.NORM.S.INV(RAND())</f>
        <v>-2.9788928482335969E-2</v>
      </c>
      <c r="T983" s="59">
        <f ca="1">Dashboard!C$8* Dashboard!$F$4+Dashboard!C$10*SQRT(Dashboard!$F$4) * _xlfn.NORM.S.INV(RAND())</f>
        <v>3.5372205563882582E-3</v>
      </c>
      <c r="U983" s="59">
        <f ca="1">Dashboard!D$8* Dashboard!$F$4+Dashboard!D$10*SQRT(Dashboard!$F$4) * _xlfn.NORM.S.INV(RAND())</f>
        <v>6.057185175283105E-2</v>
      </c>
    </row>
    <row r="984" spans="18:21" x14ac:dyDescent="0.2">
      <c r="R984" s="49">
        <v>982</v>
      </c>
      <c r="S984" s="59">
        <f ca="1">Dashboard!B$8* Dashboard!$F$4+Dashboard!B$10*SQRT(Dashboard!$F$4) * _xlfn.NORM.S.INV(RAND())</f>
        <v>-1.0333855724805234E-3</v>
      </c>
      <c r="T984" s="59">
        <f ca="1">Dashboard!C$8* Dashboard!$F$4+Dashboard!C$10*SQRT(Dashboard!$F$4) * _xlfn.NORM.S.INV(RAND())</f>
        <v>3.6322064465177842E-2</v>
      </c>
      <c r="U984" s="59">
        <f ca="1">Dashboard!D$8* Dashboard!$F$4+Dashboard!D$10*SQRT(Dashboard!$F$4) * _xlfn.NORM.S.INV(RAND())</f>
        <v>1.7800257309135897E-2</v>
      </c>
    </row>
    <row r="985" spans="18:21" x14ac:dyDescent="0.2">
      <c r="R985" s="49">
        <v>983</v>
      </c>
      <c r="S985" s="59">
        <f ca="1">Dashboard!B$8* Dashboard!$F$4+Dashboard!B$10*SQRT(Dashboard!$F$4) * _xlfn.NORM.S.INV(RAND())</f>
        <v>-5.6783875471064869E-3</v>
      </c>
      <c r="T985" s="59">
        <f ca="1">Dashboard!C$8* Dashboard!$F$4+Dashboard!C$10*SQRT(Dashboard!$F$4) * _xlfn.NORM.S.INV(RAND())</f>
        <v>4.6163813267581649E-2</v>
      </c>
      <c r="U985" s="59">
        <f ca="1">Dashboard!D$8* Dashboard!$F$4+Dashboard!D$10*SQRT(Dashboard!$F$4) * _xlfn.NORM.S.INV(RAND())</f>
        <v>5.5176957545243974E-2</v>
      </c>
    </row>
    <row r="986" spans="18:21" x14ac:dyDescent="0.2">
      <c r="R986" s="49">
        <v>984</v>
      </c>
      <c r="S986" s="59">
        <f ca="1">Dashboard!B$8* Dashboard!$F$4+Dashboard!B$10*SQRT(Dashboard!$F$4) * _xlfn.NORM.S.INV(RAND())</f>
        <v>-3.754077190116631E-3</v>
      </c>
      <c r="T986" s="59">
        <f ca="1">Dashboard!C$8* Dashboard!$F$4+Dashboard!C$10*SQRT(Dashboard!$F$4) * _xlfn.NORM.S.INV(RAND())</f>
        <v>-1.748853054728864E-2</v>
      </c>
      <c r="U986" s="59">
        <f ca="1">Dashboard!D$8* Dashboard!$F$4+Dashboard!D$10*SQRT(Dashboard!$F$4) * _xlfn.NORM.S.INV(RAND())</f>
        <v>-4.8641886418937769E-2</v>
      </c>
    </row>
    <row r="987" spans="18:21" x14ac:dyDescent="0.2">
      <c r="R987" s="49">
        <v>985</v>
      </c>
      <c r="S987" s="59">
        <f ca="1">Dashboard!B$8* Dashboard!$F$4+Dashboard!B$10*SQRT(Dashboard!$F$4) * _xlfn.NORM.S.INV(RAND())</f>
        <v>4.4314121044222145E-2</v>
      </c>
      <c r="T987" s="59">
        <f ca="1">Dashboard!C$8* Dashboard!$F$4+Dashboard!C$10*SQRT(Dashboard!$F$4) * _xlfn.NORM.S.INV(RAND())</f>
        <v>-6.9635060924801401E-2</v>
      </c>
      <c r="U987" s="59">
        <f ca="1">Dashboard!D$8* Dashboard!$F$4+Dashboard!D$10*SQRT(Dashboard!$F$4) * _xlfn.NORM.S.INV(RAND())</f>
        <v>-2.7788712857388112E-2</v>
      </c>
    </row>
    <row r="988" spans="18:21" x14ac:dyDescent="0.2">
      <c r="R988" s="49">
        <v>986</v>
      </c>
      <c r="S988" s="59">
        <f ca="1">Dashboard!B$8* Dashboard!$F$4+Dashboard!B$10*SQRT(Dashboard!$F$4) * _xlfn.NORM.S.INV(RAND())</f>
        <v>-4.3851088179849812E-2</v>
      </c>
      <c r="T988" s="59">
        <f ca="1">Dashboard!C$8* Dashboard!$F$4+Dashboard!C$10*SQRT(Dashboard!$F$4) * _xlfn.NORM.S.INV(RAND())</f>
        <v>-2.333226008003168E-2</v>
      </c>
      <c r="U988" s="59">
        <f ca="1">Dashboard!D$8* Dashboard!$F$4+Dashboard!D$10*SQRT(Dashboard!$F$4) * _xlfn.NORM.S.INV(RAND())</f>
        <v>2.0141810449297613E-2</v>
      </c>
    </row>
    <row r="989" spans="18:21" x14ac:dyDescent="0.2">
      <c r="R989" s="49">
        <v>987</v>
      </c>
      <c r="S989" s="59">
        <f ca="1">Dashboard!B$8* Dashboard!$F$4+Dashboard!B$10*SQRT(Dashboard!$F$4) * _xlfn.NORM.S.INV(RAND())</f>
        <v>3.0249145065396922E-2</v>
      </c>
      <c r="T989" s="59">
        <f ca="1">Dashboard!C$8* Dashboard!$F$4+Dashboard!C$10*SQRT(Dashboard!$F$4) * _xlfn.NORM.S.INV(RAND())</f>
        <v>-4.2666394048934365E-3</v>
      </c>
      <c r="U989" s="59">
        <f ca="1">Dashboard!D$8* Dashboard!$F$4+Dashboard!D$10*SQRT(Dashboard!$F$4) * _xlfn.NORM.S.INV(RAND())</f>
        <v>-3.3074549192813919E-3</v>
      </c>
    </row>
    <row r="990" spans="18:21" x14ac:dyDescent="0.2">
      <c r="R990" s="49">
        <v>988</v>
      </c>
      <c r="S990" s="59">
        <f ca="1">Dashboard!B$8* Dashboard!$F$4+Dashboard!B$10*SQRT(Dashboard!$F$4) * _xlfn.NORM.S.INV(RAND())</f>
        <v>1.7397779512959483E-2</v>
      </c>
      <c r="T990" s="59">
        <f ca="1">Dashboard!C$8* Dashboard!$F$4+Dashboard!C$10*SQRT(Dashboard!$F$4) * _xlfn.NORM.S.INV(RAND())</f>
        <v>-2.3231760639541334E-2</v>
      </c>
      <c r="U990" s="59">
        <f ca="1">Dashboard!D$8* Dashboard!$F$4+Dashboard!D$10*SQRT(Dashboard!$F$4) * _xlfn.NORM.S.INV(RAND())</f>
        <v>-2.6713298359432699E-2</v>
      </c>
    </row>
    <row r="991" spans="18:21" x14ac:dyDescent="0.2">
      <c r="R991" s="49">
        <v>989</v>
      </c>
      <c r="S991" s="59">
        <f ca="1">Dashboard!B$8* Dashboard!$F$4+Dashboard!B$10*SQRT(Dashboard!$F$4) * _xlfn.NORM.S.INV(RAND())</f>
        <v>2.3614885825035212E-4</v>
      </c>
      <c r="T991" s="59">
        <f ca="1">Dashboard!C$8* Dashboard!$F$4+Dashboard!C$10*SQRT(Dashboard!$F$4) * _xlfn.NORM.S.INV(RAND())</f>
        <v>2.4803100533597498E-2</v>
      </c>
      <c r="U991" s="59">
        <f ca="1">Dashboard!D$8* Dashboard!$F$4+Dashboard!D$10*SQRT(Dashboard!$F$4) * _xlfn.NORM.S.INV(RAND())</f>
        <v>-1.3194072801590061E-2</v>
      </c>
    </row>
    <row r="992" spans="18:21" x14ac:dyDescent="0.2">
      <c r="R992" s="49">
        <v>990</v>
      </c>
      <c r="S992" s="59">
        <f ca="1">Dashboard!B$8* Dashboard!$F$4+Dashboard!B$10*SQRT(Dashboard!$F$4) * _xlfn.NORM.S.INV(RAND())</f>
        <v>2.6314806760421541E-2</v>
      </c>
      <c r="T992" s="59">
        <f ca="1">Dashboard!C$8* Dashboard!$F$4+Dashboard!C$10*SQRT(Dashboard!$F$4) * _xlfn.NORM.S.INV(RAND())</f>
        <v>2.3271171168469655E-2</v>
      </c>
      <c r="U992" s="59">
        <f ca="1">Dashboard!D$8* Dashboard!$F$4+Dashboard!D$10*SQRT(Dashboard!$F$4) * _xlfn.NORM.S.INV(RAND())</f>
        <v>-2.9618086324372205E-2</v>
      </c>
    </row>
    <row r="993" spans="18:21" x14ac:dyDescent="0.2">
      <c r="R993" s="49">
        <v>991</v>
      </c>
      <c r="S993" s="59">
        <f ca="1">Dashboard!B$8* Dashboard!$F$4+Dashboard!B$10*SQRT(Dashboard!$F$4) * _xlfn.NORM.S.INV(RAND())</f>
        <v>2.3167882619217579E-3</v>
      </c>
      <c r="T993" s="59">
        <f ca="1">Dashboard!C$8* Dashboard!$F$4+Dashboard!C$10*SQRT(Dashboard!$F$4) * _xlfn.NORM.S.INV(RAND())</f>
        <v>-6.1707011896845715E-2</v>
      </c>
      <c r="U993" s="59">
        <f ca="1">Dashboard!D$8* Dashboard!$F$4+Dashboard!D$10*SQRT(Dashboard!$F$4) * _xlfn.NORM.S.INV(RAND())</f>
        <v>-1.3914456336158308E-2</v>
      </c>
    </row>
    <row r="994" spans="18:21" x14ac:dyDescent="0.2">
      <c r="R994" s="49">
        <v>992</v>
      </c>
      <c r="S994" s="59">
        <f ca="1">Dashboard!B$8* Dashboard!$F$4+Dashboard!B$10*SQRT(Dashboard!$F$4) * _xlfn.NORM.S.INV(RAND())</f>
        <v>-1.6970661047359278E-2</v>
      </c>
      <c r="T994" s="59">
        <f ca="1">Dashboard!C$8* Dashboard!$F$4+Dashboard!C$10*SQRT(Dashboard!$F$4) * _xlfn.NORM.S.INV(RAND())</f>
        <v>-1.9208849043473968E-2</v>
      </c>
      <c r="U994" s="59">
        <f ca="1">Dashboard!D$8* Dashboard!$F$4+Dashboard!D$10*SQRT(Dashboard!$F$4) * _xlfn.NORM.S.INV(RAND())</f>
        <v>1.8761020317827729E-2</v>
      </c>
    </row>
    <row r="995" spans="18:21" x14ac:dyDescent="0.2">
      <c r="R995" s="49">
        <v>993</v>
      </c>
      <c r="S995" s="59">
        <f ca="1">Dashboard!B$8* Dashboard!$F$4+Dashboard!B$10*SQRT(Dashboard!$F$4) * _xlfn.NORM.S.INV(RAND())</f>
        <v>3.4622212868836398E-2</v>
      </c>
      <c r="T995" s="59">
        <f ca="1">Dashboard!C$8* Dashboard!$F$4+Dashboard!C$10*SQRT(Dashboard!$F$4) * _xlfn.NORM.S.INV(RAND())</f>
        <v>-6.9099378142364202E-3</v>
      </c>
      <c r="U995" s="59">
        <f ca="1">Dashboard!D$8* Dashboard!$F$4+Dashboard!D$10*SQRT(Dashboard!$F$4) * _xlfn.NORM.S.INV(RAND())</f>
        <v>1.3272013852782533E-2</v>
      </c>
    </row>
    <row r="996" spans="18:21" x14ac:dyDescent="0.2">
      <c r="R996" s="49">
        <v>994</v>
      </c>
      <c r="S996" s="59">
        <f ca="1">Dashboard!B$8* Dashboard!$F$4+Dashboard!B$10*SQRT(Dashboard!$F$4) * _xlfn.NORM.S.INV(RAND())</f>
        <v>2.0506481214415034E-2</v>
      </c>
      <c r="T996" s="59">
        <f ca="1">Dashboard!C$8* Dashboard!$F$4+Dashboard!C$10*SQRT(Dashboard!$F$4) * _xlfn.NORM.S.INV(RAND())</f>
        <v>8.2486887067791496E-3</v>
      </c>
      <c r="U996" s="59">
        <f ca="1">Dashboard!D$8* Dashboard!$F$4+Dashboard!D$10*SQRT(Dashboard!$F$4) * _xlfn.NORM.S.INV(RAND())</f>
        <v>4.847578704121553E-2</v>
      </c>
    </row>
    <row r="997" spans="18:21" x14ac:dyDescent="0.2">
      <c r="R997" s="49">
        <v>995</v>
      </c>
      <c r="S997" s="59">
        <f ca="1">Dashboard!B$8* Dashboard!$F$4+Dashboard!B$10*SQRT(Dashboard!$F$4) * _xlfn.NORM.S.INV(RAND())</f>
        <v>-1.6882428888163069E-2</v>
      </c>
      <c r="T997" s="59">
        <f ca="1">Dashboard!C$8* Dashboard!$F$4+Dashboard!C$10*SQRT(Dashboard!$F$4) * _xlfn.NORM.S.INV(RAND())</f>
        <v>1.348088243484517E-2</v>
      </c>
      <c r="U997" s="59">
        <f ca="1">Dashboard!D$8* Dashboard!$F$4+Dashboard!D$10*SQRT(Dashboard!$F$4) * _xlfn.NORM.S.INV(RAND())</f>
        <v>-6.1294715611477629E-3</v>
      </c>
    </row>
    <row r="998" spans="18:21" x14ac:dyDescent="0.2">
      <c r="R998" s="49">
        <v>996</v>
      </c>
      <c r="S998" s="59">
        <f ca="1">Dashboard!B$8* Dashboard!$F$4+Dashboard!B$10*SQRT(Dashboard!$F$4) * _xlfn.NORM.S.INV(RAND())</f>
        <v>-2.9031865977372284E-2</v>
      </c>
      <c r="T998" s="59">
        <f ca="1">Dashboard!C$8* Dashboard!$F$4+Dashboard!C$10*SQRT(Dashboard!$F$4) * _xlfn.NORM.S.INV(RAND())</f>
        <v>4.9053969810765222E-2</v>
      </c>
      <c r="U998" s="59">
        <f ca="1">Dashboard!D$8* Dashboard!$F$4+Dashboard!D$10*SQRT(Dashboard!$F$4) * _xlfn.NORM.S.INV(RAND())</f>
        <v>5.7032269212870523E-2</v>
      </c>
    </row>
    <row r="999" spans="18:21" x14ac:dyDescent="0.2">
      <c r="R999" s="49">
        <v>997</v>
      </c>
      <c r="S999" s="59">
        <f ca="1">Dashboard!B$8* Dashboard!$F$4+Dashboard!B$10*SQRT(Dashboard!$F$4) * _xlfn.NORM.S.INV(RAND())</f>
        <v>-5.6538644021888962E-2</v>
      </c>
      <c r="T999" s="59">
        <f ca="1">Dashboard!C$8* Dashboard!$F$4+Dashboard!C$10*SQRT(Dashboard!$F$4) * _xlfn.NORM.S.INV(RAND())</f>
        <v>-1.8072280087324331E-2</v>
      </c>
      <c r="U999" s="59">
        <f ca="1">Dashboard!D$8* Dashboard!$F$4+Dashboard!D$10*SQRT(Dashboard!$F$4) * _xlfn.NORM.S.INV(RAND())</f>
        <v>3.0535186004530861E-2</v>
      </c>
    </row>
    <row r="1000" spans="18:21" x14ac:dyDescent="0.2">
      <c r="R1000" s="49">
        <v>998</v>
      </c>
      <c r="S1000" s="59">
        <f ca="1">Dashboard!B$8* Dashboard!$F$4+Dashboard!B$10*SQRT(Dashboard!$F$4) * _xlfn.NORM.S.INV(RAND())</f>
        <v>4.2042007623677817E-2</v>
      </c>
      <c r="T1000" s="59">
        <f ca="1">Dashboard!C$8* Dashboard!$F$4+Dashboard!C$10*SQRT(Dashboard!$F$4) * _xlfn.NORM.S.INV(RAND())</f>
        <v>-2.2375359653237586E-2</v>
      </c>
      <c r="U1000" s="59">
        <f ca="1">Dashboard!D$8* Dashboard!$F$4+Dashboard!D$10*SQRT(Dashboard!$F$4) * _xlfn.NORM.S.INV(RAND())</f>
        <v>3.512120837055141E-2</v>
      </c>
    </row>
    <row r="1001" spans="18:21" x14ac:dyDescent="0.2">
      <c r="R1001" s="49">
        <v>999</v>
      </c>
      <c r="S1001" s="59">
        <f ca="1">Dashboard!B$8* Dashboard!$F$4+Dashboard!B$10*SQRT(Dashboard!$F$4) * _xlfn.NORM.S.INV(RAND())</f>
        <v>-4.0085490747950661E-2</v>
      </c>
      <c r="T1001" s="59">
        <f ca="1">Dashboard!C$8* Dashboard!$F$4+Dashboard!C$10*SQRT(Dashboard!$F$4) * _xlfn.NORM.S.INV(RAND())</f>
        <v>-5.1186789805194111E-3</v>
      </c>
      <c r="U1001" s="59">
        <f ca="1">Dashboard!D$8* Dashboard!$F$4+Dashboard!D$10*SQRT(Dashboard!$F$4) * _xlfn.NORM.S.INV(RAND())</f>
        <v>3.1104435847416425E-2</v>
      </c>
    </row>
    <row r="1002" spans="18:21" x14ac:dyDescent="0.2">
      <c r="R1002" s="49">
        <v>1000</v>
      </c>
      <c r="S1002" s="59">
        <f ca="1">Dashboard!B$8* Dashboard!$F$4+Dashboard!B$10*SQRT(Dashboard!$F$4) * _xlfn.NORM.S.INV(RAND())</f>
        <v>-5.9522029006621339E-2</v>
      </c>
      <c r="T1002" s="59">
        <f ca="1">Dashboard!C$8* Dashboard!$F$4+Dashboard!C$10*SQRT(Dashboard!$F$4) * _xlfn.NORM.S.INV(RAND())</f>
        <v>2.0290414616069445E-2</v>
      </c>
      <c r="U1002" s="59">
        <f ca="1">Dashboard!D$8* Dashboard!$F$4+Dashboard!D$10*SQRT(Dashboard!$F$4) * _xlfn.NORM.S.INV(RAND())</f>
        <v>-8.5370920220793189E-3</v>
      </c>
    </row>
    <row r="1003" spans="18:21" x14ac:dyDescent="0.2">
      <c r="R1003" s="49">
        <v>1001</v>
      </c>
      <c r="S1003" s="59">
        <f ca="1">Dashboard!B$8* Dashboard!$F$4+Dashboard!B$10*SQRT(Dashboard!$F$4) * _xlfn.NORM.S.INV(RAND())</f>
        <v>-1.158306451855633E-2</v>
      </c>
      <c r="T1003" s="59">
        <f ca="1">Dashboard!C$8* Dashboard!$F$4+Dashboard!C$10*SQRT(Dashboard!$F$4) * _xlfn.NORM.S.INV(RAND())</f>
        <v>-2.1092810611399899E-2</v>
      </c>
      <c r="U1003" s="59">
        <f ca="1">Dashboard!D$8* Dashboard!$F$4+Dashboard!D$10*SQRT(Dashboard!$F$4) * _xlfn.NORM.S.INV(RAND())</f>
        <v>-1.198239534333741E-2</v>
      </c>
    </row>
    <row r="1004" spans="18:21" x14ac:dyDescent="0.2">
      <c r="R1004" s="49">
        <v>1002</v>
      </c>
      <c r="S1004" s="59">
        <f ca="1">Dashboard!B$8* Dashboard!$F$4+Dashboard!B$10*SQRT(Dashboard!$F$4) * _xlfn.NORM.S.INV(RAND())</f>
        <v>-5.5529790729580177E-2</v>
      </c>
      <c r="T1004" s="59">
        <f ca="1">Dashboard!C$8* Dashboard!$F$4+Dashboard!C$10*SQRT(Dashboard!$F$4) * _xlfn.NORM.S.INV(RAND())</f>
        <v>-1.6672303588195873E-2</v>
      </c>
      <c r="U1004" s="59">
        <f ca="1">Dashboard!D$8* Dashboard!$F$4+Dashboard!D$10*SQRT(Dashboard!$F$4) * _xlfn.NORM.S.INV(RAND())</f>
        <v>7.7677165298880052E-2</v>
      </c>
    </row>
    <row r="1005" spans="18:21" x14ac:dyDescent="0.2">
      <c r="R1005" s="49">
        <v>1003</v>
      </c>
      <c r="S1005" s="59">
        <f ca="1">Dashboard!B$8* Dashboard!$F$4+Dashboard!B$10*SQRT(Dashboard!$F$4) * _xlfn.NORM.S.INV(RAND())</f>
        <v>-2.1808916174976295E-2</v>
      </c>
      <c r="T1005" s="59">
        <f ca="1">Dashboard!C$8* Dashboard!$F$4+Dashboard!C$10*SQRT(Dashboard!$F$4) * _xlfn.NORM.S.INV(RAND())</f>
        <v>6.1172329332560123E-2</v>
      </c>
      <c r="U1005" s="59">
        <f ca="1">Dashboard!D$8* Dashboard!$F$4+Dashboard!D$10*SQRT(Dashboard!$F$4) * _xlfn.NORM.S.INV(RAND())</f>
        <v>2.6940793886206221E-2</v>
      </c>
    </row>
    <row r="1006" spans="18:21" x14ac:dyDescent="0.2">
      <c r="R1006" s="49">
        <v>1004</v>
      </c>
      <c r="S1006" s="59">
        <f ca="1">Dashboard!B$8* Dashboard!$F$4+Dashboard!B$10*SQRT(Dashboard!$F$4) * _xlfn.NORM.S.INV(RAND())</f>
        <v>4.9421167444233492E-3</v>
      </c>
      <c r="T1006" s="59">
        <f ca="1">Dashboard!C$8* Dashboard!$F$4+Dashboard!C$10*SQRT(Dashboard!$F$4) * _xlfn.NORM.S.INV(RAND())</f>
        <v>2.0632637756257618E-2</v>
      </c>
      <c r="U1006" s="59">
        <f ca="1">Dashboard!D$8* Dashboard!$F$4+Dashboard!D$10*SQRT(Dashboard!$F$4) * _xlfn.NORM.S.INV(RAND())</f>
        <v>-8.5203428259697685E-3</v>
      </c>
    </row>
    <row r="1007" spans="18:21" x14ac:dyDescent="0.2">
      <c r="R1007" s="49">
        <v>1005</v>
      </c>
      <c r="S1007" s="59">
        <f ca="1">Dashboard!B$8* Dashboard!$F$4+Dashboard!B$10*SQRT(Dashboard!$F$4) * _xlfn.NORM.S.INV(RAND())</f>
        <v>-2.1529299176305326E-2</v>
      </c>
      <c r="T1007" s="59">
        <f ca="1">Dashboard!C$8* Dashboard!$F$4+Dashboard!C$10*SQRT(Dashboard!$F$4) * _xlfn.NORM.S.INV(RAND())</f>
        <v>-2.7537218312825299E-2</v>
      </c>
      <c r="U1007" s="59">
        <f ca="1">Dashboard!D$8* Dashboard!$F$4+Dashboard!D$10*SQRT(Dashboard!$F$4) * _xlfn.NORM.S.INV(RAND())</f>
        <v>1.304399651334052E-2</v>
      </c>
    </row>
    <row r="1008" spans="18:21" x14ac:dyDescent="0.2">
      <c r="R1008" s="49">
        <v>1006</v>
      </c>
      <c r="S1008" s="59">
        <f ca="1">Dashboard!B$8* Dashboard!$F$4+Dashboard!B$10*SQRT(Dashboard!$F$4) * _xlfn.NORM.S.INV(RAND())</f>
        <v>-3.8121537883871806E-2</v>
      </c>
      <c r="T1008" s="59">
        <f ca="1">Dashboard!C$8* Dashboard!$F$4+Dashboard!C$10*SQRT(Dashboard!$F$4) * _xlfn.NORM.S.INV(RAND())</f>
        <v>-6.3637447323568594E-3</v>
      </c>
      <c r="U1008" s="59">
        <f ca="1">Dashboard!D$8* Dashboard!$F$4+Dashboard!D$10*SQRT(Dashboard!$F$4) * _xlfn.NORM.S.INV(RAND())</f>
        <v>-7.5290247741963454E-2</v>
      </c>
    </row>
    <row r="1009" spans="18:21" x14ac:dyDescent="0.2">
      <c r="R1009" s="49">
        <v>1007</v>
      </c>
      <c r="S1009" s="59">
        <f ca="1">Dashboard!B$8* Dashboard!$F$4+Dashboard!B$10*SQRT(Dashboard!$F$4) * _xlfn.NORM.S.INV(RAND())</f>
        <v>-1.2604934491068136E-2</v>
      </c>
      <c r="T1009" s="59">
        <f ca="1">Dashboard!C$8* Dashboard!$F$4+Dashboard!C$10*SQRT(Dashboard!$F$4) * _xlfn.NORM.S.INV(RAND())</f>
        <v>-6.0708341163029256E-2</v>
      </c>
      <c r="U1009" s="59">
        <f ca="1">Dashboard!D$8* Dashboard!$F$4+Dashboard!D$10*SQRT(Dashboard!$F$4) * _xlfn.NORM.S.INV(RAND())</f>
        <v>3.2187728711377296E-3</v>
      </c>
    </row>
    <row r="1010" spans="18:21" x14ac:dyDescent="0.2">
      <c r="R1010" s="49">
        <v>1008</v>
      </c>
      <c r="S1010" s="59">
        <f ca="1">Dashboard!B$8* Dashboard!$F$4+Dashboard!B$10*SQRT(Dashboard!$F$4) * _xlfn.NORM.S.INV(RAND())</f>
        <v>-2.2923901958162365E-2</v>
      </c>
      <c r="T1010" s="59">
        <f ca="1">Dashboard!C$8* Dashboard!$F$4+Dashboard!C$10*SQRT(Dashboard!$F$4) * _xlfn.NORM.S.INV(RAND())</f>
        <v>-2.7852338513032699E-3</v>
      </c>
      <c r="U1010" s="59">
        <f ca="1">Dashboard!D$8* Dashboard!$F$4+Dashboard!D$10*SQRT(Dashboard!$F$4) * _xlfn.NORM.S.INV(RAND())</f>
        <v>2.7728321078937714E-2</v>
      </c>
    </row>
    <row r="1011" spans="18:21" x14ac:dyDescent="0.2">
      <c r="R1011" s="49">
        <v>1009</v>
      </c>
      <c r="S1011" s="59">
        <f ca="1">Dashboard!B$8* Dashboard!$F$4+Dashboard!B$10*SQRT(Dashboard!$F$4) * _xlfn.NORM.S.INV(RAND())</f>
        <v>-1.8972986315532802E-2</v>
      </c>
      <c r="T1011" s="59">
        <f ca="1">Dashboard!C$8* Dashboard!$F$4+Dashboard!C$10*SQRT(Dashboard!$F$4) * _xlfn.NORM.S.INV(RAND())</f>
        <v>-2.5463703009828819E-3</v>
      </c>
      <c r="U1011" s="59">
        <f ca="1">Dashboard!D$8* Dashboard!$F$4+Dashboard!D$10*SQRT(Dashboard!$F$4) * _xlfn.NORM.S.INV(RAND())</f>
        <v>7.1756508713024343E-3</v>
      </c>
    </row>
    <row r="1012" spans="18:21" x14ac:dyDescent="0.2">
      <c r="R1012" s="49">
        <v>1010</v>
      </c>
      <c r="S1012" s="59">
        <f ca="1">Dashboard!B$8* Dashboard!$F$4+Dashboard!B$10*SQRT(Dashboard!$F$4) * _xlfn.NORM.S.INV(RAND())</f>
        <v>1.5216756046850041E-2</v>
      </c>
      <c r="T1012" s="59">
        <f ca="1">Dashboard!C$8* Dashboard!$F$4+Dashboard!C$10*SQRT(Dashboard!$F$4) * _xlfn.NORM.S.INV(RAND())</f>
        <v>1.8458551273035275E-2</v>
      </c>
      <c r="U1012" s="59">
        <f ca="1">Dashboard!D$8* Dashboard!$F$4+Dashboard!D$10*SQRT(Dashboard!$F$4) * _xlfn.NORM.S.INV(RAND())</f>
        <v>-4.6853846843030539E-2</v>
      </c>
    </row>
    <row r="1013" spans="18:21" x14ac:dyDescent="0.2">
      <c r="R1013" s="49">
        <v>1011</v>
      </c>
      <c r="S1013" s="59">
        <f ca="1">Dashboard!B$8* Dashboard!$F$4+Dashboard!B$10*SQRT(Dashboard!$F$4) * _xlfn.NORM.S.INV(RAND())</f>
        <v>-3.4028339946881592E-5</v>
      </c>
      <c r="T1013" s="59">
        <f ca="1">Dashboard!C$8* Dashboard!$F$4+Dashboard!C$10*SQRT(Dashboard!$F$4) * _xlfn.NORM.S.INV(RAND())</f>
        <v>-1.8302269614056899E-2</v>
      </c>
      <c r="U1013" s="59">
        <f ca="1">Dashboard!D$8* Dashboard!$F$4+Dashboard!D$10*SQRT(Dashboard!$F$4) * _xlfn.NORM.S.INV(RAND())</f>
        <v>-1.0490545181634772E-2</v>
      </c>
    </row>
    <row r="1014" spans="18:21" x14ac:dyDescent="0.2">
      <c r="R1014" s="49">
        <v>1012</v>
      </c>
      <c r="S1014" s="59">
        <f ca="1">Dashboard!B$8* Dashboard!$F$4+Dashboard!B$10*SQRT(Dashboard!$F$4) * _xlfn.NORM.S.INV(RAND())</f>
        <v>4.2417327204749306E-2</v>
      </c>
      <c r="T1014" s="59">
        <f ca="1">Dashboard!C$8* Dashboard!$F$4+Dashboard!C$10*SQRT(Dashboard!$F$4) * _xlfn.NORM.S.INV(RAND())</f>
        <v>-3.4919968257010665E-2</v>
      </c>
      <c r="U1014" s="59">
        <f ca="1">Dashboard!D$8* Dashboard!$F$4+Dashboard!D$10*SQRT(Dashboard!$F$4) * _xlfn.NORM.S.INV(RAND())</f>
        <v>-5.1428406881971721E-2</v>
      </c>
    </row>
    <row r="1015" spans="18:21" x14ac:dyDescent="0.2">
      <c r="R1015" s="49">
        <v>1013</v>
      </c>
      <c r="S1015" s="59">
        <f ca="1">Dashboard!B$8* Dashboard!$F$4+Dashboard!B$10*SQRT(Dashboard!$F$4) * _xlfn.NORM.S.INV(RAND())</f>
        <v>5.7028314575640719E-2</v>
      </c>
      <c r="T1015" s="59">
        <f ca="1">Dashboard!C$8* Dashboard!$F$4+Dashboard!C$10*SQRT(Dashboard!$F$4) * _xlfn.NORM.S.INV(RAND())</f>
        <v>3.9308016442452035E-2</v>
      </c>
      <c r="U1015" s="59">
        <f ca="1">Dashboard!D$8* Dashboard!$F$4+Dashboard!D$10*SQRT(Dashboard!$F$4) * _xlfn.NORM.S.INV(RAND())</f>
        <v>6.461825209719127E-2</v>
      </c>
    </row>
    <row r="1016" spans="18:21" x14ac:dyDescent="0.2">
      <c r="R1016" s="49">
        <v>1014</v>
      </c>
      <c r="S1016" s="59">
        <f ca="1">Dashboard!B$8* Dashboard!$F$4+Dashboard!B$10*SQRT(Dashboard!$F$4) * _xlfn.NORM.S.INV(RAND())</f>
        <v>-5.9493323797316809E-3</v>
      </c>
      <c r="T1016" s="59">
        <f ca="1">Dashboard!C$8* Dashboard!$F$4+Dashboard!C$10*SQRT(Dashboard!$F$4) * _xlfn.NORM.S.INV(RAND())</f>
        <v>1.1672187432195575E-2</v>
      </c>
      <c r="U1016" s="59">
        <f ca="1">Dashboard!D$8* Dashboard!$F$4+Dashboard!D$10*SQRT(Dashboard!$F$4) * _xlfn.NORM.S.INV(RAND())</f>
        <v>1.8927209812430693E-2</v>
      </c>
    </row>
    <row r="1017" spans="18:21" x14ac:dyDescent="0.2">
      <c r="R1017" s="49">
        <v>1015</v>
      </c>
      <c r="S1017" s="59">
        <f ca="1">Dashboard!B$8* Dashboard!$F$4+Dashboard!B$10*SQRT(Dashboard!$F$4) * _xlfn.NORM.S.INV(RAND())</f>
        <v>-3.1864557239215302E-2</v>
      </c>
      <c r="T1017" s="59">
        <f ca="1">Dashboard!C$8* Dashboard!$F$4+Dashboard!C$10*SQRT(Dashboard!$F$4) * _xlfn.NORM.S.INV(RAND())</f>
        <v>-6.1079528576926362E-2</v>
      </c>
      <c r="U1017" s="59">
        <f ca="1">Dashboard!D$8* Dashboard!$F$4+Dashboard!D$10*SQRT(Dashboard!$F$4) * _xlfn.NORM.S.INV(RAND())</f>
        <v>-3.2989267237422737E-2</v>
      </c>
    </row>
    <row r="1018" spans="18:21" x14ac:dyDescent="0.2">
      <c r="R1018" s="49">
        <v>1016</v>
      </c>
      <c r="S1018" s="59">
        <f ca="1">Dashboard!B$8* Dashboard!$F$4+Dashboard!B$10*SQRT(Dashboard!$F$4) * _xlfn.NORM.S.INV(RAND())</f>
        <v>-5.517531576433813E-2</v>
      </c>
      <c r="T1018" s="59">
        <f ca="1">Dashboard!C$8* Dashboard!$F$4+Dashboard!C$10*SQRT(Dashboard!$F$4) * _xlfn.NORM.S.INV(RAND())</f>
        <v>-1.1953952380695451E-5</v>
      </c>
      <c r="U1018" s="59">
        <f ca="1">Dashboard!D$8* Dashboard!$F$4+Dashboard!D$10*SQRT(Dashboard!$F$4) * _xlfn.NORM.S.INV(RAND())</f>
        <v>-2.6505727730484277E-3</v>
      </c>
    </row>
    <row r="1019" spans="18:21" x14ac:dyDescent="0.2">
      <c r="R1019" s="49">
        <v>1017</v>
      </c>
      <c r="S1019" s="59">
        <f ca="1">Dashboard!B$8* Dashboard!$F$4+Dashboard!B$10*SQRT(Dashboard!$F$4) * _xlfn.NORM.S.INV(RAND())</f>
        <v>-1.5716851755538289E-2</v>
      </c>
      <c r="T1019" s="59">
        <f ca="1">Dashboard!C$8* Dashboard!$F$4+Dashboard!C$10*SQRT(Dashboard!$F$4) * _xlfn.NORM.S.INV(RAND())</f>
        <v>4.117309365936335E-2</v>
      </c>
      <c r="U1019" s="59">
        <f ca="1">Dashboard!D$8* Dashboard!$F$4+Dashboard!D$10*SQRT(Dashboard!$F$4) * _xlfn.NORM.S.INV(RAND())</f>
        <v>-1.932092708204908E-3</v>
      </c>
    </row>
    <row r="1020" spans="18:21" x14ac:dyDescent="0.2">
      <c r="R1020" s="49">
        <v>1018</v>
      </c>
      <c r="S1020" s="59">
        <f ca="1">Dashboard!B$8* Dashboard!$F$4+Dashboard!B$10*SQRT(Dashboard!$F$4) * _xlfn.NORM.S.INV(RAND())</f>
        <v>-1.3465499991156351E-3</v>
      </c>
      <c r="T1020" s="59">
        <f ca="1">Dashboard!C$8* Dashboard!$F$4+Dashboard!C$10*SQRT(Dashboard!$F$4) * _xlfn.NORM.S.INV(RAND())</f>
        <v>6.1319342276760364E-2</v>
      </c>
      <c r="U1020" s="59">
        <f ca="1">Dashboard!D$8* Dashboard!$F$4+Dashboard!D$10*SQRT(Dashboard!$F$4) * _xlfn.NORM.S.INV(RAND())</f>
        <v>-9.7310421835273518E-3</v>
      </c>
    </row>
    <row r="1021" spans="18:21" x14ac:dyDescent="0.2">
      <c r="R1021" s="49">
        <v>1019</v>
      </c>
      <c r="S1021" s="59">
        <f ca="1">Dashboard!B$8* Dashboard!$F$4+Dashboard!B$10*SQRT(Dashboard!$F$4) * _xlfn.NORM.S.INV(RAND())</f>
        <v>-2.3091180784924857E-2</v>
      </c>
      <c r="T1021" s="59">
        <f ca="1">Dashboard!C$8* Dashboard!$F$4+Dashboard!C$10*SQRT(Dashboard!$F$4) * _xlfn.NORM.S.INV(RAND())</f>
        <v>-3.9568043260067159E-2</v>
      </c>
      <c r="U1021" s="59">
        <f ca="1">Dashboard!D$8* Dashboard!$F$4+Dashboard!D$10*SQRT(Dashboard!$F$4) * _xlfn.NORM.S.INV(RAND())</f>
        <v>-8.0948156604636144E-3</v>
      </c>
    </row>
    <row r="1022" spans="18:21" x14ac:dyDescent="0.2">
      <c r="R1022" s="49">
        <v>1020</v>
      </c>
      <c r="S1022" s="59">
        <f ca="1">Dashboard!B$8* Dashboard!$F$4+Dashboard!B$10*SQRT(Dashboard!$F$4) * _xlfn.NORM.S.INV(RAND())</f>
        <v>3.8044842560977898E-2</v>
      </c>
      <c r="T1022" s="59">
        <f ca="1">Dashboard!C$8* Dashboard!$F$4+Dashboard!C$10*SQRT(Dashboard!$F$4) * _xlfn.NORM.S.INV(RAND())</f>
        <v>-6.519721252743127E-2</v>
      </c>
      <c r="U1022" s="59">
        <f ca="1">Dashboard!D$8* Dashboard!$F$4+Dashboard!D$10*SQRT(Dashboard!$F$4) * _xlfn.NORM.S.INV(RAND())</f>
        <v>1.9991567741594874E-2</v>
      </c>
    </row>
    <row r="1023" spans="18:21" x14ac:dyDescent="0.2">
      <c r="R1023" s="49">
        <v>1021</v>
      </c>
      <c r="S1023" s="59">
        <f ca="1">Dashboard!B$8* Dashboard!$F$4+Dashboard!B$10*SQRT(Dashboard!$F$4) * _xlfn.NORM.S.INV(RAND())</f>
        <v>-4.0953277534052299E-2</v>
      </c>
      <c r="T1023" s="59">
        <f ca="1">Dashboard!C$8* Dashboard!$F$4+Dashboard!C$10*SQRT(Dashboard!$F$4) * _xlfn.NORM.S.INV(RAND())</f>
        <v>-6.583585233126181E-2</v>
      </c>
      <c r="U1023" s="59">
        <f ca="1">Dashboard!D$8* Dashboard!$F$4+Dashboard!D$10*SQRT(Dashboard!$F$4) * _xlfn.NORM.S.INV(RAND())</f>
        <v>2.1753684645664496E-2</v>
      </c>
    </row>
    <row r="1024" spans="18:21" x14ac:dyDescent="0.2">
      <c r="R1024" s="49">
        <v>1022</v>
      </c>
      <c r="S1024" s="59">
        <f ca="1">Dashboard!B$8* Dashboard!$F$4+Dashboard!B$10*SQRT(Dashboard!$F$4) * _xlfn.NORM.S.INV(RAND())</f>
        <v>1.0883557130329189E-2</v>
      </c>
      <c r="T1024" s="59">
        <f ca="1">Dashboard!C$8* Dashboard!$F$4+Dashboard!C$10*SQRT(Dashboard!$F$4) * _xlfn.NORM.S.INV(RAND())</f>
        <v>-8.3418057531686518E-2</v>
      </c>
      <c r="U1024" s="59">
        <f ca="1">Dashboard!D$8* Dashboard!$F$4+Dashboard!D$10*SQRT(Dashboard!$F$4) * _xlfn.NORM.S.INV(RAND())</f>
        <v>7.8005504135837678E-3</v>
      </c>
    </row>
    <row r="1025" spans="18:21" x14ac:dyDescent="0.2">
      <c r="R1025" s="49">
        <v>1023</v>
      </c>
      <c r="S1025" s="59">
        <f ca="1">Dashboard!B$8* Dashboard!$F$4+Dashboard!B$10*SQRT(Dashboard!$F$4) * _xlfn.NORM.S.INV(RAND())</f>
        <v>-2.9604635012771968E-2</v>
      </c>
      <c r="T1025" s="59">
        <f ca="1">Dashboard!C$8* Dashboard!$F$4+Dashboard!C$10*SQRT(Dashboard!$F$4) * _xlfn.NORM.S.INV(RAND())</f>
        <v>2.2876485467264014E-2</v>
      </c>
      <c r="U1025" s="59">
        <f ca="1">Dashboard!D$8* Dashboard!$F$4+Dashboard!D$10*SQRT(Dashboard!$F$4) * _xlfn.NORM.S.INV(RAND())</f>
        <v>-7.4442628821943758E-3</v>
      </c>
    </row>
    <row r="1026" spans="18:21" x14ac:dyDescent="0.2">
      <c r="R1026" s="49">
        <v>1024</v>
      </c>
      <c r="S1026" s="59">
        <f ca="1">Dashboard!B$8* Dashboard!$F$4+Dashboard!B$10*SQRT(Dashboard!$F$4) * _xlfn.NORM.S.INV(RAND())</f>
        <v>4.9364052325006139E-3</v>
      </c>
      <c r="T1026" s="59">
        <f ca="1">Dashboard!C$8* Dashboard!$F$4+Dashboard!C$10*SQRT(Dashboard!$F$4) * _xlfn.NORM.S.INV(RAND())</f>
        <v>8.4849220737214914E-3</v>
      </c>
      <c r="U1026" s="59">
        <f ca="1">Dashboard!D$8* Dashboard!$F$4+Dashboard!D$10*SQRT(Dashboard!$F$4) * _xlfn.NORM.S.INV(RAND())</f>
        <v>-7.9821298663285606E-2</v>
      </c>
    </row>
    <row r="1027" spans="18:21" x14ac:dyDescent="0.2">
      <c r="R1027" s="49">
        <v>1025</v>
      </c>
      <c r="S1027" s="59">
        <f ca="1">Dashboard!B$8* Dashboard!$F$4+Dashboard!B$10*SQRT(Dashboard!$F$4) * _xlfn.NORM.S.INV(RAND())</f>
        <v>-4.4841984955382351E-2</v>
      </c>
      <c r="T1027" s="59">
        <f ca="1">Dashboard!C$8* Dashboard!$F$4+Dashboard!C$10*SQRT(Dashboard!$F$4) * _xlfn.NORM.S.INV(RAND())</f>
        <v>6.9679681895915266E-2</v>
      </c>
      <c r="U1027" s="59">
        <f ca="1">Dashboard!D$8* Dashboard!$F$4+Dashboard!D$10*SQRT(Dashboard!$F$4) * _xlfn.NORM.S.INV(RAND())</f>
        <v>1.3633032058096559E-2</v>
      </c>
    </row>
    <row r="1028" spans="18:21" x14ac:dyDescent="0.2">
      <c r="R1028" s="49">
        <v>1026</v>
      </c>
      <c r="S1028" s="59">
        <f ca="1">Dashboard!B$8* Dashboard!$F$4+Dashboard!B$10*SQRT(Dashboard!$F$4) * _xlfn.NORM.S.INV(RAND())</f>
        <v>-2.3170075532808178E-2</v>
      </c>
      <c r="T1028" s="59">
        <f ca="1">Dashboard!C$8* Dashboard!$F$4+Dashboard!C$10*SQRT(Dashboard!$F$4) * _xlfn.NORM.S.INV(RAND())</f>
        <v>3.1452361982093655E-2</v>
      </c>
      <c r="U1028" s="59">
        <f ca="1">Dashboard!D$8* Dashboard!$F$4+Dashboard!D$10*SQRT(Dashboard!$F$4) * _xlfn.NORM.S.INV(RAND())</f>
        <v>-1.3853934270166958E-2</v>
      </c>
    </row>
    <row r="1029" spans="18:21" x14ac:dyDescent="0.2">
      <c r="R1029" s="49">
        <v>1027</v>
      </c>
      <c r="S1029" s="59">
        <f ca="1">Dashboard!B$8* Dashboard!$F$4+Dashboard!B$10*SQRT(Dashboard!$F$4) * _xlfn.NORM.S.INV(RAND())</f>
        <v>-1.4283183878605587E-2</v>
      </c>
      <c r="T1029" s="59">
        <f ca="1">Dashboard!C$8* Dashboard!$F$4+Dashboard!C$10*SQRT(Dashboard!$F$4) * _xlfn.NORM.S.INV(RAND())</f>
        <v>8.7390415725259428E-3</v>
      </c>
      <c r="U1029" s="59">
        <f ca="1">Dashboard!D$8* Dashboard!$F$4+Dashboard!D$10*SQRT(Dashboard!$F$4) * _xlfn.NORM.S.INV(RAND())</f>
        <v>-2.0599687258683413E-2</v>
      </c>
    </row>
    <row r="1030" spans="18:21" x14ac:dyDescent="0.2">
      <c r="R1030" s="49">
        <v>1028</v>
      </c>
      <c r="S1030" s="59">
        <f ca="1">Dashboard!B$8* Dashboard!$F$4+Dashboard!B$10*SQRT(Dashboard!$F$4) * _xlfn.NORM.S.INV(RAND())</f>
        <v>4.9870887459755847E-2</v>
      </c>
      <c r="T1030" s="59">
        <f ca="1">Dashboard!C$8* Dashboard!$F$4+Dashboard!C$10*SQRT(Dashboard!$F$4) * _xlfn.NORM.S.INV(RAND())</f>
        <v>-2.5328981648678976E-3</v>
      </c>
      <c r="U1030" s="59">
        <f ca="1">Dashboard!D$8* Dashboard!$F$4+Dashboard!D$10*SQRT(Dashboard!$F$4) * _xlfn.NORM.S.INV(RAND())</f>
        <v>2.894806330699792E-3</v>
      </c>
    </row>
    <row r="1031" spans="18:21" x14ac:dyDescent="0.2">
      <c r="R1031" s="49">
        <v>1029</v>
      </c>
      <c r="S1031" s="59">
        <f ca="1">Dashboard!B$8* Dashboard!$F$4+Dashboard!B$10*SQRT(Dashboard!$F$4) * _xlfn.NORM.S.INV(RAND())</f>
        <v>-4.0373765713976523E-2</v>
      </c>
      <c r="T1031" s="59">
        <f ca="1">Dashboard!C$8* Dashboard!$F$4+Dashboard!C$10*SQRT(Dashboard!$F$4) * _xlfn.NORM.S.INV(RAND())</f>
        <v>-2.2058698590871707E-2</v>
      </c>
      <c r="U1031" s="59">
        <f ca="1">Dashboard!D$8* Dashboard!$F$4+Dashboard!D$10*SQRT(Dashboard!$F$4) * _xlfn.NORM.S.INV(RAND())</f>
        <v>1.3349652633976493E-2</v>
      </c>
    </row>
    <row r="1032" spans="18:21" x14ac:dyDescent="0.2">
      <c r="R1032" s="49">
        <v>1030</v>
      </c>
      <c r="S1032" s="59">
        <f ca="1">Dashboard!B$8* Dashboard!$F$4+Dashboard!B$10*SQRT(Dashboard!$F$4) * _xlfn.NORM.S.INV(RAND())</f>
        <v>6.3320795166475433E-3</v>
      </c>
      <c r="T1032" s="59">
        <f ca="1">Dashboard!C$8* Dashboard!$F$4+Dashboard!C$10*SQRT(Dashboard!$F$4) * _xlfn.NORM.S.INV(RAND())</f>
        <v>-6.3477476593362378E-2</v>
      </c>
      <c r="U1032" s="59">
        <f ca="1">Dashboard!D$8* Dashboard!$F$4+Dashboard!D$10*SQRT(Dashboard!$F$4) * _xlfn.NORM.S.INV(RAND())</f>
        <v>2.8725534634586852E-2</v>
      </c>
    </row>
    <row r="1033" spans="18:21" x14ac:dyDescent="0.2">
      <c r="R1033" s="49">
        <v>1031</v>
      </c>
      <c r="S1033" s="59">
        <f ca="1">Dashboard!B$8* Dashboard!$F$4+Dashboard!B$10*SQRT(Dashboard!$F$4) * _xlfn.NORM.S.INV(RAND())</f>
        <v>-1.9892921095032746E-2</v>
      </c>
      <c r="T1033" s="59">
        <f ca="1">Dashboard!C$8* Dashboard!$F$4+Dashboard!C$10*SQRT(Dashboard!$F$4) * _xlfn.NORM.S.INV(RAND())</f>
        <v>4.2676444251125045E-2</v>
      </c>
      <c r="U1033" s="59">
        <f ca="1">Dashboard!D$8* Dashboard!$F$4+Dashboard!D$10*SQRT(Dashboard!$F$4) * _xlfn.NORM.S.INV(RAND())</f>
        <v>-8.3698782340571164E-3</v>
      </c>
    </row>
    <row r="1034" spans="18:21" x14ac:dyDescent="0.2">
      <c r="R1034" s="49">
        <v>1032</v>
      </c>
      <c r="S1034" s="59">
        <f ca="1">Dashboard!B$8* Dashboard!$F$4+Dashboard!B$10*SQRT(Dashboard!$F$4) * _xlfn.NORM.S.INV(RAND())</f>
        <v>-1.4514427082273511E-2</v>
      </c>
      <c r="T1034" s="59">
        <f ca="1">Dashboard!C$8* Dashboard!$F$4+Dashboard!C$10*SQRT(Dashboard!$F$4) * _xlfn.NORM.S.INV(RAND())</f>
        <v>3.6902642169922492E-2</v>
      </c>
      <c r="U1034" s="59">
        <f ca="1">Dashboard!D$8* Dashboard!$F$4+Dashboard!D$10*SQRT(Dashboard!$F$4) * _xlfn.NORM.S.INV(RAND())</f>
        <v>-3.1723002063721834E-2</v>
      </c>
    </row>
    <row r="1035" spans="18:21" x14ac:dyDescent="0.2">
      <c r="R1035" s="49">
        <v>1033</v>
      </c>
      <c r="S1035" s="59">
        <f ca="1">Dashboard!B$8* Dashboard!$F$4+Dashboard!B$10*SQRT(Dashboard!$F$4) * _xlfn.NORM.S.INV(RAND())</f>
        <v>-3.148494347308297E-2</v>
      </c>
      <c r="T1035" s="59">
        <f ca="1">Dashboard!C$8* Dashboard!$F$4+Dashboard!C$10*SQRT(Dashboard!$F$4) * _xlfn.NORM.S.INV(RAND())</f>
        <v>3.1682786349597244E-2</v>
      </c>
      <c r="U1035" s="59">
        <f ca="1">Dashboard!D$8* Dashboard!$F$4+Dashboard!D$10*SQRT(Dashboard!$F$4) * _xlfn.NORM.S.INV(RAND())</f>
        <v>-1.4417729668461929E-2</v>
      </c>
    </row>
    <row r="1036" spans="18:21" x14ac:dyDescent="0.2">
      <c r="R1036" s="49">
        <v>1034</v>
      </c>
      <c r="S1036" s="59">
        <f ca="1">Dashboard!B$8* Dashboard!$F$4+Dashboard!B$10*SQRT(Dashboard!$F$4) * _xlfn.NORM.S.INV(RAND())</f>
        <v>1.1676174783858616E-2</v>
      </c>
      <c r="T1036" s="59">
        <f ca="1">Dashboard!C$8* Dashboard!$F$4+Dashboard!C$10*SQRT(Dashboard!$F$4) * _xlfn.NORM.S.INV(RAND())</f>
        <v>1.2636510697031065E-2</v>
      </c>
      <c r="U1036" s="59">
        <f ca="1">Dashboard!D$8* Dashboard!$F$4+Dashboard!D$10*SQRT(Dashboard!$F$4) * _xlfn.NORM.S.INV(RAND())</f>
        <v>1.3248529605964452E-2</v>
      </c>
    </row>
    <row r="1037" spans="18:21" x14ac:dyDescent="0.2">
      <c r="R1037" s="49">
        <v>1035</v>
      </c>
      <c r="S1037" s="59">
        <f ca="1">Dashboard!B$8* Dashboard!$F$4+Dashboard!B$10*SQRT(Dashboard!$F$4) * _xlfn.NORM.S.INV(RAND())</f>
        <v>1.3616059125330543E-2</v>
      </c>
      <c r="T1037" s="59">
        <f ca="1">Dashboard!C$8* Dashboard!$F$4+Dashboard!C$10*SQRT(Dashboard!$F$4) * _xlfn.NORM.S.INV(RAND())</f>
        <v>-1.0402901576263623E-2</v>
      </c>
      <c r="U1037" s="59">
        <f ca="1">Dashboard!D$8* Dashboard!$F$4+Dashboard!D$10*SQRT(Dashboard!$F$4) * _xlfn.NORM.S.INV(RAND())</f>
        <v>6.9683219964519882E-3</v>
      </c>
    </row>
    <row r="1038" spans="18:21" x14ac:dyDescent="0.2">
      <c r="R1038" s="49">
        <v>1036</v>
      </c>
      <c r="S1038" s="59">
        <f ca="1">Dashboard!B$8* Dashboard!$F$4+Dashboard!B$10*SQRT(Dashboard!$F$4) * _xlfn.NORM.S.INV(RAND())</f>
        <v>-5.1699799284015517E-2</v>
      </c>
      <c r="T1038" s="59">
        <f ca="1">Dashboard!C$8* Dashboard!$F$4+Dashboard!C$10*SQRT(Dashboard!$F$4) * _xlfn.NORM.S.INV(RAND())</f>
        <v>-5.0212674258148189E-2</v>
      </c>
      <c r="U1038" s="59">
        <f ca="1">Dashboard!D$8* Dashboard!$F$4+Dashboard!D$10*SQRT(Dashboard!$F$4) * _xlfn.NORM.S.INV(RAND())</f>
        <v>7.1529446231319238E-2</v>
      </c>
    </row>
    <row r="1039" spans="18:21" x14ac:dyDescent="0.2">
      <c r="R1039" s="49">
        <v>1037</v>
      </c>
      <c r="S1039" s="59">
        <f ca="1">Dashboard!B$8* Dashboard!$F$4+Dashboard!B$10*SQRT(Dashboard!$F$4) * _xlfn.NORM.S.INV(RAND())</f>
        <v>-4.5023078645728722E-2</v>
      </c>
      <c r="T1039" s="59">
        <f ca="1">Dashboard!C$8* Dashboard!$F$4+Dashboard!C$10*SQRT(Dashboard!$F$4) * _xlfn.NORM.S.INV(RAND())</f>
        <v>1.5813230783572052E-2</v>
      </c>
      <c r="U1039" s="59">
        <f ca="1">Dashboard!D$8* Dashboard!$F$4+Dashboard!D$10*SQRT(Dashboard!$F$4) * _xlfn.NORM.S.INV(RAND())</f>
        <v>-1.7206062354223523E-2</v>
      </c>
    </row>
    <row r="1040" spans="18:21" x14ac:dyDescent="0.2">
      <c r="R1040" s="49">
        <v>1038</v>
      </c>
      <c r="S1040" s="59">
        <f ca="1">Dashboard!B$8* Dashboard!$F$4+Dashboard!B$10*SQRT(Dashboard!$F$4) * _xlfn.NORM.S.INV(RAND())</f>
        <v>8.0015564808316939E-3</v>
      </c>
      <c r="T1040" s="59">
        <f ca="1">Dashboard!C$8* Dashboard!$F$4+Dashboard!C$10*SQRT(Dashboard!$F$4) * _xlfn.NORM.S.INV(RAND())</f>
        <v>5.7207724940686868E-3</v>
      </c>
      <c r="U1040" s="59">
        <f ca="1">Dashboard!D$8* Dashboard!$F$4+Dashboard!D$10*SQRT(Dashboard!$F$4) * _xlfn.NORM.S.INV(RAND())</f>
        <v>-7.7396860438926823E-2</v>
      </c>
    </row>
    <row r="1041" spans="18:21" x14ac:dyDescent="0.2">
      <c r="R1041" s="49">
        <v>1039</v>
      </c>
      <c r="S1041" s="59">
        <f ca="1">Dashboard!B$8* Dashboard!$F$4+Dashboard!B$10*SQRT(Dashboard!$F$4) * _xlfn.NORM.S.INV(RAND())</f>
        <v>-2.5167023777095295E-2</v>
      </c>
      <c r="T1041" s="59">
        <f ca="1">Dashboard!C$8* Dashboard!$F$4+Dashboard!C$10*SQRT(Dashboard!$F$4) * _xlfn.NORM.S.INV(RAND())</f>
        <v>3.4280964802765185E-2</v>
      </c>
      <c r="U1041" s="59">
        <f ca="1">Dashboard!D$8* Dashboard!$F$4+Dashboard!D$10*SQRT(Dashboard!$F$4) * _xlfn.NORM.S.INV(RAND())</f>
        <v>3.017835778953433E-2</v>
      </c>
    </row>
    <row r="1042" spans="18:21" x14ac:dyDescent="0.2">
      <c r="R1042" s="49">
        <v>1040</v>
      </c>
      <c r="S1042" s="59">
        <f ca="1">Dashboard!B$8* Dashboard!$F$4+Dashboard!B$10*SQRT(Dashboard!$F$4) * _xlfn.NORM.S.INV(RAND())</f>
        <v>2.2097161560615558E-2</v>
      </c>
      <c r="T1042" s="59">
        <f ca="1">Dashboard!C$8* Dashboard!$F$4+Dashboard!C$10*SQRT(Dashboard!$F$4) * _xlfn.NORM.S.INV(RAND())</f>
        <v>1.4448510535378118E-2</v>
      </c>
      <c r="U1042" s="59">
        <f ca="1">Dashboard!D$8* Dashboard!$F$4+Dashboard!D$10*SQRT(Dashboard!$F$4) * _xlfn.NORM.S.INV(RAND())</f>
        <v>9.3554757296356594E-2</v>
      </c>
    </row>
    <row r="1043" spans="18:21" x14ac:dyDescent="0.2">
      <c r="R1043" s="49">
        <v>1041</v>
      </c>
      <c r="S1043" s="59">
        <f ca="1">Dashboard!B$8* Dashboard!$F$4+Dashboard!B$10*SQRT(Dashboard!$F$4) * _xlfn.NORM.S.INV(RAND())</f>
        <v>-3.0487393780218759E-2</v>
      </c>
      <c r="T1043" s="59">
        <f ca="1">Dashboard!C$8* Dashboard!$F$4+Dashboard!C$10*SQRT(Dashboard!$F$4) * _xlfn.NORM.S.INV(RAND())</f>
        <v>-6.5211136532640088E-2</v>
      </c>
      <c r="U1043" s="59">
        <f ca="1">Dashboard!D$8* Dashboard!$F$4+Dashboard!D$10*SQRT(Dashboard!$F$4) * _xlfn.NORM.S.INV(RAND())</f>
        <v>-3.1027530499619271E-2</v>
      </c>
    </row>
    <row r="1044" spans="18:21" x14ac:dyDescent="0.2">
      <c r="R1044" s="49">
        <v>1042</v>
      </c>
      <c r="S1044" s="59">
        <f ca="1">Dashboard!B$8* Dashboard!$F$4+Dashboard!B$10*SQRT(Dashboard!$F$4) * _xlfn.NORM.S.INV(RAND())</f>
        <v>4.9749802880514865E-2</v>
      </c>
      <c r="T1044" s="59">
        <f ca="1">Dashboard!C$8* Dashboard!$F$4+Dashboard!C$10*SQRT(Dashboard!$F$4) * _xlfn.NORM.S.INV(RAND())</f>
        <v>-4.5414284559891875E-2</v>
      </c>
      <c r="U1044" s="59">
        <f ca="1">Dashboard!D$8* Dashboard!$F$4+Dashboard!D$10*SQRT(Dashboard!$F$4) * _xlfn.NORM.S.INV(RAND())</f>
        <v>9.1145998396810896E-3</v>
      </c>
    </row>
    <row r="1045" spans="18:21" x14ac:dyDescent="0.2">
      <c r="R1045" s="49">
        <v>1043</v>
      </c>
      <c r="S1045" s="59">
        <f ca="1">Dashboard!B$8* Dashboard!$F$4+Dashboard!B$10*SQRT(Dashboard!$F$4) * _xlfn.NORM.S.INV(RAND())</f>
        <v>1.3791096151625949E-2</v>
      </c>
      <c r="T1045" s="59">
        <f ca="1">Dashboard!C$8* Dashboard!$F$4+Dashboard!C$10*SQRT(Dashboard!$F$4) * _xlfn.NORM.S.INV(RAND())</f>
        <v>-1.0069294915548022E-4</v>
      </c>
      <c r="U1045" s="59">
        <f ca="1">Dashboard!D$8* Dashboard!$F$4+Dashboard!D$10*SQRT(Dashboard!$F$4) * _xlfn.NORM.S.INV(RAND())</f>
        <v>3.135686564178692E-2</v>
      </c>
    </row>
    <row r="1046" spans="18:21" x14ac:dyDescent="0.2">
      <c r="R1046" s="49">
        <v>1044</v>
      </c>
      <c r="S1046" s="59">
        <f ca="1">Dashboard!B$8* Dashboard!$F$4+Dashboard!B$10*SQRT(Dashboard!$F$4) * _xlfn.NORM.S.INV(RAND())</f>
        <v>-6.7901204776511917E-2</v>
      </c>
      <c r="T1046" s="59">
        <f ca="1">Dashboard!C$8* Dashboard!$F$4+Dashboard!C$10*SQRT(Dashboard!$F$4) * _xlfn.NORM.S.INV(RAND())</f>
        <v>5.0075282061520038E-2</v>
      </c>
      <c r="U1046" s="59">
        <f ca="1">Dashboard!D$8* Dashboard!$F$4+Dashboard!D$10*SQRT(Dashboard!$F$4) * _xlfn.NORM.S.INV(RAND())</f>
        <v>-5.2412127424382388E-3</v>
      </c>
    </row>
    <row r="1047" spans="18:21" x14ac:dyDescent="0.2">
      <c r="R1047" s="49">
        <v>1045</v>
      </c>
      <c r="S1047" s="59">
        <f ca="1">Dashboard!B$8* Dashboard!$F$4+Dashboard!B$10*SQRT(Dashboard!$F$4) * _xlfn.NORM.S.INV(RAND())</f>
        <v>-2.2493650713088113E-2</v>
      </c>
      <c r="T1047" s="59">
        <f ca="1">Dashboard!C$8* Dashboard!$F$4+Dashboard!C$10*SQRT(Dashboard!$F$4) * _xlfn.NORM.S.INV(RAND())</f>
        <v>1.5606876606824387E-3</v>
      </c>
      <c r="U1047" s="59">
        <f ca="1">Dashboard!D$8* Dashboard!$F$4+Dashboard!D$10*SQRT(Dashboard!$F$4) * _xlfn.NORM.S.INV(RAND())</f>
        <v>-1.2512490548999555E-2</v>
      </c>
    </row>
    <row r="1048" spans="18:21" x14ac:dyDescent="0.2">
      <c r="R1048" s="49">
        <v>1046</v>
      </c>
      <c r="S1048" s="59">
        <f ca="1">Dashboard!B$8* Dashboard!$F$4+Dashboard!B$10*SQRT(Dashboard!$F$4) * _xlfn.NORM.S.INV(RAND())</f>
        <v>6.7255591939390416E-2</v>
      </c>
      <c r="T1048" s="59">
        <f ca="1">Dashboard!C$8* Dashboard!$F$4+Dashboard!C$10*SQRT(Dashboard!$F$4) * _xlfn.NORM.S.INV(RAND())</f>
        <v>4.4639240950131387E-2</v>
      </c>
      <c r="U1048" s="59">
        <f ca="1">Dashboard!D$8* Dashboard!$F$4+Dashboard!D$10*SQRT(Dashboard!$F$4) * _xlfn.NORM.S.INV(RAND())</f>
        <v>3.1182358065965025E-2</v>
      </c>
    </row>
    <row r="1049" spans="18:21" x14ac:dyDescent="0.2">
      <c r="R1049" s="49">
        <v>1047</v>
      </c>
      <c r="S1049" s="59">
        <f ca="1">Dashboard!B$8* Dashboard!$F$4+Dashboard!B$10*SQRT(Dashboard!$F$4) * _xlfn.NORM.S.INV(RAND())</f>
        <v>6.431065813842865E-2</v>
      </c>
      <c r="T1049" s="59">
        <f ca="1">Dashboard!C$8* Dashboard!$F$4+Dashboard!C$10*SQRT(Dashboard!$F$4) * _xlfn.NORM.S.INV(RAND())</f>
        <v>-0.10144251654106273</v>
      </c>
      <c r="U1049" s="59">
        <f ca="1">Dashboard!D$8* Dashboard!$F$4+Dashboard!D$10*SQRT(Dashboard!$F$4) * _xlfn.NORM.S.INV(RAND())</f>
        <v>1.3469117941172356E-2</v>
      </c>
    </row>
    <row r="1050" spans="18:21" x14ac:dyDescent="0.2">
      <c r="R1050" s="49">
        <v>1048</v>
      </c>
      <c r="S1050" s="59">
        <f ca="1">Dashboard!B$8* Dashboard!$F$4+Dashboard!B$10*SQRT(Dashboard!$F$4) * _xlfn.NORM.S.INV(RAND())</f>
        <v>2.9708731129618603E-2</v>
      </c>
      <c r="T1050" s="59">
        <f ca="1">Dashboard!C$8* Dashboard!$F$4+Dashboard!C$10*SQRT(Dashboard!$F$4) * _xlfn.NORM.S.INV(RAND())</f>
        <v>4.1816065458846023E-3</v>
      </c>
      <c r="U1050" s="59">
        <f ca="1">Dashboard!D$8* Dashboard!$F$4+Dashboard!D$10*SQRT(Dashboard!$F$4) * _xlfn.NORM.S.INV(RAND())</f>
        <v>-9.6006720495740612E-3</v>
      </c>
    </row>
    <row r="1051" spans="18:21" x14ac:dyDescent="0.2">
      <c r="R1051" s="49">
        <v>1049</v>
      </c>
      <c r="S1051" s="59">
        <f ca="1">Dashboard!B$8* Dashboard!$F$4+Dashboard!B$10*SQRT(Dashboard!$F$4) * _xlfn.NORM.S.INV(RAND())</f>
        <v>7.375581167672246E-2</v>
      </c>
      <c r="T1051" s="59">
        <f ca="1">Dashboard!C$8* Dashboard!$F$4+Dashboard!C$10*SQRT(Dashboard!$F$4) * _xlfn.NORM.S.INV(RAND())</f>
        <v>-1.5632933360351089E-3</v>
      </c>
      <c r="U1051" s="59">
        <f ca="1">Dashboard!D$8* Dashboard!$F$4+Dashboard!D$10*SQRT(Dashboard!$F$4) * _xlfn.NORM.S.INV(RAND())</f>
        <v>-3.8713862029487477E-2</v>
      </c>
    </row>
    <row r="1052" spans="18:21" x14ac:dyDescent="0.2">
      <c r="R1052" s="49">
        <v>1050</v>
      </c>
      <c r="S1052" s="59">
        <f ca="1">Dashboard!B$8* Dashboard!$F$4+Dashboard!B$10*SQRT(Dashboard!$F$4) * _xlfn.NORM.S.INV(RAND())</f>
        <v>-3.1858614837939163E-2</v>
      </c>
      <c r="T1052" s="59">
        <f ca="1">Dashboard!C$8* Dashboard!$F$4+Dashboard!C$10*SQRT(Dashboard!$F$4) * _xlfn.NORM.S.INV(RAND())</f>
        <v>-2.8490703808795714E-2</v>
      </c>
      <c r="U1052" s="59">
        <f ca="1">Dashboard!D$8* Dashboard!$F$4+Dashboard!D$10*SQRT(Dashboard!$F$4) * _xlfn.NORM.S.INV(RAND())</f>
        <v>2.4329950716004536E-2</v>
      </c>
    </row>
    <row r="1053" spans="18:21" x14ac:dyDescent="0.2">
      <c r="R1053" s="49">
        <v>1051</v>
      </c>
      <c r="S1053" s="59">
        <f ca="1">Dashboard!B$8* Dashboard!$F$4+Dashboard!B$10*SQRT(Dashboard!$F$4) * _xlfn.NORM.S.INV(RAND())</f>
        <v>2.1182129656019177E-2</v>
      </c>
      <c r="T1053" s="59">
        <f ca="1">Dashboard!C$8* Dashboard!$F$4+Dashboard!C$10*SQRT(Dashboard!$F$4) * _xlfn.NORM.S.INV(RAND())</f>
        <v>4.6955944815384697E-2</v>
      </c>
      <c r="U1053" s="59">
        <f ca="1">Dashboard!D$8* Dashboard!$F$4+Dashboard!D$10*SQRT(Dashboard!$F$4) * _xlfn.NORM.S.INV(RAND())</f>
        <v>-1.2087879344720017E-2</v>
      </c>
    </row>
    <row r="1054" spans="18:21" x14ac:dyDescent="0.2">
      <c r="R1054" s="49">
        <v>1052</v>
      </c>
      <c r="S1054" s="59">
        <f ca="1">Dashboard!B$8* Dashboard!$F$4+Dashboard!B$10*SQRT(Dashboard!$F$4) * _xlfn.NORM.S.INV(RAND())</f>
        <v>1.5447743582454274E-2</v>
      </c>
      <c r="T1054" s="59">
        <f ca="1">Dashboard!C$8* Dashboard!$F$4+Dashboard!C$10*SQRT(Dashboard!$F$4) * _xlfn.NORM.S.INV(RAND())</f>
        <v>6.4247876024250434E-3</v>
      </c>
      <c r="U1054" s="59">
        <f ca="1">Dashboard!D$8* Dashboard!$F$4+Dashboard!D$10*SQRT(Dashboard!$F$4) * _xlfn.NORM.S.INV(RAND())</f>
        <v>-3.1646270108208141E-2</v>
      </c>
    </row>
    <row r="1055" spans="18:21" x14ac:dyDescent="0.2">
      <c r="R1055" s="49">
        <v>1053</v>
      </c>
      <c r="S1055" s="59">
        <f ca="1">Dashboard!B$8* Dashboard!$F$4+Dashboard!B$10*SQRT(Dashboard!$F$4) * _xlfn.NORM.S.INV(RAND())</f>
        <v>-6.5826382056321329E-3</v>
      </c>
      <c r="T1055" s="59">
        <f ca="1">Dashboard!C$8* Dashboard!$F$4+Dashboard!C$10*SQRT(Dashboard!$F$4) * _xlfn.NORM.S.INV(RAND())</f>
        <v>4.4688861400466122E-2</v>
      </c>
      <c r="U1055" s="59">
        <f ca="1">Dashboard!D$8* Dashboard!$F$4+Dashboard!D$10*SQRT(Dashboard!$F$4) * _xlfn.NORM.S.INV(RAND())</f>
        <v>-4.7320465777078748E-2</v>
      </c>
    </row>
    <row r="1056" spans="18:21" x14ac:dyDescent="0.2">
      <c r="R1056" s="49">
        <v>1054</v>
      </c>
      <c r="S1056" s="59">
        <f ca="1">Dashboard!B$8* Dashboard!$F$4+Dashboard!B$10*SQRT(Dashboard!$F$4) * _xlfn.NORM.S.INV(RAND())</f>
        <v>2.7148780322138806E-2</v>
      </c>
      <c r="T1056" s="59">
        <f ca="1">Dashboard!C$8* Dashboard!$F$4+Dashboard!C$10*SQRT(Dashboard!$F$4) * _xlfn.NORM.S.INV(RAND())</f>
        <v>-1.6499782164411531E-3</v>
      </c>
      <c r="U1056" s="59">
        <f ca="1">Dashboard!D$8* Dashboard!$F$4+Dashboard!D$10*SQRT(Dashboard!$F$4) * _xlfn.NORM.S.INV(RAND())</f>
        <v>-5.1571248400081891E-2</v>
      </c>
    </row>
    <row r="1057" spans="18:21" x14ac:dyDescent="0.2">
      <c r="R1057" s="49">
        <v>1055</v>
      </c>
      <c r="S1057" s="59">
        <f ca="1">Dashboard!B$8* Dashboard!$F$4+Dashboard!B$10*SQRT(Dashboard!$F$4) * _xlfn.NORM.S.INV(RAND())</f>
        <v>7.7984121737085174E-3</v>
      </c>
      <c r="T1057" s="59">
        <f ca="1">Dashboard!C$8* Dashboard!$F$4+Dashboard!C$10*SQRT(Dashboard!$F$4) * _xlfn.NORM.S.INV(RAND())</f>
        <v>-6.9982090108197227E-3</v>
      </c>
      <c r="U1057" s="59">
        <f ca="1">Dashboard!D$8* Dashboard!$F$4+Dashboard!D$10*SQRT(Dashboard!$F$4) * _xlfn.NORM.S.INV(RAND())</f>
        <v>-2.8307635734459217E-2</v>
      </c>
    </row>
    <row r="1058" spans="18:21" x14ac:dyDescent="0.2">
      <c r="R1058" s="49">
        <v>1056</v>
      </c>
      <c r="S1058" s="59">
        <f ca="1">Dashboard!B$8* Dashboard!$F$4+Dashboard!B$10*SQRT(Dashboard!$F$4) * _xlfn.NORM.S.INV(RAND())</f>
        <v>3.465763351946332E-2</v>
      </c>
      <c r="T1058" s="59">
        <f ca="1">Dashboard!C$8* Dashboard!$F$4+Dashboard!C$10*SQRT(Dashboard!$F$4) * _xlfn.NORM.S.INV(RAND())</f>
        <v>1.3056323063990155E-2</v>
      </c>
      <c r="U1058" s="59">
        <f ca="1">Dashboard!D$8* Dashboard!$F$4+Dashboard!D$10*SQRT(Dashboard!$F$4) * _xlfn.NORM.S.INV(RAND())</f>
        <v>-2.7490695901927018E-2</v>
      </c>
    </row>
    <row r="1059" spans="18:21" x14ac:dyDescent="0.2">
      <c r="R1059" s="49">
        <v>1057</v>
      </c>
      <c r="S1059" s="59">
        <f ca="1">Dashboard!B$8* Dashboard!$F$4+Dashboard!B$10*SQRT(Dashboard!$F$4) * _xlfn.NORM.S.INV(RAND())</f>
        <v>-1.9372102093385447E-2</v>
      </c>
      <c r="T1059" s="59">
        <f ca="1">Dashboard!C$8* Dashboard!$F$4+Dashboard!C$10*SQRT(Dashboard!$F$4) * _xlfn.NORM.S.INV(RAND())</f>
        <v>-3.4911061693356074E-2</v>
      </c>
      <c r="U1059" s="59">
        <f ca="1">Dashboard!D$8* Dashboard!$F$4+Dashboard!D$10*SQRT(Dashboard!$F$4) * _xlfn.NORM.S.INV(RAND())</f>
        <v>1.6568931619066429E-2</v>
      </c>
    </row>
    <row r="1060" spans="18:21" x14ac:dyDescent="0.2">
      <c r="R1060" s="49">
        <v>1058</v>
      </c>
      <c r="S1060" s="59">
        <f ca="1">Dashboard!B$8* Dashboard!$F$4+Dashboard!B$10*SQRT(Dashboard!$F$4) * _xlfn.NORM.S.INV(RAND())</f>
        <v>-2.7849991399290001E-2</v>
      </c>
      <c r="T1060" s="59">
        <f ca="1">Dashboard!C$8* Dashboard!$F$4+Dashboard!C$10*SQRT(Dashboard!$F$4) * _xlfn.NORM.S.INV(RAND())</f>
        <v>-1.2588531605413771E-2</v>
      </c>
      <c r="U1060" s="59">
        <f ca="1">Dashboard!D$8* Dashboard!$F$4+Dashboard!D$10*SQRT(Dashboard!$F$4) * _xlfn.NORM.S.INV(RAND())</f>
        <v>-2.2494775808634165E-2</v>
      </c>
    </row>
    <row r="1061" spans="18:21" x14ac:dyDescent="0.2">
      <c r="R1061" s="49">
        <v>1059</v>
      </c>
      <c r="S1061" s="59">
        <f ca="1">Dashboard!B$8* Dashboard!$F$4+Dashboard!B$10*SQRT(Dashboard!$F$4) * _xlfn.NORM.S.INV(RAND())</f>
        <v>-1.220183186933705E-2</v>
      </c>
      <c r="T1061" s="59">
        <f ca="1">Dashboard!C$8* Dashboard!$F$4+Dashboard!C$10*SQRT(Dashboard!$F$4) * _xlfn.NORM.S.INV(RAND())</f>
        <v>-9.5393755765785723E-3</v>
      </c>
      <c r="U1061" s="59">
        <f ca="1">Dashboard!D$8* Dashboard!$F$4+Dashboard!D$10*SQRT(Dashboard!$F$4) * _xlfn.NORM.S.INV(RAND())</f>
        <v>6.3457724124728151E-2</v>
      </c>
    </row>
    <row r="1062" spans="18:21" x14ac:dyDescent="0.2">
      <c r="R1062" s="49">
        <v>1060</v>
      </c>
      <c r="S1062" s="59">
        <f ca="1">Dashboard!B$8* Dashboard!$F$4+Dashboard!B$10*SQRT(Dashboard!$F$4) * _xlfn.NORM.S.INV(RAND())</f>
        <v>-8.5197610234496887E-2</v>
      </c>
      <c r="T1062" s="59">
        <f ca="1">Dashboard!C$8* Dashboard!$F$4+Dashboard!C$10*SQRT(Dashboard!$F$4) * _xlfn.NORM.S.INV(RAND())</f>
        <v>-7.1821260003071775E-3</v>
      </c>
      <c r="U1062" s="59">
        <f ca="1">Dashboard!D$8* Dashboard!$F$4+Dashboard!D$10*SQRT(Dashboard!$F$4) * _xlfn.NORM.S.INV(RAND())</f>
        <v>2.708870129758344E-2</v>
      </c>
    </row>
    <row r="1063" spans="18:21" x14ac:dyDescent="0.2">
      <c r="R1063" s="49">
        <v>1061</v>
      </c>
      <c r="S1063" s="59">
        <f ca="1">Dashboard!B$8* Dashboard!$F$4+Dashboard!B$10*SQRT(Dashboard!$F$4) * _xlfn.NORM.S.INV(RAND())</f>
        <v>1.3200364648232226E-2</v>
      </c>
      <c r="T1063" s="59">
        <f ca="1">Dashboard!C$8* Dashboard!$F$4+Dashboard!C$10*SQRT(Dashboard!$F$4) * _xlfn.NORM.S.INV(RAND())</f>
        <v>8.4846649253804696E-3</v>
      </c>
      <c r="U1063" s="59">
        <f ca="1">Dashboard!D$8* Dashboard!$F$4+Dashboard!D$10*SQRT(Dashboard!$F$4) * _xlfn.NORM.S.INV(RAND())</f>
        <v>1.0377228780931416E-3</v>
      </c>
    </row>
    <row r="1064" spans="18:21" x14ac:dyDescent="0.2">
      <c r="R1064" s="49">
        <v>1062</v>
      </c>
      <c r="S1064" s="59">
        <f ca="1">Dashboard!B$8* Dashboard!$F$4+Dashboard!B$10*SQRT(Dashboard!$F$4) * _xlfn.NORM.S.INV(RAND())</f>
        <v>-1.2508420589205248E-2</v>
      </c>
      <c r="T1064" s="59">
        <f ca="1">Dashboard!C$8* Dashboard!$F$4+Dashboard!C$10*SQRT(Dashboard!$F$4) * _xlfn.NORM.S.INV(RAND())</f>
        <v>-4.2490699438581095E-2</v>
      </c>
      <c r="U1064" s="59">
        <f ca="1">Dashboard!D$8* Dashboard!$F$4+Dashboard!D$10*SQRT(Dashboard!$F$4) * _xlfn.NORM.S.INV(RAND())</f>
        <v>3.5420878157596113E-2</v>
      </c>
    </row>
    <row r="1065" spans="18:21" x14ac:dyDescent="0.2">
      <c r="R1065" s="49">
        <v>1063</v>
      </c>
      <c r="S1065" s="59">
        <f ca="1">Dashboard!B$8* Dashboard!$F$4+Dashboard!B$10*SQRT(Dashboard!$F$4) * _xlfn.NORM.S.INV(RAND())</f>
        <v>-1.5356986052622024E-2</v>
      </c>
      <c r="T1065" s="59">
        <f ca="1">Dashboard!C$8* Dashboard!$F$4+Dashboard!C$10*SQRT(Dashboard!$F$4) * _xlfn.NORM.S.INV(RAND())</f>
        <v>-1.3350113552154499E-2</v>
      </c>
      <c r="U1065" s="59">
        <f ca="1">Dashboard!D$8* Dashboard!$F$4+Dashboard!D$10*SQRT(Dashboard!$F$4) * _xlfn.NORM.S.INV(RAND())</f>
        <v>-1.1259146063597961E-2</v>
      </c>
    </row>
    <row r="1066" spans="18:21" x14ac:dyDescent="0.2">
      <c r="R1066" s="49">
        <v>1064</v>
      </c>
      <c r="S1066" s="59">
        <f ca="1">Dashboard!B$8* Dashboard!$F$4+Dashboard!B$10*SQRT(Dashboard!$F$4) * _xlfn.NORM.S.INV(RAND())</f>
        <v>3.0061169117602919E-2</v>
      </c>
      <c r="T1066" s="59">
        <f ca="1">Dashboard!C$8* Dashboard!$F$4+Dashboard!C$10*SQRT(Dashboard!$F$4) * _xlfn.NORM.S.INV(RAND())</f>
        <v>3.2248370918150845E-2</v>
      </c>
      <c r="U1066" s="59">
        <f ca="1">Dashboard!D$8* Dashboard!$F$4+Dashboard!D$10*SQRT(Dashboard!$F$4) * _xlfn.NORM.S.INV(RAND())</f>
        <v>6.857457930326695E-2</v>
      </c>
    </row>
    <row r="1067" spans="18:21" x14ac:dyDescent="0.2">
      <c r="R1067" s="49">
        <v>1065</v>
      </c>
      <c r="S1067" s="59">
        <f ca="1">Dashboard!B$8* Dashboard!$F$4+Dashboard!B$10*SQRT(Dashboard!$F$4) * _xlfn.NORM.S.INV(RAND())</f>
        <v>4.9848277536109604E-2</v>
      </c>
      <c r="T1067" s="59">
        <f ca="1">Dashboard!C$8* Dashboard!$F$4+Dashboard!C$10*SQRT(Dashboard!$F$4) * _xlfn.NORM.S.INV(RAND())</f>
        <v>3.0443822358111557E-2</v>
      </c>
      <c r="U1067" s="59">
        <f ca="1">Dashboard!D$8* Dashboard!$F$4+Dashboard!D$10*SQRT(Dashboard!$F$4) * _xlfn.NORM.S.INV(RAND())</f>
        <v>6.2605165208310193E-2</v>
      </c>
    </row>
    <row r="1068" spans="18:21" x14ac:dyDescent="0.2">
      <c r="R1068" s="49">
        <v>1066</v>
      </c>
      <c r="S1068" s="59">
        <f ca="1">Dashboard!B$8* Dashboard!$F$4+Dashboard!B$10*SQRT(Dashboard!$F$4) * _xlfn.NORM.S.INV(RAND())</f>
        <v>3.6517899670087908E-2</v>
      </c>
      <c r="T1068" s="59">
        <f ca="1">Dashboard!C$8* Dashboard!$F$4+Dashboard!C$10*SQRT(Dashboard!$F$4) * _xlfn.NORM.S.INV(RAND())</f>
        <v>-9.6657618091160399E-3</v>
      </c>
      <c r="U1068" s="59">
        <f ca="1">Dashboard!D$8* Dashboard!$F$4+Dashboard!D$10*SQRT(Dashboard!$F$4) * _xlfn.NORM.S.INV(RAND())</f>
        <v>2.1530889827658297E-2</v>
      </c>
    </row>
    <row r="1069" spans="18:21" x14ac:dyDescent="0.2">
      <c r="R1069" s="49">
        <v>1067</v>
      </c>
      <c r="S1069" s="59">
        <f ca="1">Dashboard!B$8* Dashboard!$F$4+Dashboard!B$10*SQRT(Dashboard!$F$4) * _xlfn.NORM.S.INV(RAND())</f>
        <v>1.5598651348644388E-2</v>
      </c>
      <c r="T1069" s="59">
        <f ca="1">Dashboard!C$8* Dashboard!$F$4+Dashboard!C$10*SQRT(Dashboard!$F$4) * _xlfn.NORM.S.INV(RAND())</f>
        <v>4.1761407338720177E-2</v>
      </c>
      <c r="U1069" s="59">
        <f ca="1">Dashboard!D$8* Dashboard!$F$4+Dashboard!D$10*SQRT(Dashboard!$F$4) * _xlfn.NORM.S.INV(RAND())</f>
        <v>-3.9113026356005109E-2</v>
      </c>
    </row>
    <row r="1070" spans="18:21" x14ac:dyDescent="0.2">
      <c r="R1070" s="49">
        <v>1068</v>
      </c>
      <c r="S1070" s="59">
        <f ca="1">Dashboard!B$8* Dashboard!$F$4+Dashboard!B$10*SQRT(Dashboard!$F$4) * _xlfn.NORM.S.INV(RAND())</f>
        <v>-3.167429759499573E-2</v>
      </c>
      <c r="T1070" s="59">
        <f ca="1">Dashboard!C$8* Dashboard!$F$4+Dashboard!C$10*SQRT(Dashboard!$F$4) * _xlfn.NORM.S.INV(RAND())</f>
        <v>5.1221405673276488E-2</v>
      </c>
      <c r="U1070" s="59">
        <f ca="1">Dashboard!D$8* Dashboard!$F$4+Dashboard!D$10*SQRT(Dashboard!$F$4) * _xlfn.NORM.S.INV(RAND())</f>
        <v>1.5425591875371967E-2</v>
      </c>
    </row>
    <row r="1071" spans="18:21" x14ac:dyDescent="0.2">
      <c r="R1071" s="49">
        <v>1069</v>
      </c>
      <c r="S1071" s="59">
        <f ca="1">Dashboard!B$8* Dashboard!$F$4+Dashboard!B$10*SQRT(Dashboard!$F$4) * _xlfn.NORM.S.INV(RAND())</f>
        <v>-1.5255319776874693E-2</v>
      </c>
      <c r="T1071" s="59">
        <f ca="1">Dashboard!C$8* Dashboard!$F$4+Dashboard!C$10*SQRT(Dashboard!$F$4) * _xlfn.NORM.S.INV(RAND())</f>
        <v>1.2072345337805272E-2</v>
      </c>
      <c r="U1071" s="59">
        <f ca="1">Dashboard!D$8* Dashboard!$F$4+Dashboard!D$10*SQRT(Dashboard!$F$4) * _xlfn.NORM.S.INV(RAND())</f>
        <v>6.5757966194466208E-2</v>
      </c>
    </row>
    <row r="1072" spans="18:21" x14ac:dyDescent="0.2">
      <c r="R1072" s="49">
        <v>1070</v>
      </c>
      <c r="S1072" s="59">
        <f ca="1">Dashboard!B$8* Dashboard!$F$4+Dashboard!B$10*SQRT(Dashboard!$F$4) * _xlfn.NORM.S.INV(RAND())</f>
        <v>3.135426293848783E-2</v>
      </c>
      <c r="T1072" s="59">
        <f ca="1">Dashboard!C$8* Dashboard!$F$4+Dashboard!C$10*SQRT(Dashboard!$F$4) * _xlfn.NORM.S.INV(RAND())</f>
        <v>-2.4302354132668253E-2</v>
      </c>
      <c r="U1072" s="59">
        <f ca="1">Dashboard!D$8* Dashboard!$F$4+Dashboard!D$10*SQRT(Dashboard!$F$4) * _xlfn.NORM.S.INV(RAND())</f>
        <v>1.5148085535389436E-2</v>
      </c>
    </row>
    <row r="1073" spans="18:21" x14ac:dyDescent="0.2">
      <c r="R1073" s="49">
        <v>1071</v>
      </c>
      <c r="S1073" s="59">
        <f ca="1">Dashboard!B$8* Dashboard!$F$4+Dashboard!B$10*SQRT(Dashboard!$F$4) * _xlfn.NORM.S.INV(RAND())</f>
        <v>4.8220534595074346E-2</v>
      </c>
      <c r="T1073" s="59">
        <f ca="1">Dashboard!C$8* Dashboard!$F$4+Dashboard!C$10*SQRT(Dashboard!$F$4) * _xlfn.NORM.S.INV(RAND())</f>
        <v>-3.2938629876364277E-2</v>
      </c>
      <c r="U1073" s="59">
        <f ca="1">Dashboard!D$8* Dashboard!$F$4+Dashboard!D$10*SQRT(Dashboard!$F$4) * _xlfn.NORM.S.INV(RAND())</f>
        <v>-2.7508040518170351E-2</v>
      </c>
    </row>
    <row r="1074" spans="18:21" x14ac:dyDescent="0.2">
      <c r="R1074" s="49">
        <v>1072</v>
      </c>
      <c r="S1074" s="59">
        <f ca="1">Dashboard!B$8* Dashboard!$F$4+Dashboard!B$10*SQRT(Dashboard!$F$4) * _xlfn.NORM.S.INV(RAND())</f>
        <v>1.7974650621625281E-2</v>
      </c>
      <c r="T1074" s="59">
        <f ca="1">Dashboard!C$8* Dashboard!$F$4+Dashboard!C$10*SQRT(Dashboard!$F$4) * _xlfn.NORM.S.INV(RAND())</f>
        <v>-2.1810343329580421E-2</v>
      </c>
      <c r="U1074" s="59">
        <f ca="1">Dashboard!D$8* Dashboard!$F$4+Dashboard!D$10*SQRT(Dashboard!$F$4) * _xlfn.NORM.S.INV(RAND())</f>
        <v>-6.3227849971507263E-3</v>
      </c>
    </row>
    <row r="1075" spans="18:21" x14ac:dyDescent="0.2">
      <c r="R1075" s="49">
        <v>1073</v>
      </c>
      <c r="S1075" s="59">
        <f ca="1">Dashboard!B$8* Dashboard!$F$4+Dashboard!B$10*SQRT(Dashboard!$F$4) * _xlfn.NORM.S.INV(RAND())</f>
        <v>-1.3341337606631814E-2</v>
      </c>
      <c r="T1075" s="59">
        <f ca="1">Dashboard!C$8* Dashboard!$F$4+Dashboard!C$10*SQRT(Dashboard!$F$4) * _xlfn.NORM.S.INV(RAND())</f>
        <v>1.2297742727455365E-2</v>
      </c>
      <c r="U1075" s="59">
        <f ca="1">Dashboard!D$8* Dashboard!$F$4+Dashboard!D$10*SQRT(Dashboard!$F$4) * _xlfn.NORM.S.INV(RAND())</f>
        <v>1.7556381608287153E-2</v>
      </c>
    </row>
    <row r="1076" spans="18:21" x14ac:dyDescent="0.2">
      <c r="R1076" s="49">
        <v>1074</v>
      </c>
      <c r="S1076" s="59">
        <f ca="1">Dashboard!B$8* Dashboard!$F$4+Dashboard!B$10*SQRT(Dashboard!$F$4) * _xlfn.NORM.S.INV(RAND())</f>
        <v>2.6239838820630447E-2</v>
      </c>
      <c r="T1076" s="59">
        <f ca="1">Dashboard!C$8* Dashboard!$F$4+Dashboard!C$10*SQRT(Dashboard!$F$4) * _xlfn.NORM.S.INV(RAND())</f>
        <v>-9.3698797821151862E-3</v>
      </c>
      <c r="U1076" s="59">
        <f ca="1">Dashboard!D$8* Dashboard!$F$4+Dashboard!D$10*SQRT(Dashboard!$F$4) * _xlfn.NORM.S.INV(RAND())</f>
        <v>-2.6631945151969403E-2</v>
      </c>
    </row>
    <row r="1077" spans="18:21" x14ac:dyDescent="0.2">
      <c r="R1077" s="49">
        <v>1075</v>
      </c>
      <c r="S1077" s="59">
        <f ca="1">Dashboard!B$8* Dashboard!$F$4+Dashboard!B$10*SQRT(Dashboard!$F$4) * _xlfn.NORM.S.INV(RAND())</f>
        <v>2.9564806019972863E-2</v>
      </c>
      <c r="T1077" s="59">
        <f ca="1">Dashboard!C$8* Dashboard!$F$4+Dashboard!C$10*SQRT(Dashboard!$F$4) * _xlfn.NORM.S.INV(RAND())</f>
        <v>8.9555718771158095E-3</v>
      </c>
      <c r="U1077" s="59">
        <f ca="1">Dashboard!D$8* Dashboard!$F$4+Dashboard!D$10*SQRT(Dashboard!$F$4) * _xlfn.NORM.S.INV(RAND())</f>
        <v>8.2975992988949965E-3</v>
      </c>
    </row>
    <row r="1078" spans="18:21" x14ac:dyDescent="0.2">
      <c r="R1078" s="49">
        <v>1076</v>
      </c>
      <c r="S1078" s="59">
        <f ca="1">Dashboard!B$8* Dashboard!$F$4+Dashboard!B$10*SQRT(Dashboard!$F$4) * _xlfn.NORM.S.INV(RAND())</f>
        <v>2.0820807153699356E-2</v>
      </c>
      <c r="T1078" s="59">
        <f ca="1">Dashboard!C$8* Dashboard!$F$4+Dashboard!C$10*SQRT(Dashboard!$F$4) * _xlfn.NORM.S.INV(RAND())</f>
        <v>3.0819749986487645E-2</v>
      </c>
      <c r="U1078" s="59">
        <f ca="1">Dashboard!D$8* Dashboard!$F$4+Dashboard!D$10*SQRT(Dashboard!$F$4) * _xlfn.NORM.S.INV(RAND())</f>
        <v>-1.7557897424596038E-2</v>
      </c>
    </row>
    <row r="1079" spans="18:21" x14ac:dyDescent="0.2">
      <c r="R1079" s="49">
        <v>1077</v>
      </c>
      <c r="S1079" s="59">
        <f ca="1">Dashboard!B$8* Dashboard!$F$4+Dashboard!B$10*SQRT(Dashboard!$F$4) * _xlfn.NORM.S.INV(RAND())</f>
        <v>4.9553575044274691E-2</v>
      </c>
      <c r="T1079" s="59">
        <f ca="1">Dashboard!C$8* Dashboard!$F$4+Dashboard!C$10*SQRT(Dashboard!$F$4) * _xlfn.NORM.S.INV(RAND())</f>
        <v>2.1538708653861042E-2</v>
      </c>
      <c r="U1079" s="59">
        <f ca="1">Dashboard!D$8* Dashboard!$F$4+Dashboard!D$10*SQRT(Dashboard!$F$4) * _xlfn.NORM.S.INV(RAND())</f>
        <v>-4.5970091761325854E-2</v>
      </c>
    </row>
    <row r="1080" spans="18:21" x14ac:dyDescent="0.2">
      <c r="R1080" s="49">
        <v>1078</v>
      </c>
      <c r="S1080" s="59">
        <f ca="1">Dashboard!B$8* Dashboard!$F$4+Dashboard!B$10*SQRT(Dashboard!$F$4) * _xlfn.NORM.S.INV(RAND())</f>
        <v>2.7467388851997683E-2</v>
      </c>
      <c r="T1080" s="59">
        <f ca="1">Dashboard!C$8* Dashboard!$F$4+Dashboard!C$10*SQRT(Dashboard!$F$4) * _xlfn.NORM.S.INV(RAND())</f>
        <v>-3.2441425456271863E-2</v>
      </c>
      <c r="U1080" s="59">
        <f ca="1">Dashboard!D$8* Dashboard!$F$4+Dashboard!D$10*SQRT(Dashboard!$F$4) * _xlfn.NORM.S.INV(RAND())</f>
        <v>-4.0339454920626905E-2</v>
      </c>
    </row>
    <row r="1081" spans="18:21" x14ac:dyDescent="0.2">
      <c r="R1081" s="49">
        <v>1079</v>
      </c>
      <c r="S1081" s="59">
        <f ca="1">Dashboard!B$8* Dashboard!$F$4+Dashboard!B$10*SQRT(Dashboard!$F$4) * _xlfn.NORM.S.INV(RAND())</f>
        <v>-3.5457477468353892E-2</v>
      </c>
      <c r="T1081" s="59">
        <f ca="1">Dashboard!C$8* Dashboard!$F$4+Dashboard!C$10*SQRT(Dashboard!$F$4) * _xlfn.NORM.S.INV(RAND())</f>
        <v>-4.5872570822465583E-2</v>
      </c>
      <c r="U1081" s="59">
        <f ca="1">Dashboard!D$8* Dashboard!$F$4+Dashboard!D$10*SQRT(Dashboard!$F$4) * _xlfn.NORM.S.INV(RAND())</f>
        <v>-1.0471563699573097E-2</v>
      </c>
    </row>
    <row r="1082" spans="18:21" x14ac:dyDescent="0.2">
      <c r="R1082" s="49">
        <v>1080</v>
      </c>
      <c r="S1082" s="59">
        <f ca="1">Dashboard!B$8* Dashboard!$F$4+Dashboard!B$10*SQRT(Dashboard!$F$4) * _xlfn.NORM.S.INV(RAND())</f>
        <v>-6.7362103785771538E-2</v>
      </c>
      <c r="T1082" s="59">
        <f ca="1">Dashboard!C$8* Dashboard!$F$4+Dashboard!C$10*SQRT(Dashboard!$F$4) * _xlfn.NORM.S.INV(RAND())</f>
        <v>1.4386565643576365E-3</v>
      </c>
      <c r="U1082" s="59">
        <f ca="1">Dashboard!D$8* Dashboard!$F$4+Dashboard!D$10*SQRT(Dashboard!$F$4) * _xlfn.NORM.S.INV(RAND())</f>
        <v>1.9111523032718493E-2</v>
      </c>
    </row>
    <row r="1083" spans="18:21" x14ac:dyDescent="0.2">
      <c r="R1083" s="49">
        <v>1081</v>
      </c>
      <c r="S1083" s="59">
        <f ca="1">Dashboard!B$8* Dashboard!$F$4+Dashboard!B$10*SQRT(Dashboard!$F$4) * _xlfn.NORM.S.INV(RAND())</f>
        <v>1.6274335982530988E-2</v>
      </c>
      <c r="T1083" s="59">
        <f ca="1">Dashboard!C$8* Dashboard!$F$4+Dashboard!C$10*SQRT(Dashboard!$F$4) * _xlfn.NORM.S.INV(RAND())</f>
        <v>1.2336957625914233E-2</v>
      </c>
      <c r="U1083" s="59">
        <f ca="1">Dashboard!D$8* Dashboard!$F$4+Dashboard!D$10*SQRT(Dashboard!$F$4) * _xlfn.NORM.S.INV(RAND())</f>
        <v>-4.1320629844289733E-2</v>
      </c>
    </row>
    <row r="1084" spans="18:21" x14ac:dyDescent="0.2">
      <c r="R1084" s="49">
        <v>1082</v>
      </c>
      <c r="S1084" s="59">
        <f ca="1">Dashboard!B$8* Dashboard!$F$4+Dashboard!B$10*SQRT(Dashboard!$F$4) * _xlfn.NORM.S.INV(RAND())</f>
        <v>5.670210466035782E-2</v>
      </c>
      <c r="T1084" s="59">
        <f ca="1">Dashboard!C$8* Dashboard!$F$4+Dashboard!C$10*SQRT(Dashboard!$F$4) * _xlfn.NORM.S.INV(RAND())</f>
        <v>1.3594642009383439E-2</v>
      </c>
      <c r="U1084" s="59">
        <f ca="1">Dashboard!D$8* Dashboard!$F$4+Dashboard!D$10*SQRT(Dashboard!$F$4) * _xlfn.NORM.S.INV(RAND())</f>
        <v>1.4597352609711385E-2</v>
      </c>
    </row>
    <row r="1085" spans="18:21" x14ac:dyDescent="0.2">
      <c r="R1085" s="49">
        <v>1083</v>
      </c>
      <c r="S1085" s="59">
        <f ca="1">Dashboard!B$8* Dashboard!$F$4+Dashboard!B$10*SQRT(Dashboard!$F$4) * _xlfn.NORM.S.INV(RAND())</f>
        <v>3.5504595109373531E-2</v>
      </c>
      <c r="T1085" s="59">
        <f ca="1">Dashboard!C$8* Dashboard!$F$4+Dashboard!C$10*SQRT(Dashboard!$F$4) * _xlfn.NORM.S.INV(RAND())</f>
        <v>-1.1583210677267058E-2</v>
      </c>
      <c r="U1085" s="59">
        <f ca="1">Dashboard!D$8* Dashboard!$F$4+Dashboard!D$10*SQRT(Dashboard!$F$4) * _xlfn.NORM.S.INV(RAND())</f>
        <v>-2.2289880773004544E-2</v>
      </c>
    </row>
    <row r="1086" spans="18:21" x14ac:dyDescent="0.2">
      <c r="R1086" s="49">
        <v>1084</v>
      </c>
      <c r="S1086" s="59">
        <f ca="1">Dashboard!B$8* Dashboard!$F$4+Dashboard!B$10*SQRT(Dashboard!$F$4) * _xlfn.NORM.S.INV(RAND())</f>
        <v>-9.9219149501185711E-3</v>
      </c>
      <c r="T1086" s="59">
        <f ca="1">Dashboard!C$8* Dashboard!$F$4+Dashboard!C$10*SQRT(Dashboard!$F$4) * _xlfn.NORM.S.INV(RAND())</f>
        <v>-1.5609068246025769E-2</v>
      </c>
      <c r="U1086" s="59">
        <f ca="1">Dashboard!D$8* Dashboard!$F$4+Dashboard!D$10*SQRT(Dashboard!$F$4) * _xlfn.NORM.S.INV(RAND())</f>
        <v>-1.4943223799613681E-3</v>
      </c>
    </row>
    <row r="1087" spans="18:21" x14ac:dyDescent="0.2">
      <c r="R1087" s="49">
        <v>1085</v>
      </c>
      <c r="S1087" s="59">
        <f ca="1">Dashboard!B$8* Dashboard!$F$4+Dashboard!B$10*SQRT(Dashboard!$F$4) * _xlfn.NORM.S.INV(RAND())</f>
        <v>-3.4294117180466537E-2</v>
      </c>
      <c r="T1087" s="59">
        <f ca="1">Dashboard!C$8* Dashboard!$F$4+Dashboard!C$10*SQRT(Dashboard!$F$4) * _xlfn.NORM.S.INV(RAND())</f>
        <v>2.3238669753644016E-3</v>
      </c>
      <c r="U1087" s="59">
        <f ca="1">Dashboard!D$8* Dashboard!$F$4+Dashboard!D$10*SQRT(Dashboard!$F$4) * _xlfn.NORM.S.INV(RAND())</f>
        <v>2.1814865026957581E-3</v>
      </c>
    </row>
    <row r="1088" spans="18:21" x14ac:dyDescent="0.2">
      <c r="R1088" s="49">
        <v>1086</v>
      </c>
      <c r="S1088" s="59">
        <f ca="1">Dashboard!B$8* Dashboard!$F$4+Dashboard!B$10*SQRT(Dashboard!$F$4) * _xlfn.NORM.S.INV(RAND())</f>
        <v>7.4247520125233307E-2</v>
      </c>
      <c r="T1088" s="59">
        <f ca="1">Dashboard!C$8* Dashboard!$F$4+Dashboard!C$10*SQRT(Dashboard!$F$4) * _xlfn.NORM.S.INV(RAND())</f>
        <v>1.7488126005952048E-2</v>
      </c>
      <c r="U1088" s="59">
        <f ca="1">Dashboard!D$8* Dashboard!$F$4+Dashboard!D$10*SQRT(Dashboard!$F$4) * _xlfn.NORM.S.INV(RAND())</f>
        <v>1.1704900672805474E-2</v>
      </c>
    </row>
    <row r="1089" spans="18:21" x14ac:dyDescent="0.2">
      <c r="R1089" s="49">
        <v>1087</v>
      </c>
      <c r="S1089" s="59">
        <f ca="1">Dashboard!B$8* Dashboard!$F$4+Dashboard!B$10*SQRT(Dashboard!$F$4) * _xlfn.NORM.S.INV(RAND())</f>
        <v>4.7950831615986678E-2</v>
      </c>
      <c r="T1089" s="59">
        <f ca="1">Dashboard!C$8* Dashboard!$F$4+Dashboard!C$10*SQRT(Dashboard!$F$4) * _xlfn.NORM.S.INV(RAND())</f>
        <v>5.1252082961315726E-2</v>
      </c>
      <c r="U1089" s="59">
        <f ca="1">Dashboard!D$8* Dashboard!$F$4+Dashboard!D$10*SQRT(Dashboard!$F$4) * _xlfn.NORM.S.INV(RAND())</f>
        <v>-5.2266151415532959E-2</v>
      </c>
    </row>
    <row r="1090" spans="18:21" x14ac:dyDescent="0.2">
      <c r="R1090" s="49">
        <v>1088</v>
      </c>
      <c r="S1090" s="59">
        <f ca="1">Dashboard!B$8* Dashboard!$F$4+Dashboard!B$10*SQRT(Dashboard!$F$4) * _xlfn.NORM.S.INV(RAND())</f>
        <v>8.1708501059761952E-3</v>
      </c>
      <c r="T1090" s="59">
        <f ca="1">Dashboard!C$8* Dashboard!$F$4+Dashboard!C$10*SQRT(Dashboard!$F$4) * _xlfn.NORM.S.INV(RAND())</f>
        <v>-2.8700396504764598E-2</v>
      </c>
      <c r="U1090" s="59">
        <f ca="1">Dashboard!D$8* Dashboard!$F$4+Dashboard!D$10*SQRT(Dashboard!$F$4) * _xlfn.NORM.S.INV(RAND())</f>
        <v>1.2844153727019495E-2</v>
      </c>
    </row>
    <row r="1091" spans="18:21" x14ac:dyDescent="0.2">
      <c r="R1091" s="49">
        <v>1089</v>
      </c>
      <c r="S1091" s="59">
        <f ca="1">Dashboard!B$8* Dashboard!$F$4+Dashboard!B$10*SQRT(Dashboard!$F$4) * _xlfn.NORM.S.INV(RAND())</f>
        <v>1.9313794782253271E-2</v>
      </c>
      <c r="T1091" s="59">
        <f ca="1">Dashboard!C$8* Dashboard!$F$4+Dashboard!C$10*SQRT(Dashboard!$F$4) * _xlfn.NORM.S.INV(RAND())</f>
        <v>1.7690767999521569E-2</v>
      </c>
      <c r="U1091" s="59">
        <f ca="1">Dashboard!D$8* Dashboard!$F$4+Dashboard!D$10*SQRT(Dashboard!$F$4) * _xlfn.NORM.S.INV(RAND())</f>
        <v>-6.2441757797977995E-3</v>
      </c>
    </row>
    <row r="1092" spans="18:21" x14ac:dyDescent="0.2">
      <c r="R1092" s="49">
        <v>1090</v>
      </c>
      <c r="S1092" s="59">
        <f ca="1">Dashboard!B$8* Dashboard!$F$4+Dashboard!B$10*SQRT(Dashboard!$F$4) * _xlfn.NORM.S.INV(RAND())</f>
        <v>4.3739470586723599E-3</v>
      </c>
      <c r="T1092" s="59">
        <f ca="1">Dashboard!C$8* Dashboard!$F$4+Dashboard!C$10*SQRT(Dashboard!$F$4) * _xlfn.NORM.S.INV(RAND())</f>
        <v>2.2589369169548245E-2</v>
      </c>
      <c r="U1092" s="59">
        <f ca="1">Dashboard!D$8* Dashboard!$F$4+Dashboard!D$10*SQRT(Dashboard!$F$4) * _xlfn.NORM.S.INV(RAND())</f>
        <v>-7.1323747328056686E-2</v>
      </c>
    </row>
    <row r="1093" spans="18:21" x14ac:dyDescent="0.2">
      <c r="R1093" s="49">
        <v>1091</v>
      </c>
      <c r="S1093" s="59">
        <f ca="1">Dashboard!B$8* Dashboard!$F$4+Dashboard!B$10*SQRT(Dashboard!$F$4) * _xlfn.NORM.S.INV(RAND())</f>
        <v>-2.5156487265893382E-2</v>
      </c>
      <c r="T1093" s="59">
        <f ca="1">Dashboard!C$8* Dashboard!$F$4+Dashboard!C$10*SQRT(Dashboard!$F$4) * _xlfn.NORM.S.INV(RAND())</f>
        <v>1.7625938854637292E-2</v>
      </c>
      <c r="U1093" s="59">
        <f ca="1">Dashboard!D$8* Dashboard!$F$4+Dashboard!D$10*SQRT(Dashboard!$F$4) * _xlfn.NORM.S.INV(RAND())</f>
        <v>-9.9420557597160331E-3</v>
      </c>
    </row>
    <row r="1094" spans="18:21" x14ac:dyDescent="0.2">
      <c r="R1094" s="49">
        <v>1092</v>
      </c>
      <c r="S1094" s="59">
        <f ca="1">Dashboard!B$8* Dashboard!$F$4+Dashboard!B$10*SQRT(Dashboard!$F$4) * _xlfn.NORM.S.INV(RAND())</f>
        <v>3.9966940603090147E-2</v>
      </c>
      <c r="T1094" s="59">
        <f ca="1">Dashboard!C$8* Dashboard!$F$4+Dashboard!C$10*SQRT(Dashboard!$F$4) * _xlfn.NORM.S.INV(RAND())</f>
        <v>-1.5727590154912619E-3</v>
      </c>
      <c r="U1094" s="59">
        <f ca="1">Dashboard!D$8* Dashboard!$F$4+Dashboard!D$10*SQRT(Dashboard!$F$4) * _xlfn.NORM.S.INV(RAND())</f>
        <v>-4.6255500393811632E-3</v>
      </c>
    </row>
    <row r="1095" spans="18:21" x14ac:dyDescent="0.2">
      <c r="R1095" s="49">
        <v>1093</v>
      </c>
      <c r="S1095" s="59">
        <f ca="1">Dashboard!B$8* Dashboard!$F$4+Dashboard!B$10*SQRT(Dashboard!$F$4) * _xlfn.NORM.S.INV(RAND())</f>
        <v>-2.3974714490461013E-2</v>
      </c>
      <c r="T1095" s="59">
        <f ca="1">Dashboard!C$8* Dashboard!$F$4+Dashboard!C$10*SQRT(Dashboard!$F$4) * _xlfn.NORM.S.INV(RAND())</f>
        <v>-8.3546672991816215E-2</v>
      </c>
      <c r="U1095" s="59">
        <f ca="1">Dashboard!D$8* Dashboard!$F$4+Dashboard!D$10*SQRT(Dashboard!$F$4) * _xlfn.NORM.S.INV(RAND())</f>
        <v>2.3100510373801307E-2</v>
      </c>
    </row>
    <row r="1096" spans="18:21" x14ac:dyDescent="0.2">
      <c r="R1096" s="49">
        <v>1094</v>
      </c>
      <c r="S1096" s="59">
        <f ca="1">Dashboard!B$8* Dashboard!$F$4+Dashboard!B$10*SQRT(Dashboard!$F$4) * _xlfn.NORM.S.INV(RAND())</f>
        <v>-5.2989066287451848E-2</v>
      </c>
      <c r="T1096" s="59">
        <f ca="1">Dashboard!C$8* Dashboard!$F$4+Dashboard!C$10*SQRT(Dashboard!$F$4) * _xlfn.NORM.S.INV(RAND())</f>
        <v>5.8890305839511888E-2</v>
      </c>
      <c r="U1096" s="59">
        <f ca="1">Dashboard!D$8* Dashboard!$F$4+Dashboard!D$10*SQRT(Dashboard!$F$4) * _xlfn.NORM.S.INV(RAND())</f>
        <v>5.5829439333722218E-2</v>
      </c>
    </row>
    <row r="1097" spans="18:21" x14ac:dyDescent="0.2">
      <c r="R1097" s="49">
        <v>1095</v>
      </c>
      <c r="S1097" s="59">
        <f ca="1">Dashboard!B$8* Dashboard!$F$4+Dashboard!B$10*SQRT(Dashboard!$F$4) * _xlfn.NORM.S.INV(RAND())</f>
        <v>-5.6325593015882768E-2</v>
      </c>
      <c r="T1097" s="59">
        <f ca="1">Dashboard!C$8* Dashboard!$F$4+Dashboard!C$10*SQRT(Dashboard!$F$4) * _xlfn.NORM.S.INV(RAND())</f>
        <v>4.7356288234470745E-2</v>
      </c>
      <c r="U1097" s="59">
        <f ca="1">Dashboard!D$8* Dashboard!$F$4+Dashboard!D$10*SQRT(Dashboard!$F$4) * _xlfn.NORM.S.INV(RAND())</f>
        <v>3.2076512066542127E-2</v>
      </c>
    </row>
    <row r="1098" spans="18:21" x14ac:dyDescent="0.2">
      <c r="R1098" s="49">
        <v>1096</v>
      </c>
      <c r="S1098" s="59">
        <f ca="1">Dashboard!B$8* Dashboard!$F$4+Dashboard!B$10*SQRT(Dashboard!$F$4) * _xlfn.NORM.S.INV(RAND())</f>
        <v>-2.0889933359830985E-3</v>
      </c>
      <c r="T1098" s="59">
        <f ca="1">Dashboard!C$8* Dashboard!$F$4+Dashboard!C$10*SQRT(Dashboard!$F$4) * _xlfn.NORM.S.INV(RAND())</f>
        <v>-2.7742470591034612E-2</v>
      </c>
      <c r="U1098" s="59">
        <f ca="1">Dashboard!D$8* Dashboard!$F$4+Dashboard!D$10*SQRT(Dashboard!$F$4) * _xlfn.NORM.S.INV(RAND())</f>
        <v>8.266452196064876E-2</v>
      </c>
    </row>
    <row r="1099" spans="18:21" x14ac:dyDescent="0.2">
      <c r="R1099" s="49">
        <v>1097</v>
      </c>
      <c r="S1099" s="59">
        <f ca="1">Dashboard!B$8* Dashboard!$F$4+Dashboard!B$10*SQRT(Dashboard!$F$4) * _xlfn.NORM.S.INV(RAND())</f>
        <v>-5.4563393153093782E-2</v>
      </c>
      <c r="T1099" s="59">
        <f ca="1">Dashboard!C$8* Dashboard!$F$4+Dashboard!C$10*SQRT(Dashboard!$F$4) * _xlfn.NORM.S.INV(RAND())</f>
        <v>3.3282608963631402E-2</v>
      </c>
      <c r="U1099" s="59">
        <f ca="1">Dashboard!D$8* Dashboard!$F$4+Dashboard!D$10*SQRT(Dashboard!$F$4) * _xlfn.NORM.S.INV(RAND())</f>
        <v>5.0149658788644714E-3</v>
      </c>
    </row>
    <row r="1100" spans="18:21" x14ac:dyDescent="0.2">
      <c r="R1100" s="49">
        <v>1098</v>
      </c>
      <c r="S1100" s="59">
        <f ca="1">Dashboard!B$8* Dashboard!$F$4+Dashboard!B$10*SQRT(Dashboard!$F$4) * _xlfn.NORM.S.INV(RAND())</f>
        <v>-5.0966225618535223E-3</v>
      </c>
      <c r="T1100" s="59">
        <f ca="1">Dashboard!C$8* Dashboard!$F$4+Dashboard!C$10*SQRT(Dashboard!$F$4) * _xlfn.NORM.S.INV(RAND())</f>
        <v>-4.0774351074826477E-3</v>
      </c>
      <c r="U1100" s="59">
        <f ca="1">Dashboard!D$8* Dashboard!$F$4+Dashboard!D$10*SQRT(Dashboard!$F$4) * _xlfn.NORM.S.INV(RAND())</f>
        <v>1.6707974393904024E-2</v>
      </c>
    </row>
    <row r="1101" spans="18:21" x14ac:dyDescent="0.2">
      <c r="R1101" s="49">
        <v>1099</v>
      </c>
      <c r="S1101" s="59">
        <f ca="1">Dashboard!B$8* Dashboard!$F$4+Dashboard!B$10*SQRT(Dashboard!$F$4) * _xlfn.NORM.S.INV(RAND())</f>
        <v>-4.6678556580145157E-2</v>
      </c>
      <c r="T1101" s="59">
        <f ca="1">Dashboard!C$8* Dashboard!$F$4+Dashboard!C$10*SQRT(Dashboard!$F$4) * _xlfn.NORM.S.INV(RAND())</f>
        <v>-3.5766879126325158E-3</v>
      </c>
      <c r="U1101" s="59">
        <f ca="1">Dashboard!D$8* Dashboard!$F$4+Dashboard!D$10*SQRT(Dashboard!$F$4) * _xlfn.NORM.S.INV(RAND())</f>
        <v>-2.5681960000959268E-2</v>
      </c>
    </row>
    <row r="1102" spans="18:21" x14ac:dyDescent="0.2">
      <c r="R1102" s="49">
        <v>1100</v>
      </c>
      <c r="S1102" s="59">
        <f ca="1">Dashboard!B$8* Dashboard!$F$4+Dashboard!B$10*SQRT(Dashboard!$F$4) * _xlfn.NORM.S.INV(RAND())</f>
        <v>-2.7974251781701501E-2</v>
      </c>
      <c r="T1102" s="59">
        <f ca="1">Dashboard!C$8* Dashboard!$F$4+Dashboard!C$10*SQRT(Dashboard!$F$4) * _xlfn.NORM.S.INV(RAND())</f>
        <v>6.8264288936724746E-2</v>
      </c>
      <c r="U1102" s="59">
        <f ca="1">Dashboard!D$8* Dashboard!$F$4+Dashboard!D$10*SQRT(Dashboard!$F$4) * _xlfn.NORM.S.INV(RAND())</f>
        <v>-1.5601434657501491E-3</v>
      </c>
    </row>
    <row r="1103" spans="18:21" x14ac:dyDescent="0.2">
      <c r="R1103" s="49">
        <v>1101</v>
      </c>
      <c r="S1103" s="59">
        <f ca="1">Dashboard!B$8* Dashboard!$F$4+Dashboard!B$10*SQRT(Dashboard!$F$4) * _xlfn.NORM.S.INV(RAND())</f>
        <v>-3.0943278647544536E-2</v>
      </c>
      <c r="T1103" s="59">
        <f ca="1">Dashboard!C$8* Dashboard!$F$4+Dashboard!C$10*SQRT(Dashboard!$F$4) * _xlfn.NORM.S.INV(RAND())</f>
        <v>-6.6690973553037904E-4</v>
      </c>
      <c r="U1103" s="59">
        <f ca="1">Dashboard!D$8* Dashboard!$F$4+Dashboard!D$10*SQRT(Dashboard!$F$4) * _xlfn.NORM.S.INV(RAND())</f>
        <v>2.5016564720180327E-2</v>
      </c>
    </row>
    <row r="1104" spans="18:21" x14ac:dyDescent="0.2">
      <c r="R1104" s="49">
        <v>1102</v>
      </c>
      <c r="S1104" s="59">
        <f ca="1">Dashboard!B$8* Dashboard!$F$4+Dashboard!B$10*SQRT(Dashboard!$F$4) * _xlfn.NORM.S.INV(RAND())</f>
        <v>-3.0860783867849321E-4</v>
      </c>
      <c r="T1104" s="59">
        <f ca="1">Dashboard!C$8* Dashboard!$F$4+Dashboard!C$10*SQRT(Dashboard!$F$4) * _xlfn.NORM.S.INV(RAND())</f>
        <v>1.4647540744395331E-2</v>
      </c>
      <c r="U1104" s="59">
        <f ca="1">Dashboard!D$8* Dashboard!$F$4+Dashboard!D$10*SQRT(Dashboard!$F$4) * _xlfn.NORM.S.INV(RAND())</f>
        <v>-2.5844433359246577E-2</v>
      </c>
    </row>
    <row r="1105" spans="18:21" x14ac:dyDescent="0.2">
      <c r="R1105" s="49">
        <v>1103</v>
      </c>
      <c r="S1105" s="59">
        <f ca="1">Dashboard!B$8* Dashboard!$F$4+Dashboard!B$10*SQRT(Dashboard!$F$4) * _xlfn.NORM.S.INV(RAND())</f>
        <v>2.9201702141873724E-3</v>
      </c>
      <c r="T1105" s="59">
        <f ca="1">Dashboard!C$8* Dashboard!$F$4+Dashboard!C$10*SQRT(Dashboard!$F$4) * _xlfn.NORM.S.INV(RAND())</f>
        <v>-6.1300836006473056E-2</v>
      </c>
      <c r="U1105" s="59">
        <f ca="1">Dashboard!D$8* Dashboard!$F$4+Dashboard!D$10*SQRT(Dashboard!$F$4) * _xlfn.NORM.S.INV(RAND())</f>
        <v>-2.3741605365565955E-2</v>
      </c>
    </row>
    <row r="1106" spans="18:21" x14ac:dyDescent="0.2">
      <c r="R1106" s="49">
        <v>1104</v>
      </c>
      <c r="S1106" s="59">
        <f ca="1">Dashboard!B$8* Dashboard!$F$4+Dashboard!B$10*SQRT(Dashboard!$F$4) * _xlfn.NORM.S.INV(RAND())</f>
        <v>-1.9337281434948408E-2</v>
      </c>
      <c r="T1106" s="59">
        <f ca="1">Dashboard!C$8* Dashboard!$F$4+Dashboard!C$10*SQRT(Dashboard!$F$4) * _xlfn.NORM.S.INV(RAND())</f>
        <v>3.2231157606677177E-2</v>
      </c>
      <c r="U1106" s="59">
        <f ca="1">Dashboard!D$8* Dashboard!$F$4+Dashboard!D$10*SQRT(Dashboard!$F$4) * _xlfn.NORM.S.INV(RAND())</f>
        <v>-4.2202697944774478E-2</v>
      </c>
    </row>
    <row r="1107" spans="18:21" x14ac:dyDescent="0.2">
      <c r="R1107" s="49">
        <v>1105</v>
      </c>
      <c r="S1107" s="59">
        <f ca="1">Dashboard!B$8* Dashboard!$F$4+Dashboard!B$10*SQRT(Dashboard!$F$4) * _xlfn.NORM.S.INV(RAND())</f>
        <v>4.5037613679638058E-2</v>
      </c>
      <c r="T1107" s="59">
        <f ca="1">Dashboard!C$8* Dashboard!$F$4+Dashboard!C$10*SQRT(Dashboard!$F$4) * _xlfn.NORM.S.INV(RAND())</f>
        <v>-4.9130091850755529E-2</v>
      </c>
      <c r="U1107" s="59">
        <f ca="1">Dashboard!D$8* Dashboard!$F$4+Dashboard!D$10*SQRT(Dashboard!$F$4) * _xlfn.NORM.S.INV(RAND())</f>
        <v>-4.5606913450891927E-2</v>
      </c>
    </row>
    <row r="1108" spans="18:21" x14ac:dyDescent="0.2">
      <c r="R1108" s="49">
        <v>1106</v>
      </c>
      <c r="S1108" s="59">
        <f ca="1">Dashboard!B$8* Dashboard!$F$4+Dashboard!B$10*SQRT(Dashboard!$F$4) * _xlfn.NORM.S.INV(RAND())</f>
        <v>1.6585478072929108E-2</v>
      </c>
      <c r="T1108" s="59">
        <f ca="1">Dashboard!C$8* Dashboard!$F$4+Dashboard!C$10*SQRT(Dashboard!$F$4) * _xlfn.NORM.S.INV(RAND())</f>
        <v>-1.7492651471092371E-2</v>
      </c>
      <c r="U1108" s="59">
        <f ca="1">Dashboard!D$8* Dashboard!$F$4+Dashboard!D$10*SQRT(Dashboard!$F$4) * _xlfn.NORM.S.INV(RAND())</f>
        <v>-3.1226932919861842E-2</v>
      </c>
    </row>
    <row r="1109" spans="18:21" x14ac:dyDescent="0.2">
      <c r="R1109" s="49">
        <v>1107</v>
      </c>
      <c r="S1109" s="59">
        <f ca="1">Dashboard!B$8* Dashboard!$F$4+Dashboard!B$10*SQRT(Dashboard!$F$4) * _xlfn.NORM.S.INV(RAND())</f>
        <v>-3.4440332491501684E-2</v>
      </c>
      <c r="T1109" s="59">
        <f ca="1">Dashboard!C$8* Dashboard!$F$4+Dashboard!C$10*SQRT(Dashboard!$F$4) * _xlfn.NORM.S.INV(RAND())</f>
        <v>3.4689630747146215E-3</v>
      </c>
      <c r="U1109" s="59">
        <f ca="1">Dashboard!D$8* Dashboard!$F$4+Dashboard!D$10*SQRT(Dashboard!$F$4) * _xlfn.NORM.S.INV(RAND())</f>
        <v>-2.4756316480183293E-2</v>
      </c>
    </row>
    <row r="1110" spans="18:21" x14ac:dyDescent="0.2">
      <c r="R1110" s="49">
        <v>1108</v>
      </c>
      <c r="S1110" s="59">
        <f ca="1">Dashboard!B$8* Dashboard!$F$4+Dashboard!B$10*SQRT(Dashboard!$F$4) * _xlfn.NORM.S.INV(RAND())</f>
        <v>-4.3135719311772028E-2</v>
      </c>
      <c r="T1110" s="59">
        <f ca="1">Dashboard!C$8* Dashboard!$F$4+Dashboard!C$10*SQRT(Dashboard!$F$4) * _xlfn.NORM.S.INV(RAND())</f>
        <v>1.4088216261008948E-2</v>
      </c>
      <c r="U1110" s="59">
        <f ca="1">Dashboard!D$8* Dashboard!$F$4+Dashboard!D$10*SQRT(Dashboard!$F$4) * _xlfn.NORM.S.INV(RAND())</f>
        <v>-8.1353620860038535E-3</v>
      </c>
    </row>
    <row r="1111" spans="18:21" x14ac:dyDescent="0.2">
      <c r="R1111" s="49">
        <v>1109</v>
      </c>
      <c r="S1111" s="59">
        <f ca="1">Dashboard!B$8* Dashboard!$F$4+Dashboard!B$10*SQRT(Dashboard!$F$4) * _xlfn.NORM.S.INV(RAND())</f>
        <v>1.2462918335173953E-2</v>
      </c>
      <c r="T1111" s="59">
        <f ca="1">Dashboard!C$8* Dashboard!$F$4+Dashboard!C$10*SQRT(Dashboard!$F$4) * _xlfn.NORM.S.INV(RAND())</f>
        <v>-1.6598077081972328E-2</v>
      </c>
      <c r="U1111" s="59">
        <f ca="1">Dashboard!D$8* Dashboard!$F$4+Dashboard!D$10*SQRT(Dashboard!$F$4) * _xlfn.NORM.S.INV(RAND())</f>
        <v>-4.0426996071358239E-2</v>
      </c>
    </row>
    <row r="1112" spans="18:21" x14ac:dyDescent="0.2">
      <c r="R1112" s="49">
        <v>1110</v>
      </c>
      <c r="S1112" s="59">
        <f ca="1">Dashboard!B$8* Dashboard!$F$4+Dashboard!B$10*SQRT(Dashboard!$F$4) * _xlfn.NORM.S.INV(RAND())</f>
        <v>1.4474526009859648E-2</v>
      </c>
      <c r="T1112" s="59">
        <f ca="1">Dashboard!C$8* Dashboard!$F$4+Dashboard!C$10*SQRT(Dashboard!$F$4) * _xlfn.NORM.S.INV(RAND())</f>
        <v>1.7338787071503946E-2</v>
      </c>
      <c r="U1112" s="59">
        <f ca="1">Dashboard!D$8* Dashboard!$F$4+Dashboard!D$10*SQRT(Dashboard!$F$4) * _xlfn.NORM.S.INV(RAND())</f>
        <v>-1.7148082883054144E-3</v>
      </c>
    </row>
    <row r="1113" spans="18:21" x14ac:dyDescent="0.2">
      <c r="R1113" s="49">
        <v>1111</v>
      </c>
      <c r="S1113" s="59">
        <f ca="1">Dashboard!B$8* Dashboard!$F$4+Dashboard!B$10*SQRT(Dashboard!$F$4) * _xlfn.NORM.S.INV(RAND())</f>
        <v>-6.4158607206784748E-2</v>
      </c>
      <c r="T1113" s="59">
        <f ca="1">Dashboard!C$8* Dashboard!$F$4+Dashboard!C$10*SQRT(Dashboard!$F$4) * _xlfn.NORM.S.INV(RAND())</f>
        <v>-2.9660787273873588E-2</v>
      </c>
      <c r="U1113" s="59">
        <f ca="1">Dashboard!D$8* Dashboard!$F$4+Dashboard!D$10*SQRT(Dashboard!$F$4) * _xlfn.NORM.S.INV(RAND())</f>
        <v>7.0694536922401532E-2</v>
      </c>
    </row>
    <row r="1114" spans="18:21" x14ac:dyDescent="0.2">
      <c r="R1114" s="49">
        <v>1112</v>
      </c>
      <c r="S1114" s="59">
        <f ca="1">Dashboard!B$8* Dashboard!$F$4+Dashboard!B$10*SQRT(Dashboard!$F$4) * _xlfn.NORM.S.INV(RAND())</f>
        <v>-1.1455224465973194E-2</v>
      </c>
      <c r="T1114" s="59">
        <f ca="1">Dashboard!C$8* Dashboard!$F$4+Dashboard!C$10*SQRT(Dashboard!$F$4) * _xlfn.NORM.S.INV(RAND())</f>
        <v>3.0249305491323744E-3</v>
      </c>
      <c r="U1114" s="59">
        <f ca="1">Dashboard!D$8* Dashboard!$F$4+Dashboard!D$10*SQRT(Dashboard!$F$4) * _xlfn.NORM.S.INV(RAND())</f>
        <v>-3.2745517191383203E-2</v>
      </c>
    </row>
    <row r="1115" spans="18:21" x14ac:dyDescent="0.2">
      <c r="R1115" s="49">
        <v>1113</v>
      </c>
      <c r="S1115" s="59">
        <f ca="1">Dashboard!B$8* Dashboard!$F$4+Dashboard!B$10*SQRT(Dashboard!$F$4) * _xlfn.NORM.S.INV(RAND())</f>
        <v>2.3143952534747221E-2</v>
      </c>
      <c r="T1115" s="59">
        <f ca="1">Dashboard!C$8* Dashboard!$F$4+Dashboard!C$10*SQRT(Dashboard!$F$4) * _xlfn.NORM.S.INV(RAND())</f>
        <v>-1.0000379894367216E-2</v>
      </c>
      <c r="U1115" s="59">
        <f ca="1">Dashboard!D$8* Dashboard!$F$4+Dashboard!D$10*SQRT(Dashboard!$F$4) * _xlfn.NORM.S.INV(RAND())</f>
        <v>-3.3970044860732837E-2</v>
      </c>
    </row>
    <row r="1116" spans="18:21" x14ac:dyDescent="0.2">
      <c r="R1116" s="49">
        <v>1114</v>
      </c>
      <c r="S1116" s="59">
        <f ca="1">Dashboard!B$8* Dashboard!$F$4+Dashboard!B$10*SQRT(Dashboard!$F$4) * _xlfn.NORM.S.INV(RAND())</f>
        <v>-1.7489245070553557E-2</v>
      </c>
      <c r="T1116" s="59">
        <f ca="1">Dashboard!C$8* Dashboard!$F$4+Dashboard!C$10*SQRT(Dashboard!$F$4) * _xlfn.NORM.S.INV(RAND())</f>
        <v>3.2558470671939714E-3</v>
      </c>
      <c r="U1116" s="59">
        <f ca="1">Dashboard!D$8* Dashboard!$F$4+Dashboard!D$10*SQRT(Dashboard!$F$4) * _xlfn.NORM.S.INV(RAND())</f>
        <v>1.2793553512168434E-2</v>
      </c>
    </row>
    <row r="1117" spans="18:21" x14ac:dyDescent="0.2">
      <c r="R1117" s="49">
        <v>1115</v>
      </c>
      <c r="S1117" s="59">
        <f ca="1">Dashboard!B$8* Dashboard!$F$4+Dashboard!B$10*SQRT(Dashboard!$F$4) * _xlfn.NORM.S.INV(RAND())</f>
        <v>-1.8999354983633393E-2</v>
      </c>
      <c r="T1117" s="59">
        <f ca="1">Dashboard!C$8* Dashboard!$F$4+Dashboard!C$10*SQRT(Dashboard!$F$4) * _xlfn.NORM.S.INV(RAND())</f>
        <v>-1.425735232251062E-2</v>
      </c>
      <c r="U1117" s="59">
        <f ca="1">Dashboard!D$8* Dashboard!$F$4+Dashboard!D$10*SQRT(Dashboard!$F$4) * _xlfn.NORM.S.INV(RAND())</f>
        <v>1.1747187874334741E-2</v>
      </c>
    </row>
    <row r="1118" spans="18:21" x14ac:dyDescent="0.2">
      <c r="R1118" s="49">
        <v>1116</v>
      </c>
      <c r="S1118" s="59">
        <f ca="1">Dashboard!B$8* Dashboard!$F$4+Dashboard!B$10*SQRT(Dashboard!$F$4) * _xlfn.NORM.S.INV(RAND())</f>
        <v>1.6405387874312326E-3</v>
      </c>
      <c r="T1118" s="59">
        <f ca="1">Dashboard!C$8* Dashboard!$F$4+Dashboard!C$10*SQRT(Dashboard!$F$4) * _xlfn.NORM.S.INV(RAND())</f>
        <v>7.049172045650097E-2</v>
      </c>
      <c r="U1118" s="59">
        <f ca="1">Dashboard!D$8* Dashboard!$F$4+Dashboard!D$10*SQRT(Dashboard!$F$4) * _xlfn.NORM.S.INV(RAND())</f>
        <v>-2.1194331708466088E-2</v>
      </c>
    </row>
    <row r="1119" spans="18:21" x14ac:dyDescent="0.2">
      <c r="R1119" s="49">
        <v>1117</v>
      </c>
      <c r="S1119" s="59">
        <f ca="1">Dashboard!B$8* Dashboard!$F$4+Dashboard!B$10*SQRT(Dashboard!$F$4) * _xlfn.NORM.S.INV(RAND())</f>
        <v>1.3968140960636307E-3</v>
      </c>
      <c r="T1119" s="59">
        <f ca="1">Dashboard!C$8* Dashboard!$F$4+Dashboard!C$10*SQRT(Dashboard!$F$4) * _xlfn.NORM.S.INV(RAND())</f>
        <v>4.2330600907978681E-2</v>
      </c>
      <c r="U1119" s="59">
        <f ca="1">Dashboard!D$8* Dashboard!$F$4+Dashboard!D$10*SQRT(Dashboard!$F$4) * _xlfn.NORM.S.INV(RAND())</f>
        <v>9.217267106133854E-4</v>
      </c>
    </row>
    <row r="1120" spans="18:21" x14ac:dyDescent="0.2">
      <c r="R1120" s="49">
        <v>1118</v>
      </c>
      <c r="S1120" s="59">
        <f ca="1">Dashboard!B$8* Dashboard!$F$4+Dashboard!B$10*SQRT(Dashboard!$F$4) * _xlfn.NORM.S.INV(RAND())</f>
        <v>1.885656788070271E-2</v>
      </c>
      <c r="T1120" s="59">
        <f ca="1">Dashboard!C$8* Dashboard!$F$4+Dashboard!C$10*SQRT(Dashboard!$F$4) * _xlfn.NORM.S.INV(RAND())</f>
        <v>7.2631497175446064E-2</v>
      </c>
      <c r="U1120" s="59">
        <f ca="1">Dashboard!D$8* Dashboard!$F$4+Dashboard!D$10*SQRT(Dashboard!$F$4) * _xlfn.NORM.S.INV(RAND())</f>
        <v>5.1671801844777793E-2</v>
      </c>
    </row>
    <row r="1121" spans="18:21" x14ac:dyDescent="0.2">
      <c r="R1121" s="49">
        <v>1119</v>
      </c>
      <c r="S1121" s="59">
        <f ca="1">Dashboard!B$8* Dashboard!$F$4+Dashboard!B$10*SQRT(Dashboard!$F$4) * _xlfn.NORM.S.INV(RAND())</f>
        <v>7.5357487080995773E-3</v>
      </c>
      <c r="T1121" s="59">
        <f ca="1">Dashboard!C$8* Dashboard!$F$4+Dashboard!C$10*SQRT(Dashboard!$F$4) * _xlfn.NORM.S.INV(RAND())</f>
        <v>1.3829450954386806E-2</v>
      </c>
      <c r="U1121" s="59">
        <f ca="1">Dashboard!D$8* Dashboard!$F$4+Dashboard!D$10*SQRT(Dashboard!$F$4) * _xlfn.NORM.S.INV(RAND())</f>
        <v>-5.0111697858335347E-3</v>
      </c>
    </row>
    <row r="1122" spans="18:21" x14ac:dyDescent="0.2">
      <c r="R1122" s="49">
        <v>1120</v>
      </c>
      <c r="S1122" s="59">
        <f ca="1">Dashboard!B$8* Dashboard!$F$4+Dashboard!B$10*SQRT(Dashboard!$F$4) * _xlfn.NORM.S.INV(RAND())</f>
        <v>2.7372674811158043E-2</v>
      </c>
      <c r="T1122" s="59">
        <f ca="1">Dashboard!C$8* Dashboard!$F$4+Dashboard!C$10*SQRT(Dashboard!$F$4) * _xlfn.NORM.S.INV(RAND())</f>
        <v>3.0296160836562308E-2</v>
      </c>
      <c r="U1122" s="59">
        <f ca="1">Dashboard!D$8* Dashboard!$F$4+Dashboard!D$10*SQRT(Dashboard!$F$4) * _xlfn.NORM.S.INV(RAND())</f>
        <v>1.7091524902694298E-2</v>
      </c>
    </row>
    <row r="1123" spans="18:21" x14ac:dyDescent="0.2">
      <c r="R1123" s="49">
        <v>1121</v>
      </c>
      <c r="S1123" s="59">
        <f ca="1">Dashboard!B$8* Dashboard!$F$4+Dashboard!B$10*SQRT(Dashboard!$F$4) * _xlfn.NORM.S.INV(RAND())</f>
        <v>-3.923997214716532E-2</v>
      </c>
      <c r="T1123" s="59">
        <f ca="1">Dashboard!C$8* Dashboard!$F$4+Dashboard!C$10*SQRT(Dashboard!$F$4) * _xlfn.NORM.S.INV(RAND())</f>
        <v>-4.9338332075105441E-2</v>
      </c>
      <c r="U1123" s="59">
        <f ca="1">Dashboard!D$8* Dashboard!$F$4+Dashboard!D$10*SQRT(Dashboard!$F$4) * _xlfn.NORM.S.INV(RAND())</f>
        <v>2.3870742341337986E-3</v>
      </c>
    </row>
    <row r="1124" spans="18:21" x14ac:dyDescent="0.2">
      <c r="R1124" s="49">
        <v>1122</v>
      </c>
      <c r="S1124" s="59">
        <f ca="1">Dashboard!B$8* Dashboard!$F$4+Dashboard!B$10*SQRT(Dashboard!$F$4) * _xlfn.NORM.S.INV(RAND())</f>
        <v>-2.5022102696918444E-2</v>
      </c>
      <c r="T1124" s="59">
        <f ca="1">Dashboard!C$8* Dashboard!$F$4+Dashboard!C$10*SQRT(Dashboard!$F$4) * _xlfn.NORM.S.INV(RAND())</f>
        <v>2.5009606269027727E-2</v>
      </c>
      <c r="U1124" s="59">
        <f ca="1">Dashboard!D$8* Dashboard!$F$4+Dashboard!D$10*SQRT(Dashboard!$F$4) * _xlfn.NORM.S.INV(RAND())</f>
        <v>-2.8983556290479794E-2</v>
      </c>
    </row>
    <row r="1125" spans="18:21" x14ac:dyDescent="0.2">
      <c r="R1125" s="49">
        <v>1123</v>
      </c>
      <c r="S1125" s="59">
        <f ca="1">Dashboard!B$8* Dashboard!$F$4+Dashboard!B$10*SQRT(Dashboard!$F$4) * _xlfn.NORM.S.INV(RAND())</f>
        <v>-2.8268237102930464E-2</v>
      </c>
      <c r="T1125" s="59">
        <f ca="1">Dashboard!C$8* Dashboard!$F$4+Dashboard!C$10*SQRT(Dashboard!$F$4) * _xlfn.NORM.S.INV(RAND())</f>
        <v>3.5212483469284565E-2</v>
      </c>
      <c r="U1125" s="59">
        <f ca="1">Dashboard!D$8* Dashboard!$F$4+Dashboard!D$10*SQRT(Dashboard!$F$4) * _xlfn.NORM.S.INV(RAND())</f>
        <v>-3.6971748757259761E-2</v>
      </c>
    </row>
    <row r="1126" spans="18:21" x14ac:dyDescent="0.2">
      <c r="R1126" s="49">
        <v>1124</v>
      </c>
      <c r="S1126" s="59">
        <f ca="1">Dashboard!B$8* Dashboard!$F$4+Dashboard!B$10*SQRT(Dashboard!$F$4) * _xlfn.NORM.S.INV(RAND())</f>
        <v>4.1249471462793778E-2</v>
      </c>
      <c r="T1126" s="59">
        <f ca="1">Dashboard!C$8* Dashboard!$F$4+Dashboard!C$10*SQRT(Dashboard!$F$4) * _xlfn.NORM.S.INV(RAND())</f>
        <v>5.1555525654544215E-2</v>
      </c>
      <c r="U1126" s="59">
        <f ca="1">Dashboard!D$8* Dashboard!$F$4+Dashboard!D$10*SQRT(Dashboard!$F$4) * _xlfn.NORM.S.INV(RAND())</f>
        <v>4.0826266488920515E-2</v>
      </c>
    </row>
    <row r="1127" spans="18:21" x14ac:dyDescent="0.2">
      <c r="R1127" s="49">
        <v>1125</v>
      </c>
      <c r="S1127" s="59">
        <f ca="1">Dashboard!B$8* Dashboard!$F$4+Dashboard!B$10*SQRT(Dashboard!$F$4) * _xlfn.NORM.S.INV(RAND())</f>
        <v>-4.3366805074710406E-2</v>
      </c>
      <c r="T1127" s="59">
        <f ca="1">Dashboard!C$8* Dashboard!$F$4+Dashboard!C$10*SQRT(Dashboard!$F$4) * _xlfn.NORM.S.INV(RAND())</f>
        <v>7.0886239642512514E-4</v>
      </c>
      <c r="U1127" s="59">
        <f ca="1">Dashboard!D$8* Dashboard!$F$4+Dashboard!D$10*SQRT(Dashboard!$F$4) * _xlfn.NORM.S.INV(RAND())</f>
        <v>-3.3234526387862867E-2</v>
      </c>
    </row>
    <row r="1128" spans="18:21" x14ac:dyDescent="0.2">
      <c r="R1128" s="49">
        <v>1126</v>
      </c>
      <c r="S1128" s="59">
        <f ca="1">Dashboard!B$8* Dashboard!$F$4+Dashboard!B$10*SQRT(Dashboard!$F$4) * _xlfn.NORM.S.INV(RAND())</f>
        <v>-3.1994100547902324E-3</v>
      </c>
      <c r="T1128" s="59">
        <f ca="1">Dashboard!C$8* Dashboard!$F$4+Dashboard!C$10*SQRT(Dashboard!$F$4) * _xlfn.NORM.S.INV(RAND())</f>
        <v>-3.039197227331771E-3</v>
      </c>
      <c r="U1128" s="59">
        <f ca="1">Dashboard!D$8* Dashboard!$F$4+Dashboard!D$10*SQRT(Dashboard!$F$4) * _xlfn.NORM.S.INV(RAND())</f>
        <v>2.1045372971485978E-2</v>
      </c>
    </row>
    <row r="1129" spans="18:21" x14ac:dyDescent="0.2">
      <c r="R1129" s="49">
        <v>1127</v>
      </c>
      <c r="S1129" s="59">
        <f ca="1">Dashboard!B$8* Dashboard!$F$4+Dashboard!B$10*SQRT(Dashboard!$F$4) * _xlfn.NORM.S.INV(RAND())</f>
        <v>4.7254095648296329E-2</v>
      </c>
      <c r="T1129" s="59">
        <f ca="1">Dashboard!C$8* Dashboard!$F$4+Dashboard!C$10*SQRT(Dashboard!$F$4) * _xlfn.NORM.S.INV(RAND())</f>
        <v>2.7092773975325148E-2</v>
      </c>
      <c r="U1129" s="59">
        <f ca="1">Dashboard!D$8* Dashboard!$F$4+Dashboard!D$10*SQRT(Dashboard!$F$4) * _xlfn.NORM.S.INV(RAND())</f>
        <v>-1.8265518663661651E-2</v>
      </c>
    </row>
    <row r="1130" spans="18:21" x14ac:dyDescent="0.2">
      <c r="R1130" s="49">
        <v>1128</v>
      </c>
      <c r="S1130" s="59">
        <f ca="1">Dashboard!B$8* Dashboard!$F$4+Dashboard!B$10*SQRT(Dashboard!$F$4) * _xlfn.NORM.S.INV(RAND())</f>
        <v>-4.8332661056850901E-3</v>
      </c>
      <c r="T1130" s="59">
        <f ca="1">Dashboard!C$8* Dashboard!$F$4+Dashboard!C$10*SQRT(Dashboard!$F$4) * _xlfn.NORM.S.INV(RAND())</f>
        <v>6.4905208681998575E-2</v>
      </c>
      <c r="U1130" s="59">
        <f ca="1">Dashboard!D$8* Dashboard!$F$4+Dashboard!D$10*SQRT(Dashboard!$F$4) * _xlfn.NORM.S.INV(RAND())</f>
        <v>2.8786376382509412E-2</v>
      </c>
    </row>
    <row r="1131" spans="18:21" x14ac:dyDescent="0.2">
      <c r="R1131" s="49">
        <v>1129</v>
      </c>
      <c r="S1131" s="59">
        <f ca="1">Dashboard!B$8* Dashboard!$F$4+Dashboard!B$10*SQRT(Dashboard!$F$4) * _xlfn.NORM.S.INV(RAND())</f>
        <v>2.3653465621380272E-2</v>
      </c>
      <c r="T1131" s="59">
        <f ca="1">Dashboard!C$8* Dashboard!$F$4+Dashboard!C$10*SQRT(Dashboard!$F$4) * _xlfn.NORM.S.INV(RAND())</f>
        <v>5.31132922772206E-2</v>
      </c>
      <c r="U1131" s="59">
        <f ca="1">Dashboard!D$8* Dashboard!$F$4+Dashboard!D$10*SQRT(Dashboard!$F$4) * _xlfn.NORM.S.INV(RAND())</f>
        <v>-4.772329657613027E-4</v>
      </c>
    </row>
    <row r="1132" spans="18:21" x14ac:dyDescent="0.2">
      <c r="R1132" s="49">
        <v>1130</v>
      </c>
      <c r="S1132" s="59">
        <f ca="1">Dashboard!B$8* Dashboard!$F$4+Dashboard!B$10*SQRT(Dashboard!$F$4) * _xlfn.NORM.S.INV(RAND())</f>
        <v>3.0941065724568138E-2</v>
      </c>
      <c r="T1132" s="59">
        <f ca="1">Dashboard!C$8* Dashboard!$F$4+Dashboard!C$10*SQRT(Dashboard!$F$4) * _xlfn.NORM.S.INV(RAND())</f>
        <v>-1.4539459675439962E-2</v>
      </c>
      <c r="U1132" s="59">
        <f ca="1">Dashboard!D$8* Dashboard!$F$4+Dashboard!D$10*SQRT(Dashboard!$F$4) * _xlfn.NORM.S.INV(RAND())</f>
        <v>-1.8624217980769193E-2</v>
      </c>
    </row>
    <row r="1133" spans="18:21" x14ac:dyDescent="0.2">
      <c r="R1133" s="49">
        <v>1131</v>
      </c>
      <c r="S1133" s="59">
        <f ca="1">Dashboard!B$8* Dashboard!$F$4+Dashboard!B$10*SQRT(Dashboard!$F$4) * _xlfn.NORM.S.INV(RAND())</f>
        <v>1.2692775460016155E-2</v>
      </c>
      <c r="T1133" s="59">
        <f ca="1">Dashboard!C$8* Dashboard!$F$4+Dashboard!C$10*SQRT(Dashboard!$F$4) * _xlfn.NORM.S.INV(RAND())</f>
        <v>2.3143760128412601E-3</v>
      </c>
      <c r="U1133" s="59">
        <f ca="1">Dashboard!D$8* Dashboard!$F$4+Dashboard!D$10*SQRT(Dashboard!$F$4) * _xlfn.NORM.S.INV(RAND())</f>
        <v>1.1179830213420025E-2</v>
      </c>
    </row>
    <row r="1134" spans="18:21" x14ac:dyDescent="0.2">
      <c r="R1134" s="49">
        <v>1132</v>
      </c>
      <c r="S1134" s="59">
        <f ca="1">Dashboard!B$8* Dashboard!$F$4+Dashboard!B$10*SQRT(Dashboard!$F$4) * _xlfn.NORM.S.INV(RAND())</f>
        <v>-1.244186608766254E-4</v>
      </c>
      <c r="T1134" s="59">
        <f ca="1">Dashboard!C$8* Dashboard!$F$4+Dashboard!C$10*SQRT(Dashboard!$F$4) * _xlfn.NORM.S.INV(RAND())</f>
        <v>-9.2536216716425992E-3</v>
      </c>
      <c r="U1134" s="59">
        <f ca="1">Dashboard!D$8* Dashboard!$F$4+Dashboard!D$10*SQRT(Dashboard!$F$4) * _xlfn.NORM.S.INV(RAND())</f>
        <v>-6.353643481753427E-3</v>
      </c>
    </row>
    <row r="1135" spans="18:21" x14ac:dyDescent="0.2">
      <c r="R1135" s="49">
        <v>1133</v>
      </c>
      <c r="S1135" s="59">
        <f ca="1">Dashboard!B$8* Dashboard!$F$4+Dashboard!B$10*SQRT(Dashboard!$F$4) * _xlfn.NORM.S.INV(RAND())</f>
        <v>-2.7780530570358182E-2</v>
      </c>
      <c r="T1135" s="59">
        <f ca="1">Dashboard!C$8* Dashboard!$F$4+Dashboard!C$10*SQRT(Dashboard!$F$4) * _xlfn.NORM.S.INV(RAND())</f>
        <v>3.3696041496341991E-2</v>
      </c>
      <c r="U1135" s="59">
        <f ca="1">Dashboard!D$8* Dashboard!$F$4+Dashboard!D$10*SQRT(Dashboard!$F$4) * _xlfn.NORM.S.INV(RAND())</f>
        <v>-8.5618143878738121E-3</v>
      </c>
    </row>
    <row r="1136" spans="18:21" x14ac:dyDescent="0.2">
      <c r="R1136" s="49">
        <v>1134</v>
      </c>
      <c r="S1136" s="59">
        <f ca="1">Dashboard!B$8* Dashboard!$F$4+Dashboard!B$10*SQRT(Dashboard!$F$4) * _xlfn.NORM.S.INV(RAND())</f>
        <v>3.5282215098789892E-2</v>
      </c>
      <c r="T1136" s="59">
        <f ca="1">Dashboard!C$8* Dashboard!$F$4+Dashboard!C$10*SQRT(Dashboard!$F$4) * _xlfn.NORM.S.INV(RAND())</f>
        <v>5.7589277314947701E-2</v>
      </c>
      <c r="U1136" s="59">
        <f ca="1">Dashboard!D$8* Dashboard!$F$4+Dashboard!D$10*SQRT(Dashboard!$F$4) * _xlfn.NORM.S.INV(RAND())</f>
        <v>5.8834868576621126E-3</v>
      </c>
    </row>
    <row r="1137" spans="18:21" x14ac:dyDescent="0.2">
      <c r="R1137" s="49">
        <v>1135</v>
      </c>
      <c r="S1137" s="59">
        <f ca="1">Dashboard!B$8* Dashboard!$F$4+Dashboard!B$10*SQRT(Dashboard!$F$4) * _xlfn.NORM.S.INV(RAND())</f>
        <v>-3.043282704263537E-2</v>
      </c>
      <c r="T1137" s="59">
        <f ca="1">Dashboard!C$8* Dashboard!$F$4+Dashboard!C$10*SQRT(Dashboard!$F$4) * _xlfn.NORM.S.INV(RAND())</f>
        <v>-1.2366164791750643E-2</v>
      </c>
      <c r="U1137" s="59">
        <f ca="1">Dashboard!D$8* Dashboard!$F$4+Dashboard!D$10*SQRT(Dashboard!$F$4) * _xlfn.NORM.S.INV(RAND())</f>
        <v>8.0691049125389006E-2</v>
      </c>
    </row>
    <row r="1138" spans="18:21" x14ac:dyDescent="0.2">
      <c r="R1138" s="49">
        <v>1136</v>
      </c>
      <c r="S1138" s="59">
        <f ca="1">Dashboard!B$8* Dashboard!$F$4+Dashboard!B$10*SQRT(Dashboard!$F$4) * _xlfn.NORM.S.INV(RAND())</f>
        <v>2.8879867648781303E-2</v>
      </c>
      <c r="T1138" s="59">
        <f ca="1">Dashboard!C$8* Dashboard!$F$4+Dashboard!C$10*SQRT(Dashboard!$F$4) * _xlfn.NORM.S.INV(RAND())</f>
        <v>-1.4384593318682196E-2</v>
      </c>
      <c r="U1138" s="59">
        <f ca="1">Dashboard!D$8* Dashboard!$F$4+Dashboard!D$10*SQRT(Dashboard!$F$4) * _xlfn.NORM.S.INV(RAND())</f>
        <v>-1.3623334781038932E-2</v>
      </c>
    </row>
    <row r="1139" spans="18:21" x14ac:dyDescent="0.2">
      <c r="R1139" s="49">
        <v>1137</v>
      </c>
      <c r="S1139" s="59">
        <f ca="1">Dashboard!B$8* Dashboard!$F$4+Dashboard!B$10*SQRT(Dashboard!$F$4) * _xlfn.NORM.S.INV(RAND())</f>
        <v>-3.9767469989814867E-3</v>
      </c>
      <c r="T1139" s="59">
        <f ca="1">Dashboard!C$8* Dashboard!$F$4+Dashboard!C$10*SQRT(Dashboard!$F$4) * _xlfn.NORM.S.INV(RAND())</f>
        <v>4.0303840774729947E-2</v>
      </c>
      <c r="U1139" s="59">
        <f ca="1">Dashboard!D$8* Dashboard!$F$4+Dashboard!D$10*SQRT(Dashboard!$F$4) * _xlfn.NORM.S.INV(RAND())</f>
        <v>3.9959493817618603E-2</v>
      </c>
    </row>
    <row r="1140" spans="18:21" x14ac:dyDescent="0.2">
      <c r="R1140" s="49">
        <v>1138</v>
      </c>
      <c r="S1140" s="59">
        <f ca="1">Dashboard!B$8* Dashboard!$F$4+Dashboard!B$10*SQRT(Dashboard!$F$4) * _xlfn.NORM.S.INV(RAND())</f>
        <v>-2.5391055935201447E-2</v>
      </c>
      <c r="T1140" s="59">
        <f ca="1">Dashboard!C$8* Dashboard!$F$4+Dashboard!C$10*SQRT(Dashboard!$F$4) * _xlfn.NORM.S.INV(RAND())</f>
        <v>4.5650531611702828E-2</v>
      </c>
      <c r="U1140" s="59">
        <f ca="1">Dashboard!D$8* Dashboard!$F$4+Dashboard!D$10*SQRT(Dashboard!$F$4) * _xlfn.NORM.S.INV(RAND())</f>
        <v>-6.3821981714849941E-3</v>
      </c>
    </row>
    <row r="1141" spans="18:21" x14ac:dyDescent="0.2">
      <c r="R1141" s="49">
        <v>1139</v>
      </c>
      <c r="S1141" s="59">
        <f ca="1">Dashboard!B$8* Dashboard!$F$4+Dashboard!B$10*SQRT(Dashboard!$F$4) * _xlfn.NORM.S.INV(RAND())</f>
        <v>2.6411637504596954E-3</v>
      </c>
      <c r="T1141" s="59">
        <f ca="1">Dashboard!C$8* Dashboard!$F$4+Dashboard!C$10*SQRT(Dashboard!$F$4) * _xlfn.NORM.S.INV(RAND())</f>
        <v>1.1408039696274198E-2</v>
      </c>
      <c r="U1141" s="59">
        <f ca="1">Dashboard!D$8* Dashboard!$F$4+Dashboard!D$10*SQRT(Dashboard!$F$4) * _xlfn.NORM.S.INV(RAND())</f>
        <v>-5.8051063441428598E-4</v>
      </c>
    </row>
    <row r="1142" spans="18:21" x14ac:dyDescent="0.2">
      <c r="R1142" s="49">
        <v>1140</v>
      </c>
      <c r="S1142" s="59">
        <f ca="1">Dashboard!B$8* Dashboard!$F$4+Dashboard!B$10*SQRT(Dashboard!$F$4) * _xlfn.NORM.S.INV(RAND())</f>
        <v>3.9430527200510414E-2</v>
      </c>
      <c r="T1142" s="59">
        <f ca="1">Dashboard!C$8* Dashboard!$F$4+Dashboard!C$10*SQRT(Dashboard!$F$4) * _xlfn.NORM.S.INV(RAND())</f>
        <v>-4.5332162503506669E-2</v>
      </c>
      <c r="U1142" s="59">
        <f ca="1">Dashboard!D$8* Dashboard!$F$4+Dashboard!D$10*SQRT(Dashboard!$F$4) * _xlfn.NORM.S.INV(RAND())</f>
        <v>1.6445313087426933E-2</v>
      </c>
    </row>
    <row r="1143" spans="18:21" x14ac:dyDescent="0.2">
      <c r="R1143" s="49">
        <v>1141</v>
      </c>
      <c r="S1143" s="59">
        <f ca="1">Dashboard!B$8* Dashboard!$F$4+Dashboard!B$10*SQRT(Dashboard!$F$4) * _xlfn.NORM.S.INV(RAND())</f>
        <v>-3.3253053893961952E-3</v>
      </c>
      <c r="T1143" s="59">
        <f ca="1">Dashboard!C$8* Dashboard!$F$4+Dashboard!C$10*SQRT(Dashboard!$F$4) * _xlfn.NORM.S.INV(RAND())</f>
        <v>-1.8223362356747271E-3</v>
      </c>
      <c r="U1143" s="59">
        <f ca="1">Dashboard!D$8* Dashboard!$F$4+Dashboard!D$10*SQRT(Dashboard!$F$4) * _xlfn.NORM.S.INV(RAND())</f>
        <v>3.6842497094304254E-2</v>
      </c>
    </row>
    <row r="1144" spans="18:21" x14ac:dyDescent="0.2">
      <c r="R1144" s="49">
        <v>1142</v>
      </c>
      <c r="S1144" s="59">
        <f ca="1">Dashboard!B$8* Dashboard!$F$4+Dashboard!B$10*SQRT(Dashboard!$F$4) * _xlfn.NORM.S.INV(RAND())</f>
        <v>-2.1337596424028604E-2</v>
      </c>
      <c r="T1144" s="59">
        <f ca="1">Dashboard!C$8* Dashboard!$F$4+Dashboard!C$10*SQRT(Dashboard!$F$4) * _xlfn.NORM.S.INV(RAND())</f>
        <v>3.7009942010541856E-2</v>
      </c>
      <c r="U1144" s="59">
        <f ca="1">Dashboard!D$8* Dashboard!$F$4+Dashboard!D$10*SQRT(Dashboard!$F$4) * _xlfn.NORM.S.INV(RAND())</f>
        <v>1.1690177985691511E-2</v>
      </c>
    </row>
    <row r="1145" spans="18:21" x14ac:dyDescent="0.2">
      <c r="R1145" s="49">
        <v>1143</v>
      </c>
      <c r="S1145" s="59">
        <f ca="1">Dashboard!B$8* Dashboard!$F$4+Dashboard!B$10*SQRT(Dashboard!$F$4) * _xlfn.NORM.S.INV(RAND())</f>
        <v>-1.2035497092383041E-2</v>
      </c>
      <c r="T1145" s="59">
        <f ca="1">Dashboard!C$8* Dashboard!$F$4+Dashboard!C$10*SQRT(Dashboard!$F$4) * _xlfn.NORM.S.INV(RAND())</f>
        <v>-5.0479268962682457E-3</v>
      </c>
      <c r="U1145" s="59">
        <f ca="1">Dashboard!D$8* Dashboard!$F$4+Dashboard!D$10*SQRT(Dashboard!$F$4) * _xlfn.NORM.S.INV(RAND())</f>
        <v>4.689850618492189E-2</v>
      </c>
    </row>
    <row r="1146" spans="18:21" x14ac:dyDescent="0.2">
      <c r="R1146" s="49">
        <v>1144</v>
      </c>
      <c r="S1146" s="59">
        <f ca="1">Dashboard!B$8* Dashboard!$F$4+Dashboard!B$10*SQRT(Dashboard!$F$4) * _xlfn.NORM.S.INV(RAND())</f>
        <v>1.9047277967851751E-2</v>
      </c>
      <c r="T1146" s="59">
        <f ca="1">Dashboard!C$8* Dashboard!$F$4+Dashboard!C$10*SQRT(Dashboard!$F$4) * _xlfn.NORM.S.INV(RAND())</f>
        <v>1.7989947125247478E-2</v>
      </c>
      <c r="U1146" s="59">
        <f ca="1">Dashboard!D$8* Dashboard!$F$4+Dashboard!D$10*SQRT(Dashboard!$F$4) * _xlfn.NORM.S.INV(RAND())</f>
        <v>7.6787577096274458E-3</v>
      </c>
    </row>
    <row r="1147" spans="18:21" x14ac:dyDescent="0.2">
      <c r="R1147" s="49">
        <v>1145</v>
      </c>
      <c r="S1147" s="59">
        <f ca="1">Dashboard!B$8* Dashboard!$F$4+Dashboard!B$10*SQRT(Dashboard!$F$4) * _xlfn.NORM.S.INV(RAND())</f>
        <v>0.11113770185718443</v>
      </c>
      <c r="T1147" s="59">
        <f ca="1">Dashboard!C$8* Dashboard!$F$4+Dashboard!C$10*SQRT(Dashboard!$F$4) * _xlfn.NORM.S.INV(RAND())</f>
        <v>1.5099297213032561E-2</v>
      </c>
      <c r="U1147" s="59">
        <f ca="1">Dashboard!D$8* Dashboard!$F$4+Dashboard!D$10*SQRT(Dashboard!$F$4) * _xlfn.NORM.S.INV(RAND())</f>
        <v>-5.8309865665050822E-3</v>
      </c>
    </row>
    <row r="1148" spans="18:21" x14ac:dyDescent="0.2">
      <c r="R1148" s="49">
        <v>1146</v>
      </c>
      <c r="S1148" s="59">
        <f ca="1">Dashboard!B$8* Dashboard!$F$4+Dashboard!B$10*SQRT(Dashboard!$F$4) * _xlfn.NORM.S.INV(RAND())</f>
        <v>1.5427956052377683E-2</v>
      </c>
      <c r="T1148" s="59">
        <f ca="1">Dashboard!C$8* Dashboard!$F$4+Dashboard!C$10*SQRT(Dashboard!$F$4) * _xlfn.NORM.S.INV(RAND())</f>
        <v>6.0668041117922726E-2</v>
      </c>
      <c r="U1148" s="59">
        <f ca="1">Dashboard!D$8* Dashboard!$F$4+Dashboard!D$10*SQRT(Dashboard!$F$4) * _xlfn.NORM.S.INV(RAND())</f>
        <v>1.4592512404036291E-2</v>
      </c>
    </row>
    <row r="1149" spans="18:21" x14ac:dyDescent="0.2">
      <c r="R1149" s="49">
        <v>1147</v>
      </c>
      <c r="S1149" s="59">
        <f ca="1">Dashboard!B$8* Dashboard!$F$4+Dashboard!B$10*SQRT(Dashboard!$F$4) * _xlfn.NORM.S.INV(RAND())</f>
        <v>-9.3573261813737173E-3</v>
      </c>
      <c r="T1149" s="59">
        <f ca="1">Dashboard!C$8* Dashboard!$F$4+Dashboard!C$10*SQRT(Dashboard!$F$4) * _xlfn.NORM.S.INV(RAND())</f>
        <v>5.9087112716628247E-4</v>
      </c>
      <c r="U1149" s="59">
        <f ca="1">Dashboard!D$8* Dashboard!$F$4+Dashboard!D$10*SQRT(Dashboard!$F$4) * _xlfn.NORM.S.INV(RAND())</f>
        <v>1.4995396870967206E-2</v>
      </c>
    </row>
    <row r="1150" spans="18:21" x14ac:dyDescent="0.2">
      <c r="R1150" s="49">
        <v>1148</v>
      </c>
      <c r="S1150" s="59">
        <f ca="1">Dashboard!B$8* Dashboard!$F$4+Dashboard!B$10*SQRT(Dashboard!$F$4) * _xlfn.NORM.S.INV(RAND())</f>
        <v>-4.0858336965011829E-2</v>
      </c>
      <c r="T1150" s="59">
        <f ca="1">Dashboard!C$8* Dashboard!$F$4+Dashboard!C$10*SQRT(Dashboard!$F$4) * _xlfn.NORM.S.INV(RAND())</f>
        <v>-3.5779121380770294E-2</v>
      </c>
      <c r="U1150" s="59">
        <f ca="1">Dashboard!D$8* Dashboard!$F$4+Dashboard!D$10*SQRT(Dashboard!$F$4) * _xlfn.NORM.S.INV(RAND())</f>
        <v>-2.6281843296558718E-2</v>
      </c>
    </row>
    <row r="1151" spans="18:21" x14ac:dyDescent="0.2">
      <c r="R1151" s="49">
        <v>1149</v>
      </c>
      <c r="S1151" s="59">
        <f ca="1">Dashboard!B$8* Dashboard!$F$4+Dashboard!B$10*SQRT(Dashboard!$F$4) * _xlfn.NORM.S.INV(RAND())</f>
        <v>1.6557119340564981E-2</v>
      </c>
      <c r="T1151" s="59">
        <f ca="1">Dashboard!C$8* Dashboard!$F$4+Dashboard!C$10*SQRT(Dashboard!$F$4) * _xlfn.NORM.S.INV(RAND())</f>
        <v>4.3539651459260902E-3</v>
      </c>
      <c r="U1151" s="59">
        <f ca="1">Dashboard!D$8* Dashboard!$F$4+Dashboard!D$10*SQRT(Dashboard!$F$4) * _xlfn.NORM.S.INV(RAND())</f>
        <v>-3.1698314100536057E-2</v>
      </c>
    </row>
    <row r="1152" spans="18:21" x14ac:dyDescent="0.2">
      <c r="R1152" s="49">
        <v>1150</v>
      </c>
      <c r="S1152" s="59">
        <f ca="1">Dashboard!B$8* Dashboard!$F$4+Dashboard!B$10*SQRT(Dashboard!$F$4) * _xlfn.NORM.S.INV(RAND())</f>
        <v>3.24243258349457E-2</v>
      </c>
      <c r="T1152" s="59">
        <f ca="1">Dashboard!C$8* Dashboard!$F$4+Dashboard!C$10*SQRT(Dashboard!$F$4) * _xlfn.NORM.S.INV(RAND())</f>
        <v>2.1600980724290366E-2</v>
      </c>
      <c r="U1152" s="59">
        <f ca="1">Dashboard!D$8* Dashboard!$F$4+Dashboard!D$10*SQRT(Dashboard!$F$4) * _xlfn.NORM.S.INV(RAND())</f>
        <v>-1.4383027268143044E-2</v>
      </c>
    </row>
    <row r="1153" spans="18:21" x14ac:dyDescent="0.2">
      <c r="R1153" s="49">
        <v>1151</v>
      </c>
      <c r="S1153" s="59">
        <f ca="1">Dashboard!B$8* Dashboard!$F$4+Dashboard!B$10*SQRT(Dashboard!$F$4) * _xlfn.NORM.S.INV(RAND())</f>
        <v>-2.1411208095402416E-2</v>
      </c>
      <c r="T1153" s="59">
        <f ca="1">Dashboard!C$8* Dashboard!$F$4+Dashboard!C$10*SQRT(Dashboard!$F$4) * _xlfn.NORM.S.INV(RAND())</f>
        <v>-8.1898639037592917E-3</v>
      </c>
      <c r="U1153" s="59">
        <f ca="1">Dashboard!D$8* Dashboard!$F$4+Dashboard!D$10*SQRT(Dashboard!$F$4) * _xlfn.NORM.S.INV(RAND())</f>
        <v>1.3615688027088299E-2</v>
      </c>
    </row>
    <row r="1154" spans="18:21" x14ac:dyDescent="0.2">
      <c r="R1154" s="49">
        <v>1152</v>
      </c>
      <c r="S1154" s="59">
        <f ca="1">Dashboard!B$8* Dashboard!$F$4+Dashboard!B$10*SQRT(Dashboard!$F$4) * _xlfn.NORM.S.INV(RAND())</f>
        <v>-2.3484991972790394E-2</v>
      </c>
      <c r="T1154" s="59">
        <f ca="1">Dashboard!C$8* Dashboard!$F$4+Dashboard!C$10*SQRT(Dashboard!$F$4) * _xlfn.NORM.S.INV(RAND())</f>
        <v>-4.3885509434621425E-2</v>
      </c>
      <c r="U1154" s="59">
        <f ca="1">Dashboard!D$8* Dashboard!$F$4+Dashboard!D$10*SQRT(Dashboard!$F$4) * _xlfn.NORM.S.INV(RAND())</f>
        <v>-3.6616519661965101E-2</v>
      </c>
    </row>
    <row r="1155" spans="18:21" x14ac:dyDescent="0.2">
      <c r="R1155" s="49">
        <v>1153</v>
      </c>
      <c r="S1155" s="59">
        <f ca="1">Dashboard!B$8* Dashboard!$F$4+Dashboard!B$10*SQRT(Dashboard!$F$4) * _xlfn.NORM.S.INV(RAND())</f>
        <v>-8.8283002128934224E-3</v>
      </c>
      <c r="T1155" s="59">
        <f ca="1">Dashboard!C$8* Dashboard!$F$4+Dashboard!C$10*SQRT(Dashboard!$F$4) * _xlfn.NORM.S.INV(RAND())</f>
        <v>3.417111302946186E-2</v>
      </c>
      <c r="U1155" s="59">
        <f ca="1">Dashboard!D$8* Dashboard!$F$4+Dashboard!D$10*SQRT(Dashboard!$F$4) * _xlfn.NORM.S.INV(RAND())</f>
        <v>-3.8549753130022804E-2</v>
      </c>
    </row>
    <row r="1156" spans="18:21" x14ac:dyDescent="0.2">
      <c r="R1156" s="49">
        <v>1154</v>
      </c>
      <c r="S1156" s="59">
        <f ca="1">Dashboard!B$8* Dashboard!$F$4+Dashboard!B$10*SQRT(Dashboard!$F$4) * _xlfn.NORM.S.INV(RAND())</f>
        <v>3.5373491640770964E-2</v>
      </c>
      <c r="T1156" s="59">
        <f ca="1">Dashboard!C$8* Dashboard!$F$4+Dashboard!C$10*SQRT(Dashboard!$F$4) * _xlfn.NORM.S.INV(RAND())</f>
        <v>-2.5968251993329073E-2</v>
      </c>
      <c r="U1156" s="59">
        <f ca="1">Dashboard!D$8* Dashboard!$F$4+Dashboard!D$10*SQRT(Dashboard!$F$4) * _xlfn.NORM.S.INV(RAND())</f>
        <v>1.3068249147391107E-2</v>
      </c>
    </row>
    <row r="1157" spans="18:21" x14ac:dyDescent="0.2">
      <c r="R1157" s="49">
        <v>1155</v>
      </c>
      <c r="S1157" s="59">
        <f ca="1">Dashboard!B$8* Dashboard!$F$4+Dashboard!B$10*SQRT(Dashboard!$F$4) * _xlfn.NORM.S.INV(RAND())</f>
        <v>-4.3848542162783152E-2</v>
      </c>
      <c r="T1157" s="59">
        <f ca="1">Dashboard!C$8* Dashboard!$F$4+Dashboard!C$10*SQRT(Dashboard!$F$4) * _xlfn.NORM.S.INV(RAND())</f>
        <v>-1.184295631934407E-2</v>
      </c>
      <c r="U1157" s="59">
        <f ca="1">Dashboard!D$8* Dashboard!$F$4+Dashboard!D$10*SQRT(Dashboard!$F$4) * _xlfn.NORM.S.INV(RAND())</f>
        <v>-9.3678849561554603E-3</v>
      </c>
    </row>
    <row r="1158" spans="18:21" x14ac:dyDescent="0.2">
      <c r="R1158" s="49">
        <v>1156</v>
      </c>
      <c r="S1158" s="59">
        <f ca="1">Dashboard!B$8* Dashboard!$F$4+Dashboard!B$10*SQRT(Dashboard!$F$4) * _xlfn.NORM.S.INV(RAND())</f>
        <v>2.2163508705014164E-2</v>
      </c>
      <c r="T1158" s="59">
        <f ca="1">Dashboard!C$8* Dashboard!$F$4+Dashboard!C$10*SQRT(Dashboard!$F$4) * _xlfn.NORM.S.INV(RAND())</f>
        <v>4.3714808539895678E-2</v>
      </c>
      <c r="U1158" s="59">
        <f ca="1">Dashboard!D$8* Dashboard!$F$4+Dashboard!D$10*SQRT(Dashboard!$F$4) * _xlfn.NORM.S.INV(RAND())</f>
        <v>1.5571173960256385E-2</v>
      </c>
    </row>
    <row r="1159" spans="18:21" x14ac:dyDescent="0.2">
      <c r="R1159" s="49">
        <v>1157</v>
      </c>
      <c r="S1159" s="59">
        <f ca="1">Dashboard!B$8* Dashboard!$F$4+Dashboard!B$10*SQRT(Dashboard!$F$4) * _xlfn.NORM.S.INV(RAND())</f>
        <v>-1.3897532330080245E-2</v>
      </c>
      <c r="T1159" s="59">
        <f ca="1">Dashboard!C$8* Dashboard!$F$4+Dashboard!C$10*SQRT(Dashboard!$F$4) * _xlfn.NORM.S.INV(RAND())</f>
        <v>2.5835739792412483E-2</v>
      </c>
      <c r="U1159" s="59">
        <f ca="1">Dashboard!D$8* Dashboard!$F$4+Dashboard!D$10*SQRT(Dashboard!$F$4) * _xlfn.NORM.S.INV(RAND())</f>
        <v>-1.1318236704393681E-2</v>
      </c>
    </row>
    <row r="1160" spans="18:21" x14ac:dyDescent="0.2">
      <c r="R1160" s="49">
        <v>1158</v>
      </c>
      <c r="S1160" s="59">
        <f ca="1">Dashboard!B$8* Dashboard!$F$4+Dashboard!B$10*SQRT(Dashboard!$F$4) * _xlfn.NORM.S.INV(RAND())</f>
        <v>-4.3495983996410074E-2</v>
      </c>
      <c r="T1160" s="59">
        <f ca="1">Dashboard!C$8* Dashboard!$F$4+Dashboard!C$10*SQRT(Dashboard!$F$4) * _xlfn.NORM.S.INV(RAND())</f>
        <v>1.3764317542230599E-2</v>
      </c>
      <c r="U1160" s="59">
        <f ca="1">Dashboard!D$8* Dashboard!$F$4+Dashboard!D$10*SQRT(Dashboard!$F$4) * _xlfn.NORM.S.INV(RAND())</f>
        <v>2.5281858419706885E-2</v>
      </c>
    </row>
    <row r="1161" spans="18:21" x14ac:dyDescent="0.2">
      <c r="R1161" s="49">
        <v>1159</v>
      </c>
      <c r="S1161" s="59">
        <f ca="1">Dashboard!B$8* Dashboard!$F$4+Dashboard!B$10*SQRT(Dashboard!$F$4) * _xlfn.NORM.S.INV(RAND())</f>
        <v>1.0852861344766103E-2</v>
      </c>
      <c r="T1161" s="59">
        <f ca="1">Dashboard!C$8* Dashboard!$F$4+Dashboard!C$10*SQRT(Dashboard!$F$4) * _xlfn.NORM.S.INV(RAND())</f>
        <v>-8.8751169962690696E-3</v>
      </c>
      <c r="U1161" s="59">
        <f ca="1">Dashboard!D$8* Dashboard!$F$4+Dashboard!D$10*SQRT(Dashboard!$F$4) * _xlfn.NORM.S.INV(RAND())</f>
        <v>1.5155192553215622E-3</v>
      </c>
    </row>
    <row r="1162" spans="18:21" x14ac:dyDescent="0.2">
      <c r="R1162" s="49">
        <v>1160</v>
      </c>
      <c r="S1162" s="59">
        <f ca="1">Dashboard!B$8* Dashboard!$F$4+Dashboard!B$10*SQRT(Dashboard!$F$4) * _xlfn.NORM.S.INV(RAND())</f>
        <v>-5.1546848288869955E-2</v>
      </c>
      <c r="T1162" s="59">
        <f ca="1">Dashboard!C$8* Dashboard!$F$4+Dashboard!C$10*SQRT(Dashboard!$F$4) * _xlfn.NORM.S.INV(RAND())</f>
        <v>4.2856772793619458E-3</v>
      </c>
      <c r="U1162" s="59">
        <f ca="1">Dashboard!D$8* Dashboard!$F$4+Dashboard!D$10*SQRT(Dashboard!$F$4) * _xlfn.NORM.S.INV(RAND())</f>
        <v>6.2662365493852835E-3</v>
      </c>
    </row>
    <row r="1163" spans="18:21" x14ac:dyDescent="0.2">
      <c r="R1163" s="49">
        <v>1161</v>
      </c>
      <c r="S1163" s="59">
        <f ca="1">Dashboard!B$8* Dashboard!$F$4+Dashboard!B$10*SQRT(Dashboard!$F$4) * _xlfn.NORM.S.INV(RAND())</f>
        <v>2.7609033085266169E-3</v>
      </c>
      <c r="T1163" s="59">
        <f ca="1">Dashboard!C$8* Dashboard!$F$4+Dashboard!C$10*SQRT(Dashboard!$F$4) * _xlfn.NORM.S.INV(RAND())</f>
        <v>8.3128641497730044E-3</v>
      </c>
      <c r="U1163" s="59">
        <f ca="1">Dashboard!D$8* Dashboard!$F$4+Dashboard!D$10*SQRT(Dashboard!$F$4) * _xlfn.NORM.S.INV(RAND())</f>
        <v>-2.9107480293507796E-2</v>
      </c>
    </row>
    <row r="1164" spans="18:21" x14ac:dyDescent="0.2">
      <c r="R1164" s="49">
        <v>1162</v>
      </c>
      <c r="S1164" s="59">
        <f ca="1">Dashboard!B$8* Dashboard!$F$4+Dashboard!B$10*SQRT(Dashboard!$F$4) * _xlfn.NORM.S.INV(RAND())</f>
        <v>6.0535920569957345E-3</v>
      </c>
      <c r="T1164" s="59">
        <f ca="1">Dashboard!C$8* Dashboard!$F$4+Dashboard!C$10*SQRT(Dashboard!$F$4) * _xlfn.NORM.S.INV(RAND())</f>
        <v>-3.4515451533990438E-2</v>
      </c>
      <c r="U1164" s="59">
        <f ca="1">Dashboard!D$8* Dashboard!$F$4+Dashboard!D$10*SQRT(Dashboard!$F$4) * _xlfn.NORM.S.INV(RAND())</f>
        <v>-2.594843357942626E-2</v>
      </c>
    </row>
    <row r="1165" spans="18:21" x14ac:dyDescent="0.2">
      <c r="R1165" s="49">
        <v>1163</v>
      </c>
      <c r="S1165" s="59">
        <f ca="1">Dashboard!B$8* Dashboard!$F$4+Dashboard!B$10*SQRT(Dashboard!$F$4) * _xlfn.NORM.S.INV(RAND())</f>
        <v>3.3918712154056133E-2</v>
      </c>
      <c r="T1165" s="59">
        <f ca="1">Dashboard!C$8* Dashboard!$F$4+Dashboard!C$10*SQRT(Dashboard!$F$4) * _xlfn.NORM.S.INV(RAND())</f>
        <v>2.8232976575949052E-2</v>
      </c>
      <c r="U1165" s="59">
        <f ca="1">Dashboard!D$8* Dashboard!$F$4+Dashboard!D$10*SQRT(Dashboard!$F$4) * _xlfn.NORM.S.INV(RAND())</f>
        <v>-1.0336293168384381E-2</v>
      </c>
    </row>
    <row r="1166" spans="18:21" x14ac:dyDescent="0.2">
      <c r="R1166" s="49">
        <v>1164</v>
      </c>
      <c r="S1166" s="59">
        <f ca="1">Dashboard!B$8* Dashboard!$F$4+Dashboard!B$10*SQRT(Dashboard!$F$4) * _xlfn.NORM.S.INV(RAND())</f>
        <v>1.702349631253379E-2</v>
      </c>
      <c r="T1166" s="59">
        <f ca="1">Dashboard!C$8* Dashboard!$F$4+Dashboard!C$10*SQRT(Dashboard!$F$4) * _xlfn.NORM.S.INV(RAND())</f>
        <v>-2.9739093099933427E-2</v>
      </c>
      <c r="U1166" s="59">
        <f ca="1">Dashboard!D$8* Dashboard!$F$4+Dashboard!D$10*SQRT(Dashboard!$F$4) * _xlfn.NORM.S.INV(RAND())</f>
        <v>5.3447352002481442E-2</v>
      </c>
    </row>
    <row r="1167" spans="18:21" x14ac:dyDescent="0.2">
      <c r="R1167" s="49">
        <v>1165</v>
      </c>
      <c r="S1167" s="59">
        <f ca="1">Dashboard!B$8* Dashboard!$F$4+Dashboard!B$10*SQRT(Dashboard!$F$4) * _xlfn.NORM.S.INV(RAND())</f>
        <v>1.7446151563753717E-2</v>
      </c>
      <c r="T1167" s="59">
        <f ca="1">Dashboard!C$8* Dashboard!$F$4+Dashboard!C$10*SQRT(Dashboard!$F$4) * _xlfn.NORM.S.INV(RAND())</f>
        <v>-9.7726751731388554E-3</v>
      </c>
      <c r="U1167" s="59">
        <f ca="1">Dashboard!D$8* Dashboard!$F$4+Dashboard!D$10*SQRT(Dashboard!$F$4) * _xlfn.NORM.S.INV(RAND())</f>
        <v>2.2376906109943962E-2</v>
      </c>
    </row>
    <row r="1168" spans="18:21" x14ac:dyDescent="0.2">
      <c r="R1168" s="49">
        <v>1166</v>
      </c>
      <c r="S1168" s="59">
        <f ca="1">Dashboard!B$8* Dashboard!$F$4+Dashboard!B$10*SQRT(Dashboard!$F$4) * _xlfn.NORM.S.INV(RAND())</f>
        <v>-1.4188814583824795E-2</v>
      </c>
      <c r="T1168" s="59">
        <f ca="1">Dashboard!C$8* Dashboard!$F$4+Dashboard!C$10*SQRT(Dashboard!$F$4) * _xlfn.NORM.S.INV(RAND())</f>
        <v>4.5259350823957642E-2</v>
      </c>
      <c r="U1168" s="59">
        <f ca="1">Dashboard!D$8* Dashboard!$F$4+Dashboard!D$10*SQRT(Dashboard!$F$4) * _xlfn.NORM.S.INV(RAND())</f>
        <v>1.1353491623576658E-2</v>
      </c>
    </row>
    <row r="1169" spans="18:21" x14ac:dyDescent="0.2">
      <c r="R1169" s="49">
        <v>1167</v>
      </c>
      <c r="S1169" s="59">
        <f ca="1">Dashboard!B$8* Dashboard!$F$4+Dashboard!B$10*SQRT(Dashboard!$F$4) * _xlfn.NORM.S.INV(RAND())</f>
        <v>-3.2645077054781696E-3</v>
      </c>
      <c r="T1169" s="59">
        <f ca="1">Dashboard!C$8* Dashboard!$F$4+Dashboard!C$10*SQRT(Dashboard!$F$4) * _xlfn.NORM.S.INV(RAND())</f>
        <v>-1.5334052423974381E-2</v>
      </c>
      <c r="U1169" s="59">
        <f ca="1">Dashboard!D$8* Dashboard!$F$4+Dashboard!D$10*SQRT(Dashboard!$F$4) * _xlfn.NORM.S.INV(RAND())</f>
        <v>-4.1680339820966174E-2</v>
      </c>
    </row>
    <row r="1170" spans="18:21" x14ac:dyDescent="0.2">
      <c r="R1170" s="49">
        <v>1168</v>
      </c>
      <c r="S1170" s="59">
        <f ca="1">Dashboard!B$8* Dashboard!$F$4+Dashboard!B$10*SQRT(Dashboard!$F$4) * _xlfn.NORM.S.INV(RAND())</f>
        <v>2.4864228758574018E-2</v>
      </c>
      <c r="T1170" s="59">
        <f ca="1">Dashboard!C$8* Dashboard!$F$4+Dashboard!C$10*SQRT(Dashboard!$F$4) * _xlfn.NORM.S.INV(RAND())</f>
        <v>2.2248448267973866E-2</v>
      </c>
      <c r="U1170" s="59">
        <f ca="1">Dashboard!D$8* Dashboard!$F$4+Dashboard!D$10*SQRT(Dashboard!$F$4) * _xlfn.NORM.S.INV(RAND())</f>
        <v>3.4590368332685591E-2</v>
      </c>
    </row>
    <row r="1171" spans="18:21" x14ac:dyDescent="0.2">
      <c r="R1171" s="49">
        <v>1169</v>
      </c>
      <c r="S1171" s="59">
        <f ca="1">Dashboard!B$8* Dashboard!$F$4+Dashboard!B$10*SQRT(Dashboard!$F$4) * _xlfn.NORM.S.INV(RAND())</f>
        <v>4.7343855259234117E-2</v>
      </c>
      <c r="T1171" s="59">
        <f ca="1">Dashboard!C$8* Dashboard!$F$4+Dashboard!C$10*SQRT(Dashboard!$F$4) * _xlfn.NORM.S.INV(RAND())</f>
        <v>-3.4398629882498302E-3</v>
      </c>
      <c r="U1171" s="59">
        <f ca="1">Dashboard!D$8* Dashboard!$F$4+Dashboard!D$10*SQRT(Dashboard!$F$4) * _xlfn.NORM.S.INV(RAND())</f>
        <v>-1.3714003074167841E-2</v>
      </c>
    </row>
    <row r="1172" spans="18:21" x14ac:dyDescent="0.2">
      <c r="R1172" s="49">
        <v>1170</v>
      </c>
      <c r="S1172" s="59">
        <f ca="1">Dashboard!B$8* Dashboard!$F$4+Dashboard!B$10*SQRT(Dashboard!$F$4) * _xlfn.NORM.S.INV(RAND())</f>
        <v>4.2133704933850387E-3</v>
      </c>
      <c r="T1172" s="59">
        <f ca="1">Dashboard!C$8* Dashboard!$F$4+Dashboard!C$10*SQRT(Dashboard!$F$4) * _xlfn.NORM.S.INV(RAND())</f>
        <v>1.5443916337332723E-2</v>
      </c>
      <c r="U1172" s="59">
        <f ca="1">Dashboard!D$8* Dashboard!$F$4+Dashboard!D$10*SQRT(Dashboard!$F$4) * _xlfn.NORM.S.INV(RAND())</f>
        <v>7.5269667973857828E-3</v>
      </c>
    </row>
    <row r="1173" spans="18:21" x14ac:dyDescent="0.2">
      <c r="R1173" s="49">
        <v>1171</v>
      </c>
      <c r="S1173" s="59">
        <f ca="1">Dashboard!B$8* Dashboard!$F$4+Dashboard!B$10*SQRT(Dashboard!$F$4) * _xlfn.NORM.S.INV(RAND())</f>
        <v>5.1099359140048192E-3</v>
      </c>
      <c r="T1173" s="59">
        <f ca="1">Dashboard!C$8* Dashboard!$F$4+Dashboard!C$10*SQRT(Dashboard!$F$4) * _xlfn.NORM.S.INV(RAND())</f>
        <v>1.8400908579630587E-2</v>
      </c>
      <c r="U1173" s="59">
        <f ca="1">Dashboard!D$8* Dashboard!$F$4+Dashboard!D$10*SQRT(Dashboard!$F$4) * _xlfn.NORM.S.INV(RAND())</f>
        <v>-1.343821111357724E-2</v>
      </c>
    </row>
    <row r="1174" spans="18:21" x14ac:dyDescent="0.2">
      <c r="R1174" s="49">
        <v>1172</v>
      </c>
      <c r="S1174" s="59">
        <f ca="1">Dashboard!B$8* Dashboard!$F$4+Dashboard!B$10*SQRT(Dashboard!$F$4) * _xlfn.NORM.S.INV(RAND())</f>
        <v>-4.3549420175556505E-2</v>
      </c>
      <c r="T1174" s="59">
        <f ca="1">Dashboard!C$8* Dashboard!$F$4+Dashboard!C$10*SQRT(Dashboard!$F$4) * _xlfn.NORM.S.INV(RAND())</f>
        <v>4.0070992316506321E-2</v>
      </c>
      <c r="U1174" s="59">
        <f ca="1">Dashboard!D$8* Dashboard!$F$4+Dashboard!D$10*SQRT(Dashboard!$F$4) * _xlfn.NORM.S.INV(RAND())</f>
        <v>6.2360551903113386E-3</v>
      </c>
    </row>
    <row r="1175" spans="18:21" x14ac:dyDescent="0.2">
      <c r="R1175" s="49">
        <v>1173</v>
      </c>
      <c r="S1175" s="59">
        <f ca="1">Dashboard!B$8* Dashboard!$F$4+Dashboard!B$10*SQRT(Dashboard!$F$4) * _xlfn.NORM.S.INV(RAND())</f>
        <v>2.7341199138476498E-2</v>
      </c>
      <c r="T1175" s="59">
        <f ca="1">Dashboard!C$8* Dashboard!$F$4+Dashboard!C$10*SQRT(Dashboard!$F$4) * _xlfn.NORM.S.INV(RAND())</f>
        <v>2.0721279848245826E-2</v>
      </c>
      <c r="U1175" s="59">
        <f ca="1">Dashboard!D$8* Dashboard!$F$4+Dashboard!D$10*SQRT(Dashboard!$F$4) * _xlfn.NORM.S.INV(RAND())</f>
        <v>-9.1018428176950321E-3</v>
      </c>
    </row>
    <row r="1176" spans="18:21" x14ac:dyDescent="0.2">
      <c r="R1176" s="49">
        <v>1174</v>
      </c>
      <c r="S1176" s="59">
        <f ca="1">Dashboard!B$8* Dashboard!$F$4+Dashboard!B$10*SQRT(Dashboard!$F$4) * _xlfn.NORM.S.INV(RAND())</f>
        <v>2.1065970259262622E-2</v>
      </c>
      <c r="T1176" s="59">
        <f ca="1">Dashboard!C$8* Dashboard!$F$4+Dashboard!C$10*SQRT(Dashboard!$F$4) * _xlfn.NORM.S.INV(RAND())</f>
        <v>4.0664381852516446E-2</v>
      </c>
      <c r="U1176" s="59">
        <f ca="1">Dashboard!D$8* Dashboard!$F$4+Dashboard!D$10*SQRT(Dashboard!$F$4) * _xlfn.NORM.S.INV(RAND())</f>
        <v>5.6532907273867193E-2</v>
      </c>
    </row>
    <row r="1177" spans="18:21" x14ac:dyDescent="0.2">
      <c r="R1177" s="49">
        <v>1175</v>
      </c>
      <c r="S1177" s="59">
        <f ca="1">Dashboard!B$8* Dashboard!$F$4+Dashboard!B$10*SQRT(Dashboard!$F$4) * _xlfn.NORM.S.INV(RAND())</f>
        <v>-3.2081083258125084E-3</v>
      </c>
      <c r="T1177" s="59">
        <f ca="1">Dashboard!C$8* Dashboard!$F$4+Dashboard!C$10*SQRT(Dashboard!$F$4) * _xlfn.NORM.S.INV(RAND())</f>
        <v>-1.4391488314910265E-2</v>
      </c>
      <c r="U1177" s="59">
        <f ca="1">Dashboard!D$8* Dashboard!$F$4+Dashboard!D$10*SQRT(Dashboard!$F$4) * _xlfn.NORM.S.INV(RAND())</f>
        <v>-3.1827134312639699E-2</v>
      </c>
    </row>
    <row r="1178" spans="18:21" x14ac:dyDescent="0.2">
      <c r="R1178" s="49">
        <v>1176</v>
      </c>
      <c r="S1178" s="59">
        <f ca="1">Dashboard!B$8* Dashboard!$F$4+Dashboard!B$10*SQRT(Dashboard!$F$4) * _xlfn.NORM.S.INV(RAND())</f>
        <v>-2.6819104470135149E-2</v>
      </c>
      <c r="T1178" s="59">
        <f ca="1">Dashboard!C$8* Dashboard!$F$4+Dashboard!C$10*SQRT(Dashboard!$F$4) * _xlfn.NORM.S.INV(RAND())</f>
        <v>-1.9971529631469375E-4</v>
      </c>
      <c r="U1178" s="59">
        <f ca="1">Dashboard!D$8* Dashboard!$F$4+Dashboard!D$10*SQRT(Dashboard!$F$4) * _xlfn.NORM.S.INV(RAND())</f>
        <v>4.6570050304637761E-2</v>
      </c>
    </row>
    <row r="1179" spans="18:21" x14ac:dyDescent="0.2">
      <c r="R1179" s="49">
        <v>1177</v>
      </c>
      <c r="S1179" s="59">
        <f ca="1">Dashboard!B$8* Dashboard!$F$4+Dashboard!B$10*SQRT(Dashboard!$F$4) * _xlfn.NORM.S.INV(RAND())</f>
        <v>-1.3420196867692961E-2</v>
      </c>
      <c r="T1179" s="59">
        <f ca="1">Dashboard!C$8* Dashboard!$F$4+Dashboard!C$10*SQRT(Dashboard!$F$4) * _xlfn.NORM.S.INV(RAND())</f>
        <v>1.1647910817877277E-2</v>
      </c>
      <c r="U1179" s="59">
        <f ca="1">Dashboard!D$8* Dashboard!$F$4+Dashboard!D$10*SQRT(Dashboard!$F$4) * _xlfn.NORM.S.INV(RAND())</f>
        <v>-2.294254403548252E-3</v>
      </c>
    </row>
    <row r="1180" spans="18:21" x14ac:dyDescent="0.2">
      <c r="R1180" s="49">
        <v>1178</v>
      </c>
      <c r="S1180" s="59">
        <f ca="1">Dashboard!B$8* Dashboard!$F$4+Dashboard!B$10*SQRT(Dashboard!$F$4) * _xlfn.NORM.S.INV(RAND())</f>
        <v>6.0708357849761137E-3</v>
      </c>
      <c r="T1180" s="59">
        <f ca="1">Dashboard!C$8* Dashboard!$F$4+Dashboard!C$10*SQRT(Dashboard!$F$4) * _xlfn.NORM.S.INV(RAND())</f>
        <v>-6.2582341207694681E-2</v>
      </c>
      <c r="U1180" s="59">
        <f ca="1">Dashboard!D$8* Dashboard!$F$4+Dashboard!D$10*SQRT(Dashboard!$F$4) * _xlfn.NORM.S.INV(RAND())</f>
        <v>-7.6864390588901243E-3</v>
      </c>
    </row>
    <row r="1181" spans="18:21" x14ac:dyDescent="0.2">
      <c r="R1181" s="49">
        <v>1179</v>
      </c>
      <c r="S1181" s="59">
        <f ca="1">Dashboard!B$8* Dashboard!$F$4+Dashboard!B$10*SQRT(Dashboard!$F$4) * _xlfn.NORM.S.INV(RAND())</f>
        <v>-6.15323211087122E-2</v>
      </c>
      <c r="T1181" s="59">
        <f ca="1">Dashboard!C$8* Dashboard!$F$4+Dashboard!C$10*SQRT(Dashboard!$F$4) * _xlfn.NORM.S.INV(RAND())</f>
        <v>-2.8042537523105027E-2</v>
      </c>
      <c r="U1181" s="59">
        <f ca="1">Dashboard!D$8* Dashboard!$F$4+Dashboard!D$10*SQRT(Dashboard!$F$4) * _xlfn.NORM.S.INV(RAND())</f>
        <v>3.3831448470945769E-2</v>
      </c>
    </row>
    <row r="1182" spans="18:21" x14ac:dyDescent="0.2">
      <c r="R1182" s="49">
        <v>1180</v>
      </c>
      <c r="S1182" s="59">
        <f ca="1">Dashboard!B$8* Dashboard!$F$4+Dashboard!B$10*SQRT(Dashboard!$F$4) * _xlfn.NORM.S.INV(RAND())</f>
        <v>1.0090182581957661E-2</v>
      </c>
      <c r="T1182" s="59">
        <f ca="1">Dashboard!C$8* Dashboard!$F$4+Dashboard!C$10*SQRT(Dashboard!$F$4) * _xlfn.NORM.S.INV(RAND())</f>
        <v>1.6771426407875656E-2</v>
      </c>
      <c r="U1182" s="59">
        <f ca="1">Dashboard!D$8* Dashboard!$F$4+Dashboard!D$10*SQRT(Dashboard!$F$4) * _xlfn.NORM.S.INV(RAND())</f>
        <v>-2.7955920535527624E-2</v>
      </c>
    </row>
    <row r="1183" spans="18:21" x14ac:dyDescent="0.2">
      <c r="R1183" s="49">
        <v>1181</v>
      </c>
      <c r="S1183" s="59">
        <f ca="1">Dashboard!B$8* Dashboard!$F$4+Dashboard!B$10*SQRT(Dashboard!$F$4) * _xlfn.NORM.S.INV(RAND())</f>
        <v>1.093281630911477E-2</v>
      </c>
      <c r="T1183" s="59">
        <f ca="1">Dashboard!C$8* Dashboard!$F$4+Dashboard!C$10*SQRT(Dashboard!$F$4) * _xlfn.NORM.S.INV(RAND())</f>
        <v>-3.1294275951365726E-2</v>
      </c>
      <c r="U1183" s="59">
        <f ca="1">Dashboard!D$8* Dashboard!$F$4+Dashboard!D$10*SQRT(Dashboard!$F$4) * _xlfn.NORM.S.INV(RAND())</f>
        <v>8.8208140533708197E-3</v>
      </c>
    </row>
    <row r="1184" spans="18:21" x14ac:dyDescent="0.2">
      <c r="R1184" s="49">
        <v>1182</v>
      </c>
      <c r="S1184" s="59">
        <f ca="1">Dashboard!B$8* Dashboard!$F$4+Dashboard!B$10*SQRT(Dashboard!$F$4) * _xlfn.NORM.S.INV(RAND())</f>
        <v>1.4626591684487903E-3</v>
      </c>
      <c r="T1184" s="59">
        <f ca="1">Dashboard!C$8* Dashboard!$F$4+Dashboard!C$10*SQRT(Dashboard!$F$4) * _xlfn.NORM.S.INV(RAND())</f>
        <v>1.3416538432563796E-2</v>
      </c>
      <c r="U1184" s="59">
        <f ca="1">Dashboard!D$8* Dashboard!$F$4+Dashboard!D$10*SQRT(Dashboard!$F$4) * _xlfn.NORM.S.INV(RAND())</f>
        <v>-5.1158641539717018E-4</v>
      </c>
    </row>
    <row r="1185" spans="18:21" x14ac:dyDescent="0.2">
      <c r="R1185" s="49">
        <v>1183</v>
      </c>
      <c r="S1185" s="59">
        <f ca="1">Dashboard!B$8* Dashboard!$F$4+Dashboard!B$10*SQRT(Dashboard!$F$4) * _xlfn.NORM.S.INV(RAND())</f>
        <v>1.7415621401970713E-2</v>
      </c>
      <c r="T1185" s="59">
        <f ca="1">Dashboard!C$8* Dashboard!$F$4+Dashboard!C$10*SQRT(Dashboard!$F$4) * _xlfn.NORM.S.INV(RAND())</f>
        <v>1.9587374707691816E-2</v>
      </c>
      <c r="U1185" s="59">
        <f ca="1">Dashboard!D$8* Dashboard!$F$4+Dashboard!D$10*SQRT(Dashboard!$F$4) * _xlfn.NORM.S.INV(RAND())</f>
        <v>1.1136025045823783E-2</v>
      </c>
    </row>
    <row r="1186" spans="18:21" x14ac:dyDescent="0.2">
      <c r="R1186" s="49">
        <v>1184</v>
      </c>
      <c r="S1186" s="59">
        <f ca="1">Dashboard!B$8* Dashboard!$F$4+Dashboard!B$10*SQRT(Dashboard!$F$4) * _xlfn.NORM.S.INV(RAND())</f>
        <v>-3.0175898359916166E-2</v>
      </c>
      <c r="T1186" s="59">
        <f ca="1">Dashboard!C$8* Dashboard!$F$4+Dashboard!C$10*SQRT(Dashboard!$F$4) * _xlfn.NORM.S.INV(RAND())</f>
        <v>1.855561281090452E-2</v>
      </c>
      <c r="U1186" s="59">
        <f ca="1">Dashboard!D$8* Dashboard!$F$4+Dashboard!D$10*SQRT(Dashboard!$F$4) * _xlfn.NORM.S.INV(RAND())</f>
        <v>-1.0467034994096814E-2</v>
      </c>
    </row>
    <row r="1187" spans="18:21" x14ac:dyDescent="0.2">
      <c r="R1187" s="49">
        <v>1185</v>
      </c>
      <c r="S1187" s="59">
        <f ca="1">Dashboard!B$8* Dashboard!$F$4+Dashboard!B$10*SQRT(Dashboard!$F$4) * _xlfn.NORM.S.INV(RAND())</f>
        <v>4.2674547471703579E-2</v>
      </c>
      <c r="T1187" s="59">
        <f ca="1">Dashboard!C$8* Dashboard!$F$4+Dashboard!C$10*SQRT(Dashboard!$F$4) * _xlfn.NORM.S.INV(RAND())</f>
        <v>7.5499172334996673E-5</v>
      </c>
      <c r="U1187" s="59">
        <f ca="1">Dashboard!D$8* Dashboard!$F$4+Dashboard!D$10*SQRT(Dashboard!$F$4) * _xlfn.NORM.S.INV(RAND())</f>
        <v>6.8835770871024993E-2</v>
      </c>
    </row>
    <row r="1188" spans="18:21" x14ac:dyDescent="0.2">
      <c r="R1188" s="49">
        <v>1186</v>
      </c>
      <c r="S1188" s="59">
        <f ca="1">Dashboard!B$8* Dashboard!$F$4+Dashboard!B$10*SQRT(Dashboard!$F$4) * _xlfn.NORM.S.INV(RAND())</f>
        <v>-1.409478789211048E-2</v>
      </c>
      <c r="T1188" s="59">
        <f ca="1">Dashboard!C$8* Dashboard!$F$4+Dashboard!C$10*SQRT(Dashboard!$F$4) * _xlfn.NORM.S.INV(RAND())</f>
        <v>4.2847402058868181E-2</v>
      </c>
      <c r="U1188" s="59">
        <f ca="1">Dashboard!D$8* Dashboard!$F$4+Dashboard!D$10*SQRT(Dashboard!$F$4) * _xlfn.NORM.S.INV(RAND())</f>
        <v>-1.1039936932266375E-2</v>
      </c>
    </row>
    <row r="1189" spans="18:21" x14ac:dyDescent="0.2">
      <c r="R1189" s="49">
        <v>1187</v>
      </c>
      <c r="S1189" s="59">
        <f ca="1">Dashboard!B$8* Dashboard!$F$4+Dashboard!B$10*SQRT(Dashboard!$F$4) * _xlfn.NORM.S.INV(RAND())</f>
        <v>-1.3229078776185659E-2</v>
      </c>
      <c r="T1189" s="59">
        <f ca="1">Dashboard!C$8* Dashboard!$F$4+Dashboard!C$10*SQRT(Dashboard!$F$4) * _xlfn.NORM.S.INV(RAND())</f>
        <v>4.8186278705407815E-2</v>
      </c>
      <c r="U1189" s="59">
        <f ca="1">Dashboard!D$8* Dashboard!$F$4+Dashboard!D$10*SQRT(Dashboard!$F$4) * _xlfn.NORM.S.INV(RAND())</f>
        <v>5.3738302523694534E-2</v>
      </c>
    </row>
    <row r="1190" spans="18:21" x14ac:dyDescent="0.2">
      <c r="R1190" s="49">
        <v>1188</v>
      </c>
      <c r="S1190" s="59">
        <f ca="1">Dashboard!B$8* Dashboard!$F$4+Dashboard!B$10*SQRT(Dashboard!$F$4) * _xlfn.NORM.S.INV(RAND())</f>
        <v>1.755832609218121E-3</v>
      </c>
      <c r="T1190" s="59">
        <f ca="1">Dashboard!C$8* Dashboard!$F$4+Dashboard!C$10*SQRT(Dashboard!$F$4) * _xlfn.NORM.S.INV(RAND())</f>
        <v>5.8190687191780558E-3</v>
      </c>
      <c r="U1190" s="59">
        <f ca="1">Dashboard!D$8* Dashboard!$F$4+Dashboard!D$10*SQRT(Dashboard!$F$4) * _xlfn.NORM.S.INV(RAND())</f>
        <v>1.0454107415665994E-3</v>
      </c>
    </row>
    <row r="1191" spans="18:21" x14ac:dyDescent="0.2">
      <c r="R1191" s="49">
        <v>1189</v>
      </c>
      <c r="S1191" s="59">
        <f ca="1">Dashboard!B$8* Dashboard!$F$4+Dashboard!B$10*SQRT(Dashboard!$F$4) * _xlfn.NORM.S.INV(RAND())</f>
        <v>-4.2632499834402031E-2</v>
      </c>
      <c r="T1191" s="59">
        <f ca="1">Dashboard!C$8* Dashboard!$F$4+Dashboard!C$10*SQRT(Dashboard!$F$4) * _xlfn.NORM.S.INV(RAND())</f>
        <v>3.7609927714921818E-2</v>
      </c>
      <c r="U1191" s="59">
        <f ca="1">Dashboard!D$8* Dashboard!$F$4+Dashboard!D$10*SQRT(Dashboard!$F$4) * _xlfn.NORM.S.INV(RAND())</f>
        <v>-1.7375345927537741E-2</v>
      </c>
    </row>
    <row r="1192" spans="18:21" x14ac:dyDescent="0.2">
      <c r="R1192" s="49">
        <v>1190</v>
      </c>
      <c r="S1192" s="59">
        <f ca="1">Dashboard!B$8* Dashboard!$F$4+Dashboard!B$10*SQRT(Dashboard!$F$4) * _xlfn.NORM.S.INV(RAND())</f>
        <v>3.9114236000882409E-2</v>
      </c>
      <c r="T1192" s="59">
        <f ca="1">Dashboard!C$8* Dashboard!$F$4+Dashboard!C$10*SQRT(Dashboard!$F$4) * _xlfn.NORM.S.INV(RAND())</f>
        <v>4.2351055859379927E-2</v>
      </c>
      <c r="U1192" s="59">
        <f ca="1">Dashboard!D$8* Dashboard!$F$4+Dashboard!D$10*SQRT(Dashboard!$F$4) * _xlfn.NORM.S.INV(RAND())</f>
        <v>3.8995247201899605E-2</v>
      </c>
    </row>
    <row r="1193" spans="18:21" x14ac:dyDescent="0.2">
      <c r="R1193" s="49">
        <v>1191</v>
      </c>
      <c r="S1193" s="59">
        <f ca="1">Dashboard!B$8* Dashboard!$F$4+Dashboard!B$10*SQRT(Dashboard!$F$4) * _xlfn.NORM.S.INV(RAND())</f>
        <v>-2.1902435740150328E-2</v>
      </c>
      <c r="T1193" s="59">
        <f ca="1">Dashboard!C$8* Dashboard!$F$4+Dashboard!C$10*SQRT(Dashboard!$F$4) * _xlfn.NORM.S.INV(RAND())</f>
        <v>-5.9652970542028137E-4</v>
      </c>
      <c r="U1193" s="59">
        <f ca="1">Dashboard!D$8* Dashboard!$F$4+Dashboard!D$10*SQRT(Dashboard!$F$4) * _xlfn.NORM.S.INV(RAND())</f>
        <v>-6.3157472533528852E-2</v>
      </c>
    </row>
    <row r="1194" spans="18:21" x14ac:dyDescent="0.2">
      <c r="R1194" s="49">
        <v>1192</v>
      </c>
      <c r="S1194" s="59">
        <f ca="1">Dashboard!B$8* Dashboard!$F$4+Dashboard!B$10*SQRT(Dashboard!$F$4) * _xlfn.NORM.S.INV(RAND())</f>
        <v>1.9720601709982147E-2</v>
      </c>
      <c r="T1194" s="59">
        <f ca="1">Dashboard!C$8* Dashboard!$F$4+Dashboard!C$10*SQRT(Dashboard!$F$4) * _xlfn.NORM.S.INV(RAND())</f>
        <v>-2.5003385025891497E-2</v>
      </c>
      <c r="U1194" s="59">
        <f ca="1">Dashboard!D$8* Dashboard!$F$4+Dashboard!D$10*SQRT(Dashboard!$F$4) * _xlfn.NORM.S.INV(RAND())</f>
        <v>5.607269721113671E-2</v>
      </c>
    </row>
    <row r="1195" spans="18:21" x14ac:dyDescent="0.2">
      <c r="R1195" s="49">
        <v>1193</v>
      </c>
      <c r="S1195" s="59">
        <f ca="1">Dashboard!B$8* Dashboard!$F$4+Dashboard!B$10*SQRT(Dashboard!$F$4) * _xlfn.NORM.S.INV(RAND())</f>
        <v>-2.1485023222707629E-2</v>
      </c>
      <c r="T1195" s="59">
        <f ca="1">Dashboard!C$8* Dashboard!$F$4+Dashboard!C$10*SQRT(Dashboard!$F$4) * _xlfn.NORM.S.INV(RAND())</f>
        <v>-1.7102891416881861E-2</v>
      </c>
      <c r="U1195" s="59">
        <f ca="1">Dashboard!D$8* Dashboard!$F$4+Dashboard!D$10*SQRT(Dashboard!$F$4) * _xlfn.NORM.S.INV(RAND())</f>
        <v>1.6057554404243508E-2</v>
      </c>
    </row>
    <row r="1196" spans="18:21" x14ac:dyDescent="0.2">
      <c r="R1196" s="49">
        <v>1194</v>
      </c>
      <c r="S1196" s="59">
        <f ca="1">Dashboard!B$8* Dashboard!$F$4+Dashboard!B$10*SQRT(Dashboard!$F$4) * _xlfn.NORM.S.INV(RAND())</f>
        <v>2.4381338066093605E-2</v>
      </c>
      <c r="T1196" s="59">
        <f ca="1">Dashboard!C$8* Dashboard!$F$4+Dashboard!C$10*SQRT(Dashboard!$F$4) * _xlfn.NORM.S.INV(RAND())</f>
        <v>2.6301457633800599E-2</v>
      </c>
      <c r="U1196" s="59">
        <f ca="1">Dashboard!D$8* Dashboard!$F$4+Dashboard!D$10*SQRT(Dashboard!$F$4) * _xlfn.NORM.S.INV(RAND())</f>
        <v>-7.9274072326515326E-3</v>
      </c>
    </row>
    <row r="1197" spans="18:21" x14ac:dyDescent="0.2">
      <c r="R1197" s="49">
        <v>1195</v>
      </c>
      <c r="S1197" s="59">
        <f ca="1">Dashboard!B$8* Dashboard!$F$4+Dashboard!B$10*SQRT(Dashboard!$F$4) * _xlfn.NORM.S.INV(RAND())</f>
        <v>-7.2990349969969453E-3</v>
      </c>
      <c r="T1197" s="59">
        <f ca="1">Dashboard!C$8* Dashboard!$F$4+Dashboard!C$10*SQRT(Dashboard!$F$4) * _xlfn.NORM.S.INV(RAND())</f>
        <v>6.1722814254896528E-2</v>
      </c>
      <c r="U1197" s="59">
        <f ca="1">Dashboard!D$8* Dashboard!$F$4+Dashboard!D$10*SQRT(Dashboard!$F$4) * _xlfn.NORM.S.INV(RAND())</f>
        <v>-3.3570171459026556E-2</v>
      </c>
    </row>
    <row r="1198" spans="18:21" x14ac:dyDescent="0.2">
      <c r="R1198" s="49">
        <v>1196</v>
      </c>
      <c r="S1198" s="59">
        <f ca="1">Dashboard!B$8* Dashboard!$F$4+Dashboard!B$10*SQRT(Dashboard!$F$4) * _xlfn.NORM.S.INV(RAND())</f>
        <v>7.231273341359026E-3</v>
      </c>
      <c r="T1198" s="59">
        <f ca="1">Dashboard!C$8* Dashboard!$F$4+Dashboard!C$10*SQRT(Dashboard!$F$4) * _xlfn.NORM.S.INV(RAND())</f>
        <v>-4.4501953766378083E-2</v>
      </c>
      <c r="U1198" s="59">
        <f ca="1">Dashboard!D$8* Dashboard!$F$4+Dashboard!D$10*SQRT(Dashboard!$F$4) * _xlfn.NORM.S.INV(RAND())</f>
        <v>0.1001354934719705</v>
      </c>
    </row>
    <row r="1199" spans="18:21" x14ac:dyDescent="0.2">
      <c r="R1199" s="49">
        <v>1197</v>
      </c>
      <c r="S1199" s="59">
        <f ca="1">Dashboard!B$8* Dashboard!$F$4+Dashboard!B$10*SQRT(Dashboard!$F$4) * _xlfn.NORM.S.INV(RAND())</f>
        <v>1.805575421221231E-2</v>
      </c>
      <c r="T1199" s="59">
        <f ca="1">Dashboard!C$8* Dashboard!$F$4+Dashboard!C$10*SQRT(Dashboard!$F$4) * _xlfn.NORM.S.INV(RAND())</f>
        <v>-2.5889200559943162E-2</v>
      </c>
      <c r="U1199" s="59">
        <f ca="1">Dashboard!D$8* Dashboard!$F$4+Dashboard!D$10*SQRT(Dashboard!$F$4) * _xlfn.NORM.S.INV(RAND())</f>
        <v>-1.8023041460454685E-2</v>
      </c>
    </row>
    <row r="1200" spans="18:21" x14ac:dyDescent="0.2">
      <c r="R1200" s="49">
        <v>1198</v>
      </c>
      <c r="S1200" s="59">
        <f ca="1">Dashboard!B$8* Dashboard!$F$4+Dashboard!B$10*SQRT(Dashboard!$F$4) * _xlfn.NORM.S.INV(RAND())</f>
        <v>-4.0088247058636103E-2</v>
      </c>
      <c r="T1200" s="59">
        <f ca="1">Dashboard!C$8* Dashboard!$F$4+Dashboard!C$10*SQRT(Dashboard!$F$4) * _xlfn.NORM.S.INV(RAND())</f>
        <v>1.1463686018845375E-3</v>
      </c>
      <c r="U1200" s="59">
        <f ca="1">Dashboard!D$8* Dashboard!$F$4+Dashboard!D$10*SQRT(Dashboard!$F$4) * _xlfn.NORM.S.INV(RAND())</f>
        <v>1.4096966314472206E-2</v>
      </c>
    </row>
    <row r="1201" spans="18:21" x14ac:dyDescent="0.2">
      <c r="R1201" s="49">
        <v>1199</v>
      </c>
      <c r="S1201" s="59">
        <f ca="1">Dashboard!B$8* Dashboard!$F$4+Dashboard!B$10*SQRT(Dashboard!$F$4) * _xlfn.NORM.S.INV(RAND())</f>
        <v>-1.2695772565135797E-2</v>
      </c>
      <c r="T1201" s="59">
        <f ca="1">Dashboard!C$8* Dashboard!$F$4+Dashboard!C$10*SQRT(Dashboard!$F$4) * _xlfn.NORM.S.INV(RAND())</f>
        <v>2.9396049504997253E-2</v>
      </c>
      <c r="U1201" s="59">
        <f ca="1">Dashboard!D$8* Dashboard!$F$4+Dashboard!D$10*SQRT(Dashboard!$F$4) * _xlfn.NORM.S.INV(RAND())</f>
        <v>2.5629656158736767E-2</v>
      </c>
    </row>
    <row r="1202" spans="18:21" x14ac:dyDescent="0.2">
      <c r="R1202" s="49">
        <v>1200</v>
      </c>
      <c r="S1202" s="59">
        <f ca="1">Dashboard!B$8* Dashboard!$F$4+Dashboard!B$10*SQRT(Dashboard!$F$4) * _xlfn.NORM.S.INV(RAND())</f>
        <v>1.985155367138839E-2</v>
      </c>
      <c r="T1202" s="59">
        <f ca="1">Dashboard!C$8* Dashboard!$F$4+Dashboard!C$10*SQRT(Dashboard!$F$4) * _xlfn.NORM.S.INV(RAND())</f>
        <v>4.2489303411009059E-2</v>
      </c>
      <c r="U1202" s="59">
        <f ca="1">Dashboard!D$8* Dashboard!$F$4+Dashboard!D$10*SQRT(Dashboard!$F$4) * _xlfn.NORM.S.INV(RAND())</f>
        <v>-3.1460388086826864E-2</v>
      </c>
    </row>
    <row r="1203" spans="18:21" x14ac:dyDescent="0.2">
      <c r="R1203" s="49">
        <v>1201</v>
      </c>
      <c r="S1203" s="59">
        <f ca="1">Dashboard!B$8* Dashboard!$F$4+Dashboard!B$10*SQRT(Dashboard!$F$4) * _xlfn.NORM.S.INV(RAND())</f>
        <v>-2.6817083564450034E-3</v>
      </c>
      <c r="T1203" s="59">
        <f ca="1">Dashboard!C$8* Dashboard!$F$4+Dashboard!C$10*SQRT(Dashboard!$F$4) * _xlfn.NORM.S.INV(RAND())</f>
        <v>9.9156616547387503E-3</v>
      </c>
      <c r="U1203" s="59">
        <f ca="1">Dashboard!D$8* Dashboard!$F$4+Dashboard!D$10*SQRT(Dashboard!$F$4) * _xlfn.NORM.S.INV(RAND())</f>
        <v>3.0589672498691687E-2</v>
      </c>
    </row>
    <row r="1204" spans="18:21" x14ac:dyDescent="0.2">
      <c r="R1204" s="49">
        <v>1202</v>
      </c>
      <c r="S1204" s="59">
        <f ca="1">Dashboard!B$8* Dashboard!$F$4+Dashboard!B$10*SQRT(Dashboard!$F$4) * _xlfn.NORM.S.INV(RAND())</f>
        <v>1.9179509955865065E-2</v>
      </c>
      <c r="T1204" s="59">
        <f ca="1">Dashboard!C$8* Dashboard!$F$4+Dashboard!C$10*SQRT(Dashboard!$F$4) * _xlfn.NORM.S.INV(RAND())</f>
        <v>7.3517656535262224E-3</v>
      </c>
      <c r="U1204" s="59">
        <f ca="1">Dashboard!D$8* Dashboard!$F$4+Dashboard!D$10*SQRT(Dashboard!$F$4) * _xlfn.NORM.S.INV(RAND())</f>
        <v>1.044266557088671E-2</v>
      </c>
    </row>
    <row r="1205" spans="18:21" x14ac:dyDescent="0.2">
      <c r="R1205" s="49">
        <v>1203</v>
      </c>
      <c r="S1205" s="59">
        <f ca="1">Dashboard!B$8* Dashboard!$F$4+Dashboard!B$10*SQRT(Dashboard!$F$4) * _xlfn.NORM.S.INV(RAND())</f>
        <v>8.502483685838896E-3</v>
      </c>
      <c r="T1205" s="59">
        <f ca="1">Dashboard!C$8* Dashboard!$F$4+Dashboard!C$10*SQRT(Dashboard!$F$4) * _xlfn.NORM.S.INV(RAND())</f>
        <v>-1.5003368363121761E-2</v>
      </c>
      <c r="U1205" s="59">
        <f ca="1">Dashboard!D$8* Dashboard!$F$4+Dashboard!D$10*SQRT(Dashboard!$F$4) * _xlfn.NORM.S.INV(RAND())</f>
        <v>-1.0520303367039239E-2</v>
      </c>
    </row>
    <row r="1206" spans="18:21" x14ac:dyDescent="0.2">
      <c r="R1206" s="49">
        <v>1204</v>
      </c>
      <c r="S1206" s="59">
        <f ca="1">Dashboard!B$8* Dashboard!$F$4+Dashboard!B$10*SQRT(Dashboard!$F$4) * _xlfn.NORM.S.INV(RAND())</f>
        <v>5.3516172886584418E-2</v>
      </c>
      <c r="T1206" s="59">
        <f ca="1">Dashboard!C$8* Dashboard!$F$4+Dashboard!C$10*SQRT(Dashboard!$F$4) * _xlfn.NORM.S.INV(RAND())</f>
        <v>3.5904278515389916E-2</v>
      </c>
      <c r="U1206" s="59">
        <f ca="1">Dashboard!D$8* Dashboard!$F$4+Dashboard!D$10*SQRT(Dashboard!$F$4) * _xlfn.NORM.S.INV(RAND())</f>
        <v>-2.6545690151636749E-2</v>
      </c>
    </row>
    <row r="1207" spans="18:21" x14ac:dyDescent="0.2">
      <c r="R1207" s="49">
        <v>1205</v>
      </c>
      <c r="S1207" s="59">
        <f ca="1">Dashboard!B$8* Dashboard!$F$4+Dashboard!B$10*SQRT(Dashboard!$F$4) * _xlfn.NORM.S.INV(RAND())</f>
        <v>4.7203125479943132E-2</v>
      </c>
      <c r="T1207" s="59">
        <f ca="1">Dashboard!C$8* Dashboard!$F$4+Dashboard!C$10*SQRT(Dashboard!$F$4) * _xlfn.NORM.S.INV(RAND())</f>
        <v>-5.6931899704940427E-2</v>
      </c>
      <c r="U1207" s="59">
        <f ca="1">Dashboard!D$8* Dashboard!$F$4+Dashboard!D$10*SQRT(Dashboard!$F$4) * _xlfn.NORM.S.INV(RAND())</f>
        <v>-6.0486884172096321E-2</v>
      </c>
    </row>
    <row r="1208" spans="18:21" x14ac:dyDescent="0.2">
      <c r="R1208" s="49">
        <v>1206</v>
      </c>
      <c r="S1208" s="59">
        <f ca="1">Dashboard!B$8* Dashboard!$F$4+Dashboard!B$10*SQRT(Dashboard!$F$4) * _xlfn.NORM.S.INV(RAND())</f>
        <v>-2.3482460230353198E-2</v>
      </c>
      <c r="T1208" s="59">
        <f ca="1">Dashboard!C$8* Dashboard!$F$4+Dashboard!C$10*SQRT(Dashboard!$F$4) * _xlfn.NORM.S.INV(RAND())</f>
        <v>2.521334401448997E-2</v>
      </c>
      <c r="U1208" s="59">
        <f ca="1">Dashboard!D$8* Dashboard!$F$4+Dashboard!D$10*SQRT(Dashboard!$F$4) * _xlfn.NORM.S.INV(RAND())</f>
        <v>-2.9692716488522392E-3</v>
      </c>
    </row>
    <row r="1209" spans="18:21" x14ac:dyDescent="0.2">
      <c r="R1209" s="49">
        <v>1207</v>
      </c>
      <c r="S1209" s="59">
        <f ca="1">Dashboard!B$8* Dashboard!$F$4+Dashboard!B$10*SQRT(Dashboard!$F$4) * _xlfn.NORM.S.INV(RAND())</f>
        <v>1.8907716570001155E-2</v>
      </c>
      <c r="T1209" s="59">
        <f ca="1">Dashboard!C$8* Dashboard!$F$4+Dashboard!C$10*SQRT(Dashboard!$F$4) * _xlfn.NORM.S.INV(RAND())</f>
        <v>-3.1633458078105567E-2</v>
      </c>
      <c r="U1209" s="59">
        <f ca="1">Dashboard!D$8* Dashboard!$F$4+Dashboard!D$10*SQRT(Dashboard!$F$4) * _xlfn.NORM.S.INV(RAND())</f>
        <v>-6.215149448135554E-2</v>
      </c>
    </row>
    <row r="1210" spans="18:21" x14ac:dyDescent="0.2">
      <c r="R1210" s="49">
        <v>1208</v>
      </c>
      <c r="S1210" s="59">
        <f ca="1">Dashboard!B$8* Dashboard!$F$4+Dashboard!B$10*SQRT(Dashboard!$F$4) * _xlfn.NORM.S.INV(RAND())</f>
        <v>3.2957397766604814E-2</v>
      </c>
      <c r="T1210" s="59">
        <f ca="1">Dashboard!C$8* Dashboard!$F$4+Dashboard!C$10*SQRT(Dashboard!$F$4) * _xlfn.NORM.S.INV(RAND())</f>
        <v>3.8601773609085038E-2</v>
      </c>
      <c r="U1210" s="59">
        <f ca="1">Dashboard!D$8* Dashboard!$F$4+Dashboard!D$10*SQRT(Dashboard!$F$4) * _xlfn.NORM.S.INV(RAND())</f>
        <v>3.3263532852539877E-2</v>
      </c>
    </row>
    <row r="1211" spans="18:21" x14ac:dyDescent="0.2">
      <c r="R1211" s="49">
        <v>1209</v>
      </c>
      <c r="S1211" s="59">
        <f ca="1">Dashboard!B$8* Dashboard!$F$4+Dashboard!B$10*SQRT(Dashboard!$F$4) * _xlfn.NORM.S.INV(RAND())</f>
        <v>4.8050450690038538E-3</v>
      </c>
      <c r="T1211" s="59">
        <f ca="1">Dashboard!C$8* Dashboard!$F$4+Dashboard!C$10*SQRT(Dashboard!$F$4) * _xlfn.NORM.S.INV(RAND())</f>
        <v>3.2251209107066504E-3</v>
      </c>
      <c r="U1211" s="59">
        <f ca="1">Dashboard!D$8* Dashboard!$F$4+Dashboard!D$10*SQRT(Dashboard!$F$4) * _xlfn.NORM.S.INV(RAND())</f>
        <v>5.3556260963537944E-3</v>
      </c>
    </row>
    <row r="1212" spans="18:21" x14ac:dyDescent="0.2">
      <c r="R1212" s="49">
        <v>1210</v>
      </c>
      <c r="S1212" s="59">
        <f ca="1">Dashboard!B$8* Dashboard!$F$4+Dashboard!B$10*SQRT(Dashboard!$F$4) * _xlfn.NORM.S.INV(RAND())</f>
        <v>-2.3159904722393411E-2</v>
      </c>
      <c r="T1212" s="59">
        <f ca="1">Dashboard!C$8* Dashboard!$F$4+Dashboard!C$10*SQRT(Dashboard!$F$4) * _xlfn.NORM.S.INV(RAND())</f>
        <v>-1.2388708403481875E-2</v>
      </c>
      <c r="U1212" s="59">
        <f ca="1">Dashboard!D$8* Dashboard!$F$4+Dashboard!D$10*SQRT(Dashboard!$F$4) * _xlfn.NORM.S.INV(RAND())</f>
        <v>5.7997290816815442E-2</v>
      </c>
    </row>
    <row r="1213" spans="18:21" x14ac:dyDescent="0.2">
      <c r="R1213" s="49">
        <v>1211</v>
      </c>
      <c r="S1213" s="59">
        <f ca="1">Dashboard!B$8* Dashboard!$F$4+Dashboard!B$10*SQRT(Dashboard!$F$4) * _xlfn.NORM.S.INV(RAND())</f>
        <v>-5.6783456199632869E-3</v>
      </c>
      <c r="T1213" s="59">
        <f ca="1">Dashboard!C$8* Dashboard!$F$4+Dashboard!C$10*SQRT(Dashboard!$F$4) * _xlfn.NORM.S.INV(RAND())</f>
        <v>2.9731566443596553E-3</v>
      </c>
      <c r="U1213" s="59">
        <f ca="1">Dashboard!D$8* Dashboard!$F$4+Dashboard!D$10*SQRT(Dashboard!$F$4) * _xlfn.NORM.S.INV(RAND())</f>
        <v>-6.530370730549015E-2</v>
      </c>
    </row>
    <row r="1214" spans="18:21" x14ac:dyDescent="0.2">
      <c r="R1214" s="49">
        <v>1212</v>
      </c>
      <c r="S1214" s="59">
        <f ca="1">Dashboard!B$8* Dashboard!$F$4+Dashboard!B$10*SQRT(Dashboard!$F$4) * _xlfn.NORM.S.INV(RAND())</f>
        <v>-4.0839952030269893E-3</v>
      </c>
      <c r="T1214" s="59">
        <f ca="1">Dashboard!C$8* Dashboard!$F$4+Dashboard!C$10*SQRT(Dashboard!$F$4) * _xlfn.NORM.S.INV(RAND())</f>
        <v>2.5149823135159958E-2</v>
      </c>
      <c r="U1214" s="59">
        <f ca="1">Dashboard!D$8* Dashboard!$F$4+Dashboard!D$10*SQRT(Dashboard!$F$4) * _xlfn.NORM.S.INV(RAND())</f>
        <v>7.6503942056662683E-3</v>
      </c>
    </row>
    <row r="1215" spans="18:21" x14ac:dyDescent="0.2">
      <c r="R1215" s="49">
        <v>1213</v>
      </c>
      <c r="S1215" s="59">
        <f ca="1">Dashboard!B$8* Dashboard!$F$4+Dashboard!B$10*SQRT(Dashboard!$F$4) * _xlfn.NORM.S.INV(RAND())</f>
        <v>3.110666205919059E-2</v>
      </c>
      <c r="T1215" s="59">
        <f ca="1">Dashboard!C$8* Dashboard!$F$4+Dashboard!C$10*SQRT(Dashboard!$F$4) * _xlfn.NORM.S.INV(RAND())</f>
        <v>2.9931358640639408E-2</v>
      </c>
      <c r="U1215" s="59">
        <f ca="1">Dashboard!D$8* Dashboard!$F$4+Dashboard!D$10*SQRT(Dashboard!$F$4) * _xlfn.NORM.S.INV(RAND())</f>
        <v>-2.9770031306465963E-2</v>
      </c>
    </row>
    <row r="1216" spans="18:21" x14ac:dyDescent="0.2">
      <c r="R1216" s="49">
        <v>1214</v>
      </c>
      <c r="S1216" s="59">
        <f ca="1">Dashboard!B$8* Dashboard!$F$4+Dashboard!B$10*SQRT(Dashboard!$F$4) * _xlfn.NORM.S.INV(RAND())</f>
        <v>-1.1648935800908956E-2</v>
      </c>
      <c r="T1216" s="59">
        <f ca="1">Dashboard!C$8* Dashboard!$F$4+Dashboard!C$10*SQRT(Dashboard!$F$4) * _xlfn.NORM.S.INV(RAND())</f>
        <v>5.4905745818644774E-3</v>
      </c>
      <c r="U1216" s="59">
        <f ca="1">Dashboard!D$8* Dashboard!$F$4+Dashboard!D$10*SQRT(Dashboard!$F$4) * _xlfn.NORM.S.INV(RAND())</f>
        <v>2.6678809051890948E-2</v>
      </c>
    </row>
    <row r="1217" spans="18:21" x14ac:dyDescent="0.2">
      <c r="R1217" s="49">
        <v>1215</v>
      </c>
      <c r="S1217" s="59">
        <f ca="1">Dashboard!B$8* Dashboard!$F$4+Dashboard!B$10*SQRT(Dashboard!$F$4) * _xlfn.NORM.S.INV(RAND())</f>
        <v>-2.8822129216839146E-2</v>
      </c>
      <c r="T1217" s="59">
        <f ca="1">Dashboard!C$8* Dashboard!$F$4+Dashboard!C$10*SQRT(Dashboard!$F$4) * _xlfn.NORM.S.INV(RAND())</f>
        <v>-1.121619628229701E-2</v>
      </c>
      <c r="U1217" s="59">
        <f ca="1">Dashboard!D$8* Dashboard!$F$4+Dashboard!D$10*SQRT(Dashboard!$F$4) * _xlfn.NORM.S.INV(RAND())</f>
        <v>2.2524550219047163E-3</v>
      </c>
    </row>
    <row r="1218" spans="18:21" x14ac:dyDescent="0.2">
      <c r="R1218" s="49">
        <v>1216</v>
      </c>
      <c r="S1218" s="59">
        <f ca="1">Dashboard!B$8* Dashboard!$F$4+Dashboard!B$10*SQRT(Dashboard!$F$4) * _xlfn.NORM.S.INV(RAND())</f>
        <v>5.5706470081716662E-2</v>
      </c>
      <c r="T1218" s="59">
        <f ca="1">Dashboard!C$8* Dashboard!$F$4+Dashboard!C$10*SQRT(Dashboard!$F$4) * _xlfn.NORM.S.INV(RAND())</f>
        <v>6.1267784779789655E-2</v>
      </c>
      <c r="U1218" s="59">
        <f ca="1">Dashboard!D$8* Dashboard!$F$4+Dashboard!D$10*SQRT(Dashboard!$F$4) * _xlfn.NORM.S.INV(RAND())</f>
        <v>-1.7883725417435423E-2</v>
      </c>
    </row>
    <row r="1219" spans="18:21" x14ac:dyDescent="0.2">
      <c r="R1219" s="49">
        <v>1217</v>
      </c>
      <c r="S1219" s="59">
        <f ca="1">Dashboard!B$8* Dashboard!$F$4+Dashboard!B$10*SQRT(Dashboard!$F$4) * _xlfn.NORM.S.INV(RAND())</f>
        <v>1.0837571937937706E-2</v>
      </c>
      <c r="T1219" s="59">
        <f ca="1">Dashboard!C$8* Dashboard!$F$4+Dashboard!C$10*SQRT(Dashboard!$F$4) * _xlfn.NORM.S.INV(RAND())</f>
        <v>-9.8454916338759288E-3</v>
      </c>
      <c r="U1219" s="59">
        <f ca="1">Dashboard!D$8* Dashboard!$F$4+Dashboard!D$10*SQRT(Dashboard!$F$4) * _xlfn.NORM.S.INV(RAND())</f>
        <v>3.8554956051674874E-2</v>
      </c>
    </row>
    <row r="1220" spans="18:21" x14ac:dyDescent="0.2">
      <c r="R1220" s="49">
        <v>1218</v>
      </c>
      <c r="S1220" s="59">
        <f ca="1">Dashboard!B$8* Dashboard!$F$4+Dashboard!B$10*SQRT(Dashboard!$F$4) * _xlfn.NORM.S.INV(RAND())</f>
        <v>2.2472721941936063E-3</v>
      </c>
      <c r="T1220" s="59">
        <f ca="1">Dashboard!C$8* Dashboard!$F$4+Dashboard!C$10*SQRT(Dashboard!$F$4) * _xlfn.NORM.S.INV(RAND())</f>
        <v>4.421028936716366E-2</v>
      </c>
      <c r="U1220" s="59">
        <f ca="1">Dashboard!D$8* Dashboard!$F$4+Dashboard!D$10*SQRT(Dashboard!$F$4) * _xlfn.NORM.S.INV(RAND())</f>
        <v>3.7294964412233587E-2</v>
      </c>
    </row>
    <row r="1221" spans="18:21" x14ac:dyDescent="0.2">
      <c r="R1221" s="49">
        <v>1219</v>
      </c>
      <c r="S1221" s="59">
        <f ca="1">Dashboard!B$8* Dashboard!$F$4+Dashboard!B$10*SQRT(Dashboard!$F$4) * _xlfn.NORM.S.INV(RAND())</f>
        <v>1.7661992341056476E-2</v>
      </c>
      <c r="T1221" s="59">
        <f ca="1">Dashboard!C$8* Dashboard!$F$4+Dashboard!C$10*SQRT(Dashboard!$F$4) * _xlfn.NORM.S.INV(RAND())</f>
        <v>1.2926734056567166E-2</v>
      </c>
      <c r="U1221" s="59">
        <f ca="1">Dashboard!D$8* Dashboard!$F$4+Dashboard!D$10*SQRT(Dashboard!$F$4) * _xlfn.NORM.S.INV(RAND())</f>
        <v>1.9562681163965336E-2</v>
      </c>
    </row>
    <row r="1222" spans="18:21" x14ac:dyDescent="0.2">
      <c r="R1222" s="49">
        <v>1220</v>
      </c>
      <c r="S1222" s="59">
        <f ca="1">Dashboard!B$8* Dashboard!$F$4+Dashboard!B$10*SQRT(Dashboard!$F$4) * _xlfn.NORM.S.INV(RAND())</f>
        <v>-6.3048705146745515E-2</v>
      </c>
      <c r="T1222" s="59">
        <f ca="1">Dashboard!C$8* Dashboard!$F$4+Dashboard!C$10*SQRT(Dashboard!$F$4) * _xlfn.NORM.S.INV(RAND())</f>
        <v>2.7203074200073011E-2</v>
      </c>
      <c r="U1222" s="59">
        <f ca="1">Dashboard!D$8* Dashboard!$F$4+Dashboard!D$10*SQRT(Dashboard!$F$4) * _xlfn.NORM.S.INV(RAND())</f>
        <v>-4.3371616943996896E-2</v>
      </c>
    </row>
    <row r="1223" spans="18:21" x14ac:dyDescent="0.2">
      <c r="R1223" s="49">
        <v>1221</v>
      </c>
      <c r="S1223" s="59">
        <f ca="1">Dashboard!B$8* Dashboard!$F$4+Dashboard!B$10*SQRT(Dashboard!$F$4) * _xlfn.NORM.S.INV(RAND())</f>
        <v>-1.393913578892928E-2</v>
      </c>
      <c r="T1223" s="59">
        <f ca="1">Dashboard!C$8* Dashboard!$F$4+Dashboard!C$10*SQRT(Dashboard!$F$4) * _xlfn.NORM.S.INV(RAND())</f>
        <v>-3.0073428604669186E-2</v>
      </c>
      <c r="U1223" s="59">
        <f ca="1">Dashboard!D$8* Dashboard!$F$4+Dashboard!D$10*SQRT(Dashboard!$F$4) * _xlfn.NORM.S.INV(RAND())</f>
        <v>-6.8043845486265561E-2</v>
      </c>
    </row>
    <row r="1224" spans="18:21" x14ac:dyDescent="0.2">
      <c r="R1224" s="49">
        <v>1222</v>
      </c>
      <c r="S1224" s="59">
        <f ca="1">Dashboard!B$8* Dashboard!$F$4+Dashboard!B$10*SQRT(Dashboard!$F$4) * _xlfn.NORM.S.INV(RAND())</f>
        <v>2.4320405264823874E-2</v>
      </c>
      <c r="T1224" s="59">
        <f ca="1">Dashboard!C$8* Dashboard!$F$4+Dashboard!C$10*SQRT(Dashboard!$F$4) * _xlfn.NORM.S.INV(RAND())</f>
        <v>3.8513261032887491E-2</v>
      </c>
      <c r="U1224" s="59">
        <f ca="1">Dashboard!D$8* Dashboard!$F$4+Dashboard!D$10*SQRT(Dashboard!$F$4) * _xlfn.NORM.S.INV(RAND())</f>
        <v>-5.6669577966856066E-2</v>
      </c>
    </row>
    <row r="1225" spans="18:21" x14ac:dyDescent="0.2">
      <c r="R1225" s="49">
        <v>1223</v>
      </c>
      <c r="S1225" s="59">
        <f ca="1">Dashboard!B$8* Dashboard!$F$4+Dashboard!B$10*SQRT(Dashboard!$F$4) * _xlfn.NORM.S.INV(RAND())</f>
        <v>1.0802286702212241E-2</v>
      </c>
      <c r="T1225" s="59">
        <f ca="1">Dashboard!C$8* Dashboard!$F$4+Dashboard!C$10*SQRT(Dashboard!$F$4) * _xlfn.NORM.S.INV(RAND())</f>
        <v>1.4378696895002437E-2</v>
      </c>
      <c r="U1225" s="59">
        <f ca="1">Dashboard!D$8* Dashboard!$F$4+Dashboard!D$10*SQRT(Dashboard!$F$4) * _xlfn.NORM.S.INV(RAND())</f>
        <v>-8.4379973519723064E-3</v>
      </c>
    </row>
    <row r="1226" spans="18:21" x14ac:dyDescent="0.2">
      <c r="R1226" s="49">
        <v>1224</v>
      </c>
      <c r="S1226" s="59">
        <f ca="1">Dashboard!B$8* Dashboard!$F$4+Dashboard!B$10*SQRT(Dashboard!$F$4) * _xlfn.NORM.S.INV(RAND())</f>
        <v>-1.7407924434401097E-2</v>
      </c>
      <c r="T1226" s="59">
        <f ca="1">Dashboard!C$8* Dashboard!$F$4+Dashboard!C$10*SQRT(Dashboard!$F$4) * _xlfn.NORM.S.INV(RAND())</f>
        <v>4.6335827660294655E-2</v>
      </c>
      <c r="U1226" s="59">
        <f ca="1">Dashboard!D$8* Dashboard!$F$4+Dashboard!D$10*SQRT(Dashboard!$F$4) * _xlfn.NORM.S.INV(RAND())</f>
        <v>4.7373530356028211E-2</v>
      </c>
    </row>
    <row r="1227" spans="18:21" x14ac:dyDescent="0.2">
      <c r="R1227" s="49">
        <v>1225</v>
      </c>
      <c r="S1227" s="59">
        <f ca="1">Dashboard!B$8* Dashboard!$F$4+Dashboard!B$10*SQRT(Dashboard!$F$4) * _xlfn.NORM.S.INV(RAND())</f>
        <v>-1.7988243838360653E-2</v>
      </c>
      <c r="T1227" s="59">
        <f ca="1">Dashboard!C$8* Dashboard!$F$4+Dashboard!C$10*SQRT(Dashboard!$F$4) * _xlfn.NORM.S.INV(RAND())</f>
        <v>2.7409058614791326E-2</v>
      </c>
      <c r="U1227" s="59">
        <f ca="1">Dashboard!D$8* Dashboard!$F$4+Dashboard!D$10*SQRT(Dashboard!$F$4) * _xlfn.NORM.S.INV(RAND())</f>
        <v>-8.5819666909486263E-3</v>
      </c>
    </row>
    <row r="1228" spans="18:21" x14ac:dyDescent="0.2">
      <c r="R1228" s="49">
        <v>1226</v>
      </c>
      <c r="S1228" s="59">
        <f ca="1">Dashboard!B$8* Dashboard!$F$4+Dashboard!B$10*SQRT(Dashboard!$F$4) * _xlfn.NORM.S.INV(RAND())</f>
        <v>1.8773067812901528E-2</v>
      </c>
      <c r="T1228" s="59">
        <f ca="1">Dashboard!C$8* Dashboard!$F$4+Dashboard!C$10*SQRT(Dashboard!$F$4) * _xlfn.NORM.S.INV(RAND())</f>
        <v>-3.0445810876606307E-3</v>
      </c>
      <c r="U1228" s="59">
        <f ca="1">Dashboard!D$8* Dashboard!$F$4+Dashboard!D$10*SQRT(Dashboard!$F$4) * _xlfn.NORM.S.INV(RAND())</f>
        <v>1.0357842752067902E-3</v>
      </c>
    </row>
    <row r="1229" spans="18:21" x14ac:dyDescent="0.2">
      <c r="R1229" s="49">
        <v>1227</v>
      </c>
      <c r="S1229" s="59">
        <f ca="1">Dashboard!B$8* Dashboard!$F$4+Dashboard!B$10*SQRT(Dashboard!$F$4) * _xlfn.NORM.S.INV(RAND())</f>
        <v>-2.5291108123050277E-3</v>
      </c>
      <c r="T1229" s="59">
        <f ca="1">Dashboard!C$8* Dashboard!$F$4+Dashboard!C$10*SQRT(Dashboard!$F$4) * _xlfn.NORM.S.INV(RAND())</f>
        <v>-6.195306812685461E-2</v>
      </c>
      <c r="U1229" s="59">
        <f ca="1">Dashboard!D$8* Dashboard!$F$4+Dashboard!D$10*SQRT(Dashboard!$F$4) * _xlfn.NORM.S.INV(RAND())</f>
        <v>-1.1583194542107319E-2</v>
      </c>
    </row>
    <row r="1230" spans="18:21" x14ac:dyDescent="0.2">
      <c r="R1230" s="49">
        <v>1228</v>
      </c>
      <c r="S1230" s="59">
        <f ca="1">Dashboard!B$8* Dashboard!$F$4+Dashboard!B$10*SQRT(Dashboard!$F$4) * _xlfn.NORM.S.INV(RAND())</f>
        <v>-3.8342349720723194E-2</v>
      </c>
      <c r="T1230" s="59">
        <f ca="1">Dashboard!C$8* Dashboard!$F$4+Dashboard!C$10*SQRT(Dashboard!$F$4) * _xlfn.NORM.S.INV(RAND())</f>
        <v>5.9166668692685144E-2</v>
      </c>
      <c r="U1230" s="59">
        <f ca="1">Dashboard!D$8* Dashboard!$F$4+Dashboard!D$10*SQRT(Dashboard!$F$4) * _xlfn.NORM.S.INV(RAND())</f>
        <v>5.7147238502301204E-2</v>
      </c>
    </row>
    <row r="1231" spans="18:21" x14ac:dyDescent="0.2">
      <c r="R1231" s="49">
        <v>1229</v>
      </c>
      <c r="S1231" s="59">
        <f ca="1">Dashboard!B$8* Dashboard!$F$4+Dashboard!B$10*SQRT(Dashboard!$F$4) * _xlfn.NORM.S.INV(RAND())</f>
        <v>1.5660921002206334E-2</v>
      </c>
      <c r="T1231" s="59">
        <f ca="1">Dashboard!C$8* Dashboard!$F$4+Dashboard!C$10*SQRT(Dashboard!$F$4) * _xlfn.NORM.S.INV(RAND())</f>
        <v>-6.6851717284965639E-2</v>
      </c>
      <c r="U1231" s="59">
        <f ca="1">Dashboard!D$8* Dashboard!$F$4+Dashboard!D$10*SQRT(Dashboard!$F$4) * _xlfn.NORM.S.INV(RAND())</f>
        <v>3.6031664064095227E-2</v>
      </c>
    </row>
    <row r="1232" spans="18:21" x14ac:dyDescent="0.2">
      <c r="R1232" s="49">
        <v>1230</v>
      </c>
      <c r="S1232" s="59">
        <f ca="1">Dashboard!B$8* Dashboard!$F$4+Dashboard!B$10*SQRT(Dashboard!$F$4) * _xlfn.NORM.S.INV(RAND())</f>
        <v>-5.1887416106639814E-3</v>
      </c>
      <c r="T1232" s="59">
        <f ca="1">Dashboard!C$8* Dashboard!$F$4+Dashboard!C$10*SQRT(Dashboard!$F$4) * _xlfn.NORM.S.INV(RAND())</f>
        <v>-3.2274893149055323E-2</v>
      </c>
      <c r="U1232" s="59">
        <f ca="1">Dashboard!D$8* Dashboard!$F$4+Dashboard!D$10*SQRT(Dashboard!$F$4) * _xlfn.NORM.S.INV(RAND())</f>
        <v>1.8291627149031878E-2</v>
      </c>
    </row>
    <row r="1233" spans="18:21" x14ac:dyDescent="0.2">
      <c r="R1233" s="49">
        <v>1231</v>
      </c>
      <c r="S1233" s="59">
        <f ca="1">Dashboard!B$8* Dashboard!$F$4+Dashboard!B$10*SQRT(Dashboard!$F$4) * _xlfn.NORM.S.INV(RAND())</f>
        <v>-9.6489192532108886E-3</v>
      </c>
      <c r="T1233" s="59">
        <f ca="1">Dashboard!C$8* Dashboard!$F$4+Dashboard!C$10*SQRT(Dashboard!$F$4) * _xlfn.NORM.S.INV(RAND())</f>
        <v>-6.5843409446583914E-2</v>
      </c>
      <c r="U1233" s="59">
        <f ca="1">Dashboard!D$8* Dashboard!$F$4+Dashboard!D$10*SQRT(Dashboard!$F$4) * _xlfn.NORM.S.INV(RAND())</f>
        <v>2.4967507825114536E-2</v>
      </c>
    </row>
    <row r="1234" spans="18:21" x14ac:dyDescent="0.2">
      <c r="R1234" s="49">
        <v>1232</v>
      </c>
      <c r="S1234" s="59">
        <f ca="1">Dashboard!B$8* Dashboard!$F$4+Dashboard!B$10*SQRT(Dashboard!$F$4) * _xlfn.NORM.S.INV(RAND())</f>
        <v>2.9456648340620756E-2</v>
      </c>
      <c r="T1234" s="59">
        <f ca="1">Dashboard!C$8* Dashboard!$F$4+Dashboard!C$10*SQRT(Dashboard!$F$4) * _xlfn.NORM.S.INV(RAND())</f>
        <v>-6.2668414971857808E-2</v>
      </c>
      <c r="U1234" s="59">
        <f ca="1">Dashboard!D$8* Dashboard!$F$4+Dashboard!D$10*SQRT(Dashboard!$F$4) * _xlfn.NORM.S.INV(RAND())</f>
        <v>6.0226994620805824E-3</v>
      </c>
    </row>
    <row r="1235" spans="18:21" x14ac:dyDescent="0.2">
      <c r="R1235" s="49">
        <v>1233</v>
      </c>
      <c r="S1235" s="59">
        <f ca="1">Dashboard!B$8* Dashboard!$F$4+Dashboard!B$10*SQRT(Dashboard!$F$4) * _xlfn.NORM.S.INV(RAND())</f>
        <v>4.5868944748845217E-2</v>
      </c>
      <c r="T1235" s="59">
        <f ca="1">Dashboard!C$8* Dashboard!$F$4+Dashboard!C$10*SQRT(Dashboard!$F$4) * _xlfn.NORM.S.INV(RAND())</f>
        <v>4.8674209464959293E-4</v>
      </c>
      <c r="U1235" s="59">
        <f ca="1">Dashboard!D$8* Dashboard!$F$4+Dashboard!D$10*SQRT(Dashboard!$F$4) * _xlfn.NORM.S.INV(RAND())</f>
        <v>-2.472459114897517E-2</v>
      </c>
    </row>
    <row r="1236" spans="18:21" x14ac:dyDescent="0.2">
      <c r="R1236" s="49">
        <v>1234</v>
      </c>
      <c r="S1236" s="59">
        <f ca="1">Dashboard!B$8* Dashboard!$F$4+Dashboard!B$10*SQRT(Dashboard!$F$4) * _xlfn.NORM.S.INV(RAND())</f>
        <v>-8.4164579018429136E-2</v>
      </c>
      <c r="T1236" s="59">
        <f ca="1">Dashboard!C$8* Dashboard!$F$4+Dashboard!C$10*SQRT(Dashboard!$F$4) * _xlfn.NORM.S.INV(RAND())</f>
        <v>7.4621046252228124E-2</v>
      </c>
      <c r="U1236" s="59">
        <f ca="1">Dashboard!D$8* Dashboard!$F$4+Dashboard!D$10*SQRT(Dashboard!$F$4) * _xlfn.NORM.S.INV(RAND())</f>
        <v>7.361050883036864E-2</v>
      </c>
    </row>
    <row r="1237" spans="18:21" x14ac:dyDescent="0.2">
      <c r="R1237" s="49">
        <v>1235</v>
      </c>
      <c r="S1237" s="59">
        <f ca="1">Dashboard!B$8* Dashboard!$F$4+Dashboard!B$10*SQRT(Dashboard!$F$4) * _xlfn.NORM.S.INV(RAND())</f>
        <v>-1.7707196067529777E-3</v>
      </c>
      <c r="T1237" s="59">
        <f ca="1">Dashboard!C$8* Dashboard!$F$4+Dashboard!C$10*SQRT(Dashboard!$F$4) * _xlfn.NORM.S.INV(RAND())</f>
        <v>6.7250618034081699E-3</v>
      </c>
      <c r="U1237" s="59">
        <f ca="1">Dashboard!D$8* Dashboard!$F$4+Dashboard!D$10*SQRT(Dashboard!$F$4) * _xlfn.NORM.S.INV(RAND())</f>
        <v>-2.9763168662721221E-2</v>
      </c>
    </row>
    <row r="1238" spans="18:21" x14ac:dyDescent="0.2">
      <c r="R1238" s="49">
        <v>1236</v>
      </c>
      <c r="S1238" s="59">
        <f ca="1">Dashboard!B$8* Dashboard!$F$4+Dashboard!B$10*SQRT(Dashboard!$F$4) * _xlfn.NORM.S.INV(RAND())</f>
        <v>-6.8078737480391088E-3</v>
      </c>
      <c r="T1238" s="59">
        <f ca="1">Dashboard!C$8* Dashboard!$F$4+Dashboard!C$10*SQRT(Dashboard!$F$4) * _xlfn.NORM.S.INV(RAND())</f>
        <v>1.5270591063248646E-2</v>
      </c>
      <c r="U1238" s="59">
        <f ca="1">Dashboard!D$8* Dashboard!$F$4+Dashboard!D$10*SQRT(Dashboard!$F$4) * _xlfn.NORM.S.INV(RAND())</f>
        <v>1.6004058926071972E-4</v>
      </c>
    </row>
    <row r="1239" spans="18:21" x14ac:dyDescent="0.2">
      <c r="R1239" s="49">
        <v>1237</v>
      </c>
      <c r="S1239" s="59">
        <f ca="1">Dashboard!B$8* Dashboard!$F$4+Dashboard!B$10*SQRT(Dashboard!$F$4) * _xlfn.NORM.S.INV(RAND())</f>
        <v>5.8839702505978832E-3</v>
      </c>
      <c r="T1239" s="59">
        <f ca="1">Dashboard!C$8* Dashboard!$F$4+Dashboard!C$10*SQRT(Dashboard!$F$4) * _xlfn.NORM.S.INV(RAND())</f>
        <v>3.162060054154802E-2</v>
      </c>
      <c r="U1239" s="59">
        <f ca="1">Dashboard!D$8* Dashboard!$F$4+Dashboard!D$10*SQRT(Dashboard!$F$4) * _xlfn.NORM.S.INV(RAND())</f>
        <v>-9.8652628545671875E-3</v>
      </c>
    </row>
    <row r="1240" spans="18:21" x14ac:dyDescent="0.2">
      <c r="R1240" s="49">
        <v>1238</v>
      </c>
      <c r="S1240" s="59">
        <f ca="1">Dashboard!B$8* Dashboard!$F$4+Dashboard!B$10*SQRT(Dashboard!$F$4) * _xlfn.NORM.S.INV(RAND())</f>
        <v>9.5885802567178009E-3</v>
      </c>
      <c r="T1240" s="59">
        <f ca="1">Dashboard!C$8* Dashboard!$F$4+Dashboard!C$10*SQRT(Dashboard!$F$4) * _xlfn.NORM.S.INV(RAND())</f>
        <v>-7.7151319064803761E-3</v>
      </c>
      <c r="U1240" s="59">
        <f ca="1">Dashboard!D$8* Dashboard!$F$4+Dashboard!D$10*SQRT(Dashboard!$F$4) * _xlfn.NORM.S.INV(RAND())</f>
        <v>5.775015877751033E-2</v>
      </c>
    </row>
    <row r="1241" spans="18:21" x14ac:dyDescent="0.2">
      <c r="R1241" s="49">
        <v>1239</v>
      </c>
      <c r="S1241" s="59">
        <f ca="1">Dashboard!B$8* Dashboard!$F$4+Dashboard!B$10*SQRT(Dashboard!$F$4) * _xlfn.NORM.S.INV(RAND())</f>
        <v>-1.1035786962243273E-2</v>
      </c>
      <c r="T1241" s="59">
        <f ca="1">Dashboard!C$8* Dashboard!$F$4+Dashboard!C$10*SQRT(Dashboard!$F$4) * _xlfn.NORM.S.INV(RAND())</f>
        <v>-9.676931049321949E-3</v>
      </c>
      <c r="U1241" s="59">
        <f ca="1">Dashboard!D$8* Dashboard!$F$4+Dashboard!D$10*SQRT(Dashboard!$F$4) * _xlfn.NORM.S.INV(RAND())</f>
        <v>6.5809245989506063E-3</v>
      </c>
    </row>
    <row r="1242" spans="18:21" x14ac:dyDescent="0.2">
      <c r="R1242" s="49">
        <v>1240</v>
      </c>
      <c r="S1242" s="59">
        <f ca="1">Dashboard!B$8* Dashboard!$F$4+Dashboard!B$10*SQRT(Dashboard!$F$4) * _xlfn.NORM.S.INV(RAND())</f>
        <v>-6.196538162520338E-3</v>
      </c>
      <c r="T1242" s="59">
        <f ca="1">Dashboard!C$8* Dashboard!$F$4+Dashboard!C$10*SQRT(Dashboard!$F$4) * _xlfn.NORM.S.INV(RAND())</f>
        <v>-4.9171435561547183E-2</v>
      </c>
      <c r="U1242" s="59">
        <f ca="1">Dashboard!D$8* Dashboard!$F$4+Dashboard!D$10*SQRT(Dashboard!$F$4) * _xlfn.NORM.S.INV(RAND())</f>
        <v>2.4169642380351315E-2</v>
      </c>
    </row>
    <row r="1243" spans="18:21" x14ac:dyDescent="0.2">
      <c r="R1243" s="49">
        <v>1241</v>
      </c>
      <c r="S1243" s="59">
        <f ca="1">Dashboard!B$8* Dashboard!$F$4+Dashboard!B$10*SQRT(Dashboard!$F$4) * _xlfn.NORM.S.INV(RAND())</f>
        <v>1.6774131243555727E-3</v>
      </c>
      <c r="T1243" s="59">
        <f ca="1">Dashboard!C$8* Dashboard!$F$4+Dashboard!C$10*SQRT(Dashboard!$F$4) * _xlfn.NORM.S.INV(RAND())</f>
        <v>3.9829150540449179E-2</v>
      </c>
      <c r="U1243" s="59">
        <f ca="1">Dashboard!D$8* Dashboard!$F$4+Dashboard!D$10*SQRT(Dashboard!$F$4) * _xlfn.NORM.S.INV(RAND())</f>
        <v>1.66647411449184E-2</v>
      </c>
    </row>
    <row r="1244" spans="18:21" x14ac:dyDescent="0.2">
      <c r="R1244" s="49">
        <v>1242</v>
      </c>
      <c r="S1244" s="59">
        <f ca="1">Dashboard!B$8* Dashboard!$F$4+Dashboard!B$10*SQRT(Dashboard!$F$4) * _xlfn.NORM.S.INV(RAND())</f>
        <v>2.9778651405901371E-2</v>
      </c>
      <c r="T1244" s="59">
        <f ca="1">Dashboard!C$8* Dashboard!$F$4+Dashboard!C$10*SQRT(Dashboard!$F$4) * _xlfn.NORM.S.INV(RAND())</f>
        <v>-6.5772505716579647E-3</v>
      </c>
      <c r="U1244" s="59">
        <f ca="1">Dashboard!D$8* Dashboard!$F$4+Dashboard!D$10*SQRT(Dashboard!$F$4) * _xlfn.NORM.S.INV(RAND())</f>
        <v>1.7440701573543549E-2</v>
      </c>
    </row>
    <row r="1245" spans="18:21" x14ac:dyDescent="0.2">
      <c r="R1245" s="49">
        <v>1243</v>
      </c>
      <c r="S1245" s="59">
        <f ca="1">Dashboard!B$8* Dashboard!$F$4+Dashboard!B$10*SQRT(Dashboard!$F$4) * _xlfn.NORM.S.INV(RAND())</f>
        <v>2.7084987648749392E-2</v>
      </c>
      <c r="T1245" s="59">
        <f ca="1">Dashboard!C$8* Dashboard!$F$4+Dashboard!C$10*SQRT(Dashboard!$F$4) * _xlfn.NORM.S.INV(RAND())</f>
        <v>-5.87785774800782E-3</v>
      </c>
      <c r="U1245" s="59">
        <f ca="1">Dashboard!D$8* Dashboard!$F$4+Dashboard!D$10*SQRT(Dashboard!$F$4) * _xlfn.NORM.S.INV(RAND())</f>
        <v>2.7404230908724306E-2</v>
      </c>
    </row>
    <row r="1246" spans="18:21" x14ac:dyDescent="0.2">
      <c r="R1246" s="49">
        <v>1244</v>
      </c>
      <c r="S1246" s="59">
        <f ca="1">Dashboard!B$8* Dashboard!$F$4+Dashboard!B$10*SQRT(Dashboard!$F$4) * _xlfn.NORM.S.INV(RAND())</f>
        <v>5.4254747624422547E-2</v>
      </c>
      <c r="T1246" s="59">
        <f ca="1">Dashboard!C$8* Dashboard!$F$4+Dashboard!C$10*SQRT(Dashboard!$F$4) * _xlfn.NORM.S.INV(RAND())</f>
        <v>-4.7195356444435455E-2</v>
      </c>
      <c r="U1246" s="59">
        <f ca="1">Dashboard!D$8* Dashboard!$F$4+Dashboard!D$10*SQRT(Dashboard!$F$4) * _xlfn.NORM.S.INV(RAND())</f>
        <v>-3.1475014447364683E-2</v>
      </c>
    </row>
    <row r="1247" spans="18:21" x14ac:dyDescent="0.2">
      <c r="R1247" s="49">
        <v>1245</v>
      </c>
      <c r="S1247" s="59">
        <f ca="1">Dashboard!B$8* Dashboard!$F$4+Dashboard!B$10*SQRT(Dashboard!$F$4) * _xlfn.NORM.S.INV(RAND())</f>
        <v>5.3146224248823482E-2</v>
      </c>
      <c r="T1247" s="59">
        <f ca="1">Dashboard!C$8* Dashboard!$F$4+Dashboard!C$10*SQRT(Dashboard!$F$4) * _xlfn.NORM.S.INV(RAND())</f>
        <v>-3.7323330787971148E-2</v>
      </c>
      <c r="U1247" s="59">
        <f ca="1">Dashboard!D$8* Dashboard!$F$4+Dashboard!D$10*SQRT(Dashboard!$F$4) * _xlfn.NORM.S.INV(RAND())</f>
        <v>-5.8203927180482274E-3</v>
      </c>
    </row>
    <row r="1248" spans="18:21" x14ac:dyDescent="0.2">
      <c r="R1248" s="49">
        <v>1246</v>
      </c>
      <c r="S1248" s="59">
        <f ca="1">Dashboard!B$8* Dashboard!$F$4+Dashboard!B$10*SQRT(Dashboard!$F$4) * _xlfn.NORM.S.INV(RAND())</f>
        <v>-3.9027914448267857E-2</v>
      </c>
      <c r="T1248" s="59">
        <f ca="1">Dashboard!C$8* Dashboard!$F$4+Dashboard!C$10*SQRT(Dashboard!$F$4) * _xlfn.NORM.S.INV(RAND())</f>
        <v>4.3264029257968642E-2</v>
      </c>
      <c r="U1248" s="59">
        <f ca="1">Dashboard!D$8* Dashboard!$F$4+Dashboard!D$10*SQRT(Dashboard!$F$4) * _xlfn.NORM.S.INV(RAND())</f>
        <v>5.0673350449929322E-3</v>
      </c>
    </row>
    <row r="1249" spans="18:21" x14ac:dyDescent="0.2">
      <c r="R1249" s="49">
        <v>1247</v>
      </c>
      <c r="S1249" s="59">
        <f ca="1">Dashboard!B$8* Dashboard!$F$4+Dashboard!B$10*SQRT(Dashboard!$F$4) * _xlfn.NORM.S.INV(RAND())</f>
        <v>5.0167550993660263E-2</v>
      </c>
      <c r="T1249" s="59">
        <f ca="1">Dashboard!C$8* Dashboard!$F$4+Dashboard!C$10*SQRT(Dashboard!$F$4) * _xlfn.NORM.S.INV(RAND())</f>
        <v>-3.2713605060767655E-2</v>
      </c>
      <c r="U1249" s="59">
        <f ca="1">Dashboard!D$8* Dashboard!$F$4+Dashboard!D$10*SQRT(Dashboard!$F$4) * _xlfn.NORM.S.INV(RAND())</f>
        <v>-5.2365356547269169E-2</v>
      </c>
    </row>
    <row r="1250" spans="18:21" x14ac:dyDescent="0.2">
      <c r="R1250" s="49">
        <v>1248</v>
      </c>
      <c r="S1250" s="59">
        <f ca="1">Dashboard!B$8* Dashboard!$F$4+Dashboard!B$10*SQRT(Dashboard!$F$4) * _xlfn.NORM.S.INV(RAND())</f>
        <v>4.4059782259594962E-2</v>
      </c>
      <c r="T1250" s="59">
        <f ca="1">Dashboard!C$8* Dashboard!$F$4+Dashboard!C$10*SQRT(Dashboard!$F$4) * _xlfn.NORM.S.INV(RAND())</f>
        <v>0.111358985484677</v>
      </c>
      <c r="U1250" s="59">
        <f ca="1">Dashboard!D$8* Dashboard!$F$4+Dashboard!D$10*SQRT(Dashboard!$F$4) * _xlfn.NORM.S.INV(RAND())</f>
        <v>3.2805221703780835E-2</v>
      </c>
    </row>
    <row r="1251" spans="18:21" x14ac:dyDescent="0.2">
      <c r="R1251" s="49">
        <v>1249</v>
      </c>
      <c r="S1251" s="59">
        <f ca="1">Dashboard!B$8* Dashboard!$F$4+Dashboard!B$10*SQRT(Dashboard!$F$4) * _xlfn.NORM.S.INV(RAND())</f>
        <v>5.6976029768759776E-2</v>
      </c>
      <c r="T1251" s="59">
        <f ca="1">Dashboard!C$8* Dashboard!$F$4+Dashboard!C$10*SQRT(Dashboard!$F$4) * _xlfn.NORM.S.INV(RAND())</f>
        <v>2.6579203722964271E-2</v>
      </c>
      <c r="U1251" s="59">
        <f ca="1">Dashboard!D$8* Dashboard!$F$4+Dashboard!D$10*SQRT(Dashboard!$F$4) * _xlfn.NORM.S.INV(RAND())</f>
        <v>-5.4625694526865956E-2</v>
      </c>
    </row>
    <row r="1252" spans="18:21" x14ac:dyDescent="0.2">
      <c r="R1252" s="49">
        <v>1250</v>
      </c>
      <c r="S1252" s="59">
        <f ca="1">Dashboard!B$8* Dashboard!$F$4+Dashboard!B$10*SQRT(Dashboard!$F$4) * _xlfn.NORM.S.INV(RAND())</f>
        <v>5.1122921786790915E-3</v>
      </c>
      <c r="T1252" s="59">
        <f ca="1">Dashboard!C$8* Dashboard!$F$4+Dashboard!C$10*SQRT(Dashboard!$F$4) * _xlfn.NORM.S.INV(RAND())</f>
        <v>-2.0210076740725093E-2</v>
      </c>
      <c r="U1252" s="59">
        <f ca="1">Dashboard!D$8* Dashboard!$F$4+Dashboard!D$10*SQRT(Dashboard!$F$4) * _xlfn.NORM.S.INV(RAND())</f>
        <v>1.0717952098738366E-3</v>
      </c>
    </row>
    <row r="1253" spans="18:21" x14ac:dyDescent="0.2">
      <c r="R1253" s="49">
        <v>1251</v>
      </c>
      <c r="S1253" s="59">
        <f ca="1">Dashboard!B$8* Dashboard!$F$4+Dashboard!B$10*SQRT(Dashboard!$F$4) * _xlfn.NORM.S.INV(RAND())</f>
        <v>-2.2769023433427425E-2</v>
      </c>
      <c r="T1253" s="59">
        <f ca="1">Dashboard!C$8* Dashboard!$F$4+Dashboard!C$10*SQRT(Dashboard!$F$4) * _xlfn.NORM.S.INV(RAND())</f>
        <v>8.1536060421935272E-3</v>
      </c>
      <c r="U1253" s="59">
        <f ca="1">Dashboard!D$8* Dashboard!$F$4+Dashboard!D$10*SQRT(Dashboard!$F$4) * _xlfn.NORM.S.INV(RAND())</f>
        <v>8.5861501907126617E-2</v>
      </c>
    </row>
    <row r="1254" spans="18:21" x14ac:dyDescent="0.2">
      <c r="R1254" s="49">
        <v>1252</v>
      </c>
      <c r="S1254" s="59">
        <f ca="1">Dashboard!B$8* Dashboard!$F$4+Dashboard!B$10*SQRT(Dashboard!$F$4) * _xlfn.NORM.S.INV(RAND())</f>
        <v>3.8020719060310813E-2</v>
      </c>
      <c r="T1254" s="59">
        <f ca="1">Dashboard!C$8* Dashboard!$F$4+Dashboard!C$10*SQRT(Dashboard!$F$4) * _xlfn.NORM.S.INV(RAND())</f>
        <v>-2.2724103553080761E-2</v>
      </c>
      <c r="U1254" s="59">
        <f ca="1">Dashboard!D$8* Dashboard!$F$4+Dashboard!D$10*SQRT(Dashboard!$F$4) * _xlfn.NORM.S.INV(RAND())</f>
        <v>-9.4376807917081161E-3</v>
      </c>
    </row>
    <row r="1255" spans="18:21" x14ac:dyDescent="0.2">
      <c r="R1255" s="49">
        <v>1253</v>
      </c>
      <c r="S1255" s="59">
        <f ca="1">Dashboard!B$8* Dashboard!$F$4+Dashboard!B$10*SQRT(Dashboard!$F$4) * _xlfn.NORM.S.INV(RAND())</f>
        <v>-3.8309669316401888E-2</v>
      </c>
      <c r="T1255" s="59">
        <f ca="1">Dashboard!C$8* Dashboard!$F$4+Dashboard!C$10*SQRT(Dashboard!$F$4) * _xlfn.NORM.S.INV(RAND())</f>
        <v>-6.9650302354050163E-3</v>
      </c>
      <c r="U1255" s="59">
        <f ca="1">Dashboard!D$8* Dashboard!$F$4+Dashboard!D$10*SQRT(Dashboard!$F$4) * _xlfn.NORM.S.INV(RAND())</f>
        <v>9.457239195137173E-3</v>
      </c>
    </row>
    <row r="1256" spans="18:21" x14ac:dyDescent="0.2">
      <c r="R1256" s="49">
        <v>1254</v>
      </c>
      <c r="S1256" s="59">
        <f ca="1">Dashboard!B$8* Dashboard!$F$4+Dashboard!B$10*SQRT(Dashboard!$F$4) * _xlfn.NORM.S.INV(RAND())</f>
        <v>1.75784451694148E-2</v>
      </c>
      <c r="T1256" s="59">
        <f ca="1">Dashboard!C$8* Dashboard!$F$4+Dashboard!C$10*SQRT(Dashboard!$F$4) * _xlfn.NORM.S.INV(RAND())</f>
        <v>-4.0041948499259628E-2</v>
      </c>
      <c r="U1256" s="59">
        <f ca="1">Dashboard!D$8* Dashboard!$F$4+Dashboard!D$10*SQRT(Dashboard!$F$4) * _xlfn.NORM.S.INV(RAND())</f>
        <v>-2.0683403262268128E-4</v>
      </c>
    </row>
    <row r="1257" spans="18:21" x14ac:dyDescent="0.2">
      <c r="R1257" s="49">
        <v>1255</v>
      </c>
      <c r="S1257" s="59">
        <f ca="1">Dashboard!B$8* Dashboard!$F$4+Dashboard!B$10*SQRT(Dashboard!$F$4) * _xlfn.NORM.S.INV(RAND())</f>
        <v>1.5342749448381208E-2</v>
      </c>
      <c r="T1257" s="59">
        <f ca="1">Dashboard!C$8* Dashboard!$F$4+Dashboard!C$10*SQRT(Dashboard!$F$4) * _xlfn.NORM.S.INV(RAND())</f>
        <v>-5.7628163261165807E-2</v>
      </c>
      <c r="U1257" s="59">
        <f ca="1">Dashboard!D$8* Dashboard!$F$4+Dashboard!D$10*SQRT(Dashboard!$F$4) * _xlfn.NORM.S.INV(RAND())</f>
        <v>-2.1573374182495463E-2</v>
      </c>
    </row>
    <row r="1258" spans="18:21" x14ac:dyDescent="0.2">
      <c r="R1258" s="49">
        <v>1256</v>
      </c>
      <c r="S1258" s="59">
        <f ca="1">Dashboard!B$8* Dashboard!$F$4+Dashboard!B$10*SQRT(Dashboard!$F$4) * _xlfn.NORM.S.INV(RAND())</f>
        <v>2.9132985197877034E-2</v>
      </c>
      <c r="T1258" s="59">
        <f ca="1">Dashboard!C$8* Dashboard!$F$4+Dashboard!C$10*SQRT(Dashboard!$F$4) * _xlfn.NORM.S.INV(RAND())</f>
        <v>-2.7848204564886493E-4</v>
      </c>
      <c r="U1258" s="59">
        <f ca="1">Dashboard!D$8* Dashboard!$F$4+Dashboard!D$10*SQRT(Dashboard!$F$4) * _xlfn.NORM.S.INV(RAND())</f>
        <v>8.8244988430543434E-3</v>
      </c>
    </row>
    <row r="1259" spans="18:21" x14ac:dyDescent="0.2">
      <c r="R1259" s="49">
        <v>1257</v>
      </c>
      <c r="S1259" s="59">
        <f ca="1">Dashboard!B$8* Dashboard!$F$4+Dashboard!B$10*SQRT(Dashboard!$F$4) * _xlfn.NORM.S.INV(RAND())</f>
        <v>1.2781188085603143E-2</v>
      </c>
      <c r="T1259" s="59">
        <f ca="1">Dashboard!C$8* Dashboard!$F$4+Dashboard!C$10*SQRT(Dashboard!$F$4) * _xlfn.NORM.S.INV(RAND())</f>
        <v>1.3422882443965726E-2</v>
      </c>
      <c r="U1259" s="59">
        <f ca="1">Dashboard!D$8* Dashboard!$F$4+Dashboard!D$10*SQRT(Dashboard!$F$4) * _xlfn.NORM.S.INV(RAND())</f>
        <v>-5.8123332958227962E-3</v>
      </c>
    </row>
    <row r="1260" spans="18:21" x14ac:dyDescent="0.2">
      <c r="R1260" s="49">
        <v>1258</v>
      </c>
      <c r="S1260" s="59">
        <f ca="1">Dashboard!B$8* Dashboard!$F$4+Dashboard!B$10*SQRT(Dashboard!$F$4) * _xlfn.NORM.S.INV(RAND())</f>
        <v>-9.3782495248062425E-2</v>
      </c>
      <c r="T1260" s="59">
        <f ca="1">Dashboard!C$8* Dashboard!$F$4+Dashboard!C$10*SQRT(Dashboard!$F$4) * _xlfn.NORM.S.INV(RAND())</f>
        <v>-9.7387091302172969E-3</v>
      </c>
      <c r="U1260" s="59">
        <f ca="1">Dashboard!D$8* Dashboard!$F$4+Dashboard!D$10*SQRT(Dashboard!$F$4) * _xlfn.NORM.S.INV(RAND())</f>
        <v>-6.5265240249153561E-2</v>
      </c>
    </row>
    <row r="1261" spans="18:21" x14ac:dyDescent="0.2">
      <c r="R1261" s="49">
        <v>1259</v>
      </c>
      <c r="S1261" s="59">
        <f ca="1">Dashboard!B$8* Dashboard!$F$4+Dashboard!B$10*SQRT(Dashboard!$F$4) * _xlfn.NORM.S.INV(RAND())</f>
        <v>-2.3829203799792129E-2</v>
      </c>
      <c r="T1261" s="59">
        <f ca="1">Dashboard!C$8* Dashboard!$F$4+Dashboard!C$10*SQRT(Dashboard!$F$4) * _xlfn.NORM.S.INV(RAND())</f>
        <v>5.01286712091885E-2</v>
      </c>
      <c r="U1261" s="59">
        <f ca="1">Dashboard!D$8* Dashboard!$F$4+Dashboard!D$10*SQRT(Dashboard!$F$4) * _xlfn.NORM.S.INV(RAND())</f>
        <v>-2.8050456274874954E-2</v>
      </c>
    </row>
    <row r="1262" spans="18:21" x14ac:dyDescent="0.2">
      <c r="R1262" s="49">
        <v>1260</v>
      </c>
      <c r="S1262" s="59">
        <f ca="1">Dashboard!B$8* Dashboard!$F$4+Dashboard!B$10*SQRT(Dashboard!$F$4) * _xlfn.NORM.S.INV(RAND())</f>
        <v>-3.6919653478265486E-2</v>
      </c>
      <c r="T1262" s="59">
        <f ca="1">Dashboard!C$8* Dashboard!$F$4+Dashboard!C$10*SQRT(Dashboard!$F$4) * _xlfn.NORM.S.INV(RAND())</f>
        <v>-1.9780411591170466E-3</v>
      </c>
      <c r="U1262" s="59">
        <f ca="1">Dashboard!D$8* Dashboard!$F$4+Dashboard!D$10*SQRT(Dashboard!$F$4) * _xlfn.NORM.S.INV(RAND())</f>
        <v>3.5055689276580433E-2</v>
      </c>
    </row>
    <row r="1263" spans="18:21" x14ac:dyDescent="0.2">
      <c r="R1263" s="49">
        <v>1261</v>
      </c>
      <c r="S1263" s="59">
        <f ca="1">Dashboard!B$8* Dashboard!$F$4+Dashboard!B$10*SQRT(Dashboard!$F$4) * _xlfn.NORM.S.INV(RAND())</f>
        <v>-5.948156369386403E-2</v>
      </c>
      <c r="T1263" s="59">
        <f ca="1">Dashboard!C$8* Dashboard!$F$4+Dashboard!C$10*SQRT(Dashboard!$F$4) * _xlfn.NORM.S.INV(RAND())</f>
        <v>-1.8988120059943603E-2</v>
      </c>
      <c r="U1263" s="59">
        <f ca="1">Dashboard!D$8* Dashboard!$F$4+Dashboard!D$10*SQRT(Dashboard!$F$4) * _xlfn.NORM.S.INV(RAND())</f>
        <v>-3.5492114687337159E-3</v>
      </c>
    </row>
    <row r="1264" spans="18:21" x14ac:dyDescent="0.2">
      <c r="R1264" s="49">
        <v>1262</v>
      </c>
      <c r="S1264" s="59">
        <f ca="1">Dashboard!B$8* Dashboard!$F$4+Dashboard!B$10*SQRT(Dashboard!$F$4) * _xlfn.NORM.S.INV(RAND())</f>
        <v>-7.9232104270440147E-3</v>
      </c>
      <c r="T1264" s="59">
        <f ca="1">Dashboard!C$8* Dashboard!$F$4+Dashboard!C$10*SQRT(Dashboard!$F$4) * _xlfn.NORM.S.INV(RAND())</f>
        <v>-7.0513401755985958E-2</v>
      </c>
      <c r="U1264" s="59">
        <f ca="1">Dashboard!D$8* Dashboard!$F$4+Dashboard!D$10*SQRT(Dashboard!$F$4) * _xlfn.NORM.S.INV(RAND())</f>
        <v>-9.2542565060938602E-3</v>
      </c>
    </row>
    <row r="1265" spans="18:21" x14ac:dyDescent="0.2">
      <c r="R1265" s="49">
        <v>1263</v>
      </c>
      <c r="S1265" s="59">
        <f ca="1">Dashboard!B$8* Dashboard!$F$4+Dashboard!B$10*SQRT(Dashboard!$F$4) * _xlfn.NORM.S.INV(RAND())</f>
        <v>-7.3978033691293743E-2</v>
      </c>
      <c r="T1265" s="59">
        <f ca="1">Dashboard!C$8* Dashboard!$F$4+Dashboard!C$10*SQRT(Dashboard!$F$4) * _xlfn.NORM.S.INV(RAND())</f>
        <v>2.0155332007284314E-2</v>
      </c>
      <c r="U1265" s="59">
        <f ca="1">Dashboard!D$8* Dashboard!$F$4+Dashboard!D$10*SQRT(Dashboard!$F$4) * _xlfn.NORM.S.INV(RAND())</f>
        <v>-1.3016749596665008E-2</v>
      </c>
    </row>
    <row r="1266" spans="18:21" x14ac:dyDescent="0.2">
      <c r="R1266" s="49">
        <v>1264</v>
      </c>
      <c r="S1266" s="59">
        <f ca="1">Dashboard!B$8* Dashboard!$F$4+Dashboard!B$10*SQRT(Dashboard!$F$4) * _xlfn.NORM.S.INV(RAND())</f>
        <v>-3.3904672749095967E-3</v>
      </c>
      <c r="T1266" s="59">
        <f ca="1">Dashboard!C$8* Dashboard!$F$4+Dashboard!C$10*SQRT(Dashboard!$F$4) * _xlfn.NORM.S.INV(RAND())</f>
        <v>7.0784033962287144E-4</v>
      </c>
      <c r="U1266" s="59">
        <f ca="1">Dashboard!D$8* Dashboard!$F$4+Dashboard!D$10*SQRT(Dashboard!$F$4) * _xlfn.NORM.S.INV(RAND())</f>
        <v>3.6337803242267604E-2</v>
      </c>
    </row>
    <row r="1267" spans="18:21" x14ac:dyDescent="0.2">
      <c r="R1267" s="49">
        <v>1265</v>
      </c>
      <c r="S1267" s="59">
        <f ca="1">Dashboard!B$8* Dashboard!$F$4+Dashboard!B$10*SQRT(Dashboard!$F$4) * _xlfn.NORM.S.INV(RAND())</f>
        <v>-3.1694055068482246E-3</v>
      </c>
      <c r="T1267" s="59">
        <f ca="1">Dashboard!C$8* Dashboard!$F$4+Dashboard!C$10*SQRT(Dashboard!$F$4) * _xlfn.NORM.S.INV(RAND())</f>
        <v>4.1260720092447098E-3</v>
      </c>
      <c r="U1267" s="59">
        <f ca="1">Dashboard!D$8* Dashboard!$F$4+Dashboard!D$10*SQRT(Dashboard!$F$4) * _xlfn.NORM.S.INV(RAND())</f>
        <v>-4.7427392193789407E-2</v>
      </c>
    </row>
    <row r="1268" spans="18:21" x14ac:dyDescent="0.2">
      <c r="R1268" s="49">
        <v>1266</v>
      </c>
      <c r="S1268" s="59">
        <f ca="1">Dashboard!B$8* Dashboard!$F$4+Dashboard!B$10*SQRT(Dashboard!$F$4) * _xlfn.NORM.S.INV(RAND())</f>
        <v>-5.1553620236475684E-3</v>
      </c>
      <c r="T1268" s="59">
        <f ca="1">Dashboard!C$8* Dashboard!$F$4+Dashboard!C$10*SQRT(Dashboard!$F$4) * _xlfn.NORM.S.INV(RAND())</f>
        <v>7.9787785533792909E-3</v>
      </c>
      <c r="U1268" s="59">
        <f ca="1">Dashboard!D$8* Dashboard!$F$4+Dashboard!D$10*SQRT(Dashboard!$F$4) * _xlfn.NORM.S.INV(RAND())</f>
        <v>1.1705126812904258E-2</v>
      </c>
    </row>
    <row r="1269" spans="18:21" x14ac:dyDescent="0.2">
      <c r="R1269" s="49">
        <v>1267</v>
      </c>
      <c r="S1269" s="59">
        <f ca="1">Dashboard!B$8* Dashboard!$F$4+Dashboard!B$10*SQRT(Dashboard!$F$4) * _xlfn.NORM.S.INV(RAND())</f>
        <v>-3.2552173587452833E-2</v>
      </c>
      <c r="T1269" s="59">
        <f ca="1">Dashboard!C$8* Dashboard!$F$4+Dashboard!C$10*SQRT(Dashboard!$F$4) * _xlfn.NORM.S.INV(RAND())</f>
        <v>7.9015998494382476E-3</v>
      </c>
      <c r="U1269" s="59">
        <f ca="1">Dashboard!D$8* Dashboard!$F$4+Dashboard!D$10*SQRT(Dashboard!$F$4) * _xlfn.NORM.S.INV(RAND())</f>
        <v>3.4077286886179566E-2</v>
      </c>
    </row>
    <row r="1270" spans="18:21" x14ac:dyDescent="0.2">
      <c r="R1270" s="49">
        <v>1268</v>
      </c>
      <c r="S1270" s="59">
        <f ca="1">Dashboard!B$8* Dashboard!$F$4+Dashboard!B$10*SQRT(Dashboard!$F$4) * _xlfn.NORM.S.INV(RAND())</f>
        <v>-2.935752238111896E-2</v>
      </c>
      <c r="T1270" s="59">
        <f ca="1">Dashboard!C$8* Dashboard!$F$4+Dashboard!C$10*SQRT(Dashboard!$F$4) * _xlfn.NORM.S.INV(RAND())</f>
        <v>3.1953762691245016E-2</v>
      </c>
      <c r="U1270" s="59">
        <f ca="1">Dashboard!D$8* Dashboard!$F$4+Dashboard!D$10*SQRT(Dashboard!$F$4) * _xlfn.NORM.S.INV(RAND())</f>
        <v>-4.9642528755870725E-2</v>
      </c>
    </row>
    <row r="1271" spans="18:21" x14ac:dyDescent="0.2">
      <c r="R1271" s="49">
        <v>1269</v>
      </c>
      <c r="S1271" s="59">
        <f ca="1">Dashboard!B$8* Dashboard!$F$4+Dashboard!B$10*SQRT(Dashboard!$F$4) * _xlfn.NORM.S.INV(RAND())</f>
        <v>1.992760904469755E-2</v>
      </c>
      <c r="T1271" s="59">
        <f ca="1">Dashboard!C$8* Dashboard!$F$4+Dashboard!C$10*SQRT(Dashboard!$F$4) * _xlfn.NORM.S.INV(RAND())</f>
        <v>-1.0995974677241432E-2</v>
      </c>
      <c r="U1271" s="59">
        <f ca="1">Dashboard!D$8* Dashboard!$F$4+Dashboard!D$10*SQRT(Dashboard!$F$4) * _xlfn.NORM.S.INV(RAND())</f>
        <v>-6.8783136053023053E-2</v>
      </c>
    </row>
    <row r="1272" spans="18:21" x14ac:dyDescent="0.2">
      <c r="R1272" s="49">
        <v>1270</v>
      </c>
      <c r="S1272" s="59">
        <f ca="1">Dashboard!B$8* Dashboard!$F$4+Dashboard!B$10*SQRT(Dashboard!$F$4) * _xlfn.NORM.S.INV(RAND())</f>
        <v>-2.0864648584676723E-2</v>
      </c>
      <c r="T1272" s="59">
        <f ca="1">Dashboard!C$8* Dashboard!$F$4+Dashboard!C$10*SQRT(Dashboard!$F$4) * _xlfn.NORM.S.INV(RAND())</f>
        <v>1.6593905181667475E-2</v>
      </c>
      <c r="U1272" s="59">
        <f ca="1">Dashboard!D$8* Dashboard!$F$4+Dashboard!D$10*SQRT(Dashboard!$F$4) * _xlfn.NORM.S.INV(RAND())</f>
        <v>-6.2368053908533776E-2</v>
      </c>
    </row>
    <row r="1273" spans="18:21" x14ac:dyDescent="0.2">
      <c r="R1273" s="49">
        <v>1271</v>
      </c>
      <c r="S1273" s="59">
        <f ca="1">Dashboard!B$8* Dashboard!$F$4+Dashboard!B$10*SQRT(Dashboard!$F$4) * _xlfn.NORM.S.INV(RAND())</f>
        <v>-3.4807780491778399E-2</v>
      </c>
      <c r="T1273" s="59">
        <f ca="1">Dashboard!C$8* Dashboard!$F$4+Dashboard!C$10*SQRT(Dashboard!$F$4) * _xlfn.NORM.S.INV(RAND())</f>
        <v>6.3852950559073529E-2</v>
      </c>
      <c r="U1273" s="59">
        <f ca="1">Dashboard!D$8* Dashboard!$F$4+Dashboard!D$10*SQRT(Dashboard!$F$4) * _xlfn.NORM.S.INV(RAND())</f>
        <v>-3.1362503465563116E-2</v>
      </c>
    </row>
    <row r="1274" spans="18:21" x14ac:dyDescent="0.2">
      <c r="R1274" s="49">
        <v>1272</v>
      </c>
      <c r="S1274" s="59">
        <f ca="1">Dashboard!B$8* Dashboard!$F$4+Dashboard!B$10*SQRT(Dashboard!$F$4) * _xlfn.NORM.S.INV(RAND())</f>
        <v>4.226177283957791E-2</v>
      </c>
      <c r="T1274" s="59">
        <f ca="1">Dashboard!C$8* Dashboard!$F$4+Dashboard!C$10*SQRT(Dashboard!$F$4) * _xlfn.NORM.S.INV(RAND())</f>
        <v>2.9067031833118023E-2</v>
      </c>
      <c r="U1274" s="59">
        <f ca="1">Dashboard!D$8* Dashboard!$F$4+Dashboard!D$10*SQRT(Dashboard!$F$4) * _xlfn.NORM.S.INV(RAND())</f>
        <v>9.8103592249249357E-3</v>
      </c>
    </row>
    <row r="1275" spans="18:21" x14ac:dyDescent="0.2">
      <c r="R1275" s="49">
        <v>1273</v>
      </c>
      <c r="S1275" s="59">
        <f ca="1">Dashboard!B$8* Dashboard!$F$4+Dashboard!B$10*SQRT(Dashboard!$F$4) * _xlfn.NORM.S.INV(RAND())</f>
        <v>-7.579847224159394E-3</v>
      </c>
      <c r="T1275" s="59">
        <f ca="1">Dashboard!C$8* Dashboard!$F$4+Dashboard!C$10*SQRT(Dashboard!$F$4) * _xlfn.NORM.S.INV(RAND())</f>
        <v>6.1053922694444908E-2</v>
      </c>
      <c r="U1275" s="59">
        <f ca="1">Dashboard!D$8* Dashboard!$F$4+Dashboard!D$10*SQRT(Dashboard!$F$4) * _xlfn.NORM.S.INV(RAND())</f>
        <v>-3.0508791211900817E-2</v>
      </c>
    </row>
    <row r="1276" spans="18:21" x14ac:dyDescent="0.2">
      <c r="R1276" s="49">
        <v>1274</v>
      </c>
      <c r="S1276" s="59">
        <f ca="1">Dashboard!B$8* Dashboard!$F$4+Dashboard!B$10*SQRT(Dashboard!$F$4) * _xlfn.NORM.S.INV(RAND())</f>
        <v>-3.9889545139301277E-2</v>
      </c>
      <c r="T1276" s="59">
        <f ca="1">Dashboard!C$8* Dashboard!$F$4+Dashboard!C$10*SQRT(Dashboard!$F$4) * _xlfn.NORM.S.INV(RAND())</f>
        <v>-1.9503921343192759E-2</v>
      </c>
      <c r="U1276" s="59">
        <f ca="1">Dashboard!D$8* Dashboard!$F$4+Dashboard!D$10*SQRT(Dashboard!$F$4) * _xlfn.NORM.S.INV(RAND())</f>
        <v>6.5798238246174614E-3</v>
      </c>
    </row>
    <row r="1277" spans="18:21" x14ac:dyDescent="0.2">
      <c r="R1277" s="49">
        <v>1275</v>
      </c>
      <c r="S1277" s="59">
        <f ca="1">Dashboard!B$8* Dashboard!$F$4+Dashboard!B$10*SQRT(Dashboard!$F$4) * _xlfn.NORM.S.INV(RAND())</f>
        <v>4.3012872783531796E-2</v>
      </c>
      <c r="T1277" s="59">
        <f ca="1">Dashboard!C$8* Dashboard!$F$4+Dashboard!C$10*SQRT(Dashboard!$F$4) * _xlfn.NORM.S.INV(RAND())</f>
        <v>2.1222147401472352E-2</v>
      </c>
      <c r="U1277" s="59">
        <f ca="1">Dashboard!D$8* Dashboard!$F$4+Dashboard!D$10*SQRT(Dashboard!$F$4) * _xlfn.NORM.S.INV(RAND())</f>
        <v>1.297669137197088E-2</v>
      </c>
    </row>
    <row r="1278" spans="18:21" x14ac:dyDescent="0.2">
      <c r="R1278" s="49">
        <v>1276</v>
      </c>
      <c r="S1278" s="59">
        <f ca="1">Dashboard!B$8* Dashboard!$F$4+Dashboard!B$10*SQRT(Dashboard!$F$4) * _xlfn.NORM.S.INV(RAND())</f>
        <v>-3.2446629302844233E-2</v>
      </c>
      <c r="T1278" s="59">
        <f ca="1">Dashboard!C$8* Dashboard!$F$4+Dashboard!C$10*SQRT(Dashboard!$F$4) * _xlfn.NORM.S.INV(RAND())</f>
        <v>-5.4096354727483441E-2</v>
      </c>
      <c r="U1278" s="59">
        <f ca="1">Dashboard!D$8* Dashboard!$F$4+Dashboard!D$10*SQRT(Dashboard!$F$4) * _xlfn.NORM.S.INV(RAND())</f>
        <v>-2.4142403742098764E-2</v>
      </c>
    </row>
    <row r="1279" spans="18:21" x14ac:dyDescent="0.2">
      <c r="R1279" s="49">
        <v>1277</v>
      </c>
      <c r="S1279" s="59">
        <f ca="1">Dashboard!B$8* Dashboard!$F$4+Dashboard!B$10*SQRT(Dashboard!$F$4) * _xlfn.NORM.S.INV(RAND())</f>
        <v>-1.7056256907903508E-2</v>
      </c>
      <c r="T1279" s="59">
        <f ca="1">Dashboard!C$8* Dashboard!$F$4+Dashboard!C$10*SQRT(Dashboard!$F$4) * _xlfn.NORM.S.INV(RAND())</f>
        <v>2.8783804586339432E-2</v>
      </c>
      <c r="U1279" s="59">
        <f ca="1">Dashboard!D$8* Dashboard!$F$4+Dashboard!D$10*SQRT(Dashboard!$F$4) * _xlfn.NORM.S.INV(RAND())</f>
        <v>9.2127165038885274E-3</v>
      </c>
    </row>
    <row r="1280" spans="18:21" x14ac:dyDescent="0.2">
      <c r="R1280" s="49">
        <v>1278</v>
      </c>
      <c r="S1280" s="59">
        <f ca="1">Dashboard!B$8* Dashboard!$F$4+Dashboard!B$10*SQRT(Dashboard!$F$4) * _xlfn.NORM.S.INV(RAND())</f>
        <v>-7.1232504720731921E-2</v>
      </c>
      <c r="T1280" s="59">
        <f ca="1">Dashboard!C$8* Dashboard!$F$4+Dashboard!C$10*SQRT(Dashboard!$F$4) * _xlfn.NORM.S.INV(RAND())</f>
        <v>-4.177390265627718E-2</v>
      </c>
      <c r="U1280" s="59">
        <f ca="1">Dashboard!D$8* Dashboard!$F$4+Dashboard!D$10*SQRT(Dashboard!$F$4) * _xlfn.NORM.S.INV(RAND())</f>
        <v>-3.9233194954087419E-2</v>
      </c>
    </row>
    <row r="1281" spans="18:21" x14ac:dyDescent="0.2">
      <c r="R1281" s="49">
        <v>1279</v>
      </c>
      <c r="S1281" s="59">
        <f ca="1">Dashboard!B$8* Dashboard!$F$4+Dashboard!B$10*SQRT(Dashboard!$F$4) * _xlfn.NORM.S.INV(RAND())</f>
        <v>-3.2656384070535845E-2</v>
      </c>
      <c r="T1281" s="59">
        <f ca="1">Dashboard!C$8* Dashboard!$F$4+Dashboard!C$10*SQRT(Dashboard!$F$4) * _xlfn.NORM.S.INV(RAND())</f>
        <v>5.0592358466009554E-2</v>
      </c>
      <c r="U1281" s="59">
        <f ca="1">Dashboard!D$8* Dashboard!$F$4+Dashboard!D$10*SQRT(Dashboard!$F$4) * _xlfn.NORM.S.INV(RAND())</f>
        <v>5.4052935220075659E-3</v>
      </c>
    </row>
    <row r="1282" spans="18:21" x14ac:dyDescent="0.2">
      <c r="R1282" s="49">
        <v>1280</v>
      </c>
      <c r="S1282" s="59">
        <f ca="1">Dashboard!B$8* Dashboard!$F$4+Dashboard!B$10*SQRT(Dashboard!$F$4) * _xlfn.NORM.S.INV(RAND())</f>
        <v>6.853653699099186E-3</v>
      </c>
      <c r="T1282" s="59">
        <f ca="1">Dashboard!C$8* Dashboard!$F$4+Dashboard!C$10*SQRT(Dashboard!$F$4) * _xlfn.NORM.S.INV(RAND())</f>
        <v>-3.8057903293709151E-2</v>
      </c>
      <c r="U1282" s="59">
        <f ca="1">Dashboard!D$8* Dashboard!$F$4+Dashboard!D$10*SQRT(Dashboard!$F$4) * _xlfn.NORM.S.INV(RAND())</f>
        <v>1.0618824776565252E-2</v>
      </c>
    </row>
    <row r="1283" spans="18:21" x14ac:dyDescent="0.2">
      <c r="R1283" s="49">
        <v>1281</v>
      </c>
      <c r="S1283" s="59">
        <f ca="1">Dashboard!B$8* Dashboard!$F$4+Dashboard!B$10*SQRT(Dashboard!$F$4) * _xlfn.NORM.S.INV(RAND())</f>
        <v>-5.2189173592916954E-3</v>
      </c>
      <c r="T1283" s="59">
        <f ca="1">Dashboard!C$8* Dashboard!$F$4+Dashboard!C$10*SQRT(Dashboard!$F$4) * _xlfn.NORM.S.INV(RAND())</f>
        <v>-6.9763816100692254E-3</v>
      </c>
      <c r="U1283" s="59">
        <f ca="1">Dashboard!D$8* Dashboard!$F$4+Dashboard!D$10*SQRT(Dashboard!$F$4) * _xlfn.NORM.S.INV(RAND())</f>
        <v>-6.6187774584775663E-2</v>
      </c>
    </row>
    <row r="1284" spans="18:21" x14ac:dyDescent="0.2">
      <c r="R1284" s="49">
        <v>1282</v>
      </c>
      <c r="S1284" s="59">
        <f ca="1">Dashboard!B$8* Dashboard!$F$4+Dashboard!B$10*SQRT(Dashboard!$F$4) * _xlfn.NORM.S.INV(RAND())</f>
        <v>-5.8256299754835556E-3</v>
      </c>
      <c r="T1284" s="59">
        <f ca="1">Dashboard!C$8* Dashboard!$F$4+Dashboard!C$10*SQRT(Dashboard!$F$4) * _xlfn.NORM.S.INV(RAND())</f>
        <v>-7.8261473517022909E-3</v>
      </c>
      <c r="U1284" s="59">
        <f ca="1">Dashboard!D$8* Dashboard!$F$4+Dashboard!D$10*SQRT(Dashboard!$F$4) * _xlfn.NORM.S.INV(RAND())</f>
        <v>1.5741723380421176E-2</v>
      </c>
    </row>
    <row r="1285" spans="18:21" x14ac:dyDescent="0.2">
      <c r="R1285" s="49">
        <v>1283</v>
      </c>
      <c r="S1285" s="59">
        <f ca="1">Dashboard!B$8* Dashboard!$F$4+Dashboard!B$10*SQRT(Dashboard!$F$4) * _xlfn.NORM.S.INV(RAND())</f>
        <v>-2.0976472140522638E-2</v>
      </c>
      <c r="T1285" s="59">
        <f ca="1">Dashboard!C$8* Dashboard!$F$4+Dashboard!C$10*SQRT(Dashboard!$F$4) * _xlfn.NORM.S.INV(RAND())</f>
        <v>5.4213882675041139E-2</v>
      </c>
      <c r="U1285" s="59">
        <f ca="1">Dashboard!D$8* Dashboard!$F$4+Dashboard!D$10*SQRT(Dashboard!$F$4) * _xlfn.NORM.S.INV(RAND())</f>
        <v>-8.7482918079707039E-4</v>
      </c>
    </row>
    <row r="1286" spans="18:21" x14ac:dyDescent="0.2">
      <c r="R1286" s="49">
        <v>1284</v>
      </c>
      <c r="S1286" s="59">
        <f ca="1">Dashboard!B$8* Dashboard!$F$4+Dashboard!B$10*SQRT(Dashboard!$F$4) * _xlfn.NORM.S.INV(RAND())</f>
        <v>-1.0073183787909154E-2</v>
      </c>
      <c r="T1286" s="59">
        <f ca="1">Dashboard!C$8* Dashboard!$F$4+Dashboard!C$10*SQRT(Dashboard!$F$4) * _xlfn.NORM.S.INV(RAND())</f>
        <v>1.1089670436994527E-4</v>
      </c>
      <c r="U1286" s="59">
        <f ca="1">Dashboard!D$8* Dashboard!$F$4+Dashboard!D$10*SQRT(Dashboard!$F$4) * _xlfn.NORM.S.INV(RAND())</f>
        <v>3.2967352052252581E-3</v>
      </c>
    </row>
    <row r="1287" spans="18:21" x14ac:dyDescent="0.2">
      <c r="R1287" s="49">
        <v>1285</v>
      </c>
      <c r="S1287" s="59">
        <f ca="1">Dashboard!B$8* Dashboard!$F$4+Dashboard!B$10*SQRT(Dashboard!$F$4) * _xlfn.NORM.S.INV(RAND())</f>
        <v>-4.4281176484618309E-2</v>
      </c>
      <c r="T1287" s="59">
        <f ca="1">Dashboard!C$8* Dashboard!$F$4+Dashboard!C$10*SQRT(Dashboard!$F$4) * _xlfn.NORM.S.INV(RAND())</f>
        <v>3.0150970082570262E-2</v>
      </c>
      <c r="U1287" s="59">
        <f ca="1">Dashboard!D$8* Dashboard!$F$4+Dashboard!D$10*SQRT(Dashboard!$F$4) * _xlfn.NORM.S.INV(RAND())</f>
        <v>1.7490051949928954E-2</v>
      </c>
    </row>
    <row r="1288" spans="18:21" x14ac:dyDescent="0.2">
      <c r="R1288" s="49">
        <v>1286</v>
      </c>
      <c r="S1288" s="59">
        <f ca="1">Dashboard!B$8* Dashboard!$F$4+Dashboard!B$10*SQRT(Dashboard!$F$4) * _xlfn.NORM.S.INV(RAND())</f>
        <v>6.6564784892830353E-2</v>
      </c>
      <c r="T1288" s="59">
        <f ca="1">Dashboard!C$8* Dashboard!$F$4+Dashboard!C$10*SQRT(Dashboard!$F$4) * _xlfn.NORM.S.INV(RAND())</f>
        <v>-9.3042223771828865E-3</v>
      </c>
      <c r="U1288" s="59">
        <f ca="1">Dashboard!D$8* Dashboard!$F$4+Dashboard!D$10*SQRT(Dashboard!$F$4) * _xlfn.NORM.S.INV(RAND())</f>
        <v>1.3705714034049578E-3</v>
      </c>
    </row>
    <row r="1289" spans="18:21" x14ac:dyDescent="0.2">
      <c r="R1289" s="49">
        <v>1287</v>
      </c>
      <c r="S1289" s="59">
        <f ca="1">Dashboard!B$8* Dashboard!$F$4+Dashboard!B$10*SQRT(Dashboard!$F$4) * _xlfn.NORM.S.INV(RAND())</f>
        <v>4.972507680310774E-6</v>
      </c>
      <c r="T1289" s="59">
        <f ca="1">Dashboard!C$8* Dashboard!$F$4+Dashboard!C$10*SQRT(Dashboard!$F$4) * _xlfn.NORM.S.INV(RAND())</f>
        <v>2.6014485781460598E-2</v>
      </c>
      <c r="U1289" s="59">
        <f ca="1">Dashboard!D$8* Dashboard!$F$4+Dashboard!D$10*SQRT(Dashboard!$F$4) * _xlfn.NORM.S.INV(RAND())</f>
        <v>-2.2198596669751637E-3</v>
      </c>
    </row>
    <row r="1290" spans="18:21" x14ac:dyDescent="0.2">
      <c r="R1290" s="49">
        <v>1288</v>
      </c>
      <c r="S1290" s="59">
        <f ca="1">Dashboard!B$8* Dashboard!$F$4+Dashboard!B$10*SQRT(Dashboard!$F$4) * _xlfn.NORM.S.INV(RAND())</f>
        <v>7.8217368007796342E-2</v>
      </c>
      <c r="T1290" s="59">
        <f ca="1">Dashboard!C$8* Dashboard!$F$4+Dashboard!C$10*SQRT(Dashboard!$F$4) * _xlfn.NORM.S.INV(RAND())</f>
        <v>1.9196147603580488E-2</v>
      </c>
      <c r="U1290" s="59">
        <f ca="1">Dashboard!D$8* Dashboard!$F$4+Dashboard!D$10*SQRT(Dashboard!$F$4) * _xlfn.NORM.S.INV(RAND())</f>
        <v>4.7182657624407723E-2</v>
      </c>
    </row>
    <row r="1291" spans="18:21" x14ac:dyDescent="0.2">
      <c r="R1291" s="49">
        <v>1289</v>
      </c>
      <c r="S1291" s="59">
        <f ca="1">Dashboard!B$8* Dashboard!$F$4+Dashboard!B$10*SQRT(Dashboard!$F$4) * _xlfn.NORM.S.INV(RAND())</f>
        <v>-1.7475347464579995E-2</v>
      </c>
      <c r="T1291" s="59">
        <f ca="1">Dashboard!C$8* Dashboard!$F$4+Dashboard!C$10*SQRT(Dashboard!$F$4) * _xlfn.NORM.S.INV(RAND())</f>
        <v>1.3319382487383704E-2</v>
      </c>
      <c r="U1291" s="59">
        <f ca="1">Dashboard!D$8* Dashboard!$F$4+Dashboard!D$10*SQRT(Dashboard!$F$4) * _xlfn.NORM.S.INV(RAND())</f>
        <v>-6.4693647144021676E-2</v>
      </c>
    </row>
    <row r="1292" spans="18:21" x14ac:dyDescent="0.2">
      <c r="R1292" s="49">
        <v>1290</v>
      </c>
      <c r="S1292" s="59">
        <f ca="1">Dashboard!B$8* Dashboard!$F$4+Dashboard!B$10*SQRT(Dashboard!$F$4) * _xlfn.NORM.S.INV(RAND())</f>
        <v>5.9353361472055888E-2</v>
      </c>
      <c r="T1292" s="59">
        <f ca="1">Dashboard!C$8* Dashboard!$F$4+Dashboard!C$10*SQRT(Dashboard!$F$4) * _xlfn.NORM.S.INV(RAND())</f>
        <v>2.7594369333304072E-2</v>
      </c>
      <c r="U1292" s="59">
        <f ca="1">Dashboard!D$8* Dashboard!$F$4+Dashboard!D$10*SQRT(Dashboard!$F$4) * _xlfn.NORM.S.INV(RAND())</f>
        <v>3.1603422473881287E-2</v>
      </c>
    </row>
    <row r="1293" spans="18:21" x14ac:dyDescent="0.2">
      <c r="R1293" s="49">
        <v>1291</v>
      </c>
      <c r="S1293" s="59">
        <f ca="1">Dashboard!B$8* Dashboard!$F$4+Dashboard!B$10*SQRT(Dashboard!$F$4) * _xlfn.NORM.S.INV(RAND())</f>
        <v>2.6201304159373176E-2</v>
      </c>
      <c r="T1293" s="59">
        <f ca="1">Dashboard!C$8* Dashboard!$F$4+Dashboard!C$10*SQRT(Dashboard!$F$4) * _xlfn.NORM.S.INV(RAND())</f>
        <v>-2.3935705066765088E-2</v>
      </c>
      <c r="U1293" s="59">
        <f ca="1">Dashboard!D$8* Dashboard!$F$4+Dashboard!D$10*SQRT(Dashboard!$F$4) * _xlfn.NORM.S.INV(RAND())</f>
        <v>5.1315948333327123E-2</v>
      </c>
    </row>
    <row r="1294" spans="18:21" x14ac:dyDescent="0.2">
      <c r="R1294" s="49">
        <v>1292</v>
      </c>
      <c r="S1294" s="59">
        <f ca="1">Dashboard!B$8* Dashboard!$F$4+Dashboard!B$10*SQRT(Dashboard!$F$4) * _xlfn.NORM.S.INV(RAND())</f>
        <v>-2.8243173371417948E-2</v>
      </c>
      <c r="T1294" s="59">
        <f ca="1">Dashboard!C$8* Dashboard!$F$4+Dashboard!C$10*SQRT(Dashboard!$F$4) * _xlfn.NORM.S.INV(RAND())</f>
        <v>4.5893472624727372E-2</v>
      </c>
      <c r="U1294" s="59">
        <f ca="1">Dashboard!D$8* Dashboard!$F$4+Dashboard!D$10*SQRT(Dashboard!$F$4) * _xlfn.NORM.S.INV(RAND())</f>
        <v>1.3185309365931829E-2</v>
      </c>
    </row>
    <row r="1295" spans="18:21" x14ac:dyDescent="0.2">
      <c r="R1295" s="49">
        <v>1293</v>
      </c>
      <c r="S1295" s="59">
        <f ca="1">Dashboard!B$8* Dashboard!$F$4+Dashboard!B$10*SQRT(Dashboard!$F$4) * _xlfn.NORM.S.INV(RAND())</f>
        <v>-5.0987836512033216E-2</v>
      </c>
      <c r="T1295" s="59">
        <f ca="1">Dashboard!C$8* Dashboard!$F$4+Dashboard!C$10*SQRT(Dashboard!$F$4) * _xlfn.NORM.S.INV(RAND())</f>
        <v>6.0143045474499619E-3</v>
      </c>
      <c r="U1295" s="59">
        <f ca="1">Dashboard!D$8* Dashboard!$F$4+Dashboard!D$10*SQRT(Dashboard!$F$4) * _xlfn.NORM.S.INV(RAND())</f>
        <v>-5.4654549832873845E-3</v>
      </c>
    </row>
    <row r="1296" spans="18:21" x14ac:dyDescent="0.2">
      <c r="R1296" s="49">
        <v>1294</v>
      </c>
      <c r="S1296" s="59">
        <f ca="1">Dashboard!B$8* Dashboard!$F$4+Dashboard!B$10*SQRT(Dashboard!$F$4) * _xlfn.NORM.S.INV(RAND())</f>
        <v>-1.8580125920539876E-2</v>
      </c>
      <c r="T1296" s="59">
        <f ca="1">Dashboard!C$8* Dashboard!$F$4+Dashboard!C$10*SQRT(Dashboard!$F$4) * _xlfn.NORM.S.INV(RAND())</f>
        <v>1.6774557454867813E-2</v>
      </c>
      <c r="U1296" s="59">
        <f ca="1">Dashboard!D$8* Dashboard!$F$4+Dashboard!D$10*SQRT(Dashboard!$F$4) * _xlfn.NORM.S.INV(RAND())</f>
        <v>-3.108344077608725E-2</v>
      </c>
    </row>
    <row r="1297" spans="18:21" x14ac:dyDescent="0.2">
      <c r="R1297" s="49">
        <v>1295</v>
      </c>
      <c r="S1297" s="59">
        <f ca="1">Dashboard!B$8* Dashboard!$F$4+Dashboard!B$10*SQRT(Dashboard!$F$4) * _xlfn.NORM.S.INV(RAND())</f>
        <v>-2.1043431000779933E-2</v>
      </c>
      <c r="T1297" s="59">
        <f ca="1">Dashboard!C$8* Dashboard!$F$4+Dashboard!C$10*SQRT(Dashboard!$F$4) * _xlfn.NORM.S.INV(RAND())</f>
        <v>-4.3567742279725603E-2</v>
      </c>
      <c r="U1297" s="59">
        <f ca="1">Dashboard!D$8* Dashboard!$F$4+Dashboard!D$10*SQRT(Dashboard!$F$4) * _xlfn.NORM.S.INV(RAND())</f>
        <v>5.4914327074804398E-3</v>
      </c>
    </row>
    <row r="1298" spans="18:21" x14ac:dyDescent="0.2">
      <c r="R1298" s="49">
        <v>1296</v>
      </c>
      <c r="S1298" s="59">
        <f ca="1">Dashboard!B$8* Dashboard!$F$4+Dashboard!B$10*SQRT(Dashboard!$F$4) * _xlfn.NORM.S.INV(RAND())</f>
        <v>4.4860780886507357E-2</v>
      </c>
      <c r="T1298" s="59">
        <f ca="1">Dashboard!C$8* Dashboard!$F$4+Dashboard!C$10*SQRT(Dashboard!$F$4) * _xlfn.NORM.S.INV(RAND())</f>
        <v>6.9346897492930546E-3</v>
      </c>
      <c r="U1298" s="59">
        <f ca="1">Dashboard!D$8* Dashboard!$F$4+Dashboard!D$10*SQRT(Dashboard!$F$4) * _xlfn.NORM.S.INV(RAND())</f>
        <v>-1.4697989468470134E-2</v>
      </c>
    </row>
    <row r="1299" spans="18:21" x14ac:dyDescent="0.2">
      <c r="R1299" s="49">
        <v>1297</v>
      </c>
      <c r="S1299" s="59">
        <f ca="1">Dashboard!B$8* Dashboard!$F$4+Dashboard!B$10*SQRT(Dashboard!$F$4) * _xlfn.NORM.S.INV(RAND())</f>
        <v>-3.7409578500464863E-2</v>
      </c>
      <c r="T1299" s="59">
        <f ca="1">Dashboard!C$8* Dashboard!$F$4+Dashboard!C$10*SQRT(Dashboard!$F$4) * _xlfn.NORM.S.INV(RAND())</f>
        <v>1.6047974340136079E-3</v>
      </c>
      <c r="U1299" s="59">
        <f ca="1">Dashboard!D$8* Dashboard!$F$4+Dashboard!D$10*SQRT(Dashboard!$F$4) * _xlfn.NORM.S.INV(RAND())</f>
        <v>9.8887822558352181E-4</v>
      </c>
    </row>
    <row r="1300" spans="18:21" x14ac:dyDescent="0.2">
      <c r="R1300" s="49">
        <v>1298</v>
      </c>
      <c r="S1300" s="59">
        <f ca="1">Dashboard!B$8* Dashboard!$F$4+Dashboard!B$10*SQRT(Dashboard!$F$4) * _xlfn.NORM.S.INV(RAND())</f>
        <v>5.5124699915284035E-2</v>
      </c>
      <c r="T1300" s="59">
        <f ca="1">Dashboard!C$8* Dashboard!$F$4+Dashboard!C$10*SQRT(Dashboard!$F$4) * _xlfn.NORM.S.INV(RAND())</f>
        <v>3.270657476407593E-2</v>
      </c>
      <c r="U1300" s="59">
        <f ca="1">Dashboard!D$8* Dashboard!$F$4+Dashboard!D$10*SQRT(Dashboard!$F$4) * _xlfn.NORM.S.INV(RAND())</f>
        <v>9.2903343101548245E-3</v>
      </c>
    </row>
    <row r="1301" spans="18:21" x14ac:dyDescent="0.2">
      <c r="R1301" s="49">
        <v>1299</v>
      </c>
      <c r="S1301" s="59">
        <f ca="1">Dashboard!B$8* Dashboard!$F$4+Dashboard!B$10*SQRT(Dashboard!$F$4) * _xlfn.NORM.S.INV(RAND())</f>
        <v>-6.3728333325933681E-2</v>
      </c>
      <c r="T1301" s="59">
        <f ca="1">Dashboard!C$8* Dashboard!$F$4+Dashboard!C$10*SQRT(Dashboard!$F$4) * _xlfn.NORM.S.INV(RAND())</f>
        <v>1.5669242045674429E-2</v>
      </c>
      <c r="U1301" s="59">
        <f ca="1">Dashboard!D$8* Dashboard!$F$4+Dashboard!D$10*SQRT(Dashboard!$F$4) * _xlfn.NORM.S.INV(RAND())</f>
        <v>-6.8389013810267477E-2</v>
      </c>
    </row>
    <row r="1302" spans="18:21" x14ac:dyDescent="0.2">
      <c r="R1302" s="49">
        <v>1300</v>
      </c>
      <c r="S1302" s="59">
        <f ca="1">Dashboard!B$8* Dashboard!$F$4+Dashboard!B$10*SQRT(Dashboard!$F$4) * _xlfn.NORM.S.INV(RAND())</f>
        <v>-4.9798203186152828E-3</v>
      </c>
      <c r="T1302" s="59">
        <f ca="1">Dashboard!C$8* Dashboard!$F$4+Dashboard!C$10*SQRT(Dashboard!$F$4) * _xlfn.NORM.S.INV(RAND())</f>
        <v>2.930533348020949E-2</v>
      </c>
      <c r="U1302" s="59">
        <f ca="1">Dashboard!D$8* Dashboard!$F$4+Dashboard!D$10*SQRT(Dashboard!$F$4) * _xlfn.NORM.S.INV(RAND())</f>
        <v>1.4859322872325021E-2</v>
      </c>
    </row>
    <row r="1303" spans="18:21" x14ac:dyDescent="0.2">
      <c r="R1303" s="49">
        <v>1301</v>
      </c>
      <c r="S1303" s="59">
        <f ca="1">Dashboard!B$8* Dashboard!$F$4+Dashboard!B$10*SQRT(Dashboard!$F$4) * _xlfn.NORM.S.INV(RAND())</f>
        <v>1.6107231160500338E-3</v>
      </c>
      <c r="T1303" s="59">
        <f ca="1">Dashboard!C$8* Dashboard!$F$4+Dashboard!C$10*SQRT(Dashboard!$F$4) * _xlfn.NORM.S.INV(RAND())</f>
        <v>-1.1859700680707564E-2</v>
      </c>
      <c r="U1303" s="59">
        <f ca="1">Dashboard!D$8* Dashboard!$F$4+Dashboard!D$10*SQRT(Dashboard!$F$4) * _xlfn.NORM.S.INV(RAND())</f>
        <v>-2.0923412878677088E-2</v>
      </c>
    </row>
    <row r="1304" spans="18:21" x14ac:dyDescent="0.2">
      <c r="R1304" s="49">
        <v>1302</v>
      </c>
      <c r="S1304" s="59">
        <f ca="1">Dashboard!B$8* Dashboard!$F$4+Dashboard!B$10*SQRT(Dashboard!$F$4) * _xlfn.NORM.S.INV(RAND())</f>
        <v>1.8563208322520473E-2</v>
      </c>
      <c r="T1304" s="59">
        <f ca="1">Dashboard!C$8* Dashboard!$F$4+Dashboard!C$10*SQRT(Dashboard!$F$4) * _xlfn.NORM.S.INV(RAND())</f>
        <v>5.1832987141569115E-2</v>
      </c>
      <c r="U1304" s="59">
        <f ca="1">Dashboard!D$8* Dashboard!$F$4+Dashboard!D$10*SQRT(Dashboard!$F$4) * _xlfn.NORM.S.INV(RAND())</f>
        <v>-5.4671654466351922E-2</v>
      </c>
    </row>
    <row r="1305" spans="18:21" x14ac:dyDescent="0.2">
      <c r="R1305" s="49">
        <v>1303</v>
      </c>
      <c r="S1305" s="59">
        <f ca="1">Dashboard!B$8* Dashboard!$F$4+Dashboard!B$10*SQRT(Dashboard!$F$4) * _xlfn.NORM.S.INV(RAND())</f>
        <v>-1.0954846442187169E-3</v>
      </c>
      <c r="T1305" s="59">
        <f ca="1">Dashboard!C$8* Dashboard!$F$4+Dashboard!C$10*SQRT(Dashboard!$F$4) * _xlfn.NORM.S.INV(RAND())</f>
        <v>6.8911392574081243E-2</v>
      </c>
      <c r="U1305" s="59">
        <f ca="1">Dashboard!D$8* Dashboard!$F$4+Dashboard!D$10*SQRT(Dashboard!$F$4) * _xlfn.NORM.S.INV(RAND())</f>
        <v>2.3639404394106979E-2</v>
      </c>
    </row>
    <row r="1306" spans="18:21" x14ac:dyDescent="0.2">
      <c r="R1306" s="49">
        <v>1304</v>
      </c>
      <c r="S1306" s="59">
        <f ca="1">Dashboard!B$8* Dashboard!$F$4+Dashboard!B$10*SQRT(Dashboard!$F$4) * _xlfn.NORM.S.INV(RAND())</f>
        <v>6.2687924744547225E-3</v>
      </c>
      <c r="T1306" s="59">
        <f ca="1">Dashboard!C$8* Dashboard!$F$4+Dashboard!C$10*SQRT(Dashboard!$F$4) * _xlfn.NORM.S.INV(RAND())</f>
        <v>2.3123105214307337E-2</v>
      </c>
      <c r="U1306" s="59">
        <f ca="1">Dashboard!D$8* Dashboard!$F$4+Dashboard!D$10*SQRT(Dashboard!$F$4) * _xlfn.NORM.S.INV(RAND())</f>
        <v>1.948871692414967E-2</v>
      </c>
    </row>
    <row r="1307" spans="18:21" x14ac:dyDescent="0.2">
      <c r="R1307" s="49">
        <v>1305</v>
      </c>
      <c r="S1307" s="59">
        <f ca="1">Dashboard!B$8* Dashboard!$F$4+Dashboard!B$10*SQRT(Dashboard!$F$4) * _xlfn.NORM.S.INV(RAND())</f>
        <v>6.323949016398675E-2</v>
      </c>
      <c r="T1307" s="59">
        <f ca="1">Dashboard!C$8* Dashboard!$F$4+Dashboard!C$10*SQRT(Dashboard!$F$4) * _xlfn.NORM.S.INV(RAND())</f>
        <v>-4.922868464962047E-2</v>
      </c>
      <c r="U1307" s="59">
        <f ca="1">Dashboard!D$8* Dashboard!$F$4+Dashboard!D$10*SQRT(Dashboard!$F$4) * _xlfn.NORM.S.INV(RAND())</f>
        <v>1.9404930826221484E-2</v>
      </c>
    </row>
    <row r="1308" spans="18:21" x14ac:dyDescent="0.2">
      <c r="R1308" s="49">
        <v>1306</v>
      </c>
      <c r="S1308" s="59">
        <f ca="1">Dashboard!B$8* Dashboard!$F$4+Dashboard!B$10*SQRT(Dashboard!$F$4) * _xlfn.NORM.S.INV(RAND())</f>
        <v>-2.2434563729312823E-2</v>
      </c>
      <c r="T1308" s="59">
        <f ca="1">Dashboard!C$8* Dashboard!$F$4+Dashboard!C$10*SQRT(Dashboard!$F$4) * _xlfn.NORM.S.INV(RAND())</f>
        <v>4.0692226814923987E-2</v>
      </c>
      <c r="U1308" s="59">
        <f ca="1">Dashboard!D$8* Dashboard!$F$4+Dashboard!D$10*SQRT(Dashboard!$F$4) * _xlfn.NORM.S.INV(RAND())</f>
        <v>1.7821460020102119E-2</v>
      </c>
    </row>
    <row r="1309" spans="18:21" x14ac:dyDescent="0.2">
      <c r="R1309" s="49">
        <v>1307</v>
      </c>
      <c r="S1309" s="59">
        <f ca="1">Dashboard!B$8* Dashboard!$F$4+Dashboard!B$10*SQRT(Dashboard!$F$4) * _xlfn.NORM.S.INV(RAND())</f>
        <v>6.0384109614887351E-3</v>
      </c>
      <c r="T1309" s="59">
        <f ca="1">Dashboard!C$8* Dashboard!$F$4+Dashboard!C$10*SQRT(Dashboard!$F$4) * _xlfn.NORM.S.INV(RAND())</f>
        <v>-3.6914103889292116E-2</v>
      </c>
      <c r="U1309" s="59">
        <f ca="1">Dashboard!D$8* Dashboard!$F$4+Dashboard!D$10*SQRT(Dashboard!$F$4) * _xlfn.NORM.S.INV(RAND())</f>
        <v>-1.005925056614574E-2</v>
      </c>
    </row>
    <row r="1310" spans="18:21" x14ac:dyDescent="0.2">
      <c r="R1310" s="49">
        <v>1308</v>
      </c>
      <c r="S1310" s="59">
        <f ca="1">Dashboard!B$8* Dashboard!$F$4+Dashboard!B$10*SQRT(Dashboard!$F$4) * _xlfn.NORM.S.INV(RAND())</f>
        <v>-2.3678278260837585E-2</v>
      </c>
      <c r="T1310" s="59">
        <f ca="1">Dashboard!C$8* Dashboard!$F$4+Dashboard!C$10*SQRT(Dashboard!$F$4) * _xlfn.NORM.S.INV(RAND())</f>
        <v>-3.6521859849134974E-2</v>
      </c>
      <c r="U1310" s="59">
        <f ca="1">Dashboard!D$8* Dashboard!$F$4+Dashboard!D$10*SQRT(Dashboard!$F$4) * _xlfn.NORM.S.INV(RAND())</f>
        <v>-7.8307053810839095E-3</v>
      </c>
    </row>
    <row r="1311" spans="18:21" x14ac:dyDescent="0.2">
      <c r="R1311" s="49">
        <v>1309</v>
      </c>
      <c r="S1311" s="59">
        <f ca="1">Dashboard!B$8* Dashboard!$F$4+Dashboard!B$10*SQRT(Dashboard!$F$4) * _xlfn.NORM.S.INV(RAND())</f>
        <v>-1.8218492897136705E-2</v>
      </c>
      <c r="T1311" s="59">
        <f ca="1">Dashboard!C$8* Dashboard!$F$4+Dashboard!C$10*SQRT(Dashboard!$F$4) * _xlfn.NORM.S.INV(RAND())</f>
        <v>-2.924383687034442E-2</v>
      </c>
      <c r="U1311" s="59">
        <f ca="1">Dashboard!D$8* Dashboard!$F$4+Dashboard!D$10*SQRT(Dashboard!$F$4) * _xlfn.NORM.S.INV(RAND())</f>
        <v>6.424048855344716E-3</v>
      </c>
    </row>
    <row r="1312" spans="18:21" x14ac:dyDescent="0.2">
      <c r="R1312" s="49">
        <v>1310</v>
      </c>
      <c r="S1312" s="59">
        <f ca="1">Dashboard!B$8* Dashboard!$F$4+Dashboard!B$10*SQRT(Dashboard!$F$4) * _xlfn.NORM.S.INV(RAND())</f>
        <v>1.6209571296284031E-2</v>
      </c>
      <c r="T1312" s="59">
        <f ca="1">Dashboard!C$8* Dashboard!$F$4+Dashboard!C$10*SQRT(Dashboard!$F$4) * _xlfn.NORM.S.INV(RAND())</f>
        <v>2.2790859451228936E-2</v>
      </c>
      <c r="U1312" s="59">
        <f ca="1">Dashboard!D$8* Dashboard!$F$4+Dashboard!D$10*SQRT(Dashboard!$F$4) * _xlfn.NORM.S.INV(RAND())</f>
        <v>7.8048562013881342E-3</v>
      </c>
    </row>
    <row r="1313" spans="18:21" x14ac:dyDescent="0.2">
      <c r="R1313" s="49">
        <v>1311</v>
      </c>
      <c r="S1313" s="59">
        <f ca="1">Dashboard!B$8* Dashboard!$F$4+Dashboard!B$10*SQRT(Dashboard!$F$4) * _xlfn.NORM.S.INV(RAND())</f>
        <v>-2.6151684226713455E-2</v>
      </c>
      <c r="T1313" s="59">
        <f ca="1">Dashboard!C$8* Dashboard!$F$4+Dashboard!C$10*SQRT(Dashboard!$F$4) * _xlfn.NORM.S.INV(RAND())</f>
        <v>1.5277309255497185E-2</v>
      </c>
      <c r="U1313" s="59">
        <f ca="1">Dashboard!D$8* Dashboard!$F$4+Dashboard!D$10*SQRT(Dashboard!$F$4) * _xlfn.NORM.S.INV(RAND())</f>
        <v>3.3144816056707639E-2</v>
      </c>
    </row>
    <row r="1314" spans="18:21" x14ac:dyDescent="0.2">
      <c r="R1314" s="49">
        <v>1312</v>
      </c>
      <c r="S1314" s="59">
        <f ca="1">Dashboard!B$8* Dashboard!$F$4+Dashboard!B$10*SQRT(Dashboard!$F$4) * _xlfn.NORM.S.INV(RAND())</f>
        <v>-5.6108631587085608E-3</v>
      </c>
      <c r="T1314" s="59">
        <f ca="1">Dashboard!C$8* Dashboard!$F$4+Dashboard!C$10*SQRT(Dashboard!$F$4) * _xlfn.NORM.S.INV(RAND())</f>
        <v>3.0228968963417067E-2</v>
      </c>
      <c r="U1314" s="59">
        <f ca="1">Dashboard!D$8* Dashboard!$F$4+Dashboard!D$10*SQRT(Dashboard!$F$4) * _xlfn.NORM.S.INV(RAND())</f>
        <v>1.0793609007388362E-2</v>
      </c>
    </row>
    <row r="1315" spans="18:21" x14ac:dyDescent="0.2">
      <c r="R1315" s="49">
        <v>1313</v>
      </c>
      <c r="S1315" s="59">
        <f ca="1">Dashboard!B$8* Dashboard!$F$4+Dashboard!B$10*SQRT(Dashboard!$F$4) * _xlfn.NORM.S.INV(RAND())</f>
        <v>6.2945369613963565E-3</v>
      </c>
      <c r="T1315" s="59">
        <f ca="1">Dashboard!C$8* Dashboard!$F$4+Dashboard!C$10*SQRT(Dashboard!$F$4) * _xlfn.NORM.S.INV(RAND())</f>
        <v>7.1947681344575101E-4</v>
      </c>
      <c r="U1315" s="59">
        <f ca="1">Dashboard!D$8* Dashboard!$F$4+Dashboard!D$10*SQRT(Dashboard!$F$4) * _xlfn.NORM.S.INV(RAND())</f>
        <v>7.3857794927519135E-2</v>
      </c>
    </row>
    <row r="1316" spans="18:21" x14ac:dyDescent="0.2">
      <c r="R1316" s="49">
        <v>1314</v>
      </c>
      <c r="S1316" s="59">
        <f ca="1">Dashboard!B$8* Dashboard!$F$4+Dashboard!B$10*SQRT(Dashboard!$F$4) * _xlfn.NORM.S.INV(RAND())</f>
        <v>1.272026103989222E-2</v>
      </c>
      <c r="T1316" s="59">
        <f ca="1">Dashboard!C$8* Dashboard!$F$4+Dashboard!C$10*SQRT(Dashboard!$F$4) * _xlfn.NORM.S.INV(RAND())</f>
        <v>-1.6929785361994115E-2</v>
      </c>
      <c r="U1316" s="59">
        <f ca="1">Dashboard!D$8* Dashboard!$F$4+Dashboard!D$10*SQRT(Dashboard!$F$4) * _xlfn.NORM.S.INV(RAND())</f>
        <v>-9.5120188602452038E-3</v>
      </c>
    </row>
    <row r="1317" spans="18:21" x14ac:dyDescent="0.2">
      <c r="R1317" s="49">
        <v>1315</v>
      </c>
      <c r="S1317" s="59">
        <f ca="1">Dashboard!B$8* Dashboard!$F$4+Dashboard!B$10*SQRT(Dashboard!$F$4) * _xlfn.NORM.S.INV(RAND())</f>
        <v>-7.4529223581246071E-2</v>
      </c>
      <c r="T1317" s="59">
        <f ca="1">Dashboard!C$8* Dashboard!$F$4+Dashboard!C$10*SQRT(Dashboard!$F$4) * _xlfn.NORM.S.INV(RAND())</f>
        <v>1.9556197751516499E-2</v>
      </c>
      <c r="U1317" s="59">
        <f ca="1">Dashboard!D$8* Dashboard!$F$4+Dashboard!D$10*SQRT(Dashboard!$F$4) * _xlfn.NORM.S.INV(RAND())</f>
        <v>4.8671842783660775E-2</v>
      </c>
    </row>
    <row r="1318" spans="18:21" x14ac:dyDescent="0.2">
      <c r="R1318" s="49">
        <v>1316</v>
      </c>
      <c r="S1318" s="59">
        <f ca="1">Dashboard!B$8* Dashboard!$F$4+Dashboard!B$10*SQRT(Dashboard!$F$4) * _xlfn.NORM.S.INV(RAND())</f>
        <v>-1.6618654784834999E-2</v>
      </c>
      <c r="T1318" s="59">
        <f ca="1">Dashboard!C$8* Dashboard!$F$4+Dashboard!C$10*SQRT(Dashboard!$F$4) * _xlfn.NORM.S.INV(RAND())</f>
        <v>-2.7948633245786173E-2</v>
      </c>
      <c r="U1318" s="59">
        <f ca="1">Dashboard!D$8* Dashboard!$F$4+Dashboard!D$10*SQRT(Dashboard!$F$4) * _xlfn.NORM.S.INV(RAND())</f>
        <v>-2.1042505900634806E-2</v>
      </c>
    </row>
    <row r="1319" spans="18:21" x14ac:dyDescent="0.2">
      <c r="R1319" s="49">
        <v>1317</v>
      </c>
      <c r="S1319" s="59">
        <f ca="1">Dashboard!B$8* Dashboard!$F$4+Dashboard!B$10*SQRT(Dashboard!$F$4) * _xlfn.NORM.S.INV(RAND())</f>
        <v>5.4812412820746705E-3</v>
      </c>
      <c r="T1319" s="59">
        <f ca="1">Dashboard!C$8* Dashboard!$F$4+Dashboard!C$10*SQRT(Dashboard!$F$4) * _xlfn.NORM.S.INV(RAND())</f>
        <v>-5.598075441769758E-3</v>
      </c>
      <c r="U1319" s="59">
        <f ca="1">Dashboard!D$8* Dashboard!$F$4+Dashboard!D$10*SQRT(Dashboard!$F$4) * _xlfn.NORM.S.INV(RAND())</f>
        <v>6.8340876067959268E-3</v>
      </c>
    </row>
    <row r="1320" spans="18:21" x14ac:dyDescent="0.2">
      <c r="R1320" s="49">
        <v>1318</v>
      </c>
      <c r="S1320" s="59">
        <f ca="1">Dashboard!B$8* Dashboard!$F$4+Dashboard!B$10*SQRT(Dashboard!$F$4) * _xlfn.NORM.S.INV(RAND())</f>
        <v>-5.8656097527874568E-2</v>
      </c>
      <c r="T1320" s="59">
        <f ca="1">Dashboard!C$8* Dashboard!$F$4+Dashboard!C$10*SQRT(Dashboard!$F$4) * _xlfn.NORM.S.INV(RAND())</f>
        <v>1.7283767855810835E-3</v>
      </c>
      <c r="U1320" s="59">
        <f ca="1">Dashboard!D$8* Dashboard!$F$4+Dashboard!D$10*SQRT(Dashboard!$F$4) * _xlfn.NORM.S.INV(RAND())</f>
        <v>-6.3057640871019741E-2</v>
      </c>
    </row>
    <row r="1321" spans="18:21" x14ac:dyDescent="0.2">
      <c r="R1321" s="49">
        <v>1319</v>
      </c>
      <c r="S1321" s="59">
        <f ca="1">Dashboard!B$8* Dashboard!$F$4+Dashboard!B$10*SQRT(Dashboard!$F$4) * _xlfn.NORM.S.INV(RAND())</f>
        <v>-8.2019232133068318E-2</v>
      </c>
      <c r="T1321" s="59">
        <f ca="1">Dashboard!C$8* Dashboard!$F$4+Dashboard!C$10*SQRT(Dashboard!$F$4) * _xlfn.NORM.S.INV(RAND())</f>
        <v>3.8517616553187445E-2</v>
      </c>
      <c r="U1321" s="59">
        <f ca="1">Dashboard!D$8* Dashboard!$F$4+Dashboard!D$10*SQRT(Dashboard!$F$4) * _xlfn.NORM.S.INV(RAND())</f>
        <v>3.412749518962524E-2</v>
      </c>
    </row>
    <row r="1322" spans="18:21" x14ac:dyDescent="0.2">
      <c r="R1322" s="49">
        <v>1320</v>
      </c>
      <c r="S1322" s="59">
        <f ca="1">Dashboard!B$8* Dashboard!$F$4+Dashboard!B$10*SQRT(Dashboard!$F$4) * _xlfn.NORM.S.INV(RAND())</f>
        <v>4.8518194987499749E-2</v>
      </c>
      <c r="T1322" s="59">
        <f ca="1">Dashboard!C$8* Dashboard!$F$4+Dashboard!C$10*SQRT(Dashboard!$F$4) * _xlfn.NORM.S.INV(RAND())</f>
        <v>-3.0361685846355378E-2</v>
      </c>
      <c r="U1322" s="59">
        <f ca="1">Dashboard!D$8* Dashboard!$F$4+Dashboard!D$10*SQRT(Dashboard!$F$4) * _xlfn.NORM.S.INV(RAND())</f>
        <v>-1.775387192117665E-2</v>
      </c>
    </row>
    <row r="1323" spans="18:21" x14ac:dyDescent="0.2">
      <c r="R1323" s="49">
        <v>1321</v>
      </c>
      <c r="S1323" s="59">
        <f ca="1">Dashboard!B$8* Dashboard!$F$4+Dashboard!B$10*SQRT(Dashboard!$F$4) * _xlfn.NORM.S.INV(RAND())</f>
        <v>2.3538840831816586E-2</v>
      </c>
      <c r="T1323" s="59">
        <f ca="1">Dashboard!C$8* Dashboard!$F$4+Dashboard!C$10*SQRT(Dashboard!$F$4) * _xlfn.NORM.S.INV(RAND())</f>
        <v>-1.5410711685335952E-2</v>
      </c>
      <c r="U1323" s="59">
        <f ca="1">Dashboard!D$8* Dashboard!$F$4+Dashboard!D$10*SQRT(Dashboard!$F$4) * _xlfn.NORM.S.INV(RAND())</f>
        <v>-8.4191753179157364E-4</v>
      </c>
    </row>
    <row r="1324" spans="18:21" x14ac:dyDescent="0.2">
      <c r="R1324" s="49">
        <v>1322</v>
      </c>
      <c r="S1324" s="59">
        <f ca="1">Dashboard!B$8* Dashboard!$F$4+Dashboard!B$10*SQRT(Dashboard!$F$4) * _xlfn.NORM.S.INV(RAND())</f>
        <v>-4.1989296180748537E-2</v>
      </c>
      <c r="T1324" s="59">
        <f ca="1">Dashboard!C$8* Dashboard!$F$4+Dashboard!C$10*SQRT(Dashboard!$F$4) * _xlfn.NORM.S.INV(RAND())</f>
        <v>-2.1964621035427548E-3</v>
      </c>
      <c r="U1324" s="59">
        <f ca="1">Dashboard!D$8* Dashboard!$F$4+Dashboard!D$10*SQRT(Dashboard!$F$4) * _xlfn.NORM.S.INV(RAND())</f>
        <v>6.2951989912765263E-3</v>
      </c>
    </row>
    <row r="1325" spans="18:21" x14ac:dyDescent="0.2">
      <c r="R1325" s="49">
        <v>1323</v>
      </c>
      <c r="S1325" s="59">
        <f ca="1">Dashboard!B$8* Dashboard!$F$4+Dashboard!B$10*SQRT(Dashboard!$F$4) * _xlfn.NORM.S.INV(RAND())</f>
        <v>-4.6164543130860596E-2</v>
      </c>
      <c r="T1325" s="59">
        <f ca="1">Dashboard!C$8* Dashboard!$F$4+Dashboard!C$10*SQRT(Dashboard!$F$4) * _xlfn.NORM.S.INV(RAND())</f>
        <v>-1.550227411864176E-3</v>
      </c>
      <c r="U1325" s="59">
        <f ca="1">Dashboard!D$8* Dashboard!$F$4+Dashboard!D$10*SQRT(Dashboard!$F$4) * _xlfn.NORM.S.INV(RAND())</f>
        <v>5.2730221883915643E-2</v>
      </c>
    </row>
    <row r="1326" spans="18:21" x14ac:dyDescent="0.2">
      <c r="R1326" s="49">
        <v>1324</v>
      </c>
      <c r="S1326" s="59">
        <f ca="1">Dashboard!B$8* Dashboard!$F$4+Dashboard!B$10*SQRT(Dashboard!$F$4) * _xlfn.NORM.S.INV(RAND())</f>
        <v>1.4439412612049897E-2</v>
      </c>
      <c r="T1326" s="59">
        <f ca="1">Dashboard!C$8* Dashboard!$F$4+Dashboard!C$10*SQRT(Dashboard!$F$4) * _xlfn.NORM.S.INV(RAND())</f>
        <v>2.8160088335540449E-2</v>
      </c>
      <c r="U1326" s="59">
        <f ca="1">Dashboard!D$8* Dashboard!$F$4+Dashboard!D$10*SQRT(Dashboard!$F$4) * _xlfn.NORM.S.INV(RAND())</f>
        <v>-1.0391490920106886E-2</v>
      </c>
    </row>
    <row r="1327" spans="18:21" x14ac:dyDescent="0.2">
      <c r="R1327" s="49">
        <v>1325</v>
      </c>
      <c r="S1327" s="59">
        <f ca="1">Dashboard!B$8* Dashboard!$F$4+Dashboard!B$10*SQRT(Dashboard!$F$4) * _xlfn.NORM.S.INV(RAND())</f>
        <v>-4.9108059384839739E-2</v>
      </c>
      <c r="T1327" s="59">
        <f ca="1">Dashboard!C$8* Dashboard!$F$4+Dashboard!C$10*SQRT(Dashboard!$F$4) * _xlfn.NORM.S.INV(RAND())</f>
        <v>5.8175851043274586E-2</v>
      </c>
      <c r="U1327" s="59">
        <f ca="1">Dashboard!D$8* Dashboard!$F$4+Dashboard!D$10*SQRT(Dashboard!$F$4) * _xlfn.NORM.S.INV(RAND())</f>
        <v>-3.5740128443006426E-2</v>
      </c>
    </row>
    <row r="1328" spans="18:21" x14ac:dyDescent="0.2">
      <c r="R1328" s="49">
        <v>1326</v>
      </c>
      <c r="S1328" s="59">
        <f ca="1">Dashboard!B$8* Dashboard!$F$4+Dashboard!B$10*SQRT(Dashboard!$F$4) * _xlfn.NORM.S.INV(RAND())</f>
        <v>-2.9181808772539307E-2</v>
      </c>
      <c r="T1328" s="59">
        <f ca="1">Dashboard!C$8* Dashboard!$F$4+Dashboard!C$10*SQRT(Dashboard!$F$4) * _xlfn.NORM.S.INV(RAND())</f>
        <v>-2.713607946977652E-2</v>
      </c>
      <c r="U1328" s="59">
        <f ca="1">Dashboard!D$8* Dashboard!$F$4+Dashboard!D$10*SQRT(Dashboard!$F$4) * _xlfn.NORM.S.INV(RAND())</f>
        <v>-6.652624830094411E-3</v>
      </c>
    </row>
    <row r="1329" spans="18:21" x14ac:dyDescent="0.2">
      <c r="R1329" s="49">
        <v>1327</v>
      </c>
      <c r="S1329" s="59">
        <f ca="1">Dashboard!B$8* Dashboard!$F$4+Dashboard!B$10*SQRT(Dashboard!$F$4) * _xlfn.NORM.S.INV(RAND())</f>
        <v>-3.6005387148258364E-2</v>
      </c>
      <c r="T1329" s="59">
        <f ca="1">Dashboard!C$8* Dashboard!$F$4+Dashboard!C$10*SQRT(Dashboard!$F$4) * _xlfn.NORM.S.INV(RAND())</f>
        <v>2.3078292311843301E-2</v>
      </c>
      <c r="U1329" s="59">
        <f ca="1">Dashboard!D$8* Dashboard!$F$4+Dashboard!D$10*SQRT(Dashboard!$F$4) * _xlfn.NORM.S.INV(RAND())</f>
        <v>2.5366071947961977E-2</v>
      </c>
    </row>
    <row r="1330" spans="18:21" x14ac:dyDescent="0.2">
      <c r="R1330" s="49">
        <v>1328</v>
      </c>
      <c r="S1330" s="59">
        <f ca="1">Dashboard!B$8* Dashboard!$F$4+Dashboard!B$10*SQRT(Dashboard!$F$4) * _xlfn.NORM.S.INV(RAND())</f>
        <v>-3.5386017325117147E-2</v>
      </c>
      <c r="T1330" s="59">
        <f ca="1">Dashboard!C$8* Dashboard!$F$4+Dashboard!C$10*SQRT(Dashboard!$F$4) * _xlfn.NORM.S.INV(RAND())</f>
        <v>-2.6376247296777885E-3</v>
      </c>
      <c r="U1330" s="59">
        <f ca="1">Dashboard!D$8* Dashboard!$F$4+Dashboard!D$10*SQRT(Dashboard!$F$4) * _xlfn.NORM.S.INV(RAND())</f>
        <v>1.562026856924858E-2</v>
      </c>
    </row>
    <row r="1331" spans="18:21" x14ac:dyDescent="0.2">
      <c r="R1331" s="49">
        <v>1329</v>
      </c>
      <c r="S1331" s="59">
        <f ca="1">Dashboard!B$8* Dashboard!$F$4+Dashboard!B$10*SQRT(Dashboard!$F$4) * _xlfn.NORM.S.INV(RAND())</f>
        <v>-2.2872856762992735E-2</v>
      </c>
      <c r="T1331" s="59">
        <f ca="1">Dashboard!C$8* Dashboard!$F$4+Dashboard!C$10*SQRT(Dashboard!$F$4) * _xlfn.NORM.S.INV(RAND())</f>
        <v>-3.8441465528657778E-2</v>
      </c>
      <c r="U1331" s="59">
        <f ca="1">Dashboard!D$8* Dashboard!$F$4+Dashboard!D$10*SQRT(Dashboard!$F$4) * _xlfn.NORM.S.INV(RAND())</f>
        <v>-1.0271623118310378E-2</v>
      </c>
    </row>
    <row r="1332" spans="18:21" x14ac:dyDescent="0.2">
      <c r="R1332" s="49">
        <v>1330</v>
      </c>
      <c r="S1332" s="59">
        <f ca="1">Dashboard!B$8* Dashboard!$F$4+Dashboard!B$10*SQRT(Dashboard!$F$4) * _xlfn.NORM.S.INV(RAND())</f>
        <v>-4.4652928982604992E-2</v>
      </c>
      <c r="T1332" s="59">
        <f ca="1">Dashboard!C$8* Dashboard!$F$4+Dashboard!C$10*SQRT(Dashboard!$F$4) * _xlfn.NORM.S.INV(RAND())</f>
        <v>-3.5048554354847807E-2</v>
      </c>
      <c r="U1332" s="59">
        <f ca="1">Dashboard!D$8* Dashboard!$F$4+Dashboard!D$10*SQRT(Dashboard!$F$4) * _xlfn.NORM.S.INV(RAND())</f>
        <v>2.6536586996114209E-2</v>
      </c>
    </row>
    <row r="1333" spans="18:21" x14ac:dyDescent="0.2">
      <c r="R1333" s="49">
        <v>1331</v>
      </c>
      <c r="S1333" s="59">
        <f ca="1">Dashboard!B$8* Dashboard!$F$4+Dashboard!B$10*SQRT(Dashboard!$F$4) * _xlfn.NORM.S.INV(RAND())</f>
        <v>8.7943485934138688E-3</v>
      </c>
      <c r="T1333" s="59">
        <f ca="1">Dashboard!C$8* Dashboard!$F$4+Dashboard!C$10*SQRT(Dashboard!$F$4) * _xlfn.NORM.S.INV(RAND())</f>
        <v>1.4426788151688463E-2</v>
      </c>
      <c r="U1333" s="59">
        <f ca="1">Dashboard!D$8* Dashboard!$F$4+Dashboard!D$10*SQRT(Dashboard!$F$4) * _xlfn.NORM.S.INV(RAND())</f>
        <v>-2.1423836665272523E-2</v>
      </c>
    </row>
    <row r="1334" spans="18:21" x14ac:dyDescent="0.2">
      <c r="R1334" s="49">
        <v>1332</v>
      </c>
      <c r="S1334" s="59">
        <f ca="1">Dashboard!B$8* Dashboard!$F$4+Dashboard!B$10*SQRT(Dashboard!$F$4) * _xlfn.NORM.S.INV(RAND())</f>
        <v>9.6469237774070155E-3</v>
      </c>
      <c r="T1334" s="59">
        <f ca="1">Dashboard!C$8* Dashboard!$F$4+Dashboard!C$10*SQRT(Dashboard!$F$4) * _xlfn.NORM.S.INV(RAND())</f>
        <v>2.8787982407832858E-3</v>
      </c>
      <c r="U1334" s="59">
        <f ca="1">Dashboard!D$8* Dashboard!$F$4+Dashboard!D$10*SQRT(Dashboard!$F$4) * _xlfn.NORM.S.INV(RAND())</f>
        <v>-3.2983502713589595E-2</v>
      </c>
    </row>
    <row r="1335" spans="18:21" x14ac:dyDescent="0.2">
      <c r="R1335" s="49">
        <v>1333</v>
      </c>
      <c r="S1335" s="59">
        <f ca="1">Dashboard!B$8* Dashboard!$F$4+Dashboard!B$10*SQRT(Dashboard!$F$4) * _xlfn.NORM.S.INV(RAND())</f>
        <v>-2.1038689938318811E-2</v>
      </c>
      <c r="T1335" s="59">
        <f ca="1">Dashboard!C$8* Dashboard!$F$4+Dashboard!C$10*SQRT(Dashboard!$F$4) * _xlfn.NORM.S.INV(RAND())</f>
        <v>1.4399231094554647E-2</v>
      </c>
      <c r="U1335" s="59">
        <f ca="1">Dashboard!D$8* Dashboard!$F$4+Dashboard!D$10*SQRT(Dashboard!$F$4) * _xlfn.NORM.S.INV(RAND())</f>
        <v>3.1619185054644935E-2</v>
      </c>
    </row>
    <row r="1336" spans="18:21" x14ac:dyDescent="0.2">
      <c r="R1336" s="49">
        <v>1334</v>
      </c>
      <c r="S1336" s="59">
        <f ca="1">Dashboard!B$8* Dashboard!$F$4+Dashboard!B$10*SQRT(Dashboard!$F$4) * _xlfn.NORM.S.INV(RAND())</f>
        <v>7.0332098918574282E-2</v>
      </c>
      <c r="T1336" s="59">
        <f ca="1">Dashboard!C$8* Dashboard!$F$4+Dashboard!C$10*SQRT(Dashboard!$F$4) * _xlfn.NORM.S.INV(RAND())</f>
        <v>2.6751040667775214E-2</v>
      </c>
      <c r="U1336" s="59">
        <f ca="1">Dashboard!D$8* Dashboard!$F$4+Dashboard!D$10*SQRT(Dashboard!$F$4) * _xlfn.NORM.S.INV(RAND())</f>
        <v>-2.252171308594306E-2</v>
      </c>
    </row>
    <row r="1337" spans="18:21" x14ac:dyDescent="0.2">
      <c r="R1337" s="49">
        <v>1335</v>
      </c>
      <c r="S1337" s="59">
        <f ca="1">Dashboard!B$8* Dashboard!$F$4+Dashboard!B$10*SQRT(Dashboard!$F$4) * _xlfn.NORM.S.INV(RAND())</f>
        <v>-4.6758336928415814E-2</v>
      </c>
      <c r="T1337" s="59">
        <f ca="1">Dashboard!C$8* Dashboard!$F$4+Dashboard!C$10*SQRT(Dashboard!$F$4) * _xlfn.NORM.S.INV(RAND())</f>
        <v>-4.7758023411750637E-2</v>
      </c>
      <c r="U1337" s="59">
        <f ca="1">Dashboard!D$8* Dashboard!$F$4+Dashboard!D$10*SQRT(Dashboard!$F$4) * _xlfn.NORM.S.INV(RAND())</f>
        <v>-2.3530322384810176E-2</v>
      </c>
    </row>
    <row r="1338" spans="18:21" x14ac:dyDescent="0.2">
      <c r="R1338" s="49">
        <v>1336</v>
      </c>
      <c r="S1338" s="59">
        <f ca="1">Dashboard!B$8* Dashboard!$F$4+Dashboard!B$10*SQRT(Dashboard!$F$4) * _xlfn.NORM.S.INV(RAND())</f>
        <v>-1.0712879554009621E-4</v>
      </c>
      <c r="T1338" s="59">
        <f ca="1">Dashboard!C$8* Dashboard!$F$4+Dashboard!C$10*SQRT(Dashboard!$F$4) * _xlfn.NORM.S.INV(RAND())</f>
        <v>5.495781747909631E-2</v>
      </c>
      <c r="U1338" s="59">
        <f ca="1">Dashboard!D$8* Dashboard!$F$4+Dashboard!D$10*SQRT(Dashboard!$F$4) * _xlfn.NORM.S.INV(RAND())</f>
        <v>-3.4646209047725168E-2</v>
      </c>
    </row>
    <row r="1339" spans="18:21" x14ac:dyDescent="0.2">
      <c r="R1339" s="49">
        <v>1337</v>
      </c>
      <c r="S1339" s="59">
        <f ca="1">Dashboard!B$8* Dashboard!$F$4+Dashboard!B$10*SQRT(Dashboard!$F$4) * _xlfn.NORM.S.INV(RAND())</f>
        <v>-6.9065139016996152E-2</v>
      </c>
      <c r="T1339" s="59">
        <f ca="1">Dashboard!C$8* Dashboard!$F$4+Dashboard!C$10*SQRT(Dashboard!$F$4) * _xlfn.NORM.S.INV(RAND())</f>
        <v>3.5004384396256576E-2</v>
      </c>
      <c r="U1339" s="59">
        <f ca="1">Dashboard!D$8* Dashboard!$F$4+Dashboard!D$10*SQRT(Dashboard!$F$4) * _xlfn.NORM.S.INV(RAND())</f>
        <v>-4.4283723553835197E-2</v>
      </c>
    </row>
    <row r="1340" spans="18:21" x14ac:dyDescent="0.2">
      <c r="R1340" s="49">
        <v>1338</v>
      </c>
      <c r="S1340" s="59">
        <f ca="1">Dashboard!B$8* Dashboard!$F$4+Dashboard!B$10*SQRT(Dashboard!$F$4) * _xlfn.NORM.S.INV(RAND())</f>
        <v>2.6742391672841447E-2</v>
      </c>
      <c r="T1340" s="59">
        <f ca="1">Dashboard!C$8* Dashboard!$F$4+Dashboard!C$10*SQRT(Dashboard!$F$4) * _xlfn.NORM.S.INV(RAND())</f>
        <v>3.0620543289349537E-2</v>
      </c>
      <c r="U1340" s="59">
        <f ca="1">Dashboard!D$8* Dashboard!$F$4+Dashboard!D$10*SQRT(Dashboard!$F$4) * _xlfn.NORM.S.INV(RAND())</f>
        <v>2.294328468442319E-2</v>
      </c>
    </row>
    <row r="1341" spans="18:21" x14ac:dyDescent="0.2">
      <c r="R1341" s="49">
        <v>1339</v>
      </c>
      <c r="S1341" s="59">
        <f ca="1">Dashboard!B$8* Dashboard!$F$4+Dashboard!B$10*SQRT(Dashboard!$F$4) * _xlfn.NORM.S.INV(RAND())</f>
        <v>6.2454029696062813E-3</v>
      </c>
      <c r="T1341" s="59">
        <f ca="1">Dashboard!C$8* Dashboard!$F$4+Dashboard!C$10*SQRT(Dashboard!$F$4) * _xlfn.NORM.S.INV(RAND())</f>
        <v>-2.9699208452824758E-2</v>
      </c>
      <c r="U1341" s="59">
        <f ca="1">Dashboard!D$8* Dashboard!$F$4+Dashboard!D$10*SQRT(Dashboard!$F$4) * _xlfn.NORM.S.INV(RAND())</f>
        <v>-2.7573927845524294E-2</v>
      </c>
    </row>
    <row r="1342" spans="18:21" x14ac:dyDescent="0.2">
      <c r="R1342" s="49">
        <v>1340</v>
      </c>
      <c r="S1342" s="59">
        <f ca="1">Dashboard!B$8* Dashboard!$F$4+Dashboard!B$10*SQRT(Dashboard!$F$4) * _xlfn.NORM.S.INV(RAND())</f>
        <v>5.4435254285151301E-2</v>
      </c>
      <c r="T1342" s="59">
        <f ca="1">Dashboard!C$8* Dashboard!$F$4+Dashboard!C$10*SQRT(Dashboard!$F$4) * _xlfn.NORM.S.INV(RAND())</f>
        <v>-1.195049404006851E-2</v>
      </c>
      <c r="U1342" s="59">
        <f ca="1">Dashboard!D$8* Dashboard!$F$4+Dashboard!D$10*SQRT(Dashboard!$F$4) * _xlfn.NORM.S.INV(RAND())</f>
        <v>3.9601799412716007E-2</v>
      </c>
    </row>
    <row r="1343" spans="18:21" x14ac:dyDescent="0.2">
      <c r="R1343" s="49">
        <v>1341</v>
      </c>
      <c r="S1343" s="59">
        <f ca="1">Dashboard!B$8* Dashboard!$F$4+Dashboard!B$10*SQRT(Dashboard!$F$4) * _xlfn.NORM.S.INV(RAND())</f>
        <v>-8.5349292251537492E-2</v>
      </c>
      <c r="T1343" s="59">
        <f ca="1">Dashboard!C$8* Dashboard!$F$4+Dashboard!C$10*SQRT(Dashboard!$F$4) * _xlfn.NORM.S.INV(RAND())</f>
        <v>-3.7847185370546321E-2</v>
      </c>
      <c r="U1343" s="59">
        <f ca="1">Dashboard!D$8* Dashboard!$F$4+Dashboard!D$10*SQRT(Dashboard!$F$4) * _xlfn.NORM.S.INV(RAND())</f>
        <v>4.9593187155213971E-2</v>
      </c>
    </row>
    <row r="1344" spans="18:21" x14ac:dyDescent="0.2">
      <c r="R1344" s="49">
        <v>1342</v>
      </c>
      <c r="S1344" s="59">
        <f ca="1">Dashboard!B$8* Dashboard!$F$4+Dashboard!B$10*SQRT(Dashboard!$F$4) * _xlfn.NORM.S.INV(RAND())</f>
        <v>4.8418927635379017E-3</v>
      </c>
      <c r="T1344" s="59">
        <f ca="1">Dashboard!C$8* Dashboard!$F$4+Dashboard!C$10*SQRT(Dashboard!$F$4) * _xlfn.NORM.S.INV(RAND())</f>
        <v>1.1393315173080058E-2</v>
      </c>
      <c r="U1344" s="59">
        <f ca="1">Dashboard!D$8* Dashboard!$F$4+Dashboard!D$10*SQRT(Dashboard!$F$4) * _xlfn.NORM.S.INV(RAND())</f>
        <v>1.5465352600155635E-2</v>
      </c>
    </row>
    <row r="1345" spans="18:21" x14ac:dyDescent="0.2">
      <c r="R1345" s="49">
        <v>1343</v>
      </c>
      <c r="S1345" s="59">
        <f ca="1">Dashboard!B$8* Dashboard!$F$4+Dashboard!B$10*SQRT(Dashboard!$F$4) * _xlfn.NORM.S.INV(RAND())</f>
        <v>1.9628160884727804E-2</v>
      </c>
      <c r="T1345" s="59">
        <f ca="1">Dashboard!C$8* Dashboard!$F$4+Dashboard!C$10*SQRT(Dashboard!$F$4) * _xlfn.NORM.S.INV(RAND())</f>
        <v>-5.7206990511234901E-2</v>
      </c>
      <c r="U1345" s="59">
        <f ca="1">Dashboard!D$8* Dashboard!$F$4+Dashboard!D$10*SQRT(Dashboard!$F$4) * _xlfn.NORM.S.INV(RAND())</f>
        <v>4.988761897908614E-2</v>
      </c>
    </row>
    <row r="1346" spans="18:21" x14ac:dyDescent="0.2">
      <c r="R1346" s="49">
        <v>1344</v>
      </c>
      <c r="S1346" s="59">
        <f ca="1">Dashboard!B$8* Dashboard!$F$4+Dashboard!B$10*SQRT(Dashboard!$F$4) * _xlfn.NORM.S.INV(RAND())</f>
        <v>-4.238316621847573E-2</v>
      </c>
      <c r="T1346" s="59">
        <f ca="1">Dashboard!C$8* Dashboard!$F$4+Dashboard!C$10*SQRT(Dashboard!$F$4) * _xlfn.NORM.S.INV(RAND())</f>
        <v>-3.8929625228366897E-2</v>
      </c>
      <c r="U1346" s="59">
        <f ca="1">Dashboard!D$8* Dashboard!$F$4+Dashboard!D$10*SQRT(Dashboard!$F$4) * _xlfn.NORM.S.INV(RAND())</f>
        <v>4.0422187538216137E-2</v>
      </c>
    </row>
    <row r="1347" spans="18:21" x14ac:dyDescent="0.2">
      <c r="R1347" s="49">
        <v>1345</v>
      </c>
      <c r="S1347" s="59">
        <f ca="1">Dashboard!B$8* Dashboard!$F$4+Dashboard!B$10*SQRT(Dashboard!$F$4) * _xlfn.NORM.S.INV(RAND())</f>
        <v>-7.7065916972475466E-3</v>
      </c>
      <c r="T1347" s="59">
        <f ca="1">Dashboard!C$8* Dashboard!$F$4+Dashboard!C$10*SQRT(Dashboard!$F$4) * _xlfn.NORM.S.INV(RAND())</f>
        <v>4.0892377284286525E-2</v>
      </c>
      <c r="U1347" s="59">
        <f ca="1">Dashboard!D$8* Dashboard!$F$4+Dashboard!D$10*SQRT(Dashboard!$F$4) * _xlfn.NORM.S.INV(RAND())</f>
        <v>-3.6507849815738888E-2</v>
      </c>
    </row>
    <row r="1348" spans="18:21" x14ac:dyDescent="0.2">
      <c r="R1348" s="49">
        <v>1346</v>
      </c>
      <c r="S1348" s="59">
        <f ca="1">Dashboard!B$8* Dashboard!$F$4+Dashboard!B$10*SQRT(Dashboard!$F$4) * _xlfn.NORM.S.INV(RAND())</f>
        <v>-1.7219452122716881E-2</v>
      </c>
      <c r="T1348" s="59">
        <f ca="1">Dashboard!C$8* Dashboard!$F$4+Dashboard!C$10*SQRT(Dashboard!$F$4) * _xlfn.NORM.S.INV(RAND())</f>
        <v>4.9320150381895425E-2</v>
      </c>
      <c r="U1348" s="59">
        <f ca="1">Dashboard!D$8* Dashboard!$F$4+Dashboard!D$10*SQRT(Dashboard!$F$4) * _xlfn.NORM.S.INV(RAND())</f>
        <v>-5.60849008308263E-3</v>
      </c>
    </row>
    <row r="1349" spans="18:21" x14ac:dyDescent="0.2">
      <c r="R1349" s="49">
        <v>1347</v>
      </c>
      <c r="S1349" s="59">
        <f ca="1">Dashboard!B$8* Dashboard!$F$4+Dashboard!B$10*SQRT(Dashboard!$F$4) * _xlfn.NORM.S.INV(RAND())</f>
        <v>5.2740272248843263E-2</v>
      </c>
      <c r="T1349" s="59">
        <f ca="1">Dashboard!C$8* Dashboard!$F$4+Dashboard!C$10*SQRT(Dashboard!$F$4) * _xlfn.NORM.S.INV(RAND())</f>
        <v>-3.869219072887032E-2</v>
      </c>
      <c r="U1349" s="59">
        <f ca="1">Dashboard!D$8* Dashboard!$F$4+Dashboard!D$10*SQRT(Dashboard!$F$4) * _xlfn.NORM.S.INV(RAND())</f>
        <v>-1.9401279219871299E-2</v>
      </c>
    </row>
    <row r="1350" spans="18:21" x14ac:dyDescent="0.2">
      <c r="R1350" s="49">
        <v>1348</v>
      </c>
      <c r="S1350" s="59">
        <f ca="1">Dashboard!B$8* Dashboard!$F$4+Dashboard!B$10*SQRT(Dashboard!$F$4) * _xlfn.NORM.S.INV(RAND())</f>
        <v>9.5330238782550689E-2</v>
      </c>
      <c r="T1350" s="59">
        <f ca="1">Dashboard!C$8* Dashboard!$F$4+Dashboard!C$10*SQRT(Dashboard!$F$4) * _xlfn.NORM.S.INV(RAND())</f>
        <v>-2.4733077247859194E-2</v>
      </c>
      <c r="U1350" s="59">
        <f ca="1">Dashboard!D$8* Dashboard!$F$4+Dashboard!D$10*SQRT(Dashboard!$F$4) * _xlfn.NORM.S.INV(RAND())</f>
        <v>1.0543156408110964E-3</v>
      </c>
    </row>
    <row r="1351" spans="18:21" x14ac:dyDescent="0.2">
      <c r="R1351" s="49">
        <v>1349</v>
      </c>
      <c r="S1351" s="59">
        <f ca="1">Dashboard!B$8* Dashboard!$F$4+Dashboard!B$10*SQRT(Dashboard!$F$4) * _xlfn.NORM.S.INV(RAND())</f>
        <v>-1.3309689863061597E-2</v>
      </c>
      <c r="T1351" s="59">
        <f ca="1">Dashboard!C$8* Dashboard!$F$4+Dashboard!C$10*SQRT(Dashboard!$F$4) * _xlfn.NORM.S.INV(RAND())</f>
        <v>-1.5961419317355296E-2</v>
      </c>
      <c r="U1351" s="59">
        <f ca="1">Dashboard!D$8* Dashboard!$F$4+Dashboard!D$10*SQRT(Dashboard!$F$4) * _xlfn.NORM.S.INV(RAND())</f>
        <v>-4.2468664778264935E-2</v>
      </c>
    </row>
    <row r="1352" spans="18:21" x14ac:dyDescent="0.2">
      <c r="R1352" s="49">
        <v>1350</v>
      </c>
      <c r="S1352" s="59">
        <f ca="1">Dashboard!B$8* Dashboard!$F$4+Dashboard!B$10*SQRT(Dashboard!$F$4) * _xlfn.NORM.S.INV(RAND())</f>
        <v>3.6764735584358096E-2</v>
      </c>
      <c r="T1352" s="59">
        <f ca="1">Dashboard!C$8* Dashboard!$F$4+Dashboard!C$10*SQRT(Dashboard!$F$4) * _xlfn.NORM.S.INV(RAND())</f>
        <v>-6.128820398360342E-2</v>
      </c>
      <c r="U1352" s="59">
        <f ca="1">Dashboard!D$8* Dashboard!$F$4+Dashboard!D$10*SQRT(Dashboard!$F$4) * _xlfn.NORM.S.INV(RAND())</f>
        <v>-1.8345288156812189E-2</v>
      </c>
    </row>
    <row r="1353" spans="18:21" x14ac:dyDescent="0.2">
      <c r="R1353" s="49">
        <v>1351</v>
      </c>
      <c r="S1353" s="59">
        <f ca="1">Dashboard!B$8* Dashboard!$F$4+Dashboard!B$10*SQRT(Dashboard!$F$4) * _xlfn.NORM.S.INV(RAND())</f>
        <v>-1.2182557703105452E-2</v>
      </c>
      <c r="T1353" s="59">
        <f ca="1">Dashboard!C$8* Dashboard!$F$4+Dashboard!C$10*SQRT(Dashboard!$F$4) * _xlfn.NORM.S.INV(RAND())</f>
        <v>-2.6202926192695642E-2</v>
      </c>
      <c r="U1353" s="59">
        <f ca="1">Dashboard!D$8* Dashboard!$F$4+Dashboard!D$10*SQRT(Dashboard!$F$4) * _xlfn.NORM.S.INV(RAND())</f>
        <v>7.0837666919946612E-2</v>
      </c>
    </row>
    <row r="1354" spans="18:21" x14ac:dyDescent="0.2">
      <c r="R1354" s="49">
        <v>1352</v>
      </c>
      <c r="S1354" s="59">
        <f ca="1">Dashboard!B$8* Dashboard!$F$4+Dashboard!B$10*SQRT(Dashboard!$F$4) * _xlfn.NORM.S.INV(RAND())</f>
        <v>-4.9279395567093529E-2</v>
      </c>
      <c r="T1354" s="59">
        <f ca="1">Dashboard!C$8* Dashboard!$F$4+Dashboard!C$10*SQRT(Dashboard!$F$4) * _xlfn.NORM.S.INV(RAND())</f>
        <v>4.8207211880489813E-2</v>
      </c>
      <c r="U1354" s="59">
        <f ca="1">Dashboard!D$8* Dashboard!$F$4+Dashboard!D$10*SQRT(Dashboard!$F$4) * _xlfn.NORM.S.INV(RAND())</f>
        <v>-1.9528897141000149E-2</v>
      </c>
    </row>
    <row r="1355" spans="18:21" x14ac:dyDescent="0.2">
      <c r="R1355" s="49">
        <v>1353</v>
      </c>
      <c r="S1355" s="59">
        <f ca="1">Dashboard!B$8* Dashboard!$F$4+Dashboard!B$10*SQRT(Dashboard!$F$4) * _xlfn.NORM.S.INV(RAND())</f>
        <v>-8.2172303365809912E-2</v>
      </c>
      <c r="T1355" s="59">
        <f ca="1">Dashboard!C$8* Dashboard!$F$4+Dashboard!C$10*SQRT(Dashboard!$F$4) * _xlfn.NORM.S.INV(RAND())</f>
        <v>1.26174149175714E-3</v>
      </c>
      <c r="U1355" s="59">
        <f ca="1">Dashboard!D$8* Dashboard!$F$4+Dashboard!D$10*SQRT(Dashboard!$F$4) * _xlfn.NORM.S.INV(RAND())</f>
        <v>-5.9565366420621997E-2</v>
      </c>
    </row>
    <row r="1356" spans="18:21" x14ac:dyDescent="0.2">
      <c r="R1356" s="49">
        <v>1354</v>
      </c>
      <c r="S1356" s="59">
        <f ca="1">Dashboard!B$8* Dashboard!$F$4+Dashboard!B$10*SQRT(Dashboard!$F$4) * _xlfn.NORM.S.INV(RAND())</f>
        <v>-4.0606104680813791E-2</v>
      </c>
      <c r="T1356" s="59">
        <f ca="1">Dashboard!C$8* Dashboard!$F$4+Dashboard!C$10*SQRT(Dashboard!$F$4) * _xlfn.NORM.S.INV(RAND())</f>
        <v>1.5725480878914327E-2</v>
      </c>
      <c r="U1356" s="59">
        <f ca="1">Dashboard!D$8* Dashboard!$F$4+Dashboard!D$10*SQRT(Dashboard!$F$4) * _xlfn.NORM.S.INV(RAND())</f>
        <v>4.281009176757853E-2</v>
      </c>
    </row>
    <row r="1357" spans="18:21" x14ac:dyDescent="0.2">
      <c r="R1357" s="49">
        <v>1355</v>
      </c>
      <c r="S1357" s="59">
        <f ca="1">Dashboard!B$8* Dashboard!$F$4+Dashboard!B$10*SQRT(Dashboard!$F$4) * _xlfn.NORM.S.INV(RAND())</f>
        <v>1.8343630930812885E-2</v>
      </c>
      <c r="T1357" s="59">
        <f ca="1">Dashboard!C$8* Dashboard!$F$4+Dashboard!C$10*SQRT(Dashboard!$F$4) * _xlfn.NORM.S.INV(RAND())</f>
        <v>3.4034505433812229E-2</v>
      </c>
      <c r="U1357" s="59">
        <f ca="1">Dashboard!D$8* Dashboard!$F$4+Dashboard!D$10*SQRT(Dashboard!$F$4) * _xlfn.NORM.S.INV(RAND())</f>
        <v>-2.2597240001265496E-2</v>
      </c>
    </row>
    <row r="1358" spans="18:21" x14ac:dyDescent="0.2">
      <c r="R1358" s="49">
        <v>1356</v>
      </c>
      <c r="S1358" s="59">
        <f ca="1">Dashboard!B$8* Dashboard!$F$4+Dashboard!B$10*SQRT(Dashboard!$F$4) * _xlfn.NORM.S.INV(RAND())</f>
        <v>3.4367285350616394E-2</v>
      </c>
      <c r="T1358" s="59">
        <f ca="1">Dashboard!C$8* Dashboard!$F$4+Dashboard!C$10*SQRT(Dashboard!$F$4) * _xlfn.NORM.S.INV(RAND())</f>
        <v>1.4998594423782798E-2</v>
      </c>
      <c r="U1358" s="59">
        <f ca="1">Dashboard!D$8* Dashboard!$F$4+Dashboard!D$10*SQRT(Dashboard!$F$4) * _xlfn.NORM.S.INV(RAND())</f>
        <v>1.3233600429372818E-2</v>
      </c>
    </row>
    <row r="1359" spans="18:21" x14ac:dyDescent="0.2">
      <c r="R1359" s="49">
        <v>1357</v>
      </c>
      <c r="S1359" s="59">
        <f ca="1">Dashboard!B$8* Dashboard!$F$4+Dashboard!B$10*SQRT(Dashboard!$F$4) * _xlfn.NORM.S.INV(RAND())</f>
        <v>-1.7327044590644262E-2</v>
      </c>
      <c r="T1359" s="59">
        <f ca="1">Dashboard!C$8* Dashboard!$F$4+Dashboard!C$10*SQRT(Dashboard!$F$4) * _xlfn.NORM.S.INV(RAND())</f>
        <v>-2.2397280927598545E-2</v>
      </c>
      <c r="U1359" s="59">
        <f ca="1">Dashboard!D$8* Dashboard!$F$4+Dashboard!D$10*SQRT(Dashboard!$F$4) * _xlfn.NORM.S.INV(RAND())</f>
        <v>-1.0378044580522985E-2</v>
      </c>
    </row>
    <row r="1360" spans="18:21" x14ac:dyDescent="0.2">
      <c r="R1360" s="49">
        <v>1358</v>
      </c>
      <c r="S1360" s="59">
        <f ca="1">Dashboard!B$8* Dashboard!$F$4+Dashboard!B$10*SQRT(Dashboard!$F$4) * _xlfn.NORM.S.INV(RAND())</f>
        <v>3.106254911576517E-2</v>
      </c>
      <c r="T1360" s="59">
        <f ca="1">Dashboard!C$8* Dashboard!$F$4+Dashboard!C$10*SQRT(Dashboard!$F$4) * _xlfn.NORM.S.INV(RAND())</f>
        <v>-1.3310783390349145E-2</v>
      </c>
      <c r="U1360" s="59">
        <f ca="1">Dashboard!D$8* Dashboard!$F$4+Dashboard!D$10*SQRT(Dashboard!$F$4) * _xlfn.NORM.S.INV(RAND())</f>
        <v>-2.493789804528506E-2</v>
      </c>
    </row>
    <row r="1361" spans="18:21" x14ac:dyDescent="0.2">
      <c r="R1361" s="49">
        <v>1359</v>
      </c>
      <c r="S1361" s="59">
        <f ca="1">Dashboard!B$8* Dashboard!$F$4+Dashboard!B$10*SQRT(Dashboard!$F$4) * _xlfn.NORM.S.INV(RAND())</f>
        <v>-3.4220770036924038E-2</v>
      </c>
      <c r="T1361" s="59">
        <f ca="1">Dashboard!C$8* Dashboard!$F$4+Dashboard!C$10*SQRT(Dashboard!$F$4) * _xlfn.NORM.S.INV(RAND())</f>
        <v>-2.6786153024851034E-4</v>
      </c>
      <c r="U1361" s="59">
        <f ca="1">Dashboard!D$8* Dashboard!$F$4+Dashboard!D$10*SQRT(Dashboard!$F$4) * _xlfn.NORM.S.INV(RAND())</f>
        <v>-2.4057878093664241E-2</v>
      </c>
    </row>
    <row r="1362" spans="18:21" x14ac:dyDescent="0.2">
      <c r="R1362" s="49">
        <v>1360</v>
      </c>
      <c r="S1362" s="59">
        <f ca="1">Dashboard!B$8* Dashboard!$F$4+Dashboard!B$10*SQRT(Dashboard!$F$4) * _xlfn.NORM.S.INV(RAND())</f>
        <v>-1.2945094229223917E-3</v>
      </c>
      <c r="T1362" s="59">
        <f ca="1">Dashboard!C$8* Dashboard!$F$4+Dashboard!C$10*SQRT(Dashboard!$F$4) * _xlfn.NORM.S.INV(RAND())</f>
        <v>4.850956825621703E-2</v>
      </c>
      <c r="U1362" s="59">
        <f ca="1">Dashboard!D$8* Dashboard!$F$4+Dashboard!D$10*SQRT(Dashboard!$F$4) * _xlfn.NORM.S.INV(RAND())</f>
        <v>4.7600462950621689E-2</v>
      </c>
    </row>
    <row r="1363" spans="18:21" x14ac:dyDescent="0.2">
      <c r="R1363" s="49">
        <v>1361</v>
      </c>
      <c r="S1363" s="59">
        <f ca="1">Dashboard!B$8* Dashboard!$F$4+Dashboard!B$10*SQRT(Dashboard!$F$4) * _xlfn.NORM.S.INV(RAND())</f>
        <v>1.3342686311703674E-2</v>
      </c>
      <c r="T1363" s="59">
        <f ca="1">Dashboard!C$8* Dashboard!$F$4+Dashboard!C$10*SQRT(Dashboard!$F$4) * _xlfn.NORM.S.INV(RAND())</f>
        <v>-2.4655339180889118E-2</v>
      </c>
      <c r="U1363" s="59">
        <f ca="1">Dashboard!D$8* Dashboard!$F$4+Dashboard!D$10*SQRT(Dashboard!$F$4) * _xlfn.NORM.S.INV(RAND())</f>
        <v>-2.0431673914258128E-2</v>
      </c>
    </row>
    <row r="1364" spans="18:21" x14ac:dyDescent="0.2">
      <c r="R1364" s="49">
        <v>1362</v>
      </c>
      <c r="S1364" s="59">
        <f ca="1">Dashboard!B$8* Dashboard!$F$4+Dashboard!B$10*SQRT(Dashboard!$F$4) * _xlfn.NORM.S.INV(RAND())</f>
        <v>4.433220882013025E-3</v>
      </c>
      <c r="T1364" s="59">
        <f ca="1">Dashboard!C$8* Dashboard!$F$4+Dashboard!C$10*SQRT(Dashboard!$F$4) * _xlfn.NORM.S.INV(RAND())</f>
        <v>-4.464967611143675E-3</v>
      </c>
      <c r="U1364" s="59">
        <f ca="1">Dashboard!D$8* Dashboard!$F$4+Dashboard!D$10*SQRT(Dashboard!$F$4) * _xlfn.NORM.S.INV(RAND())</f>
        <v>-2.6108725483589428E-2</v>
      </c>
    </row>
    <row r="1365" spans="18:21" x14ac:dyDescent="0.2">
      <c r="R1365" s="49">
        <v>1363</v>
      </c>
      <c r="S1365" s="59">
        <f ca="1">Dashboard!B$8* Dashboard!$F$4+Dashboard!B$10*SQRT(Dashboard!$F$4) * _xlfn.NORM.S.INV(RAND())</f>
        <v>1.8441177912165839E-2</v>
      </c>
      <c r="T1365" s="59">
        <f ca="1">Dashboard!C$8* Dashboard!$F$4+Dashboard!C$10*SQRT(Dashboard!$F$4) * _xlfn.NORM.S.INV(RAND())</f>
        <v>4.1188287319150006E-3</v>
      </c>
      <c r="U1365" s="59">
        <f ca="1">Dashboard!D$8* Dashboard!$F$4+Dashboard!D$10*SQRT(Dashboard!$F$4) * _xlfn.NORM.S.INV(RAND())</f>
        <v>5.9804567205820433E-2</v>
      </c>
    </row>
    <row r="1366" spans="18:21" x14ac:dyDescent="0.2">
      <c r="R1366" s="49">
        <v>1364</v>
      </c>
      <c r="S1366" s="59">
        <f ca="1">Dashboard!B$8* Dashboard!$F$4+Dashboard!B$10*SQRT(Dashboard!$F$4) * _xlfn.NORM.S.INV(RAND())</f>
        <v>-1.4016152986923314E-2</v>
      </c>
      <c r="T1366" s="59">
        <f ca="1">Dashboard!C$8* Dashboard!$F$4+Dashboard!C$10*SQRT(Dashboard!$F$4) * _xlfn.NORM.S.INV(RAND())</f>
        <v>7.328850457486066E-3</v>
      </c>
      <c r="U1366" s="59">
        <f ca="1">Dashboard!D$8* Dashboard!$F$4+Dashboard!D$10*SQRT(Dashboard!$F$4) * _xlfn.NORM.S.INV(RAND())</f>
        <v>4.7506458372273269E-2</v>
      </c>
    </row>
    <row r="1367" spans="18:21" x14ac:dyDescent="0.2">
      <c r="R1367" s="49">
        <v>1365</v>
      </c>
      <c r="S1367" s="59">
        <f ca="1">Dashboard!B$8* Dashboard!$F$4+Dashboard!B$10*SQRT(Dashboard!$F$4) * _xlfn.NORM.S.INV(RAND())</f>
        <v>-5.5890802101379158E-2</v>
      </c>
      <c r="T1367" s="59">
        <f ca="1">Dashboard!C$8* Dashboard!$F$4+Dashboard!C$10*SQRT(Dashboard!$F$4) * _xlfn.NORM.S.INV(RAND())</f>
        <v>1.9564355910164529E-2</v>
      </c>
      <c r="U1367" s="59">
        <f ca="1">Dashboard!D$8* Dashboard!$F$4+Dashboard!D$10*SQRT(Dashboard!$F$4) * _xlfn.NORM.S.INV(RAND())</f>
        <v>4.2017813542646459E-4</v>
      </c>
    </row>
    <row r="1368" spans="18:21" x14ac:dyDescent="0.2">
      <c r="R1368" s="49">
        <v>1366</v>
      </c>
      <c r="S1368" s="59">
        <f ca="1">Dashboard!B$8* Dashboard!$F$4+Dashboard!B$10*SQRT(Dashboard!$F$4) * _xlfn.NORM.S.INV(RAND())</f>
        <v>2.1709679323525008E-2</v>
      </c>
      <c r="T1368" s="59">
        <f ca="1">Dashboard!C$8* Dashboard!$F$4+Dashboard!C$10*SQRT(Dashboard!$F$4) * _xlfn.NORM.S.INV(RAND())</f>
        <v>-3.001575918048077E-3</v>
      </c>
      <c r="U1368" s="59">
        <f ca="1">Dashboard!D$8* Dashboard!$F$4+Dashboard!D$10*SQRT(Dashboard!$F$4) * _xlfn.NORM.S.INV(RAND())</f>
        <v>-2.6555366587302291E-2</v>
      </c>
    </row>
    <row r="1369" spans="18:21" x14ac:dyDescent="0.2">
      <c r="R1369" s="49">
        <v>1367</v>
      </c>
      <c r="S1369" s="59">
        <f ca="1">Dashboard!B$8* Dashboard!$F$4+Dashboard!B$10*SQRT(Dashboard!$F$4) * _xlfn.NORM.S.INV(RAND())</f>
        <v>-3.6928640448142327E-3</v>
      </c>
      <c r="T1369" s="59">
        <f ca="1">Dashboard!C$8* Dashboard!$F$4+Dashboard!C$10*SQRT(Dashboard!$F$4) * _xlfn.NORM.S.INV(RAND())</f>
        <v>3.8652117753707659E-2</v>
      </c>
      <c r="U1369" s="59">
        <f ca="1">Dashboard!D$8* Dashboard!$F$4+Dashboard!D$10*SQRT(Dashboard!$F$4) * _xlfn.NORM.S.INV(RAND())</f>
        <v>2.0140879079633758E-2</v>
      </c>
    </row>
    <row r="1370" spans="18:21" x14ac:dyDescent="0.2">
      <c r="R1370" s="49">
        <v>1368</v>
      </c>
      <c r="S1370" s="59">
        <f ca="1">Dashboard!B$8* Dashboard!$F$4+Dashboard!B$10*SQRT(Dashboard!$F$4) * _xlfn.NORM.S.INV(RAND())</f>
        <v>-5.0941764649313208E-2</v>
      </c>
      <c r="T1370" s="59">
        <f ca="1">Dashboard!C$8* Dashboard!$F$4+Dashboard!C$10*SQRT(Dashboard!$F$4) * _xlfn.NORM.S.INV(RAND())</f>
        <v>5.4059446407036887E-2</v>
      </c>
      <c r="U1370" s="59">
        <f ca="1">Dashboard!D$8* Dashboard!$F$4+Dashboard!D$10*SQRT(Dashboard!$F$4) * _xlfn.NORM.S.INV(RAND())</f>
        <v>6.0269441446126157E-2</v>
      </c>
    </row>
    <row r="1371" spans="18:21" x14ac:dyDescent="0.2">
      <c r="R1371" s="49">
        <v>1369</v>
      </c>
      <c r="S1371" s="59">
        <f ca="1">Dashboard!B$8* Dashboard!$F$4+Dashboard!B$10*SQRT(Dashboard!$F$4) * _xlfn.NORM.S.INV(RAND())</f>
        <v>-1.6047534384913135E-2</v>
      </c>
      <c r="T1371" s="59">
        <f ca="1">Dashboard!C$8* Dashboard!$F$4+Dashboard!C$10*SQRT(Dashboard!$F$4) * _xlfn.NORM.S.INV(RAND())</f>
        <v>2.4149888103863197E-2</v>
      </c>
      <c r="U1371" s="59">
        <f ca="1">Dashboard!D$8* Dashboard!$F$4+Dashboard!D$10*SQRT(Dashboard!$F$4) * _xlfn.NORM.S.INV(RAND())</f>
        <v>1.5113883379691403E-2</v>
      </c>
    </row>
    <row r="1372" spans="18:21" x14ac:dyDescent="0.2">
      <c r="R1372" s="49">
        <v>1370</v>
      </c>
      <c r="S1372" s="59">
        <f ca="1">Dashboard!B$8* Dashboard!$F$4+Dashboard!B$10*SQRT(Dashboard!$F$4) * _xlfn.NORM.S.INV(RAND())</f>
        <v>-7.9953630024300754E-3</v>
      </c>
      <c r="T1372" s="59">
        <f ca="1">Dashboard!C$8* Dashboard!$F$4+Dashboard!C$10*SQRT(Dashboard!$F$4) * _xlfn.NORM.S.INV(RAND())</f>
        <v>4.281908739239647E-3</v>
      </c>
      <c r="U1372" s="59">
        <f ca="1">Dashboard!D$8* Dashboard!$F$4+Dashboard!D$10*SQRT(Dashboard!$F$4) * _xlfn.NORM.S.INV(RAND())</f>
        <v>6.3098401315285754E-2</v>
      </c>
    </row>
    <row r="1373" spans="18:21" x14ac:dyDescent="0.2">
      <c r="R1373" s="49">
        <v>1371</v>
      </c>
      <c r="S1373" s="59">
        <f ca="1">Dashboard!B$8* Dashboard!$F$4+Dashboard!B$10*SQRT(Dashboard!$F$4) * _xlfn.NORM.S.INV(RAND())</f>
        <v>2.2158036697308592E-2</v>
      </c>
      <c r="T1373" s="59">
        <f ca="1">Dashboard!C$8* Dashboard!$F$4+Dashboard!C$10*SQRT(Dashboard!$F$4) * _xlfn.NORM.S.INV(RAND())</f>
        <v>2.7534906201440081E-2</v>
      </c>
      <c r="U1373" s="59">
        <f ca="1">Dashboard!D$8* Dashboard!$F$4+Dashboard!D$10*SQRT(Dashboard!$F$4) * _xlfn.NORM.S.INV(RAND())</f>
        <v>-6.9379624209251096E-3</v>
      </c>
    </row>
    <row r="1374" spans="18:21" x14ac:dyDescent="0.2">
      <c r="R1374" s="49">
        <v>1372</v>
      </c>
      <c r="S1374" s="59">
        <f ca="1">Dashboard!B$8* Dashboard!$F$4+Dashboard!B$10*SQRT(Dashboard!$F$4) * _xlfn.NORM.S.INV(RAND())</f>
        <v>4.9752772747272314E-2</v>
      </c>
      <c r="T1374" s="59">
        <f ca="1">Dashboard!C$8* Dashboard!$F$4+Dashboard!C$10*SQRT(Dashboard!$F$4) * _xlfn.NORM.S.INV(RAND())</f>
        <v>3.218577276145667E-2</v>
      </c>
      <c r="U1374" s="59">
        <f ca="1">Dashboard!D$8* Dashboard!$F$4+Dashboard!D$10*SQRT(Dashboard!$F$4) * _xlfn.NORM.S.INV(RAND())</f>
        <v>7.1736082091461137E-2</v>
      </c>
    </row>
    <row r="1375" spans="18:21" x14ac:dyDescent="0.2">
      <c r="R1375" s="49">
        <v>1373</v>
      </c>
      <c r="S1375" s="59">
        <f ca="1">Dashboard!B$8* Dashboard!$F$4+Dashboard!B$10*SQRT(Dashboard!$F$4) * _xlfn.NORM.S.INV(RAND())</f>
        <v>-1.9729539598269466E-3</v>
      </c>
      <c r="T1375" s="59">
        <f ca="1">Dashboard!C$8* Dashboard!$F$4+Dashboard!C$10*SQRT(Dashboard!$F$4) * _xlfn.NORM.S.INV(RAND())</f>
        <v>1.9361180955991653E-2</v>
      </c>
      <c r="U1375" s="59">
        <f ca="1">Dashboard!D$8* Dashboard!$F$4+Dashboard!D$10*SQRT(Dashboard!$F$4) * _xlfn.NORM.S.INV(RAND())</f>
        <v>2.8513622543797069E-2</v>
      </c>
    </row>
    <row r="1376" spans="18:21" x14ac:dyDescent="0.2">
      <c r="R1376" s="49">
        <v>1374</v>
      </c>
      <c r="S1376" s="59">
        <f ca="1">Dashboard!B$8* Dashboard!$F$4+Dashboard!B$10*SQRT(Dashboard!$F$4) * _xlfn.NORM.S.INV(RAND())</f>
        <v>-2.1327276292824266E-3</v>
      </c>
      <c r="T1376" s="59">
        <f ca="1">Dashboard!C$8* Dashboard!$F$4+Dashboard!C$10*SQRT(Dashboard!$F$4) * _xlfn.NORM.S.INV(RAND())</f>
        <v>4.0273351763194125E-2</v>
      </c>
      <c r="U1376" s="59">
        <f ca="1">Dashboard!D$8* Dashboard!$F$4+Dashboard!D$10*SQRT(Dashboard!$F$4) * _xlfn.NORM.S.INV(RAND())</f>
        <v>4.1573565670568857E-2</v>
      </c>
    </row>
    <row r="1377" spans="18:21" x14ac:dyDescent="0.2">
      <c r="R1377" s="49">
        <v>1375</v>
      </c>
      <c r="S1377" s="59">
        <f ca="1">Dashboard!B$8* Dashboard!$F$4+Dashboard!B$10*SQRT(Dashboard!$F$4) * _xlfn.NORM.S.INV(RAND())</f>
        <v>-1.9457760541612079E-2</v>
      </c>
      <c r="T1377" s="59">
        <f ca="1">Dashboard!C$8* Dashboard!$F$4+Dashboard!C$10*SQRT(Dashboard!$F$4) * _xlfn.NORM.S.INV(RAND())</f>
        <v>3.2437170599824927E-2</v>
      </c>
      <c r="U1377" s="59">
        <f ca="1">Dashboard!D$8* Dashboard!$F$4+Dashboard!D$10*SQRT(Dashboard!$F$4) * _xlfn.NORM.S.INV(RAND())</f>
        <v>1.9534837438698532E-2</v>
      </c>
    </row>
    <row r="1378" spans="18:21" x14ac:dyDescent="0.2">
      <c r="R1378" s="49">
        <v>1376</v>
      </c>
      <c r="S1378" s="59">
        <f ca="1">Dashboard!B$8* Dashboard!$F$4+Dashboard!B$10*SQRT(Dashboard!$F$4) * _xlfn.NORM.S.INV(RAND())</f>
        <v>-8.0607450457218746E-2</v>
      </c>
      <c r="T1378" s="59">
        <f ca="1">Dashboard!C$8* Dashboard!$F$4+Dashboard!C$10*SQRT(Dashboard!$F$4) * _xlfn.NORM.S.INV(RAND())</f>
        <v>-3.4363770368199082E-3</v>
      </c>
      <c r="U1378" s="59">
        <f ca="1">Dashboard!D$8* Dashboard!$F$4+Dashboard!D$10*SQRT(Dashboard!$F$4) * _xlfn.NORM.S.INV(RAND())</f>
        <v>2.4518207220369521E-2</v>
      </c>
    </row>
    <row r="1379" spans="18:21" x14ac:dyDescent="0.2">
      <c r="R1379" s="49">
        <v>1377</v>
      </c>
      <c r="S1379" s="59">
        <f ca="1">Dashboard!B$8* Dashboard!$F$4+Dashboard!B$10*SQRT(Dashboard!$F$4) * _xlfn.NORM.S.INV(RAND())</f>
        <v>-5.7391757839893205E-3</v>
      </c>
      <c r="T1379" s="59">
        <f ca="1">Dashboard!C$8* Dashboard!$F$4+Dashboard!C$10*SQRT(Dashboard!$F$4) * _xlfn.NORM.S.INV(RAND())</f>
        <v>-1.3425937306099645E-4</v>
      </c>
      <c r="U1379" s="59">
        <f ca="1">Dashboard!D$8* Dashboard!$F$4+Dashboard!D$10*SQRT(Dashboard!$F$4) * _xlfn.NORM.S.INV(RAND())</f>
        <v>2.2772324811712576E-2</v>
      </c>
    </row>
    <row r="1380" spans="18:21" x14ac:dyDescent="0.2">
      <c r="R1380" s="49">
        <v>1378</v>
      </c>
      <c r="S1380" s="59">
        <f ca="1">Dashboard!B$8* Dashboard!$F$4+Dashboard!B$10*SQRT(Dashboard!$F$4) * _xlfn.NORM.S.INV(RAND())</f>
        <v>-4.1057217941096062E-2</v>
      </c>
      <c r="T1380" s="59">
        <f ca="1">Dashboard!C$8* Dashboard!$F$4+Dashboard!C$10*SQRT(Dashboard!$F$4) * _xlfn.NORM.S.INV(RAND())</f>
        <v>-2.5367775093010317E-2</v>
      </c>
      <c r="U1380" s="59">
        <f ca="1">Dashboard!D$8* Dashboard!$F$4+Dashboard!D$10*SQRT(Dashboard!$F$4) * _xlfn.NORM.S.INV(RAND())</f>
        <v>1.8361611157568056E-2</v>
      </c>
    </row>
    <row r="1381" spans="18:21" x14ac:dyDescent="0.2">
      <c r="R1381" s="49">
        <v>1379</v>
      </c>
      <c r="S1381" s="59">
        <f ca="1">Dashboard!B$8* Dashboard!$F$4+Dashboard!B$10*SQRT(Dashboard!$F$4) * _xlfn.NORM.S.INV(RAND())</f>
        <v>-7.1675461977615384E-3</v>
      </c>
      <c r="T1381" s="59">
        <f ca="1">Dashboard!C$8* Dashboard!$F$4+Dashboard!C$10*SQRT(Dashboard!$F$4) * _xlfn.NORM.S.INV(RAND())</f>
        <v>-3.5589143722561051E-3</v>
      </c>
      <c r="U1381" s="59">
        <f ca="1">Dashboard!D$8* Dashboard!$F$4+Dashboard!D$10*SQRT(Dashboard!$F$4) * _xlfn.NORM.S.INV(RAND())</f>
        <v>7.0138032866590202E-3</v>
      </c>
    </row>
    <row r="1382" spans="18:21" x14ac:dyDescent="0.2">
      <c r="R1382" s="49">
        <v>1380</v>
      </c>
      <c r="S1382" s="59">
        <f ca="1">Dashboard!B$8* Dashboard!$F$4+Dashboard!B$10*SQRT(Dashboard!$F$4) * _xlfn.NORM.S.INV(RAND())</f>
        <v>-4.4222215185628778E-2</v>
      </c>
      <c r="T1382" s="59">
        <f ca="1">Dashboard!C$8* Dashboard!$F$4+Dashboard!C$10*SQRT(Dashboard!$F$4) * _xlfn.NORM.S.INV(RAND())</f>
        <v>-2.0773351020878336E-2</v>
      </c>
      <c r="U1382" s="59">
        <f ca="1">Dashboard!D$8* Dashboard!$F$4+Dashboard!D$10*SQRT(Dashboard!$F$4) * _xlfn.NORM.S.INV(RAND())</f>
        <v>-1.7985569842382219E-2</v>
      </c>
    </row>
    <row r="1383" spans="18:21" x14ac:dyDescent="0.2">
      <c r="R1383" s="49">
        <v>1381</v>
      </c>
      <c r="S1383" s="59">
        <f ca="1">Dashboard!B$8* Dashboard!$F$4+Dashboard!B$10*SQRT(Dashboard!$F$4) * _xlfn.NORM.S.INV(RAND())</f>
        <v>-2.2451534406106761E-4</v>
      </c>
      <c r="T1383" s="59">
        <f ca="1">Dashboard!C$8* Dashboard!$F$4+Dashboard!C$10*SQRT(Dashboard!$F$4) * _xlfn.NORM.S.INV(RAND())</f>
        <v>1.4276747885544623E-2</v>
      </c>
      <c r="U1383" s="59">
        <f ca="1">Dashboard!D$8* Dashboard!$F$4+Dashboard!D$10*SQRT(Dashboard!$F$4) * _xlfn.NORM.S.INV(RAND())</f>
        <v>1.007034501686713E-3</v>
      </c>
    </row>
    <row r="1384" spans="18:21" x14ac:dyDescent="0.2">
      <c r="R1384" s="49">
        <v>1382</v>
      </c>
      <c r="S1384" s="59">
        <f ca="1">Dashboard!B$8* Dashboard!$F$4+Dashboard!B$10*SQRT(Dashboard!$F$4) * _xlfn.NORM.S.INV(RAND())</f>
        <v>5.2991149415786545E-2</v>
      </c>
      <c r="T1384" s="59">
        <f ca="1">Dashboard!C$8* Dashboard!$F$4+Dashboard!C$10*SQRT(Dashboard!$F$4) * _xlfn.NORM.S.INV(RAND())</f>
        <v>1.7461404727964154E-2</v>
      </c>
      <c r="U1384" s="59">
        <f ca="1">Dashboard!D$8* Dashboard!$F$4+Dashboard!D$10*SQRT(Dashboard!$F$4) * _xlfn.NORM.S.INV(RAND())</f>
        <v>4.3176883526415792E-2</v>
      </c>
    </row>
    <row r="1385" spans="18:21" x14ac:dyDescent="0.2">
      <c r="R1385" s="49">
        <v>1383</v>
      </c>
      <c r="S1385" s="59">
        <f ca="1">Dashboard!B$8* Dashboard!$F$4+Dashboard!B$10*SQRT(Dashboard!$F$4) * _xlfn.NORM.S.INV(RAND())</f>
        <v>4.1651655390231163E-2</v>
      </c>
      <c r="T1385" s="59">
        <f ca="1">Dashboard!C$8* Dashboard!$F$4+Dashboard!C$10*SQRT(Dashboard!$F$4) * _xlfn.NORM.S.INV(RAND())</f>
        <v>4.3979066575135402E-2</v>
      </c>
      <c r="U1385" s="59">
        <f ca="1">Dashboard!D$8* Dashboard!$F$4+Dashboard!D$10*SQRT(Dashboard!$F$4) * _xlfn.NORM.S.INV(RAND())</f>
        <v>8.3009510897338365E-2</v>
      </c>
    </row>
    <row r="1386" spans="18:21" x14ac:dyDescent="0.2">
      <c r="R1386" s="49">
        <v>1384</v>
      </c>
      <c r="S1386" s="59">
        <f ca="1">Dashboard!B$8* Dashboard!$F$4+Dashboard!B$10*SQRT(Dashboard!$F$4) * _xlfn.NORM.S.INV(RAND())</f>
        <v>1.1708472852305087E-2</v>
      </c>
      <c r="T1386" s="59">
        <f ca="1">Dashboard!C$8* Dashboard!$F$4+Dashboard!C$10*SQRT(Dashboard!$F$4) * _xlfn.NORM.S.INV(RAND())</f>
        <v>-1.1716379208441412E-2</v>
      </c>
      <c r="U1386" s="59">
        <f ca="1">Dashboard!D$8* Dashboard!$F$4+Dashboard!D$10*SQRT(Dashboard!$F$4) * _xlfn.NORM.S.INV(RAND())</f>
        <v>-3.5765837436451058E-2</v>
      </c>
    </row>
    <row r="1387" spans="18:21" x14ac:dyDescent="0.2">
      <c r="R1387" s="49">
        <v>1385</v>
      </c>
      <c r="S1387" s="59">
        <f ca="1">Dashboard!B$8* Dashboard!$F$4+Dashboard!B$10*SQRT(Dashboard!$F$4) * _xlfn.NORM.S.INV(RAND())</f>
        <v>-2.4672994869833646E-2</v>
      </c>
      <c r="T1387" s="59">
        <f ca="1">Dashboard!C$8* Dashboard!$F$4+Dashboard!C$10*SQRT(Dashboard!$F$4) * _xlfn.NORM.S.INV(RAND())</f>
        <v>2.6358045025704133E-2</v>
      </c>
      <c r="U1387" s="59">
        <f ca="1">Dashboard!D$8* Dashboard!$F$4+Dashboard!D$10*SQRT(Dashboard!$F$4) * _xlfn.NORM.S.INV(RAND())</f>
        <v>-5.7432481340139764E-2</v>
      </c>
    </row>
    <row r="1388" spans="18:21" x14ac:dyDescent="0.2">
      <c r="R1388" s="49">
        <v>1386</v>
      </c>
      <c r="S1388" s="59">
        <f ca="1">Dashboard!B$8* Dashboard!$F$4+Dashboard!B$10*SQRT(Dashboard!$F$4) * _xlfn.NORM.S.INV(RAND())</f>
        <v>-2.4651902135950386E-2</v>
      </c>
      <c r="T1388" s="59">
        <f ca="1">Dashboard!C$8* Dashboard!$F$4+Dashboard!C$10*SQRT(Dashboard!$F$4) * _xlfn.NORM.S.INV(RAND())</f>
        <v>5.326820288926367E-2</v>
      </c>
      <c r="U1388" s="59">
        <f ca="1">Dashboard!D$8* Dashboard!$F$4+Dashboard!D$10*SQRT(Dashboard!$F$4) * _xlfn.NORM.S.INV(RAND())</f>
        <v>-4.0206954965700099E-2</v>
      </c>
    </row>
    <row r="1389" spans="18:21" x14ac:dyDescent="0.2">
      <c r="R1389" s="49">
        <v>1387</v>
      </c>
      <c r="S1389" s="59">
        <f ca="1">Dashboard!B$8* Dashboard!$F$4+Dashboard!B$10*SQRT(Dashboard!$F$4) * _xlfn.NORM.S.INV(RAND())</f>
        <v>3.1018517430510234E-2</v>
      </c>
      <c r="T1389" s="59">
        <f ca="1">Dashboard!C$8* Dashboard!$F$4+Dashboard!C$10*SQRT(Dashboard!$F$4) * _xlfn.NORM.S.INV(RAND())</f>
        <v>-4.7455916170827178E-3</v>
      </c>
      <c r="U1389" s="59">
        <f ca="1">Dashboard!D$8* Dashboard!$F$4+Dashboard!D$10*SQRT(Dashboard!$F$4) * _xlfn.NORM.S.INV(RAND())</f>
        <v>-2.3177038291737218E-2</v>
      </c>
    </row>
    <row r="1390" spans="18:21" x14ac:dyDescent="0.2">
      <c r="R1390" s="49">
        <v>1388</v>
      </c>
      <c r="S1390" s="59">
        <f ca="1">Dashboard!B$8* Dashboard!$F$4+Dashboard!B$10*SQRT(Dashboard!$F$4) * _xlfn.NORM.S.INV(RAND())</f>
        <v>4.3322488276597251E-2</v>
      </c>
      <c r="T1390" s="59">
        <f ca="1">Dashboard!C$8* Dashboard!$F$4+Dashboard!C$10*SQRT(Dashboard!$F$4) * _xlfn.NORM.S.INV(RAND())</f>
        <v>-7.0194674833271341E-3</v>
      </c>
      <c r="U1390" s="59">
        <f ca="1">Dashboard!D$8* Dashboard!$F$4+Dashboard!D$10*SQRT(Dashboard!$F$4) * _xlfn.NORM.S.INV(RAND())</f>
        <v>1.0855610764318792E-2</v>
      </c>
    </row>
    <row r="1391" spans="18:21" x14ac:dyDescent="0.2">
      <c r="R1391" s="49">
        <v>1389</v>
      </c>
      <c r="S1391" s="59">
        <f ca="1">Dashboard!B$8* Dashboard!$F$4+Dashboard!B$10*SQRT(Dashboard!$F$4) * _xlfn.NORM.S.INV(RAND())</f>
        <v>-1.6400593840735514E-2</v>
      </c>
      <c r="T1391" s="59">
        <f ca="1">Dashboard!C$8* Dashboard!$F$4+Dashboard!C$10*SQRT(Dashboard!$F$4) * _xlfn.NORM.S.INV(RAND())</f>
        <v>-1.5393374523474022E-2</v>
      </c>
      <c r="U1391" s="59">
        <f ca="1">Dashboard!D$8* Dashboard!$F$4+Dashboard!D$10*SQRT(Dashboard!$F$4) * _xlfn.NORM.S.INV(RAND())</f>
        <v>8.2689055608019969E-3</v>
      </c>
    </row>
    <row r="1392" spans="18:21" x14ac:dyDescent="0.2">
      <c r="R1392" s="49">
        <v>1390</v>
      </c>
      <c r="S1392" s="59">
        <f ca="1">Dashboard!B$8* Dashboard!$F$4+Dashboard!B$10*SQRT(Dashboard!$F$4) * _xlfn.NORM.S.INV(RAND())</f>
        <v>-1.4896352985947799E-2</v>
      </c>
      <c r="T1392" s="59">
        <f ca="1">Dashboard!C$8* Dashboard!$F$4+Dashboard!C$10*SQRT(Dashboard!$F$4) * _xlfn.NORM.S.INV(RAND())</f>
        <v>6.9295508978837322E-3</v>
      </c>
      <c r="U1392" s="59">
        <f ca="1">Dashboard!D$8* Dashboard!$F$4+Dashboard!D$10*SQRT(Dashboard!$F$4) * _xlfn.NORM.S.INV(RAND())</f>
        <v>-3.8258181706494997E-2</v>
      </c>
    </row>
    <row r="1393" spans="18:21" x14ac:dyDescent="0.2">
      <c r="R1393" s="49">
        <v>1391</v>
      </c>
      <c r="S1393" s="59">
        <f ca="1">Dashboard!B$8* Dashboard!$F$4+Dashboard!B$10*SQRT(Dashboard!$F$4) * _xlfn.NORM.S.INV(RAND())</f>
        <v>1.287891288640953E-2</v>
      </c>
      <c r="T1393" s="59">
        <f ca="1">Dashboard!C$8* Dashboard!$F$4+Dashboard!C$10*SQRT(Dashboard!$F$4) * _xlfn.NORM.S.INV(RAND())</f>
        <v>1.0814566356642675E-2</v>
      </c>
      <c r="U1393" s="59">
        <f ca="1">Dashboard!D$8* Dashboard!$F$4+Dashboard!D$10*SQRT(Dashboard!$F$4) * _xlfn.NORM.S.INV(RAND())</f>
        <v>3.2282084661379044E-2</v>
      </c>
    </row>
    <row r="1394" spans="18:21" x14ac:dyDescent="0.2">
      <c r="R1394" s="49">
        <v>1392</v>
      </c>
      <c r="S1394" s="59">
        <f ca="1">Dashboard!B$8* Dashboard!$F$4+Dashboard!B$10*SQRT(Dashboard!$F$4) * _xlfn.NORM.S.INV(RAND())</f>
        <v>2.3682278832061629E-2</v>
      </c>
      <c r="T1394" s="59">
        <f ca="1">Dashboard!C$8* Dashboard!$F$4+Dashboard!C$10*SQRT(Dashboard!$F$4) * _xlfn.NORM.S.INV(RAND())</f>
        <v>2.1437014452019839E-2</v>
      </c>
      <c r="U1394" s="59">
        <f ca="1">Dashboard!D$8* Dashboard!$F$4+Dashboard!D$10*SQRT(Dashboard!$F$4) * _xlfn.NORM.S.INV(RAND())</f>
        <v>-2.9667562991640865E-2</v>
      </c>
    </row>
    <row r="1395" spans="18:21" x14ac:dyDescent="0.2">
      <c r="R1395" s="49">
        <v>1393</v>
      </c>
      <c r="S1395" s="59">
        <f ca="1">Dashboard!B$8* Dashboard!$F$4+Dashboard!B$10*SQRT(Dashboard!$F$4) * _xlfn.NORM.S.INV(RAND())</f>
        <v>-6.090272620177524E-2</v>
      </c>
      <c r="T1395" s="59">
        <f ca="1">Dashboard!C$8* Dashboard!$F$4+Dashboard!C$10*SQRT(Dashboard!$F$4) * _xlfn.NORM.S.INV(RAND())</f>
        <v>6.9611390825074573E-2</v>
      </c>
      <c r="U1395" s="59">
        <f ca="1">Dashboard!D$8* Dashboard!$F$4+Dashboard!D$10*SQRT(Dashboard!$F$4) * _xlfn.NORM.S.INV(RAND())</f>
        <v>-5.214662114003202E-3</v>
      </c>
    </row>
    <row r="1396" spans="18:21" x14ac:dyDescent="0.2">
      <c r="R1396" s="49">
        <v>1394</v>
      </c>
      <c r="S1396" s="59">
        <f ca="1">Dashboard!B$8* Dashboard!$F$4+Dashboard!B$10*SQRT(Dashboard!$F$4) * _xlfn.NORM.S.INV(RAND())</f>
        <v>-1.5865987072724248E-2</v>
      </c>
      <c r="T1396" s="59">
        <f ca="1">Dashboard!C$8* Dashboard!$F$4+Dashboard!C$10*SQRT(Dashboard!$F$4) * _xlfn.NORM.S.INV(RAND())</f>
        <v>-9.6953100987016375E-4</v>
      </c>
      <c r="U1396" s="59">
        <f ca="1">Dashboard!D$8* Dashboard!$F$4+Dashboard!D$10*SQRT(Dashboard!$F$4) * _xlfn.NORM.S.INV(RAND())</f>
        <v>2.5401290927309118E-2</v>
      </c>
    </row>
    <row r="1397" spans="18:21" x14ac:dyDescent="0.2">
      <c r="R1397" s="49">
        <v>1395</v>
      </c>
      <c r="S1397" s="59">
        <f ca="1">Dashboard!B$8* Dashboard!$F$4+Dashboard!B$10*SQRT(Dashboard!$F$4) * _xlfn.NORM.S.INV(RAND())</f>
        <v>2.7031363790472669E-2</v>
      </c>
      <c r="T1397" s="59">
        <f ca="1">Dashboard!C$8* Dashboard!$F$4+Dashboard!C$10*SQRT(Dashboard!$F$4) * _xlfn.NORM.S.INV(RAND())</f>
        <v>-7.1894735010631693E-3</v>
      </c>
      <c r="U1397" s="59">
        <f ca="1">Dashboard!D$8* Dashboard!$F$4+Dashboard!D$10*SQRT(Dashboard!$F$4) * _xlfn.NORM.S.INV(RAND())</f>
        <v>-7.3417129983988597E-2</v>
      </c>
    </row>
    <row r="1398" spans="18:21" x14ac:dyDescent="0.2">
      <c r="R1398" s="49">
        <v>1396</v>
      </c>
      <c r="S1398" s="59">
        <f ca="1">Dashboard!B$8* Dashboard!$F$4+Dashboard!B$10*SQRT(Dashboard!$F$4) * _xlfn.NORM.S.INV(RAND())</f>
        <v>-4.4873576445181813E-2</v>
      </c>
      <c r="T1398" s="59">
        <f ca="1">Dashboard!C$8* Dashboard!$F$4+Dashboard!C$10*SQRT(Dashboard!$F$4) * _xlfn.NORM.S.INV(RAND())</f>
        <v>4.4068159529361738E-2</v>
      </c>
      <c r="U1398" s="59">
        <f ca="1">Dashboard!D$8* Dashboard!$F$4+Dashboard!D$10*SQRT(Dashboard!$F$4) * _xlfn.NORM.S.INV(RAND())</f>
        <v>8.1727023727713542E-3</v>
      </c>
    </row>
    <row r="1399" spans="18:21" x14ac:dyDescent="0.2">
      <c r="R1399" s="49">
        <v>1397</v>
      </c>
      <c r="S1399" s="59">
        <f ca="1">Dashboard!B$8* Dashboard!$F$4+Dashboard!B$10*SQRT(Dashboard!$F$4) * _xlfn.NORM.S.INV(RAND())</f>
        <v>-1.4051150328735617E-2</v>
      </c>
      <c r="T1399" s="59">
        <f ca="1">Dashboard!C$8* Dashboard!$F$4+Dashboard!C$10*SQRT(Dashboard!$F$4) * _xlfn.NORM.S.INV(RAND())</f>
        <v>-6.3643833418721138E-2</v>
      </c>
      <c r="U1399" s="59">
        <f ca="1">Dashboard!D$8* Dashboard!$F$4+Dashboard!D$10*SQRT(Dashboard!$F$4) * _xlfn.NORM.S.INV(RAND())</f>
        <v>-9.5029604452321701E-3</v>
      </c>
    </row>
    <row r="1400" spans="18:21" x14ac:dyDescent="0.2">
      <c r="R1400" s="49">
        <v>1398</v>
      </c>
      <c r="S1400" s="59">
        <f ca="1">Dashboard!B$8* Dashboard!$F$4+Dashboard!B$10*SQRT(Dashboard!$F$4) * _xlfn.NORM.S.INV(RAND())</f>
        <v>-3.6276826557492405E-2</v>
      </c>
      <c r="T1400" s="59">
        <f ca="1">Dashboard!C$8* Dashboard!$F$4+Dashboard!C$10*SQRT(Dashboard!$F$4) * _xlfn.NORM.S.INV(RAND())</f>
        <v>-1.9360911833044739E-2</v>
      </c>
      <c r="U1400" s="59">
        <f ca="1">Dashboard!D$8* Dashboard!$F$4+Dashboard!D$10*SQRT(Dashboard!$F$4) * _xlfn.NORM.S.INV(RAND())</f>
        <v>4.0674706257218841E-3</v>
      </c>
    </row>
    <row r="1401" spans="18:21" x14ac:dyDescent="0.2">
      <c r="R1401" s="49">
        <v>1399</v>
      </c>
      <c r="S1401" s="59">
        <f ca="1">Dashboard!B$8* Dashboard!$F$4+Dashboard!B$10*SQRT(Dashboard!$F$4) * _xlfn.NORM.S.INV(RAND())</f>
        <v>-2.5084618585802486E-2</v>
      </c>
      <c r="T1401" s="59">
        <f ca="1">Dashboard!C$8* Dashboard!$F$4+Dashboard!C$10*SQRT(Dashboard!$F$4) * _xlfn.NORM.S.INV(RAND())</f>
        <v>1.5964548386979697E-2</v>
      </c>
      <c r="U1401" s="59">
        <f ca="1">Dashboard!D$8* Dashboard!$F$4+Dashboard!D$10*SQRT(Dashboard!$F$4) * _xlfn.NORM.S.INV(RAND())</f>
        <v>6.3841119020403583E-2</v>
      </c>
    </row>
    <row r="1402" spans="18:21" x14ac:dyDescent="0.2">
      <c r="R1402" s="49">
        <v>1400</v>
      </c>
      <c r="S1402" s="59">
        <f ca="1">Dashboard!B$8* Dashboard!$F$4+Dashboard!B$10*SQRT(Dashboard!$F$4) * _xlfn.NORM.S.INV(RAND())</f>
        <v>3.5656964029708742E-2</v>
      </c>
      <c r="T1402" s="59">
        <f ca="1">Dashboard!C$8* Dashboard!$F$4+Dashboard!C$10*SQRT(Dashboard!$F$4) * _xlfn.NORM.S.INV(RAND())</f>
        <v>-3.5990957963588539E-2</v>
      </c>
      <c r="U1402" s="59">
        <f ca="1">Dashboard!D$8* Dashboard!$F$4+Dashboard!D$10*SQRT(Dashboard!$F$4) * _xlfn.NORM.S.INV(RAND())</f>
        <v>-1.9858539969237681E-2</v>
      </c>
    </row>
    <row r="1403" spans="18:21" x14ac:dyDescent="0.2">
      <c r="R1403" s="49">
        <v>1401</v>
      </c>
      <c r="S1403" s="59">
        <f ca="1">Dashboard!B$8* Dashboard!$F$4+Dashboard!B$10*SQRT(Dashboard!$F$4) * _xlfn.NORM.S.INV(RAND())</f>
        <v>2.7974967538693551E-2</v>
      </c>
      <c r="T1403" s="59">
        <f ca="1">Dashboard!C$8* Dashboard!$F$4+Dashboard!C$10*SQRT(Dashboard!$F$4) * _xlfn.NORM.S.INV(RAND())</f>
        <v>3.3252727397998429E-2</v>
      </c>
      <c r="U1403" s="59">
        <f ca="1">Dashboard!D$8* Dashboard!$F$4+Dashboard!D$10*SQRT(Dashboard!$F$4) * _xlfn.NORM.S.INV(RAND())</f>
        <v>-6.8164641056636971E-2</v>
      </c>
    </row>
    <row r="1404" spans="18:21" x14ac:dyDescent="0.2">
      <c r="R1404" s="49">
        <v>1402</v>
      </c>
      <c r="S1404" s="59">
        <f ca="1">Dashboard!B$8* Dashboard!$F$4+Dashboard!B$10*SQRT(Dashboard!$F$4) * _xlfn.NORM.S.INV(RAND())</f>
        <v>-3.5452650515419057E-2</v>
      </c>
      <c r="T1404" s="59">
        <f ca="1">Dashboard!C$8* Dashboard!$F$4+Dashboard!C$10*SQRT(Dashboard!$F$4) * _xlfn.NORM.S.INV(RAND())</f>
        <v>-1.4558391700352512E-2</v>
      </c>
      <c r="U1404" s="59">
        <f ca="1">Dashboard!D$8* Dashboard!$F$4+Dashboard!D$10*SQRT(Dashboard!$F$4) * _xlfn.NORM.S.INV(RAND())</f>
        <v>-1.5427083131009042E-2</v>
      </c>
    </row>
    <row r="1405" spans="18:21" x14ac:dyDescent="0.2">
      <c r="R1405" s="49">
        <v>1403</v>
      </c>
      <c r="S1405" s="59">
        <f ca="1">Dashboard!B$8* Dashboard!$F$4+Dashboard!B$10*SQRT(Dashboard!$F$4) * _xlfn.NORM.S.INV(RAND())</f>
        <v>3.9487417028355641E-2</v>
      </c>
      <c r="T1405" s="59">
        <f ca="1">Dashboard!C$8* Dashboard!$F$4+Dashboard!C$10*SQRT(Dashboard!$F$4) * _xlfn.NORM.S.INV(RAND())</f>
        <v>-5.7949508534729154E-2</v>
      </c>
      <c r="U1405" s="59">
        <f ca="1">Dashboard!D$8* Dashboard!$F$4+Dashboard!D$10*SQRT(Dashboard!$F$4) * _xlfn.NORM.S.INV(RAND())</f>
        <v>-6.6258831467573718E-3</v>
      </c>
    </row>
    <row r="1406" spans="18:21" x14ac:dyDescent="0.2">
      <c r="R1406" s="49">
        <v>1404</v>
      </c>
      <c r="S1406" s="59">
        <f ca="1">Dashboard!B$8* Dashboard!$F$4+Dashboard!B$10*SQRT(Dashboard!$F$4) * _xlfn.NORM.S.INV(RAND())</f>
        <v>-5.4411062867576951E-2</v>
      </c>
      <c r="T1406" s="59">
        <f ca="1">Dashboard!C$8* Dashboard!$F$4+Dashboard!C$10*SQRT(Dashboard!$F$4) * _xlfn.NORM.S.INV(RAND())</f>
        <v>-3.2108692496131616E-2</v>
      </c>
      <c r="U1406" s="59">
        <f ca="1">Dashboard!D$8* Dashboard!$F$4+Dashboard!D$10*SQRT(Dashboard!$F$4) * _xlfn.NORM.S.INV(RAND())</f>
        <v>6.4533079763592306E-3</v>
      </c>
    </row>
    <row r="1407" spans="18:21" x14ac:dyDescent="0.2">
      <c r="R1407" s="49">
        <v>1405</v>
      </c>
      <c r="S1407" s="59">
        <f ca="1">Dashboard!B$8* Dashboard!$F$4+Dashboard!B$10*SQRT(Dashboard!$F$4) * _xlfn.NORM.S.INV(RAND())</f>
        <v>7.8706735150829349E-2</v>
      </c>
      <c r="T1407" s="59">
        <f ca="1">Dashboard!C$8* Dashboard!$F$4+Dashboard!C$10*SQRT(Dashboard!$F$4) * _xlfn.NORM.S.INV(RAND())</f>
        <v>6.9554439237000207E-2</v>
      </c>
      <c r="U1407" s="59">
        <f ca="1">Dashboard!D$8* Dashboard!$F$4+Dashboard!D$10*SQRT(Dashboard!$F$4) * _xlfn.NORM.S.INV(RAND())</f>
        <v>4.8283341073047853E-2</v>
      </c>
    </row>
    <row r="1408" spans="18:21" x14ac:dyDescent="0.2">
      <c r="R1408" s="49">
        <v>1406</v>
      </c>
      <c r="S1408" s="59">
        <f ca="1">Dashboard!B$8* Dashboard!$F$4+Dashboard!B$10*SQRT(Dashboard!$F$4) * _xlfn.NORM.S.INV(RAND())</f>
        <v>3.3585771904061652E-2</v>
      </c>
      <c r="T1408" s="59">
        <f ca="1">Dashboard!C$8* Dashboard!$F$4+Dashboard!C$10*SQRT(Dashboard!$F$4) * _xlfn.NORM.S.INV(RAND())</f>
        <v>1.162945236931349E-3</v>
      </c>
      <c r="U1408" s="59">
        <f ca="1">Dashboard!D$8* Dashboard!$F$4+Dashboard!D$10*SQRT(Dashboard!$F$4) * _xlfn.NORM.S.INV(RAND())</f>
        <v>4.507808624836835E-2</v>
      </c>
    </row>
    <row r="1409" spans="18:21" x14ac:dyDescent="0.2">
      <c r="R1409" s="49">
        <v>1407</v>
      </c>
      <c r="S1409" s="59">
        <f ca="1">Dashboard!B$8* Dashboard!$F$4+Dashboard!B$10*SQRT(Dashboard!$F$4) * _xlfn.NORM.S.INV(RAND())</f>
        <v>7.4976126873478877E-2</v>
      </c>
      <c r="T1409" s="59">
        <f ca="1">Dashboard!C$8* Dashboard!$F$4+Dashboard!C$10*SQRT(Dashboard!$F$4) * _xlfn.NORM.S.INV(RAND())</f>
        <v>-4.7202898595548109E-3</v>
      </c>
      <c r="U1409" s="59">
        <f ca="1">Dashboard!D$8* Dashboard!$F$4+Dashboard!D$10*SQRT(Dashboard!$F$4) * _xlfn.NORM.S.INV(RAND())</f>
        <v>3.5745772480784088E-2</v>
      </c>
    </row>
    <row r="1410" spans="18:21" x14ac:dyDescent="0.2">
      <c r="R1410" s="49">
        <v>1408</v>
      </c>
      <c r="S1410" s="59">
        <f ca="1">Dashboard!B$8* Dashboard!$F$4+Dashboard!B$10*SQRT(Dashboard!$F$4) * _xlfn.NORM.S.INV(RAND())</f>
        <v>8.7413463743710937E-3</v>
      </c>
      <c r="T1410" s="59">
        <f ca="1">Dashboard!C$8* Dashboard!$F$4+Dashboard!C$10*SQRT(Dashboard!$F$4) * _xlfn.NORM.S.INV(RAND())</f>
        <v>1.4258792763887911E-2</v>
      </c>
      <c r="U1410" s="59">
        <f ca="1">Dashboard!D$8* Dashboard!$F$4+Dashboard!D$10*SQRT(Dashboard!$F$4) * _xlfn.NORM.S.INV(RAND())</f>
        <v>1.8841308286751526E-2</v>
      </c>
    </row>
    <row r="1411" spans="18:21" x14ac:dyDescent="0.2">
      <c r="R1411" s="49">
        <v>1409</v>
      </c>
      <c r="S1411" s="59">
        <f ca="1">Dashboard!B$8* Dashboard!$F$4+Dashboard!B$10*SQRT(Dashboard!$F$4) * _xlfn.NORM.S.INV(RAND())</f>
        <v>4.945414895749263E-2</v>
      </c>
      <c r="T1411" s="59">
        <f ca="1">Dashboard!C$8* Dashboard!$F$4+Dashboard!C$10*SQRT(Dashboard!$F$4) * _xlfn.NORM.S.INV(RAND())</f>
        <v>-5.5238795390081794E-2</v>
      </c>
      <c r="U1411" s="59">
        <f ca="1">Dashboard!D$8* Dashboard!$F$4+Dashboard!D$10*SQRT(Dashboard!$F$4) * _xlfn.NORM.S.INV(RAND())</f>
        <v>3.1055893466107494E-2</v>
      </c>
    </row>
    <row r="1412" spans="18:21" x14ac:dyDescent="0.2">
      <c r="R1412" s="49">
        <v>1410</v>
      </c>
      <c r="S1412" s="59">
        <f ca="1">Dashboard!B$8* Dashboard!$F$4+Dashboard!B$10*SQRT(Dashboard!$F$4) * _xlfn.NORM.S.INV(RAND())</f>
        <v>-6.3814749938173867E-3</v>
      </c>
      <c r="T1412" s="59">
        <f ca="1">Dashboard!C$8* Dashboard!$F$4+Dashboard!C$10*SQRT(Dashboard!$F$4) * _xlfn.NORM.S.INV(RAND())</f>
        <v>1.7714450363269931E-2</v>
      </c>
      <c r="U1412" s="59">
        <f ca="1">Dashboard!D$8* Dashboard!$F$4+Dashboard!D$10*SQRT(Dashboard!$F$4) * _xlfn.NORM.S.INV(RAND())</f>
        <v>2.5887644273093965E-3</v>
      </c>
    </row>
    <row r="1413" spans="18:21" x14ac:dyDescent="0.2">
      <c r="R1413" s="49">
        <v>1411</v>
      </c>
      <c r="S1413" s="59">
        <f ca="1">Dashboard!B$8* Dashboard!$F$4+Dashboard!B$10*SQRT(Dashboard!$F$4) * _xlfn.NORM.S.INV(RAND())</f>
        <v>1.8238455850241708E-3</v>
      </c>
      <c r="T1413" s="59">
        <f ca="1">Dashboard!C$8* Dashboard!$F$4+Dashboard!C$10*SQRT(Dashboard!$F$4) * _xlfn.NORM.S.INV(RAND())</f>
        <v>8.3868294611050224E-3</v>
      </c>
      <c r="U1413" s="59">
        <f ca="1">Dashboard!D$8* Dashboard!$F$4+Dashboard!D$10*SQRT(Dashboard!$F$4) * _xlfn.NORM.S.INV(RAND())</f>
        <v>-2.9330724554350474E-2</v>
      </c>
    </row>
    <row r="1414" spans="18:21" x14ac:dyDescent="0.2">
      <c r="R1414" s="49">
        <v>1412</v>
      </c>
      <c r="S1414" s="59">
        <f ca="1">Dashboard!B$8* Dashboard!$F$4+Dashboard!B$10*SQRT(Dashboard!$F$4) * _xlfn.NORM.S.INV(RAND())</f>
        <v>-2.5237952562463604E-2</v>
      </c>
      <c r="T1414" s="59">
        <f ca="1">Dashboard!C$8* Dashboard!$F$4+Dashboard!C$10*SQRT(Dashboard!$F$4) * _xlfn.NORM.S.INV(RAND())</f>
        <v>4.2964678869965592E-2</v>
      </c>
      <c r="U1414" s="59">
        <f ca="1">Dashboard!D$8* Dashboard!$F$4+Dashboard!D$10*SQRT(Dashboard!$F$4) * _xlfn.NORM.S.INV(RAND())</f>
        <v>-1.2082156343327178E-2</v>
      </c>
    </row>
    <row r="1415" spans="18:21" x14ac:dyDescent="0.2">
      <c r="R1415" s="49">
        <v>1413</v>
      </c>
      <c r="S1415" s="59">
        <f ca="1">Dashboard!B$8* Dashboard!$F$4+Dashboard!B$10*SQRT(Dashboard!$F$4) * _xlfn.NORM.S.INV(RAND())</f>
        <v>4.1806485340514357E-2</v>
      </c>
      <c r="T1415" s="59">
        <f ca="1">Dashboard!C$8* Dashboard!$F$4+Dashboard!C$10*SQRT(Dashboard!$F$4) * _xlfn.NORM.S.INV(RAND())</f>
        <v>2.8889899488765653E-2</v>
      </c>
      <c r="U1415" s="59">
        <f ca="1">Dashboard!D$8* Dashboard!$F$4+Dashboard!D$10*SQRT(Dashboard!$F$4) * _xlfn.NORM.S.INV(RAND())</f>
        <v>-1.875560596026284E-2</v>
      </c>
    </row>
    <row r="1416" spans="18:21" x14ac:dyDescent="0.2">
      <c r="R1416" s="49">
        <v>1414</v>
      </c>
      <c r="S1416" s="59">
        <f ca="1">Dashboard!B$8* Dashboard!$F$4+Dashboard!B$10*SQRT(Dashboard!$F$4) * _xlfn.NORM.S.INV(RAND())</f>
        <v>-1.3562530513924222E-2</v>
      </c>
      <c r="T1416" s="59">
        <f ca="1">Dashboard!C$8* Dashboard!$F$4+Dashboard!C$10*SQRT(Dashboard!$F$4) * _xlfn.NORM.S.INV(RAND())</f>
        <v>2.5225800942166483E-3</v>
      </c>
      <c r="U1416" s="59">
        <f ca="1">Dashboard!D$8* Dashboard!$F$4+Dashboard!D$10*SQRT(Dashboard!$F$4) * _xlfn.NORM.S.INV(RAND())</f>
        <v>-9.695344332593496E-3</v>
      </c>
    </row>
    <row r="1417" spans="18:21" x14ac:dyDescent="0.2">
      <c r="R1417" s="49">
        <v>1415</v>
      </c>
      <c r="S1417" s="59">
        <f ca="1">Dashboard!B$8* Dashboard!$F$4+Dashboard!B$10*SQRT(Dashboard!$F$4) * _xlfn.NORM.S.INV(RAND())</f>
        <v>4.9535126817563044E-3</v>
      </c>
      <c r="T1417" s="59">
        <f ca="1">Dashboard!C$8* Dashboard!$F$4+Dashboard!C$10*SQRT(Dashboard!$F$4) * _xlfn.NORM.S.INV(RAND())</f>
        <v>2.0434744272132783E-2</v>
      </c>
      <c r="U1417" s="59">
        <f ca="1">Dashboard!D$8* Dashboard!$F$4+Dashboard!D$10*SQRT(Dashboard!$F$4) * _xlfn.NORM.S.INV(RAND())</f>
        <v>1.4755205700786938E-2</v>
      </c>
    </row>
    <row r="1418" spans="18:21" x14ac:dyDescent="0.2">
      <c r="R1418" s="49">
        <v>1416</v>
      </c>
      <c r="S1418" s="59">
        <f ca="1">Dashboard!B$8* Dashboard!$F$4+Dashboard!B$10*SQRT(Dashboard!$F$4) * _xlfn.NORM.S.INV(RAND())</f>
        <v>-5.3393305316745396E-2</v>
      </c>
      <c r="T1418" s="59">
        <f ca="1">Dashboard!C$8* Dashboard!$F$4+Dashboard!C$10*SQRT(Dashboard!$F$4) * _xlfn.NORM.S.INV(RAND())</f>
        <v>-1.4006331392050165E-3</v>
      </c>
      <c r="U1418" s="59">
        <f ca="1">Dashboard!D$8* Dashboard!$F$4+Dashboard!D$10*SQRT(Dashboard!$F$4) * _xlfn.NORM.S.INV(RAND())</f>
        <v>-8.1757108191633822E-3</v>
      </c>
    </row>
    <row r="1419" spans="18:21" x14ac:dyDescent="0.2">
      <c r="R1419" s="49">
        <v>1417</v>
      </c>
      <c r="S1419" s="59">
        <f ca="1">Dashboard!B$8* Dashboard!$F$4+Dashboard!B$10*SQRT(Dashboard!$F$4) * _xlfn.NORM.S.INV(RAND())</f>
        <v>1.31447169359466E-2</v>
      </c>
      <c r="T1419" s="59">
        <f ca="1">Dashboard!C$8* Dashboard!$F$4+Dashboard!C$10*SQRT(Dashboard!$F$4) * _xlfn.NORM.S.INV(RAND())</f>
        <v>-1.016424681182735E-2</v>
      </c>
      <c r="U1419" s="59">
        <f ca="1">Dashboard!D$8* Dashboard!$F$4+Dashboard!D$10*SQRT(Dashboard!$F$4) * _xlfn.NORM.S.INV(RAND())</f>
        <v>-3.4574361779708712E-2</v>
      </c>
    </row>
    <row r="1420" spans="18:21" x14ac:dyDescent="0.2">
      <c r="R1420" s="49">
        <v>1418</v>
      </c>
      <c r="S1420" s="59">
        <f ca="1">Dashboard!B$8* Dashboard!$F$4+Dashboard!B$10*SQRT(Dashboard!$F$4) * _xlfn.NORM.S.INV(RAND())</f>
        <v>-6.9613182053047923E-2</v>
      </c>
      <c r="T1420" s="59">
        <f ca="1">Dashboard!C$8* Dashboard!$F$4+Dashboard!C$10*SQRT(Dashboard!$F$4) * _xlfn.NORM.S.INV(RAND())</f>
        <v>-2.1665945141531584E-2</v>
      </c>
      <c r="U1420" s="59">
        <f ca="1">Dashboard!D$8* Dashboard!$F$4+Dashboard!D$10*SQRT(Dashboard!$F$4) * _xlfn.NORM.S.INV(RAND())</f>
        <v>4.5694848993343721E-3</v>
      </c>
    </row>
    <row r="1421" spans="18:21" x14ac:dyDescent="0.2">
      <c r="R1421" s="49">
        <v>1419</v>
      </c>
      <c r="S1421" s="59">
        <f ca="1">Dashboard!B$8* Dashboard!$F$4+Dashboard!B$10*SQRT(Dashboard!$F$4) * _xlfn.NORM.S.INV(RAND())</f>
        <v>-4.2991700516833029E-2</v>
      </c>
      <c r="T1421" s="59">
        <f ca="1">Dashboard!C$8* Dashboard!$F$4+Dashboard!C$10*SQRT(Dashboard!$F$4) * _xlfn.NORM.S.INV(RAND())</f>
        <v>-3.978717820619046E-2</v>
      </c>
      <c r="U1421" s="59">
        <f ca="1">Dashboard!D$8* Dashboard!$F$4+Dashboard!D$10*SQRT(Dashboard!$F$4) * _xlfn.NORM.S.INV(RAND())</f>
        <v>-2.3449923132284271E-2</v>
      </c>
    </row>
    <row r="1422" spans="18:21" x14ac:dyDescent="0.2">
      <c r="R1422" s="49">
        <v>1420</v>
      </c>
      <c r="S1422" s="59">
        <f ca="1">Dashboard!B$8* Dashboard!$F$4+Dashboard!B$10*SQRT(Dashboard!$F$4) * _xlfn.NORM.S.INV(RAND())</f>
        <v>-1.2032330248824897E-2</v>
      </c>
      <c r="T1422" s="59">
        <f ca="1">Dashboard!C$8* Dashboard!$F$4+Dashboard!C$10*SQRT(Dashboard!$F$4) * _xlfn.NORM.S.INV(RAND())</f>
        <v>-5.0189574620060169E-3</v>
      </c>
      <c r="U1422" s="59">
        <f ca="1">Dashboard!D$8* Dashboard!$F$4+Dashboard!D$10*SQRT(Dashboard!$F$4) * _xlfn.NORM.S.INV(RAND())</f>
        <v>3.6476036500371544E-3</v>
      </c>
    </row>
    <row r="1423" spans="18:21" x14ac:dyDescent="0.2">
      <c r="R1423" s="49">
        <v>1421</v>
      </c>
      <c r="S1423" s="59">
        <f ca="1">Dashboard!B$8* Dashboard!$F$4+Dashboard!B$10*SQRT(Dashboard!$F$4) * _xlfn.NORM.S.INV(RAND())</f>
        <v>-9.1561145375577829E-3</v>
      </c>
      <c r="T1423" s="59">
        <f ca="1">Dashboard!C$8* Dashboard!$F$4+Dashboard!C$10*SQRT(Dashboard!$F$4) * _xlfn.NORM.S.INV(RAND())</f>
        <v>-3.534631306081179E-2</v>
      </c>
      <c r="U1423" s="59">
        <f ca="1">Dashboard!D$8* Dashboard!$F$4+Dashboard!D$10*SQRT(Dashboard!$F$4) * _xlfn.NORM.S.INV(RAND())</f>
        <v>-9.4871108055911493E-3</v>
      </c>
    </row>
    <row r="1424" spans="18:21" x14ac:dyDescent="0.2">
      <c r="R1424" s="49">
        <v>1422</v>
      </c>
      <c r="S1424" s="59">
        <f ca="1">Dashboard!B$8* Dashboard!$F$4+Dashboard!B$10*SQRT(Dashboard!$F$4) * _xlfn.NORM.S.INV(RAND())</f>
        <v>3.1063419680025465E-3</v>
      </c>
      <c r="T1424" s="59">
        <f ca="1">Dashboard!C$8* Dashboard!$F$4+Dashboard!C$10*SQRT(Dashboard!$F$4) * _xlfn.NORM.S.INV(RAND())</f>
        <v>-1.4855871617756745E-3</v>
      </c>
      <c r="U1424" s="59">
        <f ca="1">Dashboard!D$8* Dashboard!$F$4+Dashboard!D$10*SQRT(Dashboard!$F$4) * _xlfn.NORM.S.INV(RAND())</f>
        <v>-3.988209394814754E-2</v>
      </c>
    </row>
    <row r="1425" spans="18:21" x14ac:dyDescent="0.2">
      <c r="R1425" s="49">
        <v>1423</v>
      </c>
      <c r="S1425" s="59">
        <f ca="1">Dashboard!B$8* Dashboard!$F$4+Dashboard!B$10*SQRT(Dashboard!$F$4) * _xlfn.NORM.S.INV(RAND())</f>
        <v>2.664182007799977E-4</v>
      </c>
      <c r="T1425" s="59">
        <f ca="1">Dashboard!C$8* Dashboard!$F$4+Dashboard!C$10*SQRT(Dashboard!$F$4) * _xlfn.NORM.S.INV(RAND())</f>
        <v>-1.2748673185739155E-2</v>
      </c>
      <c r="U1425" s="59">
        <f ca="1">Dashboard!D$8* Dashboard!$F$4+Dashboard!D$10*SQRT(Dashboard!$F$4) * _xlfn.NORM.S.INV(RAND())</f>
        <v>-1.1905590528667588E-2</v>
      </c>
    </row>
    <row r="1426" spans="18:21" x14ac:dyDescent="0.2">
      <c r="R1426" s="49">
        <v>1424</v>
      </c>
      <c r="S1426" s="59">
        <f ca="1">Dashboard!B$8* Dashboard!$F$4+Dashboard!B$10*SQRT(Dashboard!$F$4) * _xlfn.NORM.S.INV(RAND())</f>
        <v>1.4834507621302237E-2</v>
      </c>
      <c r="T1426" s="59">
        <f ca="1">Dashboard!C$8* Dashboard!$F$4+Dashboard!C$10*SQRT(Dashboard!$F$4) * _xlfn.NORM.S.INV(RAND())</f>
        <v>1.7896200938260429E-2</v>
      </c>
      <c r="U1426" s="59">
        <f ca="1">Dashboard!D$8* Dashboard!$F$4+Dashboard!D$10*SQRT(Dashboard!$F$4) * _xlfn.NORM.S.INV(RAND())</f>
        <v>-2.5233183277411194E-2</v>
      </c>
    </row>
    <row r="1427" spans="18:21" x14ac:dyDescent="0.2">
      <c r="R1427" s="49">
        <v>1425</v>
      </c>
      <c r="S1427" s="59">
        <f ca="1">Dashboard!B$8* Dashboard!$F$4+Dashboard!B$10*SQRT(Dashboard!$F$4) * _xlfn.NORM.S.INV(RAND())</f>
        <v>-4.4803475577113025E-3</v>
      </c>
      <c r="T1427" s="59">
        <f ca="1">Dashboard!C$8* Dashboard!$F$4+Dashboard!C$10*SQRT(Dashboard!$F$4) * _xlfn.NORM.S.INV(RAND())</f>
        <v>-7.2225738622846503E-3</v>
      </c>
      <c r="U1427" s="59">
        <f ca="1">Dashboard!D$8* Dashboard!$F$4+Dashboard!D$10*SQRT(Dashboard!$F$4) * _xlfn.NORM.S.INV(RAND())</f>
        <v>-2.6020546938851398E-2</v>
      </c>
    </row>
    <row r="1428" spans="18:21" x14ac:dyDescent="0.2">
      <c r="R1428" s="49">
        <v>1426</v>
      </c>
      <c r="S1428" s="59">
        <f ca="1">Dashboard!B$8* Dashboard!$F$4+Dashboard!B$10*SQRT(Dashboard!$F$4) * _xlfn.NORM.S.INV(RAND())</f>
        <v>-4.3188811473021484E-2</v>
      </c>
      <c r="T1428" s="59">
        <f ca="1">Dashboard!C$8* Dashboard!$F$4+Dashboard!C$10*SQRT(Dashboard!$F$4) * _xlfn.NORM.S.INV(RAND())</f>
        <v>1.1936393266262182E-2</v>
      </c>
      <c r="U1428" s="59">
        <f ca="1">Dashboard!D$8* Dashboard!$F$4+Dashboard!D$10*SQRT(Dashboard!$F$4) * _xlfn.NORM.S.INV(RAND())</f>
        <v>3.8209700223391596E-2</v>
      </c>
    </row>
    <row r="1429" spans="18:21" x14ac:dyDescent="0.2">
      <c r="R1429" s="49">
        <v>1427</v>
      </c>
      <c r="S1429" s="59">
        <f ca="1">Dashboard!B$8* Dashboard!$F$4+Dashboard!B$10*SQRT(Dashboard!$F$4) * _xlfn.NORM.S.INV(RAND())</f>
        <v>4.1589626735281819E-2</v>
      </c>
      <c r="T1429" s="59">
        <f ca="1">Dashboard!C$8* Dashboard!$F$4+Dashboard!C$10*SQRT(Dashboard!$F$4) * _xlfn.NORM.S.INV(RAND())</f>
        <v>3.1332439740387096E-2</v>
      </c>
      <c r="U1429" s="59">
        <f ca="1">Dashboard!D$8* Dashboard!$F$4+Dashboard!D$10*SQRT(Dashboard!$F$4) * _xlfn.NORM.S.INV(RAND())</f>
        <v>2.0339898379205558E-2</v>
      </c>
    </row>
    <row r="1430" spans="18:21" x14ac:dyDescent="0.2">
      <c r="R1430" s="49">
        <v>1428</v>
      </c>
      <c r="S1430" s="59">
        <f ca="1">Dashboard!B$8* Dashboard!$F$4+Dashboard!B$10*SQRT(Dashboard!$F$4) * _xlfn.NORM.S.INV(RAND())</f>
        <v>3.1815658348694251E-2</v>
      </c>
      <c r="T1430" s="59">
        <f ca="1">Dashboard!C$8* Dashboard!$F$4+Dashboard!C$10*SQRT(Dashboard!$F$4) * _xlfn.NORM.S.INV(RAND())</f>
        <v>6.3153367105572539E-2</v>
      </c>
      <c r="U1430" s="59">
        <f ca="1">Dashboard!D$8* Dashboard!$F$4+Dashboard!D$10*SQRT(Dashboard!$F$4) * _xlfn.NORM.S.INV(RAND())</f>
        <v>-4.1188795812007038E-2</v>
      </c>
    </row>
    <row r="1431" spans="18:21" x14ac:dyDescent="0.2">
      <c r="R1431" s="49">
        <v>1429</v>
      </c>
      <c r="S1431" s="59">
        <f ca="1">Dashboard!B$8* Dashboard!$F$4+Dashboard!B$10*SQRT(Dashboard!$F$4) * _xlfn.NORM.S.INV(RAND())</f>
        <v>-2.6770563032478462E-3</v>
      </c>
      <c r="T1431" s="59">
        <f ca="1">Dashboard!C$8* Dashboard!$F$4+Dashboard!C$10*SQRT(Dashboard!$F$4) * _xlfn.NORM.S.INV(RAND())</f>
        <v>-2.449651244711987E-2</v>
      </c>
      <c r="U1431" s="59">
        <f ca="1">Dashboard!D$8* Dashboard!$F$4+Dashboard!D$10*SQRT(Dashboard!$F$4) * _xlfn.NORM.S.INV(RAND())</f>
        <v>1.8528248044278266E-2</v>
      </c>
    </row>
    <row r="1432" spans="18:21" x14ac:dyDescent="0.2">
      <c r="R1432" s="49">
        <v>1430</v>
      </c>
      <c r="S1432" s="59">
        <f ca="1">Dashboard!B$8* Dashboard!$F$4+Dashboard!B$10*SQRT(Dashboard!$F$4) * _xlfn.NORM.S.INV(RAND())</f>
        <v>9.7580176366415389E-3</v>
      </c>
      <c r="T1432" s="59">
        <f ca="1">Dashboard!C$8* Dashboard!$F$4+Dashboard!C$10*SQRT(Dashboard!$F$4) * _xlfn.NORM.S.INV(RAND())</f>
        <v>5.7828925186798198E-2</v>
      </c>
      <c r="U1432" s="59">
        <f ca="1">Dashboard!D$8* Dashboard!$F$4+Dashboard!D$10*SQRT(Dashboard!$F$4) * _xlfn.NORM.S.INV(RAND())</f>
        <v>-5.1231229370525024E-2</v>
      </c>
    </row>
    <row r="1433" spans="18:21" x14ac:dyDescent="0.2">
      <c r="R1433" s="49">
        <v>1431</v>
      </c>
      <c r="S1433" s="59">
        <f ca="1">Dashboard!B$8* Dashboard!$F$4+Dashboard!B$10*SQRT(Dashboard!$F$4) * _xlfn.NORM.S.INV(RAND())</f>
        <v>9.6115316350191358E-3</v>
      </c>
      <c r="T1433" s="59">
        <f ca="1">Dashboard!C$8* Dashboard!$F$4+Dashboard!C$10*SQRT(Dashboard!$F$4) * _xlfn.NORM.S.INV(RAND())</f>
        <v>8.2197378272259869E-5</v>
      </c>
      <c r="U1433" s="59">
        <f ca="1">Dashboard!D$8* Dashboard!$F$4+Dashboard!D$10*SQRT(Dashboard!$F$4) * _xlfn.NORM.S.INV(RAND())</f>
        <v>-5.2523514951260258E-2</v>
      </c>
    </row>
    <row r="1434" spans="18:21" x14ac:dyDescent="0.2">
      <c r="R1434" s="49">
        <v>1432</v>
      </c>
      <c r="S1434" s="59">
        <f ca="1">Dashboard!B$8* Dashboard!$F$4+Dashboard!B$10*SQRT(Dashboard!$F$4) * _xlfn.NORM.S.INV(RAND())</f>
        <v>-1.5135938401184648E-2</v>
      </c>
      <c r="T1434" s="59">
        <f ca="1">Dashboard!C$8* Dashboard!$F$4+Dashboard!C$10*SQRT(Dashboard!$F$4) * _xlfn.NORM.S.INV(RAND())</f>
        <v>3.1216814894456258E-3</v>
      </c>
      <c r="U1434" s="59">
        <f ca="1">Dashboard!D$8* Dashboard!$F$4+Dashboard!D$10*SQRT(Dashboard!$F$4) * _xlfn.NORM.S.INV(RAND())</f>
        <v>-9.6758790614061008E-3</v>
      </c>
    </row>
    <row r="1435" spans="18:21" x14ac:dyDescent="0.2">
      <c r="R1435" s="49">
        <v>1433</v>
      </c>
      <c r="S1435" s="59">
        <f ca="1">Dashboard!B$8* Dashboard!$F$4+Dashboard!B$10*SQRT(Dashboard!$F$4) * _xlfn.NORM.S.INV(RAND())</f>
        <v>6.2888748334422456E-2</v>
      </c>
      <c r="T1435" s="59">
        <f ca="1">Dashboard!C$8* Dashboard!$F$4+Dashboard!C$10*SQRT(Dashboard!$F$4) * _xlfn.NORM.S.INV(RAND())</f>
        <v>-3.1675190914610393E-2</v>
      </c>
      <c r="U1435" s="59">
        <f ca="1">Dashboard!D$8* Dashboard!$F$4+Dashboard!D$10*SQRT(Dashboard!$F$4) * _xlfn.NORM.S.INV(RAND())</f>
        <v>2.4552699734961093E-2</v>
      </c>
    </row>
    <row r="1436" spans="18:21" x14ac:dyDescent="0.2">
      <c r="R1436" s="49">
        <v>1434</v>
      </c>
      <c r="S1436" s="59">
        <f ca="1">Dashboard!B$8* Dashboard!$F$4+Dashboard!B$10*SQRT(Dashboard!$F$4) * _xlfn.NORM.S.INV(RAND())</f>
        <v>1.2344432327856978E-2</v>
      </c>
      <c r="T1436" s="59">
        <f ca="1">Dashboard!C$8* Dashboard!$F$4+Dashboard!C$10*SQRT(Dashboard!$F$4) * _xlfn.NORM.S.INV(RAND())</f>
        <v>-1.6915351213123809E-2</v>
      </c>
      <c r="U1436" s="59">
        <f ca="1">Dashboard!D$8* Dashboard!$F$4+Dashboard!D$10*SQRT(Dashboard!$F$4) * _xlfn.NORM.S.INV(RAND())</f>
        <v>-2.2343780260064339E-2</v>
      </c>
    </row>
    <row r="1437" spans="18:21" x14ac:dyDescent="0.2">
      <c r="R1437" s="49">
        <v>1435</v>
      </c>
      <c r="S1437" s="59">
        <f ca="1">Dashboard!B$8* Dashboard!$F$4+Dashboard!B$10*SQRT(Dashboard!$F$4) * _xlfn.NORM.S.INV(RAND())</f>
        <v>-1.922266581885611E-3</v>
      </c>
      <c r="T1437" s="59">
        <f ca="1">Dashboard!C$8* Dashboard!$F$4+Dashboard!C$10*SQRT(Dashboard!$F$4) * _xlfn.NORM.S.INV(RAND())</f>
        <v>-1.8275099616742656E-2</v>
      </c>
      <c r="U1437" s="59">
        <f ca="1">Dashboard!D$8* Dashboard!$F$4+Dashboard!D$10*SQRT(Dashboard!$F$4) * _xlfn.NORM.S.INV(RAND())</f>
        <v>2.1828082751292846E-2</v>
      </c>
    </row>
    <row r="1438" spans="18:21" x14ac:dyDescent="0.2">
      <c r="R1438" s="49">
        <v>1436</v>
      </c>
      <c r="S1438" s="59">
        <f ca="1">Dashboard!B$8* Dashboard!$F$4+Dashboard!B$10*SQRT(Dashboard!$F$4) * _xlfn.NORM.S.INV(RAND())</f>
        <v>1.6167426407121516E-2</v>
      </c>
      <c r="T1438" s="59">
        <f ca="1">Dashboard!C$8* Dashboard!$F$4+Dashboard!C$10*SQRT(Dashboard!$F$4) * _xlfn.NORM.S.INV(RAND())</f>
        <v>1.6237843936811754E-3</v>
      </c>
      <c r="U1438" s="59">
        <f ca="1">Dashboard!D$8* Dashboard!$F$4+Dashboard!D$10*SQRT(Dashboard!$F$4) * _xlfn.NORM.S.INV(RAND())</f>
        <v>2.129930920296744E-2</v>
      </c>
    </row>
    <row r="1439" spans="18:21" x14ac:dyDescent="0.2">
      <c r="R1439" s="49">
        <v>1437</v>
      </c>
      <c r="S1439" s="59">
        <f ca="1">Dashboard!B$8* Dashboard!$F$4+Dashboard!B$10*SQRT(Dashboard!$F$4) * _xlfn.NORM.S.INV(RAND())</f>
        <v>4.2530418085462464E-3</v>
      </c>
      <c r="T1439" s="59">
        <f ca="1">Dashboard!C$8* Dashboard!$F$4+Dashboard!C$10*SQRT(Dashboard!$F$4) * _xlfn.NORM.S.INV(RAND())</f>
        <v>-2.4051836923683404E-2</v>
      </c>
      <c r="U1439" s="59">
        <f ca="1">Dashboard!D$8* Dashboard!$F$4+Dashboard!D$10*SQRT(Dashboard!$F$4) * _xlfn.NORM.S.INV(RAND())</f>
        <v>5.0881811838378338E-2</v>
      </c>
    </row>
    <row r="1440" spans="18:21" x14ac:dyDescent="0.2">
      <c r="R1440" s="49">
        <v>1438</v>
      </c>
      <c r="S1440" s="59">
        <f ca="1">Dashboard!B$8* Dashboard!$F$4+Dashboard!B$10*SQRT(Dashboard!$F$4) * _xlfn.NORM.S.INV(RAND())</f>
        <v>-4.0451239628551102E-4</v>
      </c>
      <c r="T1440" s="59">
        <f ca="1">Dashboard!C$8* Dashboard!$F$4+Dashboard!C$10*SQRT(Dashboard!$F$4) * _xlfn.NORM.S.INV(RAND())</f>
        <v>-3.2933902280116729E-2</v>
      </c>
      <c r="U1440" s="59">
        <f ca="1">Dashboard!D$8* Dashboard!$F$4+Dashboard!D$10*SQRT(Dashboard!$F$4) * _xlfn.NORM.S.INV(RAND())</f>
        <v>4.7493787296669946E-3</v>
      </c>
    </row>
    <row r="1441" spans="18:21" x14ac:dyDescent="0.2">
      <c r="R1441" s="49">
        <v>1439</v>
      </c>
      <c r="S1441" s="59">
        <f ca="1">Dashboard!B$8* Dashboard!$F$4+Dashboard!B$10*SQRT(Dashboard!$F$4) * _xlfn.NORM.S.INV(RAND())</f>
        <v>-7.7680644773484728E-2</v>
      </c>
      <c r="T1441" s="59">
        <f ca="1">Dashboard!C$8* Dashboard!$F$4+Dashboard!C$10*SQRT(Dashboard!$F$4) * _xlfn.NORM.S.INV(RAND())</f>
        <v>2.6448789424139914E-2</v>
      </c>
      <c r="U1441" s="59">
        <f ca="1">Dashboard!D$8* Dashboard!$F$4+Dashboard!D$10*SQRT(Dashboard!$F$4) * _xlfn.NORM.S.INV(RAND())</f>
        <v>-3.4826772802961353E-3</v>
      </c>
    </row>
    <row r="1442" spans="18:21" x14ac:dyDescent="0.2">
      <c r="R1442" s="49">
        <v>1440</v>
      </c>
      <c r="S1442" s="59">
        <f ca="1">Dashboard!B$8* Dashboard!$F$4+Dashboard!B$10*SQRT(Dashboard!$F$4) * _xlfn.NORM.S.INV(RAND())</f>
        <v>-4.5382779790416362E-2</v>
      </c>
      <c r="T1442" s="59">
        <f ca="1">Dashboard!C$8* Dashboard!$F$4+Dashboard!C$10*SQRT(Dashboard!$F$4) * _xlfn.NORM.S.INV(RAND())</f>
        <v>6.2993825496755907E-3</v>
      </c>
      <c r="U1442" s="59">
        <f ca="1">Dashboard!D$8* Dashboard!$F$4+Dashboard!D$10*SQRT(Dashboard!$F$4) * _xlfn.NORM.S.INV(RAND())</f>
        <v>1.6375524218834172E-2</v>
      </c>
    </row>
    <row r="1443" spans="18:21" x14ac:dyDescent="0.2">
      <c r="R1443" s="49">
        <v>1441</v>
      </c>
      <c r="S1443" s="59">
        <f ca="1">Dashboard!B$8* Dashboard!$F$4+Dashboard!B$10*SQRT(Dashboard!$F$4) * _xlfn.NORM.S.INV(RAND())</f>
        <v>-1.9165429781978743E-2</v>
      </c>
      <c r="T1443" s="59">
        <f ca="1">Dashboard!C$8* Dashboard!$F$4+Dashboard!C$10*SQRT(Dashboard!$F$4) * _xlfn.NORM.S.INV(RAND())</f>
        <v>4.1357467870526382E-2</v>
      </c>
      <c r="U1443" s="59">
        <f ca="1">Dashboard!D$8* Dashboard!$F$4+Dashboard!D$10*SQRT(Dashboard!$F$4) * _xlfn.NORM.S.INV(RAND())</f>
        <v>-5.626514916150357E-3</v>
      </c>
    </row>
    <row r="1444" spans="18:21" x14ac:dyDescent="0.2">
      <c r="R1444" s="49">
        <v>1442</v>
      </c>
      <c r="S1444" s="59">
        <f ca="1">Dashboard!B$8* Dashboard!$F$4+Dashboard!B$10*SQRT(Dashboard!$F$4) * _xlfn.NORM.S.INV(RAND())</f>
        <v>2.8691556124798838E-2</v>
      </c>
      <c r="T1444" s="59">
        <f ca="1">Dashboard!C$8* Dashboard!$F$4+Dashboard!C$10*SQRT(Dashboard!$F$4) * _xlfn.NORM.S.INV(RAND())</f>
        <v>2.0033480932764594E-2</v>
      </c>
      <c r="U1444" s="59">
        <f ca="1">Dashboard!D$8* Dashboard!$F$4+Dashboard!D$10*SQRT(Dashboard!$F$4) * _xlfn.NORM.S.INV(RAND())</f>
        <v>4.1657669506390695E-2</v>
      </c>
    </row>
    <row r="1445" spans="18:21" x14ac:dyDescent="0.2">
      <c r="R1445" s="49">
        <v>1443</v>
      </c>
      <c r="S1445" s="59">
        <f ca="1">Dashboard!B$8* Dashboard!$F$4+Dashboard!B$10*SQRT(Dashboard!$F$4) * _xlfn.NORM.S.INV(RAND())</f>
        <v>-1.4536448401182419E-2</v>
      </c>
      <c r="T1445" s="59">
        <f ca="1">Dashboard!C$8* Dashboard!$F$4+Dashboard!C$10*SQRT(Dashboard!$F$4) * _xlfn.NORM.S.INV(RAND())</f>
        <v>2.6622955969532205E-2</v>
      </c>
      <c r="U1445" s="59">
        <f ca="1">Dashboard!D$8* Dashboard!$F$4+Dashboard!D$10*SQRT(Dashboard!$F$4) * _xlfn.NORM.S.INV(RAND())</f>
        <v>-3.5200122673967223E-2</v>
      </c>
    </row>
    <row r="1446" spans="18:21" x14ac:dyDescent="0.2">
      <c r="R1446" s="49">
        <v>1444</v>
      </c>
      <c r="S1446" s="59">
        <f ca="1">Dashboard!B$8* Dashboard!$F$4+Dashboard!B$10*SQRT(Dashboard!$F$4) * _xlfn.NORM.S.INV(RAND())</f>
        <v>-2.8745598067021587E-2</v>
      </c>
      <c r="T1446" s="59">
        <f ca="1">Dashboard!C$8* Dashboard!$F$4+Dashboard!C$10*SQRT(Dashboard!$F$4) * _xlfn.NORM.S.INV(RAND())</f>
        <v>2.443763948529468E-2</v>
      </c>
      <c r="U1446" s="59">
        <f ca="1">Dashboard!D$8* Dashboard!$F$4+Dashboard!D$10*SQRT(Dashboard!$F$4) * _xlfn.NORM.S.INV(RAND())</f>
        <v>-3.694565522646534E-2</v>
      </c>
    </row>
    <row r="1447" spans="18:21" x14ac:dyDescent="0.2">
      <c r="R1447" s="49">
        <v>1445</v>
      </c>
      <c r="S1447" s="59">
        <f ca="1">Dashboard!B$8* Dashboard!$F$4+Dashboard!B$10*SQRT(Dashboard!$F$4) * _xlfn.NORM.S.INV(RAND())</f>
        <v>-4.9459789147640966E-2</v>
      </c>
      <c r="T1447" s="59">
        <f ca="1">Dashboard!C$8* Dashboard!$F$4+Dashboard!C$10*SQRT(Dashboard!$F$4) * _xlfn.NORM.S.INV(RAND())</f>
        <v>-2.9701143203755862E-2</v>
      </c>
      <c r="U1447" s="59">
        <f ca="1">Dashboard!D$8* Dashboard!$F$4+Dashboard!D$10*SQRT(Dashboard!$F$4) * _xlfn.NORM.S.INV(RAND())</f>
        <v>3.2835289374375388E-2</v>
      </c>
    </row>
    <row r="1448" spans="18:21" x14ac:dyDescent="0.2">
      <c r="R1448" s="49">
        <v>1446</v>
      </c>
      <c r="S1448" s="59">
        <f ca="1">Dashboard!B$8* Dashboard!$F$4+Dashboard!B$10*SQRT(Dashboard!$F$4) * _xlfn.NORM.S.INV(RAND())</f>
        <v>-4.0941542211741554E-3</v>
      </c>
      <c r="T1448" s="59">
        <f ca="1">Dashboard!C$8* Dashboard!$F$4+Dashboard!C$10*SQRT(Dashboard!$F$4) * _xlfn.NORM.S.INV(RAND())</f>
        <v>-2.1260980257172334E-2</v>
      </c>
      <c r="U1448" s="59">
        <f ca="1">Dashboard!D$8* Dashboard!$F$4+Dashboard!D$10*SQRT(Dashboard!$F$4) * _xlfn.NORM.S.INV(RAND())</f>
        <v>-5.1586733214207703E-2</v>
      </c>
    </row>
    <row r="1449" spans="18:21" x14ac:dyDescent="0.2">
      <c r="R1449" s="49">
        <v>1447</v>
      </c>
      <c r="S1449" s="59">
        <f ca="1">Dashboard!B$8* Dashboard!$F$4+Dashboard!B$10*SQRT(Dashboard!$F$4) * _xlfn.NORM.S.INV(RAND())</f>
        <v>-6.5235254673585898E-3</v>
      </c>
      <c r="T1449" s="59">
        <f ca="1">Dashboard!C$8* Dashboard!$F$4+Dashboard!C$10*SQRT(Dashboard!$F$4) * _xlfn.NORM.S.INV(RAND())</f>
        <v>1.7625796296457968E-2</v>
      </c>
      <c r="U1449" s="59">
        <f ca="1">Dashboard!D$8* Dashboard!$F$4+Dashboard!D$10*SQRT(Dashboard!$F$4) * _xlfn.NORM.S.INV(RAND())</f>
        <v>-4.5535269089163896E-3</v>
      </c>
    </row>
    <row r="1450" spans="18:21" x14ac:dyDescent="0.2">
      <c r="R1450" s="49">
        <v>1448</v>
      </c>
      <c r="S1450" s="59">
        <f ca="1">Dashboard!B$8* Dashboard!$F$4+Dashboard!B$10*SQRT(Dashboard!$F$4) * _xlfn.NORM.S.INV(RAND())</f>
        <v>-6.9791853022394337E-2</v>
      </c>
      <c r="T1450" s="59">
        <f ca="1">Dashboard!C$8* Dashboard!$F$4+Dashboard!C$10*SQRT(Dashboard!$F$4) * _xlfn.NORM.S.INV(RAND())</f>
        <v>1.6467205961809506E-2</v>
      </c>
      <c r="U1450" s="59">
        <f ca="1">Dashboard!D$8* Dashboard!$F$4+Dashboard!D$10*SQRT(Dashboard!$F$4) * _xlfn.NORM.S.INV(RAND())</f>
        <v>-1.7722168698543372E-2</v>
      </c>
    </row>
    <row r="1451" spans="18:21" x14ac:dyDescent="0.2">
      <c r="R1451" s="49">
        <v>1449</v>
      </c>
      <c r="S1451" s="59">
        <f ca="1">Dashboard!B$8* Dashboard!$F$4+Dashboard!B$10*SQRT(Dashboard!$F$4) * _xlfn.NORM.S.INV(RAND())</f>
        <v>3.9863141901420027E-2</v>
      </c>
      <c r="T1451" s="59">
        <f ca="1">Dashboard!C$8* Dashboard!$F$4+Dashboard!C$10*SQRT(Dashboard!$F$4) * _xlfn.NORM.S.INV(RAND())</f>
        <v>-3.5672743374920858E-2</v>
      </c>
      <c r="U1451" s="59">
        <f ca="1">Dashboard!D$8* Dashboard!$F$4+Dashboard!D$10*SQRT(Dashboard!$F$4) * _xlfn.NORM.S.INV(RAND())</f>
        <v>5.2961855399021171E-3</v>
      </c>
    </row>
    <row r="1452" spans="18:21" x14ac:dyDescent="0.2">
      <c r="R1452" s="49">
        <v>1450</v>
      </c>
      <c r="S1452" s="59">
        <f ca="1">Dashboard!B$8* Dashboard!$F$4+Dashboard!B$10*SQRT(Dashboard!$F$4) * _xlfn.NORM.S.INV(RAND())</f>
        <v>3.0494631639898934E-3</v>
      </c>
      <c r="T1452" s="59">
        <f ca="1">Dashboard!C$8* Dashboard!$F$4+Dashboard!C$10*SQRT(Dashboard!$F$4) * _xlfn.NORM.S.INV(RAND())</f>
        <v>0.12383341086242923</v>
      </c>
      <c r="U1452" s="59">
        <f ca="1">Dashboard!D$8* Dashboard!$F$4+Dashboard!D$10*SQRT(Dashboard!$F$4) * _xlfn.NORM.S.INV(RAND())</f>
        <v>8.5884612500524513E-3</v>
      </c>
    </row>
    <row r="1453" spans="18:21" x14ac:dyDescent="0.2">
      <c r="R1453" s="49">
        <v>1451</v>
      </c>
      <c r="S1453" s="59">
        <f ca="1">Dashboard!B$8* Dashboard!$F$4+Dashboard!B$10*SQRT(Dashboard!$F$4) * _xlfn.NORM.S.INV(RAND())</f>
        <v>5.6141395330765391E-2</v>
      </c>
      <c r="T1453" s="59">
        <f ca="1">Dashboard!C$8* Dashboard!$F$4+Dashboard!C$10*SQRT(Dashboard!$F$4) * _xlfn.NORM.S.INV(RAND())</f>
        <v>-3.6546173625340114E-2</v>
      </c>
      <c r="U1453" s="59">
        <f ca="1">Dashboard!D$8* Dashboard!$F$4+Dashboard!D$10*SQRT(Dashboard!$F$4) * _xlfn.NORM.S.INV(RAND())</f>
        <v>-1.3953084053002737E-2</v>
      </c>
    </row>
    <row r="1454" spans="18:21" x14ac:dyDescent="0.2">
      <c r="R1454" s="49">
        <v>1452</v>
      </c>
      <c r="S1454" s="59">
        <f ca="1">Dashboard!B$8* Dashboard!$F$4+Dashboard!B$10*SQRT(Dashboard!$F$4) * _xlfn.NORM.S.INV(RAND())</f>
        <v>-2.0823905210825763E-2</v>
      </c>
      <c r="T1454" s="59">
        <f ca="1">Dashboard!C$8* Dashboard!$F$4+Dashboard!C$10*SQRT(Dashboard!$F$4) * _xlfn.NORM.S.INV(RAND())</f>
        <v>-2.840332670437366E-2</v>
      </c>
      <c r="U1454" s="59">
        <f ca="1">Dashboard!D$8* Dashboard!$F$4+Dashboard!D$10*SQRT(Dashboard!$F$4) * _xlfn.NORM.S.INV(RAND())</f>
        <v>1.9608865810163457E-2</v>
      </c>
    </row>
    <row r="1455" spans="18:21" x14ac:dyDescent="0.2">
      <c r="R1455" s="49">
        <v>1453</v>
      </c>
      <c r="S1455" s="59">
        <f ca="1">Dashboard!B$8* Dashboard!$F$4+Dashboard!B$10*SQRT(Dashboard!$F$4) * _xlfn.NORM.S.INV(RAND())</f>
        <v>-1.7868542999127345E-3</v>
      </c>
      <c r="T1455" s="59">
        <f ca="1">Dashboard!C$8* Dashboard!$F$4+Dashboard!C$10*SQRT(Dashboard!$F$4) * _xlfn.NORM.S.INV(RAND())</f>
        <v>2.20369681345308E-2</v>
      </c>
      <c r="U1455" s="59">
        <f ca="1">Dashboard!D$8* Dashboard!$F$4+Dashboard!D$10*SQRT(Dashboard!$F$4) * _xlfn.NORM.S.INV(RAND())</f>
        <v>-1.9772163286724013E-3</v>
      </c>
    </row>
    <row r="1456" spans="18:21" x14ac:dyDescent="0.2">
      <c r="R1456" s="49">
        <v>1454</v>
      </c>
      <c r="S1456" s="59">
        <f ca="1">Dashboard!B$8* Dashboard!$F$4+Dashboard!B$10*SQRT(Dashboard!$F$4) * _xlfn.NORM.S.INV(RAND())</f>
        <v>2.7491284524036173E-2</v>
      </c>
      <c r="T1456" s="59">
        <f ca="1">Dashboard!C$8* Dashboard!$F$4+Dashboard!C$10*SQRT(Dashboard!$F$4) * _xlfn.NORM.S.INV(RAND())</f>
        <v>1.1670930920851051E-2</v>
      </c>
      <c r="U1456" s="59">
        <f ca="1">Dashboard!D$8* Dashboard!$F$4+Dashboard!D$10*SQRT(Dashboard!$F$4) * _xlfn.NORM.S.INV(RAND())</f>
        <v>-6.2702177341942035E-3</v>
      </c>
    </row>
    <row r="1457" spans="18:21" x14ac:dyDescent="0.2">
      <c r="R1457" s="49">
        <v>1455</v>
      </c>
      <c r="S1457" s="59">
        <f ca="1">Dashboard!B$8* Dashboard!$F$4+Dashboard!B$10*SQRT(Dashboard!$F$4) * _xlfn.NORM.S.INV(RAND())</f>
        <v>1.0476988130859004E-2</v>
      </c>
      <c r="T1457" s="59">
        <f ca="1">Dashboard!C$8* Dashboard!$F$4+Dashboard!C$10*SQRT(Dashboard!$F$4) * _xlfn.NORM.S.INV(RAND())</f>
        <v>-4.2887047117162659E-2</v>
      </c>
      <c r="U1457" s="59">
        <f ca="1">Dashboard!D$8* Dashboard!$F$4+Dashboard!D$10*SQRT(Dashboard!$F$4) * _xlfn.NORM.S.INV(RAND())</f>
        <v>3.1679183547192354E-2</v>
      </c>
    </row>
    <row r="1458" spans="18:21" x14ac:dyDescent="0.2">
      <c r="R1458" s="49">
        <v>1456</v>
      </c>
      <c r="S1458" s="59">
        <f ca="1">Dashboard!B$8* Dashboard!$F$4+Dashboard!B$10*SQRT(Dashboard!$F$4) * _xlfn.NORM.S.INV(RAND())</f>
        <v>-2.8524920480377594E-2</v>
      </c>
      <c r="T1458" s="59">
        <f ca="1">Dashboard!C$8* Dashboard!$F$4+Dashboard!C$10*SQRT(Dashboard!$F$4) * _xlfn.NORM.S.INV(RAND())</f>
        <v>-9.7099209412903377E-3</v>
      </c>
      <c r="U1458" s="59">
        <f ca="1">Dashboard!D$8* Dashboard!$F$4+Dashboard!D$10*SQRT(Dashboard!$F$4) * _xlfn.NORM.S.INV(RAND())</f>
        <v>3.0148482721543819E-2</v>
      </c>
    </row>
    <row r="1459" spans="18:21" x14ac:dyDescent="0.2">
      <c r="R1459" s="49">
        <v>1457</v>
      </c>
      <c r="S1459" s="59">
        <f ca="1">Dashboard!B$8* Dashboard!$F$4+Dashboard!B$10*SQRT(Dashboard!$F$4) * _xlfn.NORM.S.INV(RAND())</f>
        <v>-3.2182233368606816E-2</v>
      </c>
      <c r="T1459" s="59">
        <f ca="1">Dashboard!C$8* Dashboard!$F$4+Dashboard!C$10*SQRT(Dashboard!$F$4) * _xlfn.NORM.S.INV(RAND())</f>
        <v>-3.476606153833519E-2</v>
      </c>
      <c r="U1459" s="59">
        <f ca="1">Dashboard!D$8* Dashboard!$F$4+Dashboard!D$10*SQRT(Dashboard!$F$4) * _xlfn.NORM.S.INV(RAND())</f>
        <v>2.0134750157547045E-2</v>
      </c>
    </row>
    <row r="1460" spans="18:21" x14ac:dyDescent="0.2">
      <c r="R1460" s="49">
        <v>1458</v>
      </c>
      <c r="S1460" s="59">
        <f ca="1">Dashboard!B$8* Dashboard!$F$4+Dashboard!B$10*SQRT(Dashboard!$F$4) * _xlfn.NORM.S.INV(RAND())</f>
        <v>2.7207659444851796E-2</v>
      </c>
      <c r="T1460" s="59">
        <f ca="1">Dashboard!C$8* Dashboard!$F$4+Dashboard!C$10*SQRT(Dashboard!$F$4) * _xlfn.NORM.S.INV(RAND())</f>
        <v>-7.3647248192715412E-2</v>
      </c>
      <c r="U1460" s="59">
        <f ca="1">Dashboard!D$8* Dashboard!$F$4+Dashboard!D$10*SQRT(Dashboard!$F$4) * _xlfn.NORM.S.INV(RAND())</f>
        <v>2.0278278858526799E-2</v>
      </c>
    </row>
    <row r="1461" spans="18:21" x14ac:dyDescent="0.2">
      <c r="R1461" s="49">
        <v>1459</v>
      </c>
      <c r="S1461" s="59">
        <f ca="1">Dashboard!B$8* Dashboard!$F$4+Dashboard!B$10*SQRT(Dashboard!$F$4) * _xlfn.NORM.S.INV(RAND())</f>
        <v>-1.2610139920887052E-2</v>
      </c>
      <c r="T1461" s="59">
        <f ca="1">Dashboard!C$8* Dashboard!$F$4+Dashboard!C$10*SQRT(Dashboard!$F$4) * _xlfn.NORM.S.INV(RAND())</f>
        <v>-1.5311355643036078E-2</v>
      </c>
      <c r="U1461" s="59">
        <f ca="1">Dashboard!D$8* Dashboard!$F$4+Dashboard!D$10*SQRT(Dashboard!$F$4) * _xlfn.NORM.S.INV(RAND())</f>
        <v>9.6592618686569508E-3</v>
      </c>
    </row>
    <row r="1462" spans="18:21" x14ac:dyDescent="0.2">
      <c r="R1462" s="49">
        <v>1460</v>
      </c>
      <c r="S1462" s="59">
        <f ca="1">Dashboard!B$8* Dashboard!$F$4+Dashboard!B$10*SQRT(Dashboard!$F$4) * _xlfn.NORM.S.INV(RAND())</f>
        <v>-1.4392610462930413E-2</v>
      </c>
      <c r="T1462" s="59">
        <f ca="1">Dashboard!C$8* Dashboard!$F$4+Dashboard!C$10*SQRT(Dashboard!$F$4) * _xlfn.NORM.S.INV(RAND())</f>
        <v>2.2086291837871204E-2</v>
      </c>
      <c r="U1462" s="59">
        <f ca="1">Dashboard!D$8* Dashboard!$F$4+Dashboard!D$10*SQRT(Dashboard!$F$4) * _xlfn.NORM.S.INV(RAND())</f>
        <v>-1.2100456372016333E-3</v>
      </c>
    </row>
    <row r="1463" spans="18:21" x14ac:dyDescent="0.2">
      <c r="R1463" s="49">
        <v>1461</v>
      </c>
      <c r="S1463" s="59">
        <f ca="1">Dashboard!B$8* Dashboard!$F$4+Dashboard!B$10*SQRT(Dashboard!$F$4) * _xlfn.NORM.S.INV(RAND())</f>
        <v>-1.1388790351883291E-2</v>
      </c>
      <c r="T1463" s="59">
        <f ca="1">Dashboard!C$8* Dashboard!$F$4+Dashboard!C$10*SQRT(Dashboard!$F$4) * _xlfn.NORM.S.INV(RAND())</f>
        <v>6.8381164877491241E-2</v>
      </c>
      <c r="U1463" s="59">
        <f ca="1">Dashboard!D$8* Dashboard!$F$4+Dashboard!D$10*SQRT(Dashboard!$F$4) * _xlfn.NORM.S.INV(RAND())</f>
        <v>-5.1113198141926981E-3</v>
      </c>
    </row>
    <row r="1464" spans="18:21" x14ac:dyDescent="0.2">
      <c r="R1464" s="49">
        <v>1462</v>
      </c>
      <c r="S1464" s="59">
        <f ca="1">Dashboard!B$8* Dashboard!$F$4+Dashboard!B$10*SQRT(Dashboard!$F$4) * _xlfn.NORM.S.INV(RAND())</f>
        <v>2.5597887829743066E-2</v>
      </c>
      <c r="T1464" s="59">
        <f ca="1">Dashboard!C$8* Dashboard!$F$4+Dashboard!C$10*SQRT(Dashboard!$F$4) * _xlfn.NORM.S.INV(RAND())</f>
        <v>1.2848482091913058E-2</v>
      </c>
      <c r="U1464" s="59">
        <f ca="1">Dashboard!D$8* Dashboard!$F$4+Dashboard!D$10*SQRT(Dashboard!$F$4) * _xlfn.NORM.S.INV(RAND())</f>
        <v>1.0096980273894055E-2</v>
      </c>
    </row>
    <row r="1465" spans="18:21" x14ac:dyDescent="0.2">
      <c r="R1465" s="49">
        <v>1463</v>
      </c>
      <c r="S1465" s="59">
        <f ca="1">Dashboard!B$8* Dashboard!$F$4+Dashboard!B$10*SQRT(Dashboard!$F$4) * _xlfn.NORM.S.INV(RAND())</f>
        <v>-1.5279508264828217E-2</v>
      </c>
      <c r="T1465" s="59">
        <f ca="1">Dashboard!C$8* Dashboard!$F$4+Dashboard!C$10*SQRT(Dashboard!$F$4) * _xlfn.NORM.S.INV(RAND())</f>
        <v>4.7581516825710241E-2</v>
      </c>
      <c r="U1465" s="59">
        <f ca="1">Dashboard!D$8* Dashboard!$F$4+Dashboard!D$10*SQRT(Dashboard!$F$4) * _xlfn.NORM.S.INV(RAND())</f>
        <v>5.39954062644157E-2</v>
      </c>
    </row>
    <row r="1466" spans="18:21" x14ac:dyDescent="0.2">
      <c r="R1466" s="49">
        <v>1464</v>
      </c>
      <c r="S1466" s="59">
        <f ca="1">Dashboard!B$8* Dashboard!$F$4+Dashboard!B$10*SQRT(Dashboard!$F$4) * _xlfn.NORM.S.INV(RAND())</f>
        <v>2.558390899940282E-2</v>
      </c>
      <c r="T1466" s="59">
        <f ca="1">Dashboard!C$8* Dashboard!$F$4+Dashboard!C$10*SQRT(Dashboard!$F$4) * _xlfn.NORM.S.INV(RAND())</f>
        <v>9.036560367366827E-3</v>
      </c>
      <c r="U1466" s="59">
        <f ca="1">Dashboard!D$8* Dashboard!$F$4+Dashboard!D$10*SQRT(Dashboard!$F$4) * _xlfn.NORM.S.INV(RAND())</f>
        <v>-2.968891529348559E-2</v>
      </c>
    </row>
    <row r="1467" spans="18:21" x14ac:dyDescent="0.2">
      <c r="R1467" s="49">
        <v>1465</v>
      </c>
      <c r="S1467" s="59">
        <f ca="1">Dashboard!B$8* Dashboard!$F$4+Dashboard!B$10*SQRT(Dashboard!$F$4) * _xlfn.NORM.S.INV(RAND())</f>
        <v>-3.3218625557522793E-2</v>
      </c>
      <c r="T1467" s="59">
        <f ca="1">Dashboard!C$8* Dashboard!$F$4+Dashboard!C$10*SQRT(Dashboard!$F$4) * _xlfn.NORM.S.INV(RAND())</f>
        <v>-5.6866844440762204E-2</v>
      </c>
      <c r="U1467" s="59">
        <f ca="1">Dashboard!D$8* Dashboard!$F$4+Dashboard!D$10*SQRT(Dashboard!$F$4) * _xlfn.NORM.S.INV(RAND())</f>
        <v>4.8884878473749666E-3</v>
      </c>
    </row>
    <row r="1468" spans="18:21" x14ac:dyDescent="0.2">
      <c r="R1468" s="49">
        <v>1466</v>
      </c>
      <c r="S1468" s="59">
        <f ca="1">Dashboard!B$8* Dashboard!$F$4+Dashboard!B$10*SQRT(Dashboard!$F$4) * _xlfn.NORM.S.INV(RAND())</f>
        <v>2.1491171368899137E-2</v>
      </c>
      <c r="T1468" s="59">
        <f ca="1">Dashboard!C$8* Dashboard!$F$4+Dashboard!C$10*SQRT(Dashboard!$F$4) * _xlfn.NORM.S.INV(RAND())</f>
        <v>4.162104039901025E-3</v>
      </c>
      <c r="U1468" s="59">
        <f ca="1">Dashboard!D$8* Dashboard!$F$4+Dashboard!D$10*SQRT(Dashboard!$F$4) * _xlfn.NORM.S.INV(RAND())</f>
        <v>2.8487761321386508E-2</v>
      </c>
    </row>
    <row r="1469" spans="18:21" x14ac:dyDescent="0.2">
      <c r="R1469" s="49">
        <v>1467</v>
      </c>
      <c r="S1469" s="59">
        <f ca="1">Dashboard!B$8* Dashboard!$F$4+Dashboard!B$10*SQRT(Dashboard!$F$4) * _xlfn.NORM.S.INV(RAND())</f>
        <v>2.4560326029179963E-3</v>
      </c>
      <c r="T1469" s="59">
        <f ca="1">Dashboard!C$8* Dashboard!$F$4+Dashboard!C$10*SQRT(Dashboard!$F$4) * _xlfn.NORM.S.INV(RAND())</f>
        <v>3.2438355246901869E-2</v>
      </c>
      <c r="U1469" s="59">
        <f ca="1">Dashboard!D$8* Dashboard!$F$4+Dashboard!D$10*SQRT(Dashboard!$F$4) * _xlfn.NORM.S.INV(RAND())</f>
        <v>4.4359824241544256E-2</v>
      </c>
    </row>
    <row r="1470" spans="18:21" x14ac:dyDescent="0.2">
      <c r="R1470" s="49">
        <v>1468</v>
      </c>
      <c r="S1470" s="59">
        <f ca="1">Dashboard!B$8* Dashboard!$F$4+Dashboard!B$10*SQRT(Dashboard!$F$4) * _xlfn.NORM.S.INV(RAND())</f>
        <v>3.6013270636966882E-2</v>
      </c>
      <c r="T1470" s="59">
        <f ca="1">Dashboard!C$8* Dashboard!$F$4+Dashboard!C$10*SQRT(Dashboard!$F$4) * _xlfn.NORM.S.INV(RAND())</f>
        <v>-6.0437834413665417E-2</v>
      </c>
      <c r="U1470" s="59">
        <f ca="1">Dashboard!D$8* Dashboard!$F$4+Dashboard!D$10*SQRT(Dashboard!$F$4) * _xlfn.NORM.S.INV(RAND())</f>
        <v>-2.4530884272259284E-2</v>
      </c>
    </row>
    <row r="1471" spans="18:21" x14ac:dyDescent="0.2">
      <c r="R1471" s="49">
        <v>1469</v>
      </c>
      <c r="S1471" s="59">
        <f ca="1">Dashboard!B$8* Dashboard!$F$4+Dashboard!B$10*SQRT(Dashboard!$F$4) * _xlfn.NORM.S.INV(RAND())</f>
        <v>-5.672337300235258E-3</v>
      </c>
      <c r="T1471" s="59">
        <f ca="1">Dashboard!C$8* Dashboard!$F$4+Dashboard!C$10*SQRT(Dashboard!$F$4) * _xlfn.NORM.S.INV(RAND())</f>
        <v>-5.4544620703758324E-2</v>
      </c>
      <c r="U1471" s="59">
        <f ca="1">Dashboard!D$8* Dashboard!$F$4+Dashboard!D$10*SQRT(Dashboard!$F$4) * _xlfn.NORM.S.INV(RAND())</f>
        <v>-1.5015951075920506E-3</v>
      </c>
    </row>
    <row r="1472" spans="18:21" x14ac:dyDescent="0.2">
      <c r="R1472" s="49">
        <v>1470</v>
      </c>
      <c r="S1472" s="59">
        <f ca="1">Dashboard!B$8* Dashboard!$F$4+Dashboard!B$10*SQRT(Dashboard!$F$4) * _xlfn.NORM.S.INV(RAND())</f>
        <v>-3.4501862238117305E-2</v>
      </c>
      <c r="T1472" s="59">
        <f ca="1">Dashboard!C$8* Dashboard!$F$4+Dashboard!C$10*SQRT(Dashboard!$F$4) * _xlfn.NORM.S.INV(RAND())</f>
        <v>3.7714340048591527E-3</v>
      </c>
      <c r="U1472" s="59">
        <f ca="1">Dashboard!D$8* Dashboard!$F$4+Dashboard!D$10*SQRT(Dashboard!$F$4) * _xlfn.NORM.S.INV(RAND())</f>
        <v>1.1448072979521939E-2</v>
      </c>
    </row>
    <row r="1473" spans="18:21" x14ac:dyDescent="0.2">
      <c r="R1473" s="49">
        <v>1471</v>
      </c>
      <c r="S1473" s="59">
        <f ca="1">Dashboard!B$8* Dashboard!$F$4+Dashboard!B$10*SQRT(Dashboard!$F$4) * _xlfn.NORM.S.INV(RAND())</f>
        <v>-4.1939533589918837E-2</v>
      </c>
      <c r="T1473" s="59">
        <f ca="1">Dashboard!C$8* Dashboard!$F$4+Dashboard!C$10*SQRT(Dashboard!$F$4) * _xlfn.NORM.S.INV(RAND())</f>
        <v>6.7388555407348422E-2</v>
      </c>
      <c r="U1473" s="59">
        <f ca="1">Dashboard!D$8* Dashboard!$F$4+Dashboard!D$10*SQRT(Dashboard!$F$4) * _xlfn.NORM.S.INV(RAND())</f>
        <v>3.9621348358613924E-2</v>
      </c>
    </row>
    <row r="1474" spans="18:21" x14ac:dyDescent="0.2">
      <c r="R1474" s="49">
        <v>1472</v>
      </c>
      <c r="S1474" s="59">
        <f ca="1">Dashboard!B$8* Dashboard!$F$4+Dashboard!B$10*SQRT(Dashboard!$F$4) * _xlfn.NORM.S.INV(RAND())</f>
        <v>-2.4666378343296713E-2</v>
      </c>
      <c r="T1474" s="59">
        <f ca="1">Dashboard!C$8* Dashboard!$F$4+Dashboard!C$10*SQRT(Dashboard!$F$4) * _xlfn.NORM.S.INV(RAND())</f>
        <v>-1.7154830607954193E-2</v>
      </c>
      <c r="U1474" s="59">
        <f ca="1">Dashboard!D$8* Dashboard!$F$4+Dashboard!D$10*SQRT(Dashboard!$F$4) * _xlfn.NORM.S.INV(RAND())</f>
        <v>-3.0998506107112397E-3</v>
      </c>
    </row>
    <row r="1475" spans="18:21" x14ac:dyDescent="0.2">
      <c r="R1475" s="49">
        <v>1473</v>
      </c>
      <c r="S1475" s="59">
        <f ca="1">Dashboard!B$8* Dashboard!$F$4+Dashboard!B$10*SQRT(Dashboard!$F$4) * _xlfn.NORM.S.INV(RAND())</f>
        <v>-8.8559428426673817E-2</v>
      </c>
      <c r="T1475" s="59">
        <f ca="1">Dashboard!C$8* Dashboard!$F$4+Dashboard!C$10*SQRT(Dashboard!$F$4) * _xlfn.NORM.S.INV(RAND())</f>
        <v>-5.2006165017701132E-2</v>
      </c>
      <c r="U1475" s="59">
        <f ca="1">Dashboard!D$8* Dashboard!$F$4+Dashboard!D$10*SQRT(Dashboard!$F$4) * _xlfn.NORM.S.INV(RAND())</f>
        <v>3.6409170310503301E-2</v>
      </c>
    </row>
    <row r="1476" spans="18:21" x14ac:dyDescent="0.2">
      <c r="R1476" s="49">
        <v>1474</v>
      </c>
      <c r="S1476" s="59">
        <f ca="1">Dashboard!B$8* Dashboard!$F$4+Dashboard!B$10*SQRT(Dashboard!$F$4) * _xlfn.NORM.S.INV(RAND())</f>
        <v>-3.8383411517788353E-2</v>
      </c>
      <c r="T1476" s="59">
        <f ca="1">Dashboard!C$8* Dashboard!$F$4+Dashboard!C$10*SQRT(Dashboard!$F$4) * _xlfn.NORM.S.INV(RAND())</f>
        <v>-1.2052439397418197E-2</v>
      </c>
      <c r="U1476" s="59">
        <f ca="1">Dashboard!D$8* Dashboard!$F$4+Dashboard!D$10*SQRT(Dashboard!$F$4) * _xlfn.NORM.S.INV(RAND())</f>
        <v>6.0792072062834629E-2</v>
      </c>
    </row>
    <row r="1477" spans="18:21" x14ac:dyDescent="0.2">
      <c r="R1477" s="49">
        <v>1475</v>
      </c>
      <c r="S1477" s="59">
        <f ca="1">Dashboard!B$8* Dashboard!$F$4+Dashboard!B$10*SQRT(Dashboard!$F$4) * _xlfn.NORM.S.INV(RAND())</f>
        <v>2.1855908999180947E-2</v>
      </c>
      <c r="T1477" s="59">
        <f ca="1">Dashboard!C$8* Dashboard!$F$4+Dashboard!C$10*SQRT(Dashboard!$F$4) * _xlfn.NORM.S.INV(RAND())</f>
        <v>1.5000049495354204E-2</v>
      </c>
      <c r="U1477" s="59">
        <f ca="1">Dashboard!D$8* Dashboard!$F$4+Dashboard!D$10*SQRT(Dashboard!$F$4) * _xlfn.NORM.S.INV(RAND())</f>
        <v>3.5129684623568184E-2</v>
      </c>
    </row>
    <row r="1478" spans="18:21" x14ac:dyDescent="0.2">
      <c r="R1478" s="49">
        <v>1476</v>
      </c>
      <c r="S1478" s="59">
        <f ca="1">Dashboard!B$8* Dashboard!$F$4+Dashboard!B$10*SQRT(Dashboard!$F$4) * _xlfn.NORM.S.INV(RAND())</f>
        <v>1.2626947068560481E-2</v>
      </c>
      <c r="T1478" s="59">
        <f ca="1">Dashboard!C$8* Dashboard!$F$4+Dashboard!C$10*SQRT(Dashboard!$F$4) * _xlfn.NORM.S.INV(RAND())</f>
        <v>3.2324173601087931E-3</v>
      </c>
      <c r="U1478" s="59">
        <f ca="1">Dashboard!D$8* Dashboard!$F$4+Dashboard!D$10*SQRT(Dashboard!$F$4) * _xlfn.NORM.S.INV(RAND())</f>
        <v>-1.8102188125451012E-2</v>
      </c>
    </row>
    <row r="1479" spans="18:21" x14ac:dyDescent="0.2">
      <c r="R1479" s="49">
        <v>1477</v>
      </c>
      <c r="S1479" s="59">
        <f ca="1">Dashboard!B$8* Dashboard!$F$4+Dashboard!B$10*SQRT(Dashboard!$F$4) * _xlfn.NORM.S.INV(RAND())</f>
        <v>-2.1715100127318129E-2</v>
      </c>
      <c r="T1479" s="59">
        <f ca="1">Dashboard!C$8* Dashboard!$F$4+Dashboard!C$10*SQRT(Dashboard!$F$4) * _xlfn.NORM.S.INV(RAND())</f>
        <v>2.344297258337432E-2</v>
      </c>
      <c r="U1479" s="59">
        <f ca="1">Dashboard!D$8* Dashboard!$F$4+Dashboard!D$10*SQRT(Dashboard!$F$4) * _xlfn.NORM.S.INV(RAND())</f>
        <v>-1.0648277599776133E-2</v>
      </c>
    </row>
    <row r="1480" spans="18:21" x14ac:dyDescent="0.2">
      <c r="R1480" s="49">
        <v>1478</v>
      </c>
      <c r="S1480" s="59">
        <f ca="1">Dashboard!B$8* Dashboard!$F$4+Dashboard!B$10*SQRT(Dashboard!$F$4) * _xlfn.NORM.S.INV(RAND())</f>
        <v>-3.2864883643326133E-3</v>
      </c>
      <c r="T1480" s="59">
        <f ca="1">Dashboard!C$8* Dashboard!$F$4+Dashboard!C$10*SQRT(Dashboard!$F$4) * _xlfn.NORM.S.INV(RAND())</f>
        <v>3.231062162884369E-4</v>
      </c>
      <c r="U1480" s="59">
        <f ca="1">Dashboard!D$8* Dashboard!$F$4+Dashboard!D$10*SQRT(Dashboard!$F$4) * _xlfn.NORM.S.INV(RAND())</f>
        <v>-1.0844126928129583E-2</v>
      </c>
    </row>
    <row r="1481" spans="18:21" x14ac:dyDescent="0.2">
      <c r="R1481" s="49">
        <v>1479</v>
      </c>
      <c r="S1481" s="59">
        <f ca="1">Dashboard!B$8* Dashboard!$F$4+Dashboard!B$10*SQRT(Dashboard!$F$4) * _xlfn.NORM.S.INV(RAND())</f>
        <v>2.0333862792926143E-2</v>
      </c>
      <c r="T1481" s="59">
        <f ca="1">Dashboard!C$8* Dashboard!$F$4+Dashboard!C$10*SQRT(Dashboard!$F$4) * _xlfn.NORM.S.INV(RAND())</f>
        <v>6.2200029990606705E-2</v>
      </c>
      <c r="U1481" s="59">
        <f ca="1">Dashboard!D$8* Dashboard!$F$4+Dashboard!D$10*SQRT(Dashboard!$F$4) * _xlfn.NORM.S.INV(RAND())</f>
        <v>-3.4163391932149685E-2</v>
      </c>
    </row>
    <row r="1482" spans="18:21" x14ac:dyDescent="0.2">
      <c r="R1482" s="49">
        <v>1480</v>
      </c>
      <c r="S1482" s="59">
        <f ca="1">Dashboard!B$8* Dashboard!$F$4+Dashboard!B$10*SQRT(Dashboard!$F$4) * _xlfn.NORM.S.INV(RAND())</f>
        <v>2.7517133497820716E-3</v>
      </c>
      <c r="T1482" s="59">
        <f ca="1">Dashboard!C$8* Dashboard!$F$4+Dashboard!C$10*SQRT(Dashboard!$F$4) * _xlfn.NORM.S.INV(RAND())</f>
        <v>1.2796258775232626E-2</v>
      </c>
      <c r="U1482" s="59">
        <f ca="1">Dashboard!D$8* Dashboard!$F$4+Dashboard!D$10*SQRT(Dashboard!$F$4) * _xlfn.NORM.S.INV(RAND())</f>
        <v>-6.4434509986122726E-3</v>
      </c>
    </row>
    <row r="1483" spans="18:21" x14ac:dyDescent="0.2">
      <c r="R1483" s="49">
        <v>1481</v>
      </c>
      <c r="S1483" s="59">
        <f ca="1">Dashboard!B$8* Dashboard!$F$4+Dashboard!B$10*SQRT(Dashboard!$F$4) * _xlfn.NORM.S.INV(RAND())</f>
        <v>-1.692733129943213E-3</v>
      </c>
      <c r="T1483" s="59">
        <f ca="1">Dashboard!C$8* Dashboard!$F$4+Dashboard!C$10*SQRT(Dashboard!$F$4) * _xlfn.NORM.S.INV(RAND())</f>
        <v>-1.0995935140413117E-2</v>
      </c>
      <c r="U1483" s="59">
        <f ca="1">Dashboard!D$8* Dashboard!$F$4+Dashboard!D$10*SQRT(Dashboard!$F$4) * _xlfn.NORM.S.INV(RAND())</f>
        <v>6.4672574271674693E-2</v>
      </c>
    </row>
    <row r="1484" spans="18:21" x14ac:dyDescent="0.2">
      <c r="R1484" s="49">
        <v>1482</v>
      </c>
      <c r="S1484" s="59">
        <f ca="1">Dashboard!B$8* Dashboard!$F$4+Dashboard!B$10*SQRT(Dashboard!$F$4) * _xlfn.NORM.S.INV(RAND())</f>
        <v>4.0064893361377155E-2</v>
      </c>
      <c r="T1484" s="59">
        <f ca="1">Dashboard!C$8* Dashboard!$F$4+Dashboard!C$10*SQRT(Dashboard!$F$4) * _xlfn.NORM.S.INV(RAND())</f>
        <v>-1.3983175772422349E-2</v>
      </c>
      <c r="U1484" s="59">
        <f ca="1">Dashboard!D$8* Dashboard!$F$4+Dashboard!D$10*SQRT(Dashboard!$F$4) * _xlfn.NORM.S.INV(RAND())</f>
        <v>2.1534096113161046E-2</v>
      </c>
    </row>
    <row r="1485" spans="18:21" x14ac:dyDescent="0.2">
      <c r="R1485" s="49">
        <v>1483</v>
      </c>
      <c r="S1485" s="59">
        <f ca="1">Dashboard!B$8* Dashboard!$F$4+Dashboard!B$10*SQRT(Dashboard!$F$4) * _xlfn.NORM.S.INV(RAND())</f>
        <v>1.4640241676724059E-2</v>
      </c>
      <c r="T1485" s="59">
        <f ca="1">Dashboard!C$8* Dashboard!$F$4+Dashboard!C$10*SQRT(Dashboard!$F$4) * _xlfn.NORM.S.INV(RAND())</f>
        <v>1.6591336285654384E-2</v>
      </c>
      <c r="U1485" s="59">
        <f ca="1">Dashboard!D$8* Dashboard!$F$4+Dashboard!D$10*SQRT(Dashboard!$F$4) * _xlfn.NORM.S.INV(RAND())</f>
        <v>2.2708565119667734E-2</v>
      </c>
    </row>
    <row r="1486" spans="18:21" x14ac:dyDescent="0.2">
      <c r="R1486" s="49">
        <v>1484</v>
      </c>
      <c r="S1486" s="59">
        <f ca="1">Dashboard!B$8* Dashboard!$F$4+Dashboard!B$10*SQRT(Dashboard!$F$4) * _xlfn.NORM.S.INV(RAND())</f>
        <v>-2.2015602368175465E-2</v>
      </c>
      <c r="T1486" s="59">
        <f ca="1">Dashboard!C$8* Dashboard!$F$4+Dashboard!C$10*SQRT(Dashboard!$F$4) * _xlfn.NORM.S.INV(RAND())</f>
        <v>9.6719974400524787E-3</v>
      </c>
      <c r="U1486" s="59">
        <f ca="1">Dashboard!D$8* Dashboard!$F$4+Dashboard!D$10*SQRT(Dashboard!$F$4) * _xlfn.NORM.S.INV(RAND())</f>
        <v>1.1045285381811642E-3</v>
      </c>
    </row>
    <row r="1487" spans="18:21" x14ac:dyDescent="0.2">
      <c r="R1487" s="49">
        <v>1485</v>
      </c>
      <c r="S1487" s="59">
        <f ca="1">Dashboard!B$8* Dashboard!$F$4+Dashboard!B$10*SQRT(Dashboard!$F$4) * _xlfn.NORM.S.INV(RAND())</f>
        <v>-4.3721051114823627E-2</v>
      </c>
      <c r="T1487" s="59">
        <f ca="1">Dashboard!C$8* Dashboard!$F$4+Dashboard!C$10*SQRT(Dashboard!$F$4) * _xlfn.NORM.S.INV(RAND())</f>
        <v>-1.2080418716731999E-2</v>
      </c>
      <c r="U1487" s="59">
        <f ca="1">Dashboard!D$8* Dashboard!$F$4+Dashboard!D$10*SQRT(Dashboard!$F$4) * _xlfn.NORM.S.INV(RAND())</f>
        <v>1.4212930683072458E-2</v>
      </c>
    </row>
    <row r="1488" spans="18:21" x14ac:dyDescent="0.2">
      <c r="R1488" s="49">
        <v>1486</v>
      </c>
      <c r="S1488" s="59">
        <f ca="1">Dashboard!B$8* Dashboard!$F$4+Dashboard!B$10*SQRT(Dashboard!$F$4) * _xlfn.NORM.S.INV(RAND())</f>
        <v>-2.5545717391250534E-2</v>
      </c>
      <c r="T1488" s="59">
        <f ca="1">Dashboard!C$8* Dashboard!$F$4+Dashboard!C$10*SQRT(Dashboard!$F$4) * _xlfn.NORM.S.INV(RAND())</f>
        <v>3.4011966591086365E-2</v>
      </c>
      <c r="U1488" s="59">
        <f ca="1">Dashboard!D$8* Dashboard!$F$4+Dashboard!D$10*SQRT(Dashboard!$F$4) * _xlfn.NORM.S.INV(RAND())</f>
        <v>-2.8815708181643661E-2</v>
      </c>
    </row>
    <row r="1489" spans="18:21" x14ac:dyDescent="0.2">
      <c r="R1489" s="49">
        <v>1487</v>
      </c>
      <c r="S1489" s="59">
        <f ca="1">Dashboard!B$8* Dashboard!$F$4+Dashboard!B$10*SQRT(Dashboard!$F$4) * _xlfn.NORM.S.INV(RAND())</f>
        <v>-1.0429896835769142E-2</v>
      </c>
      <c r="T1489" s="59">
        <f ca="1">Dashboard!C$8* Dashboard!$F$4+Dashboard!C$10*SQRT(Dashboard!$F$4) * _xlfn.NORM.S.INV(RAND())</f>
        <v>-5.4760759353182566E-2</v>
      </c>
      <c r="U1489" s="59">
        <f ca="1">Dashboard!D$8* Dashboard!$F$4+Dashboard!D$10*SQRT(Dashboard!$F$4) * _xlfn.NORM.S.INV(RAND())</f>
        <v>4.8686882827319016E-3</v>
      </c>
    </row>
    <row r="1490" spans="18:21" x14ac:dyDescent="0.2">
      <c r="R1490" s="49">
        <v>1488</v>
      </c>
      <c r="S1490" s="59">
        <f ca="1">Dashboard!B$8* Dashboard!$F$4+Dashboard!B$10*SQRT(Dashboard!$F$4) * _xlfn.NORM.S.INV(RAND())</f>
        <v>-4.0501488261653264E-2</v>
      </c>
      <c r="T1490" s="59">
        <f ca="1">Dashboard!C$8* Dashboard!$F$4+Dashboard!C$10*SQRT(Dashboard!$F$4) * _xlfn.NORM.S.INV(RAND())</f>
        <v>3.9347617247159503E-2</v>
      </c>
      <c r="U1490" s="59">
        <f ca="1">Dashboard!D$8* Dashboard!$F$4+Dashboard!D$10*SQRT(Dashboard!$F$4) * _xlfn.NORM.S.INV(RAND())</f>
        <v>-1.0193075189975937E-2</v>
      </c>
    </row>
    <row r="1491" spans="18:21" x14ac:dyDescent="0.2">
      <c r="R1491" s="49">
        <v>1489</v>
      </c>
      <c r="S1491" s="59">
        <f ca="1">Dashboard!B$8* Dashboard!$F$4+Dashboard!B$10*SQRT(Dashboard!$F$4) * _xlfn.NORM.S.INV(RAND())</f>
        <v>-1.7117757739906481E-2</v>
      </c>
      <c r="T1491" s="59">
        <f ca="1">Dashboard!C$8* Dashboard!$F$4+Dashboard!C$10*SQRT(Dashboard!$F$4) * _xlfn.NORM.S.INV(RAND())</f>
        <v>1.0841609787289725E-2</v>
      </c>
      <c r="U1491" s="59">
        <f ca="1">Dashboard!D$8* Dashboard!$F$4+Dashboard!D$10*SQRT(Dashboard!$F$4) * _xlfn.NORM.S.INV(RAND())</f>
        <v>-8.7561942115936178E-3</v>
      </c>
    </row>
    <row r="1492" spans="18:21" x14ac:dyDescent="0.2">
      <c r="R1492" s="49">
        <v>1490</v>
      </c>
      <c r="S1492" s="59">
        <f ca="1">Dashboard!B$8* Dashboard!$F$4+Dashboard!B$10*SQRT(Dashboard!$F$4) * _xlfn.NORM.S.INV(RAND())</f>
        <v>2.268501812829754E-2</v>
      </c>
      <c r="T1492" s="59">
        <f ca="1">Dashboard!C$8* Dashboard!$F$4+Dashboard!C$10*SQRT(Dashboard!$F$4) * _xlfn.NORM.S.INV(RAND())</f>
        <v>-4.0872812018276777E-2</v>
      </c>
      <c r="U1492" s="59">
        <f ca="1">Dashboard!D$8* Dashboard!$F$4+Dashboard!D$10*SQRT(Dashboard!$F$4) * _xlfn.NORM.S.INV(RAND())</f>
        <v>-4.7331854235941738E-2</v>
      </c>
    </row>
    <row r="1493" spans="18:21" x14ac:dyDescent="0.2">
      <c r="R1493" s="49">
        <v>1491</v>
      </c>
      <c r="S1493" s="59">
        <f ca="1">Dashboard!B$8* Dashboard!$F$4+Dashboard!B$10*SQRT(Dashboard!$F$4) * _xlfn.NORM.S.INV(RAND())</f>
        <v>6.3123671863094429E-3</v>
      </c>
      <c r="T1493" s="59">
        <f ca="1">Dashboard!C$8* Dashboard!$F$4+Dashboard!C$10*SQRT(Dashboard!$F$4) * _xlfn.NORM.S.INV(RAND())</f>
        <v>5.6549296244372611E-2</v>
      </c>
      <c r="U1493" s="59">
        <f ca="1">Dashboard!D$8* Dashboard!$F$4+Dashboard!D$10*SQRT(Dashboard!$F$4) * _xlfn.NORM.S.INV(RAND())</f>
        <v>-2.4338129207811358E-2</v>
      </c>
    </row>
    <row r="1494" spans="18:21" x14ac:dyDescent="0.2">
      <c r="R1494" s="49">
        <v>1492</v>
      </c>
      <c r="S1494" s="59">
        <f ca="1">Dashboard!B$8* Dashboard!$F$4+Dashboard!B$10*SQRT(Dashboard!$F$4) * _xlfn.NORM.S.INV(RAND())</f>
        <v>6.1087182259051645E-2</v>
      </c>
      <c r="T1494" s="59">
        <f ca="1">Dashboard!C$8* Dashboard!$F$4+Dashboard!C$10*SQRT(Dashboard!$F$4) * _xlfn.NORM.S.INV(RAND())</f>
        <v>-6.7062955894030439E-3</v>
      </c>
      <c r="U1494" s="59">
        <f ca="1">Dashboard!D$8* Dashboard!$F$4+Dashboard!D$10*SQRT(Dashboard!$F$4) * _xlfn.NORM.S.INV(RAND())</f>
        <v>1.585801550561268E-2</v>
      </c>
    </row>
    <row r="1495" spans="18:21" x14ac:dyDescent="0.2">
      <c r="R1495" s="49">
        <v>1493</v>
      </c>
      <c r="S1495" s="59">
        <f ca="1">Dashboard!B$8* Dashboard!$F$4+Dashboard!B$10*SQRT(Dashboard!$F$4) * _xlfn.NORM.S.INV(RAND())</f>
        <v>1.1615019662844095E-2</v>
      </c>
      <c r="T1495" s="59">
        <f ca="1">Dashboard!C$8* Dashboard!$F$4+Dashboard!C$10*SQRT(Dashboard!$F$4) * _xlfn.NORM.S.INV(RAND())</f>
        <v>4.2643159392162212E-2</v>
      </c>
      <c r="U1495" s="59">
        <f ca="1">Dashboard!D$8* Dashboard!$F$4+Dashboard!D$10*SQRT(Dashboard!$F$4) * _xlfn.NORM.S.INV(RAND())</f>
        <v>4.5203089812778728E-2</v>
      </c>
    </row>
    <row r="1496" spans="18:21" x14ac:dyDescent="0.2">
      <c r="R1496" s="49">
        <v>1494</v>
      </c>
      <c r="S1496" s="59">
        <f ca="1">Dashboard!B$8* Dashboard!$F$4+Dashboard!B$10*SQRT(Dashboard!$F$4) * _xlfn.NORM.S.INV(RAND())</f>
        <v>6.4091894783658163E-2</v>
      </c>
      <c r="T1496" s="59">
        <f ca="1">Dashboard!C$8* Dashboard!$F$4+Dashboard!C$10*SQRT(Dashboard!$F$4) * _xlfn.NORM.S.INV(RAND())</f>
        <v>6.6034388017039397E-2</v>
      </c>
      <c r="U1496" s="59">
        <f ca="1">Dashboard!D$8* Dashboard!$F$4+Dashboard!D$10*SQRT(Dashboard!$F$4) * _xlfn.NORM.S.INV(RAND())</f>
        <v>-1.6106693950521216E-2</v>
      </c>
    </row>
    <row r="1497" spans="18:21" x14ac:dyDescent="0.2">
      <c r="R1497" s="49">
        <v>1495</v>
      </c>
      <c r="S1497" s="59">
        <f ca="1">Dashboard!B$8* Dashboard!$F$4+Dashboard!B$10*SQRT(Dashboard!$F$4) * _xlfn.NORM.S.INV(RAND())</f>
        <v>-9.6238571819400529E-3</v>
      </c>
      <c r="T1497" s="59">
        <f ca="1">Dashboard!C$8* Dashboard!$F$4+Dashboard!C$10*SQRT(Dashboard!$F$4) * _xlfn.NORM.S.INV(RAND())</f>
        <v>1.9954882713455458E-2</v>
      </c>
      <c r="U1497" s="59">
        <f ca="1">Dashboard!D$8* Dashboard!$F$4+Dashboard!D$10*SQRT(Dashboard!$F$4) * _xlfn.NORM.S.INV(RAND())</f>
        <v>1.5344490805373142E-2</v>
      </c>
    </row>
    <row r="1498" spans="18:21" x14ac:dyDescent="0.2">
      <c r="R1498" s="49">
        <v>1496</v>
      </c>
      <c r="S1498" s="59">
        <f ca="1">Dashboard!B$8* Dashboard!$F$4+Dashboard!B$10*SQRT(Dashboard!$F$4) * _xlfn.NORM.S.INV(RAND())</f>
        <v>-8.3086745957894753E-3</v>
      </c>
      <c r="T1498" s="59">
        <f ca="1">Dashboard!C$8* Dashboard!$F$4+Dashboard!C$10*SQRT(Dashboard!$F$4) * _xlfn.NORM.S.INV(RAND())</f>
        <v>3.8839718958002263E-2</v>
      </c>
      <c r="U1498" s="59">
        <f ca="1">Dashboard!D$8* Dashboard!$F$4+Dashboard!D$10*SQRT(Dashboard!$F$4) * _xlfn.NORM.S.INV(RAND())</f>
        <v>5.4787792565084134E-2</v>
      </c>
    </row>
    <row r="1499" spans="18:21" x14ac:dyDescent="0.2">
      <c r="R1499" s="49">
        <v>1497</v>
      </c>
      <c r="S1499" s="59">
        <f ca="1">Dashboard!B$8* Dashboard!$F$4+Dashboard!B$10*SQRT(Dashboard!$F$4) * _xlfn.NORM.S.INV(RAND())</f>
        <v>4.0168792130979979E-2</v>
      </c>
      <c r="T1499" s="59">
        <f ca="1">Dashboard!C$8* Dashboard!$F$4+Dashboard!C$10*SQRT(Dashboard!$F$4) * _xlfn.NORM.S.INV(RAND())</f>
        <v>-1.9642320305662576E-2</v>
      </c>
      <c r="U1499" s="59">
        <f ca="1">Dashboard!D$8* Dashboard!$F$4+Dashboard!D$10*SQRT(Dashboard!$F$4) * _xlfn.NORM.S.INV(RAND())</f>
        <v>-2.568284767970257E-4</v>
      </c>
    </row>
    <row r="1500" spans="18:21" x14ac:dyDescent="0.2">
      <c r="R1500" s="49">
        <v>1498</v>
      </c>
      <c r="S1500" s="59">
        <f ca="1">Dashboard!B$8* Dashboard!$F$4+Dashboard!B$10*SQRT(Dashboard!$F$4) * _xlfn.NORM.S.INV(RAND())</f>
        <v>-1.776087858132705E-2</v>
      </c>
      <c r="T1500" s="59">
        <f ca="1">Dashboard!C$8* Dashboard!$F$4+Dashboard!C$10*SQRT(Dashboard!$F$4) * _xlfn.NORM.S.INV(RAND())</f>
        <v>5.3500411574421841E-4</v>
      </c>
      <c r="U1500" s="59">
        <f ca="1">Dashboard!D$8* Dashboard!$F$4+Dashboard!D$10*SQRT(Dashboard!$F$4) * _xlfn.NORM.S.INV(RAND())</f>
        <v>-4.0659228534196568E-2</v>
      </c>
    </row>
    <row r="1501" spans="18:21" x14ac:dyDescent="0.2">
      <c r="R1501" s="49">
        <v>1499</v>
      </c>
      <c r="S1501" s="59">
        <f ca="1">Dashboard!B$8* Dashboard!$F$4+Dashboard!B$10*SQRT(Dashboard!$F$4) * _xlfn.NORM.S.INV(RAND())</f>
        <v>-3.1090436705193167E-2</v>
      </c>
      <c r="T1501" s="59">
        <f ca="1">Dashboard!C$8* Dashboard!$F$4+Dashboard!C$10*SQRT(Dashboard!$F$4) * _xlfn.NORM.S.INV(RAND())</f>
        <v>8.6152002041473517E-4</v>
      </c>
      <c r="U1501" s="59">
        <f ca="1">Dashboard!D$8* Dashboard!$F$4+Dashboard!D$10*SQRT(Dashboard!$F$4) * _xlfn.NORM.S.INV(RAND())</f>
        <v>-5.6473076455928091E-3</v>
      </c>
    </row>
    <row r="1502" spans="18:21" x14ac:dyDescent="0.2">
      <c r="R1502" s="49">
        <v>1500</v>
      </c>
      <c r="S1502" s="59">
        <f ca="1">Dashboard!B$8* Dashboard!$F$4+Dashboard!B$10*SQRT(Dashboard!$F$4) * _xlfn.NORM.S.INV(RAND())</f>
        <v>-3.2699793861280385E-2</v>
      </c>
      <c r="T1502" s="59">
        <f ca="1">Dashboard!C$8* Dashboard!$F$4+Dashboard!C$10*SQRT(Dashboard!$F$4) * _xlfn.NORM.S.INV(RAND())</f>
        <v>-7.9039952134348397E-3</v>
      </c>
      <c r="U1502" s="59">
        <f ca="1">Dashboard!D$8* Dashboard!$F$4+Dashboard!D$10*SQRT(Dashboard!$F$4) * _xlfn.NORM.S.INV(RAND())</f>
        <v>-2.4667755129780224E-2</v>
      </c>
    </row>
    <row r="1503" spans="18:21" x14ac:dyDescent="0.2">
      <c r="R1503" s="49">
        <v>1501</v>
      </c>
      <c r="S1503" s="59">
        <f ca="1">Dashboard!B$8* Dashboard!$F$4+Dashboard!B$10*SQRT(Dashboard!$F$4) * _xlfn.NORM.S.INV(RAND())</f>
        <v>-3.3913724589932303E-3</v>
      </c>
      <c r="T1503" s="59">
        <f ca="1">Dashboard!C$8* Dashboard!$F$4+Dashboard!C$10*SQRT(Dashboard!$F$4) * _xlfn.NORM.S.INV(RAND())</f>
        <v>-3.8538842636793226E-2</v>
      </c>
      <c r="U1503" s="59">
        <f ca="1">Dashboard!D$8* Dashboard!$F$4+Dashboard!D$10*SQRT(Dashboard!$F$4) * _xlfn.NORM.S.INV(RAND())</f>
        <v>1.4448731714419599E-2</v>
      </c>
    </row>
    <row r="1504" spans="18:21" x14ac:dyDescent="0.2">
      <c r="R1504" s="49">
        <v>1502</v>
      </c>
      <c r="S1504" s="59">
        <f ca="1">Dashboard!B$8* Dashboard!$F$4+Dashboard!B$10*SQRT(Dashboard!$F$4) * _xlfn.NORM.S.INV(RAND())</f>
        <v>-3.1712815846993307E-2</v>
      </c>
      <c r="T1504" s="59">
        <f ca="1">Dashboard!C$8* Dashboard!$F$4+Dashboard!C$10*SQRT(Dashboard!$F$4) * _xlfn.NORM.S.INV(RAND())</f>
        <v>1.8397511484713625E-2</v>
      </c>
      <c r="U1504" s="59">
        <f ca="1">Dashboard!D$8* Dashboard!$F$4+Dashboard!D$10*SQRT(Dashboard!$F$4) * _xlfn.NORM.S.INV(RAND())</f>
        <v>-3.6144821623131797E-2</v>
      </c>
    </row>
    <row r="1505" spans="18:21" x14ac:dyDescent="0.2">
      <c r="R1505" s="49">
        <v>1503</v>
      </c>
      <c r="S1505" s="59">
        <f ca="1">Dashboard!B$8* Dashboard!$F$4+Dashboard!B$10*SQRT(Dashboard!$F$4) * _xlfn.NORM.S.INV(RAND())</f>
        <v>2.927371594777451E-3</v>
      </c>
      <c r="T1505" s="59">
        <f ca="1">Dashboard!C$8* Dashboard!$F$4+Dashboard!C$10*SQRT(Dashboard!$F$4) * _xlfn.NORM.S.INV(RAND())</f>
        <v>-2.2944479413023588E-2</v>
      </c>
      <c r="U1505" s="59">
        <f ca="1">Dashboard!D$8* Dashboard!$F$4+Dashboard!D$10*SQRT(Dashboard!$F$4) * _xlfn.NORM.S.INV(RAND())</f>
        <v>4.6741469121220833E-2</v>
      </c>
    </row>
    <row r="1506" spans="18:21" x14ac:dyDescent="0.2">
      <c r="R1506" s="49">
        <v>1504</v>
      </c>
      <c r="S1506" s="59">
        <f ca="1">Dashboard!B$8* Dashboard!$F$4+Dashboard!B$10*SQRT(Dashboard!$F$4) * _xlfn.NORM.S.INV(RAND())</f>
        <v>-1.8479992896430888E-2</v>
      </c>
      <c r="T1506" s="59">
        <f ca="1">Dashboard!C$8* Dashboard!$F$4+Dashboard!C$10*SQRT(Dashboard!$F$4) * _xlfn.NORM.S.INV(RAND())</f>
        <v>2.5750530319315454E-3</v>
      </c>
      <c r="U1506" s="59">
        <f ca="1">Dashboard!D$8* Dashboard!$F$4+Dashboard!D$10*SQRT(Dashboard!$F$4) * _xlfn.NORM.S.INV(RAND())</f>
        <v>1.1308047923084451E-2</v>
      </c>
    </row>
    <row r="1507" spans="18:21" x14ac:dyDescent="0.2">
      <c r="R1507" s="49">
        <v>1505</v>
      </c>
      <c r="S1507" s="59">
        <f ca="1">Dashboard!B$8* Dashboard!$F$4+Dashboard!B$10*SQRT(Dashboard!$F$4) * _xlfn.NORM.S.INV(RAND())</f>
        <v>-7.1027965766652865E-2</v>
      </c>
      <c r="T1507" s="59">
        <f ca="1">Dashboard!C$8* Dashboard!$F$4+Dashboard!C$10*SQRT(Dashboard!$F$4) * _xlfn.NORM.S.INV(RAND())</f>
        <v>2.0619461756905495E-2</v>
      </c>
      <c r="U1507" s="59">
        <f ca="1">Dashboard!D$8* Dashboard!$F$4+Dashboard!D$10*SQRT(Dashboard!$F$4) * _xlfn.NORM.S.INV(RAND())</f>
        <v>-1.4711926489963275E-2</v>
      </c>
    </row>
    <row r="1508" spans="18:21" x14ac:dyDescent="0.2">
      <c r="R1508" s="49">
        <v>1506</v>
      </c>
      <c r="S1508" s="59">
        <f ca="1">Dashboard!B$8* Dashboard!$F$4+Dashboard!B$10*SQRT(Dashboard!$F$4) * _xlfn.NORM.S.INV(RAND())</f>
        <v>-4.5454448447653619E-3</v>
      </c>
      <c r="T1508" s="59">
        <f ca="1">Dashboard!C$8* Dashboard!$F$4+Dashboard!C$10*SQRT(Dashboard!$F$4) * _xlfn.NORM.S.INV(RAND())</f>
        <v>-3.5010547504543528E-2</v>
      </c>
      <c r="U1508" s="59">
        <f ca="1">Dashboard!D$8* Dashboard!$F$4+Dashboard!D$10*SQRT(Dashboard!$F$4) * _xlfn.NORM.S.INV(RAND())</f>
        <v>2.7674230729300617E-2</v>
      </c>
    </row>
    <row r="1509" spans="18:21" x14ac:dyDescent="0.2">
      <c r="R1509" s="49">
        <v>1507</v>
      </c>
      <c r="S1509" s="59">
        <f ca="1">Dashboard!B$8* Dashboard!$F$4+Dashboard!B$10*SQRT(Dashboard!$F$4) * _xlfn.NORM.S.INV(RAND())</f>
        <v>-1.4437631765007343E-2</v>
      </c>
      <c r="T1509" s="59">
        <f ca="1">Dashboard!C$8* Dashboard!$F$4+Dashboard!C$10*SQRT(Dashboard!$F$4) * _xlfn.NORM.S.INV(RAND())</f>
        <v>-2.4625992423771458E-2</v>
      </c>
      <c r="U1509" s="59">
        <f ca="1">Dashboard!D$8* Dashboard!$F$4+Dashboard!D$10*SQRT(Dashboard!$F$4) * _xlfn.NORM.S.INV(RAND())</f>
        <v>-1.1573621806894811E-2</v>
      </c>
    </row>
    <row r="1510" spans="18:21" x14ac:dyDescent="0.2">
      <c r="R1510" s="49">
        <v>1508</v>
      </c>
      <c r="S1510" s="59">
        <f ca="1">Dashboard!B$8* Dashboard!$F$4+Dashboard!B$10*SQRT(Dashboard!$F$4) * _xlfn.NORM.S.INV(RAND())</f>
        <v>-5.1358460521801E-2</v>
      </c>
      <c r="T1510" s="59">
        <f ca="1">Dashboard!C$8* Dashboard!$F$4+Dashboard!C$10*SQRT(Dashboard!$F$4) * _xlfn.NORM.S.INV(RAND())</f>
        <v>2.0517846468821664E-3</v>
      </c>
      <c r="U1510" s="59">
        <f ca="1">Dashboard!D$8* Dashboard!$F$4+Dashboard!D$10*SQRT(Dashboard!$F$4) * _xlfn.NORM.S.INV(RAND())</f>
        <v>2.8441600606163086E-2</v>
      </c>
    </row>
    <row r="1511" spans="18:21" x14ac:dyDescent="0.2">
      <c r="R1511" s="49">
        <v>1509</v>
      </c>
      <c r="S1511" s="59">
        <f ca="1">Dashboard!B$8* Dashboard!$F$4+Dashboard!B$10*SQRT(Dashboard!$F$4) * _xlfn.NORM.S.INV(RAND())</f>
        <v>-1.9051929262737126E-2</v>
      </c>
      <c r="T1511" s="59">
        <f ca="1">Dashboard!C$8* Dashboard!$F$4+Dashboard!C$10*SQRT(Dashboard!$F$4) * _xlfn.NORM.S.INV(RAND())</f>
        <v>-1.7455484234161E-2</v>
      </c>
      <c r="U1511" s="59">
        <f ca="1">Dashboard!D$8* Dashboard!$F$4+Dashboard!D$10*SQRT(Dashboard!$F$4) * _xlfn.NORM.S.INV(RAND())</f>
        <v>1.9628887329103294E-2</v>
      </c>
    </row>
    <row r="1512" spans="18:21" x14ac:dyDescent="0.2">
      <c r="R1512" s="49">
        <v>1510</v>
      </c>
      <c r="S1512" s="59">
        <f ca="1">Dashboard!B$8* Dashboard!$F$4+Dashboard!B$10*SQRT(Dashboard!$F$4) * _xlfn.NORM.S.INV(RAND())</f>
        <v>-4.8076314225627692E-3</v>
      </c>
      <c r="T1512" s="59">
        <f ca="1">Dashboard!C$8* Dashboard!$F$4+Dashboard!C$10*SQRT(Dashboard!$F$4) * _xlfn.NORM.S.INV(RAND())</f>
        <v>1.7160268285317061E-2</v>
      </c>
      <c r="U1512" s="59">
        <f ca="1">Dashboard!D$8* Dashboard!$F$4+Dashboard!D$10*SQRT(Dashboard!$F$4) * _xlfn.NORM.S.INV(RAND())</f>
        <v>-3.1967711293628999E-2</v>
      </c>
    </row>
    <row r="1513" spans="18:21" x14ac:dyDescent="0.2">
      <c r="R1513" s="49">
        <v>1511</v>
      </c>
      <c r="S1513" s="59">
        <f ca="1">Dashboard!B$8* Dashboard!$F$4+Dashboard!B$10*SQRT(Dashboard!$F$4) * _xlfn.NORM.S.INV(RAND())</f>
        <v>-1.0083840157628723E-2</v>
      </c>
      <c r="T1513" s="59">
        <f ca="1">Dashboard!C$8* Dashboard!$F$4+Dashboard!C$10*SQRT(Dashboard!$F$4) * _xlfn.NORM.S.INV(RAND())</f>
        <v>-5.712341056980693E-2</v>
      </c>
      <c r="U1513" s="59">
        <f ca="1">Dashboard!D$8* Dashboard!$F$4+Dashboard!D$10*SQRT(Dashboard!$F$4) * _xlfn.NORM.S.INV(RAND())</f>
        <v>-8.0656005022345392E-2</v>
      </c>
    </row>
    <row r="1514" spans="18:21" x14ac:dyDescent="0.2">
      <c r="R1514" s="49">
        <v>1512</v>
      </c>
      <c r="S1514" s="59">
        <f ca="1">Dashboard!B$8* Dashboard!$F$4+Dashboard!B$10*SQRT(Dashboard!$F$4) * _xlfn.NORM.S.INV(RAND())</f>
        <v>1.9272045379310314E-3</v>
      </c>
      <c r="T1514" s="59">
        <f ca="1">Dashboard!C$8* Dashboard!$F$4+Dashboard!C$10*SQRT(Dashboard!$F$4) * _xlfn.NORM.S.INV(RAND())</f>
        <v>4.3229128155948621E-2</v>
      </c>
      <c r="U1514" s="59">
        <f ca="1">Dashboard!D$8* Dashboard!$F$4+Dashboard!D$10*SQRT(Dashboard!$F$4) * _xlfn.NORM.S.INV(RAND())</f>
        <v>3.7932009956153367E-2</v>
      </c>
    </row>
    <row r="1515" spans="18:21" x14ac:dyDescent="0.2">
      <c r="R1515" s="49">
        <v>1513</v>
      </c>
      <c r="S1515" s="59">
        <f ca="1">Dashboard!B$8* Dashboard!$F$4+Dashboard!B$10*SQRT(Dashboard!$F$4) * _xlfn.NORM.S.INV(RAND())</f>
        <v>-2.4319350911597877E-2</v>
      </c>
      <c r="T1515" s="59">
        <f ca="1">Dashboard!C$8* Dashboard!$F$4+Dashboard!C$10*SQRT(Dashboard!$F$4) * _xlfn.NORM.S.INV(RAND())</f>
        <v>-2.1637327360910397E-2</v>
      </c>
      <c r="U1515" s="59">
        <f ca="1">Dashboard!D$8* Dashboard!$F$4+Dashboard!D$10*SQRT(Dashboard!$F$4) * _xlfn.NORM.S.INV(RAND())</f>
        <v>1.7733591207624098E-2</v>
      </c>
    </row>
    <row r="1516" spans="18:21" x14ac:dyDescent="0.2">
      <c r="R1516" s="49">
        <v>1514</v>
      </c>
      <c r="S1516" s="59">
        <f ca="1">Dashboard!B$8* Dashboard!$F$4+Dashboard!B$10*SQRT(Dashboard!$F$4) * _xlfn.NORM.S.INV(RAND())</f>
        <v>4.5360926423980832E-2</v>
      </c>
      <c r="T1516" s="59">
        <f ca="1">Dashboard!C$8* Dashboard!$F$4+Dashboard!C$10*SQRT(Dashboard!$F$4) * _xlfn.NORM.S.INV(RAND())</f>
        <v>5.713817047222786E-3</v>
      </c>
      <c r="U1516" s="59">
        <f ca="1">Dashboard!D$8* Dashboard!$F$4+Dashboard!D$10*SQRT(Dashboard!$F$4) * _xlfn.NORM.S.INV(RAND())</f>
        <v>-2.6710176777095695E-2</v>
      </c>
    </row>
    <row r="1517" spans="18:21" x14ac:dyDescent="0.2">
      <c r="R1517" s="49">
        <v>1515</v>
      </c>
      <c r="S1517" s="59">
        <f ca="1">Dashboard!B$8* Dashboard!$F$4+Dashboard!B$10*SQRT(Dashboard!$F$4) * _xlfn.NORM.S.INV(RAND())</f>
        <v>-2.4099065773530881E-2</v>
      </c>
      <c r="T1517" s="59">
        <f ca="1">Dashboard!C$8* Dashboard!$F$4+Dashboard!C$10*SQRT(Dashboard!$F$4) * _xlfn.NORM.S.INV(RAND())</f>
        <v>4.1521748333720673E-2</v>
      </c>
      <c r="U1517" s="59">
        <f ca="1">Dashboard!D$8* Dashboard!$F$4+Dashboard!D$10*SQRT(Dashboard!$F$4) * _xlfn.NORM.S.INV(RAND())</f>
        <v>-3.0019900051788926E-2</v>
      </c>
    </row>
    <row r="1518" spans="18:21" x14ac:dyDescent="0.2">
      <c r="R1518" s="49">
        <v>1516</v>
      </c>
      <c r="S1518" s="59">
        <f ca="1">Dashboard!B$8* Dashboard!$F$4+Dashboard!B$10*SQRT(Dashboard!$F$4) * _xlfn.NORM.S.INV(RAND())</f>
        <v>4.6516474032473699E-2</v>
      </c>
      <c r="T1518" s="59">
        <f ca="1">Dashboard!C$8* Dashboard!$F$4+Dashboard!C$10*SQRT(Dashboard!$F$4) * _xlfn.NORM.S.INV(RAND())</f>
        <v>-9.8544905823587797E-3</v>
      </c>
      <c r="U1518" s="59">
        <f ca="1">Dashboard!D$8* Dashboard!$F$4+Dashboard!D$10*SQRT(Dashboard!$F$4) * _xlfn.NORM.S.INV(RAND())</f>
        <v>-1.0801517919140724E-2</v>
      </c>
    </row>
    <row r="1519" spans="18:21" x14ac:dyDescent="0.2">
      <c r="R1519" s="49">
        <v>1517</v>
      </c>
      <c r="S1519" s="59">
        <f ca="1">Dashboard!B$8* Dashboard!$F$4+Dashboard!B$10*SQRT(Dashboard!$F$4) * _xlfn.NORM.S.INV(RAND())</f>
        <v>5.9678144844597675E-4</v>
      </c>
      <c r="T1519" s="59">
        <f ca="1">Dashboard!C$8* Dashboard!$F$4+Dashboard!C$10*SQRT(Dashboard!$F$4) * _xlfn.NORM.S.INV(RAND())</f>
        <v>-1.3086144720714187E-2</v>
      </c>
      <c r="U1519" s="59">
        <f ca="1">Dashboard!D$8* Dashboard!$F$4+Dashboard!D$10*SQRT(Dashboard!$F$4) * _xlfn.NORM.S.INV(RAND())</f>
        <v>2.7179770385786641E-2</v>
      </c>
    </row>
    <row r="1520" spans="18:21" x14ac:dyDescent="0.2">
      <c r="R1520" s="49">
        <v>1518</v>
      </c>
      <c r="S1520" s="59">
        <f ca="1">Dashboard!B$8* Dashboard!$F$4+Dashboard!B$10*SQRT(Dashboard!$F$4) * _xlfn.NORM.S.INV(RAND())</f>
        <v>5.7256053574097267E-3</v>
      </c>
      <c r="T1520" s="59">
        <f ca="1">Dashboard!C$8* Dashboard!$F$4+Dashboard!C$10*SQRT(Dashboard!$F$4) * _xlfn.NORM.S.INV(RAND())</f>
        <v>2.4040514168147103E-2</v>
      </c>
      <c r="U1520" s="59">
        <f ca="1">Dashboard!D$8* Dashboard!$F$4+Dashboard!D$10*SQRT(Dashboard!$F$4) * _xlfn.NORM.S.INV(RAND())</f>
        <v>-2.7873774627376256E-2</v>
      </c>
    </row>
    <row r="1521" spans="18:21" x14ac:dyDescent="0.2">
      <c r="R1521" s="49">
        <v>1519</v>
      </c>
      <c r="S1521" s="59">
        <f ca="1">Dashboard!B$8* Dashboard!$F$4+Dashboard!B$10*SQRT(Dashboard!$F$4) * _xlfn.NORM.S.INV(RAND())</f>
        <v>-1.92289807189545E-2</v>
      </c>
      <c r="T1521" s="59">
        <f ca="1">Dashboard!C$8* Dashboard!$F$4+Dashboard!C$10*SQRT(Dashboard!$F$4) * _xlfn.NORM.S.INV(RAND())</f>
        <v>-5.1193082183564935E-2</v>
      </c>
      <c r="U1521" s="59">
        <f ca="1">Dashboard!D$8* Dashboard!$F$4+Dashboard!D$10*SQRT(Dashboard!$F$4) * _xlfn.NORM.S.INV(RAND())</f>
        <v>-2.1317108656417401E-2</v>
      </c>
    </row>
    <row r="1522" spans="18:21" x14ac:dyDescent="0.2">
      <c r="R1522" s="49">
        <v>1520</v>
      </c>
      <c r="S1522" s="59">
        <f ca="1">Dashboard!B$8* Dashboard!$F$4+Dashboard!B$10*SQRT(Dashboard!$F$4) * _xlfn.NORM.S.INV(RAND())</f>
        <v>2.944356371672998E-2</v>
      </c>
      <c r="T1522" s="59">
        <f ca="1">Dashboard!C$8* Dashboard!$F$4+Dashboard!C$10*SQRT(Dashboard!$F$4) * _xlfn.NORM.S.INV(RAND())</f>
        <v>-1.8444366898655369E-2</v>
      </c>
      <c r="U1522" s="59">
        <f ca="1">Dashboard!D$8* Dashboard!$F$4+Dashboard!D$10*SQRT(Dashboard!$F$4) * _xlfn.NORM.S.INV(RAND())</f>
        <v>-1.3463758674683966E-2</v>
      </c>
    </row>
    <row r="1523" spans="18:21" x14ac:dyDescent="0.2">
      <c r="R1523" s="49">
        <v>1521</v>
      </c>
      <c r="S1523" s="59">
        <f ca="1">Dashboard!B$8* Dashboard!$F$4+Dashboard!B$10*SQRT(Dashboard!$F$4) * _xlfn.NORM.S.INV(RAND())</f>
        <v>-7.3609932494645966E-2</v>
      </c>
      <c r="T1523" s="59">
        <f ca="1">Dashboard!C$8* Dashboard!$F$4+Dashboard!C$10*SQRT(Dashboard!$F$4) * _xlfn.NORM.S.INV(RAND())</f>
        <v>-2.6721897376538597E-2</v>
      </c>
      <c r="U1523" s="59">
        <f ca="1">Dashboard!D$8* Dashboard!$F$4+Dashboard!D$10*SQRT(Dashboard!$F$4) * _xlfn.NORM.S.INV(RAND())</f>
        <v>1.7263547882424533E-2</v>
      </c>
    </row>
    <row r="1524" spans="18:21" x14ac:dyDescent="0.2">
      <c r="R1524" s="49">
        <v>1522</v>
      </c>
      <c r="S1524" s="59">
        <f ca="1">Dashboard!B$8* Dashboard!$F$4+Dashboard!B$10*SQRT(Dashboard!$F$4) * _xlfn.NORM.S.INV(RAND())</f>
        <v>2.0796206071705802E-3</v>
      </c>
      <c r="T1524" s="59">
        <f ca="1">Dashboard!C$8* Dashboard!$F$4+Dashboard!C$10*SQRT(Dashboard!$F$4) * _xlfn.NORM.S.INV(RAND())</f>
        <v>1.1567145632279594E-2</v>
      </c>
      <c r="U1524" s="59">
        <f ca="1">Dashboard!D$8* Dashboard!$F$4+Dashboard!D$10*SQRT(Dashboard!$F$4) * _xlfn.NORM.S.INV(RAND())</f>
        <v>-9.5772552267050504E-3</v>
      </c>
    </row>
    <row r="1525" spans="18:21" x14ac:dyDescent="0.2">
      <c r="R1525" s="49">
        <v>1523</v>
      </c>
      <c r="S1525" s="59">
        <f ca="1">Dashboard!B$8* Dashboard!$F$4+Dashboard!B$10*SQRT(Dashboard!$F$4) * _xlfn.NORM.S.INV(RAND())</f>
        <v>2.3203636190076572E-2</v>
      </c>
      <c r="T1525" s="59">
        <f ca="1">Dashboard!C$8* Dashboard!$F$4+Dashboard!C$10*SQRT(Dashboard!$F$4) * _xlfn.NORM.S.INV(RAND())</f>
        <v>-2.0666708347738677E-2</v>
      </c>
      <c r="U1525" s="59">
        <f ca="1">Dashboard!D$8* Dashboard!$F$4+Dashboard!D$10*SQRT(Dashboard!$F$4) * _xlfn.NORM.S.INV(RAND())</f>
        <v>5.4811234075796522E-2</v>
      </c>
    </row>
    <row r="1526" spans="18:21" x14ac:dyDescent="0.2">
      <c r="R1526" s="49">
        <v>1524</v>
      </c>
      <c r="S1526" s="59">
        <f ca="1">Dashboard!B$8* Dashboard!$F$4+Dashboard!B$10*SQRT(Dashboard!$F$4) * _xlfn.NORM.S.INV(RAND())</f>
        <v>2.3063991224611821E-2</v>
      </c>
      <c r="T1526" s="59">
        <f ca="1">Dashboard!C$8* Dashboard!$F$4+Dashboard!C$10*SQRT(Dashboard!$F$4) * _xlfn.NORM.S.INV(RAND())</f>
        <v>-4.3624731403055256E-2</v>
      </c>
      <c r="U1526" s="59">
        <f ca="1">Dashboard!D$8* Dashboard!$F$4+Dashboard!D$10*SQRT(Dashboard!$F$4) * _xlfn.NORM.S.INV(RAND())</f>
        <v>4.4278836053053792E-2</v>
      </c>
    </row>
    <row r="1527" spans="18:21" x14ac:dyDescent="0.2">
      <c r="R1527" s="49">
        <v>1525</v>
      </c>
      <c r="S1527" s="59">
        <f ca="1">Dashboard!B$8* Dashboard!$F$4+Dashboard!B$10*SQRT(Dashboard!$F$4) * _xlfn.NORM.S.INV(RAND())</f>
        <v>-7.4873611232675941E-2</v>
      </c>
      <c r="T1527" s="59">
        <f ca="1">Dashboard!C$8* Dashboard!$F$4+Dashboard!C$10*SQRT(Dashboard!$F$4) * _xlfn.NORM.S.INV(RAND())</f>
        <v>-9.658733982307547E-3</v>
      </c>
      <c r="U1527" s="59">
        <f ca="1">Dashboard!D$8* Dashboard!$F$4+Dashboard!D$10*SQRT(Dashboard!$F$4) * _xlfn.NORM.S.INV(RAND())</f>
        <v>2.7559757987404333E-2</v>
      </c>
    </row>
    <row r="1528" spans="18:21" x14ac:dyDescent="0.2">
      <c r="R1528" s="49">
        <v>1526</v>
      </c>
      <c r="S1528" s="59">
        <f ca="1">Dashboard!B$8* Dashboard!$F$4+Dashboard!B$10*SQRT(Dashboard!$F$4) * _xlfn.NORM.S.INV(RAND())</f>
        <v>1.319202432715867E-2</v>
      </c>
      <c r="T1528" s="59">
        <f ca="1">Dashboard!C$8* Dashboard!$F$4+Dashboard!C$10*SQRT(Dashboard!$F$4) * _xlfn.NORM.S.INV(RAND())</f>
        <v>1.3068627002895555E-2</v>
      </c>
      <c r="U1528" s="59">
        <f ca="1">Dashboard!D$8* Dashboard!$F$4+Dashboard!D$10*SQRT(Dashboard!$F$4) * _xlfn.NORM.S.INV(RAND())</f>
        <v>6.9874358543921032E-3</v>
      </c>
    </row>
    <row r="1529" spans="18:21" x14ac:dyDescent="0.2">
      <c r="R1529" s="49">
        <v>1527</v>
      </c>
      <c r="S1529" s="59">
        <f ca="1">Dashboard!B$8* Dashboard!$F$4+Dashboard!B$10*SQRT(Dashboard!$F$4) * _xlfn.NORM.S.INV(RAND())</f>
        <v>-5.0271960890127615E-2</v>
      </c>
      <c r="T1529" s="59">
        <f ca="1">Dashboard!C$8* Dashboard!$F$4+Dashboard!C$10*SQRT(Dashboard!$F$4) * _xlfn.NORM.S.INV(RAND())</f>
        <v>-5.242805045567833E-3</v>
      </c>
      <c r="U1529" s="59">
        <f ca="1">Dashboard!D$8* Dashboard!$F$4+Dashboard!D$10*SQRT(Dashboard!$F$4) * _xlfn.NORM.S.INV(RAND())</f>
        <v>-3.3613529591613178E-3</v>
      </c>
    </row>
    <row r="1530" spans="18:21" x14ac:dyDescent="0.2">
      <c r="R1530" s="49">
        <v>1528</v>
      </c>
      <c r="S1530" s="59">
        <f ca="1">Dashboard!B$8* Dashboard!$F$4+Dashboard!B$10*SQRT(Dashboard!$F$4) * _xlfn.NORM.S.INV(RAND())</f>
        <v>-2.7432225846139351E-2</v>
      </c>
      <c r="T1530" s="59">
        <f ca="1">Dashboard!C$8* Dashboard!$F$4+Dashboard!C$10*SQRT(Dashboard!$F$4) * _xlfn.NORM.S.INV(RAND())</f>
        <v>8.1181396744226766E-2</v>
      </c>
      <c r="U1530" s="59">
        <f ca="1">Dashboard!D$8* Dashboard!$F$4+Dashboard!D$10*SQRT(Dashboard!$F$4) * _xlfn.NORM.S.INV(RAND())</f>
        <v>-4.3689149035643776E-2</v>
      </c>
    </row>
    <row r="1531" spans="18:21" x14ac:dyDescent="0.2">
      <c r="R1531" s="49">
        <v>1529</v>
      </c>
      <c r="S1531" s="59">
        <f ca="1">Dashboard!B$8* Dashboard!$F$4+Dashboard!B$10*SQRT(Dashboard!$F$4) * _xlfn.NORM.S.INV(RAND())</f>
        <v>6.6798070914465768E-2</v>
      </c>
      <c r="T1531" s="59">
        <f ca="1">Dashboard!C$8* Dashboard!$F$4+Dashboard!C$10*SQRT(Dashboard!$F$4) * _xlfn.NORM.S.INV(RAND())</f>
        <v>3.9847056634179992E-2</v>
      </c>
      <c r="U1531" s="59">
        <f ca="1">Dashboard!D$8* Dashboard!$F$4+Dashboard!D$10*SQRT(Dashboard!$F$4) * _xlfn.NORM.S.INV(RAND())</f>
        <v>-1.4223570151779257E-2</v>
      </c>
    </row>
    <row r="1532" spans="18:21" x14ac:dyDescent="0.2">
      <c r="R1532" s="49">
        <v>1530</v>
      </c>
      <c r="S1532" s="59">
        <f ca="1">Dashboard!B$8* Dashboard!$F$4+Dashboard!B$10*SQRT(Dashboard!$F$4) * _xlfn.NORM.S.INV(RAND())</f>
        <v>-3.028261867449279E-3</v>
      </c>
      <c r="T1532" s="59">
        <f ca="1">Dashboard!C$8* Dashboard!$F$4+Dashboard!C$10*SQRT(Dashboard!$F$4) * _xlfn.NORM.S.INV(RAND())</f>
        <v>4.2163993217548414E-2</v>
      </c>
      <c r="U1532" s="59">
        <f ca="1">Dashboard!D$8* Dashboard!$F$4+Dashboard!D$10*SQRT(Dashboard!$F$4) * _xlfn.NORM.S.INV(RAND())</f>
        <v>5.9393781949766654E-3</v>
      </c>
    </row>
    <row r="1533" spans="18:21" x14ac:dyDescent="0.2">
      <c r="R1533" s="49">
        <v>1531</v>
      </c>
      <c r="S1533" s="59">
        <f ca="1">Dashboard!B$8* Dashboard!$F$4+Dashboard!B$10*SQRT(Dashboard!$F$4) * _xlfn.NORM.S.INV(RAND())</f>
        <v>2.0088923997770942E-3</v>
      </c>
      <c r="T1533" s="59">
        <f ca="1">Dashboard!C$8* Dashboard!$F$4+Dashboard!C$10*SQRT(Dashboard!$F$4) * _xlfn.NORM.S.INV(RAND())</f>
        <v>-4.368605763275079E-2</v>
      </c>
      <c r="U1533" s="59">
        <f ca="1">Dashboard!D$8* Dashboard!$F$4+Dashboard!D$10*SQRT(Dashboard!$F$4) * _xlfn.NORM.S.INV(RAND())</f>
        <v>-2.3688015505483721E-2</v>
      </c>
    </row>
    <row r="1534" spans="18:21" x14ac:dyDescent="0.2">
      <c r="R1534" s="49">
        <v>1532</v>
      </c>
      <c r="S1534" s="59">
        <f ca="1">Dashboard!B$8* Dashboard!$F$4+Dashboard!B$10*SQRT(Dashboard!$F$4) * _xlfn.NORM.S.INV(RAND())</f>
        <v>-4.4000260575732357E-2</v>
      </c>
      <c r="T1534" s="59">
        <f ca="1">Dashboard!C$8* Dashboard!$F$4+Dashboard!C$10*SQRT(Dashboard!$F$4) * _xlfn.NORM.S.INV(RAND())</f>
        <v>-4.0303203610169147E-2</v>
      </c>
      <c r="U1534" s="59">
        <f ca="1">Dashboard!D$8* Dashboard!$F$4+Dashboard!D$10*SQRT(Dashboard!$F$4) * _xlfn.NORM.S.INV(RAND())</f>
        <v>-1.4702051063679285E-2</v>
      </c>
    </row>
    <row r="1535" spans="18:21" x14ac:dyDescent="0.2">
      <c r="R1535" s="49">
        <v>1533</v>
      </c>
      <c r="S1535" s="59">
        <f ca="1">Dashboard!B$8* Dashboard!$F$4+Dashboard!B$10*SQRT(Dashboard!$F$4) * _xlfn.NORM.S.INV(RAND())</f>
        <v>-2.7152557212607266E-2</v>
      </c>
      <c r="T1535" s="59">
        <f ca="1">Dashboard!C$8* Dashboard!$F$4+Dashboard!C$10*SQRT(Dashboard!$F$4) * _xlfn.NORM.S.INV(RAND())</f>
        <v>3.1637891978106313E-2</v>
      </c>
      <c r="U1535" s="59">
        <f ca="1">Dashboard!D$8* Dashboard!$F$4+Dashboard!D$10*SQRT(Dashboard!$F$4) * _xlfn.NORM.S.INV(RAND())</f>
        <v>-2.9517870991705962E-2</v>
      </c>
    </row>
    <row r="1536" spans="18:21" x14ac:dyDescent="0.2">
      <c r="R1536" s="49">
        <v>1534</v>
      </c>
      <c r="S1536" s="59">
        <f ca="1">Dashboard!B$8* Dashboard!$F$4+Dashboard!B$10*SQRT(Dashboard!$F$4) * _xlfn.NORM.S.INV(RAND())</f>
        <v>2.3605224317559161E-2</v>
      </c>
      <c r="T1536" s="59">
        <f ca="1">Dashboard!C$8* Dashboard!$F$4+Dashboard!C$10*SQRT(Dashboard!$F$4) * _xlfn.NORM.S.INV(RAND())</f>
        <v>-2.3899278933050976E-2</v>
      </c>
      <c r="U1536" s="59">
        <f ca="1">Dashboard!D$8* Dashboard!$F$4+Dashboard!D$10*SQRT(Dashboard!$F$4) * _xlfn.NORM.S.INV(RAND())</f>
        <v>-1.6868446777085242E-2</v>
      </c>
    </row>
    <row r="1537" spans="18:21" x14ac:dyDescent="0.2">
      <c r="R1537" s="49">
        <v>1535</v>
      </c>
      <c r="S1537" s="59">
        <f ca="1">Dashboard!B$8* Dashboard!$F$4+Dashboard!B$10*SQRT(Dashboard!$F$4) * _xlfn.NORM.S.INV(RAND())</f>
        <v>-6.3361513862707003E-4</v>
      </c>
      <c r="T1537" s="59">
        <f ca="1">Dashboard!C$8* Dashboard!$F$4+Dashboard!C$10*SQRT(Dashboard!$F$4) * _xlfn.NORM.S.INV(RAND())</f>
        <v>1.4111621562642045E-2</v>
      </c>
      <c r="U1537" s="59">
        <f ca="1">Dashboard!D$8* Dashboard!$F$4+Dashboard!D$10*SQRT(Dashboard!$F$4) * _xlfn.NORM.S.INV(RAND())</f>
        <v>7.8923922642890852E-3</v>
      </c>
    </row>
    <row r="1538" spans="18:21" x14ac:dyDescent="0.2">
      <c r="R1538" s="49">
        <v>1536</v>
      </c>
      <c r="S1538" s="59">
        <f ca="1">Dashboard!B$8* Dashboard!$F$4+Dashboard!B$10*SQRT(Dashboard!$F$4) * _xlfn.NORM.S.INV(RAND())</f>
        <v>-1.8473898741078531E-2</v>
      </c>
      <c r="T1538" s="59">
        <f ca="1">Dashboard!C$8* Dashboard!$F$4+Dashboard!C$10*SQRT(Dashboard!$F$4) * _xlfn.NORM.S.INV(RAND())</f>
        <v>1.1498954237076577E-3</v>
      </c>
      <c r="U1538" s="59">
        <f ca="1">Dashboard!D$8* Dashboard!$F$4+Dashboard!D$10*SQRT(Dashboard!$F$4) * _xlfn.NORM.S.INV(RAND())</f>
        <v>-6.9549550924436617E-3</v>
      </c>
    </row>
    <row r="1539" spans="18:21" x14ac:dyDescent="0.2">
      <c r="R1539" s="49">
        <v>1537</v>
      </c>
      <c r="S1539" s="59">
        <f ca="1">Dashboard!B$8* Dashboard!$F$4+Dashboard!B$10*SQRT(Dashboard!$F$4) * _xlfn.NORM.S.INV(RAND())</f>
        <v>6.3212890576777425E-2</v>
      </c>
      <c r="T1539" s="59">
        <f ca="1">Dashboard!C$8* Dashboard!$F$4+Dashboard!C$10*SQRT(Dashboard!$F$4) * _xlfn.NORM.S.INV(RAND())</f>
        <v>4.6199328314578132E-2</v>
      </c>
      <c r="U1539" s="59">
        <f ca="1">Dashboard!D$8* Dashboard!$F$4+Dashboard!D$10*SQRT(Dashboard!$F$4) * _xlfn.NORM.S.INV(RAND())</f>
        <v>-1.5681409117501062E-3</v>
      </c>
    </row>
    <row r="1540" spans="18:21" x14ac:dyDescent="0.2">
      <c r="R1540" s="49">
        <v>1538</v>
      </c>
      <c r="S1540" s="59">
        <f ca="1">Dashboard!B$8* Dashboard!$F$4+Dashboard!B$10*SQRT(Dashboard!$F$4) * _xlfn.NORM.S.INV(RAND())</f>
        <v>-4.9310420733418778E-2</v>
      </c>
      <c r="T1540" s="59">
        <f ca="1">Dashboard!C$8* Dashboard!$F$4+Dashboard!C$10*SQRT(Dashboard!$F$4) * _xlfn.NORM.S.INV(RAND())</f>
        <v>2.206163904769606E-2</v>
      </c>
      <c r="U1540" s="59">
        <f ca="1">Dashboard!D$8* Dashboard!$F$4+Dashboard!D$10*SQRT(Dashboard!$F$4) * _xlfn.NORM.S.INV(RAND())</f>
        <v>2.4274275331173406E-2</v>
      </c>
    </row>
    <row r="1541" spans="18:21" x14ac:dyDescent="0.2">
      <c r="R1541" s="49">
        <v>1539</v>
      </c>
      <c r="S1541" s="59">
        <f ca="1">Dashboard!B$8* Dashboard!$F$4+Dashboard!B$10*SQRT(Dashboard!$F$4) * _xlfn.NORM.S.INV(RAND())</f>
        <v>1.3703098673069481E-2</v>
      </c>
      <c r="T1541" s="59">
        <f ca="1">Dashboard!C$8* Dashboard!$F$4+Dashboard!C$10*SQRT(Dashboard!$F$4) * _xlfn.NORM.S.INV(RAND())</f>
        <v>6.7461791258712211E-3</v>
      </c>
      <c r="U1541" s="59">
        <f ca="1">Dashboard!D$8* Dashboard!$F$4+Dashboard!D$10*SQRT(Dashboard!$F$4) * _xlfn.NORM.S.INV(RAND())</f>
        <v>6.1932412780503404E-2</v>
      </c>
    </row>
    <row r="1542" spans="18:21" x14ac:dyDescent="0.2">
      <c r="R1542" s="49">
        <v>1540</v>
      </c>
      <c r="S1542" s="59">
        <f ca="1">Dashboard!B$8* Dashboard!$F$4+Dashboard!B$10*SQRT(Dashboard!$F$4) * _xlfn.NORM.S.INV(RAND())</f>
        <v>7.5631651429688071E-3</v>
      </c>
      <c r="T1542" s="59">
        <f ca="1">Dashboard!C$8* Dashboard!$F$4+Dashboard!C$10*SQRT(Dashboard!$F$4) * _xlfn.NORM.S.INV(RAND())</f>
        <v>3.9339522291463574E-3</v>
      </c>
      <c r="U1542" s="59">
        <f ca="1">Dashboard!D$8* Dashboard!$F$4+Dashboard!D$10*SQRT(Dashboard!$F$4) * _xlfn.NORM.S.INV(RAND())</f>
        <v>-4.0508385121074832E-2</v>
      </c>
    </row>
    <row r="1543" spans="18:21" x14ac:dyDescent="0.2">
      <c r="R1543" s="49">
        <v>1541</v>
      </c>
      <c r="S1543" s="59">
        <f ca="1">Dashboard!B$8* Dashboard!$F$4+Dashboard!B$10*SQRT(Dashboard!$F$4) * _xlfn.NORM.S.INV(RAND())</f>
        <v>6.0905179731033775E-4</v>
      </c>
      <c r="T1543" s="59">
        <f ca="1">Dashboard!C$8* Dashboard!$F$4+Dashboard!C$10*SQRT(Dashboard!$F$4) * _xlfn.NORM.S.INV(RAND())</f>
        <v>-3.1525005855773579E-2</v>
      </c>
      <c r="U1543" s="59">
        <f ca="1">Dashboard!D$8* Dashboard!$F$4+Dashboard!D$10*SQRT(Dashboard!$F$4) * _xlfn.NORM.S.INV(RAND())</f>
        <v>-3.2514898588851975E-2</v>
      </c>
    </row>
    <row r="1544" spans="18:21" x14ac:dyDescent="0.2">
      <c r="R1544" s="49">
        <v>1542</v>
      </c>
      <c r="S1544" s="59">
        <f ca="1">Dashboard!B$8* Dashboard!$F$4+Dashboard!B$10*SQRT(Dashboard!$F$4) * _xlfn.NORM.S.INV(RAND())</f>
        <v>1.995510706627273E-3</v>
      </c>
      <c r="T1544" s="59">
        <f ca="1">Dashboard!C$8* Dashboard!$F$4+Dashboard!C$10*SQRT(Dashboard!$F$4) * _xlfn.NORM.S.INV(RAND())</f>
        <v>2.6906241339678883E-2</v>
      </c>
      <c r="U1544" s="59">
        <f ca="1">Dashboard!D$8* Dashboard!$F$4+Dashboard!D$10*SQRT(Dashboard!$F$4) * _xlfn.NORM.S.INV(RAND())</f>
        <v>1.1848760034013393E-2</v>
      </c>
    </row>
    <row r="1545" spans="18:21" x14ac:dyDescent="0.2">
      <c r="R1545" s="49">
        <v>1543</v>
      </c>
      <c r="S1545" s="59">
        <f ca="1">Dashboard!B$8* Dashboard!$F$4+Dashboard!B$10*SQRT(Dashboard!$F$4) * _xlfn.NORM.S.INV(RAND())</f>
        <v>-2.6722469658004483E-2</v>
      </c>
      <c r="T1545" s="59">
        <f ca="1">Dashboard!C$8* Dashboard!$F$4+Dashboard!C$10*SQRT(Dashboard!$F$4) * _xlfn.NORM.S.INV(RAND())</f>
        <v>-8.5428576839254783E-2</v>
      </c>
      <c r="U1545" s="59">
        <f ca="1">Dashboard!D$8* Dashboard!$F$4+Dashboard!D$10*SQRT(Dashboard!$F$4) * _xlfn.NORM.S.INV(RAND())</f>
        <v>1.0727524281938457E-2</v>
      </c>
    </row>
    <row r="1546" spans="18:21" x14ac:dyDescent="0.2">
      <c r="R1546" s="49">
        <v>1544</v>
      </c>
      <c r="S1546" s="59">
        <f ca="1">Dashboard!B$8* Dashboard!$F$4+Dashboard!B$10*SQRT(Dashboard!$F$4) * _xlfn.NORM.S.INV(RAND())</f>
        <v>1.7507562098069737E-2</v>
      </c>
      <c r="T1546" s="59">
        <f ca="1">Dashboard!C$8* Dashboard!$F$4+Dashboard!C$10*SQRT(Dashboard!$F$4) * _xlfn.NORM.S.INV(RAND())</f>
        <v>7.9467976356811312E-3</v>
      </c>
      <c r="U1546" s="59">
        <f ca="1">Dashboard!D$8* Dashboard!$F$4+Dashboard!D$10*SQRT(Dashboard!$F$4) * _xlfn.NORM.S.INV(RAND())</f>
        <v>-4.9497702262114411E-2</v>
      </c>
    </row>
    <row r="1547" spans="18:21" x14ac:dyDescent="0.2">
      <c r="R1547" s="49">
        <v>1545</v>
      </c>
      <c r="S1547" s="59">
        <f ca="1">Dashboard!B$8* Dashboard!$F$4+Dashboard!B$10*SQRT(Dashboard!$F$4) * _xlfn.NORM.S.INV(RAND())</f>
        <v>-2.2766596695768852E-2</v>
      </c>
      <c r="T1547" s="59">
        <f ca="1">Dashboard!C$8* Dashboard!$F$4+Dashboard!C$10*SQRT(Dashboard!$F$4) * _xlfn.NORM.S.INV(RAND())</f>
        <v>1.5718726212360087E-2</v>
      </c>
      <c r="U1547" s="59">
        <f ca="1">Dashboard!D$8* Dashboard!$F$4+Dashboard!D$10*SQRT(Dashboard!$F$4) * _xlfn.NORM.S.INV(RAND())</f>
        <v>-1.381777619011812E-2</v>
      </c>
    </row>
    <row r="1548" spans="18:21" x14ac:dyDescent="0.2">
      <c r="R1548" s="49">
        <v>1546</v>
      </c>
      <c r="S1548" s="59">
        <f ca="1">Dashboard!B$8* Dashboard!$F$4+Dashboard!B$10*SQRT(Dashboard!$F$4) * _xlfn.NORM.S.INV(RAND())</f>
        <v>-1.0670738984789116E-2</v>
      </c>
      <c r="T1548" s="59">
        <f ca="1">Dashboard!C$8* Dashboard!$F$4+Dashboard!C$10*SQRT(Dashboard!$F$4) * _xlfn.NORM.S.INV(RAND())</f>
        <v>5.1929409619819539E-2</v>
      </c>
      <c r="U1548" s="59">
        <f ca="1">Dashboard!D$8* Dashboard!$F$4+Dashboard!D$10*SQRT(Dashboard!$F$4) * _xlfn.NORM.S.INV(RAND())</f>
        <v>-2.2275080202429822E-2</v>
      </c>
    </row>
    <row r="1549" spans="18:21" x14ac:dyDescent="0.2">
      <c r="R1549" s="49">
        <v>1547</v>
      </c>
      <c r="S1549" s="59">
        <f ca="1">Dashboard!B$8* Dashboard!$F$4+Dashboard!B$10*SQRT(Dashboard!$F$4) * _xlfn.NORM.S.INV(RAND())</f>
        <v>2.0946396467257739E-2</v>
      </c>
      <c r="T1549" s="59">
        <f ca="1">Dashboard!C$8* Dashboard!$F$4+Dashboard!C$10*SQRT(Dashboard!$F$4) * _xlfn.NORM.S.INV(RAND())</f>
        <v>4.778994355972422E-2</v>
      </c>
      <c r="U1549" s="59">
        <f ca="1">Dashboard!D$8* Dashboard!$F$4+Dashboard!D$10*SQRT(Dashboard!$F$4) * _xlfn.NORM.S.INV(RAND())</f>
        <v>1.5542074567472031E-2</v>
      </c>
    </row>
    <row r="1550" spans="18:21" x14ac:dyDescent="0.2">
      <c r="R1550" s="49">
        <v>1548</v>
      </c>
      <c r="S1550" s="59">
        <f ca="1">Dashboard!B$8* Dashboard!$F$4+Dashboard!B$10*SQRT(Dashboard!$F$4) * _xlfn.NORM.S.INV(RAND())</f>
        <v>-3.3461889573115841E-2</v>
      </c>
      <c r="T1550" s="59">
        <f ca="1">Dashboard!C$8* Dashboard!$F$4+Dashboard!C$10*SQRT(Dashboard!$F$4) * _xlfn.NORM.S.INV(RAND())</f>
        <v>-1.28617640041357E-2</v>
      </c>
      <c r="U1550" s="59">
        <f ca="1">Dashboard!D$8* Dashboard!$F$4+Dashboard!D$10*SQRT(Dashboard!$F$4) * _xlfn.NORM.S.INV(RAND())</f>
        <v>-2.7652776250055723E-2</v>
      </c>
    </row>
    <row r="1551" spans="18:21" x14ac:dyDescent="0.2">
      <c r="R1551" s="49">
        <v>1549</v>
      </c>
      <c r="S1551" s="59">
        <f ca="1">Dashboard!B$8* Dashboard!$F$4+Dashboard!B$10*SQRT(Dashboard!$F$4) * _xlfn.NORM.S.INV(RAND())</f>
        <v>2.0527353026851401E-2</v>
      </c>
      <c r="T1551" s="59">
        <f ca="1">Dashboard!C$8* Dashboard!$F$4+Dashboard!C$10*SQRT(Dashboard!$F$4) * _xlfn.NORM.S.INV(RAND())</f>
        <v>-4.1844434750488201E-3</v>
      </c>
      <c r="U1551" s="59">
        <f ca="1">Dashboard!D$8* Dashboard!$F$4+Dashboard!D$10*SQRT(Dashboard!$F$4) * _xlfn.NORM.S.INV(RAND())</f>
        <v>-9.1747384758362124E-3</v>
      </c>
    </row>
    <row r="1552" spans="18:21" x14ac:dyDescent="0.2">
      <c r="R1552" s="49">
        <v>1550</v>
      </c>
      <c r="S1552" s="59">
        <f ca="1">Dashboard!B$8* Dashboard!$F$4+Dashboard!B$10*SQRT(Dashboard!$F$4) * _xlfn.NORM.S.INV(RAND())</f>
        <v>2.3337301983724183E-2</v>
      </c>
      <c r="T1552" s="59">
        <f ca="1">Dashboard!C$8* Dashboard!$F$4+Dashboard!C$10*SQRT(Dashboard!$F$4) * _xlfn.NORM.S.INV(RAND())</f>
        <v>6.9195322838192103E-2</v>
      </c>
      <c r="U1552" s="59">
        <f ca="1">Dashboard!D$8* Dashboard!$F$4+Dashboard!D$10*SQRT(Dashboard!$F$4) * _xlfn.NORM.S.INV(RAND())</f>
        <v>1.9553763595881505E-3</v>
      </c>
    </row>
    <row r="1553" spans="18:21" x14ac:dyDescent="0.2">
      <c r="R1553" s="49">
        <v>1551</v>
      </c>
      <c r="S1553" s="59">
        <f ca="1">Dashboard!B$8* Dashboard!$F$4+Dashboard!B$10*SQRT(Dashboard!$F$4) * _xlfn.NORM.S.INV(RAND())</f>
        <v>2.1550313075173327E-2</v>
      </c>
      <c r="T1553" s="59">
        <f ca="1">Dashboard!C$8* Dashboard!$F$4+Dashboard!C$10*SQRT(Dashboard!$F$4) * _xlfn.NORM.S.INV(RAND())</f>
        <v>-1.8798215758552856E-4</v>
      </c>
      <c r="U1553" s="59">
        <f ca="1">Dashboard!D$8* Dashboard!$F$4+Dashboard!D$10*SQRT(Dashboard!$F$4) * _xlfn.NORM.S.INV(RAND())</f>
        <v>1.6756803594275293E-2</v>
      </c>
    </row>
    <row r="1554" spans="18:21" x14ac:dyDescent="0.2">
      <c r="R1554" s="49">
        <v>1552</v>
      </c>
      <c r="S1554" s="59">
        <f ca="1">Dashboard!B$8* Dashboard!$F$4+Dashboard!B$10*SQRT(Dashboard!$F$4) * _xlfn.NORM.S.INV(RAND())</f>
        <v>-3.9036332515390348E-2</v>
      </c>
      <c r="T1554" s="59">
        <f ca="1">Dashboard!C$8* Dashboard!$F$4+Dashboard!C$10*SQRT(Dashboard!$F$4) * _xlfn.NORM.S.INV(RAND())</f>
        <v>-3.3802169379098475E-2</v>
      </c>
      <c r="U1554" s="59">
        <f ca="1">Dashboard!D$8* Dashboard!$F$4+Dashboard!D$10*SQRT(Dashboard!$F$4) * _xlfn.NORM.S.INV(RAND())</f>
        <v>2.3532782775908988E-2</v>
      </c>
    </row>
    <row r="1555" spans="18:21" x14ac:dyDescent="0.2">
      <c r="R1555" s="49">
        <v>1553</v>
      </c>
      <c r="S1555" s="59">
        <f ca="1">Dashboard!B$8* Dashboard!$F$4+Dashboard!B$10*SQRT(Dashboard!$F$4) * _xlfn.NORM.S.INV(RAND())</f>
        <v>-1.6386304895566757E-2</v>
      </c>
      <c r="T1555" s="59">
        <f ca="1">Dashboard!C$8* Dashboard!$F$4+Dashboard!C$10*SQRT(Dashboard!$F$4) * _xlfn.NORM.S.INV(RAND())</f>
        <v>-1.4459125172908798E-2</v>
      </c>
      <c r="U1555" s="59">
        <f ca="1">Dashboard!D$8* Dashboard!$F$4+Dashboard!D$10*SQRT(Dashboard!$F$4) * _xlfn.NORM.S.INV(RAND())</f>
        <v>5.5267950028234994E-2</v>
      </c>
    </row>
    <row r="1556" spans="18:21" x14ac:dyDescent="0.2">
      <c r="R1556" s="49">
        <v>1554</v>
      </c>
      <c r="S1556" s="59">
        <f ca="1">Dashboard!B$8* Dashboard!$F$4+Dashboard!B$10*SQRT(Dashboard!$F$4) * _xlfn.NORM.S.INV(RAND())</f>
        <v>-4.4470454269053855E-2</v>
      </c>
      <c r="T1556" s="59">
        <f ca="1">Dashboard!C$8* Dashboard!$F$4+Dashboard!C$10*SQRT(Dashboard!$F$4) * _xlfn.NORM.S.INV(RAND())</f>
        <v>3.5254944866776036E-2</v>
      </c>
      <c r="U1556" s="59">
        <f ca="1">Dashboard!D$8* Dashboard!$F$4+Dashboard!D$10*SQRT(Dashboard!$F$4) * _xlfn.NORM.S.INV(RAND())</f>
        <v>6.7357165012993964E-2</v>
      </c>
    </row>
    <row r="1557" spans="18:21" x14ac:dyDescent="0.2">
      <c r="R1557" s="49">
        <v>1555</v>
      </c>
      <c r="S1557" s="59">
        <f ca="1">Dashboard!B$8* Dashboard!$F$4+Dashboard!B$10*SQRT(Dashboard!$F$4) * _xlfn.NORM.S.INV(RAND())</f>
        <v>2.5719121339616499E-2</v>
      </c>
      <c r="T1557" s="59">
        <f ca="1">Dashboard!C$8* Dashboard!$F$4+Dashboard!C$10*SQRT(Dashboard!$F$4) * _xlfn.NORM.S.INV(RAND())</f>
        <v>2.7488812133681793E-2</v>
      </c>
      <c r="U1557" s="59">
        <f ca="1">Dashboard!D$8* Dashboard!$F$4+Dashboard!D$10*SQRT(Dashboard!$F$4) * _xlfn.NORM.S.INV(RAND())</f>
        <v>1.1316347506604284E-2</v>
      </c>
    </row>
    <row r="1558" spans="18:21" x14ac:dyDescent="0.2">
      <c r="R1558" s="49">
        <v>1556</v>
      </c>
      <c r="S1558" s="59">
        <f ca="1">Dashboard!B$8* Dashboard!$F$4+Dashboard!B$10*SQRT(Dashboard!$F$4) * _xlfn.NORM.S.INV(RAND())</f>
        <v>-6.3188889735404333E-2</v>
      </c>
      <c r="T1558" s="59">
        <f ca="1">Dashboard!C$8* Dashboard!$F$4+Dashboard!C$10*SQRT(Dashboard!$F$4) * _xlfn.NORM.S.INV(RAND())</f>
        <v>0.14018080269193248</v>
      </c>
      <c r="U1558" s="59">
        <f ca="1">Dashboard!D$8* Dashboard!$F$4+Dashboard!D$10*SQRT(Dashboard!$F$4) * _xlfn.NORM.S.INV(RAND())</f>
        <v>3.4384566843324929E-2</v>
      </c>
    </row>
    <row r="1559" spans="18:21" x14ac:dyDescent="0.2">
      <c r="R1559" s="49">
        <v>1557</v>
      </c>
      <c r="S1559" s="59">
        <f ca="1">Dashboard!B$8* Dashboard!$F$4+Dashboard!B$10*SQRT(Dashboard!$F$4) * _xlfn.NORM.S.INV(RAND())</f>
        <v>2.8049247733961856E-2</v>
      </c>
      <c r="T1559" s="59">
        <f ca="1">Dashboard!C$8* Dashboard!$F$4+Dashboard!C$10*SQRT(Dashboard!$F$4) * _xlfn.NORM.S.INV(RAND())</f>
        <v>2.2663561753290786E-2</v>
      </c>
      <c r="U1559" s="59">
        <f ca="1">Dashboard!D$8* Dashboard!$F$4+Dashboard!D$10*SQRT(Dashboard!$F$4) * _xlfn.NORM.S.INV(RAND())</f>
        <v>-1.33268253767919E-2</v>
      </c>
    </row>
    <row r="1560" spans="18:21" x14ac:dyDescent="0.2">
      <c r="R1560" s="49">
        <v>1558</v>
      </c>
      <c r="S1560" s="59">
        <f ca="1">Dashboard!B$8* Dashboard!$F$4+Dashboard!B$10*SQRT(Dashboard!$F$4) * _xlfn.NORM.S.INV(RAND())</f>
        <v>1.0903466300101453E-2</v>
      </c>
      <c r="T1560" s="59">
        <f ca="1">Dashboard!C$8* Dashboard!$F$4+Dashboard!C$10*SQRT(Dashboard!$F$4) * _xlfn.NORM.S.INV(RAND())</f>
        <v>2.7056542554888395E-2</v>
      </c>
      <c r="U1560" s="59">
        <f ca="1">Dashboard!D$8* Dashboard!$F$4+Dashboard!D$10*SQRT(Dashboard!$F$4) * _xlfn.NORM.S.INV(RAND())</f>
        <v>2.4529546506022503E-3</v>
      </c>
    </row>
    <row r="1561" spans="18:21" x14ac:dyDescent="0.2">
      <c r="R1561" s="49">
        <v>1559</v>
      </c>
      <c r="S1561" s="59">
        <f ca="1">Dashboard!B$8* Dashboard!$F$4+Dashboard!B$10*SQRT(Dashboard!$F$4) * _xlfn.NORM.S.INV(RAND())</f>
        <v>4.4241938850561897E-3</v>
      </c>
      <c r="T1561" s="59">
        <f ca="1">Dashboard!C$8* Dashboard!$F$4+Dashboard!C$10*SQRT(Dashboard!$F$4) * _xlfn.NORM.S.INV(RAND())</f>
        <v>4.0550861711817772E-2</v>
      </c>
      <c r="U1561" s="59">
        <f ca="1">Dashboard!D$8* Dashboard!$F$4+Dashboard!D$10*SQRT(Dashboard!$F$4) * _xlfn.NORM.S.INV(RAND())</f>
        <v>-1.2886526076116643E-2</v>
      </c>
    </row>
    <row r="1562" spans="18:21" x14ac:dyDescent="0.2">
      <c r="R1562" s="49">
        <v>1560</v>
      </c>
      <c r="S1562" s="59">
        <f ca="1">Dashboard!B$8* Dashboard!$F$4+Dashboard!B$10*SQRT(Dashboard!$F$4) * _xlfn.NORM.S.INV(RAND())</f>
        <v>2.1061903929593312E-2</v>
      </c>
      <c r="T1562" s="59">
        <f ca="1">Dashboard!C$8* Dashboard!$F$4+Dashboard!C$10*SQRT(Dashboard!$F$4) * _xlfn.NORM.S.INV(RAND())</f>
        <v>-5.6190045681785523E-3</v>
      </c>
      <c r="U1562" s="59">
        <f ca="1">Dashboard!D$8* Dashboard!$F$4+Dashboard!D$10*SQRT(Dashboard!$F$4) * _xlfn.NORM.S.INV(RAND())</f>
        <v>1.9286162991866106E-2</v>
      </c>
    </row>
    <row r="1563" spans="18:21" x14ac:dyDescent="0.2">
      <c r="R1563" s="49">
        <v>1561</v>
      </c>
      <c r="S1563" s="59">
        <f ca="1">Dashboard!B$8* Dashboard!$F$4+Dashboard!B$10*SQRT(Dashboard!$F$4) * _xlfn.NORM.S.INV(RAND())</f>
        <v>4.5341014195691406E-2</v>
      </c>
      <c r="T1563" s="59">
        <f ca="1">Dashboard!C$8* Dashboard!$F$4+Dashboard!C$10*SQRT(Dashboard!$F$4) * _xlfn.NORM.S.INV(RAND())</f>
        <v>2.9408632489604822E-2</v>
      </c>
      <c r="U1563" s="59">
        <f ca="1">Dashboard!D$8* Dashboard!$F$4+Dashboard!D$10*SQRT(Dashboard!$F$4) * _xlfn.NORM.S.INV(RAND())</f>
        <v>2.3469320616479314E-2</v>
      </c>
    </row>
    <row r="1564" spans="18:21" x14ac:dyDescent="0.2">
      <c r="R1564" s="49">
        <v>1562</v>
      </c>
      <c r="S1564" s="59">
        <f ca="1">Dashboard!B$8* Dashboard!$F$4+Dashboard!B$10*SQRT(Dashboard!$F$4) * _xlfn.NORM.S.INV(RAND())</f>
        <v>3.6788687071051443E-2</v>
      </c>
      <c r="T1564" s="59">
        <f ca="1">Dashboard!C$8* Dashboard!$F$4+Dashboard!C$10*SQRT(Dashboard!$F$4) * _xlfn.NORM.S.INV(RAND())</f>
        <v>3.4287868569668603E-2</v>
      </c>
      <c r="U1564" s="59">
        <f ca="1">Dashboard!D$8* Dashboard!$F$4+Dashboard!D$10*SQRT(Dashboard!$F$4) * _xlfn.NORM.S.INV(RAND())</f>
        <v>5.861310255490821E-2</v>
      </c>
    </row>
    <row r="1565" spans="18:21" x14ac:dyDescent="0.2">
      <c r="R1565" s="49">
        <v>1563</v>
      </c>
      <c r="S1565" s="59">
        <f ca="1">Dashboard!B$8* Dashboard!$F$4+Dashboard!B$10*SQRT(Dashboard!$F$4) * _xlfn.NORM.S.INV(RAND())</f>
        <v>-7.2513521311898144E-2</v>
      </c>
      <c r="T1565" s="59">
        <f ca="1">Dashboard!C$8* Dashboard!$F$4+Dashboard!C$10*SQRT(Dashboard!$F$4) * _xlfn.NORM.S.INV(RAND())</f>
        <v>3.9461416992409716E-2</v>
      </c>
      <c r="U1565" s="59">
        <f ca="1">Dashboard!D$8* Dashboard!$F$4+Dashboard!D$10*SQRT(Dashboard!$F$4) * _xlfn.NORM.S.INV(RAND())</f>
        <v>-3.7651013499688607E-2</v>
      </c>
    </row>
    <row r="1566" spans="18:21" x14ac:dyDescent="0.2">
      <c r="R1566" s="49">
        <v>1564</v>
      </c>
      <c r="S1566" s="59">
        <f ca="1">Dashboard!B$8* Dashboard!$F$4+Dashboard!B$10*SQRT(Dashboard!$F$4) * _xlfn.NORM.S.INV(RAND())</f>
        <v>-1.6259198866764801E-2</v>
      </c>
      <c r="T1566" s="59">
        <f ca="1">Dashboard!C$8* Dashboard!$F$4+Dashboard!C$10*SQRT(Dashboard!$F$4) * _xlfn.NORM.S.INV(RAND())</f>
        <v>-2.3875637731305088E-2</v>
      </c>
      <c r="U1566" s="59">
        <f ca="1">Dashboard!D$8* Dashboard!$F$4+Dashboard!D$10*SQRT(Dashboard!$F$4) * _xlfn.NORM.S.INV(RAND())</f>
        <v>1.2365421799904179E-2</v>
      </c>
    </row>
    <row r="1567" spans="18:21" x14ac:dyDescent="0.2">
      <c r="R1567" s="49">
        <v>1565</v>
      </c>
      <c r="S1567" s="59">
        <f ca="1">Dashboard!B$8* Dashboard!$F$4+Dashboard!B$10*SQRT(Dashboard!$F$4) * _xlfn.NORM.S.INV(RAND())</f>
        <v>-2.4532936384178847E-2</v>
      </c>
      <c r="T1567" s="59">
        <f ca="1">Dashboard!C$8* Dashboard!$F$4+Dashboard!C$10*SQRT(Dashboard!$F$4) * _xlfn.NORM.S.INV(RAND())</f>
        <v>3.0175452902890084E-2</v>
      </c>
      <c r="U1567" s="59">
        <f ca="1">Dashboard!D$8* Dashboard!$F$4+Dashboard!D$10*SQRT(Dashboard!$F$4) * _xlfn.NORM.S.INV(RAND())</f>
        <v>7.9198868520173916E-3</v>
      </c>
    </row>
    <row r="1568" spans="18:21" x14ac:dyDescent="0.2">
      <c r="R1568" s="49">
        <v>1566</v>
      </c>
      <c r="S1568" s="59">
        <f ca="1">Dashboard!B$8* Dashboard!$F$4+Dashboard!B$10*SQRT(Dashboard!$F$4) * _xlfn.NORM.S.INV(RAND())</f>
        <v>1.5513947746946493E-2</v>
      </c>
      <c r="T1568" s="59">
        <f ca="1">Dashboard!C$8* Dashboard!$F$4+Dashboard!C$10*SQRT(Dashboard!$F$4) * _xlfn.NORM.S.INV(RAND())</f>
        <v>-1.9089944480205581E-2</v>
      </c>
      <c r="U1568" s="59">
        <f ca="1">Dashboard!D$8* Dashboard!$F$4+Dashboard!D$10*SQRT(Dashboard!$F$4) * _xlfn.NORM.S.INV(RAND())</f>
        <v>3.095463748838537E-2</v>
      </c>
    </row>
    <row r="1569" spans="18:21" x14ac:dyDescent="0.2">
      <c r="R1569" s="49">
        <v>1567</v>
      </c>
      <c r="S1569" s="59">
        <f ca="1">Dashboard!B$8* Dashboard!$F$4+Dashboard!B$10*SQRT(Dashboard!$F$4) * _xlfn.NORM.S.INV(RAND())</f>
        <v>4.3598974130779289E-2</v>
      </c>
      <c r="T1569" s="59">
        <f ca="1">Dashboard!C$8* Dashboard!$F$4+Dashboard!C$10*SQRT(Dashboard!$F$4) * _xlfn.NORM.S.INV(RAND())</f>
        <v>2.2742925269587065E-2</v>
      </c>
      <c r="U1569" s="59">
        <f ca="1">Dashboard!D$8* Dashboard!$F$4+Dashboard!D$10*SQRT(Dashboard!$F$4) * _xlfn.NORM.S.INV(RAND())</f>
        <v>3.0999271239587036E-2</v>
      </c>
    </row>
    <row r="1570" spans="18:21" x14ac:dyDescent="0.2">
      <c r="R1570" s="49">
        <v>1568</v>
      </c>
      <c r="S1570" s="59">
        <f ca="1">Dashboard!B$8* Dashboard!$F$4+Dashboard!B$10*SQRT(Dashboard!$F$4) * _xlfn.NORM.S.INV(RAND())</f>
        <v>-7.8417119877139761E-3</v>
      </c>
      <c r="T1570" s="59">
        <f ca="1">Dashboard!C$8* Dashboard!$F$4+Dashboard!C$10*SQRT(Dashboard!$F$4) * _xlfn.NORM.S.INV(RAND())</f>
        <v>-5.9092956975609129E-3</v>
      </c>
      <c r="U1570" s="59">
        <f ca="1">Dashboard!D$8* Dashboard!$F$4+Dashboard!D$10*SQRT(Dashboard!$F$4) * _xlfn.NORM.S.INV(RAND())</f>
        <v>-2.2999063413474942E-2</v>
      </c>
    </row>
    <row r="1571" spans="18:21" x14ac:dyDescent="0.2">
      <c r="R1571" s="49">
        <v>1569</v>
      </c>
      <c r="S1571" s="59">
        <f ca="1">Dashboard!B$8* Dashboard!$F$4+Dashboard!B$10*SQRT(Dashboard!$F$4) * _xlfn.NORM.S.INV(RAND())</f>
        <v>1.6749575249462634E-2</v>
      </c>
      <c r="T1571" s="59">
        <f ca="1">Dashboard!C$8* Dashboard!$F$4+Dashboard!C$10*SQRT(Dashboard!$F$4) * _xlfn.NORM.S.INV(RAND())</f>
        <v>9.3067241183557477E-3</v>
      </c>
      <c r="U1571" s="59">
        <f ca="1">Dashboard!D$8* Dashboard!$F$4+Dashboard!D$10*SQRT(Dashboard!$F$4) * _xlfn.NORM.S.INV(RAND())</f>
        <v>-1.1804049829260987E-2</v>
      </c>
    </row>
    <row r="1572" spans="18:21" x14ac:dyDescent="0.2">
      <c r="R1572" s="49">
        <v>1570</v>
      </c>
      <c r="S1572" s="59">
        <f ca="1">Dashboard!B$8* Dashboard!$F$4+Dashboard!B$10*SQRT(Dashboard!$F$4) * _xlfn.NORM.S.INV(RAND())</f>
        <v>2.9603295752762777E-2</v>
      </c>
      <c r="T1572" s="59">
        <f ca="1">Dashboard!C$8* Dashboard!$F$4+Dashboard!C$10*SQRT(Dashboard!$F$4) * _xlfn.NORM.S.INV(RAND())</f>
        <v>2.8157173467896453E-3</v>
      </c>
      <c r="U1572" s="59">
        <f ca="1">Dashboard!D$8* Dashboard!$F$4+Dashboard!D$10*SQRT(Dashboard!$F$4) * _xlfn.NORM.S.INV(RAND())</f>
        <v>-3.4322158731919898E-2</v>
      </c>
    </row>
    <row r="1573" spans="18:21" x14ac:dyDescent="0.2">
      <c r="R1573" s="49">
        <v>1571</v>
      </c>
      <c r="S1573" s="59">
        <f ca="1">Dashboard!B$8* Dashboard!$F$4+Dashboard!B$10*SQRT(Dashboard!$F$4) * _xlfn.NORM.S.INV(RAND())</f>
        <v>2.5619330766403388E-3</v>
      </c>
      <c r="T1573" s="59">
        <f ca="1">Dashboard!C$8* Dashboard!$F$4+Dashboard!C$10*SQRT(Dashboard!$F$4) * _xlfn.NORM.S.INV(RAND())</f>
        <v>-3.6156014150901694E-2</v>
      </c>
      <c r="U1573" s="59">
        <f ca="1">Dashboard!D$8* Dashboard!$F$4+Dashboard!D$10*SQRT(Dashboard!$F$4) * _xlfn.NORM.S.INV(RAND())</f>
        <v>-3.7137090591121545E-2</v>
      </c>
    </row>
    <row r="1574" spans="18:21" x14ac:dyDescent="0.2">
      <c r="R1574" s="49">
        <v>1572</v>
      </c>
      <c r="S1574" s="59">
        <f ca="1">Dashboard!B$8* Dashboard!$F$4+Dashboard!B$10*SQRT(Dashboard!$F$4) * _xlfn.NORM.S.INV(RAND())</f>
        <v>-5.0528966303201577E-2</v>
      </c>
      <c r="T1574" s="59">
        <f ca="1">Dashboard!C$8* Dashboard!$F$4+Dashboard!C$10*SQRT(Dashboard!$F$4) * _xlfn.NORM.S.INV(RAND())</f>
        <v>-2.7650630452138645E-2</v>
      </c>
      <c r="U1574" s="59">
        <f ca="1">Dashboard!D$8* Dashboard!$F$4+Dashboard!D$10*SQRT(Dashboard!$F$4) * _xlfn.NORM.S.INV(RAND())</f>
        <v>5.0639118211823642E-3</v>
      </c>
    </row>
    <row r="1575" spans="18:21" x14ac:dyDescent="0.2">
      <c r="R1575" s="49">
        <v>1573</v>
      </c>
      <c r="S1575" s="59">
        <f ca="1">Dashboard!B$8* Dashboard!$F$4+Dashboard!B$10*SQRT(Dashboard!$F$4) * _xlfn.NORM.S.INV(RAND())</f>
        <v>7.6542906696840801E-3</v>
      </c>
      <c r="T1575" s="59">
        <f ca="1">Dashboard!C$8* Dashboard!$F$4+Dashboard!C$10*SQRT(Dashboard!$F$4) * _xlfn.NORM.S.INV(RAND())</f>
        <v>8.4013175064764477E-4</v>
      </c>
      <c r="U1575" s="59">
        <f ca="1">Dashboard!D$8* Dashboard!$F$4+Dashboard!D$10*SQRT(Dashboard!$F$4) * _xlfn.NORM.S.INV(RAND())</f>
        <v>2.9984940521029492E-2</v>
      </c>
    </row>
    <row r="1576" spans="18:21" x14ac:dyDescent="0.2">
      <c r="R1576" s="49">
        <v>1574</v>
      </c>
      <c r="S1576" s="59">
        <f ca="1">Dashboard!B$8* Dashboard!$F$4+Dashboard!B$10*SQRT(Dashboard!$F$4) * _xlfn.NORM.S.INV(RAND())</f>
        <v>1.8536563062071583E-2</v>
      </c>
      <c r="T1576" s="59">
        <f ca="1">Dashboard!C$8* Dashboard!$F$4+Dashboard!C$10*SQRT(Dashboard!$F$4) * _xlfn.NORM.S.INV(RAND())</f>
        <v>4.4784024242005289E-2</v>
      </c>
      <c r="U1576" s="59">
        <f ca="1">Dashboard!D$8* Dashboard!$F$4+Dashboard!D$10*SQRT(Dashboard!$F$4) * _xlfn.NORM.S.INV(RAND())</f>
        <v>-7.6371108614815284E-3</v>
      </c>
    </row>
    <row r="1577" spans="18:21" x14ac:dyDescent="0.2">
      <c r="R1577" s="49">
        <v>1575</v>
      </c>
      <c r="S1577" s="59">
        <f ca="1">Dashboard!B$8* Dashboard!$F$4+Dashboard!B$10*SQRT(Dashboard!$F$4) * _xlfn.NORM.S.INV(RAND())</f>
        <v>6.6968258738989969E-2</v>
      </c>
      <c r="T1577" s="59">
        <f ca="1">Dashboard!C$8* Dashboard!$F$4+Dashboard!C$10*SQRT(Dashboard!$F$4) * _xlfn.NORM.S.INV(RAND())</f>
        <v>2.3484918070236756E-3</v>
      </c>
      <c r="U1577" s="59">
        <f ca="1">Dashboard!D$8* Dashboard!$F$4+Dashboard!D$10*SQRT(Dashboard!$F$4) * _xlfn.NORM.S.INV(RAND())</f>
        <v>1.4405625804469946E-2</v>
      </c>
    </row>
    <row r="1578" spans="18:21" x14ac:dyDescent="0.2">
      <c r="R1578" s="49">
        <v>1576</v>
      </c>
      <c r="S1578" s="59">
        <f ca="1">Dashboard!B$8* Dashboard!$F$4+Dashboard!B$10*SQRT(Dashboard!$F$4) * _xlfn.NORM.S.INV(RAND())</f>
        <v>9.7643367036496023E-3</v>
      </c>
      <c r="T1578" s="59">
        <f ca="1">Dashboard!C$8* Dashboard!$F$4+Dashboard!C$10*SQRT(Dashboard!$F$4) * _xlfn.NORM.S.INV(RAND())</f>
        <v>6.9646600486950927E-2</v>
      </c>
      <c r="U1578" s="59">
        <f ca="1">Dashboard!D$8* Dashboard!$F$4+Dashboard!D$10*SQRT(Dashboard!$F$4) * _xlfn.NORM.S.INV(RAND())</f>
        <v>4.6396402126948552E-2</v>
      </c>
    </row>
    <row r="1579" spans="18:21" x14ac:dyDescent="0.2">
      <c r="R1579" s="49">
        <v>1577</v>
      </c>
      <c r="S1579" s="59">
        <f ca="1">Dashboard!B$8* Dashboard!$F$4+Dashboard!B$10*SQRT(Dashboard!$F$4) * _xlfn.NORM.S.INV(RAND())</f>
        <v>-3.4753748378337224E-2</v>
      </c>
      <c r="T1579" s="59">
        <f ca="1">Dashboard!C$8* Dashboard!$F$4+Dashboard!C$10*SQRT(Dashboard!$F$4) * _xlfn.NORM.S.INV(RAND())</f>
        <v>3.4704904217237334E-2</v>
      </c>
      <c r="U1579" s="59">
        <f ca="1">Dashboard!D$8* Dashboard!$F$4+Dashboard!D$10*SQRT(Dashboard!$F$4) * _xlfn.NORM.S.INV(RAND())</f>
        <v>-2.6957136018673281E-2</v>
      </c>
    </row>
    <row r="1580" spans="18:21" x14ac:dyDescent="0.2">
      <c r="R1580" s="49">
        <v>1578</v>
      </c>
      <c r="S1580" s="59">
        <f ca="1">Dashboard!B$8* Dashboard!$F$4+Dashboard!B$10*SQRT(Dashboard!$F$4) * _xlfn.NORM.S.INV(RAND())</f>
        <v>1.931595179570713E-2</v>
      </c>
      <c r="T1580" s="59">
        <f ca="1">Dashboard!C$8* Dashboard!$F$4+Dashboard!C$10*SQRT(Dashboard!$F$4) * _xlfn.NORM.S.INV(RAND())</f>
        <v>-1.4362127865206353E-2</v>
      </c>
      <c r="U1580" s="59">
        <f ca="1">Dashboard!D$8* Dashboard!$F$4+Dashboard!D$10*SQRT(Dashboard!$F$4) * _xlfn.NORM.S.INV(RAND())</f>
        <v>-3.129949606301962E-2</v>
      </c>
    </row>
    <row r="1581" spans="18:21" x14ac:dyDescent="0.2">
      <c r="R1581" s="49">
        <v>1579</v>
      </c>
      <c r="S1581" s="59">
        <f ca="1">Dashboard!B$8* Dashboard!$F$4+Dashboard!B$10*SQRT(Dashboard!$F$4) * _xlfn.NORM.S.INV(RAND())</f>
        <v>-1.0021723220831433E-2</v>
      </c>
      <c r="T1581" s="59">
        <f ca="1">Dashboard!C$8* Dashboard!$F$4+Dashboard!C$10*SQRT(Dashboard!$F$4) * _xlfn.NORM.S.INV(RAND())</f>
        <v>3.4904374602308087E-2</v>
      </c>
      <c r="U1581" s="59">
        <f ca="1">Dashboard!D$8* Dashboard!$F$4+Dashboard!D$10*SQRT(Dashboard!$F$4) * _xlfn.NORM.S.INV(RAND())</f>
        <v>-1.6623563663493383E-3</v>
      </c>
    </row>
    <row r="1582" spans="18:21" x14ac:dyDescent="0.2">
      <c r="R1582" s="49">
        <v>1580</v>
      </c>
      <c r="S1582" s="59">
        <f ca="1">Dashboard!B$8* Dashboard!$F$4+Dashboard!B$10*SQRT(Dashboard!$F$4) * _xlfn.NORM.S.INV(RAND())</f>
        <v>3.0770969196841788E-2</v>
      </c>
      <c r="T1582" s="59">
        <f ca="1">Dashboard!C$8* Dashboard!$F$4+Dashboard!C$10*SQRT(Dashboard!$F$4) * _xlfn.NORM.S.INV(RAND())</f>
        <v>-1.7975077011111406E-2</v>
      </c>
      <c r="U1582" s="59">
        <f ca="1">Dashboard!D$8* Dashboard!$F$4+Dashboard!D$10*SQRT(Dashboard!$F$4) * _xlfn.NORM.S.INV(RAND())</f>
        <v>-1.4016233790561511E-3</v>
      </c>
    </row>
    <row r="1583" spans="18:21" x14ac:dyDescent="0.2">
      <c r="R1583" s="49">
        <v>1581</v>
      </c>
      <c r="S1583" s="59">
        <f ca="1">Dashboard!B$8* Dashboard!$F$4+Dashboard!B$10*SQRT(Dashboard!$F$4) * _xlfn.NORM.S.INV(RAND())</f>
        <v>1.7323061146430958E-2</v>
      </c>
      <c r="T1583" s="59">
        <f ca="1">Dashboard!C$8* Dashboard!$F$4+Dashboard!C$10*SQRT(Dashboard!$F$4) * _xlfn.NORM.S.INV(RAND())</f>
        <v>2.6302265549963476E-2</v>
      </c>
      <c r="U1583" s="59">
        <f ca="1">Dashboard!D$8* Dashboard!$F$4+Dashboard!D$10*SQRT(Dashboard!$F$4) * _xlfn.NORM.S.INV(RAND())</f>
        <v>1.6171057156100857E-2</v>
      </c>
    </row>
    <row r="1584" spans="18:21" x14ac:dyDescent="0.2">
      <c r="R1584" s="49">
        <v>1582</v>
      </c>
      <c r="S1584" s="59">
        <f ca="1">Dashboard!B$8* Dashboard!$F$4+Dashboard!B$10*SQRT(Dashboard!$F$4) * _xlfn.NORM.S.INV(RAND())</f>
        <v>-5.855883663373574E-3</v>
      </c>
      <c r="T1584" s="59">
        <f ca="1">Dashboard!C$8* Dashboard!$F$4+Dashboard!C$10*SQRT(Dashboard!$F$4) * _xlfn.NORM.S.INV(RAND())</f>
        <v>1.169468040808511E-2</v>
      </c>
      <c r="U1584" s="59">
        <f ca="1">Dashboard!D$8* Dashboard!$F$4+Dashboard!D$10*SQRT(Dashboard!$F$4) * _xlfn.NORM.S.INV(RAND())</f>
        <v>-2.6487306389418718E-3</v>
      </c>
    </row>
    <row r="1585" spans="18:21" x14ac:dyDescent="0.2">
      <c r="R1585" s="49">
        <v>1583</v>
      </c>
      <c r="S1585" s="59">
        <f ca="1">Dashboard!B$8* Dashboard!$F$4+Dashboard!B$10*SQRT(Dashboard!$F$4) * _xlfn.NORM.S.INV(RAND())</f>
        <v>-8.0015316869955959E-4</v>
      </c>
      <c r="T1585" s="59">
        <f ca="1">Dashboard!C$8* Dashboard!$F$4+Dashboard!C$10*SQRT(Dashboard!$F$4) * _xlfn.NORM.S.INV(RAND())</f>
        <v>-1.3983212984955817E-2</v>
      </c>
      <c r="U1585" s="59">
        <f ca="1">Dashboard!D$8* Dashboard!$F$4+Dashboard!D$10*SQRT(Dashboard!$F$4) * _xlfn.NORM.S.INV(RAND())</f>
        <v>5.5115043777590432E-2</v>
      </c>
    </row>
    <row r="1586" spans="18:21" x14ac:dyDescent="0.2">
      <c r="R1586" s="49">
        <v>1584</v>
      </c>
      <c r="S1586" s="59">
        <f ca="1">Dashboard!B$8* Dashboard!$F$4+Dashboard!B$10*SQRT(Dashboard!$F$4) * _xlfn.NORM.S.INV(RAND())</f>
        <v>-2.8806638874300822E-2</v>
      </c>
      <c r="T1586" s="59">
        <f ca="1">Dashboard!C$8* Dashboard!$F$4+Dashboard!C$10*SQRT(Dashboard!$F$4) * _xlfn.NORM.S.INV(RAND())</f>
        <v>-3.9475343934298086E-2</v>
      </c>
      <c r="U1586" s="59">
        <f ca="1">Dashboard!D$8* Dashboard!$F$4+Dashboard!D$10*SQRT(Dashboard!$F$4) * _xlfn.NORM.S.INV(RAND())</f>
        <v>6.303195402097321E-2</v>
      </c>
    </row>
    <row r="1587" spans="18:21" x14ac:dyDescent="0.2">
      <c r="R1587" s="49">
        <v>1585</v>
      </c>
      <c r="S1587" s="59">
        <f ca="1">Dashboard!B$8* Dashboard!$F$4+Dashboard!B$10*SQRT(Dashboard!$F$4) * _xlfn.NORM.S.INV(RAND())</f>
        <v>-5.8194429187125037E-2</v>
      </c>
      <c r="T1587" s="59">
        <f ca="1">Dashboard!C$8* Dashboard!$F$4+Dashboard!C$10*SQRT(Dashboard!$F$4) * _xlfn.NORM.S.INV(RAND())</f>
        <v>2.1476251006029637E-5</v>
      </c>
      <c r="U1587" s="59">
        <f ca="1">Dashboard!D$8* Dashboard!$F$4+Dashboard!D$10*SQRT(Dashboard!$F$4) * _xlfn.NORM.S.INV(RAND())</f>
        <v>5.8291556395042446E-3</v>
      </c>
    </row>
    <row r="1588" spans="18:21" x14ac:dyDescent="0.2">
      <c r="R1588" s="49">
        <v>1586</v>
      </c>
      <c r="S1588" s="59">
        <f ca="1">Dashboard!B$8* Dashboard!$F$4+Dashboard!B$10*SQRT(Dashboard!$F$4) * _xlfn.NORM.S.INV(RAND())</f>
        <v>-3.3909984838929638E-2</v>
      </c>
      <c r="T1588" s="59">
        <f ca="1">Dashboard!C$8* Dashboard!$F$4+Dashboard!C$10*SQRT(Dashboard!$F$4) * _xlfn.NORM.S.INV(RAND())</f>
        <v>3.6341108782505092E-2</v>
      </c>
      <c r="U1588" s="59">
        <f ca="1">Dashboard!D$8* Dashboard!$F$4+Dashboard!D$10*SQRT(Dashboard!$F$4) * _xlfn.NORM.S.INV(RAND())</f>
        <v>-1.1266933255929635E-2</v>
      </c>
    </row>
    <row r="1589" spans="18:21" x14ac:dyDescent="0.2">
      <c r="R1589" s="49">
        <v>1587</v>
      </c>
      <c r="S1589" s="59">
        <f ca="1">Dashboard!B$8* Dashboard!$F$4+Dashboard!B$10*SQRT(Dashboard!$F$4) * _xlfn.NORM.S.INV(RAND())</f>
        <v>-5.6255520235123639E-2</v>
      </c>
      <c r="T1589" s="59">
        <f ca="1">Dashboard!C$8* Dashboard!$F$4+Dashboard!C$10*SQRT(Dashboard!$F$4) * _xlfn.NORM.S.INV(RAND())</f>
        <v>-8.1142641113484126E-3</v>
      </c>
      <c r="U1589" s="59">
        <f ca="1">Dashboard!D$8* Dashboard!$F$4+Dashboard!D$10*SQRT(Dashboard!$F$4) * _xlfn.NORM.S.INV(RAND())</f>
        <v>2.5436445860502341E-2</v>
      </c>
    </row>
    <row r="1590" spans="18:21" x14ac:dyDescent="0.2">
      <c r="R1590" s="49">
        <v>1588</v>
      </c>
      <c r="S1590" s="59">
        <f ca="1">Dashboard!B$8* Dashboard!$F$4+Dashboard!B$10*SQRT(Dashboard!$F$4) * _xlfn.NORM.S.INV(RAND())</f>
        <v>-4.0829041032291555E-2</v>
      </c>
      <c r="T1590" s="59">
        <f ca="1">Dashboard!C$8* Dashboard!$F$4+Dashboard!C$10*SQRT(Dashboard!$F$4) * _xlfn.NORM.S.INV(RAND())</f>
        <v>3.7135903396603609E-2</v>
      </c>
      <c r="U1590" s="59">
        <f ca="1">Dashboard!D$8* Dashboard!$F$4+Dashboard!D$10*SQRT(Dashboard!$F$4) * _xlfn.NORM.S.INV(RAND())</f>
        <v>-5.5791542291255707E-2</v>
      </c>
    </row>
    <row r="1591" spans="18:21" x14ac:dyDescent="0.2">
      <c r="R1591" s="49">
        <v>1589</v>
      </c>
      <c r="S1591" s="59">
        <f ca="1">Dashboard!B$8* Dashboard!$F$4+Dashboard!B$10*SQRT(Dashboard!$F$4) * _xlfn.NORM.S.INV(RAND())</f>
        <v>1.6742178903322563E-3</v>
      </c>
      <c r="T1591" s="59">
        <f ca="1">Dashboard!C$8* Dashboard!$F$4+Dashboard!C$10*SQRT(Dashboard!$F$4) * _xlfn.NORM.S.INV(RAND())</f>
        <v>1.3689736675376405E-3</v>
      </c>
      <c r="U1591" s="59">
        <f ca="1">Dashboard!D$8* Dashboard!$F$4+Dashboard!D$10*SQRT(Dashboard!$F$4) * _xlfn.NORM.S.INV(RAND())</f>
        <v>1.9298038360278753E-3</v>
      </c>
    </row>
    <row r="1592" spans="18:21" x14ac:dyDescent="0.2">
      <c r="R1592" s="49">
        <v>1590</v>
      </c>
      <c r="S1592" s="59">
        <f ca="1">Dashboard!B$8* Dashboard!$F$4+Dashboard!B$10*SQRT(Dashboard!$F$4) * _xlfn.NORM.S.INV(RAND())</f>
        <v>9.7994608460396607E-2</v>
      </c>
      <c r="T1592" s="59">
        <f ca="1">Dashboard!C$8* Dashboard!$F$4+Dashboard!C$10*SQRT(Dashboard!$F$4) * _xlfn.NORM.S.INV(RAND())</f>
        <v>1.5715753122167032E-2</v>
      </c>
      <c r="U1592" s="59">
        <f ca="1">Dashboard!D$8* Dashboard!$F$4+Dashboard!D$10*SQRT(Dashboard!$F$4) * _xlfn.NORM.S.INV(RAND())</f>
        <v>-4.584565759894201E-4</v>
      </c>
    </row>
    <row r="1593" spans="18:21" x14ac:dyDescent="0.2">
      <c r="R1593" s="49">
        <v>1591</v>
      </c>
      <c r="S1593" s="59">
        <f ca="1">Dashboard!B$8* Dashboard!$F$4+Dashboard!B$10*SQRT(Dashboard!$F$4) * _xlfn.NORM.S.INV(RAND())</f>
        <v>-3.2168840065904244E-2</v>
      </c>
      <c r="T1593" s="59">
        <f ca="1">Dashboard!C$8* Dashboard!$F$4+Dashboard!C$10*SQRT(Dashboard!$F$4) * _xlfn.NORM.S.INV(RAND())</f>
        <v>-1.528836474815062E-2</v>
      </c>
      <c r="U1593" s="59">
        <f ca="1">Dashboard!D$8* Dashboard!$F$4+Dashboard!D$10*SQRT(Dashboard!$F$4) * _xlfn.NORM.S.INV(RAND())</f>
        <v>2.1936325688016213E-3</v>
      </c>
    </row>
    <row r="1594" spans="18:21" x14ac:dyDescent="0.2">
      <c r="R1594" s="49">
        <v>1592</v>
      </c>
      <c r="S1594" s="59">
        <f ca="1">Dashboard!B$8* Dashboard!$F$4+Dashboard!B$10*SQRT(Dashboard!$F$4) * _xlfn.NORM.S.INV(RAND())</f>
        <v>2.4145699960483866E-2</v>
      </c>
      <c r="T1594" s="59">
        <f ca="1">Dashboard!C$8* Dashboard!$F$4+Dashboard!C$10*SQRT(Dashboard!$F$4) * _xlfn.NORM.S.INV(RAND())</f>
        <v>3.3170066038077366E-2</v>
      </c>
      <c r="U1594" s="59">
        <f ca="1">Dashboard!D$8* Dashboard!$F$4+Dashboard!D$10*SQRT(Dashboard!$F$4) * _xlfn.NORM.S.INV(RAND())</f>
        <v>-1.6492912877698551E-2</v>
      </c>
    </row>
    <row r="1595" spans="18:21" x14ac:dyDescent="0.2">
      <c r="R1595" s="49">
        <v>1593</v>
      </c>
      <c r="S1595" s="59">
        <f ca="1">Dashboard!B$8* Dashboard!$F$4+Dashboard!B$10*SQRT(Dashboard!$F$4) * _xlfn.NORM.S.INV(RAND())</f>
        <v>-1.4204480104532952E-2</v>
      </c>
      <c r="T1595" s="59">
        <f ca="1">Dashboard!C$8* Dashboard!$F$4+Dashboard!C$10*SQRT(Dashboard!$F$4) * _xlfn.NORM.S.INV(RAND())</f>
        <v>2.595294412088036E-2</v>
      </c>
      <c r="U1595" s="59">
        <f ca="1">Dashboard!D$8* Dashboard!$F$4+Dashboard!D$10*SQRT(Dashboard!$F$4) * _xlfn.NORM.S.INV(RAND())</f>
        <v>6.2419896361376799E-2</v>
      </c>
    </row>
    <row r="1596" spans="18:21" x14ac:dyDescent="0.2">
      <c r="R1596" s="49">
        <v>1594</v>
      </c>
      <c r="S1596" s="59">
        <f ca="1">Dashboard!B$8* Dashboard!$F$4+Dashboard!B$10*SQRT(Dashboard!$F$4) * _xlfn.NORM.S.INV(RAND())</f>
        <v>-2.0455522063621496E-3</v>
      </c>
      <c r="T1596" s="59">
        <f ca="1">Dashboard!C$8* Dashboard!$F$4+Dashboard!C$10*SQRT(Dashboard!$F$4) * _xlfn.NORM.S.INV(RAND())</f>
        <v>-2.1334545527810778E-2</v>
      </c>
      <c r="U1596" s="59">
        <f ca="1">Dashboard!D$8* Dashboard!$F$4+Dashboard!D$10*SQRT(Dashboard!$F$4) * _xlfn.NORM.S.INV(RAND())</f>
        <v>-4.5637438173430397E-2</v>
      </c>
    </row>
    <row r="1597" spans="18:21" x14ac:dyDescent="0.2">
      <c r="R1597" s="49">
        <v>1595</v>
      </c>
      <c r="S1597" s="59">
        <f ca="1">Dashboard!B$8* Dashboard!$F$4+Dashboard!B$10*SQRT(Dashboard!$F$4) * _xlfn.NORM.S.INV(RAND())</f>
        <v>-5.9452244199304095E-2</v>
      </c>
      <c r="T1597" s="59">
        <f ca="1">Dashboard!C$8* Dashboard!$F$4+Dashboard!C$10*SQRT(Dashboard!$F$4) * _xlfn.NORM.S.INV(RAND())</f>
        <v>2.2425416803236582E-2</v>
      </c>
      <c r="U1597" s="59">
        <f ca="1">Dashboard!D$8* Dashboard!$F$4+Dashboard!D$10*SQRT(Dashboard!$F$4) * _xlfn.NORM.S.INV(RAND())</f>
        <v>3.2668132879684453E-2</v>
      </c>
    </row>
    <row r="1598" spans="18:21" x14ac:dyDescent="0.2">
      <c r="R1598" s="49">
        <v>1596</v>
      </c>
      <c r="S1598" s="59">
        <f ca="1">Dashboard!B$8* Dashboard!$F$4+Dashboard!B$10*SQRT(Dashboard!$F$4) * _xlfn.NORM.S.INV(RAND())</f>
        <v>-1.2568964840932985E-2</v>
      </c>
      <c r="T1598" s="59">
        <f ca="1">Dashboard!C$8* Dashboard!$F$4+Dashboard!C$10*SQRT(Dashboard!$F$4) * _xlfn.NORM.S.INV(RAND())</f>
        <v>6.6416514391717217E-3</v>
      </c>
      <c r="U1598" s="59">
        <f ca="1">Dashboard!D$8* Dashboard!$F$4+Dashboard!D$10*SQRT(Dashboard!$F$4) * _xlfn.NORM.S.INV(RAND())</f>
        <v>2.2163507504650948E-2</v>
      </c>
    </row>
    <row r="1599" spans="18:21" x14ac:dyDescent="0.2">
      <c r="R1599" s="49">
        <v>1597</v>
      </c>
      <c r="S1599" s="59">
        <f ca="1">Dashboard!B$8* Dashboard!$F$4+Dashboard!B$10*SQRT(Dashboard!$F$4) * _xlfn.NORM.S.INV(RAND())</f>
        <v>-1.118028792172049E-2</v>
      </c>
      <c r="T1599" s="59">
        <f ca="1">Dashboard!C$8* Dashboard!$F$4+Dashboard!C$10*SQRT(Dashboard!$F$4) * _xlfn.NORM.S.INV(RAND())</f>
        <v>2.3136464303604609E-2</v>
      </c>
      <c r="U1599" s="59">
        <f ca="1">Dashboard!D$8* Dashboard!$F$4+Dashboard!D$10*SQRT(Dashboard!$F$4) * _xlfn.NORM.S.INV(RAND())</f>
        <v>5.8447985771138647E-2</v>
      </c>
    </row>
    <row r="1600" spans="18:21" x14ac:dyDescent="0.2">
      <c r="R1600" s="49">
        <v>1598</v>
      </c>
      <c r="S1600" s="59">
        <f ca="1">Dashboard!B$8* Dashboard!$F$4+Dashboard!B$10*SQRT(Dashboard!$F$4) * _xlfn.NORM.S.INV(RAND())</f>
        <v>-8.8662979969979794E-3</v>
      </c>
      <c r="T1600" s="59">
        <f ca="1">Dashboard!C$8* Dashboard!$F$4+Dashboard!C$10*SQRT(Dashboard!$F$4) * _xlfn.NORM.S.INV(RAND())</f>
        <v>5.3594692546023283E-3</v>
      </c>
      <c r="U1600" s="59">
        <f ca="1">Dashboard!D$8* Dashboard!$F$4+Dashboard!D$10*SQRT(Dashboard!$F$4) * _xlfn.NORM.S.INV(RAND())</f>
        <v>4.3401564260107946E-2</v>
      </c>
    </row>
    <row r="1601" spans="18:21" x14ac:dyDescent="0.2">
      <c r="R1601" s="49">
        <v>1599</v>
      </c>
      <c r="S1601" s="59">
        <f ca="1">Dashboard!B$8* Dashboard!$F$4+Dashboard!B$10*SQRT(Dashboard!$F$4) * _xlfn.NORM.S.INV(RAND())</f>
        <v>-4.6515651082310525E-3</v>
      </c>
      <c r="T1601" s="59">
        <f ca="1">Dashboard!C$8* Dashboard!$F$4+Dashboard!C$10*SQRT(Dashboard!$F$4) * _xlfn.NORM.S.INV(RAND())</f>
        <v>-1.2493543104337753E-2</v>
      </c>
      <c r="U1601" s="59">
        <f ca="1">Dashboard!D$8* Dashboard!$F$4+Dashboard!D$10*SQRT(Dashboard!$F$4) * _xlfn.NORM.S.INV(RAND())</f>
        <v>3.2032842674773562E-2</v>
      </c>
    </row>
    <row r="1602" spans="18:21" x14ac:dyDescent="0.2">
      <c r="R1602" s="49">
        <v>1600</v>
      </c>
      <c r="S1602" s="59">
        <f ca="1">Dashboard!B$8* Dashboard!$F$4+Dashboard!B$10*SQRT(Dashboard!$F$4) * _xlfn.NORM.S.INV(RAND())</f>
        <v>-2.2065410474918758E-2</v>
      </c>
      <c r="T1602" s="59">
        <f ca="1">Dashboard!C$8* Dashboard!$F$4+Dashboard!C$10*SQRT(Dashboard!$F$4) * _xlfn.NORM.S.INV(RAND())</f>
        <v>-4.2574312054842557E-2</v>
      </c>
      <c r="U1602" s="59">
        <f ca="1">Dashboard!D$8* Dashboard!$F$4+Dashboard!D$10*SQRT(Dashboard!$F$4) * _xlfn.NORM.S.INV(RAND())</f>
        <v>-5.0815094369763759E-2</v>
      </c>
    </row>
    <row r="1603" spans="18:21" x14ac:dyDescent="0.2">
      <c r="R1603" s="49">
        <v>1601</v>
      </c>
      <c r="S1603" s="59">
        <f ca="1">Dashboard!B$8* Dashboard!$F$4+Dashboard!B$10*SQRT(Dashboard!$F$4) * _xlfn.NORM.S.INV(RAND())</f>
        <v>3.7502151695124903E-3</v>
      </c>
      <c r="T1603" s="59">
        <f ca="1">Dashboard!C$8* Dashboard!$F$4+Dashboard!C$10*SQRT(Dashboard!$F$4) * _xlfn.NORM.S.INV(RAND())</f>
        <v>5.1112521727390229E-4</v>
      </c>
      <c r="U1603" s="59">
        <f ca="1">Dashboard!D$8* Dashboard!$F$4+Dashboard!D$10*SQRT(Dashboard!$F$4) * _xlfn.NORM.S.INV(RAND())</f>
        <v>-5.9220977805346728E-2</v>
      </c>
    </row>
    <row r="1604" spans="18:21" x14ac:dyDescent="0.2">
      <c r="R1604" s="49">
        <v>1602</v>
      </c>
      <c r="S1604" s="59">
        <f ca="1">Dashboard!B$8* Dashboard!$F$4+Dashboard!B$10*SQRT(Dashboard!$F$4) * _xlfn.NORM.S.INV(RAND())</f>
        <v>6.0339435982596043E-2</v>
      </c>
      <c r="T1604" s="59">
        <f ca="1">Dashboard!C$8* Dashboard!$F$4+Dashboard!C$10*SQRT(Dashboard!$F$4) * _xlfn.NORM.S.INV(RAND())</f>
        <v>-4.0280211287106217E-2</v>
      </c>
      <c r="U1604" s="59">
        <f ca="1">Dashboard!D$8* Dashboard!$F$4+Dashboard!D$10*SQRT(Dashboard!$F$4) * _xlfn.NORM.S.INV(RAND())</f>
        <v>1.1817546006530254E-2</v>
      </c>
    </row>
    <row r="1605" spans="18:21" x14ac:dyDescent="0.2">
      <c r="R1605" s="49">
        <v>1603</v>
      </c>
      <c r="S1605" s="59">
        <f ca="1">Dashboard!B$8* Dashboard!$F$4+Dashboard!B$10*SQRT(Dashboard!$F$4) * _xlfn.NORM.S.INV(RAND())</f>
        <v>-3.8628433034903979E-2</v>
      </c>
      <c r="T1605" s="59">
        <f ca="1">Dashboard!C$8* Dashboard!$F$4+Dashboard!C$10*SQRT(Dashboard!$F$4) * _xlfn.NORM.S.INV(RAND())</f>
        <v>5.1911653766096674E-2</v>
      </c>
      <c r="U1605" s="59">
        <f ca="1">Dashboard!D$8* Dashboard!$F$4+Dashboard!D$10*SQRT(Dashboard!$F$4) * _xlfn.NORM.S.INV(RAND())</f>
        <v>-2.3518558884202349E-2</v>
      </c>
    </row>
    <row r="1606" spans="18:21" x14ac:dyDescent="0.2">
      <c r="R1606" s="49">
        <v>1604</v>
      </c>
      <c r="S1606" s="59">
        <f ca="1">Dashboard!B$8* Dashboard!$F$4+Dashboard!B$10*SQRT(Dashboard!$F$4) * _xlfn.NORM.S.INV(RAND())</f>
        <v>9.4456657609839328E-3</v>
      </c>
      <c r="T1606" s="59">
        <f ca="1">Dashboard!C$8* Dashboard!$F$4+Dashboard!C$10*SQRT(Dashboard!$F$4) * _xlfn.NORM.S.INV(RAND())</f>
        <v>6.95594309900259E-2</v>
      </c>
      <c r="U1606" s="59">
        <f ca="1">Dashboard!D$8* Dashboard!$F$4+Dashboard!D$10*SQRT(Dashboard!$F$4) * _xlfn.NORM.S.INV(RAND())</f>
        <v>-4.0337765751928698E-2</v>
      </c>
    </row>
    <row r="1607" spans="18:21" x14ac:dyDescent="0.2">
      <c r="R1607" s="49">
        <v>1605</v>
      </c>
      <c r="S1607" s="59">
        <f ca="1">Dashboard!B$8* Dashboard!$F$4+Dashboard!B$10*SQRT(Dashboard!$F$4) * _xlfn.NORM.S.INV(RAND())</f>
        <v>-2.919552160810035E-2</v>
      </c>
      <c r="T1607" s="59">
        <f ca="1">Dashboard!C$8* Dashboard!$F$4+Dashboard!C$10*SQRT(Dashboard!$F$4) * _xlfn.NORM.S.INV(RAND())</f>
        <v>-7.1516388821008622E-2</v>
      </c>
      <c r="U1607" s="59">
        <f ca="1">Dashboard!D$8* Dashboard!$F$4+Dashboard!D$10*SQRT(Dashboard!$F$4) * _xlfn.NORM.S.INV(RAND())</f>
        <v>-1.8841244714961656E-2</v>
      </c>
    </row>
    <row r="1608" spans="18:21" x14ac:dyDescent="0.2">
      <c r="R1608" s="49">
        <v>1606</v>
      </c>
      <c r="S1608" s="59">
        <f ca="1">Dashboard!B$8* Dashboard!$F$4+Dashboard!B$10*SQRT(Dashboard!$F$4) * _xlfn.NORM.S.INV(RAND())</f>
        <v>-5.8171077360780081E-2</v>
      </c>
      <c r="T1608" s="59">
        <f ca="1">Dashboard!C$8* Dashboard!$F$4+Dashboard!C$10*SQRT(Dashboard!$F$4) * _xlfn.NORM.S.INV(RAND())</f>
        <v>-2.6566490084090059E-2</v>
      </c>
      <c r="U1608" s="59">
        <f ca="1">Dashboard!D$8* Dashboard!$F$4+Dashboard!D$10*SQRT(Dashboard!$F$4) * _xlfn.NORM.S.INV(RAND())</f>
        <v>-4.2889903685833175E-2</v>
      </c>
    </row>
    <row r="1609" spans="18:21" x14ac:dyDescent="0.2">
      <c r="R1609" s="49">
        <v>1607</v>
      </c>
      <c r="S1609" s="59">
        <f ca="1">Dashboard!B$8* Dashboard!$F$4+Dashboard!B$10*SQRT(Dashboard!$F$4) * _xlfn.NORM.S.INV(RAND())</f>
        <v>-3.6582560481169722E-2</v>
      </c>
      <c r="T1609" s="59">
        <f ca="1">Dashboard!C$8* Dashboard!$F$4+Dashboard!C$10*SQRT(Dashboard!$F$4) * _xlfn.NORM.S.INV(RAND())</f>
        <v>7.7492648772941788E-3</v>
      </c>
      <c r="U1609" s="59">
        <f ca="1">Dashboard!D$8* Dashboard!$F$4+Dashboard!D$10*SQRT(Dashboard!$F$4) * _xlfn.NORM.S.INV(RAND())</f>
        <v>-4.2028797000822314E-2</v>
      </c>
    </row>
    <row r="1610" spans="18:21" x14ac:dyDescent="0.2">
      <c r="R1610" s="49">
        <v>1608</v>
      </c>
      <c r="S1610" s="59">
        <f ca="1">Dashboard!B$8* Dashboard!$F$4+Dashboard!B$10*SQRT(Dashboard!$F$4) * _xlfn.NORM.S.INV(RAND())</f>
        <v>2.2186233104254119E-2</v>
      </c>
      <c r="T1610" s="59">
        <f ca="1">Dashboard!C$8* Dashboard!$F$4+Dashboard!C$10*SQRT(Dashboard!$F$4) * _xlfn.NORM.S.INV(RAND())</f>
        <v>0.12661173371253556</v>
      </c>
      <c r="U1610" s="59">
        <f ca="1">Dashboard!D$8* Dashboard!$F$4+Dashboard!D$10*SQRT(Dashboard!$F$4) * _xlfn.NORM.S.INV(RAND())</f>
        <v>3.2945065240941443E-2</v>
      </c>
    </row>
    <row r="1611" spans="18:21" x14ac:dyDescent="0.2">
      <c r="R1611" s="49">
        <v>1609</v>
      </c>
      <c r="S1611" s="59">
        <f ca="1">Dashboard!B$8* Dashboard!$F$4+Dashboard!B$10*SQRT(Dashboard!$F$4) * _xlfn.NORM.S.INV(RAND())</f>
        <v>-3.0119806007144461E-3</v>
      </c>
      <c r="T1611" s="59">
        <f ca="1">Dashboard!C$8* Dashboard!$F$4+Dashboard!C$10*SQRT(Dashboard!$F$4) * _xlfn.NORM.S.INV(RAND())</f>
        <v>-9.9459515249572701E-5</v>
      </c>
      <c r="U1611" s="59">
        <f ca="1">Dashboard!D$8* Dashboard!$F$4+Dashboard!D$10*SQRT(Dashboard!$F$4) * _xlfn.NORM.S.INV(RAND())</f>
        <v>2.5151682319852358E-2</v>
      </c>
    </row>
    <row r="1612" spans="18:21" x14ac:dyDescent="0.2">
      <c r="R1612" s="49">
        <v>1610</v>
      </c>
      <c r="S1612" s="59">
        <f ca="1">Dashboard!B$8* Dashboard!$F$4+Dashboard!B$10*SQRT(Dashboard!$F$4) * _xlfn.NORM.S.INV(RAND())</f>
        <v>-1.3724692324215453E-2</v>
      </c>
      <c r="T1612" s="59">
        <f ca="1">Dashboard!C$8* Dashboard!$F$4+Dashboard!C$10*SQRT(Dashboard!$F$4) * _xlfn.NORM.S.INV(RAND())</f>
        <v>-7.441285450690921E-2</v>
      </c>
      <c r="U1612" s="59">
        <f ca="1">Dashboard!D$8* Dashboard!$F$4+Dashboard!D$10*SQRT(Dashboard!$F$4) * _xlfn.NORM.S.INV(RAND())</f>
        <v>-5.9111278124695729E-3</v>
      </c>
    </row>
    <row r="1613" spans="18:21" x14ac:dyDescent="0.2">
      <c r="R1613" s="49">
        <v>1611</v>
      </c>
      <c r="S1613" s="59">
        <f ca="1">Dashboard!B$8* Dashboard!$F$4+Dashboard!B$10*SQRT(Dashboard!$F$4) * _xlfn.NORM.S.INV(RAND())</f>
        <v>2.1047110539374608E-2</v>
      </c>
      <c r="T1613" s="59">
        <f ca="1">Dashboard!C$8* Dashboard!$F$4+Dashboard!C$10*SQRT(Dashboard!$F$4) * _xlfn.NORM.S.INV(RAND())</f>
        <v>6.833284847935747E-3</v>
      </c>
      <c r="U1613" s="59">
        <f ca="1">Dashboard!D$8* Dashboard!$F$4+Dashboard!D$10*SQRT(Dashboard!$F$4) * _xlfn.NORM.S.INV(RAND())</f>
        <v>-1.1037152084970863E-3</v>
      </c>
    </row>
    <row r="1614" spans="18:21" x14ac:dyDescent="0.2">
      <c r="R1614" s="49">
        <v>1612</v>
      </c>
      <c r="S1614" s="59">
        <f ca="1">Dashboard!B$8* Dashboard!$F$4+Dashboard!B$10*SQRT(Dashboard!$F$4) * _xlfn.NORM.S.INV(RAND())</f>
        <v>5.6440753757711765E-2</v>
      </c>
      <c r="T1614" s="59">
        <f ca="1">Dashboard!C$8* Dashboard!$F$4+Dashboard!C$10*SQRT(Dashboard!$F$4) * _xlfn.NORM.S.INV(RAND())</f>
        <v>-1.3420476649748717E-2</v>
      </c>
      <c r="U1614" s="59">
        <f ca="1">Dashboard!D$8* Dashboard!$F$4+Dashboard!D$10*SQRT(Dashboard!$F$4) * _xlfn.NORM.S.INV(RAND())</f>
        <v>4.9233723743036951E-2</v>
      </c>
    </row>
    <row r="1615" spans="18:21" x14ac:dyDescent="0.2">
      <c r="R1615" s="49">
        <v>1613</v>
      </c>
      <c r="S1615" s="59">
        <f ca="1">Dashboard!B$8* Dashboard!$F$4+Dashboard!B$10*SQRT(Dashboard!$F$4) * _xlfn.NORM.S.INV(RAND())</f>
        <v>3.6655937455242461E-2</v>
      </c>
      <c r="T1615" s="59">
        <f ca="1">Dashboard!C$8* Dashboard!$F$4+Dashboard!C$10*SQRT(Dashboard!$F$4) * _xlfn.NORM.S.INV(RAND())</f>
        <v>-3.3996666564761857E-2</v>
      </c>
      <c r="U1615" s="59">
        <f ca="1">Dashboard!D$8* Dashboard!$F$4+Dashboard!D$10*SQRT(Dashboard!$F$4) * _xlfn.NORM.S.INV(RAND())</f>
        <v>1.5456634972941518E-2</v>
      </c>
    </row>
    <row r="1616" spans="18:21" x14ac:dyDescent="0.2">
      <c r="R1616" s="49">
        <v>1614</v>
      </c>
      <c r="S1616" s="59">
        <f ca="1">Dashboard!B$8* Dashboard!$F$4+Dashboard!B$10*SQRT(Dashboard!$F$4) * _xlfn.NORM.S.INV(RAND())</f>
        <v>-5.3020059199898995E-2</v>
      </c>
      <c r="T1616" s="59">
        <f ca="1">Dashboard!C$8* Dashboard!$F$4+Dashboard!C$10*SQRT(Dashboard!$F$4) * _xlfn.NORM.S.INV(RAND())</f>
        <v>1.0756339917454057E-2</v>
      </c>
      <c r="U1616" s="59">
        <f ca="1">Dashboard!D$8* Dashboard!$F$4+Dashboard!D$10*SQRT(Dashboard!$F$4) * _xlfn.NORM.S.INV(RAND())</f>
        <v>-1.7120608296121758E-2</v>
      </c>
    </row>
    <row r="1617" spans="18:21" x14ac:dyDescent="0.2">
      <c r="R1617" s="49">
        <v>1615</v>
      </c>
      <c r="S1617" s="59">
        <f ca="1">Dashboard!B$8* Dashboard!$F$4+Dashboard!B$10*SQRT(Dashboard!$F$4) * _xlfn.NORM.S.INV(RAND())</f>
        <v>7.2352430867237381E-3</v>
      </c>
      <c r="T1617" s="59">
        <f ca="1">Dashboard!C$8* Dashboard!$F$4+Dashboard!C$10*SQRT(Dashboard!$F$4) * _xlfn.NORM.S.INV(RAND())</f>
        <v>-1.0347421082594531E-2</v>
      </c>
      <c r="U1617" s="59">
        <f ca="1">Dashboard!D$8* Dashboard!$F$4+Dashboard!D$10*SQRT(Dashboard!$F$4) * _xlfn.NORM.S.INV(RAND())</f>
        <v>1.2458915893798642E-2</v>
      </c>
    </row>
    <row r="1618" spans="18:21" x14ac:dyDescent="0.2">
      <c r="R1618" s="49">
        <v>1616</v>
      </c>
      <c r="S1618" s="59">
        <f ca="1">Dashboard!B$8* Dashboard!$F$4+Dashboard!B$10*SQRT(Dashboard!$F$4) * _xlfn.NORM.S.INV(RAND())</f>
        <v>-5.0150159741815616E-2</v>
      </c>
      <c r="T1618" s="59">
        <f ca="1">Dashboard!C$8* Dashboard!$F$4+Dashboard!C$10*SQRT(Dashboard!$F$4) * _xlfn.NORM.S.INV(RAND())</f>
        <v>1.5390247185442962E-2</v>
      </c>
      <c r="U1618" s="59">
        <f ca="1">Dashboard!D$8* Dashboard!$F$4+Dashboard!D$10*SQRT(Dashboard!$F$4) * _xlfn.NORM.S.INV(RAND())</f>
        <v>-3.2394863974065748E-2</v>
      </c>
    </row>
    <row r="1619" spans="18:21" x14ac:dyDescent="0.2">
      <c r="R1619" s="49">
        <v>1617</v>
      </c>
      <c r="S1619" s="59">
        <f ca="1">Dashboard!B$8* Dashboard!$F$4+Dashboard!B$10*SQRT(Dashboard!$F$4) * _xlfn.NORM.S.INV(RAND())</f>
        <v>-1.8914317644189584E-2</v>
      </c>
      <c r="T1619" s="59">
        <f ca="1">Dashboard!C$8* Dashboard!$F$4+Dashboard!C$10*SQRT(Dashboard!$F$4) * _xlfn.NORM.S.INV(RAND())</f>
        <v>2.1335817307923152E-2</v>
      </c>
      <c r="U1619" s="59">
        <f ca="1">Dashboard!D$8* Dashboard!$F$4+Dashboard!D$10*SQRT(Dashboard!$F$4) * _xlfn.NORM.S.INV(RAND())</f>
        <v>-4.2272183102723977E-3</v>
      </c>
    </row>
    <row r="1620" spans="18:21" x14ac:dyDescent="0.2">
      <c r="R1620" s="49">
        <v>1618</v>
      </c>
      <c r="S1620" s="59">
        <f ca="1">Dashboard!B$8* Dashboard!$F$4+Dashboard!B$10*SQRT(Dashboard!$F$4) * _xlfn.NORM.S.INV(RAND())</f>
        <v>4.1094127969837815E-2</v>
      </c>
      <c r="T1620" s="59">
        <f ca="1">Dashboard!C$8* Dashboard!$F$4+Dashboard!C$10*SQRT(Dashboard!$F$4) * _xlfn.NORM.S.INV(RAND())</f>
        <v>3.2841729415791672E-2</v>
      </c>
      <c r="U1620" s="59">
        <f ca="1">Dashboard!D$8* Dashboard!$F$4+Dashboard!D$10*SQRT(Dashboard!$F$4) * _xlfn.NORM.S.INV(RAND())</f>
        <v>-1.1374287462090337E-2</v>
      </c>
    </row>
    <row r="1621" spans="18:21" x14ac:dyDescent="0.2">
      <c r="R1621" s="49">
        <v>1619</v>
      </c>
      <c r="S1621" s="59">
        <f ca="1">Dashboard!B$8* Dashboard!$F$4+Dashboard!B$10*SQRT(Dashboard!$F$4) * _xlfn.NORM.S.INV(RAND())</f>
        <v>1.2571297612609609E-2</v>
      </c>
      <c r="T1621" s="59">
        <f ca="1">Dashboard!C$8* Dashboard!$F$4+Dashboard!C$10*SQRT(Dashboard!$F$4) * _xlfn.NORM.S.INV(RAND())</f>
        <v>2.2078835571371969E-2</v>
      </c>
      <c r="U1621" s="59">
        <f ca="1">Dashboard!D$8* Dashboard!$F$4+Dashboard!D$10*SQRT(Dashboard!$F$4) * _xlfn.NORM.S.INV(RAND())</f>
        <v>2.7447027893818754E-2</v>
      </c>
    </row>
    <row r="1622" spans="18:21" x14ac:dyDescent="0.2">
      <c r="R1622" s="49">
        <v>1620</v>
      </c>
      <c r="S1622" s="59">
        <f ca="1">Dashboard!B$8* Dashboard!$F$4+Dashboard!B$10*SQRT(Dashboard!$F$4) * _xlfn.NORM.S.INV(RAND())</f>
        <v>-1.0089901988160928E-2</v>
      </c>
      <c r="T1622" s="59">
        <f ca="1">Dashboard!C$8* Dashboard!$F$4+Dashboard!C$10*SQRT(Dashboard!$F$4) * _xlfn.NORM.S.INV(RAND())</f>
        <v>4.7870124664697443E-2</v>
      </c>
      <c r="U1622" s="59">
        <f ca="1">Dashboard!D$8* Dashboard!$F$4+Dashboard!D$10*SQRT(Dashboard!$F$4) * _xlfn.NORM.S.INV(RAND())</f>
        <v>-1.3038949858787511E-2</v>
      </c>
    </row>
    <row r="1623" spans="18:21" x14ac:dyDescent="0.2">
      <c r="R1623" s="49">
        <v>1621</v>
      </c>
      <c r="S1623" s="59">
        <f ca="1">Dashboard!B$8* Dashboard!$F$4+Dashboard!B$10*SQRT(Dashboard!$F$4) * _xlfn.NORM.S.INV(RAND())</f>
        <v>5.1726802009266978E-3</v>
      </c>
      <c r="T1623" s="59">
        <f ca="1">Dashboard!C$8* Dashboard!$F$4+Dashboard!C$10*SQRT(Dashboard!$F$4) * _xlfn.NORM.S.INV(RAND())</f>
        <v>1.3935224831016023E-2</v>
      </c>
      <c r="U1623" s="59">
        <f ca="1">Dashboard!D$8* Dashboard!$F$4+Dashboard!D$10*SQRT(Dashboard!$F$4) * _xlfn.NORM.S.INV(RAND())</f>
        <v>1.3747625387773542E-2</v>
      </c>
    </row>
    <row r="1624" spans="18:21" x14ac:dyDescent="0.2">
      <c r="R1624" s="49">
        <v>1622</v>
      </c>
      <c r="S1624" s="59">
        <f ca="1">Dashboard!B$8* Dashboard!$F$4+Dashboard!B$10*SQRT(Dashboard!$F$4) * _xlfn.NORM.S.INV(RAND())</f>
        <v>4.6984532688122492E-2</v>
      </c>
      <c r="T1624" s="59">
        <f ca="1">Dashboard!C$8* Dashboard!$F$4+Dashboard!C$10*SQRT(Dashboard!$F$4) * _xlfn.NORM.S.INV(RAND())</f>
        <v>-3.5316555599279327E-2</v>
      </c>
      <c r="U1624" s="59">
        <f ca="1">Dashboard!D$8* Dashboard!$F$4+Dashboard!D$10*SQRT(Dashboard!$F$4) * _xlfn.NORM.S.INV(RAND())</f>
        <v>2.2003273259523042E-2</v>
      </c>
    </row>
    <row r="1625" spans="18:21" x14ac:dyDescent="0.2">
      <c r="R1625" s="49">
        <v>1623</v>
      </c>
      <c r="S1625" s="59">
        <f ca="1">Dashboard!B$8* Dashboard!$F$4+Dashboard!B$10*SQRT(Dashboard!$F$4) * _xlfn.NORM.S.INV(RAND())</f>
        <v>1.1124764089494846E-2</v>
      </c>
      <c r="T1625" s="59">
        <f ca="1">Dashboard!C$8* Dashboard!$F$4+Dashboard!C$10*SQRT(Dashboard!$F$4) * _xlfn.NORM.S.INV(RAND())</f>
        <v>6.7402740555548957E-2</v>
      </c>
      <c r="U1625" s="59">
        <f ca="1">Dashboard!D$8* Dashboard!$F$4+Dashboard!D$10*SQRT(Dashboard!$F$4) * _xlfn.NORM.S.INV(RAND())</f>
        <v>-1.0625384746522899E-2</v>
      </c>
    </row>
    <row r="1626" spans="18:21" x14ac:dyDescent="0.2">
      <c r="R1626" s="49">
        <v>1624</v>
      </c>
      <c r="S1626" s="59">
        <f ca="1">Dashboard!B$8* Dashboard!$F$4+Dashboard!B$10*SQRT(Dashboard!$F$4) * _xlfn.NORM.S.INV(RAND())</f>
        <v>5.413441232767581E-3</v>
      </c>
      <c r="T1626" s="59">
        <f ca="1">Dashboard!C$8* Dashboard!$F$4+Dashboard!C$10*SQRT(Dashboard!$F$4) * _xlfn.NORM.S.INV(RAND())</f>
        <v>-2.8103621431428274E-2</v>
      </c>
      <c r="U1626" s="59">
        <f ca="1">Dashboard!D$8* Dashboard!$F$4+Dashboard!D$10*SQRT(Dashboard!$F$4) * _xlfn.NORM.S.INV(RAND())</f>
        <v>2.8484424775005211E-2</v>
      </c>
    </row>
    <row r="1627" spans="18:21" x14ac:dyDescent="0.2">
      <c r="R1627" s="49">
        <v>1625</v>
      </c>
      <c r="S1627" s="59">
        <f ca="1">Dashboard!B$8* Dashboard!$F$4+Dashboard!B$10*SQRT(Dashboard!$F$4) * _xlfn.NORM.S.INV(RAND())</f>
        <v>5.9055522404141178E-2</v>
      </c>
      <c r="T1627" s="59">
        <f ca="1">Dashboard!C$8* Dashboard!$F$4+Dashboard!C$10*SQRT(Dashboard!$F$4) * _xlfn.NORM.S.INV(RAND())</f>
        <v>-5.0151340622908826E-3</v>
      </c>
      <c r="U1627" s="59">
        <f ca="1">Dashboard!D$8* Dashboard!$F$4+Dashboard!D$10*SQRT(Dashboard!$F$4) * _xlfn.NORM.S.INV(RAND())</f>
        <v>1.5806031374088372E-3</v>
      </c>
    </row>
    <row r="1628" spans="18:21" x14ac:dyDescent="0.2">
      <c r="R1628" s="49">
        <v>1626</v>
      </c>
      <c r="S1628" s="59">
        <f ca="1">Dashboard!B$8* Dashboard!$F$4+Dashboard!B$10*SQRT(Dashboard!$F$4) * _xlfn.NORM.S.INV(RAND())</f>
        <v>1.8489095924021086E-2</v>
      </c>
      <c r="T1628" s="59">
        <f ca="1">Dashboard!C$8* Dashboard!$F$4+Dashboard!C$10*SQRT(Dashboard!$F$4) * _xlfn.NORM.S.INV(RAND())</f>
        <v>2.9758874099101371E-2</v>
      </c>
      <c r="U1628" s="59">
        <f ca="1">Dashboard!D$8* Dashboard!$F$4+Dashboard!D$10*SQRT(Dashboard!$F$4) * _xlfn.NORM.S.INV(RAND())</f>
        <v>4.5855218187121722E-3</v>
      </c>
    </row>
    <row r="1629" spans="18:21" x14ac:dyDescent="0.2">
      <c r="R1629" s="49">
        <v>1627</v>
      </c>
      <c r="S1629" s="59">
        <f ca="1">Dashboard!B$8* Dashboard!$F$4+Dashboard!B$10*SQRT(Dashboard!$F$4) * _xlfn.NORM.S.INV(RAND())</f>
        <v>1.667780800667912E-3</v>
      </c>
      <c r="T1629" s="59">
        <f ca="1">Dashboard!C$8* Dashboard!$F$4+Dashboard!C$10*SQRT(Dashboard!$F$4) * _xlfn.NORM.S.INV(RAND())</f>
        <v>1.0903573351295916E-2</v>
      </c>
      <c r="U1629" s="59">
        <f ca="1">Dashboard!D$8* Dashboard!$F$4+Dashboard!D$10*SQRT(Dashboard!$F$4) * _xlfn.NORM.S.INV(RAND())</f>
        <v>-4.9079744046112421E-2</v>
      </c>
    </row>
    <row r="1630" spans="18:21" x14ac:dyDescent="0.2">
      <c r="R1630" s="49">
        <v>1628</v>
      </c>
      <c r="S1630" s="59">
        <f ca="1">Dashboard!B$8* Dashboard!$F$4+Dashboard!B$10*SQRT(Dashboard!$F$4) * _xlfn.NORM.S.INV(RAND())</f>
        <v>-1.1505511296092355E-2</v>
      </c>
      <c r="T1630" s="59">
        <f ca="1">Dashboard!C$8* Dashboard!$F$4+Dashboard!C$10*SQRT(Dashboard!$F$4) * _xlfn.NORM.S.INV(RAND())</f>
        <v>3.549423752569008E-2</v>
      </c>
      <c r="U1630" s="59">
        <f ca="1">Dashboard!D$8* Dashboard!$F$4+Dashboard!D$10*SQRT(Dashboard!$F$4) * _xlfn.NORM.S.INV(RAND())</f>
        <v>-2.0993529315780333E-2</v>
      </c>
    </row>
    <row r="1631" spans="18:21" x14ac:dyDescent="0.2">
      <c r="R1631" s="49">
        <v>1629</v>
      </c>
      <c r="S1631" s="59">
        <f ca="1">Dashboard!B$8* Dashboard!$F$4+Dashboard!B$10*SQRT(Dashboard!$F$4) * _xlfn.NORM.S.INV(RAND())</f>
        <v>1.7404132786991849E-2</v>
      </c>
      <c r="T1631" s="59">
        <f ca="1">Dashboard!C$8* Dashboard!$F$4+Dashboard!C$10*SQRT(Dashboard!$F$4) * _xlfn.NORM.S.INV(RAND())</f>
        <v>2.5368019102921111E-2</v>
      </c>
      <c r="U1631" s="59">
        <f ca="1">Dashboard!D$8* Dashboard!$F$4+Dashboard!D$10*SQRT(Dashboard!$F$4) * _xlfn.NORM.S.INV(RAND())</f>
        <v>3.5805203711493684E-2</v>
      </c>
    </row>
    <row r="1632" spans="18:21" x14ac:dyDescent="0.2">
      <c r="R1632" s="49">
        <v>1630</v>
      </c>
      <c r="S1632" s="59">
        <f ca="1">Dashboard!B$8* Dashboard!$F$4+Dashboard!B$10*SQRT(Dashboard!$F$4) * _xlfn.NORM.S.INV(RAND())</f>
        <v>-7.2857288904174325E-3</v>
      </c>
      <c r="T1632" s="59">
        <f ca="1">Dashboard!C$8* Dashboard!$F$4+Dashboard!C$10*SQRT(Dashboard!$F$4) * _xlfn.NORM.S.INV(RAND())</f>
        <v>-1.2588316913688152E-2</v>
      </c>
      <c r="U1632" s="59">
        <f ca="1">Dashboard!D$8* Dashboard!$F$4+Dashboard!D$10*SQRT(Dashboard!$F$4) * _xlfn.NORM.S.INV(RAND())</f>
        <v>8.9443413089919073E-4</v>
      </c>
    </row>
    <row r="1633" spans="18:21" x14ac:dyDescent="0.2">
      <c r="R1633" s="49">
        <v>1631</v>
      </c>
      <c r="S1633" s="59">
        <f ca="1">Dashboard!B$8* Dashboard!$F$4+Dashboard!B$10*SQRT(Dashboard!$F$4) * _xlfn.NORM.S.INV(RAND())</f>
        <v>3.7068145261888473E-2</v>
      </c>
      <c r="T1633" s="59">
        <f ca="1">Dashboard!C$8* Dashboard!$F$4+Dashboard!C$10*SQRT(Dashboard!$F$4) * _xlfn.NORM.S.INV(RAND())</f>
        <v>2.6090321722832998E-2</v>
      </c>
      <c r="U1633" s="59">
        <f ca="1">Dashboard!D$8* Dashboard!$F$4+Dashboard!D$10*SQRT(Dashboard!$F$4) * _xlfn.NORM.S.INV(RAND())</f>
        <v>-4.8422437172484969E-2</v>
      </c>
    </row>
    <row r="1634" spans="18:21" x14ac:dyDescent="0.2">
      <c r="R1634" s="49">
        <v>1632</v>
      </c>
      <c r="S1634" s="59">
        <f ca="1">Dashboard!B$8* Dashboard!$F$4+Dashboard!B$10*SQRT(Dashboard!$F$4) * _xlfn.NORM.S.INV(RAND())</f>
        <v>-6.4065651482404298E-2</v>
      </c>
      <c r="T1634" s="59">
        <f ca="1">Dashboard!C$8* Dashboard!$F$4+Dashboard!C$10*SQRT(Dashboard!$F$4) * _xlfn.NORM.S.INV(RAND())</f>
        <v>2.1564419046411633E-2</v>
      </c>
      <c r="U1634" s="59">
        <f ca="1">Dashboard!D$8* Dashboard!$F$4+Dashboard!D$10*SQRT(Dashboard!$F$4) * _xlfn.NORM.S.INV(RAND())</f>
        <v>-1.6473071021696133E-2</v>
      </c>
    </row>
    <row r="1635" spans="18:21" x14ac:dyDescent="0.2">
      <c r="R1635" s="49">
        <v>1633</v>
      </c>
      <c r="S1635" s="59">
        <f ca="1">Dashboard!B$8* Dashboard!$F$4+Dashboard!B$10*SQRT(Dashboard!$F$4) * _xlfn.NORM.S.INV(RAND())</f>
        <v>1.9561360521997348E-2</v>
      </c>
      <c r="T1635" s="59">
        <f ca="1">Dashboard!C$8* Dashboard!$F$4+Dashboard!C$10*SQRT(Dashboard!$F$4) * _xlfn.NORM.S.INV(RAND())</f>
        <v>1.5842985722054722E-2</v>
      </c>
      <c r="U1635" s="59">
        <f ca="1">Dashboard!D$8* Dashboard!$F$4+Dashboard!D$10*SQRT(Dashboard!$F$4) * _xlfn.NORM.S.INV(RAND())</f>
        <v>1.6554252868743454E-2</v>
      </c>
    </row>
    <row r="1636" spans="18:21" x14ac:dyDescent="0.2">
      <c r="R1636" s="49">
        <v>1634</v>
      </c>
      <c r="S1636" s="59">
        <f ca="1">Dashboard!B$8* Dashboard!$F$4+Dashboard!B$10*SQRT(Dashboard!$F$4) * _xlfn.NORM.S.INV(RAND())</f>
        <v>-2.837298748070341E-2</v>
      </c>
      <c r="T1636" s="59">
        <f ca="1">Dashboard!C$8* Dashboard!$F$4+Dashboard!C$10*SQRT(Dashboard!$F$4) * _xlfn.NORM.S.INV(RAND())</f>
        <v>5.4648355853024787E-3</v>
      </c>
      <c r="U1636" s="59">
        <f ca="1">Dashboard!D$8* Dashboard!$F$4+Dashboard!D$10*SQRT(Dashboard!$F$4) * _xlfn.NORM.S.INV(RAND())</f>
        <v>-8.9388566889414198E-3</v>
      </c>
    </row>
    <row r="1637" spans="18:21" x14ac:dyDescent="0.2">
      <c r="R1637" s="49">
        <v>1635</v>
      </c>
      <c r="S1637" s="59">
        <f ca="1">Dashboard!B$8* Dashboard!$F$4+Dashboard!B$10*SQRT(Dashboard!$F$4) * _xlfn.NORM.S.INV(RAND())</f>
        <v>-4.1743194536757233E-2</v>
      </c>
      <c r="T1637" s="59">
        <f ca="1">Dashboard!C$8* Dashboard!$F$4+Dashboard!C$10*SQRT(Dashboard!$F$4) * _xlfn.NORM.S.INV(RAND())</f>
        <v>-6.9417710275345478E-3</v>
      </c>
      <c r="U1637" s="59">
        <f ca="1">Dashboard!D$8* Dashboard!$F$4+Dashboard!D$10*SQRT(Dashboard!$F$4) * _xlfn.NORM.S.INV(RAND())</f>
        <v>3.3920032956200538E-2</v>
      </c>
    </row>
    <row r="1638" spans="18:21" x14ac:dyDescent="0.2">
      <c r="R1638" s="49">
        <v>1636</v>
      </c>
      <c r="S1638" s="59">
        <f ca="1">Dashboard!B$8* Dashboard!$F$4+Dashboard!B$10*SQRT(Dashboard!$F$4) * _xlfn.NORM.S.INV(RAND())</f>
        <v>1.2257770176203936E-2</v>
      </c>
      <c r="T1638" s="59">
        <f ca="1">Dashboard!C$8* Dashboard!$F$4+Dashboard!C$10*SQRT(Dashboard!$F$4) * _xlfn.NORM.S.INV(RAND())</f>
        <v>3.3003640726165448E-2</v>
      </c>
      <c r="U1638" s="59">
        <f ca="1">Dashboard!D$8* Dashboard!$F$4+Dashboard!D$10*SQRT(Dashboard!$F$4) * _xlfn.NORM.S.INV(RAND())</f>
        <v>8.5569048258243971E-4</v>
      </c>
    </row>
    <row r="1639" spans="18:21" x14ac:dyDescent="0.2">
      <c r="R1639" s="49">
        <v>1637</v>
      </c>
      <c r="S1639" s="59">
        <f ca="1">Dashboard!B$8* Dashboard!$F$4+Dashboard!B$10*SQRT(Dashboard!$F$4) * _xlfn.NORM.S.INV(RAND())</f>
        <v>6.4373884549339764E-3</v>
      </c>
      <c r="T1639" s="59">
        <f ca="1">Dashboard!C$8* Dashboard!$F$4+Dashboard!C$10*SQRT(Dashboard!$F$4) * _xlfn.NORM.S.INV(RAND())</f>
        <v>-1.9929469063192155E-2</v>
      </c>
      <c r="U1639" s="59">
        <f ca="1">Dashboard!D$8* Dashboard!$F$4+Dashboard!D$10*SQRT(Dashboard!$F$4) * _xlfn.NORM.S.INV(RAND())</f>
        <v>1.6997862134146474E-2</v>
      </c>
    </row>
    <row r="1640" spans="18:21" x14ac:dyDescent="0.2">
      <c r="R1640" s="49">
        <v>1638</v>
      </c>
      <c r="S1640" s="59">
        <f ca="1">Dashboard!B$8* Dashboard!$F$4+Dashboard!B$10*SQRT(Dashboard!$F$4) * _xlfn.NORM.S.INV(RAND())</f>
        <v>-4.1796968194703576E-2</v>
      </c>
      <c r="T1640" s="59">
        <f ca="1">Dashboard!C$8* Dashboard!$F$4+Dashboard!C$10*SQRT(Dashboard!$F$4) * _xlfn.NORM.S.INV(RAND())</f>
        <v>-4.7003678938037597E-3</v>
      </c>
      <c r="U1640" s="59">
        <f ca="1">Dashboard!D$8* Dashboard!$F$4+Dashboard!D$10*SQRT(Dashboard!$F$4) * _xlfn.NORM.S.INV(RAND())</f>
        <v>-3.795897830109923E-3</v>
      </c>
    </row>
    <row r="1641" spans="18:21" x14ac:dyDescent="0.2">
      <c r="R1641" s="49">
        <v>1639</v>
      </c>
      <c r="S1641" s="59">
        <f ca="1">Dashboard!B$8* Dashboard!$F$4+Dashboard!B$10*SQRT(Dashboard!$F$4) * _xlfn.NORM.S.INV(RAND())</f>
        <v>-4.9850727256485879E-2</v>
      </c>
      <c r="T1641" s="59">
        <f ca="1">Dashboard!C$8* Dashboard!$F$4+Dashboard!C$10*SQRT(Dashboard!$F$4) * _xlfn.NORM.S.INV(RAND())</f>
        <v>6.7467603433190894E-3</v>
      </c>
      <c r="U1641" s="59">
        <f ca="1">Dashboard!D$8* Dashboard!$F$4+Dashboard!D$10*SQRT(Dashboard!$F$4) * _xlfn.NORM.S.INV(RAND())</f>
        <v>-3.6825134252693953E-3</v>
      </c>
    </row>
    <row r="1642" spans="18:21" x14ac:dyDescent="0.2">
      <c r="R1642" s="49">
        <v>1640</v>
      </c>
      <c r="S1642" s="59">
        <f ca="1">Dashboard!B$8* Dashboard!$F$4+Dashboard!B$10*SQRT(Dashboard!$F$4) * _xlfn.NORM.S.INV(RAND())</f>
        <v>3.0961552430087795E-2</v>
      </c>
      <c r="T1642" s="59">
        <f ca="1">Dashboard!C$8* Dashboard!$F$4+Dashboard!C$10*SQRT(Dashboard!$F$4) * _xlfn.NORM.S.INV(RAND())</f>
        <v>2.7487982917610492E-2</v>
      </c>
      <c r="U1642" s="59">
        <f ca="1">Dashboard!D$8* Dashboard!$F$4+Dashboard!D$10*SQRT(Dashboard!$F$4) * _xlfn.NORM.S.INV(RAND())</f>
        <v>1.0247877757875907E-2</v>
      </c>
    </row>
    <row r="1643" spans="18:21" x14ac:dyDescent="0.2">
      <c r="R1643" s="49">
        <v>1641</v>
      </c>
      <c r="S1643" s="59">
        <f ca="1">Dashboard!B$8* Dashboard!$F$4+Dashboard!B$10*SQRT(Dashboard!$F$4) * _xlfn.NORM.S.INV(RAND())</f>
        <v>-7.9197047368720699E-3</v>
      </c>
      <c r="T1643" s="59">
        <f ca="1">Dashboard!C$8* Dashboard!$F$4+Dashboard!C$10*SQRT(Dashboard!$F$4) * _xlfn.NORM.S.INV(RAND())</f>
        <v>1.9804404466247306E-2</v>
      </c>
      <c r="U1643" s="59">
        <f ca="1">Dashboard!D$8* Dashboard!$F$4+Dashboard!D$10*SQRT(Dashboard!$F$4) * _xlfn.NORM.S.INV(RAND())</f>
        <v>3.1884375812461074E-3</v>
      </c>
    </row>
    <row r="1644" spans="18:21" x14ac:dyDescent="0.2">
      <c r="R1644" s="49">
        <v>1642</v>
      </c>
      <c r="S1644" s="59">
        <f ca="1">Dashboard!B$8* Dashboard!$F$4+Dashboard!B$10*SQRT(Dashboard!$F$4) * _xlfn.NORM.S.INV(RAND())</f>
        <v>3.5996166893342292E-2</v>
      </c>
      <c r="T1644" s="59">
        <f ca="1">Dashboard!C$8* Dashboard!$F$4+Dashboard!C$10*SQRT(Dashboard!$F$4) * _xlfn.NORM.S.INV(RAND())</f>
        <v>2.0460056744829272E-2</v>
      </c>
      <c r="U1644" s="59">
        <f ca="1">Dashboard!D$8* Dashboard!$F$4+Dashboard!D$10*SQRT(Dashboard!$F$4) * _xlfn.NORM.S.INV(RAND())</f>
        <v>3.0039864094243904E-2</v>
      </c>
    </row>
    <row r="1645" spans="18:21" x14ac:dyDescent="0.2">
      <c r="R1645" s="49">
        <v>1643</v>
      </c>
      <c r="S1645" s="59">
        <f ca="1">Dashboard!B$8* Dashboard!$F$4+Dashboard!B$10*SQRT(Dashboard!$F$4) * _xlfn.NORM.S.INV(RAND())</f>
        <v>-2.688441287717562E-2</v>
      </c>
      <c r="T1645" s="59">
        <f ca="1">Dashboard!C$8* Dashboard!$F$4+Dashboard!C$10*SQRT(Dashboard!$F$4) * _xlfn.NORM.S.INV(RAND())</f>
        <v>-2.3327071124947276E-2</v>
      </c>
      <c r="U1645" s="59">
        <f ca="1">Dashboard!D$8* Dashboard!$F$4+Dashboard!D$10*SQRT(Dashboard!$F$4) * _xlfn.NORM.S.INV(RAND())</f>
        <v>3.9140436141345651E-3</v>
      </c>
    </row>
    <row r="1646" spans="18:21" x14ac:dyDescent="0.2">
      <c r="R1646" s="49">
        <v>1644</v>
      </c>
      <c r="S1646" s="59">
        <f ca="1">Dashboard!B$8* Dashboard!$F$4+Dashboard!B$10*SQRT(Dashboard!$F$4) * _xlfn.NORM.S.INV(RAND())</f>
        <v>7.1009205705325363E-3</v>
      </c>
      <c r="T1646" s="59">
        <f ca="1">Dashboard!C$8* Dashboard!$F$4+Dashboard!C$10*SQRT(Dashboard!$F$4) * _xlfn.NORM.S.INV(RAND())</f>
        <v>-2.628176471656949E-2</v>
      </c>
      <c r="U1646" s="59">
        <f ca="1">Dashboard!D$8* Dashboard!$F$4+Dashboard!D$10*SQRT(Dashboard!$F$4) * _xlfn.NORM.S.INV(RAND())</f>
        <v>1.1634614487833955E-2</v>
      </c>
    </row>
    <row r="1647" spans="18:21" x14ac:dyDescent="0.2">
      <c r="R1647" s="49">
        <v>1645</v>
      </c>
      <c r="S1647" s="59">
        <f ca="1">Dashboard!B$8* Dashboard!$F$4+Dashboard!B$10*SQRT(Dashboard!$F$4) * _xlfn.NORM.S.INV(RAND())</f>
        <v>-1.8413571058681216E-2</v>
      </c>
      <c r="T1647" s="59">
        <f ca="1">Dashboard!C$8* Dashboard!$F$4+Dashboard!C$10*SQRT(Dashboard!$F$4) * _xlfn.NORM.S.INV(RAND())</f>
        <v>4.0873548897146068E-2</v>
      </c>
      <c r="U1647" s="59">
        <f ca="1">Dashboard!D$8* Dashboard!$F$4+Dashboard!D$10*SQRT(Dashboard!$F$4) * _xlfn.NORM.S.INV(RAND())</f>
        <v>5.0331666659136128E-3</v>
      </c>
    </row>
    <row r="1648" spans="18:21" x14ac:dyDescent="0.2">
      <c r="R1648" s="49">
        <v>1646</v>
      </c>
      <c r="S1648" s="59">
        <f ca="1">Dashboard!B$8* Dashboard!$F$4+Dashboard!B$10*SQRT(Dashboard!$F$4) * _xlfn.NORM.S.INV(RAND())</f>
        <v>4.1773437777931605E-2</v>
      </c>
      <c r="T1648" s="59">
        <f ca="1">Dashboard!C$8* Dashboard!$F$4+Dashboard!C$10*SQRT(Dashboard!$F$4) * _xlfn.NORM.S.INV(RAND())</f>
        <v>-2.6874929647897217E-2</v>
      </c>
      <c r="U1648" s="59">
        <f ca="1">Dashboard!D$8* Dashboard!$F$4+Dashboard!D$10*SQRT(Dashboard!$F$4) * _xlfn.NORM.S.INV(RAND())</f>
        <v>-3.8234884460355785E-2</v>
      </c>
    </row>
    <row r="1649" spans="18:21" x14ac:dyDescent="0.2">
      <c r="R1649" s="49">
        <v>1647</v>
      </c>
      <c r="S1649" s="59">
        <f ca="1">Dashboard!B$8* Dashboard!$F$4+Dashboard!B$10*SQRT(Dashboard!$F$4) * _xlfn.NORM.S.INV(RAND())</f>
        <v>-3.1621445176097378E-2</v>
      </c>
      <c r="T1649" s="59">
        <f ca="1">Dashboard!C$8* Dashboard!$F$4+Dashboard!C$10*SQRT(Dashboard!$F$4) * _xlfn.NORM.S.INV(RAND())</f>
        <v>-8.1850507158639993E-3</v>
      </c>
      <c r="U1649" s="59">
        <f ca="1">Dashboard!D$8* Dashboard!$F$4+Dashboard!D$10*SQRT(Dashboard!$F$4) * _xlfn.NORM.S.INV(RAND())</f>
        <v>3.9620940730542859E-3</v>
      </c>
    </row>
    <row r="1650" spans="18:21" x14ac:dyDescent="0.2">
      <c r="R1650" s="49">
        <v>1648</v>
      </c>
      <c r="S1650" s="59">
        <f ca="1">Dashboard!B$8* Dashboard!$F$4+Dashboard!B$10*SQRT(Dashboard!$F$4) * _xlfn.NORM.S.INV(RAND())</f>
        <v>1.2621206523440573E-2</v>
      </c>
      <c r="T1650" s="59">
        <f ca="1">Dashboard!C$8* Dashboard!$F$4+Dashboard!C$10*SQRT(Dashboard!$F$4) * _xlfn.NORM.S.INV(RAND())</f>
        <v>2.8076506418077195E-2</v>
      </c>
      <c r="U1650" s="59">
        <f ca="1">Dashboard!D$8* Dashboard!$F$4+Dashboard!D$10*SQRT(Dashboard!$F$4) * _xlfn.NORM.S.INV(RAND())</f>
        <v>-1.6470551407627293E-2</v>
      </c>
    </row>
    <row r="1651" spans="18:21" x14ac:dyDescent="0.2">
      <c r="R1651" s="49">
        <v>1649</v>
      </c>
      <c r="S1651" s="59">
        <f ca="1">Dashboard!B$8* Dashboard!$F$4+Dashboard!B$10*SQRT(Dashboard!$F$4) * _xlfn.NORM.S.INV(RAND())</f>
        <v>-1.0746044541636433E-2</v>
      </c>
      <c r="T1651" s="59">
        <f ca="1">Dashboard!C$8* Dashboard!$F$4+Dashboard!C$10*SQRT(Dashboard!$F$4) * _xlfn.NORM.S.INV(RAND())</f>
        <v>5.7432693766835102E-2</v>
      </c>
      <c r="U1651" s="59">
        <f ca="1">Dashboard!D$8* Dashboard!$F$4+Dashboard!D$10*SQRT(Dashboard!$F$4) * _xlfn.NORM.S.INV(RAND())</f>
        <v>1.7081939901829813E-2</v>
      </c>
    </row>
    <row r="1652" spans="18:21" x14ac:dyDescent="0.2">
      <c r="R1652" s="49">
        <v>1650</v>
      </c>
      <c r="S1652" s="59">
        <f ca="1">Dashboard!B$8* Dashboard!$F$4+Dashboard!B$10*SQRT(Dashboard!$F$4) * _xlfn.NORM.S.INV(RAND())</f>
        <v>-6.4406146944503626E-3</v>
      </c>
      <c r="T1652" s="59">
        <f ca="1">Dashboard!C$8* Dashboard!$F$4+Dashboard!C$10*SQRT(Dashboard!$F$4) * _xlfn.NORM.S.INV(RAND())</f>
        <v>8.1456902495861072E-2</v>
      </c>
      <c r="U1652" s="59">
        <f ca="1">Dashboard!D$8* Dashboard!$F$4+Dashboard!D$10*SQRT(Dashboard!$F$4) * _xlfn.NORM.S.INV(RAND())</f>
        <v>-9.1740599336250905E-3</v>
      </c>
    </row>
    <row r="1653" spans="18:21" x14ac:dyDescent="0.2">
      <c r="R1653" s="49">
        <v>1651</v>
      </c>
      <c r="S1653" s="59">
        <f ca="1">Dashboard!B$8* Dashboard!$F$4+Dashboard!B$10*SQRT(Dashboard!$F$4) * _xlfn.NORM.S.INV(RAND())</f>
        <v>4.600880072204306E-2</v>
      </c>
      <c r="T1653" s="59">
        <f ca="1">Dashboard!C$8* Dashboard!$F$4+Dashboard!C$10*SQRT(Dashboard!$F$4) * _xlfn.NORM.S.INV(RAND())</f>
        <v>-1.4458236482975447E-2</v>
      </c>
      <c r="U1653" s="59">
        <f ca="1">Dashboard!D$8* Dashboard!$F$4+Dashboard!D$10*SQRT(Dashboard!$F$4) * _xlfn.NORM.S.INV(RAND())</f>
        <v>-7.089635810583364E-2</v>
      </c>
    </row>
    <row r="1654" spans="18:21" x14ac:dyDescent="0.2">
      <c r="R1654" s="49">
        <v>1652</v>
      </c>
      <c r="S1654" s="59">
        <f ca="1">Dashboard!B$8* Dashboard!$F$4+Dashboard!B$10*SQRT(Dashboard!$F$4) * _xlfn.NORM.S.INV(RAND())</f>
        <v>-5.38988649930894E-2</v>
      </c>
      <c r="T1654" s="59">
        <f ca="1">Dashboard!C$8* Dashboard!$F$4+Dashboard!C$10*SQRT(Dashboard!$F$4) * _xlfn.NORM.S.INV(RAND())</f>
        <v>-1.8336772496865992E-3</v>
      </c>
      <c r="U1654" s="59">
        <f ca="1">Dashboard!D$8* Dashboard!$F$4+Dashboard!D$10*SQRT(Dashboard!$F$4) * _xlfn.NORM.S.INV(RAND())</f>
        <v>-4.197803912615946E-2</v>
      </c>
    </row>
    <row r="1655" spans="18:21" x14ac:dyDescent="0.2">
      <c r="R1655" s="49">
        <v>1653</v>
      </c>
      <c r="S1655" s="59">
        <f ca="1">Dashboard!B$8* Dashboard!$F$4+Dashboard!B$10*SQRT(Dashboard!$F$4) * _xlfn.NORM.S.INV(RAND())</f>
        <v>-4.8908762935992486E-2</v>
      </c>
      <c r="T1655" s="59">
        <f ca="1">Dashboard!C$8* Dashboard!$F$4+Dashboard!C$10*SQRT(Dashboard!$F$4) * _xlfn.NORM.S.INV(RAND())</f>
        <v>1.0627136666068928E-3</v>
      </c>
      <c r="U1655" s="59">
        <f ca="1">Dashboard!D$8* Dashboard!$F$4+Dashboard!D$10*SQRT(Dashboard!$F$4) * _xlfn.NORM.S.INV(RAND())</f>
        <v>4.5912232258272172E-2</v>
      </c>
    </row>
    <row r="1656" spans="18:21" x14ac:dyDescent="0.2">
      <c r="R1656" s="49">
        <v>1654</v>
      </c>
      <c r="S1656" s="59">
        <f ca="1">Dashboard!B$8* Dashboard!$F$4+Dashboard!B$10*SQRT(Dashboard!$F$4) * _xlfn.NORM.S.INV(RAND())</f>
        <v>6.3909957854312596E-2</v>
      </c>
      <c r="T1656" s="59">
        <f ca="1">Dashboard!C$8* Dashboard!$F$4+Dashboard!C$10*SQRT(Dashboard!$F$4) * _xlfn.NORM.S.INV(RAND())</f>
        <v>-2.7529615616849953E-3</v>
      </c>
      <c r="U1656" s="59">
        <f ca="1">Dashboard!D$8* Dashboard!$F$4+Dashboard!D$10*SQRT(Dashboard!$F$4) * _xlfn.NORM.S.INV(RAND())</f>
        <v>-8.1768295655310877E-4</v>
      </c>
    </row>
    <row r="1657" spans="18:21" x14ac:dyDescent="0.2">
      <c r="R1657" s="49">
        <v>1655</v>
      </c>
      <c r="S1657" s="59">
        <f ca="1">Dashboard!B$8* Dashboard!$F$4+Dashboard!B$10*SQRT(Dashboard!$F$4) * _xlfn.NORM.S.INV(RAND())</f>
        <v>-3.0837540519700626E-2</v>
      </c>
      <c r="T1657" s="59">
        <f ca="1">Dashboard!C$8* Dashboard!$F$4+Dashboard!C$10*SQRT(Dashboard!$F$4) * _xlfn.NORM.S.INV(RAND())</f>
        <v>-2.8426628030238373E-2</v>
      </c>
      <c r="U1657" s="59">
        <f ca="1">Dashboard!D$8* Dashboard!$F$4+Dashboard!D$10*SQRT(Dashboard!$F$4) * _xlfn.NORM.S.INV(RAND())</f>
        <v>1.9492524038392144E-2</v>
      </c>
    </row>
    <row r="1658" spans="18:21" x14ac:dyDescent="0.2">
      <c r="R1658" s="49">
        <v>1656</v>
      </c>
      <c r="S1658" s="59">
        <f ca="1">Dashboard!B$8* Dashboard!$F$4+Dashboard!B$10*SQRT(Dashboard!$F$4) * _xlfn.NORM.S.INV(RAND())</f>
        <v>-1.4834238145082555E-2</v>
      </c>
      <c r="T1658" s="59">
        <f ca="1">Dashboard!C$8* Dashboard!$F$4+Dashboard!C$10*SQRT(Dashboard!$F$4) * _xlfn.NORM.S.INV(RAND())</f>
        <v>-5.3636821796135936E-2</v>
      </c>
      <c r="U1658" s="59">
        <f ca="1">Dashboard!D$8* Dashboard!$F$4+Dashboard!D$10*SQRT(Dashboard!$F$4) * _xlfn.NORM.S.INV(RAND())</f>
        <v>2.1452245911653022E-2</v>
      </c>
    </row>
    <row r="1659" spans="18:21" x14ac:dyDescent="0.2">
      <c r="R1659" s="49">
        <v>1657</v>
      </c>
      <c r="S1659" s="59">
        <f ca="1">Dashboard!B$8* Dashboard!$F$4+Dashboard!B$10*SQRT(Dashboard!$F$4) * _xlfn.NORM.S.INV(RAND())</f>
        <v>-4.7081421696280289E-2</v>
      </c>
      <c r="T1659" s="59">
        <f ca="1">Dashboard!C$8* Dashboard!$F$4+Dashboard!C$10*SQRT(Dashboard!$F$4) * _xlfn.NORM.S.INV(RAND())</f>
        <v>-2.9997106288979964E-2</v>
      </c>
      <c r="U1659" s="59">
        <f ca="1">Dashboard!D$8* Dashboard!$F$4+Dashboard!D$10*SQRT(Dashboard!$F$4) * _xlfn.NORM.S.INV(RAND())</f>
        <v>1.2360194153434381E-2</v>
      </c>
    </row>
    <row r="1660" spans="18:21" x14ac:dyDescent="0.2">
      <c r="R1660" s="49">
        <v>1658</v>
      </c>
      <c r="S1660" s="59">
        <f ca="1">Dashboard!B$8* Dashboard!$F$4+Dashboard!B$10*SQRT(Dashboard!$F$4) * _xlfn.NORM.S.INV(RAND())</f>
        <v>7.0316397866386549E-2</v>
      </c>
      <c r="T1660" s="59">
        <f ca="1">Dashboard!C$8* Dashboard!$F$4+Dashboard!C$10*SQRT(Dashboard!$F$4) * _xlfn.NORM.S.INV(RAND())</f>
        <v>2.9624945194834915E-2</v>
      </c>
      <c r="U1660" s="59">
        <f ca="1">Dashboard!D$8* Dashboard!$F$4+Dashboard!D$10*SQRT(Dashboard!$F$4) * _xlfn.NORM.S.INV(RAND())</f>
        <v>-1.4957830733033682E-3</v>
      </c>
    </row>
    <row r="1661" spans="18:21" x14ac:dyDescent="0.2">
      <c r="R1661" s="49">
        <v>1659</v>
      </c>
      <c r="S1661" s="59">
        <f ca="1">Dashboard!B$8* Dashboard!$F$4+Dashboard!B$10*SQRT(Dashboard!$F$4) * _xlfn.NORM.S.INV(RAND())</f>
        <v>-5.205252034077288E-2</v>
      </c>
      <c r="T1661" s="59">
        <f ca="1">Dashboard!C$8* Dashboard!$F$4+Dashboard!C$10*SQRT(Dashboard!$F$4) * _xlfn.NORM.S.INV(RAND())</f>
        <v>-1.2099262713367214E-3</v>
      </c>
      <c r="U1661" s="59">
        <f ca="1">Dashboard!D$8* Dashboard!$F$4+Dashboard!D$10*SQRT(Dashboard!$F$4) * _xlfn.NORM.S.INV(RAND())</f>
        <v>6.0816017470409309E-2</v>
      </c>
    </row>
    <row r="1662" spans="18:21" x14ac:dyDescent="0.2">
      <c r="R1662" s="49">
        <v>1660</v>
      </c>
      <c r="S1662" s="59">
        <f ca="1">Dashboard!B$8* Dashboard!$F$4+Dashboard!B$10*SQRT(Dashboard!$F$4) * _xlfn.NORM.S.INV(RAND())</f>
        <v>-2.8805775050785166E-2</v>
      </c>
      <c r="T1662" s="59">
        <f ca="1">Dashboard!C$8* Dashboard!$F$4+Dashboard!C$10*SQRT(Dashboard!$F$4) * _xlfn.NORM.S.INV(RAND())</f>
        <v>2.3568595223194804E-2</v>
      </c>
      <c r="U1662" s="59">
        <f ca="1">Dashboard!D$8* Dashboard!$F$4+Dashboard!D$10*SQRT(Dashboard!$F$4) * _xlfn.NORM.S.INV(RAND())</f>
        <v>1.4440455510371977E-2</v>
      </c>
    </row>
    <row r="1663" spans="18:21" x14ac:dyDescent="0.2">
      <c r="R1663" s="49">
        <v>1661</v>
      </c>
      <c r="S1663" s="59">
        <f ca="1">Dashboard!B$8* Dashboard!$F$4+Dashboard!B$10*SQRT(Dashboard!$F$4) * _xlfn.NORM.S.INV(RAND())</f>
        <v>1.6963305311880915E-2</v>
      </c>
      <c r="T1663" s="59">
        <f ca="1">Dashboard!C$8* Dashboard!$F$4+Dashboard!C$10*SQRT(Dashboard!$F$4) * _xlfn.NORM.S.INV(RAND())</f>
        <v>7.1233323046519404E-3</v>
      </c>
      <c r="U1663" s="59">
        <f ca="1">Dashboard!D$8* Dashboard!$F$4+Dashboard!D$10*SQRT(Dashboard!$F$4) * _xlfn.NORM.S.INV(RAND())</f>
        <v>1.1023534066866408E-2</v>
      </c>
    </row>
    <row r="1664" spans="18:21" x14ac:dyDescent="0.2">
      <c r="R1664" s="49">
        <v>1662</v>
      </c>
      <c r="S1664" s="59">
        <f ca="1">Dashboard!B$8* Dashboard!$F$4+Dashboard!B$10*SQRT(Dashboard!$F$4) * _xlfn.NORM.S.INV(RAND())</f>
        <v>1.6072896103985476E-2</v>
      </c>
      <c r="T1664" s="59">
        <f ca="1">Dashboard!C$8* Dashboard!$F$4+Dashboard!C$10*SQRT(Dashboard!$F$4) * _xlfn.NORM.S.INV(RAND())</f>
        <v>-1.6817072235063783E-2</v>
      </c>
      <c r="U1664" s="59">
        <f ca="1">Dashboard!D$8* Dashboard!$F$4+Dashboard!D$10*SQRT(Dashboard!$F$4) * _xlfn.NORM.S.INV(RAND())</f>
        <v>8.2136198567641146E-3</v>
      </c>
    </row>
    <row r="1665" spans="18:21" x14ac:dyDescent="0.2">
      <c r="R1665" s="49">
        <v>1663</v>
      </c>
      <c r="S1665" s="59">
        <f ca="1">Dashboard!B$8* Dashboard!$F$4+Dashboard!B$10*SQRT(Dashboard!$F$4) * _xlfn.NORM.S.INV(RAND())</f>
        <v>-1.2115984484528772E-3</v>
      </c>
      <c r="T1665" s="59">
        <f ca="1">Dashboard!C$8* Dashboard!$F$4+Dashboard!C$10*SQRT(Dashboard!$F$4) * _xlfn.NORM.S.INV(RAND())</f>
        <v>-3.3532832787139269E-2</v>
      </c>
      <c r="U1665" s="59">
        <f ca="1">Dashboard!D$8* Dashboard!$F$4+Dashboard!D$10*SQRT(Dashboard!$F$4) * _xlfn.NORM.S.INV(RAND())</f>
        <v>4.4554561050779519E-2</v>
      </c>
    </row>
    <row r="1666" spans="18:21" x14ac:dyDescent="0.2">
      <c r="R1666" s="49">
        <v>1664</v>
      </c>
      <c r="S1666" s="59">
        <f ca="1">Dashboard!B$8* Dashboard!$F$4+Dashboard!B$10*SQRT(Dashboard!$F$4) * _xlfn.NORM.S.INV(RAND())</f>
        <v>-3.5206654398191893E-2</v>
      </c>
      <c r="T1666" s="59">
        <f ca="1">Dashboard!C$8* Dashboard!$F$4+Dashboard!C$10*SQRT(Dashboard!$F$4) * _xlfn.NORM.S.INV(RAND())</f>
        <v>-4.5670504149244458E-2</v>
      </c>
      <c r="U1666" s="59">
        <f ca="1">Dashboard!D$8* Dashboard!$F$4+Dashboard!D$10*SQRT(Dashboard!$F$4) * _xlfn.NORM.S.INV(RAND())</f>
        <v>1.6017271576218201E-2</v>
      </c>
    </row>
    <row r="1667" spans="18:21" x14ac:dyDescent="0.2">
      <c r="R1667" s="49">
        <v>1665</v>
      </c>
      <c r="S1667" s="59">
        <f ca="1">Dashboard!B$8* Dashboard!$F$4+Dashboard!B$10*SQRT(Dashboard!$F$4) * _xlfn.NORM.S.INV(RAND())</f>
        <v>-5.430735473423863E-2</v>
      </c>
      <c r="T1667" s="59">
        <f ca="1">Dashboard!C$8* Dashboard!$F$4+Dashboard!C$10*SQRT(Dashboard!$F$4) * _xlfn.NORM.S.INV(RAND())</f>
        <v>-1.9996101785556657E-2</v>
      </c>
      <c r="U1667" s="59">
        <f ca="1">Dashboard!D$8* Dashboard!$F$4+Dashboard!D$10*SQRT(Dashboard!$F$4) * _xlfn.NORM.S.INV(RAND())</f>
        <v>3.7343835719440312E-2</v>
      </c>
    </row>
    <row r="1668" spans="18:21" x14ac:dyDescent="0.2">
      <c r="R1668" s="49">
        <v>1666</v>
      </c>
      <c r="S1668" s="59">
        <f ca="1">Dashboard!B$8* Dashboard!$F$4+Dashboard!B$10*SQRT(Dashboard!$F$4) * _xlfn.NORM.S.INV(RAND())</f>
        <v>-2.99891066838276E-2</v>
      </c>
      <c r="T1668" s="59">
        <f ca="1">Dashboard!C$8* Dashboard!$F$4+Dashboard!C$10*SQRT(Dashboard!$F$4) * _xlfn.NORM.S.INV(RAND())</f>
        <v>3.1895610568270553E-2</v>
      </c>
      <c r="U1668" s="59">
        <f ca="1">Dashboard!D$8* Dashboard!$F$4+Dashboard!D$10*SQRT(Dashboard!$F$4) * _xlfn.NORM.S.INV(RAND())</f>
        <v>-1.3317080181785679E-2</v>
      </c>
    </row>
    <row r="1669" spans="18:21" x14ac:dyDescent="0.2">
      <c r="R1669" s="49">
        <v>1667</v>
      </c>
      <c r="S1669" s="59">
        <f ca="1">Dashboard!B$8* Dashboard!$F$4+Dashboard!B$10*SQRT(Dashboard!$F$4) * _xlfn.NORM.S.INV(RAND())</f>
        <v>-2.8450117173014759E-2</v>
      </c>
      <c r="T1669" s="59">
        <f ca="1">Dashboard!C$8* Dashboard!$F$4+Dashboard!C$10*SQRT(Dashboard!$F$4) * _xlfn.NORM.S.INV(RAND())</f>
        <v>-1.9836344323400479E-2</v>
      </c>
      <c r="U1669" s="59">
        <f ca="1">Dashboard!D$8* Dashboard!$F$4+Dashboard!D$10*SQRT(Dashboard!$F$4) * _xlfn.NORM.S.INV(RAND())</f>
        <v>-1.0971401644349961E-2</v>
      </c>
    </row>
    <row r="1670" spans="18:21" x14ac:dyDescent="0.2">
      <c r="R1670" s="49">
        <v>1668</v>
      </c>
      <c r="S1670" s="59">
        <f ca="1">Dashboard!B$8* Dashboard!$F$4+Dashboard!B$10*SQRT(Dashboard!$F$4) * _xlfn.NORM.S.INV(RAND())</f>
        <v>-2.0083593620918182E-2</v>
      </c>
      <c r="T1670" s="59">
        <f ca="1">Dashboard!C$8* Dashboard!$F$4+Dashboard!C$10*SQRT(Dashboard!$F$4) * _xlfn.NORM.S.INV(RAND())</f>
        <v>1.0227141056874431E-2</v>
      </c>
      <c r="U1670" s="59">
        <f ca="1">Dashboard!D$8* Dashboard!$F$4+Dashboard!D$10*SQRT(Dashboard!$F$4) * _xlfn.NORM.S.INV(RAND())</f>
        <v>6.3625421809556562E-2</v>
      </c>
    </row>
    <row r="1671" spans="18:21" x14ac:dyDescent="0.2">
      <c r="R1671" s="49">
        <v>1669</v>
      </c>
      <c r="S1671" s="59">
        <f ca="1">Dashboard!B$8* Dashboard!$F$4+Dashboard!B$10*SQRT(Dashboard!$F$4) * _xlfn.NORM.S.INV(RAND())</f>
        <v>-3.0583081288370041E-2</v>
      </c>
      <c r="T1671" s="59">
        <f ca="1">Dashboard!C$8* Dashboard!$F$4+Dashboard!C$10*SQRT(Dashboard!$F$4) * _xlfn.NORM.S.INV(RAND())</f>
        <v>-1.3376212552284331E-2</v>
      </c>
      <c r="U1671" s="59">
        <f ca="1">Dashboard!D$8* Dashboard!$F$4+Dashboard!D$10*SQRT(Dashboard!$F$4) * _xlfn.NORM.S.INV(RAND())</f>
        <v>-4.6282719393536266E-2</v>
      </c>
    </row>
    <row r="1672" spans="18:21" x14ac:dyDescent="0.2">
      <c r="R1672" s="49">
        <v>1670</v>
      </c>
      <c r="S1672" s="59">
        <f ca="1">Dashboard!B$8* Dashboard!$F$4+Dashboard!B$10*SQRT(Dashboard!$F$4) * _xlfn.NORM.S.INV(RAND())</f>
        <v>2.8551863064746164E-2</v>
      </c>
      <c r="T1672" s="59">
        <f ca="1">Dashboard!C$8* Dashboard!$F$4+Dashboard!C$10*SQRT(Dashboard!$F$4) * _xlfn.NORM.S.INV(RAND())</f>
        <v>-2.0421190900338934E-2</v>
      </c>
      <c r="U1672" s="59">
        <f ca="1">Dashboard!D$8* Dashboard!$F$4+Dashboard!D$10*SQRT(Dashboard!$F$4) * _xlfn.NORM.S.INV(RAND())</f>
        <v>-1.1669413717435712E-2</v>
      </c>
    </row>
    <row r="1673" spans="18:21" x14ac:dyDescent="0.2">
      <c r="R1673" s="49">
        <v>1671</v>
      </c>
      <c r="S1673" s="59">
        <f ca="1">Dashboard!B$8* Dashboard!$F$4+Dashboard!B$10*SQRT(Dashboard!$F$4) * _xlfn.NORM.S.INV(RAND())</f>
        <v>5.1742887769749592E-2</v>
      </c>
      <c r="T1673" s="59">
        <f ca="1">Dashboard!C$8* Dashboard!$F$4+Dashboard!C$10*SQRT(Dashboard!$F$4) * _xlfn.NORM.S.INV(RAND())</f>
        <v>-2.8181971120312338E-3</v>
      </c>
      <c r="U1673" s="59">
        <f ca="1">Dashboard!D$8* Dashboard!$F$4+Dashboard!D$10*SQRT(Dashboard!$F$4) * _xlfn.NORM.S.INV(RAND())</f>
        <v>-9.3757060178140186E-3</v>
      </c>
    </row>
    <row r="1674" spans="18:21" x14ac:dyDescent="0.2">
      <c r="R1674" s="49">
        <v>1672</v>
      </c>
      <c r="S1674" s="59">
        <f ca="1">Dashboard!B$8* Dashboard!$F$4+Dashboard!B$10*SQRT(Dashboard!$F$4) * _xlfn.NORM.S.INV(RAND())</f>
        <v>2.5053116195150795E-3</v>
      </c>
      <c r="T1674" s="59">
        <f ca="1">Dashboard!C$8* Dashboard!$F$4+Dashboard!C$10*SQRT(Dashboard!$F$4) * _xlfn.NORM.S.INV(RAND())</f>
        <v>3.5797710475134019E-2</v>
      </c>
      <c r="U1674" s="59">
        <f ca="1">Dashboard!D$8* Dashboard!$F$4+Dashboard!D$10*SQRT(Dashboard!$F$4) * _xlfn.NORM.S.INV(RAND())</f>
        <v>-8.2156407335868854E-3</v>
      </c>
    </row>
    <row r="1675" spans="18:21" x14ac:dyDescent="0.2">
      <c r="R1675" s="49">
        <v>1673</v>
      </c>
      <c r="S1675" s="59">
        <f ca="1">Dashboard!B$8* Dashboard!$F$4+Dashboard!B$10*SQRT(Dashboard!$F$4) * _xlfn.NORM.S.INV(RAND())</f>
        <v>2.5518325872960497E-2</v>
      </c>
      <c r="T1675" s="59">
        <f ca="1">Dashboard!C$8* Dashboard!$F$4+Dashboard!C$10*SQRT(Dashboard!$F$4) * _xlfn.NORM.S.INV(RAND())</f>
        <v>-1.083131907539903E-2</v>
      </c>
      <c r="U1675" s="59">
        <f ca="1">Dashboard!D$8* Dashboard!$F$4+Dashboard!D$10*SQRT(Dashboard!$F$4) * _xlfn.NORM.S.INV(RAND())</f>
        <v>-2.1116151916943391E-3</v>
      </c>
    </row>
    <row r="1676" spans="18:21" x14ac:dyDescent="0.2">
      <c r="R1676" s="49">
        <v>1674</v>
      </c>
      <c r="S1676" s="59">
        <f ca="1">Dashboard!B$8* Dashboard!$F$4+Dashboard!B$10*SQRT(Dashboard!$F$4) * _xlfn.NORM.S.INV(RAND())</f>
        <v>-2.6065453027637464E-2</v>
      </c>
      <c r="T1676" s="59">
        <f ca="1">Dashboard!C$8* Dashboard!$F$4+Dashboard!C$10*SQRT(Dashboard!$F$4) * _xlfn.NORM.S.INV(RAND())</f>
        <v>5.0915066199778022E-2</v>
      </c>
      <c r="U1676" s="59">
        <f ca="1">Dashboard!D$8* Dashboard!$F$4+Dashboard!D$10*SQRT(Dashboard!$F$4) * _xlfn.NORM.S.INV(RAND())</f>
        <v>3.2956086485941637E-2</v>
      </c>
    </row>
    <row r="1677" spans="18:21" x14ac:dyDescent="0.2">
      <c r="R1677" s="49">
        <v>1675</v>
      </c>
      <c r="S1677" s="59">
        <f ca="1">Dashboard!B$8* Dashboard!$F$4+Dashboard!B$10*SQRT(Dashboard!$F$4) * _xlfn.NORM.S.INV(RAND())</f>
        <v>-2.7527338838745002E-2</v>
      </c>
      <c r="T1677" s="59">
        <f ca="1">Dashboard!C$8* Dashboard!$F$4+Dashboard!C$10*SQRT(Dashboard!$F$4) * _xlfn.NORM.S.INV(RAND())</f>
        <v>7.9764462275805248E-2</v>
      </c>
      <c r="U1677" s="59">
        <f ca="1">Dashboard!D$8* Dashboard!$F$4+Dashboard!D$10*SQRT(Dashboard!$F$4) * _xlfn.NORM.S.INV(RAND())</f>
        <v>-3.6308532816846831E-2</v>
      </c>
    </row>
    <row r="1678" spans="18:21" x14ac:dyDescent="0.2">
      <c r="R1678" s="49">
        <v>1676</v>
      </c>
      <c r="S1678" s="59">
        <f ca="1">Dashboard!B$8* Dashboard!$F$4+Dashboard!B$10*SQRT(Dashboard!$F$4) * _xlfn.NORM.S.INV(RAND())</f>
        <v>7.3104119162804154E-2</v>
      </c>
      <c r="T1678" s="59">
        <f ca="1">Dashboard!C$8* Dashboard!$F$4+Dashboard!C$10*SQRT(Dashboard!$F$4) * _xlfn.NORM.S.INV(RAND())</f>
        <v>-2.0025875445759053E-2</v>
      </c>
      <c r="U1678" s="59">
        <f ca="1">Dashboard!D$8* Dashboard!$F$4+Dashboard!D$10*SQRT(Dashboard!$F$4) * _xlfn.NORM.S.INV(RAND())</f>
        <v>2.3148820049592959E-3</v>
      </c>
    </row>
    <row r="1679" spans="18:21" x14ac:dyDescent="0.2">
      <c r="R1679" s="49">
        <v>1677</v>
      </c>
      <c r="S1679" s="59">
        <f ca="1">Dashboard!B$8* Dashboard!$F$4+Dashboard!B$10*SQRT(Dashboard!$F$4) * _xlfn.NORM.S.INV(RAND())</f>
        <v>1.0550089780203373E-2</v>
      </c>
      <c r="T1679" s="59">
        <f ca="1">Dashboard!C$8* Dashboard!$F$4+Dashboard!C$10*SQRT(Dashboard!$F$4) * _xlfn.NORM.S.INV(RAND())</f>
        <v>2.556280533041427E-2</v>
      </c>
      <c r="U1679" s="59">
        <f ca="1">Dashboard!D$8* Dashboard!$F$4+Dashboard!D$10*SQRT(Dashboard!$F$4) * _xlfn.NORM.S.INV(RAND())</f>
        <v>-4.981182894996293E-2</v>
      </c>
    </row>
    <row r="1680" spans="18:21" x14ac:dyDescent="0.2">
      <c r="R1680" s="49">
        <v>1678</v>
      </c>
      <c r="S1680" s="59">
        <f ca="1">Dashboard!B$8* Dashboard!$F$4+Dashboard!B$10*SQRT(Dashboard!$F$4) * _xlfn.NORM.S.INV(RAND())</f>
        <v>-9.7180831894424224E-3</v>
      </c>
      <c r="T1680" s="59">
        <f ca="1">Dashboard!C$8* Dashboard!$F$4+Dashboard!C$10*SQRT(Dashboard!$F$4) * _xlfn.NORM.S.INV(RAND())</f>
        <v>4.4519273814363457E-2</v>
      </c>
      <c r="U1680" s="59">
        <f ca="1">Dashboard!D$8* Dashboard!$F$4+Dashboard!D$10*SQRT(Dashboard!$F$4) * _xlfn.NORM.S.INV(RAND())</f>
        <v>2.4656577858855885E-2</v>
      </c>
    </row>
    <row r="1681" spans="18:21" x14ac:dyDescent="0.2">
      <c r="R1681" s="49">
        <v>1679</v>
      </c>
      <c r="S1681" s="59">
        <f ca="1">Dashboard!B$8* Dashboard!$F$4+Dashboard!B$10*SQRT(Dashboard!$F$4) * _xlfn.NORM.S.INV(RAND())</f>
        <v>6.7964434562528972E-2</v>
      </c>
      <c r="T1681" s="59">
        <f ca="1">Dashboard!C$8* Dashboard!$F$4+Dashboard!C$10*SQRT(Dashboard!$F$4) * _xlfn.NORM.S.INV(RAND())</f>
        <v>1.9377133887354875E-2</v>
      </c>
      <c r="U1681" s="59">
        <f ca="1">Dashboard!D$8* Dashboard!$F$4+Dashboard!D$10*SQRT(Dashboard!$F$4) * _xlfn.NORM.S.INV(RAND())</f>
        <v>-1.8955600878797767E-2</v>
      </c>
    </row>
    <row r="1682" spans="18:21" x14ac:dyDescent="0.2">
      <c r="R1682" s="49">
        <v>1680</v>
      </c>
      <c r="S1682" s="59">
        <f ca="1">Dashboard!B$8* Dashboard!$F$4+Dashboard!B$10*SQRT(Dashboard!$F$4) * _xlfn.NORM.S.INV(RAND())</f>
        <v>-1.6120442432312025E-2</v>
      </c>
      <c r="T1682" s="59">
        <f ca="1">Dashboard!C$8* Dashboard!$F$4+Dashboard!C$10*SQRT(Dashboard!$F$4) * _xlfn.NORM.S.INV(RAND())</f>
        <v>3.5895984004774582E-2</v>
      </c>
      <c r="U1682" s="59">
        <f ca="1">Dashboard!D$8* Dashboard!$F$4+Dashboard!D$10*SQRT(Dashboard!$F$4) * _xlfn.NORM.S.INV(RAND())</f>
        <v>-3.2767658488841125E-2</v>
      </c>
    </row>
    <row r="1683" spans="18:21" x14ac:dyDescent="0.2">
      <c r="R1683" s="49">
        <v>1681</v>
      </c>
      <c r="S1683" s="59">
        <f ca="1">Dashboard!B$8* Dashboard!$F$4+Dashboard!B$10*SQRT(Dashboard!$F$4) * _xlfn.NORM.S.INV(RAND())</f>
        <v>-5.9856914328303278E-2</v>
      </c>
      <c r="T1683" s="59">
        <f ca="1">Dashboard!C$8* Dashboard!$F$4+Dashboard!C$10*SQRT(Dashboard!$F$4) * _xlfn.NORM.S.INV(RAND())</f>
        <v>9.3778955780728229E-3</v>
      </c>
      <c r="U1683" s="59">
        <f ca="1">Dashboard!D$8* Dashboard!$F$4+Dashboard!D$10*SQRT(Dashboard!$F$4) * _xlfn.NORM.S.INV(RAND())</f>
        <v>-3.5958971604307333E-2</v>
      </c>
    </row>
    <row r="1684" spans="18:21" x14ac:dyDescent="0.2">
      <c r="R1684" s="49">
        <v>1682</v>
      </c>
      <c r="S1684" s="59">
        <f ca="1">Dashboard!B$8* Dashboard!$F$4+Dashboard!B$10*SQRT(Dashboard!$F$4) * _xlfn.NORM.S.INV(RAND())</f>
        <v>3.2855295028693124E-2</v>
      </c>
      <c r="T1684" s="59">
        <f ca="1">Dashboard!C$8* Dashboard!$F$4+Dashboard!C$10*SQRT(Dashboard!$F$4) * _xlfn.NORM.S.INV(RAND())</f>
        <v>3.4810119671080967E-3</v>
      </c>
      <c r="U1684" s="59">
        <f ca="1">Dashboard!D$8* Dashboard!$F$4+Dashboard!D$10*SQRT(Dashboard!$F$4) * _xlfn.NORM.S.INV(RAND())</f>
        <v>7.387353221477406E-3</v>
      </c>
    </row>
    <row r="1685" spans="18:21" x14ac:dyDescent="0.2">
      <c r="R1685" s="49">
        <v>1683</v>
      </c>
      <c r="S1685" s="59">
        <f ca="1">Dashboard!B$8* Dashboard!$F$4+Dashboard!B$10*SQRT(Dashboard!$F$4) * _xlfn.NORM.S.INV(RAND())</f>
        <v>2.8234231050212888E-4</v>
      </c>
      <c r="T1685" s="59">
        <f ca="1">Dashboard!C$8* Dashboard!$F$4+Dashboard!C$10*SQRT(Dashboard!$F$4) * _xlfn.NORM.S.INV(RAND())</f>
        <v>3.3739696995617081E-2</v>
      </c>
      <c r="U1685" s="59">
        <f ca="1">Dashboard!D$8* Dashboard!$F$4+Dashboard!D$10*SQRT(Dashboard!$F$4) * _xlfn.NORM.S.INV(RAND())</f>
        <v>5.349775803126116E-2</v>
      </c>
    </row>
    <row r="1686" spans="18:21" x14ac:dyDescent="0.2">
      <c r="R1686" s="49">
        <v>1684</v>
      </c>
      <c r="S1686" s="59">
        <f ca="1">Dashboard!B$8* Dashboard!$F$4+Dashboard!B$10*SQRT(Dashboard!$F$4) * _xlfn.NORM.S.INV(RAND())</f>
        <v>-4.1224312395565458E-3</v>
      </c>
      <c r="T1686" s="59">
        <f ca="1">Dashboard!C$8* Dashboard!$F$4+Dashboard!C$10*SQRT(Dashboard!$F$4) * _xlfn.NORM.S.INV(RAND())</f>
        <v>3.0904356478990643E-2</v>
      </c>
      <c r="U1686" s="59">
        <f ca="1">Dashboard!D$8* Dashboard!$F$4+Dashboard!D$10*SQRT(Dashboard!$F$4) * _xlfn.NORM.S.INV(RAND())</f>
        <v>4.6510604444351339E-3</v>
      </c>
    </row>
    <row r="1687" spans="18:21" x14ac:dyDescent="0.2">
      <c r="R1687" s="49">
        <v>1685</v>
      </c>
      <c r="S1687" s="59">
        <f ca="1">Dashboard!B$8* Dashboard!$F$4+Dashboard!B$10*SQRT(Dashboard!$F$4) * _xlfn.NORM.S.INV(RAND())</f>
        <v>2.4942790258678814E-2</v>
      </c>
      <c r="T1687" s="59">
        <f ca="1">Dashboard!C$8* Dashboard!$F$4+Dashboard!C$10*SQRT(Dashboard!$F$4) * _xlfn.NORM.S.INV(RAND())</f>
        <v>2.8962887500198441E-2</v>
      </c>
      <c r="U1687" s="59">
        <f ca="1">Dashboard!D$8* Dashboard!$F$4+Dashboard!D$10*SQRT(Dashboard!$F$4) * _xlfn.NORM.S.INV(RAND())</f>
        <v>3.0245518031784845E-2</v>
      </c>
    </row>
    <row r="1688" spans="18:21" x14ac:dyDescent="0.2">
      <c r="R1688" s="49">
        <v>1686</v>
      </c>
      <c r="S1688" s="59">
        <f ca="1">Dashboard!B$8* Dashboard!$F$4+Dashboard!B$10*SQRT(Dashboard!$F$4) * _xlfn.NORM.S.INV(RAND())</f>
        <v>5.5260815089177386E-2</v>
      </c>
      <c r="T1688" s="59">
        <f ca="1">Dashboard!C$8* Dashboard!$F$4+Dashboard!C$10*SQRT(Dashboard!$F$4) * _xlfn.NORM.S.INV(RAND())</f>
        <v>-2.6925859251995771E-2</v>
      </c>
      <c r="U1688" s="59">
        <f ca="1">Dashboard!D$8* Dashboard!$F$4+Dashboard!D$10*SQRT(Dashboard!$F$4) * _xlfn.NORM.S.INV(RAND())</f>
        <v>6.5494455946738138E-3</v>
      </c>
    </row>
    <row r="1689" spans="18:21" x14ac:dyDescent="0.2">
      <c r="R1689" s="49">
        <v>1687</v>
      </c>
      <c r="S1689" s="59">
        <f ca="1">Dashboard!B$8* Dashboard!$F$4+Dashboard!B$10*SQRT(Dashboard!$F$4) * _xlfn.NORM.S.INV(RAND())</f>
        <v>3.3445588603566369E-2</v>
      </c>
      <c r="T1689" s="59">
        <f ca="1">Dashboard!C$8* Dashboard!$F$4+Dashboard!C$10*SQRT(Dashboard!$F$4) * _xlfn.NORM.S.INV(RAND())</f>
        <v>-4.7455710448614991E-2</v>
      </c>
      <c r="U1689" s="59">
        <f ca="1">Dashboard!D$8* Dashboard!$F$4+Dashboard!D$10*SQRT(Dashboard!$F$4) * _xlfn.NORM.S.INV(RAND())</f>
        <v>1.1296584179442404E-2</v>
      </c>
    </row>
    <row r="1690" spans="18:21" x14ac:dyDescent="0.2">
      <c r="R1690" s="49">
        <v>1688</v>
      </c>
      <c r="S1690" s="59">
        <f ca="1">Dashboard!B$8* Dashboard!$F$4+Dashboard!B$10*SQRT(Dashboard!$F$4) * _xlfn.NORM.S.INV(RAND())</f>
        <v>-4.3133243180528982E-2</v>
      </c>
      <c r="T1690" s="59">
        <f ca="1">Dashboard!C$8* Dashboard!$F$4+Dashboard!C$10*SQRT(Dashboard!$F$4) * _xlfn.NORM.S.INV(RAND())</f>
        <v>2.2424681594097264E-3</v>
      </c>
      <c r="U1690" s="59">
        <f ca="1">Dashboard!D$8* Dashboard!$F$4+Dashboard!D$10*SQRT(Dashboard!$F$4) * _xlfn.NORM.S.INV(RAND())</f>
        <v>-4.6775578915289752E-2</v>
      </c>
    </row>
    <row r="1691" spans="18:21" x14ac:dyDescent="0.2">
      <c r="R1691" s="49">
        <v>1689</v>
      </c>
      <c r="S1691" s="59">
        <f ca="1">Dashboard!B$8* Dashboard!$F$4+Dashboard!B$10*SQRT(Dashboard!$F$4) * _xlfn.NORM.S.INV(RAND())</f>
        <v>4.7944138106017505E-2</v>
      </c>
      <c r="T1691" s="59">
        <f ca="1">Dashboard!C$8* Dashboard!$F$4+Dashboard!C$10*SQRT(Dashboard!$F$4) * _xlfn.NORM.S.INV(RAND())</f>
        <v>-1.5925583353225095E-2</v>
      </c>
      <c r="U1691" s="59">
        <f ca="1">Dashboard!D$8* Dashboard!$F$4+Dashboard!D$10*SQRT(Dashboard!$F$4) * _xlfn.NORM.S.INV(RAND())</f>
        <v>-1.6047778098033073E-2</v>
      </c>
    </row>
    <row r="1692" spans="18:21" x14ac:dyDescent="0.2">
      <c r="R1692" s="49">
        <v>1690</v>
      </c>
      <c r="S1692" s="59">
        <f ca="1">Dashboard!B$8* Dashboard!$F$4+Dashboard!B$10*SQRT(Dashboard!$F$4) * _xlfn.NORM.S.INV(RAND())</f>
        <v>-4.6445205129182245E-2</v>
      </c>
      <c r="T1692" s="59">
        <f ca="1">Dashboard!C$8* Dashboard!$F$4+Dashboard!C$10*SQRT(Dashboard!$F$4) * _xlfn.NORM.S.INV(RAND())</f>
        <v>-1.2734614350794603E-2</v>
      </c>
      <c r="U1692" s="59">
        <f ca="1">Dashboard!D$8* Dashboard!$F$4+Dashboard!D$10*SQRT(Dashboard!$F$4) * _xlfn.NORM.S.INV(RAND())</f>
        <v>1.8597514869781754E-3</v>
      </c>
    </row>
    <row r="1693" spans="18:21" x14ac:dyDescent="0.2">
      <c r="R1693" s="49">
        <v>1691</v>
      </c>
      <c r="S1693" s="59">
        <f ca="1">Dashboard!B$8* Dashboard!$F$4+Dashboard!B$10*SQRT(Dashboard!$F$4) * _xlfn.NORM.S.INV(RAND())</f>
        <v>-7.8525974092468545E-3</v>
      </c>
      <c r="T1693" s="59">
        <f ca="1">Dashboard!C$8* Dashboard!$F$4+Dashboard!C$10*SQRT(Dashboard!$F$4) * _xlfn.NORM.S.INV(RAND())</f>
        <v>1.2616887244530851E-2</v>
      </c>
      <c r="U1693" s="59">
        <f ca="1">Dashboard!D$8* Dashboard!$F$4+Dashboard!D$10*SQRT(Dashboard!$F$4) * _xlfn.NORM.S.INV(RAND())</f>
        <v>5.1504193725245458E-2</v>
      </c>
    </row>
    <row r="1694" spans="18:21" x14ac:dyDescent="0.2">
      <c r="R1694" s="49">
        <v>1692</v>
      </c>
      <c r="S1694" s="59">
        <f ca="1">Dashboard!B$8* Dashboard!$F$4+Dashboard!B$10*SQRT(Dashboard!$F$4) * _xlfn.NORM.S.INV(RAND())</f>
        <v>-2.6534398928222793E-3</v>
      </c>
      <c r="T1694" s="59">
        <f ca="1">Dashboard!C$8* Dashboard!$F$4+Dashboard!C$10*SQRT(Dashboard!$F$4) * _xlfn.NORM.S.INV(RAND())</f>
        <v>1.6065876391063209E-2</v>
      </c>
      <c r="U1694" s="59">
        <f ca="1">Dashboard!D$8* Dashboard!$F$4+Dashboard!D$10*SQRT(Dashboard!$F$4) * _xlfn.NORM.S.INV(RAND())</f>
        <v>3.1908482066670407E-2</v>
      </c>
    </row>
    <row r="1695" spans="18:21" x14ac:dyDescent="0.2">
      <c r="R1695" s="49">
        <v>1693</v>
      </c>
      <c r="S1695" s="59">
        <f ca="1">Dashboard!B$8* Dashboard!$F$4+Dashboard!B$10*SQRT(Dashboard!$F$4) * _xlfn.NORM.S.INV(RAND())</f>
        <v>-1.4665614797869654E-2</v>
      </c>
      <c r="T1695" s="59">
        <f ca="1">Dashboard!C$8* Dashboard!$F$4+Dashboard!C$10*SQRT(Dashboard!$F$4) * _xlfn.NORM.S.INV(RAND())</f>
        <v>1.7469348091431004E-2</v>
      </c>
      <c r="U1695" s="59">
        <f ca="1">Dashboard!D$8* Dashboard!$F$4+Dashboard!D$10*SQRT(Dashboard!$F$4) * _xlfn.NORM.S.INV(RAND())</f>
        <v>-6.4388591560691827E-3</v>
      </c>
    </row>
    <row r="1696" spans="18:21" x14ac:dyDescent="0.2">
      <c r="R1696" s="49">
        <v>1694</v>
      </c>
      <c r="S1696" s="59">
        <f ca="1">Dashboard!B$8* Dashboard!$F$4+Dashboard!B$10*SQRT(Dashboard!$F$4) * _xlfn.NORM.S.INV(RAND())</f>
        <v>-1.2094032498028316E-2</v>
      </c>
      <c r="T1696" s="59">
        <f ca="1">Dashboard!C$8* Dashboard!$F$4+Dashboard!C$10*SQRT(Dashboard!$F$4) * _xlfn.NORM.S.INV(RAND())</f>
        <v>2.0884520687210396E-2</v>
      </c>
      <c r="U1696" s="59">
        <f ca="1">Dashboard!D$8* Dashboard!$F$4+Dashboard!D$10*SQRT(Dashboard!$F$4) * _xlfn.NORM.S.INV(RAND())</f>
        <v>-2.8877674709727363E-2</v>
      </c>
    </row>
    <row r="1697" spans="18:21" x14ac:dyDescent="0.2">
      <c r="R1697" s="49">
        <v>1695</v>
      </c>
      <c r="S1697" s="59">
        <f ca="1">Dashboard!B$8* Dashboard!$F$4+Dashboard!B$10*SQRT(Dashboard!$F$4) * _xlfn.NORM.S.INV(RAND())</f>
        <v>-1.9619744590473415E-2</v>
      </c>
      <c r="T1697" s="59">
        <f ca="1">Dashboard!C$8* Dashboard!$F$4+Dashboard!C$10*SQRT(Dashboard!$F$4) * _xlfn.NORM.S.INV(RAND())</f>
        <v>1.1318896838603322E-2</v>
      </c>
      <c r="U1697" s="59">
        <f ca="1">Dashboard!D$8* Dashboard!$F$4+Dashboard!D$10*SQRT(Dashboard!$F$4) * _xlfn.NORM.S.INV(RAND())</f>
        <v>5.9523965492739452E-2</v>
      </c>
    </row>
    <row r="1698" spans="18:21" x14ac:dyDescent="0.2">
      <c r="R1698" s="49">
        <v>1696</v>
      </c>
      <c r="S1698" s="59">
        <f ca="1">Dashboard!B$8* Dashboard!$F$4+Dashboard!B$10*SQRT(Dashboard!$F$4) * _xlfn.NORM.S.INV(RAND())</f>
        <v>-1.3113316019316441E-2</v>
      </c>
      <c r="T1698" s="59">
        <f ca="1">Dashboard!C$8* Dashboard!$F$4+Dashboard!C$10*SQRT(Dashboard!$F$4) * _xlfn.NORM.S.INV(RAND())</f>
        <v>4.6512136874077604E-3</v>
      </c>
      <c r="U1698" s="59">
        <f ca="1">Dashboard!D$8* Dashboard!$F$4+Dashboard!D$10*SQRT(Dashboard!$F$4) * _xlfn.NORM.S.INV(RAND())</f>
        <v>2.7611257975399203E-2</v>
      </c>
    </row>
    <row r="1699" spans="18:21" x14ac:dyDescent="0.2">
      <c r="R1699" s="49">
        <v>1697</v>
      </c>
      <c r="S1699" s="59">
        <f ca="1">Dashboard!B$8* Dashboard!$F$4+Dashboard!B$10*SQRT(Dashboard!$F$4) * _xlfn.NORM.S.INV(RAND())</f>
        <v>-4.5361956057206922E-2</v>
      </c>
      <c r="T1699" s="59">
        <f ca="1">Dashboard!C$8* Dashboard!$F$4+Dashboard!C$10*SQRT(Dashboard!$F$4) * _xlfn.NORM.S.INV(RAND())</f>
        <v>-4.686429623589615E-2</v>
      </c>
      <c r="U1699" s="59">
        <f ca="1">Dashboard!D$8* Dashboard!$F$4+Dashboard!D$10*SQRT(Dashboard!$F$4) * _xlfn.NORM.S.INV(RAND())</f>
        <v>-8.8729697992359496E-3</v>
      </c>
    </row>
    <row r="1700" spans="18:21" x14ac:dyDescent="0.2">
      <c r="R1700" s="49">
        <v>1698</v>
      </c>
      <c r="S1700" s="59">
        <f ca="1">Dashboard!B$8* Dashboard!$F$4+Dashboard!B$10*SQRT(Dashboard!$F$4) * _xlfn.NORM.S.INV(RAND())</f>
        <v>3.0443471845654359E-2</v>
      </c>
      <c r="T1700" s="59">
        <f ca="1">Dashboard!C$8* Dashboard!$F$4+Dashboard!C$10*SQRT(Dashboard!$F$4) * _xlfn.NORM.S.INV(RAND())</f>
        <v>3.2460456721573078E-2</v>
      </c>
      <c r="U1700" s="59">
        <f ca="1">Dashboard!D$8* Dashboard!$F$4+Dashboard!D$10*SQRT(Dashboard!$F$4) * _xlfn.NORM.S.INV(RAND())</f>
        <v>-1.9060033479267123E-3</v>
      </c>
    </row>
    <row r="1701" spans="18:21" x14ac:dyDescent="0.2">
      <c r="R1701" s="49">
        <v>1699</v>
      </c>
      <c r="S1701" s="59">
        <f ca="1">Dashboard!B$8* Dashboard!$F$4+Dashboard!B$10*SQRT(Dashboard!$F$4) * _xlfn.NORM.S.INV(RAND())</f>
        <v>1.8228878882991226E-2</v>
      </c>
      <c r="T1701" s="59">
        <f ca="1">Dashboard!C$8* Dashboard!$F$4+Dashboard!C$10*SQRT(Dashboard!$F$4) * _xlfn.NORM.S.INV(RAND())</f>
        <v>1.9011582694106754E-2</v>
      </c>
      <c r="U1701" s="59">
        <f ca="1">Dashboard!D$8* Dashboard!$F$4+Dashboard!D$10*SQRT(Dashboard!$F$4) * _xlfn.NORM.S.INV(RAND())</f>
        <v>-3.847429088171829E-2</v>
      </c>
    </row>
    <row r="1702" spans="18:21" x14ac:dyDescent="0.2">
      <c r="R1702" s="49">
        <v>1700</v>
      </c>
      <c r="S1702" s="59">
        <f ca="1">Dashboard!B$8* Dashboard!$F$4+Dashboard!B$10*SQRT(Dashboard!$F$4) * _xlfn.NORM.S.INV(RAND())</f>
        <v>-1.9436706844676504E-2</v>
      </c>
      <c r="T1702" s="59">
        <f ca="1">Dashboard!C$8* Dashboard!$F$4+Dashboard!C$10*SQRT(Dashboard!$F$4) * _xlfn.NORM.S.INV(RAND())</f>
        <v>3.7886096804338638E-2</v>
      </c>
      <c r="U1702" s="59">
        <f ca="1">Dashboard!D$8* Dashboard!$F$4+Dashboard!D$10*SQRT(Dashboard!$F$4) * _xlfn.NORM.S.INV(RAND())</f>
        <v>-5.0128958819347837E-3</v>
      </c>
    </row>
    <row r="1703" spans="18:21" x14ac:dyDescent="0.2">
      <c r="R1703" s="49">
        <v>1701</v>
      </c>
      <c r="S1703" s="59">
        <f ca="1">Dashboard!B$8* Dashboard!$F$4+Dashboard!B$10*SQRT(Dashboard!$F$4) * _xlfn.NORM.S.INV(RAND())</f>
        <v>-8.4454214424515804E-3</v>
      </c>
      <c r="T1703" s="59">
        <f ca="1">Dashboard!C$8* Dashboard!$F$4+Dashboard!C$10*SQRT(Dashboard!$F$4) * _xlfn.NORM.S.INV(RAND())</f>
        <v>2.7226071759385212E-2</v>
      </c>
      <c r="U1703" s="59">
        <f ca="1">Dashboard!D$8* Dashboard!$F$4+Dashboard!D$10*SQRT(Dashboard!$F$4) * _xlfn.NORM.S.INV(RAND())</f>
        <v>-4.0455145258145482E-2</v>
      </c>
    </row>
    <row r="1704" spans="18:21" x14ac:dyDescent="0.2">
      <c r="R1704" s="49">
        <v>1702</v>
      </c>
      <c r="S1704" s="59">
        <f ca="1">Dashboard!B$8* Dashboard!$F$4+Dashboard!B$10*SQRT(Dashboard!$F$4) * _xlfn.NORM.S.INV(RAND())</f>
        <v>-2.1231622158083233E-2</v>
      </c>
      <c r="T1704" s="59">
        <f ca="1">Dashboard!C$8* Dashboard!$F$4+Dashboard!C$10*SQRT(Dashboard!$F$4) * _xlfn.NORM.S.INV(RAND())</f>
        <v>-1.725207295353658E-2</v>
      </c>
      <c r="U1704" s="59">
        <f ca="1">Dashboard!D$8* Dashboard!$F$4+Dashboard!D$10*SQRT(Dashboard!$F$4) * _xlfn.NORM.S.INV(RAND())</f>
        <v>-8.0111564658038679E-3</v>
      </c>
    </row>
    <row r="1705" spans="18:21" x14ac:dyDescent="0.2">
      <c r="R1705" s="49">
        <v>1703</v>
      </c>
      <c r="S1705" s="59">
        <f ca="1">Dashboard!B$8* Dashboard!$F$4+Dashboard!B$10*SQRT(Dashboard!$F$4) * _xlfn.NORM.S.INV(RAND())</f>
        <v>5.3651802154556248E-2</v>
      </c>
      <c r="T1705" s="59">
        <f ca="1">Dashboard!C$8* Dashboard!$F$4+Dashboard!C$10*SQRT(Dashboard!$F$4) * _xlfn.NORM.S.INV(RAND())</f>
        <v>8.6164790742412081E-2</v>
      </c>
      <c r="U1705" s="59">
        <f ca="1">Dashboard!D$8* Dashboard!$F$4+Dashboard!D$10*SQRT(Dashboard!$F$4) * _xlfn.NORM.S.INV(RAND())</f>
        <v>2.2985201104364927E-2</v>
      </c>
    </row>
    <row r="1706" spans="18:21" x14ac:dyDescent="0.2">
      <c r="R1706" s="49">
        <v>1704</v>
      </c>
      <c r="S1706" s="59">
        <f ca="1">Dashboard!B$8* Dashboard!$F$4+Dashboard!B$10*SQRT(Dashboard!$F$4) * _xlfn.NORM.S.INV(RAND())</f>
        <v>-3.6275931303747178E-2</v>
      </c>
      <c r="T1706" s="59">
        <f ca="1">Dashboard!C$8* Dashboard!$F$4+Dashboard!C$10*SQRT(Dashboard!$F$4) * _xlfn.NORM.S.INV(RAND())</f>
        <v>-2.9095266489467288E-4</v>
      </c>
      <c r="U1706" s="59">
        <f ca="1">Dashboard!D$8* Dashboard!$F$4+Dashboard!D$10*SQRT(Dashboard!$F$4) * _xlfn.NORM.S.INV(RAND())</f>
        <v>-3.5469851723925035E-2</v>
      </c>
    </row>
    <row r="1707" spans="18:21" x14ac:dyDescent="0.2">
      <c r="R1707" s="49">
        <v>1705</v>
      </c>
      <c r="S1707" s="59">
        <f ca="1">Dashboard!B$8* Dashboard!$F$4+Dashboard!B$10*SQRT(Dashboard!$F$4) * _xlfn.NORM.S.INV(RAND())</f>
        <v>1.4047088520748539E-2</v>
      </c>
      <c r="T1707" s="59">
        <f ca="1">Dashboard!C$8* Dashboard!$F$4+Dashboard!C$10*SQRT(Dashboard!$F$4) * _xlfn.NORM.S.INV(RAND())</f>
        <v>-5.0719346264371766E-2</v>
      </c>
      <c r="U1707" s="59">
        <f ca="1">Dashboard!D$8* Dashboard!$F$4+Dashboard!D$10*SQRT(Dashboard!$F$4) * _xlfn.NORM.S.INV(RAND())</f>
        <v>-1.883216597813334E-2</v>
      </c>
    </row>
    <row r="1708" spans="18:21" x14ac:dyDescent="0.2">
      <c r="R1708" s="49">
        <v>1706</v>
      </c>
      <c r="S1708" s="59">
        <f ca="1">Dashboard!B$8* Dashboard!$F$4+Dashboard!B$10*SQRT(Dashboard!$F$4) * _xlfn.NORM.S.INV(RAND())</f>
        <v>-5.171788500175524E-2</v>
      </c>
      <c r="T1708" s="59">
        <f ca="1">Dashboard!C$8* Dashboard!$F$4+Dashboard!C$10*SQRT(Dashboard!$F$4) * _xlfn.NORM.S.INV(RAND())</f>
        <v>3.6529669661775406E-2</v>
      </c>
      <c r="U1708" s="59">
        <f ca="1">Dashboard!D$8* Dashboard!$F$4+Dashboard!D$10*SQRT(Dashboard!$F$4) * _xlfn.NORM.S.INV(RAND())</f>
        <v>-5.3136050147349838E-2</v>
      </c>
    </row>
    <row r="1709" spans="18:21" x14ac:dyDescent="0.2">
      <c r="R1709" s="49">
        <v>1707</v>
      </c>
      <c r="S1709" s="59">
        <f ca="1">Dashboard!B$8* Dashboard!$F$4+Dashboard!B$10*SQRT(Dashboard!$F$4) * _xlfn.NORM.S.INV(RAND())</f>
        <v>2.4172398790858259E-2</v>
      </c>
      <c r="T1709" s="59">
        <f ca="1">Dashboard!C$8* Dashboard!$F$4+Dashboard!C$10*SQRT(Dashboard!$F$4) * _xlfn.NORM.S.INV(RAND())</f>
        <v>4.3206374321588199E-2</v>
      </c>
      <c r="U1709" s="59">
        <f ca="1">Dashboard!D$8* Dashboard!$F$4+Dashboard!D$10*SQRT(Dashboard!$F$4) * _xlfn.NORM.S.INV(RAND())</f>
        <v>-2.2254906117156019E-3</v>
      </c>
    </row>
    <row r="1710" spans="18:21" x14ac:dyDescent="0.2">
      <c r="R1710" s="49">
        <v>1708</v>
      </c>
      <c r="S1710" s="59">
        <f ca="1">Dashboard!B$8* Dashboard!$F$4+Dashboard!B$10*SQRT(Dashboard!$F$4) * _xlfn.NORM.S.INV(RAND())</f>
        <v>5.8729034031629684E-2</v>
      </c>
      <c r="T1710" s="59">
        <f ca="1">Dashboard!C$8* Dashboard!$F$4+Dashboard!C$10*SQRT(Dashboard!$F$4) * _xlfn.NORM.S.INV(RAND())</f>
        <v>-1.95146359830221E-2</v>
      </c>
      <c r="U1710" s="59">
        <f ca="1">Dashboard!D$8* Dashboard!$F$4+Dashboard!D$10*SQRT(Dashboard!$F$4) * _xlfn.NORM.S.INV(RAND())</f>
        <v>-2.8193895768818698E-3</v>
      </c>
    </row>
    <row r="1711" spans="18:21" x14ac:dyDescent="0.2">
      <c r="R1711" s="49">
        <v>1709</v>
      </c>
      <c r="S1711" s="59">
        <f ca="1">Dashboard!B$8* Dashboard!$F$4+Dashboard!B$10*SQRT(Dashboard!$F$4) * _xlfn.NORM.S.INV(RAND())</f>
        <v>2.3596477461538368E-2</v>
      </c>
      <c r="T1711" s="59">
        <f ca="1">Dashboard!C$8* Dashboard!$F$4+Dashboard!C$10*SQRT(Dashboard!$F$4) * _xlfn.NORM.S.INV(RAND())</f>
        <v>5.6027580288925474E-2</v>
      </c>
      <c r="U1711" s="59">
        <f ca="1">Dashboard!D$8* Dashboard!$F$4+Dashboard!D$10*SQRT(Dashboard!$F$4) * _xlfn.NORM.S.INV(RAND())</f>
        <v>-2.8862719734999188E-2</v>
      </c>
    </row>
    <row r="1712" spans="18:21" x14ac:dyDescent="0.2">
      <c r="R1712" s="49">
        <v>1710</v>
      </c>
      <c r="S1712" s="59">
        <f ca="1">Dashboard!B$8* Dashboard!$F$4+Dashboard!B$10*SQRT(Dashboard!$F$4) * _xlfn.NORM.S.INV(RAND())</f>
        <v>1.92806112322619E-2</v>
      </c>
      <c r="T1712" s="59">
        <f ca="1">Dashboard!C$8* Dashboard!$F$4+Dashboard!C$10*SQRT(Dashboard!$F$4) * _xlfn.NORM.S.INV(RAND())</f>
        <v>1.6253998769415814E-2</v>
      </c>
      <c r="U1712" s="59">
        <f ca="1">Dashboard!D$8* Dashboard!$F$4+Dashboard!D$10*SQRT(Dashboard!$F$4) * _xlfn.NORM.S.INV(RAND())</f>
        <v>7.0383587775783643E-2</v>
      </c>
    </row>
    <row r="1713" spans="18:21" x14ac:dyDescent="0.2">
      <c r="R1713" s="49">
        <v>1711</v>
      </c>
      <c r="S1713" s="59">
        <f ca="1">Dashboard!B$8* Dashboard!$F$4+Dashboard!B$10*SQRT(Dashboard!$F$4) * _xlfn.NORM.S.INV(RAND())</f>
        <v>-2.9322107918920648E-2</v>
      </c>
      <c r="T1713" s="59">
        <f ca="1">Dashboard!C$8* Dashboard!$F$4+Dashboard!C$10*SQRT(Dashboard!$F$4) * _xlfn.NORM.S.INV(RAND())</f>
        <v>-2.2815886928183312E-2</v>
      </c>
      <c r="U1713" s="59">
        <f ca="1">Dashboard!D$8* Dashboard!$F$4+Dashboard!D$10*SQRT(Dashboard!$F$4) * _xlfn.NORM.S.INV(RAND())</f>
        <v>2.9820360019826471E-2</v>
      </c>
    </row>
    <row r="1714" spans="18:21" x14ac:dyDescent="0.2">
      <c r="R1714" s="49">
        <v>1712</v>
      </c>
      <c r="S1714" s="59">
        <f ca="1">Dashboard!B$8* Dashboard!$F$4+Dashboard!B$10*SQRT(Dashboard!$F$4) * _xlfn.NORM.S.INV(RAND())</f>
        <v>-2.5987464650511057E-2</v>
      </c>
      <c r="T1714" s="59">
        <f ca="1">Dashboard!C$8* Dashboard!$F$4+Dashboard!C$10*SQRT(Dashboard!$F$4) * _xlfn.NORM.S.INV(RAND())</f>
        <v>3.9919727608872198E-2</v>
      </c>
      <c r="U1714" s="59">
        <f ca="1">Dashboard!D$8* Dashboard!$F$4+Dashboard!D$10*SQRT(Dashboard!$F$4) * _xlfn.NORM.S.INV(RAND())</f>
        <v>5.8174834216571908E-2</v>
      </c>
    </row>
    <row r="1715" spans="18:21" x14ac:dyDescent="0.2">
      <c r="R1715" s="49">
        <v>1713</v>
      </c>
      <c r="S1715" s="59">
        <f ca="1">Dashboard!B$8* Dashboard!$F$4+Dashboard!B$10*SQRT(Dashboard!$F$4) * _xlfn.NORM.S.INV(RAND())</f>
        <v>3.3595008025835579E-2</v>
      </c>
      <c r="T1715" s="59">
        <f ca="1">Dashboard!C$8* Dashboard!$F$4+Dashboard!C$10*SQRT(Dashboard!$F$4) * _xlfn.NORM.S.INV(RAND())</f>
        <v>1.6414695879868553E-2</v>
      </c>
      <c r="U1715" s="59">
        <f ca="1">Dashboard!D$8* Dashboard!$F$4+Dashboard!D$10*SQRT(Dashboard!$F$4) * _xlfn.NORM.S.INV(RAND())</f>
        <v>8.3163563460237913E-2</v>
      </c>
    </row>
    <row r="1716" spans="18:21" x14ac:dyDescent="0.2">
      <c r="R1716" s="49">
        <v>1714</v>
      </c>
      <c r="S1716" s="59">
        <f ca="1">Dashboard!B$8* Dashboard!$F$4+Dashboard!B$10*SQRT(Dashboard!$F$4) * _xlfn.NORM.S.INV(RAND())</f>
        <v>-1.3775588716948995E-2</v>
      </c>
      <c r="T1716" s="59">
        <f ca="1">Dashboard!C$8* Dashboard!$F$4+Dashboard!C$10*SQRT(Dashboard!$F$4) * _xlfn.NORM.S.INV(RAND())</f>
        <v>-3.7594709133460968E-2</v>
      </c>
      <c r="U1716" s="59">
        <f ca="1">Dashboard!D$8* Dashboard!$F$4+Dashboard!D$10*SQRT(Dashboard!$F$4) * _xlfn.NORM.S.INV(RAND())</f>
        <v>-4.2033605147642275E-3</v>
      </c>
    </row>
    <row r="1717" spans="18:21" x14ac:dyDescent="0.2">
      <c r="R1717" s="49">
        <v>1715</v>
      </c>
      <c r="S1717" s="59">
        <f ca="1">Dashboard!B$8* Dashboard!$F$4+Dashboard!B$10*SQRT(Dashboard!$F$4) * _xlfn.NORM.S.INV(RAND())</f>
        <v>1.7337568942721149E-2</v>
      </c>
      <c r="T1717" s="59">
        <f ca="1">Dashboard!C$8* Dashboard!$F$4+Dashboard!C$10*SQRT(Dashboard!$F$4) * _xlfn.NORM.S.INV(RAND())</f>
        <v>-3.9035780490960107E-3</v>
      </c>
      <c r="U1717" s="59">
        <f ca="1">Dashboard!D$8* Dashboard!$F$4+Dashboard!D$10*SQRT(Dashboard!$F$4) * _xlfn.NORM.S.INV(RAND())</f>
        <v>2.0897115768858904E-2</v>
      </c>
    </row>
    <row r="1718" spans="18:21" x14ac:dyDescent="0.2">
      <c r="R1718" s="49">
        <v>1716</v>
      </c>
      <c r="S1718" s="59">
        <f ca="1">Dashboard!B$8* Dashboard!$F$4+Dashboard!B$10*SQRT(Dashboard!$F$4) * _xlfn.NORM.S.INV(RAND())</f>
        <v>6.4894857588516063E-3</v>
      </c>
      <c r="T1718" s="59">
        <f ca="1">Dashboard!C$8* Dashboard!$F$4+Dashboard!C$10*SQRT(Dashboard!$F$4) * _xlfn.NORM.S.INV(RAND())</f>
        <v>-6.0523548243785127E-2</v>
      </c>
      <c r="U1718" s="59">
        <f ca="1">Dashboard!D$8* Dashboard!$F$4+Dashboard!D$10*SQRT(Dashboard!$F$4) * _xlfn.NORM.S.INV(RAND())</f>
        <v>-6.0295778077423166E-2</v>
      </c>
    </row>
    <row r="1719" spans="18:21" x14ac:dyDescent="0.2">
      <c r="R1719" s="49">
        <v>1717</v>
      </c>
      <c r="S1719" s="59">
        <f ca="1">Dashboard!B$8* Dashboard!$F$4+Dashboard!B$10*SQRT(Dashboard!$F$4) * _xlfn.NORM.S.INV(RAND())</f>
        <v>6.1870597008121114E-2</v>
      </c>
      <c r="T1719" s="59">
        <f ca="1">Dashboard!C$8* Dashboard!$F$4+Dashboard!C$10*SQRT(Dashboard!$F$4) * _xlfn.NORM.S.INV(RAND())</f>
        <v>-1.3282549154892364E-2</v>
      </c>
      <c r="U1719" s="59">
        <f ca="1">Dashboard!D$8* Dashboard!$F$4+Dashboard!D$10*SQRT(Dashboard!$F$4) * _xlfn.NORM.S.INV(RAND())</f>
        <v>-1.6872970237122142E-3</v>
      </c>
    </row>
    <row r="1720" spans="18:21" x14ac:dyDescent="0.2">
      <c r="R1720" s="49">
        <v>1718</v>
      </c>
      <c r="S1720" s="59">
        <f ca="1">Dashboard!B$8* Dashboard!$F$4+Dashboard!B$10*SQRT(Dashboard!$F$4) * _xlfn.NORM.S.INV(RAND())</f>
        <v>5.0527373399169191E-2</v>
      </c>
      <c r="T1720" s="59">
        <f ca="1">Dashboard!C$8* Dashboard!$F$4+Dashboard!C$10*SQRT(Dashboard!$F$4) * _xlfn.NORM.S.INV(RAND())</f>
        <v>-2.1164018201976081E-2</v>
      </c>
      <c r="U1720" s="59">
        <f ca="1">Dashboard!D$8* Dashboard!$F$4+Dashboard!D$10*SQRT(Dashboard!$F$4) * _xlfn.NORM.S.INV(RAND())</f>
        <v>-9.4744698336340534E-3</v>
      </c>
    </row>
    <row r="1721" spans="18:21" x14ac:dyDescent="0.2">
      <c r="R1721" s="49">
        <v>1719</v>
      </c>
      <c r="S1721" s="59">
        <f ca="1">Dashboard!B$8* Dashboard!$F$4+Dashboard!B$10*SQRT(Dashboard!$F$4) * _xlfn.NORM.S.INV(RAND())</f>
        <v>-1.0665980368972396E-2</v>
      </c>
      <c r="T1721" s="59">
        <f ca="1">Dashboard!C$8* Dashboard!$F$4+Dashboard!C$10*SQRT(Dashboard!$F$4) * _xlfn.NORM.S.INV(RAND())</f>
        <v>2.7910667590558037E-2</v>
      </c>
      <c r="U1721" s="59">
        <f ca="1">Dashboard!D$8* Dashboard!$F$4+Dashboard!D$10*SQRT(Dashboard!$F$4) * _xlfn.NORM.S.INV(RAND())</f>
        <v>-2.3177739758462251E-2</v>
      </c>
    </row>
    <row r="1722" spans="18:21" x14ac:dyDescent="0.2">
      <c r="R1722" s="49">
        <v>1720</v>
      </c>
      <c r="S1722" s="59">
        <f ca="1">Dashboard!B$8* Dashboard!$F$4+Dashboard!B$10*SQRT(Dashboard!$F$4) * _xlfn.NORM.S.INV(RAND())</f>
        <v>-7.5019267302993853E-2</v>
      </c>
      <c r="T1722" s="59">
        <f ca="1">Dashboard!C$8* Dashboard!$F$4+Dashboard!C$10*SQRT(Dashboard!$F$4) * _xlfn.NORM.S.INV(RAND())</f>
        <v>2.048585362891055E-2</v>
      </c>
      <c r="U1722" s="59">
        <f ca="1">Dashboard!D$8* Dashboard!$F$4+Dashboard!D$10*SQRT(Dashboard!$F$4) * _xlfn.NORM.S.INV(RAND())</f>
        <v>3.5305987443711974E-2</v>
      </c>
    </row>
    <row r="1723" spans="18:21" x14ac:dyDescent="0.2">
      <c r="R1723" s="49">
        <v>1721</v>
      </c>
      <c r="S1723" s="59">
        <f ca="1">Dashboard!B$8* Dashboard!$F$4+Dashboard!B$10*SQRT(Dashboard!$F$4) * _xlfn.NORM.S.INV(RAND())</f>
        <v>-8.864495130442334E-3</v>
      </c>
      <c r="T1723" s="59">
        <f ca="1">Dashboard!C$8* Dashboard!$F$4+Dashboard!C$10*SQRT(Dashboard!$F$4) * _xlfn.NORM.S.INV(RAND())</f>
        <v>6.7169810922534864E-2</v>
      </c>
      <c r="U1723" s="59">
        <f ca="1">Dashboard!D$8* Dashboard!$F$4+Dashboard!D$10*SQRT(Dashboard!$F$4) * _xlfn.NORM.S.INV(RAND())</f>
        <v>-2.6615200828619845E-2</v>
      </c>
    </row>
    <row r="1724" spans="18:21" x14ac:dyDescent="0.2">
      <c r="R1724" s="49">
        <v>1722</v>
      </c>
      <c r="S1724" s="59">
        <f ca="1">Dashboard!B$8* Dashboard!$F$4+Dashboard!B$10*SQRT(Dashboard!$F$4) * _xlfn.NORM.S.INV(RAND())</f>
        <v>-1.348846671664226E-2</v>
      </c>
      <c r="T1724" s="59">
        <f ca="1">Dashboard!C$8* Dashboard!$F$4+Dashboard!C$10*SQRT(Dashboard!$F$4) * _xlfn.NORM.S.INV(RAND())</f>
        <v>6.1186779777466878E-3</v>
      </c>
      <c r="U1724" s="59">
        <f ca="1">Dashboard!D$8* Dashboard!$F$4+Dashboard!D$10*SQRT(Dashboard!$F$4) * _xlfn.NORM.S.INV(RAND())</f>
        <v>-1.4003212019826709E-2</v>
      </c>
    </row>
    <row r="1725" spans="18:21" x14ac:dyDescent="0.2">
      <c r="R1725" s="49">
        <v>1723</v>
      </c>
      <c r="S1725" s="59">
        <f ca="1">Dashboard!B$8* Dashboard!$F$4+Dashboard!B$10*SQRT(Dashboard!$F$4) * _xlfn.NORM.S.INV(RAND())</f>
        <v>-2.7658277007704103E-2</v>
      </c>
      <c r="T1725" s="59">
        <f ca="1">Dashboard!C$8* Dashboard!$F$4+Dashboard!C$10*SQRT(Dashboard!$F$4) * _xlfn.NORM.S.INV(RAND())</f>
        <v>1.1847863180605734E-2</v>
      </c>
      <c r="U1725" s="59">
        <f ca="1">Dashboard!D$8* Dashboard!$F$4+Dashboard!D$10*SQRT(Dashboard!$F$4) * _xlfn.NORM.S.INV(RAND())</f>
        <v>1.2666169314549437E-2</v>
      </c>
    </row>
    <row r="1726" spans="18:21" x14ac:dyDescent="0.2">
      <c r="R1726" s="49">
        <v>1724</v>
      </c>
      <c r="S1726" s="59">
        <f ca="1">Dashboard!B$8* Dashboard!$F$4+Dashboard!B$10*SQRT(Dashboard!$F$4) * _xlfn.NORM.S.INV(RAND())</f>
        <v>3.1866117584978336E-2</v>
      </c>
      <c r="T1726" s="59">
        <f ca="1">Dashboard!C$8* Dashboard!$F$4+Dashboard!C$10*SQRT(Dashboard!$F$4) * _xlfn.NORM.S.INV(RAND())</f>
        <v>5.2650540672142636E-2</v>
      </c>
      <c r="U1726" s="59">
        <f ca="1">Dashboard!D$8* Dashboard!$F$4+Dashboard!D$10*SQRT(Dashboard!$F$4) * _xlfn.NORM.S.INV(RAND())</f>
        <v>3.5327798887992614E-3</v>
      </c>
    </row>
    <row r="1727" spans="18:21" x14ac:dyDescent="0.2">
      <c r="R1727" s="49">
        <v>1725</v>
      </c>
      <c r="S1727" s="59">
        <f ca="1">Dashboard!B$8* Dashboard!$F$4+Dashboard!B$10*SQRT(Dashboard!$F$4) * _xlfn.NORM.S.INV(RAND())</f>
        <v>7.7230574754985001E-3</v>
      </c>
      <c r="T1727" s="59">
        <f ca="1">Dashboard!C$8* Dashboard!$F$4+Dashboard!C$10*SQRT(Dashboard!$F$4) * _xlfn.NORM.S.INV(RAND())</f>
        <v>-5.1938847570562391E-3</v>
      </c>
      <c r="U1727" s="59">
        <f ca="1">Dashboard!D$8* Dashboard!$F$4+Dashboard!D$10*SQRT(Dashboard!$F$4) * _xlfn.NORM.S.INV(RAND())</f>
        <v>-3.8229933543754473E-2</v>
      </c>
    </row>
    <row r="1728" spans="18:21" x14ac:dyDescent="0.2">
      <c r="R1728" s="49">
        <v>1726</v>
      </c>
      <c r="S1728" s="59">
        <f ca="1">Dashboard!B$8* Dashboard!$F$4+Dashboard!B$10*SQRT(Dashboard!$F$4) * _xlfn.NORM.S.INV(RAND())</f>
        <v>-2.992813156618182E-2</v>
      </c>
      <c r="T1728" s="59">
        <f ca="1">Dashboard!C$8* Dashboard!$F$4+Dashboard!C$10*SQRT(Dashboard!$F$4) * _xlfn.NORM.S.INV(RAND())</f>
        <v>1.3167308123003377E-2</v>
      </c>
      <c r="U1728" s="59">
        <f ca="1">Dashboard!D$8* Dashboard!$F$4+Dashboard!D$10*SQRT(Dashboard!$F$4) * _xlfn.NORM.S.INV(RAND())</f>
        <v>2.5333609754155894E-2</v>
      </c>
    </row>
    <row r="1729" spans="18:21" x14ac:dyDescent="0.2">
      <c r="R1729" s="49">
        <v>1727</v>
      </c>
      <c r="S1729" s="59">
        <f ca="1">Dashboard!B$8* Dashboard!$F$4+Dashboard!B$10*SQRT(Dashboard!$F$4) * _xlfn.NORM.S.INV(RAND())</f>
        <v>5.6540363385698442E-2</v>
      </c>
      <c r="T1729" s="59">
        <f ca="1">Dashboard!C$8* Dashboard!$F$4+Dashboard!C$10*SQRT(Dashboard!$F$4) * _xlfn.NORM.S.INV(RAND())</f>
        <v>-7.5686940504356296E-3</v>
      </c>
      <c r="U1729" s="59">
        <f ca="1">Dashboard!D$8* Dashboard!$F$4+Dashboard!D$10*SQRT(Dashboard!$F$4) * _xlfn.NORM.S.INV(RAND())</f>
        <v>-1.652135004291962E-2</v>
      </c>
    </row>
    <row r="1730" spans="18:21" x14ac:dyDescent="0.2">
      <c r="R1730" s="49">
        <v>1728</v>
      </c>
      <c r="S1730" s="59">
        <f ca="1">Dashboard!B$8* Dashboard!$F$4+Dashboard!B$10*SQRT(Dashboard!$F$4) * _xlfn.NORM.S.INV(RAND())</f>
        <v>5.2930469248554421E-2</v>
      </c>
      <c r="T1730" s="59">
        <f ca="1">Dashboard!C$8* Dashboard!$F$4+Dashboard!C$10*SQRT(Dashboard!$F$4) * _xlfn.NORM.S.INV(RAND())</f>
        <v>-3.4620021666280483E-2</v>
      </c>
      <c r="U1730" s="59">
        <f ca="1">Dashboard!D$8* Dashboard!$F$4+Dashboard!D$10*SQRT(Dashboard!$F$4) * _xlfn.NORM.S.INV(RAND())</f>
        <v>-1.6544900726178865E-2</v>
      </c>
    </row>
    <row r="1731" spans="18:21" x14ac:dyDescent="0.2">
      <c r="R1731" s="49">
        <v>1729</v>
      </c>
      <c r="S1731" s="59">
        <f ca="1">Dashboard!B$8* Dashboard!$F$4+Dashboard!B$10*SQRT(Dashboard!$F$4) * _xlfn.NORM.S.INV(RAND())</f>
        <v>-1.1264689186267388E-2</v>
      </c>
      <c r="T1731" s="59">
        <f ca="1">Dashboard!C$8* Dashboard!$F$4+Dashboard!C$10*SQRT(Dashboard!$F$4) * _xlfn.NORM.S.INV(RAND())</f>
        <v>-4.28518601401967E-2</v>
      </c>
      <c r="U1731" s="59">
        <f ca="1">Dashboard!D$8* Dashboard!$F$4+Dashboard!D$10*SQRT(Dashboard!$F$4) * _xlfn.NORM.S.INV(RAND())</f>
        <v>3.1686402221849687E-2</v>
      </c>
    </row>
    <row r="1732" spans="18:21" x14ac:dyDescent="0.2">
      <c r="R1732" s="49">
        <v>1730</v>
      </c>
      <c r="S1732" s="59">
        <f ca="1">Dashboard!B$8* Dashboard!$F$4+Dashboard!B$10*SQRT(Dashboard!$F$4) * _xlfn.NORM.S.INV(RAND())</f>
        <v>6.2754770818602094E-3</v>
      </c>
      <c r="T1732" s="59">
        <f ca="1">Dashboard!C$8* Dashboard!$F$4+Dashboard!C$10*SQRT(Dashboard!$F$4) * _xlfn.NORM.S.INV(RAND())</f>
        <v>5.4697494370586741E-2</v>
      </c>
      <c r="U1732" s="59">
        <f ca="1">Dashboard!D$8* Dashboard!$F$4+Dashboard!D$10*SQRT(Dashboard!$F$4) * _xlfn.NORM.S.INV(RAND())</f>
        <v>-3.3260640103729297E-2</v>
      </c>
    </row>
    <row r="1733" spans="18:21" x14ac:dyDescent="0.2">
      <c r="R1733" s="49">
        <v>1731</v>
      </c>
      <c r="S1733" s="59">
        <f ca="1">Dashboard!B$8* Dashboard!$F$4+Dashboard!B$10*SQRT(Dashboard!$F$4) * _xlfn.NORM.S.INV(RAND())</f>
        <v>7.4810761599579445E-2</v>
      </c>
      <c r="T1733" s="59">
        <f ca="1">Dashboard!C$8* Dashboard!$F$4+Dashboard!C$10*SQRT(Dashboard!$F$4) * _xlfn.NORM.S.INV(RAND())</f>
        <v>3.9909593687815648E-3</v>
      </c>
      <c r="U1733" s="59">
        <f ca="1">Dashboard!D$8* Dashboard!$F$4+Dashboard!D$10*SQRT(Dashboard!$F$4) * _xlfn.NORM.S.INV(RAND())</f>
        <v>-1.0472422813579192E-2</v>
      </c>
    </row>
    <row r="1734" spans="18:21" x14ac:dyDescent="0.2">
      <c r="R1734" s="49">
        <v>1732</v>
      </c>
      <c r="S1734" s="59">
        <f ca="1">Dashboard!B$8* Dashboard!$F$4+Dashboard!B$10*SQRT(Dashboard!$F$4) * _xlfn.NORM.S.INV(RAND())</f>
        <v>-2.5146273337471207E-2</v>
      </c>
      <c r="T1734" s="59">
        <f ca="1">Dashboard!C$8* Dashboard!$F$4+Dashboard!C$10*SQRT(Dashboard!$F$4) * _xlfn.NORM.S.INV(RAND())</f>
        <v>3.0818297457439671E-2</v>
      </c>
      <c r="U1734" s="59">
        <f ca="1">Dashboard!D$8* Dashboard!$F$4+Dashboard!D$10*SQRT(Dashboard!$F$4) * _xlfn.NORM.S.INV(RAND())</f>
        <v>-2.3448248457192445E-2</v>
      </c>
    </row>
    <row r="1735" spans="18:21" x14ac:dyDescent="0.2">
      <c r="R1735" s="49">
        <v>1733</v>
      </c>
      <c r="S1735" s="59">
        <f ca="1">Dashboard!B$8* Dashboard!$F$4+Dashboard!B$10*SQRT(Dashboard!$F$4) * _xlfn.NORM.S.INV(RAND())</f>
        <v>1.8173426993015565E-2</v>
      </c>
      <c r="T1735" s="59">
        <f ca="1">Dashboard!C$8* Dashboard!$F$4+Dashboard!C$10*SQRT(Dashboard!$F$4) * _xlfn.NORM.S.INV(RAND())</f>
        <v>-7.4852572319880706E-3</v>
      </c>
      <c r="U1735" s="59">
        <f ca="1">Dashboard!D$8* Dashboard!$F$4+Dashboard!D$10*SQRT(Dashboard!$F$4) * _xlfn.NORM.S.INV(RAND())</f>
        <v>1.8586691475129206E-2</v>
      </c>
    </row>
    <row r="1736" spans="18:21" x14ac:dyDescent="0.2">
      <c r="R1736" s="49">
        <v>1734</v>
      </c>
      <c r="S1736" s="59">
        <f ca="1">Dashboard!B$8* Dashboard!$F$4+Dashboard!B$10*SQRT(Dashboard!$F$4) * _xlfn.NORM.S.INV(RAND())</f>
        <v>-9.571657689281015E-3</v>
      </c>
      <c r="T1736" s="59">
        <f ca="1">Dashboard!C$8* Dashboard!$F$4+Dashboard!C$10*SQRT(Dashboard!$F$4) * _xlfn.NORM.S.INV(RAND())</f>
        <v>-2.3485030815003569E-2</v>
      </c>
      <c r="U1736" s="59">
        <f ca="1">Dashboard!D$8* Dashboard!$F$4+Dashboard!D$10*SQRT(Dashboard!$F$4) * _xlfn.NORM.S.INV(RAND())</f>
        <v>1.5867265314146801E-2</v>
      </c>
    </row>
    <row r="1737" spans="18:21" x14ac:dyDescent="0.2">
      <c r="R1737" s="49">
        <v>1735</v>
      </c>
      <c r="S1737" s="59">
        <f ca="1">Dashboard!B$8* Dashboard!$F$4+Dashboard!B$10*SQRT(Dashboard!$F$4) * _xlfn.NORM.S.INV(RAND())</f>
        <v>-2.9224013413962781E-2</v>
      </c>
      <c r="T1737" s="59">
        <f ca="1">Dashboard!C$8* Dashboard!$F$4+Dashboard!C$10*SQRT(Dashboard!$F$4) * _xlfn.NORM.S.INV(RAND())</f>
        <v>-7.8859260623860297E-2</v>
      </c>
      <c r="U1737" s="59">
        <f ca="1">Dashboard!D$8* Dashboard!$F$4+Dashboard!D$10*SQRT(Dashboard!$F$4) * _xlfn.NORM.S.INV(RAND())</f>
        <v>-1.4639518208941205E-2</v>
      </c>
    </row>
    <row r="1738" spans="18:21" x14ac:dyDescent="0.2">
      <c r="R1738" s="49">
        <v>1736</v>
      </c>
      <c r="S1738" s="59">
        <f ca="1">Dashboard!B$8* Dashboard!$F$4+Dashboard!B$10*SQRT(Dashboard!$F$4) * _xlfn.NORM.S.INV(RAND())</f>
        <v>2.6749802850299098E-2</v>
      </c>
      <c r="T1738" s="59">
        <f ca="1">Dashboard!C$8* Dashboard!$F$4+Dashboard!C$10*SQRT(Dashboard!$F$4) * _xlfn.NORM.S.INV(RAND())</f>
        <v>-2.6778889931540064E-2</v>
      </c>
      <c r="U1738" s="59">
        <f ca="1">Dashboard!D$8* Dashboard!$F$4+Dashboard!D$10*SQRT(Dashboard!$F$4) * _xlfn.NORM.S.INV(RAND())</f>
        <v>8.1974289135386142E-3</v>
      </c>
    </row>
    <row r="1739" spans="18:21" x14ac:dyDescent="0.2">
      <c r="R1739" s="49">
        <v>1737</v>
      </c>
      <c r="S1739" s="59">
        <f ca="1">Dashboard!B$8* Dashboard!$F$4+Dashboard!B$10*SQRT(Dashboard!$F$4) * _xlfn.NORM.S.INV(RAND())</f>
        <v>6.3940816043996304E-2</v>
      </c>
      <c r="T1739" s="59">
        <f ca="1">Dashboard!C$8* Dashboard!$F$4+Dashboard!C$10*SQRT(Dashboard!$F$4) * _xlfn.NORM.S.INV(RAND())</f>
        <v>5.605160919220889E-2</v>
      </c>
      <c r="U1739" s="59">
        <f ca="1">Dashboard!D$8* Dashboard!$F$4+Dashboard!D$10*SQRT(Dashboard!$F$4) * _xlfn.NORM.S.INV(RAND())</f>
        <v>2.4800456927291509E-2</v>
      </c>
    </row>
    <row r="1740" spans="18:21" x14ac:dyDescent="0.2">
      <c r="R1740" s="49">
        <v>1738</v>
      </c>
      <c r="S1740" s="59">
        <f ca="1">Dashboard!B$8* Dashboard!$F$4+Dashboard!B$10*SQRT(Dashboard!$F$4) * _xlfn.NORM.S.INV(RAND())</f>
        <v>-1.3083365404354503E-2</v>
      </c>
      <c r="T1740" s="59">
        <f ca="1">Dashboard!C$8* Dashboard!$F$4+Dashboard!C$10*SQRT(Dashboard!$F$4) * _xlfn.NORM.S.INV(RAND())</f>
        <v>1.7759641415201782E-2</v>
      </c>
      <c r="U1740" s="59">
        <f ca="1">Dashboard!D$8* Dashboard!$F$4+Dashboard!D$10*SQRT(Dashboard!$F$4) * _xlfn.NORM.S.INV(RAND())</f>
        <v>8.0234252233264876E-4</v>
      </c>
    </row>
    <row r="1741" spans="18:21" x14ac:dyDescent="0.2">
      <c r="R1741" s="49">
        <v>1739</v>
      </c>
      <c r="S1741" s="59">
        <f ca="1">Dashboard!B$8* Dashboard!$F$4+Dashboard!B$10*SQRT(Dashboard!$F$4) * _xlfn.NORM.S.INV(RAND())</f>
        <v>-5.8573775635927484E-3</v>
      </c>
      <c r="T1741" s="59">
        <f ca="1">Dashboard!C$8* Dashboard!$F$4+Dashboard!C$10*SQRT(Dashboard!$F$4) * _xlfn.NORM.S.INV(RAND())</f>
        <v>3.3790752490067584E-3</v>
      </c>
      <c r="U1741" s="59">
        <f ca="1">Dashboard!D$8* Dashboard!$F$4+Dashboard!D$10*SQRT(Dashboard!$F$4) * _xlfn.NORM.S.INV(RAND())</f>
        <v>-3.2938233311368581E-2</v>
      </c>
    </row>
    <row r="1742" spans="18:21" x14ac:dyDescent="0.2">
      <c r="R1742" s="49">
        <v>1740</v>
      </c>
      <c r="S1742" s="59">
        <f ca="1">Dashboard!B$8* Dashboard!$F$4+Dashboard!B$10*SQRT(Dashboard!$F$4) * _xlfn.NORM.S.INV(RAND())</f>
        <v>-3.0781214086661499E-2</v>
      </c>
      <c r="T1742" s="59">
        <f ca="1">Dashboard!C$8* Dashboard!$F$4+Dashboard!C$10*SQRT(Dashboard!$F$4) * _xlfn.NORM.S.INV(RAND())</f>
        <v>3.7786312651162564E-2</v>
      </c>
      <c r="U1742" s="59">
        <f ca="1">Dashboard!D$8* Dashboard!$F$4+Dashboard!D$10*SQRT(Dashboard!$F$4) * _xlfn.NORM.S.INV(RAND())</f>
        <v>-2.8952383616278027E-2</v>
      </c>
    </row>
    <row r="1743" spans="18:21" x14ac:dyDescent="0.2">
      <c r="R1743" s="49">
        <v>1741</v>
      </c>
      <c r="S1743" s="59">
        <f ca="1">Dashboard!B$8* Dashboard!$F$4+Dashboard!B$10*SQRT(Dashboard!$F$4) * _xlfn.NORM.S.INV(RAND())</f>
        <v>4.8770132260465046E-2</v>
      </c>
      <c r="T1743" s="59">
        <f ca="1">Dashboard!C$8* Dashboard!$F$4+Dashboard!C$10*SQRT(Dashboard!$F$4) * _xlfn.NORM.S.INV(RAND())</f>
        <v>-8.3012615352783085E-3</v>
      </c>
      <c r="U1743" s="59">
        <f ca="1">Dashboard!D$8* Dashboard!$F$4+Dashboard!D$10*SQRT(Dashboard!$F$4) * _xlfn.NORM.S.INV(RAND())</f>
        <v>3.4669861346665262E-2</v>
      </c>
    </row>
    <row r="1744" spans="18:21" x14ac:dyDescent="0.2">
      <c r="R1744" s="49">
        <v>1742</v>
      </c>
      <c r="S1744" s="59">
        <f ca="1">Dashboard!B$8* Dashboard!$F$4+Dashboard!B$10*SQRT(Dashboard!$F$4) * _xlfn.NORM.S.INV(RAND())</f>
        <v>-1.3861659638340098E-2</v>
      </c>
      <c r="T1744" s="59">
        <f ca="1">Dashboard!C$8* Dashboard!$F$4+Dashboard!C$10*SQRT(Dashboard!$F$4) * _xlfn.NORM.S.INV(RAND())</f>
        <v>6.2321784294215379E-2</v>
      </c>
      <c r="U1744" s="59">
        <f ca="1">Dashboard!D$8* Dashboard!$F$4+Dashboard!D$10*SQRT(Dashboard!$F$4) * _xlfn.NORM.S.INV(RAND())</f>
        <v>1.6077090771919839E-2</v>
      </c>
    </row>
    <row r="1745" spans="18:21" x14ac:dyDescent="0.2">
      <c r="R1745" s="49">
        <v>1743</v>
      </c>
      <c r="S1745" s="59">
        <f ca="1">Dashboard!B$8* Dashboard!$F$4+Dashboard!B$10*SQRT(Dashboard!$F$4) * _xlfn.NORM.S.INV(RAND())</f>
        <v>-7.4461378065627908E-3</v>
      </c>
      <c r="T1745" s="59">
        <f ca="1">Dashboard!C$8* Dashboard!$F$4+Dashboard!C$10*SQRT(Dashboard!$F$4) * _xlfn.NORM.S.INV(RAND())</f>
        <v>2.8169171128728252E-3</v>
      </c>
      <c r="U1745" s="59">
        <f ca="1">Dashboard!D$8* Dashboard!$F$4+Dashboard!D$10*SQRT(Dashboard!$F$4) * _xlfn.NORM.S.INV(RAND())</f>
        <v>-6.0751196471724229E-2</v>
      </c>
    </row>
    <row r="1746" spans="18:21" x14ac:dyDescent="0.2">
      <c r="R1746" s="49">
        <v>1744</v>
      </c>
      <c r="S1746" s="59">
        <f ca="1">Dashboard!B$8* Dashboard!$F$4+Dashboard!B$10*SQRT(Dashboard!$F$4) * _xlfn.NORM.S.INV(RAND())</f>
        <v>-3.3849097496181091E-2</v>
      </c>
      <c r="T1746" s="59">
        <f ca="1">Dashboard!C$8* Dashboard!$F$4+Dashboard!C$10*SQRT(Dashboard!$F$4) * _xlfn.NORM.S.INV(RAND())</f>
        <v>-2.1777170223500345E-2</v>
      </c>
      <c r="U1746" s="59">
        <f ca="1">Dashboard!D$8* Dashboard!$F$4+Dashboard!D$10*SQRT(Dashboard!$F$4) * _xlfn.NORM.S.INV(RAND())</f>
        <v>1.7904922570831833E-2</v>
      </c>
    </row>
    <row r="1747" spans="18:21" x14ac:dyDescent="0.2">
      <c r="R1747" s="49">
        <v>1745</v>
      </c>
      <c r="S1747" s="59">
        <f ca="1">Dashboard!B$8* Dashboard!$F$4+Dashboard!B$10*SQRT(Dashboard!$F$4) * _xlfn.NORM.S.INV(RAND())</f>
        <v>-5.3248755484352088E-2</v>
      </c>
      <c r="T1747" s="59">
        <f ca="1">Dashboard!C$8* Dashboard!$F$4+Dashboard!C$10*SQRT(Dashboard!$F$4) * _xlfn.NORM.S.INV(RAND())</f>
        <v>9.0830112264604981E-3</v>
      </c>
      <c r="U1747" s="59">
        <f ca="1">Dashboard!D$8* Dashboard!$F$4+Dashboard!D$10*SQRT(Dashboard!$F$4) * _xlfn.NORM.S.INV(RAND())</f>
        <v>1.2353778486884929E-2</v>
      </c>
    </row>
    <row r="1748" spans="18:21" x14ac:dyDescent="0.2">
      <c r="R1748" s="49">
        <v>1746</v>
      </c>
      <c r="S1748" s="59">
        <f ca="1">Dashboard!B$8* Dashboard!$F$4+Dashboard!B$10*SQRT(Dashboard!$F$4) * _xlfn.NORM.S.INV(RAND())</f>
        <v>2.760180527523487E-2</v>
      </c>
      <c r="T1748" s="59">
        <f ca="1">Dashboard!C$8* Dashboard!$F$4+Dashboard!C$10*SQRT(Dashboard!$F$4) * _xlfn.NORM.S.INV(RAND())</f>
        <v>2.6757854919219975E-2</v>
      </c>
      <c r="U1748" s="59">
        <f ca="1">Dashboard!D$8* Dashboard!$F$4+Dashboard!D$10*SQRT(Dashboard!$F$4) * _xlfn.NORM.S.INV(RAND())</f>
        <v>3.8888402813238833E-2</v>
      </c>
    </row>
    <row r="1749" spans="18:21" x14ac:dyDescent="0.2">
      <c r="R1749" s="49">
        <v>1747</v>
      </c>
      <c r="S1749" s="59">
        <f ca="1">Dashboard!B$8* Dashboard!$F$4+Dashboard!B$10*SQRT(Dashboard!$F$4) * _xlfn.NORM.S.INV(RAND())</f>
        <v>-4.6459664180306955E-2</v>
      </c>
      <c r="T1749" s="59">
        <f ca="1">Dashboard!C$8* Dashboard!$F$4+Dashboard!C$10*SQRT(Dashboard!$F$4) * _xlfn.NORM.S.INV(RAND())</f>
        <v>3.9398599928289479E-2</v>
      </c>
      <c r="U1749" s="59">
        <f ca="1">Dashboard!D$8* Dashboard!$F$4+Dashboard!D$10*SQRT(Dashboard!$F$4) * _xlfn.NORM.S.INV(RAND())</f>
        <v>2.1176722243820851E-2</v>
      </c>
    </row>
    <row r="1750" spans="18:21" x14ac:dyDescent="0.2">
      <c r="R1750" s="49">
        <v>1748</v>
      </c>
      <c r="S1750" s="59">
        <f ca="1">Dashboard!B$8* Dashboard!$F$4+Dashboard!B$10*SQRT(Dashboard!$F$4) * _xlfn.NORM.S.INV(RAND())</f>
        <v>4.7420657940186475E-2</v>
      </c>
      <c r="T1750" s="59">
        <f ca="1">Dashboard!C$8* Dashboard!$F$4+Dashboard!C$10*SQRT(Dashboard!$F$4) * _xlfn.NORM.S.INV(RAND())</f>
        <v>1.1366250581228088E-2</v>
      </c>
      <c r="U1750" s="59">
        <f ca="1">Dashboard!D$8* Dashboard!$F$4+Dashboard!D$10*SQRT(Dashboard!$F$4) * _xlfn.NORM.S.INV(RAND())</f>
        <v>1.7837335423914125E-2</v>
      </c>
    </row>
    <row r="1751" spans="18:21" x14ac:dyDescent="0.2">
      <c r="R1751" s="49">
        <v>1749</v>
      </c>
      <c r="S1751" s="59">
        <f ca="1">Dashboard!B$8* Dashboard!$F$4+Dashboard!B$10*SQRT(Dashboard!$F$4) * _xlfn.NORM.S.INV(RAND())</f>
        <v>8.8449002680463535E-3</v>
      </c>
      <c r="T1751" s="59">
        <f ca="1">Dashboard!C$8* Dashboard!$F$4+Dashboard!C$10*SQRT(Dashboard!$F$4) * _xlfn.NORM.S.INV(RAND())</f>
        <v>-1.8968686694844404E-3</v>
      </c>
      <c r="U1751" s="59">
        <f ca="1">Dashboard!D$8* Dashboard!$F$4+Dashboard!D$10*SQRT(Dashboard!$F$4) * _xlfn.NORM.S.INV(RAND())</f>
        <v>-1.841119864222112E-2</v>
      </c>
    </row>
    <row r="1752" spans="18:21" x14ac:dyDescent="0.2">
      <c r="R1752" s="49">
        <v>1750</v>
      </c>
      <c r="S1752" s="59">
        <f ca="1">Dashboard!B$8* Dashboard!$F$4+Dashboard!B$10*SQRT(Dashboard!$F$4) * _xlfn.NORM.S.INV(RAND())</f>
        <v>-2.2772423409116942E-2</v>
      </c>
      <c r="T1752" s="59">
        <f ca="1">Dashboard!C$8* Dashboard!$F$4+Dashboard!C$10*SQRT(Dashboard!$F$4) * _xlfn.NORM.S.INV(RAND())</f>
        <v>3.086689118812104E-2</v>
      </c>
      <c r="U1752" s="59">
        <f ca="1">Dashboard!D$8* Dashboard!$F$4+Dashboard!D$10*SQRT(Dashboard!$F$4) * _xlfn.NORM.S.INV(RAND())</f>
        <v>1.0220627032914576E-3</v>
      </c>
    </row>
    <row r="1753" spans="18:21" x14ac:dyDescent="0.2">
      <c r="R1753" s="49">
        <v>1751</v>
      </c>
      <c r="S1753" s="59">
        <f ca="1">Dashboard!B$8* Dashboard!$F$4+Dashboard!B$10*SQRT(Dashboard!$F$4) * _xlfn.NORM.S.INV(RAND())</f>
        <v>2.1286070037420696E-2</v>
      </c>
      <c r="T1753" s="59">
        <f ca="1">Dashboard!C$8* Dashboard!$F$4+Dashboard!C$10*SQRT(Dashboard!$F$4) * _xlfn.NORM.S.INV(RAND())</f>
        <v>-1.0773620877560557E-2</v>
      </c>
      <c r="U1753" s="59">
        <f ca="1">Dashboard!D$8* Dashboard!$F$4+Dashboard!D$10*SQRT(Dashboard!$F$4) * _xlfn.NORM.S.INV(RAND())</f>
        <v>2.6458305332844725E-2</v>
      </c>
    </row>
    <row r="1754" spans="18:21" x14ac:dyDescent="0.2">
      <c r="R1754" s="49">
        <v>1752</v>
      </c>
      <c r="S1754" s="59">
        <f ca="1">Dashboard!B$8* Dashboard!$F$4+Dashboard!B$10*SQRT(Dashboard!$F$4) * _xlfn.NORM.S.INV(RAND())</f>
        <v>-3.8413536757466026E-2</v>
      </c>
      <c r="T1754" s="59">
        <f ca="1">Dashboard!C$8* Dashboard!$F$4+Dashboard!C$10*SQRT(Dashboard!$F$4) * _xlfn.NORM.S.INV(RAND())</f>
        <v>-3.9564390961925024E-2</v>
      </c>
      <c r="U1754" s="59">
        <f ca="1">Dashboard!D$8* Dashboard!$F$4+Dashboard!D$10*SQRT(Dashboard!$F$4) * _xlfn.NORM.S.INV(RAND())</f>
        <v>3.012476978171327E-2</v>
      </c>
    </row>
    <row r="1755" spans="18:21" x14ac:dyDescent="0.2">
      <c r="R1755" s="49">
        <v>1753</v>
      </c>
      <c r="S1755" s="59">
        <f ca="1">Dashboard!B$8* Dashboard!$F$4+Dashboard!B$10*SQRT(Dashboard!$F$4) * _xlfn.NORM.S.INV(RAND())</f>
        <v>-4.2864469700199699E-3</v>
      </c>
      <c r="T1755" s="59">
        <f ca="1">Dashboard!C$8* Dashboard!$F$4+Dashboard!C$10*SQRT(Dashboard!$F$4) * _xlfn.NORM.S.INV(RAND())</f>
        <v>7.8957572452559827E-2</v>
      </c>
      <c r="U1755" s="59">
        <f ca="1">Dashboard!D$8* Dashboard!$F$4+Dashboard!D$10*SQRT(Dashboard!$F$4) * _xlfn.NORM.S.INV(RAND())</f>
        <v>-6.106350209715531E-2</v>
      </c>
    </row>
    <row r="1756" spans="18:21" x14ac:dyDescent="0.2">
      <c r="R1756" s="49">
        <v>1754</v>
      </c>
      <c r="S1756" s="59">
        <f ca="1">Dashboard!B$8* Dashboard!$F$4+Dashboard!B$10*SQRT(Dashboard!$F$4) * _xlfn.NORM.S.INV(RAND())</f>
        <v>-3.8850872169715223E-2</v>
      </c>
      <c r="T1756" s="59">
        <f ca="1">Dashboard!C$8* Dashboard!$F$4+Dashboard!C$10*SQRT(Dashboard!$F$4) * _xlfn.NORM.S.INV(RAND())</f>
        <v>-3.0910539269228928E-2</v>
      </c>
      <c r="U1756" s="59">
        <f ca="1">Dashboard!D$8* Dashboard!$F$4+Dashboard!D$10*SQRT(Dashboard!$F$4) * _xlfn.NORM.S.INV(RAND())</f>
        <v>3.0161436136252277E-2</v>
      </c>
    </row>
    <row r="1757" spans="18:21" x14ac:dyDescent="0.2">
      <c r="R1757" s="49">
        <v>1755</v>
      </c>
      <c r="S1757" s="59">
        <f ca="1">Dashboard!B$8* Dashboard!$F$4+Dashboard!B$10*SQRT(Dashboard!$F$4) * _xlfn.NORM.S.INV(RAND())</f>
        <v>1.8433606278737164E-2</v>
      </c>
      <c r="T1757" s="59">
        <f ca="1">Dashboard!C$8* Dashboard!$F$4+Dashboard!C$10*SQRT(Dashboard!$F$4) * _xlfn.NORM.S.INV(RAND())</f>
        <v>-4.1840949236606412E-3</v>
      </c>
      <c r="U1757" s="59">
        <f ca="1">Dashboard!D$8* Dashboard!$F$4+Dashboard!D$10*SQRT(Dashboard!$F$4) * _xlfn.NORM.S.INV(RAND())</f>
        <v>-1.749814812602761E-2</v>
      </c>
    </row>
    <row r="1758" spans="18:21" x14ac:dyDescent="0.2">
      <c r="R1758" s="49">
        <v>1756</v>
      </c>
      <c r="S1758" s="59">
        <f ca="1">Dashboard!B$8* Dashboard!$F$4+Dashboard!B$10*SQRT(Dashboard!$F$4) * _xlfn.NORM.S.INV(RAND())</f>
        <v>-8.5365965754852294E-3</v>
      </c>
      <c r="T1758" s="59">
        <f ca="1">Dashboard!C$8* Dashboard!$F$4+Dashboard!C$10*SQRT(Dashboard!$F$4) * _xlfn.NORM.S.INV(RAND())</f>
        <v>-5.3504793895768288E-2</v>
      </c>
      <c r="U1758" s="59">
        <f ca="1">Dashboard!D$8* Dashboard!$F$4+Dashboard!D$10*SQRT(Dashboard!$F$4) * _xlfn.NORM.S.INV(RAND())</f>
        <v>3.8216331711919925E-3</v>
      </c>
    </row>
    <row r="1759" spans="18:21" x14ac:dyDescent="0.2">
      <c r="R1759" s="49">
        <v>1757</v>
      </c>
      <c r="S1759" s="59">
        <f ca="1">Dashboard!B$8* Dashboard!$F$4+Dashboard!B$10*SQRT(Dashboard!$F$4) * _xlfn.NORM.S.INV(RAND())</f>
        <v>-4.4535340961163995E-2</v>
      </c>
      <c r="T1759" s="59">
        <f ca="1">Dashboard!C$8* Dashboard!$F$4+Dashboard!C$10*SQRT(Dashboard!$F$4) * _xlfn.NORM.S.INV(RAND())</f>
        <v>2.3507485750621764E-2</v>
      </c>
      <c r="U1759" s="59">
        <f ca="1">Dashboard!D$8* Dashboard!$F$4+Dashboard!D$10*SQRT(Dashboard!$F$4) * _xlfn.NORM.S.INV(RAND())</f>
        <v>1.5594155891152879E-2</v>
      </c>
    </row>
    <row r="1760" spans="18:21" x14ac:dyDescent="0.2">
      <c r="R1760" s="49">
        <v>1758</v>
      </c>
      <c r="S1760" s="59">
        <f ca="1">Dashboard!B$8* Dashboard!$F$4+Dashboard!B$10*SQRT(Dashboard!$F$4) * _xlfn.NORM.S.INV(RAND())</f>
        <v>2.4328321808827682E-3</v>
      </c>
      <c r="T1760" s="59">
        <f ca="1">Dashboard!C$8* Dashboard!$F$4+Dashboard!C$10*SQRT(Dashboard!$F$4) * _xlfn.NORM.S.INV(RAND())</f>
        <v>1.5389986741279709E-2</v>
      </c>
      <c r="U1760" s="59">
        <f ca="1">Dashboard!D$8* Dashboard!$F$4+Dashboard!D$10*SQRT(Dashboard!$F$4) * _xlfn.NORM.S.INV(RAND())</f>
        <v>3.7123816991693837E-3</v>
      </c>
    </row>
    <row r="1761" spans="18:21" x14ac:dyDescent="0.2">
      <c r="R1761" s="49">
        <v>1759</v>
      </c>
      <c r="S1761" s="59">
        <f ca="1">Dashboard!B$8* Dashboard!$F$4+Dashboard!B$10*SQRT(Dashboard!$F$4) * _xlfn.NORM.S.INV(RAND())</f>
        <v>2.4779902122556589E-2</v>
      </c>
      <c r="T1761" s="59">
        <f ca="1">Dashboard!C$8* Dashboard!$F$4+Dashboard!C$10*SQRT(Dashboard!$F$4) * _xlfn.NORM.S.INV(RAND())</f>
        <v>-4.4352771837180812E-3</v>
      </c>
      <c r="U1761" s="59">
        <f ca="1">Dashboard!D$8* Dashboard!$F$4+Dashboard!D$10*SQRT(Dashboard!$F$4) * _xlfn.NORM.S.INV(RAND())</f>
        <v>2.404545271848842E-2</v>
      </c>
    </row>
    <row r="1762" spans="18:21" x14ac:dyDescent="0.2">
      <c r="R1762" s="49">
        <v>1760</v>
      </c>
      <c r="S1762" s="59">
        <f ca="1">Dashboard!B$8* Dashboard!$F$4+Dashboard!B$10*SQRT(Dashboard!$F$4) * _xlfn.NORM.S.INV(RAND())</f>
        <v>-2.5910160280753623E-2</v>
      </c>
      <c r="T1762" s="59">
        <f ca="1">Dashboard!C$8* Dashboard!$F$4+Dashboard!C$10*SQRT(Dashboard!$F$4) * _xlfn.NORM.S.INV(RAND())</f>
        <v>-8.9220401449801347E-3</v>
      </c>
      <c r="U1762" s="59">
        <f ca="1">Dashboard!D$8* Dashboard!$F$4+Dashboard!D$10*SQRT(Dashboard!$F$4) * _xlfn.NORM.S.INV(RAND())</f>
        <v>1.5169763546361891E-2</v>
      </c>
    </row>
    <row r="1763" spans="18:21" x14ac:dyDescent="0.2">
      <c r="R1763" s="49">
        <v>1761</v>
      </c>
      <c r="S1763" s="59">
        <f ca="1">Dashboard!B$8* Dashboard!$F$4+Dashboard!B$10*SQRT(Dashboard!$F$4) * _xlfn.NORM.S.INV(RAND())</f>
        <v>-3.2003510639508612E-2</v>
      </c>
      <c r="T1763" s="59">
        <f ca="1">Dashboard!C$8* Dashboard!$F$4+Dashboard!C$10*SQRT(Dashboard!$F$4) * _xlfn.NORM.S.INV(RAND())</f>
        <v>2.2960130727189932E-2</v>
      </c>
      <c r="U1763" s="59">
        <f ca="1">Dashboard!D$8* Dashboard!$F$4+Dashboard!D$10*SQRT(Dashboard!$F$4) * _xlfn.NORM.S.INV(RAND())</f>
        <v>3.6627466766550459E-2</v>
      </c>
    </row>
    <row r="1764" spans="18:21" x14ac:dyDescent="0.2">
      <c r="R1764" s="49">
        <v>1762</v>
      </c>
      <c r="S1764" s="59">
        <f ca="1">Dashboard!B$8* Dashboard!$F$4+Dashboard!B$10*SQRT(Dashboard!$F$4) * _xlfn.NORM.S.INV(RAND())</f>
        <v>2.1941381919516702E-2</v>
      </c>
      <c r="T1764" s="59">
        <f ca="1">Dashboard!C$8* Dashboard!$F$4+Dashboard!C$10*SQRT(Dashboard!$F$4) * _xlfn.NORM.S.INV(RAND())</f>
        <v>-5.6793462492706837E-2</v>
      </c>
      <c r="U1764" s="59">
        <f ca="1">Dashboard!D$8* Dashboard!$F$4+Dashboard!D$10*SQRT(Dashboard!$F$4) * _xlfn.NORM.S.INV(RAND())</f>
        <v>-1.4309496929499987E-2</v>
      </c>
    </row>
    <row r="1765" spans="18:21" x14ac:dyDescent="0.2">
      <c r="R1765" s="49">
        <v>1763</v>
      </c>
      <c r="S1765" s="59">
        <f ca="1">Dashboard!B$8* Dashboard!$F$4+Dashboard!B$10*SQRT(Dashboard!$F$4) * _xlfn.NORM.S.INV(RAND())</f>
        <v>7.4093960399424993E-3</v>
      </c>
      <c r="T1765" s="59">
        <f ca="1">Dashboard!C$8* Dashboard!$F$4+Dashboard!C$10*SQRT(Dashboard!$F$4) * _xlfn.NORM.S.INV(RAND())</f>
        <v>-2.6911141641701452E-2</v>
      </c>
      <c r="U1765" s="59">
        <f ca="1">Dashboard!D$8* Dashboard!$F$4+Dashboard!D$10*SQRT(Dashboard!$F$4) * _xlfn.NORM.S.INV(RAND())</f>
        <v>-3.7270578296407147E-2</v>
      </c>
    </row>
    <row r="1766" spans="18:21" x14ac:dyDescent="0.2">
      <c r="R1766" s="49">
        <v>1764</v>
      </c>
      <c r="S1766" s="59">
        <f ca="1">Dashboard!B$8* Dashboard!$F$4+Dashboard!B$10*SQRT(Dashboard!$F$4) * _xlfn.NORM.S.INV(RAND())</f>
        <v>8.1451768017102768E-3</v>
      </c>
      <c r="T1766" s="59">
        <f ca="1">Dashboard!C$8* Dashboard!$F$4+Dashboard!C$10*SQRT(Dashboard!$F$4) * _xlfn.NORM.S.INV(RAND())</f>
        <v>7.7937075064739639E-4</v>
      </c>
      <c r="U1766" s="59">
        <f ca="1">Dashboard!D$8* Dashboard!$F$4+Dashboard!D$10*SQRT(Dashboard!$F$4) * _xlfn.NORM.S.INV(RAND())</f>
        <v>-6.2574558787169415E-3</v>
      </c>
    </row>
    <row r="1767" spans="18:21" x14ac:dyDescent="0.2">
      <c r="R1767" s="49">
        <v>1765</v>
      </c>
      <c r="S1767" s="59">
        <f ca="1">Dashboard!B$8* Dashboard!$F$4+Dashboard!B$10*SQRT(Dashboard!$F$4) * _xlfn.NORM.S.INV(RAND())</f>
        <v>-5.0133097451373058E-2</v>
      </c>
      <c r="T1767" s="59">
        <f ca="1">Dashboard!C$8* Dashboard!$F$4+Dashboard!C$10*SQRT(Dashboard!$F$4) * _xlfn.NORM.S.INV(RAND())</f>
        <v>-3.3735512999252752E-2</v>
      </c>
      <c r="U1767" s="59">
        <f ca="1">Dashboard!D$8* Dashboard!$F$4+Dashboard!D$10*SQRT(Dashboard!$F$4) * _xlfn.NORM.S.INV(RAND())</f>
        <v>6.2736296581904572E-3</v>
      </c>
    </row>
    <row r="1768" spans="18:21" x14ac:dyDescent="0.2">
      <c r="R1768" s="49">
        <v>1766</v>
      </c>
      <c r="S1768" s="59">
        <f ca="1">Dashboard!B$8* Dashboard!$F$4+Dashboard!B$10*SQRT(Dashboard!$F$4) * _xlfn.NORM.S.INV(RAND())</f>
        <v>-3.9008676591144327E-2</v>
      </c>
      <c r="T1768" s="59">
        <f ca="1">Dashboard!C$8* Dashboard!$F$4+Dashboard!C$10*SQRT(Dashboard!$F$4) * _xlfn.NORM.S.INV(RAND())</f>
        <v>2.2081821729613826E-2</v>
      </c>
      <c r="U1768" s="59">
        <f ca="1">Dashboard!D$8* Dashboard!$F$4+Dashboard!D$10*SQRT(Dashboard!$F$4) * _xlfn.NORM.S.INV(RAND())</f>
        <v>-1.9691022987980943E-2</v>
      </c>
    </row>
    <row r="1769" spans="18:21" x14ac:dyDescent="0.2">
      <c r="R1769" s="49">
        <v>1767</v>
      </c>
      <c r="S1769" s="59">
        <f ca="1">Dashboard!B$8* Dashboard!$F$4+Dashboard!B$10*SQRT(Dashboard!$F$4) * _xlfn.NORM.S.INV(RAND())</f>
        <v>1.2407186412444758E-2</v>
      </c>
      <c r="T1769" s="59">
        <f ca="1">Dashboard!C$8* Dashboard!$F$4+Dashboard!C$10*SQRT(Dashboard!$F$4) * _xlfn.NORM.S.INV(RAND())</f>
        <v>-5.140903027298923E-2</v>
      </c>
      <c r="U1769" s="59">
        <f ca="1">Dashboard!D$8* Dashboard!$F$4+Dashboard!D$10*SQRT(Dashboard!$F$4) * _xlfn.NORM.S.INV(RAND())</f>
        <v>4.6011345970155722E-2</v>
      </c>
    </row>
    <row r="1770" spans="18:21" x14ac:dyDescent="0.2">
      <c r="R1770" s="49">
        <v>1768</v>
      </c>
      <c r="S1770" s="59">
        <f ca="1">Dashboard!B$8* Dashboard!$F$4+Dashboard!B$10*SQRT(Dashboard!$F$4) * _xlfn.NORM.S.INV(RAND())</f>
        <v>1.3772600900194016E-4</v>
      </c>
      <c r="T1770" s="59">
        <f ca="1">Dashboard!C$8* Dashboard!$F$4+Dashboard!C$10*SQRT(Dashboard!$F$4) * _xlfn.NORM.S.INV(RAND())</f>
        <v>-2.5662442839836153E-2</v>
      </c>
      <c r="U1770" s="59">
        <f ca="1">Dashboard!D$8* Dashboard!$F$4+Dashboard!D$10*SQRT(Dashboard!$F$4) * _xlfn.NORM.S.INV(RAND())</f>
        <v>7.4618847929565401E-3</v>
      </c>
    </row>
    <row r="1771" spans="18:21" x14ac:dyDescent="0.2">
      <c r="R1771" s="49">
        <v>1769</v>
      </c>
      <c r="S1771" s="59">
        <f ca="1">Dashboard!B$8* Dashboard!$F$4+Dashboard!B$10*SQRT(Dashboard!$F$4) * _xlfn.NORM.S.INV(RAND())</f>
        <v>2.0187140484435755E-2</v>
      </c>
      <c r="T1771" s="59">
        <f ca="1">Dashboard!C$8* Dashboard!$F$4+Dashboard!C$10*SQRT(Dashboard!$F$4) * _xlfn.NORM.S.INV(RAND())</f>
        <v>-6.1345484013329695E-3</v>
      </c>
      <c r="U1771" s="59">
        <f ca="1">Dashboard!D$8* Dashboard!$F$4+Dashboard!D$10*SQRT(Dashboard!$F$4) * _xlfn.NORM.S.INV(RAND())</f>
        <v>-3.1017920499823423E-2</v>
      </c>
    </row>
    <row r="1772" spans="18:21" x14ac:dyDescent="0.2">
      <c r="R1772" s="49">
        <v>1770</v>
      </c>
      <c r="S1772" s="59">
        <f ca="1">Dashboard!B$8* Dashboard!$F$4+Dashboard!B$10*SQRT(Dashboard!$F$4) * _xlfn.NORM.S.INV(RAND())</f>
        <v>-1.7953556751905592E-2</v>
      </c>
      <c r="T1772" s="59">
        <f ca="1">Dashboard!C$8* Dashboard!$F$4+Dashboard!C$10*SQRT(Dashboard!$F$4) * _xlfn.NORM.S.INV(RAND())</f>
        <v>-1.9902457742278839E-3</v>
      </c>
      <c r="U1772" s="59">
        <f ca="1">Dashboard!D$8* Dashboard!$F$4+Dashboard!D$10*SQRT(Dashboard!$F$4) * _xlfn.NORM.S.INV(RAND())</f>
        <v>-1.6794576646511458E-2</v>
      </c>
    </row>
    <row r="1773" spans="18:21" x14ac:dyDescent="0.2">
      <c r="R1773" s="49">
        <v>1771</v>
      </c>
      <c r="S1773" s="59">
        <f ca="1">Dashboard!B$8* Dashboard!$F$4+Dashboard!B$10*SQRT(Dashboard!$F$4) * _xlfn.NORM.S.INV(RAND())</f>
        <v>-2.5678188662057608E-2</v>
      </c>
      <c r="T1773" s="59">
        <f ca="1">Dashboard!C$8* Dashboard!$F$4+Dashboard!C$10*SQRT(Dashboard!$F$4) * _xlfn.NORM.S.INV(RAND())</f>
        <v>-1.712505276234135E-3</v>
      </c>
      <c r="U1773" s="59">
        <f ca="1">Dashboard!D$8* Dashboard!$F$4+Dashboard!D$10*SQRT(Dashboard!$F$4) * _xlfn.NORM.S.INV(RAND())</f>
        <v>-1.4652188716392655E-2</v>
      </c>
    </row>
    <row r="1774" spans="18:21" x14ac:dyDescent="0.2">
      <c r="R1774" s="49">
        <v>1772</v>
      </c>
      <c r="S1774" s="59">
        <f ca="1">Dashboard!B$8* Dashboard!$F$4+Dashboard!B$10*SQRT(Dashboard!$F$4) * _xlfn.NORM.S.INV(RAND())</f>
        <v>-3.626210338172251E-3</v>
      </c>
      <c r="T1774" s="59">
        <f ca="1">Dashboard!C$8* Dashboard!$F$4+Dashboard!C$10*SQRT(Dashboard!$F$4) * _xlfn.NORM.S.INV(RAND())</f>
        <v>5.6991046885485168E-3</v>
      </c>
      <c r="U1774" s="59">
        <f ca="1">Dashboard!D$8* Dashboard!$F$4+Dashboard!D$10*SQRT(Dashboard!$F$4) * _xlfn.NORM.S.INV(RAND())</f>
        <v>7.6250734132376095E-3</v>
      </c>
    </row>
    <row r="1775" spans="18:21" x14ac:dyDescent="0.2">
      <c r="R1775" s="49">
        <v>1773</v>
      </c>
      <c r="S1775" s="59">
        <f ca="1">Dashboard!B$8* Dashboard!$F$4+Dashboard!B$10*SQRT(Dashboard!$F$4) * _xlfn.NORM.S.INV(RAND())</f>
        <v>-9.2235406668639691E-3</v>
      </c>
      <c r="T1775" s="59">
        <f ca="1">Dashboard!C$8* Dashboard!$F$4+Dashboard!C$10*SQRT(Dashboard!$F$4) * _xlfn.NORM.S.INV(RAND())</f>
        <v>2.6125613800840834E-3</v>
      </c>
      <c r="U1775" s="59">
        <f ca="1">Dashboard!D$8* Dashboard!$F$4+Dashboard!D$10*SQRT(Dashboard!$F$4) * _xlfn.NORM.S.INV(RAND())</f>
        <v>-2.2746873859022462E-2</v>
      </c>
    </row>
    <row r="1776" spans="18:21" x14ac:dyDescent="0.2">
      <c r="R1776" s="49">
        <v>1774</v>
      </c>
      <c r="S1776" s="59">
        <f ca="1">Dashboard!B$8* Dashboard!$F$4+Dashboard!B$10*SQRT(Dashboard!$F$4) * _xlfn.NORM.S.INV(RAND())</f>
        <v>-3.5311306277325781E-2</v>
      </c>
      <c r="T1776" s="59">
        <f ca="1">Dashboard!C$8* Dashboard!$F$4+Dashboard!C$10*SQRT(Dashboard!$F$4) * _xlfn.NORM.S.INV(RAND())</f>
        <v>-2.2414842692046657E-3</v>
      </c>
      <c r="U1776" s="59">
        <f ca="1">Dashboard!D$8* Dashboard!$F$4+Dashboard!D$10*SQRT(Dashboard!$F$4) * _xlfn.NORM.S.INV(RAND())</f>
        <v>1.9973226225473161E-2</v>
      </c>
    </row>
    <row r="1777" spans="18:21" x14ac:dyDescent="0.2">
      <c r="R1777" s="49">
        <v>1775</v>
      </c>
      <c r="S1777" s="59">
        <f ca="1">Dashboard!B$8* Dashboard!$F$4+Dashboard!B$10*SQRT(Dashboard!$F$4) * _xlfn.NORM.S.INV(RAND())</f>
        <v>-7.7080311387812614E-3</v>
      </c>
      <c r="T1777" s="59">
        <f ca="1">Dashboard!C$8* Dashboard!$F$4+Dashboard!C$10*SQRT(Dashboard!$F$4) * _xlfn.NORM.S.INV(RAND())</f>
        <v>-7.6115398036912071E-2</v>
      </c>
      <c r="U1777" s="59">
        <f ca="1">Dashboard!D$8* Dashboard!$F$4+Dashboard!D$10*SQRT(Dashboard!$F$4) * _xlfn.NORM.S.INV(RAND())</f>
        <v>-4.7871175911015432E-2</v>
      </c>
    </row>
    <row r="1778" spans="18:21" x14ac:dyDescent="0.2">
      <c r="R1778" s="49">
        <v>1776</v>
      </c>
      <c r="S1778" s="59">
        <f ca="1">Dashboard!B$8* Dashboard!$F$4+Dashboard!B$10*SQRT(Dashboard!$F$4) * _xlfn.NORM.S.INV(RAND())</f>
        <v>-2.4726035956757118E-2</v>
      </c>
      <c r="T1778" s="59">
        <f ca="1">Dashboard!C$8* Dashboard!$F$4+Dashboard!C$10*SQRT(Dashboard!$F$4) * _xlfn.NORM.S.INV(RAND())</f>
        <v>2.364518318214253E-2</v>
      </c>
      <c r="U1778" s="59">
        <f ca="1">Dashboard!D$8* Dashboard!$F$4+Dashboard!D$10*SQRT(Dashboard!$F$4) * _xlfn.NORM.S.INV(RAND())</f>
        <v>6.4136967086876273E-2</v>
      </c>
    </row>
    <row r="1779" spans="18:21" x14ac:dyDescent="0.2">
      <c r="R1779" s="49">
        <v>1777</v>
      </c>
      <c r="S1779" s="59">
        <f ca="1">Dashboard!B$8* Dashboard!$F$4+Dashboard!B$10*SQRT(Dashboard!$F$4) * _xlfn.NORM.S.INV(RAND())</f>
        <v>-2.7497883024061032E-2</v>
      </c>
      <c r="T1779" s="59">
        <f ca="1">Dashboard!C$8* Dashboard!$F$4+Dashboard!C$10*SQRT(Dashboard!$F$4) * _xlfn.NORM.S.INV(RAND())</f>
        <v>2.287662598711326E-2</v>
      </c>
      <c r="U1779" s="59">
        <f ca="1">Dashboard!D$8* Dashboard!$F$4+Dashboard!D$10*SQRT(Dashboard!$F$4) * _xlfn.NORM.S.INV(RAND())</f>
        <v>-3.072754134395075E-2</v>
      </c>
    </row>
    <row r="1780" spans="18:21" x14ac:dyDescent="0.2">
      <c r="R1780" s="49">
        <v>1778</v>
      </c>
      <c r="S1780" s="59">
        <f ca="1">Dashboard!B$8* Dashboard!$F$4+Dashboard!B$10*SQRT(Dashboard!$F$4) * _xlfn.NORM.S.INV(RAND())</f>
        <v>-1.6677011806089079E-2</v>
      </c>
      <c r="T1780" s="59">
        <f ca="1">Dashboard!C$8* Dashboard!$F$4+Dashboard!C$10*SQRT(Dashboard!$F$4) * _xlfn.NORM.S.INV(RAND())</f>
        <v>1.9814776320965656E-2</v>
      </c>
      <c r="U1780" s="59">
        <f ca="1">Dashboard!D$8* Dashboard!$F$4+Dashboard!D$10*SQRT(Dashboard!$F$4) * _xlfn.NORM.S.INV(RAND())</f>
        <v>-5.0732278476003975E-3</v>
      </c>
    </row>
    <row r="1781" spans="18:21" x14ac:dyDescent="0.2">
      <c r="R1781" s="49">
        <v>1779</v>
      </c>
      <c r="S1781" s="59">
        <f ca="1">Dashboard!B$8* Dashboard!$F$4+Dashboard!B$10*SQRT(Dashboard!$F$4) * _xlfn.NORM.S.INV(RAND())</f>
        <v>-4.2122504528867136E-2</v>
      </c>
      <c r="T1781" s="59">
        <f ca="1">Dashboard!C$8* Dashboard!$F$4+Dashboard!C$10*SQRT(Dashboard!$F$4) * _xlfn.NORM.S.INV(RAND())</f>
        <v>3.2203263593561453E-2</v>
      </c>
      <c r="U1781" s="59">
        <f ca="1">Dashboard!D$8* Dashboard!$F$4+Dashboard!D$10*SQRT(Dashboard!$F$4) * _xlfn.NORM.S.INV(RAND())</f>
        <v>-4.9918923380630727E-3</v>
      </c>
    </row>
    <row r="1782" spans="18:21" x14ac:dyDescent="0.2">
      <c r="R1782" s="49">
        <v>1780</v>
      </c>
      <c r="S1782" s="59">
        <f ca="1">Dashboard!B$8* Dashboard!$F$4+Dashboard!B$10*SQRT(Dashboard!$F$4) * _xlfn.NORM.S.INV(RAND())</f>
        <v>5.9267003746391426E-3</v>
      </c>
      <c r="T1782" s="59">
        <f ca="1">Dashboard!C$8* Dashboard!$F$4+Dashboard!C$10*SQRT(Dashboard!$F$4) * _xlfn.NORM.S.INV(RAND())</f>
        <v>2.3479654210840657E-2</v>
      </c>
      <c r="U1782" s="59">
        <f ca="1">Dashboard!D$8* Dashboard!$F$4+Dashboard!D$10*SQRT(Dashboard!$F$4) * _xlfn.NORM.S.INV(RAND())</f>
        <v>-4.3028281719150539E-2</v>
      </c>
    </row>
    <row r="1783" spans="18:21" x14ac:dyDescent="0.2">
      <c r="R1783" s="49">
        <v>1781</v>
      </c>
      <c r="S1783" s="59">
        <f ca="1">Dashboard!B$8* Dashboard!$F$4+Dashboard!B$10*SQRT(Dashboard!$F$4) * _xlfn.NORM.S.INV(RAND())</f>
        <v>-5.0374965267301376E-3</v>
      </c>
      <c r="T1783" s="59">
        <f ca="1">Dashboard!C$8* Dashboard!$F$4+Dashboard!C$10*SQRT(Dashboard!$F$4) * _xlfn.NORM.S.INV(RAND())</f>
        <v>-6.0538298038976798E-2</v>
      </c>
      <c r="U1783" s="59">
        <f ca="1">Dashboard!D$8* Dashboard!$F$4+Dashboard!D$10*SQRT(Dashboard!$F$4) * _xlfn.NORM.S.INV(RAND())</f>
        <v>2.2813234079871975E-2</v>
      </c>
    </row>
    <row r="1784" spans="18:21" x14ac:dyDescent="0.2">
      <c r="R1784" s="49">
        <v>1782</v>
      </c>
      <c r="S1784" s="59">
        <f ca="1">Dashboard!B$8* Dashboard!$F$4+Dashboard!B$10*SQRT(Dashboard!$F$4) * _xlfn.NORM.S.INV(RAND())</f>
        <v>-2.7041379126615653E-2</v>
      </c>
      <c r="T1784" s="59">
        <f ca="1">Dashboard!C$8* Dashboard!$F$4+Dashboard!C$10*SQRT(Dashboard!$F$4) * _xlfn.NORM.S.INV(RAND())</f>
        <v>2.4597660726442667E-2</v>
      </c>
      <c r="U1784" s="59">
        <f ca="1">Dashboard!D$8* Dashboard!$F$4+Dashboard!D$10*SQRT(Dashboard!$F$4) * _xlfn.NORM.S.INV(RAND())</f>
        <v>-1.422277687117948E-2</v>
      </c>
    </row>
    <row r="1785" spans="18:21" x14ac:dyDescent="0.2">
      <c r="R1785" s="49">
        <v>1783</v>
      </c>
      <c r="S1785" s="59">
        <f ca="1">Dashboard!B$8* Dashboard!$F$4+Dashboard!B$10*SQRT(Dashboard!$F$4) * _xlfn.NORM.S.INV(RAND())</f>
        <v>4.8205069042335263E-2</v>
      </c>
      <c r="T1785" s="59">
        <f ca="1">Dashboard!C$8* Dashboard!$F$4+Dashboard!C$10*SQRT(Dashboard!$F$4) * _xlfn.NORM.S.INV(RAND())</f>
        <v>-1.400738567293518E-2</v>
      </c>
      <c r="U1785" s="59">
        <f ca="1">Dashboard!D$8* Dashboard!$F$4+Dashboard!D$10*SQRT(Dashboard!$F$4) * _xlfn.NORM.S.INV(RAND())</f>
        <v>9.5689686328731226E-3</v>
      </c>
    </row>
    <row r="1786" spans="18:21" x14ac:dyDescent="0.2">
      <c r="R1786" s="49">
        <v>1784</v>
      </c>
      <c r="S1786" s="59">
        <f ca="1">Dashboard!B$8* Dashboard!$F$4+Dashboard!B$10*SQRT(Dashboard!$F$4) * _xlfn.NORM.S.INV(RAND())</f>
        <v>-1.3639114033252988E-2</v>
      </c>
      <c r="T1786" s="59">
        <f ca="1">Dashboard!C$8* Dashboard!$F$4+Dashboard!C$10*SQRT(Dashboard!$F$4) * _xlfn.NORM.S.INV(RAND())</f>
        <v>-9.7125301141800444E-3</v>
      </c>
      <c r="U1786" s="59">
        <f ca="1">Dashboard!D$8* Dashboard!$F$4+Dashboard!D$10*SQRT(Dashboard!$F$4) * _xlfn.NORM.S.INV(RAND())</f>
        <v>-6.81589742925349E-3</v>
      </c>
    </row>
    <row r="1787" spans="18:21" x14ac:dyDescent="0.2">
      <c r="R1787" s="49">
        <v>1785</v>
      </c>
      <c r="S1787" s="59">
        <f ca="1">Dashboard!B$8* Dashboard!$F$4+Dashboard!B$10*SQRT(Dashboard!$F$4) * _xlfn.NORM.S.INV(RAND())</f>
        <v>-7.705242636067402E-3</v>
      </c>
      <c r="T1787" s="59">
        <f ca="1">Dashboard!C$8* Dashboard!$F$4+Dashboard!C$10*SQRT(Dashboard!$F$4) * _xlfn.NORM.S.INV(RAND())</f>
        <v>-3.6310257258829288E-3</v>
      </c>
      <c r="U1787" s="59">
        <f ca="1">Dashboard!D$8* Dashboard!$F$4+Dashboard!D$10*SQRT(Dashboard!$F$4) * _xlfn.NORM.S.INV(RAND())</f>
        <v>-1.8611470637463334E-2</v>
      </c>
    </row>
    <row r="1788" spans="18:21" x14ac:dyDescent="0.2">
      <c r="R1788" s="49">
        <v>1786</v>
      </c>
      <c r="S1788" s="59">
        <f ca="1">Dashboard!B$8* Dashboard!$F$4+Dashboard!B$10*SQRT(Dashboard!$F$4) * _xlfn.NORM.S.INV(RAND())</f>
        <v>-2.7577535414643591E-2</v>
      </c>
      <c r="T1788" s="59">
        <f ca="1">Dashboard!C$8* Dashboard!$F$4+Dashboard!C$10*SQRT(Dashboard!$F$4) * _xlfn.NORM.S.INV(RAND())</f>
        <v>-1.8954482675691369E-2</v>
      </c>
      <c r="U1788" s="59">
        <f ca="1">Dashboard!D$8* Dashboard!$F$4+Dashboard!D$10*SQRT(Dashboard!$F$4) * _xlfn.NORM.S.INV(RAND())</f>
        <v>1.8904840691176801E-3</v>
      </c>
    </row>
    <row r="1789" spans="18:21" x14ac:dyDescent="0.2">
      <c r="R1789" s="49">
        <v>1787</v>
      </c>
      <c r="S1789" s="59">
        <f ca="1">Dashboard!B$8* Dashboard!$F$4+Dashboard!B$10*SQRT(Dashboard!$F$4) * _xlfn.NORM.S.INV(RAND())</f>
        <v>-1.1750402814751648E-2</v>
      </c>
      <c r="T1789" s="59">
        <f ca="1">Dashboard!C$8* Dashboard!$F$4+Dashboard!C$10*SQRT(Dashboard!$F$4) * _xlfn.NORM.S.INV(RAND())</f>
        <v>1.9106585777344696E-3</v>
      </c>
      <c r="U1789" s="59">
        <f ca="1">Dashboard!D$8* Dashboard!$F$4+Dashboard!D$10*SQRT(Dashboard!$F$4) * _xlfn.NORM.S.INV(RAND())</f>
        <v>2.380750714521521E-3</v>
      </c>
    </row>
    <row r="1790" spans="18:21" x14ac:dyDescent="0.2">
      <c r="R1790" s="49">
        <v>1788</v>
      </c>
      <c r="S1790" s="59">
        <f ca="1">Dashboard!B$8* Dashboard!$F$4+Dashboard!B$10*SQRT(Dashboard!$F$4) * _xlfn.NORM.S.INV(RAND())</f>
        <v>6.7598273302661195E-4</v>
      </c>
      <c r="T1790" s="59">
        <f ca="1">Dashboard!C$8* Dashboard!$F$4+Dashboard!C$10*SQRT(Dashboard!$F$4) * _xlfn.NORM.S.INV(RAND())</f>
        <v>-7.1487648334671805E-2</v>
      </c>
      <c r="U1790" s="59">
        <f ca="1">Dashboard!D$8* Dashboard!$F$4+Dashboard!D$10*SQRT(Dashboard!$F$4) * _xlfn.NORM.S.INV(RAND())</f>
        <v>-4.7839854130964518E-2</v>
      </c>
    </row>
    <row r="1791" spans="18:21" x14ac:dyDescent="0.2">
      <c r="R1791" s="49">
        <v>1789</v>
      </c>
      <c r="S1791" s="59">
        <f ca="1">Dashboard!B$8* Dashboard!$F$4+Dashboard!B$10*SQRT(Dashboard!$F$4) * _xlfn.NORM.S.INV(RAND())</f>
        <v>-6.9640620619211765E-2</v>
      </c>
      <c r="T1791" s="59">
        <f ca="1">Dashboard!C$8* Dashboard!$F$4+Dashboard!C$10*SQRT(Dashboard!$F$4) * _xlfn.NORM.S.INV(RAND())</f>
        <v>2.4689980116032247E-2</v>
      </c>
      <c r="U1791" s="59">
        <f ca="1">Dashboard!D$8* Dashboard!$F$4+Dashboard!D$10*SQRT(Dashboard!$F$4) * _xlfn.NORM.S.INV(RAND())</f>
        <v>2.3673622315031975E-2</v>
      </c>
    </row>
    <row r="1792" spans="18:21" x14ac:dyDescent="0.2">
      <c r="R1792" s="49">
        <v>1790</v>
      </c>
      <c r="S1792" s="59">
        <f ca="1">Dashboard!B$8* Dashboard!$F$4+Dashboard!B$10*SQRT(Dashboard!$F$4) * _xlfn.NORM.S.INV(RAND())</f>
        <v>-2.5266475580000211E-5</v>
      </c>
      <c r="T1792" s="59">
        <f ca="1">Dashboard!C$8* Dashboard!$F$4+Dashboard!C$10*SQRT(Dashboard!$F$4) * _xlfn.NORM.S.INV(RAND())</f>
        <v>3.4156112061151392E-2</v>
      </c>
      <c r="U1792" s="59">
        <f ca="1">Dashboard!D$8* Dashboard!$F$4+Dashboard!D$10*SQRT(Dashboard!$F$4) * _xlfn.NORM.S.INV(RAND())</f>
        <v>2.5179601353978176E-2</v>
      </c>
    </row>
    <row r="1793" spans="18:21" x14ac:dyDescent="0.2">
      <c r="R1793" s="49">
        <v>1791</v>
      </c>
      <c r="S1793" s="59">
        <f ca="1">Dashboard!B$8* Dashboard!$F$4+Dashboard!B$10*SQRT(Dashboard!$F$4) * _xlfn.NORM.S.INV(RAND())</f>
        <v>-2.2559232004961564E-2</v>
      </c>
      <c r="T1793" s="59">
        <f ca="1">Dashboard!C$8* Dashboard!$F$4+Dashboard!C$10*SQRT(Dashboard!$F$4) * _xlfn.NORM.S.INV(RAND())</f>
        <v>-1.1429630928041595E-2</v>
      </c>
      <c r="U1793" s="59">
        <f ca="1">Dashboard!D$8* Dashboard!$F$4+Dashboard!D$10*SQRT(Dashboard!$F$4) * _xlfn.NORM.S.INV(RAND())</f>
        <v>1.6076956307813585E-3</v>
      </c>
    </row>
    <row r="1794" spans="18:21" x14ac:dyDescent="0.2">
      <c r="R1794" s="49">
        <v>1792</v>
      </c>
      <c r="S1794" s="59">
        <f ca="1">Dashboard!B$8* Dashboard!$F$4+Dashboard!B$10*SQRT(Dashboard!$F$4) * _xlfn.NORM.S.INV(RAND())</f>
        <v>-9.8262664173066113E-4</v>
      </c>
      <c r="T1794" s="59">
        <f ca="1">Dashboard!C$8* Dashboard!$F$4+Dashboard!C$10*SQRT(Dashboard!$F$4) * _xlfn.NORM.S.INV(RAND())</f>
        <v>5.7307461971590277E-2</v>
      </c>
      <c r="U1794" s="59">
        <f ca="1">Dashboard!D$8* Dashboard!$F$4+Dashboard!D$10*SQRT(Dashboard!$F$4) * _xlfn.NORM.S.INV(RAND())</f>
        <v>4.0581950190293876E-2</v>
      </c>
    </row>
    <row r="1795" spans="18:21" x14ac:dyDescent="0.2">
      <c r="R1795" s="49">
        <v>1793</v>
      </c>
      <c r="S1795" s="59">
        <f ca="1">Dashboard!B$8* Dashboard!$F$4+Dashboard!B$10*SQRT(Dashboard!$F$4) * _xlfn.NORM.S.INV(RAND())</f>
        <v>-1.3867858907497707E-2</v>
      </c>
      <c r="T1795" s="59">
        <f ca="1">Dashboard!C$8* Dashboard!$F$4+Dashboard!C$10*SQRT(Dashboard!$F$4) * _xlfn.NORM.S.INV(RAND())</f>
        <v>-4.5331424572775999E-4</v>
      </c>
      <c r="U1795" s="59">
        <f ca="1">Dashboard!D$8* Dashboard!$F$4+Dashboard!D$10*SQRT(Dashboard!$F$4) * _xlfn.NORM.S.INV(RAND())</f>
        <v>1.97081173007712E-2</v>
      </c>
    </row>
    <row r="1796" spans="18:21" x14ac:dyDescent="0.2">
      <c r="R1796" s="49">
        <v>1794</v>
      </c>
      <c r="S1796" s="59">
        <f ca="1">Dashboard!B$8* Dashboard!$F$4+Dashboard!B$10*SQRT(Dashboard!$F$4) * _xlfn.NORM.S.INV(RAND())</f>
        <v>-5.3178417597607733E-2</v>
      </c>
      <c r="T1796" s="59">
        <f ca="1">Dashboard!C$8* Dashboard!$F$4+Dashboard!C$10*SQRT(Dashboard!$F$4) * _xlfn.NORM.S.INV(RAND())</f>
        <v>-5.1847265956316418E-2</v>
      </c>
      <c r="U1796" s="59">
        <f ca="1">Dashboard!D$8* Dashboard!$F$4+Dashboard!D$10*SQRT(Dashboard!$F$4) * _xlfn.NORM.S.INV(RAND())</f>
        <v>-4.1954942462708013E-2</v>
      </c>
    </row>
    <row r="1797" spans="18:21" x14ac:dyDescent="0.2">
      <c r="R1797" s="49">
        <v>1795</v>
      </c>
      <c r="S1797" s="59">
        <f ca="1">Dashboard!B$8* Dashboard!$F$4+Dashboard!B$10*SQRT(Dashboard!$F$4) * _xlfn.NORM.S.INV(RAND())</f>
        <v>-8.0128649377448E-3</v>
      </c>
      <c r="T1797" s="59">
        <f ca="1">Dashboard!C$8* Dashboard!$F$4+Dashboard!C$10*SQRT(Dashboard!$F$4) * _xlfn.NORM.S.INV(RAND())</f>
        <v>2.8254885190622629E-2</v>
      </c>
      <c r="U1797" s="59">
        <f ca="1">Dashboard!D$8* Dashboard!$F$4+Dashboard!D$10*SQRT(Dashboard!$F$4) * _xlfn.NORM.S.INV(RAND())</f>
        <v>-6.3740688306580789E-3</v>
      </c>
    </row>
    <row r="1798" spans="18:21" x14ac:dyDescent="0.2">
      <c r="R1798" s="49">
        <v>1796</v>
      </c>
      <c r="S1798" s="59">
        <f ca="1">Dashboard!B$8* Dashboard!$F$4+Dashboard!B$10*SQRT(Dashboard!$F$4) * _xlfn.NORM.S.INV(RAND())</f>
        <v>2.4113056642831449E-2</v>
      </c>
      <c r="T1798" s="59">
        <f ca="1">Dashboard!C$8* Dashboard!$F$4+Dashboard!C$10*SQRT(Dashboard!$F$4) * _xlfn.NORM.S.INV(RAND())</f>
        <v>4.9693140349930678E-2</v>
      </c>
      <c r="U1798" s="59">
        <f ca="1">Dashboard!D$8* Dashboard!$F$4+Dashboard!D$10*SQRT(Dashboard!$F$4) * _xlfn.NORM.S.INV(RAND())</f>
        <v>-3.16930609235637E-2</v>
      </c>
    </row>
    <row r="1799" spans="18:21" x14ac:dyDescent="0.2">
      <c r="R1799" s="49">
        <v>1797</v>
      </c>
      <c r="S1799" s="59">
        <f ca="1">Dashboard!B$8* Dashboard!$F$4+Dashboard!B$10*SQRT(Dashboard!$F$4) * _xlfn.NORM.S.INV(RAND())</f>
        <v>1.8148429596024286E-2</v>
      </c>
      <c r="T1799" s="59">
        <f ca="1">Dashboard!C$8* Dashboard!$F$4+Dashboard!C$10*SQRT(Dashboard!$F$4) * _xlfn.NORM.S.INV(RAND())</f>
        <v>2.5962055752148983E-2</v>
      </c>
      <c r="U1799" s="59">
        <f ca="1">Dashboard!D$8* Dashboard!$F$4+Dashboard!D$10*SQRT(Dashboard!$F$4) * _xlfn.NORM.S.INV(RAND())</f>
        <v>3.4444611554451693E-2</v>
      </c>
    </row>
    <row r="1800" spans="18:21" x14ac:dyDescent="0.2">
      <c r="R1800" s="49">
        <v>1798</v>
      </c>
      <c r="S1800" s="59">
        <f ca="1">Dashboard!B$8* Dashboard!$F$4+Dashboard!B$10*SQRT(Dashboard!$F$4) * _xlfn.NORM.S.INV(RAND())</f>
        <v>-3.9787749964918503E-2</v>
      </c>
      <c r="T1800" s="59">
        <f ca="1">Dashboard!C$8* Dashboard!$F$4+Dashboard!C$10*SQRT(Dashboard!$F$4) * _xlfn.NORM.S.INV(RAND())</f>
        <v>8.4563889646552037E-2</v>
      </c>
      <c r="U1800" s="59">
        <f ca="1">Dashboard!D$8* Dashboard!$F$4+Dashboard!D$10*SQRT(Dashboard!$F$4) * _xlfn.NORM.S.INV(RAND())</f>
        <v>1.0099556585496527E-2</v>
      </c>
    </row>
    <row r="1801" spans="18:21" x14ac:dyDescent="0.2">
      <c r="R1801" s="49">
        <v>1799</v>
      </c>
      <c r="S1801" s="59">
        <f ca="1">Dashboard!B$8* Dashboard!$F$4+Dashboard!B$10*SQRT(Dashboard!$F$4) * _xlfn.NORM.S.INV(RAND())</f>
        <v>5.4571561370762665E-3</v>
      </c>
      <c r="T1801" s="59">
        <f ca="1">Dashboard!C$8* Dashboard!$F$4+Dashboard!C$10*SQRT(Dashboard!$F$4) * _xlfn.NORM.S.INV(RAND())</f>
        <v>-6.0038831020873484E-2</v>
      </c>
      <c r="U1801" s="59">
        <f ca="1">Dashboard!D$8* Dashboard!$F$4+Dashboard!D$10*SQRT(Dashboard!$F$4) * _xlfn.NORM.S.INV(RAND())</f>
        <v>-1.4160275924631847E-2</v>
      </c>
    </row>
    <row r="1802" spans="18:21" x14ac:dyDescent="0.2">
      <c r="R1802" s="49">
        <v>1800</v>
      </c>
      <c r="S1802" s="59">
        <f ca="1">Dashboard!B$8* Dashboard!$F$4+Dashboard!B$10*SQRT(Dashboard!$F$4) * _xlfn.NORM.S.INV(RAND())</f>
        <v>-3.1705506375232818E-2</v>
      </c>
      <c r="T1802" s="59">
        <f ca="1">Dashboard!C$8* Dashboard!$F$4+Dashboard!C$10*SQRT(Dashboard!$F$4) * _xlfn.NORM.S.INV(RAND())</f>
        <v>2.3376079819757076E-2</v>
      </c>
      <c r="U1802" s="59">
        <f ca="1">Dashboard!D$8* Dashboard!$F$4+Dashboard!D$10*SQRT(Dashboard!$F$4) * _xlfn.NORM.S.INV(RAND())</f>
        <v>2.3088947483410702E-2</v>
      </c>
    </row>
    <row r="1803" spans="18:21" x14ac:dyDescent="0.2">
      <c r="R1803" s="49">
        <v>1801</v>
      </c>
      <c r="S1803" s="59">
        <f ca="1">Dashboard!B$8* Dashboard!$F$4+Dashboard!B$10*SQRT(Dashboard!$F$4) * _xlfn.NORM.S.INV(RAND())</f>
        <v>-9.8450415279853869E-3</v>
      </c>
      <c r="T1803" s="59">
        <f ca="1">Dashboard!C$8* Dashboard!$F$4+Dashboard!C$10*SQRT(Dashboard!$F$4) * _xlfn.NORM.S.INV(RAND())</f>
        <v>-5.0259513010531907E-2</v>
      </c>
      <c r="U1803" s="59">
        <f ca="1">Dashboard!D$8* Dashboard!$F$4+Dashboard!D$10*SQRT(Dashboard!$F$4) * _xlfn.NORM.S.INV(RAND())</f>
        <v>-1.5942631014694019E-2</v>
      </c>
    </row>
    <row r="1804" spans="18:21" x14ac:dyDescent="0.2">
      <c r="R1804" s="49">
        <v>1802</v>
      </c>
      <c r="S1804" s="59">
        <f ca="1">Dashboard!B$8* Dashboard!$F$4+Dashboard!B$10*SQRT(Dashboard!$F$4) * _xlfn.NORM.S.INV(RAND())</f>
        <v>2.2943569047565761E-2</v>
      </c>
      <c r="T1804" s="59">
        <f ca="1">Dashboard!C$8* Dashboard!$F$4+Dashboard!C$10*SQRT(Dashboard!$F$4) * _xlfn.NORM.S.INV(RAND())</f>
        <v>1.7948330167564683E-2</v>
      </c>
      <c r="U1804" s="59">
        <f ca="1">Dashboard!D$8* Dashboard!$F$4+Dashboard!D$10*SQRT(Dashboard!$F$4) * _xlfn.NORM.S.INV(RAND())</f>
        <v>2.6479588214853331E-2</v>
      </c>
    </row>
    <row r="1805" spans="18:21" x14ac:dyDescent="0.2">
      <c r="R1805" s="49">
        <v>1803</v>
      </c>
      <c r="S1805" s="59">
        <f ca="1">Dashboard!B$8* Dashboard!$F$4+Dashboard!B$10*SQRT(Dashboard!$F$4) * _xlfn.NORM.S.INV(RAND())</f>
        <v>-7.5483320272495043E-3</v>
      </c>
      <c r="T1805" s="59">
        <f ca="1">Dashboard!C$8* Dashboard!$F$4+Dashboard!C$10*SQRT(Dashboard!$F$4) * _xlfn.NORM.S.INV(RAND())</f>
        <v>4.3980449461317919E-2</v>
      </c>
      <c r="U1805" s="59">
        <f ca="1">Dashboard!D$8* Dashboard!$F$4+Dashboard!D$10*SQRT(Dashboard!$F$4) * _xlfn.NORM.S.INV(RAND())</f>
        <v>1.3962067375273817E-2</v>
      </c>
    </row>
    <row r="1806" spans="18:21" x14ac:dyDescent="0.2">
      <c r="R1806" s="49">
        <v>1804</v>
      </c>
      <c r="S1806" s="59">
        <f ca="1">Dashboard!B$8* Dashboard!$F$4+Dashboard!B$10*SQRT(Dashboard!$F$4) * _xlfn.NORM.S.INV(RAND())</f>
        <v>4.0216636144296831E-2</v>
      </c>
      <c r="T1806" s="59">
        <f ca="1">Dashboard!C$8* Dashboard!$F$4+Dashboard!C$10*SQRT(Dashboard!$F$4) * _xlfn.NORM.S.INV(RAND())</f>
        <v>4.3365804600563607E-2</v>
      </c>
      <c r="U1806" s="59">
        <f ca="1">Dashboard!D$8* Dashboard!$F$4+Dashboard!D$10*SQRT(Dashboard!$F$4) * _xlfn.NORM.S.INV(RAND())</f>
        <v>2.8467864538733421E-2</v>
      </c>
    </row>
    <row r="1807" spans="18:21" x14ac:dyDescent="0.2">
      <c r="R1807" s="49">
        <v>1805</v>
      </c>
      <c r="S1807" s="59">
        <f ca="1">Dashboard!B$8* Dashboard!$F$4+Dashboard!B$10*SQRT(Dashboard!$F$4) * _xlfn.NORM.S.INV(RAND())</f>
        <v>-3.5756769253399774E-2</v>
      </c>
      <c r="T1807" s="59">
        <f ca="1">Dashboard!C$8* Dashboard!$F$4+Dashboard!C$10*SQRT(Dashboard!$F$4) * _xlfn.NORM.S.INV(RAND())</f>
        <v>3.1458035580994234E-2</v>
      </c>
      <c r="U1807" s="59">
        <f ca="1">Dashboard!D$8* Dashboard!$F$4+Dashboard!D$10*SQRT(Dashboard!$F$4) * _xlfn.NORM.S.INV(RAND())</f>
        <v>3.2611805317214068E-2</v>
      </c>
    </row>
    <row r="1808" spans="18:21" x14ac:dyDescent="0.2">
      <c r="R1808" s="49">
        <v>1806</v>
      </c>
      <c r="S1808" s="59">
        <f ca="1">Dashboard!B$8* Dashboard!$F$4+Dashboard!B$10*SQRT(Dashboard!$F$4) * _xlfn.NORM.S.INV(RAND())</f>
        <v>-1.3706576868239477E-2</v>
      </c>
      <c r="T1808" s="59">
        <f ca="1">Dashboard!C$8* Dashboard!$F$4+Dashboard!C$10*SQRT(Dashboard!$F$4) * _xlfn.NORM.S.INV(RAND())</f>
        <v>-3.6271131261096629E-2</v>
      </c>
      <c r="U1808" s="59">
        <f ca="1">Dashboard!D$8* Dashboard!$F$4+Dashboard!D$10*SQRT(Dashboard!$F$4) * _xlfn.NORM.S.INV(RAND())</f>
        <v>9.180249689602054E-4</v>
      </c>
    </row>
    <row r="1809" spans="18:21" x14ac:dyDescent="0.2">
      <c r="R1809" s="49">
        <v>1807</v>
      </c>
      <c r="S1809" s="59">
        <f ca="1">Dashboard!B$8* Dashboard!$F$4+Dashboard!B$10*SQRT(Dashboard!$F$4) * _xlfn.NORM.S.INV(RAND())</f>
        <v>-1.0701915104177322E-2</v>
      </c>
      <c r="T1809" s="59">
        <f ca="1">Dashboard!C$8* Dashboard!$F$4+Dashboard!C$10*SQRT(Dashboard!$F$4) * _xlfn.NORM.S.INV(RAND())</f>
        <v>-3.4919091512462967E-2</v>
      </c>
      <c r="U1809" s="59">
        <f ca="1">Dashboard!D$8* Dashboard!$F$4+Dashboard!D$10*SQRT(Dashboard!$F$4) * _xlfn.NORM.S.INV(RAND())</f>
        <v>-5.1707591353438012E-2</v>
      </c>
    </row>
    <row r="1810" spans="18:21" x14ac:dyDescent="0.2">
      <c r="R1810" s="49">
        <v>1808</v>
      </c>
      <c r="S1810" s="59">
        <f ca="1">Dashboard!B$8* Dashboard!$F$4+Dashboard!B$10*SQRT(Dashboard!$F$4) * _xlfn.NORM.S.INV(RAND())</f>
        <v>-2.5272288457995361E-2</v>
      </c>
      <c r="T1810" s="59">
        <f ca="1">Dashboard!C$8* Dashboard!$F$4+Dashboard!C$10*SQRT(Dashboard!$F$4) * _xlfn.NORM.S.INV(RAND())</f>
        <v>2.7711588681487015E-2</v>
      </c>
      <c r="U1810" s="59">
        <f ca="1">Dashboard!D$8* Dashboard!$F$4+Dashboard!D$10*SQRT(Dashboard!$F$4) * _xlfn.NORM.S.INV(RAND())</f>
        <v>-7.6123614562213337E-4</v>
      </c>
    </row>
    <row r="1811" spans="18:21" x14ac:dyDescent="0.2">
      <c r="R1811" s="49">
        <v>1809</v>
      </c>
      <c r="S1811" s="59">
        <f ca="1">Dashboard!B$8* Dashboard!$F$4+Dashboard!B$10*SQRT(Dashboard!$F$4) * _xlfn.NORM.S.INV(RAND())</f>
        <v>-2.9528803180413538E-2</v>
      </c>
      <c r="T1811" s="59">
        <f ca="1">Dashboard!C$8* Dashboard!$F$4+Dashboard!C$10*SQRT(Dashboard!$F$4) * _xlfn.NORM.S.INV(RAND())</f>
        <v>2.0540352299149533E-2</v>
      </c>
      <c r="U1811" s="59">
        <f ca="1">Dashboard!D$8* Dashboard!$F$4+Dashboard!D$10*SQRT(Dashboard!$F$4) * _xlfn.NORM.S.INV(RAND())</f>
        <v>-4.6698363279348239E-2</v>
      </c>
    </row>
    <row r="1812" spans="18:21" x14ac:dyDescent="0.2">
      <c r="R1812" s="49">
        <v>1810</v>
      </c>
      <c r="S1812" s="59">
        <f ca="1">Dashboard!B$8* Dashboard!$F$4+Dashboard!B$10*SQRT(Dashboard!$F$4) * _xlfn.NORM.S.INV(RAND())</f>
        <v>-9.3690521767159224E-3</v>
      </c>
      <c r="T1812" s="59">
        <f ca="1">Dashboard!C$8* Dashboard!$F$4+Dashboard!C$10*SQRT(Dashboard!$F$4) * _xlfn.NORM.S.INV(RAND())</f>
        <v>3.2743654570725318E-2</v>
      </c>
      <c r="U1812" s="59">
        <f ca="1">Dashboard!D$8* Dashboard!$F$4+Dashboard!D$10*SQRT(Dashboard!$F$4) * _xlfn.NORM.S.INV(RAND())</f>
        <v>-1.1121849684032065E-2</v>
      </c>
    </row>
    <row r="1813" spans="18:21" x14ac:dyDescent="0.2">
      <c r="R1813" s="49">
        <v>1811</v>
      </c>
      <c r="S1813" s="59">
        <f ca="1">Dashboard!B$8* Dashboard!$F$4+Dashboard!B$10*SQRT(Dashboard!$F$4) * _xlfn.NORM.S.INV(RAND())</f>
        <v>1.5333767312637648E-2</v>
      </c>
      <c r="T1813" s="59">
        <f ca="1">Dashboard!C$8* Dashboard!$F$4+Dashboard!C$10*SQRT(Dashboard!$F$4) * _xlfn.NORM.S.INV(RAND())</f>
        <v>3.8360992558049298E-2</v>
      </c>
      <c r="U1813" s="59">
        <f ca="1">Dashboard!D$8* Dashboard!$F$4+Dashboard!D$10*SQRT(Dashboard!$F$4) * _xlfn.NORM.S.INV(RAND())</f>
        <v>-7.6236221417875583E-3</v>
      </c>
    </row>
    <row r="1814" spans="18:21" x14ac:dyDescent="0.2">
      <c r="R1814" s="49">
        <v>1812</v>
      </c>
      <c r="S1814" s="59">
        <f ca="1">Dashboard!B$8* Dashboard!$F$4+Dashboard!B$10*SQRT(Dashboard!$F$4) * _xlfn.NORM.S.INV(RAND())</f>
        <v>-3.9538613745246358E-2</v>
      </c>
      <c r="T1814" s="59">
        <f ca="1">Dashboard!C$8* Dashboard!$F$4+Dashboard!C$10*SQRT(Dashboard!$F$4) * _xlfn.NORM.S.INV(RAND())</f>
        <v>4.262191202352732E-3</v>
      </c>
      <c r="U1814" s="59">
        <f ca="1">Dashboard!D$8* Dashboard!$F$4+Dashboard!D$10*SQRT(Dashboard!$F$4) * _xlfn.NORM.S.INV(RAND())</f>
        <v>-7.1903596510470161E-3</v>
      </c>
    </row>
    <row r="1815" spans="18:21" x14ac:dyDescent="0.2">
      <c r="R1815" s="49">
        <v>1813</v>
      </c>
      <c r="S1815" s="59">
        <f ca="1">Dashboard!B$8* Dashboard!$F$4+Dashboard!B$10*SQRT(Dashboard!$F$4) * _xlfn.NORM.S.INV(RAND())</f>
        <v>-3.5186571326561694E-2</v>
      </c>
      <c r="T1815" s="59">
        <f ca="1">Dashboard!C$8* Dashboard!$F$4+Dashboard!C$10*SQRT(Dashboard!$F$4) * _xlfn.NORM.S.INV(RAND())</f>
        <v>9.2133967965309371E-3</v>
      </c>
      <c r="U1815" s="59">
        <f ca="1">Dashboard!D$8* Dashboard!$F$4+Dashboard!D$10*SQRT(Dashboard!$F$4) * _xlfn.NORM.S.INV(RAND())</f>
        <v>4.8017252680294956E-2</v>
      </c>
    </row>
    <row r="1816" spans="18:21" x14ac:dyDescent="0.2">
      <c r="R1816" s="49">
        <v>1814</v>
      </c>
      <c r="S1816" s="59">
        <f ca="1">Dashboard!B$8* Dashboard!$F$4+Dashboard!B$10*SQRT(Dashboard!$F$4) * _xlfn.NORM.S.INV(RAND())</f>
        <v>8.3994395876168648E-3</v>
      </c>
      <c r="T1816" s="59">
        <f ca="1">Dashboard!C$8* Dashboard!$F$4+Dashboard!C$10*SQRT(Dashboard!$F$4) * _xlfn.NORM.S.INV(RAND())</f>
        <v>-5.2257895275488693E-2</v>
      </c>
      <c r="U1816" s="59">
        <f ca="1">Dashboard!D$8* Dashboard!$F$4+Dashboard!D$10*SQRT(Dashboard!$F$4) * _xlfn.NORM.S.INV(RAND())</f>
        <v>-1.3239751121021725E-2</v>
      </c>
    </row>
    <row r="1817" spans="18:21" x14ac:dyDescent="0.2">
      <c r="R1817" s="49">
        <v>1815</v>
      </c>
      <c r="S1817" s="59">
        <f ca="1">Dashboard!B$8* Dashboard!$F$4+Dashboard!B$10*SQRT(Dashboard!$F$4) * _xlfn.NORM.S.INV(RAND())</f>
        <v>-1.4381898404258875E-2</v>
      </c>
      <c r="T1817" s="59">
        <f ca="1">Dashboard!C$8* Dashboard!$F$4+Dashboard!C$10*SQRT(Dashboard!$F$4) * _xlfn.NORM.S.INV(RAND())</f>
        <v>-7.8154163100129417E-2</v>
      </c>
      <c r="U1817" s="59">
        <f ca="1">Dashboard!D$8* Dashboard!$F$4+Dashboard!D$10*SQRT(Dashboard!$F$4) * _xlfn.NORM.S.INV(RAND())</f>
        <v>-1.0600724469026206E-2</v>
      </c>
    </row>
    <row r="1818" spans="18:21" x14ac:dyDescent="0.2">
      <c r="R1818" s="49">
        <v>1816</v>
      </c>
      <c r="S1818" s="59">
        <f ca="1">Dashboard!B$8* Dashboard!$F$4+Dashboard!B$10*SQRT(Dashboard!$F$4) * _xlfn.NORM.S.INV(RAND())</f>
        <v>-2.3856960665287835E-2</v>
      </c>
      <c r="T1818" s="59">
        <f ca="1">Dashboard!C$8* Dashboard!$F$4+Dashboard!C$10*SQRT(Dashboard!$F$4) * _xlfn.NORM.S.INV(RAND())</f>
        <v>-9.3717960386486068E-2</v>
      </c>
      <c r="U1818" s="59">
        <f ca="1">Dashboard!D$8* Dashboard!$F$4+Dashboard!D$10*SQRT(Dashboard!$F$4) * _xlfn.NORM.S.INV(RAND())</f>
        <v>6.3829297592268349E-3</v>
      </c>
    </row>
    <row r="1819" spans="18:21" x14ac:dyDescent="0.2">
      <c r="R1819" s="49">
        <v>1817</v>
      </c>
      <c r="S1819" s="59">
        <f ca="1">Dashboard!B$8* Dashboard!$F$4+Dashboard!B$10*SQRT(Dashboard!$F$4) * _xlfn.NORM.S.INV(RAND())</f>
        <v>-1.6817695609521531E-2</v>
      </c>
      <c r="T1819" s="59">
        <f ca="1">Dashboard!C$8* Dashboard!$F$4+Dashboard!C$10*SQRT(Dashboard!$F$4) * _xlfn.NORM.S.INV(RAND())</f>
        <v>-5.3260647410304342E-3</v>
      </c>
      <c r="U1819" s="59">
        <f ca="1">Dashboard!D$8* Dashboard!$F$4+Dashboard!D$10*SQRT(Dashboard!$F$4) * _xlfn.NORM.S.INV(RAND())</f>
        <v>-1.0969281047687325E-2</v>
      </c>
    </row>
    <row r="1820" spans="18:21" x14ac:dyDescent="0.2">
      <c r="R1820" s="49">
        <v>1818</v>
      </c>
      <c r="S1820" s="59">
        <f ca="1">Dashboard!B$8* Dashboard!$F$4+Dashboard!B$10*SQRT(Dashboard!$F$4) * _xlfn.NORM.S.INV(RAND())</f>
        <v>2.9620874360838455E-2</v>
      </c>
      <c r="T1820" s="59">
        <f ca="1">Dashboard!C$8* Dashboard!$F$4+Dashboard!C$10*SQRT(Dashboard!$F$4) * _xlfn.NORM.S.INV(RAND())</f>
        <v>3.3518734697941303E-2</v>
      </c>
      <c r="U1820" s="59">
        <f ca="1">Dashboard!D$8* Dashboard!$F$4+Dashboard!D$10*SQRT(Dashboard!$F$4) * _xlfn.NORM.S.INV(RAND())</f>
        <v>1.6993642270993564E-4</v>
      </c>
    </row>
    <row r="1821" spans="18:21" x14ac:dyDescent="0.2">
      <c r="R1821" s="49">
        <v>1819</v>
      </c>
      <c r="S1821" s="59">
        <f ca="1">Dashboard!B$8* Dashboard!$F$4+Dashboard!B$10*SQRT(Dashboard!$F$4) * _xlfn.NORM.S.INV(RAND())</f>
        <v>-6.5418671311756937E-2</v>
      </c>
      <c r="T1821" s="59">
        <f ca="1">Dashboard!C$8* Dashboard!$F$4+Dashboard!C$10*SQRT(Dashboard!$F$4) * _xlfn.NORM.S.INV(RAND())</f>
        <v>-4.291672745691083E-2</v>
      </c>
      <c r="U1821" s="59">
        <f ca="1">Dashboard!D$8* Dashboard!$F$4+Dashboard!D$10*SQRT(Dashboard!$F$4) * _xlfn.NORM.S.INV(RAND())</f>
        <v>5.74216251792889E-2</v>
      </c>
    </row>
    <row r="1822" spans="18:21" x14ac:dyDescent="0.2">
      <c r="R1822" s="49">
        <v>1820</v>
      </c>
      <c r="S1822" s="59">
        <f ca="1">Dashboard!B$8* Dashboard!$F$4+Dashboard!B$10*SQRT(Dashboard!$F$4) * _xlfn.NORM.S.INV(RAND())</f>
        <v>-6.3505704419860642E-2</v>
      </c>
      <c r="T1822" s="59">
        <f ca="1">Dashboard!C$8* Dashboard!$F$4+Dashboard!C$10*SQRT(Dashboard!$F$4) * _xlfn.NORM.S.INV(RAND())</f>
        <v>-6.3609280938555543E-2</v>
      </c>
      <c r="U1822" s="59">
        <f ca="1">Dashboard!D$8* Dashboard!$F$4+Dashboard!D$10*SQRT(Dashboard!$F$4) * _xlfn.NORM.S.INV(RAND())</f>
        <v>2.6017950343179767E-2</v>
      </c>
    </row>
    <row r="1823" spans="18:21" x14ac:dyDescent="0.2">
      <c r="R1823" s="49">
        <v>1821</v>
      </c>
      <c r="S1823" s="59">
        <f ca="1">Dashboard!B$8* Dashboard!$F$4+Dashboard!B$10*SQRT(Dashboard!$F$4) * _xlfn.NORM.S.INV(RAND())</f>
        <v>-3.0098161108163747E-2</v>
      </c>
      <c r="T1823" s="59">
        <f ca="1">Dashboard!C$8* Dashboard!$F$4+Dashboard!C$10*SQRT(Dashboard!$F$4) * _xlfn.NORM.S.INV(RAND())</f>
        <v>-9.4003484948351271E-3</v>
      </c>
      <c r="U1823" s="59">
        <f ca="1">Dashboard!D$8* Dashboard!$F$4+Dashboard!D$10*SQRT(Dashboard!$F$4) * _xlfn.NORM.S.INV(RAND())</f>
        <v>-1.1806915026493486E-2</v>
      </c>
    </row>
    <row r="1824" spans="18:21" x14ac:dyDescent="0.2">
      <c r="R1824" s="49">
        <v>1822</v>
      </c>
      <c r="S1824" s="59">
        <f ca="1">Dashboard!B$8* Dashboard!$F$4+Dashboard!B$10*SQRT(Dashboard!$F$4) * _xlfn.NORM.S.INV(RAND())</f>
        <v>-3.0767209906500607E-2</v>
      </c>
      <c r="T1824" s="59">
        <f ca="1">Dashboard!C$8* Dashboard!$F$4+Dashboard!C$10*SQRT(Dashboard!$F$4) * _xlfn.NORM.S.INV(RAND())</f>
        <v>4.1326263733503649E-2</v>
      </c>
      <c r="U1824" s="59">
        <f ca="1">Dashboard!D$8* Dashboard!$F$4+Dashboard!D$10*SQRT(Dashboard!$F$4) * _xlfn.NORM.S.INV(RAND())</f>
        <v>-3.1218538454745298E-2</v>
      </c>
    </row>
    <row r="1825" spans="18:21" x14ac:dyDescent="0.2">
      <c r="R1825" s="49">
        <v>1823</v>
      </c>
      <c r="S1825" s="59">
        <f ca="1">Dashboard!B$8* Dashboard!$F$4+Dashboard!B$10*SQRT(Dashboard!$F$4) * _xlfn.NORM.S.INV(RAND())</f>
        <v>2.1453134832107056E-2</v>
      </c>
      <c r="T1825" s="59">
        <f ca="1">Dashboard!C$8* Dashboard!$F$4+Dashboard!C$10*SQRT(Dashboard!$F$4) * _xlfn.NORM.S.INV(RAND())</f>
        <v>3.9527759696476846E-3</v>
      </c>
      <c r="U1825" s="59">
        <f ca="1">Dashboard!D$8* Dashboard!$F$4+Dashboard!D$10*SQRT(Dashboard!$F$4) * _xlfn.NORM.S.INV(RAND())</f>
        <v>1.8957533272877126E-2</v>
      </c>
    </row>
    <row r="1826" spans="18:21" x14ac:dyDescent="0.2">
      <c r="R1826" s="49">
        <v>1824</v>
      </c>
      <c r="S1826" s="59">
        <f ca="1">Dashboard!B$8* Dashboard!$F$4+Dashboard!B$10*SQRT(Dashboard!$F$4) * _xlfn.NORM.S.INV(RAND())</f>
        <v>9.4392868979816281E-3</v>
      </c>
      <c r="T1826" s="59">
        <f ca="1">Dashboard!C$8* Dashboard!$F$4+Dashboard!C$10*SQRT(Dashboard!$F$4) * _xlfn.NORM.S.INV(RAND())</f>
        <v>4.9751288202002433E-2</v>
      </c>
      <c r="U1826" s="59">
        <f ca="1">Dashboard!D$8* Dashboard!$F$4+Dashboard!D$10*SQRT(Dashboard!$F$4) * _xlfn.NORM.S.INV(RAND())</f>
        <v>6.4948423517168343E-3</v>
      </c>
    </row>
    <row r="1827" spans="18:21" x14ac:dyDescent="0.2">
      <c r="R1827" s="49">
        <v>1825</v>
      </c>
      <c r="S1827" s="59">
        <f ca="1">Dashboard!B$8* Dashboard!$F$4+Dashboard!B$10*SQRT(Dashboard!$F$4) * _xlfn.NORM.S.INV(RAND())</f>
        <v>-1.3962290392248247E-2</v>
      </c>
      <c r="T1827" s="59">
        <f ca="1">Dashboard!C$8* Dashboard!$F$4+Dashboard!C$10*SQRT(Dashboard!$F$4) * _xlfn.NORM.S.INV(RAND())</f>
        <v>1.2099052176406951E-2</v>
      </c>
      <c r="U1827" s="59">
        <f ca="1">Dashboard!D$8* Dashboard!$F$4+Dashboard!D$10*SQRT(Dashboard!$F$4) * _xlfn.NORM.S.INV(RAND())</f>
        <v>5.1535251212879579E-2</v>
      </c>
    </row>
    <row r="1828" spans="18:21" x14ac:dyDescent="0.2">
      <c r="R1828" s="49">
        <v>1826</v>
      </c>
      <c r="S1828" s="59">
        <f ca="1">Dashboard!B$8* Dashboard!$F$4+Dashboard!B$10*SQRT(Dashboard!$F$4) * _xlfn.NORM.S.INV(RAND())</f>
        <v>-1.8217046170701114E-2</v>
      </c>
      <c r="T1828" s="59">
        <f ca="1">Dashboard!C$8* Dashboard!$F$4+Dashboard!C$10*SQRT(Dashboard!$F$4) * _xlfn.NORM.S.INV(RAND())</f>
        <v>1.0913169618608418E-2</v>
      </c>
      <c r="U1828" s="59">
        <f ca="1">Dashboard!D$8* Dashboard!$F$4+Dashboard!D$10*SQRT(Dashboard!$F$4) * _xlfn.NORM.S.INV(RAND())</f>
        <v>3.5526330967376334E-2</v>
      </c>
    </row>
    <row r="1829" spans="18:21" x14ac:dyDescent="0.2">
      <c r="R1829" s="49">
        <v>1827</v>
      </c>
      <c r="S1829" s="59">
        <f ca="1">Dashboard!B$8* Dashboard!$F$4+Dashboard!B$10*SQRT(Dashboard!$F$4) * _xlfn.NORM.S.INV(RAND())</f>
        <v>-1.4638211160117171E-2</v>
      </c>
      <c r="T1829" s="59">
        <f ca="1">Dashboard!C$8* Dashboard!$F$4+Dashboard!C$10*SQRT(Dashboard!$F$4) * _xlfn.NORM.S.INV(RAND())</f>
        <v>-6.4471983849830406E-3</v>
      </c>
      <c r="U1829" s="59">
        <f ca="1">Dashboard!D$8* Dashboard!$F$4+Dashboard!D$10*SQRT(Dashboard!$F$4) * _xlfn.NORM.S.INV(RAND())</f>
        <v>-5.0349813753910958E-3</v>
      </c>
    </row>
    <row r="1830" spans="18:21" x14ac:dyDescent="0.2">
      <c r="R1830" s="49">
        <v>1828</v>
      </c>
      <c r="S1830" s="59">
        <f ca="1">Dashboard!B$8* Dashboard!$F$4+Dashboard!B$10*SQRT(Dashboard!$F$4) * _xlfn.NORM.S.INV(RAND())</f>
        <v>3.4237916558439406E-2</v>
      </c>
      <c r="T1830" s="59">
        <f ca="1">Dashboard!C$8* Dashboard!$F$4+Dashboard!C$10*SQRT(Dashboard!$F$4) * _xlfn.NORM.S.INV(RAND())</f>
        <v>5.5273609584120436E-3</v>
      </c>
      <c r="U1830" s="59">
        <f ca="1">Dashboard!D$8* Dashboard!$F$4+Dashboard!D$10*SQRT(Dashboard!$F$4) * _xlfn.NORM.S.INV(RAND())</f>
        <v>-5.2640838344041223E-3</v>
      </c>
    </row>
    <row r="1831" spans="18:21" x14ac:dyDescent="0.2">
      <c r="R1831" s="49">
        <v>1829</v>
      </c>
      <c r="S1831" s="59">
        <f ca="1">Dashboard!B$8* Dashboard!$F$4+Dashboard!B$10*SQRT(Dashboard!$F$4) * _xlfn.NORM.S.INV(RAND())</f>
        <v>9.9350306998691029E-3</v>
      </c>
      <c r="T1831" s="59">
        <f ca="1">Dashboard!C$8* Dashboard!$F$4+Dashboard!C$10*SQRT(Dashboard!$F$4) * _xlfn.NORM.S.INV(RAND())</f>
        <v>-3.6908010558401698E-2</v>
      </c>
      <c r="U1831" s="59">
        <f ca="1">Dashboard!D$8* Dashboard!$F$4+Dashboard!D$10*SQRT(Dashboard!$F$4) * _xlfn.NORM.S.INV(RAND())</f>
        <v>-1.3009607313865379E-2</v>
      </c>
    </row>
    <row r="1832" spans="18:21" x14ac:dyDescent="0.2">
      <c r="R1832" s="49">
        <v>1830</v>
      </c>
      <c r="S1832" s="59">
        <f ca="1">Dashboard!B$8* Dashboard!$F$4+Dashboard!B$10*SQRT(Dashboard!$F$4) * _xlfn.NORM.S.INV(RAND())</f>
        <v>-4.1818631023762258E-2</v>
      </c>
      <c r="T1832" s="59">
        <f ca="1">Dashboard!C$8* Dashboard!$F$4+Dashboard!C$10*SQRT(Dashboard!$F$4) * _xlfn.NORM.S.INV(RAND())</f>
        <v>1.3894928871704123E-2</v>
      </c>
      <c r="U1832" s="59">
        <f ca="1">Dashboard!D$8* Dashboard!$F$4+Dashboard!D$10*SQRT(Dashboard!$F$4) * _xlfn.NORM.S.INV(RAND())</f>
        <v>9.3695208275612167E-3</v>
      </c>
    </row>
    <row r="1833" spans="18:21" x14ac:dyDescent="0.2">
      <c r="R1833" s="49">
        <v>1831</v>
      </c>
      <c r="S1833" s="59">
        <f ca="1">Dashboard!B$8* Dashboard!$F$4+Dashboard!B$10*SQRT(Dashboard!$F$4) * _xlfn.NORM.S.INV(RAND())</f>
        <v>4.8227270549411352E-2</v>
      </c>
      <c r="T1833" s="59">
        <f ca="1">Dashboard!C$8* Dashboard!$F$4+Dashboard!C$10*SQRT(Dashboard!$F$4) * _xlfn.NORM.S.INV(RAND())</f>
        <v>-2.9990923031795281E-2</v>
      </c>
      <c r="U1833" s="59">
        <f ca="1">Dashboard!D$8* Dashboard!$F$4+Dashboard!D$10*SQRT(Dashboard!$F$4) * _xlfn.NORM.S.INV(RAND())</f>
        <v>2.2870636486949265E-2</v>
      </c>
    </row>
    <row r="1834" spans="18:21" x14ac:dyDescent="0.2">
      <c r="R1834" s="49">
        <v>1832</v>
      </c>
      <c r="S1834" s="59">
        <f ca="1">Dashboard!B$8* Dashboard!$F$4+Dashboard!B$10*SQRT(Dashboard!$F$4) * _xlfn.NORM.S.INV(RAND())</f>
        <v>-2.3631415511734651E-2</v>
      </c>
      <c r="T1834" s="59">
        <f ca="1">Dashboard!C$8* Dashboard!$F$4+Dashboard!C$10*SQRT(Dashboard!$F$4) * _xlfn.NORM.S.INV(RAND())</f>
        <v>1.0831630365011504E-2</v>
      </c>
      <c r="U1834" s="59">
        <f ca="1">Dashboard!D$8* Dashboard!$F$4+Dashboard!D$10*SQRT(Dashboard!$F$4) * _xlfn.NORM.S.INV(RAND())</f>
        <v>1.0693623014935111E-2</v>
      </c>
    </row>
    <row r="1835" spans="18:21" x14ac:dyDescent="0.2">
      <c r="R1835" s="49">
        <v>1833</v>
      </c>
      <c r="S1835" s="59">
        <f ca="1">Dashboard!B$8* Dashboard!$F$4+Dashboard!B$10*SQRT(Dashboard!$F$4) * _xlfn.NORM.S.INV(RAND())</f>
        <v>-1.3311286042946123E-2</v>
      </c>
      <c r="T1835" s="59">
        <f ca="1">Dashboard!C$8* Dashboard!$F$4+Dashboard!C$10*SQRT(Dashboard!$F$4) * _xlfn.NORM.S.INV(RAND())</f>
        <v>3.0701472126603072E-2</v>
      </c>
      <c r="U1835" s="59">
        <f ca="1">Dashboard!D$8* Dashboard!$F$4+Dashboard!D$10*SQRT(Dashboard!$F$4) * _xlfn.NORM.S.INV(RAND())</f>
        <v>-3.5383622709034911E-2</v>
      </c>
    </row>
    <row r="1836" spans="18:21" x14ac:dyDescent="0.2">
      <c r="R1836" s="49">
        <v>1834</v>
      </c>
      <c r="S1836" s="59">
        <f ca="1">Dashboard!B$8* Dashboard!$F$4+Dashboard!B$10*SQRT(Dashboard!$F$4) * _xlfn.NORM.S.INV(RAND())</f>
        <v>-4.4403174599135085E-2</v>
      </c>
      <c r="T1836" s="59">
        <f ca="1">Dashboard!C$8* Dashboard!$F$4+Dashboard!C$10*SQRT(Dashboard!$F$4) * _xlfn.NORM.S.INV(RAND())</f>
        <v>5.679520427506652E-3</v>
      </c>
      <c r="U1836" s="59">
        <f ca="1">Dashboard!D$8* Dashboard!$F$4+Dashboard!D$10*SQRT(Dashboard!$F$4) * _xlfn.NORM.S.INV(RAND())</f>
        <v>4.913771068967538E-2</v>
      </c>
    </row>
    <row r="1837" spans="18:21" x14ac:dyDescent="0.2">
      <c r="R1837" s="49">
        <v>1835</v>
      </c>
      <c r="S1837" s="59">
        <f ca="1">Dashboard!B$8* Dashboard!$F$4+Dashboard!B$10*SQRT(Dashboard!$F$4) * _xlfn.NORM.S.INV(RAND())</f>
        <v>4.1526761058629007E-2</v>
      </c>
      <c r="T1837" s="59">
        <f ca="1">Dashboard!C$8* Dashboard!$F$4+Dashboard!C$10*SQRT(Dashboard!$F$4) * _xlfn.NORM.S.INV(RAND())</f>
        <v>-1.1019189258525533E-2</v>
      </c>
      <c r="U1837" s="59">
        <f ca="1">Dashboard!D$8* Dashboard!$F$4+Dashboard!D$10*SQRT(Dashboard!$F$4) * _xlfn.NORM.S.INV(RAND())</f>
        <v>1.0020835216609033E-2</v>
      </c>
    </row>
    <row r="1838" spans="18:21" x14ac:dyDescent="0.2">
      <c r="R1838" s="49">
        <v>1836</v>
      </c>
      <c r="S1838" s="59">
        <f ca="1">Dashboard!B$8* Dashboard!$F$4+Dashboard!B$10*SQRT(Dashboard!$F$4) * _xlfn.NORM.S.INV(RAND())</f>
        <v>5.2602650944008535E-3</v>
      </c>
      <c r="T1838" s="59">
        <f ca="1">Dashboard!C$8* Dashboard!$F$4+Dashboard!C$10*SQRT(Dashboard!$F$4) * _xlfn.NORM.S.INV(RAND())</f>
        <v>-9.0524680108816855E-3</v>
      </c>
      <c r="U1838" s="59">
        <f ca="1">Dashboard!D$8* Dashboard!$F$4+Dashboard!D$10*SQRT(Dashboard!$F$4) * _xlfn.NORM.S.INV(RAND())</f>
        <v>4.1047944881158219E-2</v>
      </c>
    </row>
    <row r="1839" spans="18:21" x14ac:dyDescent="0.2">
      <c r="R1839" s="49">
        <v>1837</v>
      </c>
      <c r="S1839" s="59">
        <f ca="1">Dashboard!B$8* Dashboard!$F$4+Dashboard!B$10*SQRT(Dashboard!$F$4) * _xlfn.NORM.S.INV(RAND())</f>
        <v>1.9582808495863427E-2</v>
      </c>
      <c r="T1839" s="59">
        <f ca="1">Dashboard!C$8* Dashboard!$F$4+Dashboard!C$10*SQRT(Dashboard!$F$4) * _xlfn.NORM.S.INV(RAND())</f>
        <v>-2.3538479933148296E-2</v>
      </c>
      <c r="U1839" s="59">
        <f ca="1">Dashboard!D$8* Dashboard!$F$4+Dashboard!D$10*SQRT(Dashboard!$F$4) * _xlfn.NORM.S.INV(RAND())</f>
        <v>2.1963752852776491E-2</v>
      </c>
    </row>
    <row r="1840" spans="18:21" x14ac:dyDescent="0.2">
      <c r="R1840" s="49">
        <v>1838</v>
      </c>
      <c r="S1840" s="59">
        <f ca="1">Dashboard!B$8* Dashboard!$F$4+Dashboard!B$10*SQRT(Dashboard!$F$4) * _xlfn.NORM.S.INV(RAND())</f>
        <v>3.0785063235222052E-2</v>
      </c>
      <c r="T1840" s="59">
        <f ca="1">Dashboard!C$8* Dashboard!$F$4+Dashboard!C$10*SQRT(Dashboard!$F$4) * _xlfn.NORM.S.INV(RAND())</f>
        <v>1.3589386461280044E-2</v>
      </c>
      <c r="U1840" s="59">
        <f ca="1">Dashboard!D$8* Dashboard!$F$4+Dashboard!D$10*SQRT(Dashboard!$F$4) * _xlfn.NORM.S.INV(RAND())</f>
        <v>4.2475569107178125E-2</v>
      </c>
    </row>
    <row r="1841" spans="18:21" x14ac:dyDescent="0.2">
      <c r="R1841" s="49">
        <v>1839</v>
      </c>
      <c r="S1841" s="59">
        <f ca="1">Dashboard!B$8* Dashboard!$F$4+Dashboard!B$10*SQRT(Dashboard!$F$4) * _xlfn.NORM.S.INV(RAND())</f>
        <v>4.6834341873867459E-2</v>
      </c>
      <c r="T1841" s="59">
        <f ca="1">Dashboard!C$8* Dashboard!$F$4+Dashboard!C$10*SQRT(Dashboard!$F$4) * _xlfn.NORM.S.INV(RAND())</f>
        <v>-1.0196792282497369E-2</v>
      </c>
      <c r="U1841" s="59">
        <f ca="1">Dashboard!D$8* Dashboard!$F$4+Dashboard!D$10*SQRT(Dashboard!$F$4) * _xlfn.NORM.S.INV(RAND())</f>
        <v>-1.4760100476143026E-2</v>
      </c>
    </row>
    <row r="1842" spans="18:21" x14ac:dyDescent="0.2">
      <c r="R1842" s="49">
        <v>1840</v>
      </c>
      <c r="S1842" s="59">
        <f ca="1">Dashboard!B$8* Dashboard!$F$4+Dashboard!B$10*SQRT(Dashboard!$F$4) * _xlfn.NORM.S.INV(RAND())</f>
        <v>-3.717383622870582E-2</v>
      </c>
      <c r="T1842" s="59">
        <f ca="1">Dashboard!C$8* Dashboard!$F$4+Dashboard!C$10*SQRT(Dashboard!$F$4) * _xlfn.NORM.S.INV(RAND())</f>
        <v>4.757167552822311E-3</v>
      </c>
      <c r="U1842" s="59">
        <f ca="1">Dashboard!D$8* Dashboard!$F$4+Dashboard!D$10*SQRT(Dashboard!$F$4) * _xlfn.NORM.S.INV(RAND())</f>
        <v>6.4611291232681348E-2</v>
      </c>
    </row>
    <row r="1843" spans="18:21" x14ac:dyDescent="0.2">
      <c r="R1843" s="49">
        <v>1841</v>
      </c>
      <c r="S1843" s="59">
        <f ca="1">Dashboard!B$8* Dashboard!$F$4+Dashboard!B$10*SQRT(Dashboard!$F$4) * _xlfn.NORM.S.INV(RAND())</f>
        <v>-2.360638640186441E-2</v>
      </c>
      <c r="T1843" s="59">
        <f ca="1">Dashboard!C$8* Dashboard!$F$4+Dashboard!C$10*SQRT(Dashboard!$F$4) * _xlfn.NORM.S.INV(RAND())</f>
        <v>3.5269809252913627E-2</v>
      </c>
      <c r="U1843" s="59">
        <f ca="1">Dashboard!D$8* Dashboard!$F$4+Dashboard!D$10*SQRT(Dashboard!$F$4) * _xlfn.NORM.S.INV(RAND())</f>
        <v>3.0180837788401634E-2</v>
      </c>
    </row>
    <row r="1844" spans="18:21" x14ac:dyDescent="0.2">
      <c r="R1844" s="49">
        <v>1842</v>
      </c>
      <c r="S1844" s="59">
        <f ca="1">Dashboard!B$8* Dashboard!$F$4+Dashboard!B$10*SQRT(Dashboard!$F$4) * _xlfn.NORM.S.INV(RAND())</f>
        <v>2.3730358011434249E-3</v>
      </c>
      <c r="T1844" s="59">
        <f ca="1">Dashboard!C$8* Dashboard!$F$4+Dashboard!C$10*SQRT(Dashboard!$F$4) * _xlfn.NORM.S.INV(RAND())</f>
        <v>5.1558225361274489E-2</v>
      </c>
      <c r="U1844" s="59">
        <f ca="1">Dashboard!D$8* Dashboard!$F$4+Dashboard!D$10*SQRT(Dashboard!$F$4) * _xlfn.NORM.S.INV(RAND())</f>
        <v>-2.202497999593472E-2</v>
      </c>
    </row>
    <row r="1845" spans="18:21" x14ac:dyDescent="0.2">
      <c r="R1845" s="49">
        <v>1843</v>
      </c>
      <c r="S1845" s="59">
        <f ca="1">Dashboard!B$8* Dashboard!$F$4+Dashboard!B$10*SQRT(Dashboard!$F$4) * _xlfn.NORM.S.INV(RAND())</f>
        <v>7.1441382809804849E-3</v>
      </c>
      <c r="T1845" s="59">
        <f ca="1">Dashboard!C$8* Dashboard!$F$4+Dashboard!C$10*SQRT(Dashboard!$F$4) * _xlfn.NORM.S.INV(RAND())</f>
        <v>-2.1553101520081216E-2</v>
      </c>
      <c r="U1845" s="59">
        <f ca="1">Dashboard!D$8* Dashboard!$F$4+Dashboard!D$10*SQRT(Dashboard!$F$4) * _xlfn.NORM.S.INV(RAND())</f>
        <v>-7.9514867435994795E-3</v>
      </c>
    </row>
    <row r="1846" spans="18:21" x14ac:dyDescent="0.2">
      <c r="R1846" s="49">
        <v>1844</v>
      </c>
      <c r="S1846" s="59">
        <f ca="1">Dashboard!B$8* Dashboard!$F$4+Dashboard!B$10*SQRT(Dashboard!$F$4) * _xlfn.NORM.S.INV(RAND())</f>
        <v>8.5700250361776063E-3</v>
      </c>
      <c r="T1846" s="59">
        <f ca="1">Dashboard!C$8* Dashboard!$F$4+Dashboard!C$10*SQRT(Dashboard!$F$4) * _xlfn.NORM.S.INV(RAND())</f>
        <v>4.223220751067093E-2</v>
      </c>
      <c r="U1846" s="59">
        <f ca="1">Dashboard!D$8* Dashboard!$F$4+Dashboard!D$10*SQRT(Dashboard!$F$4) * _xlfn.NORM.S.INV(RAND())</f>
        <v>1.5748865675781657E-2</v>
      </c>
    </row>
    <row r="1847" spans="18:21" x14ac:dyDescent="0.2">
      <c r="R1847" s="49">
        <v>1845</v>
      </c>
      <c r="S1847" s="59">
        <f ca="1">Dashboard!B$8* Dashboard!$F$4+Dashboard!B$10*SQRT(Dashboard!$F$4) * _xlfn.NORM.S.INV(RAND())</f>
        <v>-6.1483344302611993E-2</v>
      </c>
      <c r="T1847" s="59">
        <f ca="1">Dashboard!C$8* Dashboard!$F$4+Dashboard!C$10*SQRT(Dashboard!$F$4) * _xlfn.NORM.S.INV(RAND())</f>
        <v>-1.2756501674536486E-2</v>
      </c>
      <c r="U1847" s="59">
        <f ca="1">Dashboard!D$8* Dashboard!$F$4+Dashboard!D$10*SQRT(Dashboard!$F$4) * _xlfn.NORM.S.INV(RAND())</f>
        <v>-8.2826514578520898E-3</v>
      </c>
    </row>
    <row r="1848" spans="18:21" x14ac:dyDescent="0.2">
      <c r="R1848" s="49">
        <v>1846</v>
      </c>
      <c r="S1848" s="59">
        <f ca="1">Dashboard!B$8* Dashboard!$F$4+Dashboard!B$10*SQRT(Dashboard!$F$4) * _xlfn.NORM.S.INV(RAND())</f>
        <v>2.0378394343273834E-2</v>
      </c>
      <c r="T1848" s="59">
        <f ca="1">Dashboard!C$8* Dashboard!$F$4+Dashboard!C$10*SQRT(Dashboard!$F$4) * _xlfn.NORM.S.INV(RAND())</f>
        <v>-1.5982057554862438E-2</v>
      </c>
      <c r="U1848" s="59">
        <f ca="1">Dashboard!D$8* Dashboard!$F$4+Dashboard!D$10*SQRT(Dashboard!$F$4) * _xlfn.NORM.S.INV(RAND())</f>
        <v>-2.9988885205997056E-2</v>
      </c>
    </row>
    <row r="1849" spans="18:21" x14ac:dyDescent="0.2">
      <c r="R1849" s="49">
        <v>1847</v>
      </c>
      <c r="S1849" s="59">
        <f ca="1">Dashboard!B$8* Dashboard!$F$4+Dashboard!B$10*SQRT(Dashboard!$F$4) * _xlfn.NORM.S.INV(RAND())</f>
        <v>-3.8014077069304909E-2</v>
      </c>
      <c r="T1849" s="59">
        <f ca="1">Dashboard!C$8* Dashboard!$F$4+Dashboard!C$10*SQRT(Dashboard!$F$4) * _xlfn.NORM.S.INV(RAND())</f>
        <v>-1.4919544931169638E-2</v>
      </c>
      <c r="U1849" s="59">
        <f ca="1">Dashboard!D$8* Dashboard!$F$4+Dashboard!D$10*SQRT(Dashboard!$F$4) * _xlfn.NORM.S.INV(RAND())</f>
        <v>8.5273996189124693E-2</v>
      </c>
    </row>
    <row r="1850" spans="18:21" x14ac:dyDescent="0.2">
      <c r="R1850" s="49">
        <v>1848</v>
      </c>
      <c r="S1850" s="59">
        <f ca="1">Dashboard!B$8* Dashboard!$F$4+Dashboard!B$10*SQRT(Dashboard!$F$4) * _xlfn.NORM.S.INV(RAND())</f>
        <v>2.2493703670516056E-2</v>
      </c>
      <c r="T1850" s="59">
        <f ca="1">Dashboard!C$8* Dashboard!$F$4+Dashboard!C$10*SQRT(Dashboard!$F$4) * _xlfn.NORM.S.INV(RAND())</f>
        <v>2.9378890049699694E-2</v>
      </c>
      <c r="U1850" s="59">
        <f ca="1">Dashboard!D$8* Dashboard!$F$4+Dashboard!D$10*SQRT(Dashboard!$F$4) * _xlfn.NORM.S.INV(RAND())</f>
        <v>4.9886441524024982E-3</v>
      </c>
    </row>
    <row r="1851" spans="18:21" x14ac:dyDescent="0.2">
      <c r="R1851" s="49">
        <v>1849</v>
      </c>
      <c r="S1851" s="59">
        <f ca="1">Dashboard!B$8* Dashboard!$F$4+Dashboard!B$10*SQRT(Dashboard!$F$4) * _xlfn.NORM.S.INV(RAND())</f>
        <v>-9.7076980350632117E-3</v>
      </c>
      <c r="T1851" s="59">
        <f ca="1">Dashboard!C$8* Dashboard!$F$4+Dashboard!C$10*SQRT(Dashboard!$F$4) * _xlfn.NORM.S.INV(RAND())</f>
        <v>-2.0690024903221676E-2</v>
      </c>
      <c r="U1851" s="59">
        <f ca="1">Dashboard!D$8* Dashboard!$F$4+Dashboard!D$10*SQRT(Dashboard!$F$4) * _xlfn.NORM.S.INV(RAND())</f>
        <v>-1.0846146192037408E-2</v>
      </c>
    </row>
    <row r="1852" spans="18:21" x14ac:dyDescent="0.2">
      <c r="R1852" s="49">
        <v>1850</v>
      </c>
      <c r="S1852" s="59">
        <f ca="1">Dashboard!B$8* Dashboard!$F$4+Dashboard!B$10*SQRT(Dashboard!$F$4) * _xlfn.NORM.S.INV(RAND())</f>
        <v>-6.7007955335623903E-3</v>
      </c>
      <c r="T1852" s="59">
        <f ca="1">Dashboard!C$8* Dashboard!$F$4+Dashboard!C$10*SQRT(Dashboard!$F$4) * _xlfn.NORM.S.INV(RAND())</f>
        <v>1.2958980614855214E-2</v>
      </c>
      <c r="U1852" s="59">
        <f ca="1">Dashboard!D$8* Dashboard!$F$4+Dashboard!D$10*SQRT(Dashboard!$F$4) * _xlfn.NORM.S.INV(RAND())</f>
        <v>8.8986534829285369E-3</v>
      </c>
    </row>
    <row r="1853" spans="18:21" x14ac:dyDescent="0.2">
      <c r="R1853" s="49">
        <v>1851</v>
      </c>
      <c r="S1853" s="59">
        <f ca="1">Dashboard!B$8* Dashboard!$F$4+Dashboard!B$10*SQRT(Dashboard!$F$4) * _xlfn.NORM.S.INV(RAND())</f>
        <v>2.3942052819745728E-2</v>
      </c>
      <c r="T1853" s="59">
        <f ca="1">Dashboard!C$8* Dashboard!$F$4+Dashboard!C$10*SQRT(Dashboard!$F$4) * _xlfn.NORM.S.INV(RAND())</f>
        <v>4.309699366226951E-2</v>
      </c>
      <c r="U1853" s="59">
        <f ca="1">Dashboard!D$8* Dashboard!$F$4+Dashboard!D$10*SQRT(Dashboard!$F$4) * _xlfn.NORM.S.INV(RAND())</f>
        <v>6.5558328651677605E-3</v>
      </c>
    </row>
    <row r="1854" spans="18:21" x14ac:dyDescent="0.2">
      <c r="R1854" s="49">
        <v>1852</v>
      </c>
      <c r="S1854" s="59">
        <f ca="1">Dashboard!B$8* Dashboard!$F$4+Dashboard!B$10*SQRT(Dashboard!$F$4) * _xlfn.NORM.S.INV(RAND())</f>
        <v>-3.4538593693891909E-2</v>
      </c>
      <c r="T1854" s="59">
        <f ca="1">Dashboard!C$8* Dashboard!$F$4+Dashboard!C$10*SQRT(Dashboard!$F$4) * _xlfn.NORM.S.INV(RAND())</f>
        <v>2.6858767602655272E-2</v>
      </c>
      <c r="U1854" s="59">
        <f ca="1">Dashboard!D$8* Dashboard!$F$4+Dashboard!D$10*SQRT(Dashboard!$F$4) * _xlfn.NORM.S.INV(RAND())</f>
        <v>-3.2607412230330167E-2</v>
      </c>
    </row>
    <row r="1855" spans="18:21" x14ac:dyDescent="0.2">
      <c r="R1855" s="49">
        <v>1853</v>
      </c>
      <c r="S1855" s="59">
        <f ca="1">Dashboard!B$8* Dashboard!$F$4+Dashboard!B$10*SQRT(Dashboard!$F$4) * _xlfn.NORM.S.INV(RAND())</f>
        <v>3.0218358917235948E-4</v>
      </c>
      <c r="T1855" s="59">
        <f ca="1">Dashboard!C$8* Dashboard!$F$4+Dashboard!C$10*SQRT(Dashboard!$F$4) * _xlfn.NORM.S.INV(RAND())</f>
        <v>-4.18980027466722E-2</v>
      </c>
      <c r="U1855" s="59">
        <f ca="1">Dashboard!D$8* Dashboard!$F$4+Dashboard!D$10*SQRT(Dashboard!$F$4) * _xlfn.NORM.S.INV(RAND())</f>
        <v>-2.139908668987001E-2</v>
      </c>
    </row>
    <row r="1856" spans="18:21" x14ac:dyDescent="0.2">
      <c r="R1856" s="49">
        <v>1854</v>
      </c>
      <c r="S1856" s="59">
        <f ca="1">Dashboard!B$8* Dashboard!$F$4+Dashboard!B$10*SQRT(Dashboard!$F$4) * _xlfn.NORM.S.INV(RAND())</f>
        <v>-6.1028864126139788E-2</v>
      </c>
      <c r="T1856" s="59">
        <f ca="1">Dashboard!C$8* Dashboard!$F$4+Dashboard!C$10*SQRT(Dashboard!$F$4) * _xlfn.NORM.S.INV(RAND())</f>
        <v>-1.5653181442021633E-2</v>
      </c>
      <c r="U1856" s="59">
        <f ca="1">Dashboard!D$8* Dashboard!$F$4+Dashboard!D$10*SQRT(Dashboard!$F$4) * _xlfn.NORM.S.INV(RAND())</f>
        <v>1.5374058691411731E-2</v>
      </c>
    </row>
    <row r="1857" spans="18:21" x14ac:dyDescent="0.2">
      <c r="R1857" s="49">
        <v>1855</v>
      </c>
      <c r="S1857" s="59">
        <f ca="1">Dashboard!B$8* Dashboard!$F$4+Dashboard!B$10*SQRT(Dashboard!$F$4) * _xlfn.NORM.S.INV(RAND())</f>
        <v>-3.8222780301001395E-2</v>
      </c>
      <c r="T1857" s="59">
        <f ca="1">Dashboard!C$8* Dashboard!$F$4+Dashboard!C$10*SQRT(Dashboard!$F$4) * _xlfn.NORM.S.INV(RAND())</f>
        <v>4.6588128568052674E-2</v>
      </c>
      <c r="U1857" s="59">
        <f ca="1">Dashboard!D$8* Dashboard!$F$4+Dashboard!D$10*SQRT(Dashboard!$F$4) * _xlfn.NORM.S.INV(RAND())</f>
        <v>1.7481745387292649E-2</v>
      </c>
    </row>
    <row r="1858" spans="18:21" x14ac:dyDescent="0.2">
      <c r="R1858" s="49">
        <v>1856</v>
      </c>
      <c r="S1858" s="59">
        <f ca="1">Dashboard!B$8* Dashboard!$F$4+Dashboard!B$10*SQRT(Dashboard!$F$4) * _xlfn.NORM.S.INV(RAND())</f>
        <v>-4.7919962880919577E-2</v>
      </c>
      <c r="T1858" s="59">
        <f ca="1">Dashboard!C$8* Dashboard!$F$4+Dashboard!C$10*SQRT(Dashboard!$F$4) * _xlfn.NORM.S.INV(RAND())</f>
        <v>-2.8946120484266844E-2</v>
      </c>
      <c r="U1858" s="59">
        <f ca="1">Dashboard!D$8* Dashboard!$F$4+Dashboard!D$10*SQRT(Dashboard!$F$4) * _xlfn.NORM.S.INV(RAND())</f>
        <v>3.3565068745898145E-2</v>
      </c>
    </row>
    <row r="1859" spans="18:21" x14ac:dyDescent="0.2">
      <c r="R1859" s="49">
        <v>1857</v>
      </c>
      <c r="S1859" s="59">
        <f ca="1">Dashboard!B$8* Dashboard!$F$4+Dashboard!B$10*SQRT(Dashboard!$F$4) * _xlfn.NORM.S.INV(RAND())</f>
        <v>-3.4192678616625616E-2</v>
      </c>
      <c r="T1859" s="59">
        <f ca="1">Dashboard!C$8* Dashboard!$F$4+Dashboard!C$10*SQRT(Dashboard!$F$4) * _xlfn.NORM.S.INV(RAND())</f>
        <v>-2.5796853823351115E-2</v>
      </c>
      <c r="U1859" s="59">
        <f ca="1">Dashboard!D$8* Dashboard!$F$4+Dashboard!D$10*SQRT(Dashboard!$F$4) * _xlfn.NORM.S.INV(RAND())</f>
        <v>-2.9006989806564284E-2</v>
      </c>
    </row>
    <row r="1860" spans="18:21" x14ac:dyDescent="0.2">
      <c r="R1860" s="49">
        <v>1858</v>
      </c>
      <c r="S1860" s="59">
        <f ca="1">Dashboard!B$8* Dashboard!$F$4+Dashboard!B$10*SQRT(Dashboard!$F$4) * _xlfn.NORM.S.INV(RAND())</f>
        <v>-2.242050278938347E-4</v>
      </c>
      <c r="T1860" s="59">
        <f ca="1">Dashboard!C$8* Dashboard!$F$4+Dashboard!C$10*SQRT(Dashboard!$F$4) * _xlfn.NORM.S.INV(RAND())</f>
        <v>-1.5888451846475585E-2</v>
      </c>
      <c r="U1860" s="59">
        <f ca="1">Dashboard!D$8* Dashboard!$F$4+Dashboard!D$10*SQRT(Dashboard!$F$4) * _xlfn.NORM.S.INV(RAND())</f>
        <v>-2.3187735795779551E-2</v>
      </c>
    </row>
    <row r="1861" spans="18:21" x14ac:dyDescent="0.2">
      <c r="R1861" s="49">
        <v>1859</v>
      </c>
      <c r="S1861" s="59">
        <f ca="1">Dashboard!B$8* Dashboard!$F$4+Dashboard!B$10*SQRT(Dashboard!$F$4) * _xlfn.NORM.S.INV(RAND())</f>
        <v>3.0040277508794871E-2</v>
      </c>
      <c r="T1861" s="59">
        <f ca="1">Dashboard!C$8* Dashboard!$F$4+Dashboard!C$10*SQRT(Dashboard!$F$4) * _xlfn.NORM.S.INV(RAND())</f>
        <v>-1.6211149003613383E-3</v>
      </c>
      <c r="U1861" s="59">
        <f ca="1">Dashboard!D$8* Dashboard!$F$4+Dashboard!D$10*SQRT(Dashboard!$F$4) * _xlfn.NORM.S.INV(RAND())</f>
        <v>-8.9371849751666566E-3</v>
      </c>
    </row>
    <row r="1862" spans="18:21" x14ac:dyDescent="0.2">
      <c r="R1862" s="49">
        <v>1860</v>
      </c>
      <c r="S1862" s="59">
        <f ca="1">Dashboard!B$8* Dashboard!$F$4+Dashboard!B$10*SQRT(Dashboard!$F$4) * _xlfn.NORM.S.INV(RAND())</f>
        <v>-4.0748991814678573E-2</v>
      </c>
      <c r="T1862" s="59">
        <f ca="1">Dashboard!C$8* Dashboard!$F$4+Dashboard!C$10*SQRT(Dashboard!$F$4) * _xlfn.NORM.S.INV(RAND())</f>
        <v>-2.0871636466453583E-4</v>
      </c>
      <c r="U1862" s="59">
        <f ca="1">Dashboard!D$8* Dashboard!$F$4+Dashboard!D$10*SQRT(Dashboard!$F$4) * _xlfn.NORM.S.INV(RAND())</f>
        <v>1.771508566725008E-2</v>
      </c>
    </row>
    <row r="1863" spans="18:21" x14ac:dyDescent="0.2">
      <c r="R1863" s="49">
        <v>1861</v>
      </c>
      <c r="S1863" s="59">
        <f ca="1">Dashboard!B$8* Dashboard!$F$4+Dashboard!B$10*SQRT(Dashboard!$F$4) * _xlfn.NORM.S.INV(RAND())</f>
        <v>-5.652094361156732E-4</v>
      </c>
      <c r="T1863" s="59">
        <f ca="1">Dashboard!C$8* Dashboard!$F$4+Dashboard!C$10*SQRT(Dashboard!$F$4) * _xlfn.NORM.S.INV(RAND())</f>
        <v>2.0832545158708589E-2</v>
      </c>
      <c r="U1863" s="59">
        <f ca="1">Dashboard!D$8* Dashboard!$F$4+Dashboard!D$10*SQRT(Dashboard!$F$4) * _xlfn.NORM.S.INV(RAND())</f>
        <v>-1.9592894429706197E-3</v>
      </c>
    </row>
    <row r="1864" spans="18:21" x14ac:dyDescent="0.2">
      <c r="R1864" s="49">
        <v>1862</v>
      </c>
      <c r="S1864" s="59">
        <f ca="1">Dashboard!B$8* Dashboard!$F$4+Dashboard!B$10*SQRT(Dashboard!$F$4) * _xlfn.NORM.S.INV(RAND())</f>
        <v>1.672647085442034E-2</v>
      </c>
      <c r="T1864" s="59">
        <f ca="1">Dashboard!C$8* Dashboard!$F$4+Dashboard!C$10*SQRT(Dashboard!$F$4) * _xlfn.NORM.S.INV(RAND())</f>
        <v>6.243035901754939E-3</v>
      </c>
      <c r="U1864" s="59">
        <f ca="1">Dashboard!D$8* Dashboard!$F$4+Dashboard!D$10*SQRT(Dashboard!$F$4) * _xlfn.NORM.S.INV(RAND())</f>
        <v>-4.8732782054417459E-2</v>
      </c>
    </row>
    <row r="1865" spans="18:21" x14ac:dyDescent="0.2">
      <c r="R1865" s="49">
        <v>1863</v>
      </c>
      <c r="S1865" s="59">
        <f ca="1">Dashboard!B$8* Dashboard!$F$4+Dashboard!B$10*SQRT(Dashboard!$F$4) * _xlfn.NORM.S.INV(RAND())</f>
        <v>-3.976858760050573E-2</v>
      </c>
      <c r="T1865" s="59">
        <f ca="1">Dashboard!C$8* Dashboard!$F$4+Dashboard!C$10*SQRT(Dashboard!$F$4) * _xlfn.NORM.S.INV(RAND())</f>
        <v>5.5649019783626779E-3</v>
      </c>
      <c r="U1865" s="59">
        <f ca="1">Dashboard!D$8* Dashboard!$F$4+Dashboard!D$10*SQRT(Dashboard!$F$4) * _xlfn.NORM.S.INV(RAND())</f>
        <v>3.4399088950469565E-2</v>
      </c>
    </row>
    <row r="1866" spans="18:21" x14ac:dyDescent="0.2">
      <c r="R1866" s="49">
        <v>1864</v>
      </c>
      <c r="S1866" s="59">
        <f ca="1">Dashboard!B$8* Dashboard!$F$4+Dashboard!B$10*SQRT(Dashboard!$F$4) * _xlfn.NORM.S.INV(RAND())</f>
        <v>1.111954303035808E-2</v>
      </c>
      <c r="T1866" s="59">
        <f ca="1">Dashboard!C$8* Dashboard!$F$4+Dashboard!C$10*SQRT(Dashboard!$F$4) * _xlfn.NORM.S.INV(RAND())</f>
        <v>1.0350877822768341E-2</v>
      </c>
      <c r="U1866" s="59">
        <f ca="1">Dashboard!D$8* Dashboard!$F$4+Dashboard!D$10*SQRT(Dashboard!$F$4) * _xlfn.NORM.S.INV(RAND())</f>
        <v>4.0378259242163449E-2</v>
      </c>
    </row>
    <row r="1867" spans="18:21" x14ac:dyDescent="0.2">
      <c r="R1867" s="49">
        <v>1865</v>
      </c>
      <c r="S1867" s="59">
        <f ca="1">Dashboard!B$8* Dashboard!$F$4+Dashboard!B$10*SQRT(Dashboard!$F$4) * _xlfn.NORM.S.INV(RAND())</f>
        <v>4.2606316772363963E-4</v>
      </c>
      <c r="T1867" s="59">
        <f ca="1">Dashboard!C$8* Dashboard!$F$4+Dashboard!C$10*SQRT(Dashboard!$F$4) * _xlfn.NORM.S.INV(RAND())</f>
        <v>3.3699298977333189E-2</v>
      </c>
      <c r="U1867" s="59">
        <f ca="1">Dashboard!D$8* Dashboard!$F$4+Dashboard!D$10*SQRT(Dashboard!$F$4) * _xlfn.NORM.S.INV(RAND())</f>
        <v>-1.0560411769098716E-2</v>
      </c>
    </row>
    <row r="1868" spans="18:21" x14ac:dyDescent="0.2">
      <c r="R1868" s="49">
        <v>1866</v>
      </c>
      <c r="S1868" s="59">
        <f ca="1">Dashboard!B$8* Dashboard!$F$4+Dashboard!B$10*SQRT(Dashboard!$F$4) * _xlfn.NORM.S.INV(RAND())</f>
        <v>-3.0654989730989922E-2</v>
      </c>
      <c r="T1868" s="59">
        <f ca="1">Dashboard!C$8* Dashboard!$F$4+Dashboard!C$10*SQRT(Dashboard!$F$4) * _xlfn.NORM.S.INV(RAND())</f>
        <v>-1.6137186018571593E-2</v>
      </c>
      <c r="U1868" s="59">
        <f ca="1">Dashboard!D$8* Dashboard!$F$4+Dashboard!D$10*SQRT(Dashboard!$F$4) * _xlfn.NORM.S.INV(RAND())</f>
        <v>6.7041554375053269E-3</v>
      </c>
    </row>
    <row r="1869" spans="18:21" x14ac:dyDescent="0.2">
      <c r="R1869" s="49">
        <v>1867</v>
      </c>
      <c r="S1869" s="59">
        <f ca="1">Dashboard!B$8* Dashboard!$F$4+Dashboard!B$10*SQRT(Dashboard!$F$4) * _xlfn.NORM.S.INV(RAND())</f>
        <v>-3.4010359592391584E-2</v>
      </c>
      <c r="T1869" s="59">
        <f ca="1">Dashboard!C$8* Dashboard!$F$4+Dashboard!C$10*SQRT(Dashboard!$F$4) * _xlfn.NORM.S.INV(RAND())</f>
        <v>5.258489025365666E-2</v>
      </c>
      <c r="U1869" s="59">
        <f ca="1">Dashboard!D$8* Dashboard!$F$4+Dashboard!D$10*SQRT(Dashboard!$F$4) * _xlfn.NORM.S.INV(RAND())</f>
        <v>4.3941371552618194E-2</v>
      </c>
    </row>
    <row r="1870" spans="18:21" x14ac:dyDescent="0.2">
      <c r="R1870" s="49">
        <v>1868</v>
      </c>
      <c r="S1870" s="59">
        <f ca="1">Dashboard!B$8* Dashboard!$F$4+Dashboard!B$10*SQRT(Dashboard!$F$4) * _xlfn.NORM.S.INV(RAND())</f>
        <v>-3.2258719486043218E-2</v>
      </c>
      <c r="T1870" s="59">
        <f ca="1">Dashboard!C$8* Dashboard!$F$4+Dashboard!C$10*SQRT(Dashboard!$F$4) * _xlfn.NORM.S.INV(RAND())</f>
        <v>1.6166136766494227E-2</v>
      </c>
      <c r="U1870" s="59">
        <f ca="1">Dashboard!D$8* Dashboard!$F$4+Dashboard!D$10*SQRT(Dashboard!$F$4) * _xlfn.NORM.S.INV(RAND())</f>
        <v>1.1176285395685225E-2</v>
      </c>
    </row>
    <row r="1871" spans="18:21" x14ac:dyDescent="0.2">
      <c r="R1871" s="49">
        <v>1869</v>
      </c>
      <c r="S1871" s="59">
        <f ca="1">Dashboard!B$8* Dashboard!$F$4+Dashboard!B$10*SQRT(Dashboard!$F$4) * _xlfn.NORM.S.INV(RAND())</f>
        <v>-2.1498137941547521E-2</v>
      </c>
      <c r="T1871" s="59">
        <f ca="1">Dashboard!C$8* Dashboard!$F$4+Dashboard!C$10*SQRT(Dashboard!$F$4) * _xlfn.NORM.S.INV(RAND())</f>
        <v>-3.5377588920739713E-3</v>
      </c>
      <c r="U1871" s="59">
        <f ca="1">Dashboard!D$8* Dashboard!$F$4+Dashboard!D$10*SQRT(Dashboard!$F$4) * _xlfn.NORM.S.INV(RAND())</f>
        <v>-5.8113996447879672E-2</v>
      </c>
    </row>
    <row r="1872" spans="18:21" x14ac:dyDescent="0.2">
      <c r="R1872" s="49">
        <v>1870</v>
      </c>
      <c r="S1872" s="59">
        <f ca="1">Dashboard!B$8* Dashboard!$F$4+Dashboard!B$10*SQRT(Dashboard!$F$4) * _xlfn.NORM.S.INV(RAND())</f>
        <v>-3.273244037499283E-2</v>
      </c>
      <c r="T1872" s="59">
        <f ca="1">Dashboard!C$8* Dashboard!$F$4+Dashboard!C$10*SQRT(Dashboard!$F$4) * _xlfn.NORM.S.INV(RAND())</f>
        <v>3.3563605903442987E-3</v>
      </c>
      <c r="U1872" s="59">
        <f ca="1">Dashboard!D$8* Dashboard!$F$4+Dashboard!D$10*SQRT(Dashboard!$F$4) * _xlfn.NORM.S.INV(RAND())</f>
        <v>1.1878607652591459E-2</v>
      </c>
    </row>
    <row r="1873" spans="18:21" x14ac:dyDescent="0.2">
      <c r="R1873" s="49">
        <v>1871</v>
      </c>
      <c r="S1873" s="59">
        <f ca="1">Dashboard!B$8* Dashboard!$F$4+Dashboard!B$10*SQRT(Dashboard!$F$4) * _xlfn.NORM.S.INV(RAND())</f>
        <v>2.2381357199887146E-2</v>
      </c>
      <c r="T1873" s="59">
        <f ca="1">Dashboard!C$8* Dashboard!$F$4+Dashboard!C$10*SQRT(Dashboard!$F$4) * _xlfn.NORM.S.INV(RAND())</f>
        <v>1.5529545143750774E-2</v>
      </c>
      <c r="U1873" s="59">
        <f ca="1">Dashboard!D$8* Dashboard!$F$4+Dashboard!D$10*SQRT(Dashboard!$F$4) * _xlfn.NORM.S.INV(RAND())</f>
        <v>-8.926855136164414E-3</v>
      </c>
    </row>
    <row r="1874" spans="18:21" x14ac:dyDescent="0.2">
      <c r="R1874" s="49">
        <v>1872</v>
      </c>
      <c r="S1874" s="59">
        <f ca="1">Dashboard!B$8* Dashboard!$F$4+Dashboard!B$10*SQRT(Dashboard!$F$4) * _xlfn.NORM.S.INV(RAND())</f>
        <v>6.8346618642030794E-3</v>
      </c>
      <c r="T1874" s="59">
        <f ca="1">Dashboard!C$8* Dashboard!$F$4+Dashboard!C$10*SQRT(Dashboard!$F$4) * _xlfn.NORM.S.INV(RAND())</f>
        <v>2.4638753468137964E-3</v>
      </c>
      <c r="U1874" s="59">
        <f ca="1">Dashboard!D$8* Dashboard!$F$4+Dashboard!D$10*SQRT(Dashboard!$F$4) * _xlfn.NORM.S.INV(RAND())</f>
        <v>-7.3166696959561364E-2</v>
      </c>
    </row>
    <row r="1875" spans="18:21" x14ac:dyDescent="0.2">
      <c r="R1875" s="49">
        <v>1873</v>
      </c>
      <c r="S1875" s="59">
        <f ca="1">Dashboard!B$8* Dashboard!$F$4+Dashboard!B$10*SQRT(Dashboard!$F$4) * _xlfn.NORM.S.INV(RAND())</f>
        <v>5.5939537331639526E-2</v>
      </c>
      <c r="T1875" s="59">
        <f ca="1">Dashboard!C$8* Dashboard!$F$4+Dashboard!C$10*SQRT(Dashboard!$F$4) * _xlfn.NORM.S.INV(RAND())</f>
        <v>-8.5368353542674101E-3</v>
      </c>
      <c r="U1875" s="59">
        <f ca="1">Dashboard!D$8* Dashboard!$F$4+Dashboard!D$10*SQRT(Dashboard!$F$4) * _xlfn.NORM.S.INV(RAND())</f>
        <v>3.0946003513922241E-2</v>
      </c>
    </row>
    <row r="1876" spans="18:21" x14ac:dyDescent="0.2">
      <c r="R1876" s="49">
        <v>1874</v>
      </c>
      <c r="S1876" s="59">
        <f ca="1">Dashboard!B$8* Dashboard!$F$4+Dashboard!B$10*SQRT(Dashboard!$F$4) * _xlfn.NORM.S.INV(RAND())</f>
        <v>-1.3315718858047831E-2</v>
      </c>
      <c r="T1876" s="59">
        <f ca="1">Dashboard!C$8* Dashboard!$F$4+Dashboard!C$10*SQRT(Dashboard!$F$4) * _xlfn.NORM.S.INV(RAND())</f>
        <v>3.0489507408545106E-2</v>
      </c>
      <c r="U1876" s="59">
        <f ca="1">Dashboard!D$8* Dashboard!$F$4+Dashboard!D$10*SQRT(Dashboard!$F$4) * _xlfn.NORM.S.INV(RAND())</f>
        <v>1.7814073544848642E-2</v>
      </c>
    </row>
    <row r="1877" spans="18:21" x14ac:dyDescent="0.2">
      <c r="R1877" s="49">
        <v>1875</v>
      </c>
      <c r="S1877" s="59">
        <f ca="1">Dashboard!B$8* Dashboard!$F$4+Dashboard!B$10*SQRT(Dashboard!$F$4) * _xlfn.NORM.S.INV(RAND())</f>
        <v>2.1896332425998435E-2</v>
      </c>
      <c r="T1877" s="59">
        <f ca="1">Dashboard!C$8* Dashboard!$F$4+Dashboard!C$10*SQRT(Dashboard!$F$4) * _xlfn.NORM.S.INV(RAND())</f>
        <v>-2.500497067485585E-2</v>
      </c>
      <c r="U1877" s="59">
        <f ca="1">Dashboard!D$8* Dashboard!$F$4+Dashboard!D$10*SQRT(Dashboard!$F$4) * _xlfn.NORM.S.INV(RAND())</f>
        <v>-2.2986216155469925E-2</v>
      </c>
    </row>
    <row r="1878" spans="18:21" x14ac:dyDescent="0.2">
      <c r="R1878" s="49">
        <v>1876</v>
      </c>
      <c r="S1878" s="59">
        <f ca="1">Dashboard!B$8* Dashboard!$F$4+Dashboard!B$10*SQRT(Dashboard!$F$4) * _xlfn.NORM.S.INV(RAND())</f>
        <v>3.5389251310703768E-3</v>
      </c>
      <c r="T1878" s="59">
        <f ca="1">Dashboard!C$8* Dashboard!$F$4+Dashboard!C$10*SQRT(Dashboard!$F$4) * _xlfn.NORM.S.INV(RAND())</f>
        <v>5.7003846336431511E-2</v>
      </c>
      <c r="U1878" s="59">
        <f ca="1">Dashboard!D$8* Dashboard!$F$4+Dashboard!D$10*SQRT(Dashboard!$F$4) * _xlfn.NORM.S.INV(RAND())</f>
        <v>7.7149251891427309E-2</v>
      </c>
    </row>
    <row r="1879" spans="18:21" x14ac:dyDescent="0.2">
      <c r="R1879" s="49">
        <v>1877</v>
      </c>
      <c r="S1879" s="59">
        <f ca="1">Dashboard!B$8* Dashboard!$F$4+Dashboard!B$10*SQRT(Dashboard!$F$4) * _xlfn.NORM.S.INV(RAND())</f>
        <v>-2.2740607065940076E-2</v>
      </c>
      <c r="T1879" s="59">
        <f ca="1">Dashboard!C$8* Dashboard!$F$4+Dashboard!C$10*SQRT(Dashboard!$F$4) * _xlfn.NORM.S.INV(RAND())</f>
        <v>2.0066446895140536E-3</v>
      </c>
      <c r="U1879" s="59">
        <f ca="1">Dashboard!D$8* Dashboard!$F$4+Dashboard!D$10*SQRT(Dashboard!$F$4) * _xlfn.NORM.S.INV(RAND())</f>
        <v>2.640104928419747E-2</v>
      </c>
    </row>
    <row r="1880" spans="18:21" x14ac:dyDescent="0.2">
      <c r="R1880" s="49">
        <v>1878</v>
      </c>
      <c r="S1880" s="59">
        <f ca="1">Dashboard!B$8* Dashboard!$F$4+Dashboard!B$10*SQRT(Dashboard!$F$4) * _xlfn.NORM.S.INV(RAND())</f>
        <v>2.6687563657331985E-2</v>
      </c>
      <c r="T1880" s="59">
        <f ca="1">Dashboard!C$8* Dashboard!$F$4+Dashboard!C$10*SQRT(Dashboard!$F$4) * _xlfn.NORM.S.INV(RAND())</f>
        <v>-1.7643104744766318E-2</v>
      </c>
      <c r="U1880" s="59">
        <f ca="1">Dashboard!D$8* Dashboard!$F$4+Dashboard!D$10*SQRT(Dashboard!$F$4) * _xlfn.NORM.S.INV(RAND())</f>
        <v>-3.494900686327914E-2</v>
      </c>
    </row>
    <row r="1881" spans="18:21" x14ac:dyDescent="0.2">
      <c r="R1881" s="49">
        <v>1879</v>
      </c>
      <c r="S1881" s="59">
        <f ca="1">Dashboard!B$8* Dashboard!$F$4+Dashboard!B$10*SQRT(Dashboard!$F$4) * _xlfn.NORM.S.INV(RAND())</f>
        <v>-3.291278306655377E-2</v>
      </c>
      <c r="T1881" s="59">
        <f ca="1">Dashboard!C$8* Dashboard!$F$4+Dashboard!C$10*SQRT(Dashboard!$F$4) * _xlfn.NORM.S.INV(RAND())</f>
        <v>5.6057742988374799E-3</v>
      </c>
      <c r="U1881" s="59">
        <f ca="1">Dashboard!D$8* Dashboard!$F$4+Dashboard!D$10*SQRT(Dashboard!$F$4) * _xlfn.NORM.S.INV(RAND())</f>
        <v>5.2041576266595328E-2</v>
      </c>
    </row>
    <row r="1882" spans="18:21" x14ac:dyDescent="0.2">
      <c r="R1882" s="49">
        <v>1880</v>
      </c>
      <c r="S1882" s="59">
        <f ca="1">Dashboard!B$8* Dashboard!$F$4+Dashboard!B$10*SQRT(Dashboard!$F$4) * _xlfn.NORM.S.INV(RAND())</f>
        <v>8.5388779210453739E-3</v>
      </c>
      <c r="T1882" s="59">
        <f ca="1">Dashboard!C$8* Dashboard!$F$4+Dashboard!C$10*SQRT(Dashboard!$F$4) * _xlfn.NORM.S.INV(RAND())</f>
        <v>-9.0809073638759424E-3</v>
      </c>
      <c r="U1882" s="59">
        <f ca="1">Dashboard!D$8* Dashboard!$F$4+Dashboard!D$10*SQRT(Dashboard!$F$4) * _xlfn.NORM.S.INV(RAND())</f>
        <v>3.0964021000462021E-3</v>
      </c>
    </row>
    <row r="1883" spans="18:21" x14ac:dyDescent="0.2">
      <c r="R1883" s="49">
        <v>1881</v>
      </c>
      <c r="S1883" s="59">
        <f ca="1">Dashboard!B$8* Dashboard!$F$4+Dashboard!B$10*SQRT(Dashboard!$F$4) * _xlfn.NORM.S.INV(RAND())</f>
        <v>3.469253228130359E-2</v>
      </c>
      <c r="T1883" s="59">
        <f ca="1">Dashboard!C$8* Dashboard!$F$4+Dashboard!C$10*SQRT(Dashboard!$F$4) * _xlfn.NORM.S.INV(RAND())</f>
        <v>1.6980368484890245E-2</v>
      </c>
      <c r="U1883" s="59">
        <f ca="1">Dashboard!D$8* Dashboard!$F$4+Dashboard!D$10*SQRT(Dashboard!$F$4) * _xlfn.NORM.S.INV(RAND())</f>
        <v>3.1794140704197144E-2</v>
      </c>
    </row>
    <row r="1884" spans="18:21" x14ac:dyDescent="0.2">
      <c r="R1884" s="49">
        <v>1882</v>
      </c>
      <c r="S1884" s="59">
        <f ca="1">Dashboard!B$8* Dashboard!$F$4+Dashboard!B$10*SQRT(Dashboard!$F$4) * _xlfn.NORM.S.INV(RAND())</f>
        <v>-4.483707101981757E-2</v>
      </c>
      <c r="T1884" s="59">
        <f ca="1">Dashboard!C$8* Dashboard!$F$4+Dashboard!C$10*SQRT(Dashboard!$F$4) * _xlfn.NORM.S.INV(RAND())</f>
        <v>-1.4451527963850304E-2</v>
      </c>
      <c r="U1884" s="59">
        <f ca="1">Dashboard!D$8* Dashboard!$F$4+Dashboard!D$10*SQRT(Dashboard!$F$4) * _xlfn.NORM.S.INV(RAND())</f>
        <v>-3.3183502774258335E-2</v>
      </c>
    </row>
    <row r="1885" spans="18:21" x14ac:dyDescent="0.2">
      <c r="R1885" s="49">
        <v>1883</v>
      </c>
      <c r="S1885" s="59">
        <f ca="1">Dashboard!B$8* Dashboard!$F$4+Dashboard!B$10*SQRT(Dashboard!$F$4) * _xlfn.NORM.S.INV(RAND())</f>
        <v>4.2470588720666676E-2</v>
      </c>
      <c r="T1885" s="59">
        <f ca="1">Dashboard!C$8* Dashboard!$F$4+Dashboard!C$10*SQRT(Dashboard!$F$4) * _xlfn.NORM.S.INV(RAND())</f>
        <v>4.8724147946923729E-2</v>
      </c>
      <c r="U1885" s="59">
        <f ca="1">Dashboard!D$8* Dashboard!$F$4+Dashboard!D$10*SQRT(Dashboard!$F$4) * _xlfn.NORM.S.INV(RAND())</f>
        <v>2.2236394055899601E-2</v>
      </c>
    </row>
    <row r="1886" spans="18:21" x14ac:dyDescent="0.2">
      <c r="R1886" s="49">
        <v>1884</v>
      </c>
      <c r="S1886" s="59">
        <f ca="1">Dashboard!B$8* Dashboard!$F$4+Dashboard!B$10*SQRT(Dashboard!$F$4) * _xlfn.NORM.S.INV(RAND())</f>
        <v>2.7077194686026904E-3</v>
      </c>
      <c r="T1886" s="59">
        <f ca="1">Dashboard!C$8* Dashboard!$F$4+Dashboard!C$10*SQRT(Dashboard!$F$4) * _xlfn.NORM.S.INV(RAND())</f>
        <v>4.311762353315015E-2</v>
      </c>
      <c r="U1886" s="59">
        <f ca="1">Dashboard!D$8* Dashboard!$F$4+Dashboard!D$10*SQRT(Dashboard!$F$4) * _xlfn.NORM.S.INV(RAND())</f>
        <v>3.4792942287485834E-2</v>
      </c>
    </row>
    <row r="1887" spans="18:21" x14ac:dyDescent="0.2">
      <c r="R1887" s="49">
        <v>1885</v>
      </c>
      <c r="S1887" s="59">
        <f ca="1">Dashboard!B$8* Dashboard!$F$4+Dashboard!B$10*SQRT(Dashboard!$F$4) * _xlfn.NORM.S.INV(RAND())</f>
        <v>2.4014966298520721E-2</v>
      </c>
      <c r="T1887" s="59">
        <f ca="1">Dashboard!C$8* Dashboard!$F$4+Dashboard!C$10*SQRT(Dashboard!$F$4) * _xlfn.NORM.S.INV(RAND())</f>
        <v>8.784145402015979E-2</v>
      </c>
      <c r="U1887" s="59">
        <f ca="1">Dashboard!D$8* Dashboard!$F$4+Dashboard!D$10*SQRT(Dashboard!$F$4) * _xlfn.NORM.S.INV(RAND())</f>
        <v>-3.275466755920501E-2</v>
      </c>
    </row>
    <row r="1888" spans="18:21" x14ac:dyDescent="0.2">
      <c r="R1888" s="49">
        <v>1886</v>
      </c>
      <c r="S1888" s="59">
        <f ca="1">Dashboard!B$8* Dashboard!$F$4+Dashboard!B$10*SQRT(Dashboard!$F$4) * _xlfn.NORM.S.INV(RAND())</f>
        <v>3.0969768017825687E-2</v>
      </c>
      <c r="T1888" s="59">
        <f ca="1">Dashboard!C$8* Dashboard!$F$4+Dashboard!C$10*SQRT(Dashboard!$F$4) * _xlfn.NORM.S.INV(RAND())</f>
        <v>2.4870472383856795E-2</v>
      </c>
      <c r="U1888" s="59">
        <f ca="1">Dashboard!D$8* Dashboard!$F$4+Dashboard!D$10*SQRT(Dashboard!$F$4) * _xlfn.NORM.S.INV(RAND())</f>
        <v>-1.5360443881096936E-2</v>
      </c>
    </row>
    <row r="1889" spans="18:21" x14ac:dyDescent="0.2">
      <c r="R1889" s="49">
        <v>1887</v>
      </c>
      <c r="S1889" s="59">
        <f ca="1">Dashboard!B$8* Dashboard!$F$4+Dashboard!B$10*SQRT(Dashboard!$F$4) * _xlfn.NORM.S.INV(RAND())</f>
        <v>2.4416891635138396E-2</v>
      </c>
      <c r="T1889" s="59">
        <f ca="1">Dashboard!C$8* Dashboard!$F$4+Dashboard!C$10*SQRT(Dashboard!$F$4) * _xlfn.NORM.S.INV(RAND())</f>
        <v>2.8829835792954381E-2</v>
      </c>
      <c r="U1889" s="59">
        <f ca="1">Dashboard!D$8* Dashboard!$F$4+Dashboard!D$10*SQRT(Dashboard!$F$4) * _xlfn.NORM.S.INV(RAND())</f>
        <v>1.9348551365252185E-2</v>
      </c>
    </row>
    <row r="1890" spans="18:21" x14ac:dyDescent="0.2">
      <c r="R1890" s="49">
        <v>1888</v>
      </c>
      <c r="S1890" s="59">
        <f ca="1">Dashboard!B$8* Dashboard!$F$4+Dashboard!B$10*SQRT(Dashboard!$F$4) * _xlfn.NORM.S.INV(RAND())</f>
        <v>-3.599371161306375E-2</v>
      </c>
      <c r="T1890" s="59">
        <f ca="1">Dashboard!C$8* Dashboard!$F$4+Dashboard!C$10*SQRT(Dashboard!$F$4) * _xlfn.NORM.S.INV(RAND())</f>
        <v>-6.0143778885424798E-2</v>
      </c>
      <c r="U1890" s="59">
        <f ca="1">Dashboard!D$8* Dashboard!$F$4+Dashboard!D$10*SQRT(Dashboard!$F$4) * _xlfn.NORM.S.INV(RAND())</f>
        <v>-1.9374825333885074E-2</v>
      </c>
    </row>
    <row r="1891" spans="18:21" x14ac:dyDescent="0.2">
      <c r="R1891" s="49">
        <v>1889</v>
      </c>
      <c r="S1891" s="59">
        <f ca="1">Dashboard!B$8* Dashboard!$F$4+Dashboard!B$10*SQRT(Dashboard!$F$4) * _xlfn.NORM.S.INV(RAND())</f>
        <v>2.6644412110574875E-2</v>
      </c>
      <c r="T1891" s="59">
        <f ca="1">Dashboard!C$8* Dashboard!$F$4+Dashboard!C$10*SQRT(Dashboard!$F$4) * _xlfn.NORM.S.INV(RAND())</f>
        <v>1.3597681441647944E-2</v>
      </c>
      <c r="U1891" s="59">
        <f ca="1">Dashboard!D$8* Dashboard!$F$4+Dashboard!D$10*SQRT(Dashboard!$F$4) * _xlfn.NORM.S.INV(RAND())</f>
        <v>-2.5967473247268846E-2</v>
      </c>
    </row>
    <row r="1892" spans="18:21" x14ac:dyDescent="0.2">
      <c r="R1892" s="49">
        <v>1890</v>
      </c>
      <c r="S1892" s="59">
        <f ca="1">Dashboard!B$8* Dashboard!$F$4+Dashboard!B$10*SQRT(Dashboard!$F$4) * _xlfn.NORM.S.INV(RAND())</f>
        <v>0.10085266510439449</v>
      </c>
      <c r="T1892" s="59">
        <f ca="1">Dashboard!C$8* Dashboard!$F$4+Dashboard!C$10*SQRT(Dashboard!$F$4) * _xlfn.NORM.S.INV(RAND())</f>
        <v>4.0684662990493822E-3</v>
      </c>
      <c r="U1892" s="59">
        <f ca="1">Dashboard!D$8* Dashboard!$F$4+Dashboard!D$10*SQRT(Dashboard!$F$4) * _xlfn.NORM.S.INV(RAND())</f>
        <v>-1.1831479450286903E-3</v>
      </c>
    </row>
    <row r="1893" spans="18:21" x14ac:dyDescent="0.2">
      <c r="R1893" s="49">
        <v>1891</v>
      </c>
      <c r="S1893" s="59">
        <f ca="1">Dashboard!B$8* Dashboard!$F$4+Dashboard!B$10*SQRT(Dashboard!$F$4) * _xlfn.NORM.S.INV(RAND())</f>
        <v>4.5400588128476201E-2</v>
      </c>
      <c r="T1893" s="59">
        <f ca="1">Dashboard!C$8* Dashboard!$F$4+Dashboard!C$10*SQRT(Dashboard!$F$4) * _xlfn.NORM.S.INV(RAND())</f>
        <v>9.5446507200217679E-3</v>
      </c>
      <c r="U1893" s="59">
        <f ca="1">Dashboard!D$8* Dashboard!$F$4+Dashboard!D$10*SQRT(Dashboard!$F$4) * _xlfn.NORM.S.INV(RAND())</f>
        <v>-5.7628341824256281E-3</v>
      </c>
    </row>
    <row r="1894" spans="18:21" x14ac:dyDescent="0.2">
      <c r="R1894" s="49">
        <v>1892</v>
      </c>
      <c r="S1894" s="59">
        <f ca="1">Dashboard!B$8* Dashboard!$F$4+Dashboard!B$10*SQRT(Dashboard!$F$4) * _xlfn.NORM.S.INV(RAND())</f>
        <v>-1.1153617225773467E-2</v>
      </c>
      <c r="T1894" s="59">
        <f ca="1">Dashboard!C$8* Dashboard!$F$4+Dashboard!C$10*SQRT(Dashboard!$F$4) * _xlfn.NORM.S.INV(RAND())</f>
        <v>-1.8458300743788913E-2</v>
      </c>
      <c r="U1894" s="59">
        <f ca="1">Dashboard!D$8* Dashboard!$F$4+Dashboard!D$10*SQRT(Dashboard!$F$4) * _xlfn.NORM.S.INV(RAND())</f>
        <v>4.1583075684300107E-2</v>
      </c>
    </row>
    <row r="1895" spans="18:21" x14ac:dyDescent="0.2">
      <c r="R1895" s="49">
        <v>1893</v>
      </c>
      <c r="S1895" s="59">
        <f ca="1">Dashboard!B$8* Dashboard!$F$4+Dashboard!B$10*SQRT(Dashboard!$F$4) * _xlfn.NORM.S.INV(RAND())</f>
        <v>1.8972867709899817E-2</v>
      </c>
      <c r="T1895" s="59">
        <f ca="1">Dashboard!C$8* Dashboard!$F$4+Dashboard!C$10*SQRT(Dashboard!$F$4) * _xlfn.NORM.S.INV(RAND())</f>
        <v>5.5404085991934568E-2</v>
      </c>
      <c r="U1895" s="59">
        <f ca="1">Dashboard!D$8* Dashboard!$F$4+Dashboard!D$10*SQRT(Dashboard!$F$4) * _xlfn.NORM.S.INV(RAND())</f>
        <v>-2.8097818176985572E-2</v>
      </c>
    </row>
    <row r="1896" spans="18:21" x14ac:dyDescent="0.2">
      <c r="R1896" s="49">
        <v>1894</v>
      </c>
      <c r="S1896" s="59">
        <f ca="1">Dashboard!B$8* Dashboard!$F$4+Dashboard!B$10*SQRT(Dashboard!$F$4) * _xlfn.NORM.S.INV(RAND())</f>
        <v>5.8162761536110271E-4</v>
      </c>
      <c r="T1896" s="59">
        <f ca="1">Dashboard!C$8* Dashboard!$F$4+Dashboard!C$10*SQRT(Dashboard!$F$4) * _xlfn.NORM.S.INV(RAND())</f>
        <v>-4.3993388641726085E-3</v>
      </c>
      <c r="U1896" s="59">
        <f ca="1">Dashboard!D$8* Dashboard!$F$4+Dashboard!D$10*SQRT(Dashboard!$F$4) * _xlfn.NORM.S.INV(RAND())</f>
        <v>8.0463915270417102E-2</v>
      </c>
    </row>
    <row r="1897" spans="18:21" x14ac:dyDescent="0.2">
      <c r="R1897" s="49">
        <v>1895</v>
      </c>
      <c r="S1897" s="59">
        <f ca="1">Dashboard!B$8* Dashboard!$F$4+Dashboard!B$10*SQRT(Dashboard!$F$4) * _xlfn.NORM.S.INV(RAND())</f>
        <v>-1.1275044134562422E-2</v>
      </c>
      <c r="T1897" s="59">
        <f ca="1">Dashboard!C$8* Dashboard!$F$4+Dashboard!C$10*SQRT(Dashboard!$F$4) * _xlfn.NORM.S.INV(RAND())</f>
        <v>-5.6419403154222246E-4</v>
      </c>
      <c r="U1897" s="59">
        <f ca="1">Dashboard!D$8* Dashboard!$F$4+Dashboard!D$10*SQRT(Dashboard!$F$4) * _xlfn.NORM.S.INV(RAND())</f>
        <v>1.8058295005444827E-2</v>
      </c>
    </row>
    <row r="1898" spans="18:21" x14ac:dyDescent="0.2">
      <c r="R1898" s="49">
        <v>1896</v>
      </c>
      <c r="S1898" s="59">
        <f ca="1">Dashboard!B$8* Dashboard!$F$4+Dashboard!B$10*SQRT(Dashboard!$F$4) * _xlfn.NORM.S.INV(RAND())</f>
        <v>4.0669997052866808E-2</v>
      </c>
      <c r="T1898" s="59">
        <f ca="1">Dashboard!C$8* Dashboard!$F$4+Dashboard!C$10*SQRT(Dashboard!$F$4) * _xlfn.NORM.S.INV(RAND())</f>
        <v>-4.0630441748746908E-2</v>
      </c>
      <c r="U1898" s="59">
        <f ca="1">Dashboard!D$8* Dashboard!$F$4+Dashboard!D$10*SQRT(Dashboard!$F$4) * _xlfn.NORM.S.INV(RAND())</f>
        <v>-1.1076796032536385E-2</v>
      </c>
    </row>
    <row r="1899" spans="18:21" x14ac:dyDescent="0.2">
      <c r="R1899" s="49">
        <v>1897</v>
      </c>
      <c r="S1899" s="59">
        <f ca="1">Dashboard!B$8* Dashboard!$F$4+Dashboard!B$10*SQRT(Dashboard!$F$4) * _xlfn.NORM.S.INV(RAND())</f>
        <v>1.1963048933995137E-2</v>
      </c>
      <c r="T1899" s="59">
        <f ca="1">Dashboard!C$8* Dashboard!$F$4+Dashboard!C$10*SQRT(Dashboard!$F$4) * _xlfn.NORM.S.INV(RAND())</f>
        <v>1.3975947198912715E-2</v>
      </c>
      <c r="U1899" s="59">
        <f ca="1">Dashboard!D$8* Dashboard!$F$4+Dashboard!D$10*SQRT(Dashboard!$F$4) * _xlfn.NORM.S.INV(RAND())</f>
        <v>-8.8051045153817439E-2</v>
      </c>
    </row>
    <row r="1900" spans="18:21" x14ac:dyDescent="0.2">
      <c r="R1900" s="49">
        <v>1898</v>
      </c>
      <c r="S1900" s="59">
        <f ca="1">Dashboard!B$8* Dashboard!$F$4+Dashboard!B$10*SQRT(Dashboard!$F$4) * _xlfn.NORM.S.INV(RAND())</f>
        <v>-1.5747443813331072E-2</v>
      </c>
      <c r="T1900" s="59">
        <f ca="1">Dashboard!C$8* Dashboard!$F$4+Dashboard!C$10*SQRT(Dashboard!$F$4) * _xlfn.NORM.S.INV(RAND())</f>
        <v>3.5571936899687573E-2</v>
      </c>
      <c r="U1900" s="59">
        <f ca="1">Dashboard!D$8* Dashboard!$F$4+Dashboard!D$10*SQRT(Dashboard!$F$4) * _xlfn.NORM.S.INV(RAND())</f>
        <v>3.7064170813962218E-2</v>
      </c>
    </row>
    <row r="1901" spans="18:21" x14ac:dyDescent="0.2">
      <c r="R1901" s="49">
        <v>1899</v>
      </c>
      <c r="S1901" s="59">
        <f ca="1">Dashboard!B$8* Dashboard!$F$4+Dashboard!B$10*SQRT(Dashboard!$F$4) * _xlfn.NORM.S.INV(RAND())</f>
        <v>2.6110810438448921E-2</v>
      </c>
      <c r="T1901" s="59">
        <f ca="1">Dashboard!C$8* Dashboard!$F$4+Dashboard!C$10*SQRT(Dashboard!$F$4) * _xlfn.NORM.S.INV(RAND())</f>
        <v>3.4264996402949617E-2</v>
      </c>
      <c r="U1901" s="59">
        <f ca="1">Dashboard!D$8* Dashboard!$F$4+Dashboard!D$10*SQRT(Dashboard!$F$4) * _xlfn.NORM.S.INV(RAND())</f>
        <v>-2.8559221522448396E-2</v>
      </c>
    </row>
    <row r="1902" spans="18:21" x14ac:dyDescent="0.2">
      <c r="R1902" s="49">
        <v>1900</v>
      </c>
      <c r="S1902" s="59">
        <f ca="1">Dashboard!B$8* Dashboard!$F$4+Dashboard!B$10*SQRT(Dashboard!$F$4) * _xlfn.NORM.S.INV(RAND())</f>
        <v>-5.5433733236691457E-2</v>
      </c>
      <c r="T1902" s="59">
        <f ca="1">Dashboard!C$8* Dashboard!$F$4+Dashboard!C$10*SQRT(Dashboard!$F$4) * _xlfn.NORM.S.INV(RAND())</f>
        <v>4.04594606915595E-2</v>
      </c>
      <c r="U1902" s="59">
        <f ca="1">Dashboard!D$8* Dashboard!$F$4+Dashboard!D$10*SQRT(Dashboard!$F$4) * _xlfn.NORM.S.INV(RAND())</f>
        <v>3.1978290421392202E-3</v>
      </c>
    </row>
    <row r="1903" spans="18:21" x14ac:dyDescent="0.2">
      <c r="R1903" s="49">
        <v>1901</v>
      </c>
      <c r="S1903" s="59">
        <f ca="1">Dashboard!B$8* Dashboard!$F$4+Dashboard!B$10*SQRT(Dashboard!$F$4) * _xlfn.NORM.S.INV(RAND())</f>
        <v>2.0607044223070983E-2</v>
      </c>
      <c r="T1903" s="59">
        <f ca="1">Dashboard!C$8* Dashboard!$F$4+Dashboard!C$10*SQRT(Dashboard!$F$4) * _xlfn.NORM.S.INV(RAND())</f>
        <v>2.8400799193068652E-2</v>
      </c>
      <c r="U1903" s="59">
        <f ca="1">Dashboard!D$8* Dashboard!$F$4+Dashboard!D$10*SQRT(Dashboard!$F$4) * _xlfn.NORM.S.INV(RAND())</f>
        <v>4.4023965839009256E-2</v>
      </c>
    </row>
    <row r="1904" spans="18:21" x14ac:dyDescent="0.2">
      <c r="R1904" s="49">
        <v>1902</v>
      </c>
      <c r="S1904" s="59">
        <f ca="1">Dashboard!B$8* Dashboard!$F$4+Dashboard!B$10*SQRT(Dashboard!$F$4) * _xlfn.NORM.S.INV(RAND())</f>
        <v>-4.1690058608269756E-2</v>
      </c>
      <c r="T1904" s="59">
        <f ca="1">Dashboard!C$8* Dashboard!$F$4+Dashboard!C$10*SQRT(Dashboard!$F$4) * _xlfn.NORM.S.INV(RAND())</f>
        <v>3.2694540946044182E-2</v>
      </c>
      <c r="U1904" s="59">
        <f ca="1">Dashboard!D$8* Dashboard!$F$4+Dashboard!D$10*SQRT(Dashboard!$F$4) * _xlfn.NORM.S.INV(RAND())</f>
        <v>5.6725610343432764E-2</v>
      </c>
    </row>
    <row r="1905" spans="18:21" x14ac:dyDescent="0.2">
      <c r="R1905" s="49">
        <v>1903</v>
      </c>
      <c r="S1905" s="59">
        <f ca="1">Dashboard!B$8* Dashboard!$F$4+Dashboard!B$10*SQRT(Dashboard!$F$4) * _xlfn.NORM.S.INV(RAND())</f>
        <v>9.595969805748809E-3</v>
      </c>
      <c r="T1905" s="59">
        <f ca="1">Dashboard!C$8* Dashboard!$F$4+Dashboard!C$10*SQRT(Dashboard!$F$4) * _xlfn.NORM.S.INV(RAND())</f>
        <v>-3.7488786340981212E-2</v>
      </c>
      <c r="U1905" s="59">
        <f ca="1">Dashboard!D$8* Dashboard!$F$4+Dashboard!D$10*SQRT(Dashboard!$F$4) * _xlfn.NORM.S.INV(RAND())</f>
        <v>-7.017326277213269E-4</v>
      </c>
    </row>
    <row r="1906" spans="18:21" x14ac:dyDescent="0.2">
      <c r="R1906" s="49">
        <v>1904</v>
      </c>
      <c r="S1906" s="59">
        <f ca="1">Dashboard!B$8* Dashboard!$F$4+Dashboard!B$10*SQRT(Dashboard!$F$4) * _xlfn.NORM.S.INV(RAND())</f>
        <v>3.6686118907827595E-2</v>
      </c>
      <c r="T1906" s="59">
        <f ca="1">Dashboard!C$8* Dashboard!$F$4+Dashboard!C$10*SQRT(Dashboard!$F$4) * _xlfn.NORM.S.INV(RAND())</f>
        <v>4.388325919765939E-3</v>
      </c>
      <c r="U1906" s="59">
        <f ca="1">Dashboard!D$8* Dashboard!$F$4+Dashboard!D$10*SQRT(Dashboard!$F$4) * _xlfn.NORM.S.INV(RAND())</f>
        <v>1.5216360195890918E-2</v>
      </c>
    </row>
    <row r="1907" spans="18:21" x14ac:dyDescent="0.2">
      <c r="R1907" s="49">
        <v>1905</v>
      </c>
      <c r="S1907" s="59">
        <f ca="1">Dashboard!B$8* Dashboard!$F$4+Dashboard!B$10*SQRT(Dashboard!$F$4) * _xlfn.NORM.S.INV(RAND())</f>
        <v>1.5806623869318331E-2</v>
      </c>
      <c r="T1907" s="59">
        <f ca="1">Dashboard!C$8* Dashboard!$F$4+Dashboard!C$10*SQRT(Dashboard!$F$4) * _xlfn.NORM.S.INV(RAND())</f>
        <v>1.8326186295130539E-3</v>
      </c>
      <c r="U1907" s="59">
        <f ca="1">Dashboard!D$8* Dashboard!$F$4+Dashboard!D$10*SQRT(Dashboard!$F$4) * _xlfn.NORM.S.INV(RAND())</f>
        <v>2.0923091307834849E-2</v>
      </c>
    </row>
    <row r="1908" spans="18:21" x14ac:dyDescent="0.2">
      <c r="R1908" s="49">
        <v>1906</v>
      </c>
      <c r="S1908" s="59">
        <f ca="1">Dashboard!B$8* Dashboard!$F$4+Dashboard!B$10*SQRT(Dashboard!$F$4) * _xlfn.NORM.S.INV(RAND())</f>
        <v>-1.4895504203515717E-2</v>
      </c>
      <c r="T1908" s="59">
        <f ca="1">Dashboard!C$8* Dashboard!$F$4+Dashboard!C$10*SQRT(Dashboard!$F$4) * _xlfn.NORM.S.INV(RAND())</f>
        <v>6.5672052586709358E-3</v>
      </c>
      <c r="U1908" s="59">
        <f ca="1">Dashboard!D$8* Dashboard!$F$4+Dashboard!D$10*SQRT(Dashboard!$F$4) * _xlfn.NORM.S.INV(RAND())</f>
        <v>-3.0455400675374562E-2</v>
      </c>
    </row>
    <row r="1909" spans="18:21" x14ac:dyDescent="0.2">
      <c r="R1909" s="49">
        <v>1907</v>
      </c>
      <c r="S1909" s="59">
        <f ca="1">Dashboard!B$8* Dashboard!$F$4+Dashboard!B$10*SQRT(Dashboard!$F$4) * _xlfn.NORM.S.INV(RAND())</f>
        <v>-2.6151705832358346E-2</v>
      </c>
      <c r="T1909" s="59">
        <f ca="1">Dashboard!C$8* Dashboard!$F$4+Dashboard!C$10*SQRT(Dashboard!$F$4) * _xlfn.NORM.S.INV(RAND())</f>
        <v>2.2143446416089445E-2</v>
      </c>
      <c r="U1909" s="59">
        <f ca="1">Dashboard!D$8* Dashboard!$F$4+Dashboard!D$10*SQRT(Dashboard!$F$4) * _xlfn.NORM.S.INV(RAND())</f>
        <v>-2.1116049588036579E-2</v>
      </c>
    </row>
    <row r="1910" spans="18:21" x14ac:dyDescent="0.2">
      <c r="R1910" s="49">
        <v>1908</v>
      </c>
      <c r="S1910" s="59">
        <f ca="1">Dashboard!B$8* Dashboard!$F$4+Dashboard!B$10*SQRT(Dashboard!$F$4) * _xlfn.NORM.S.INV(RAND())</f>
        <v>-1.8613531214347286E-2</v>
      </c>
      <c r="T1910" s="59">
        <f ca="1">Dashboard!C$8* Dashboard!$F$4+Dashboard!C$10*SQRT(Dashboard!$F$4) * _xlfn.NORM.S.INV(RAND())</f>
        <v>2.7480589270448788E-2</v>
      </c>
      <c r="U1910" s="59">
        <f ca="1">Dashboard!D$8* Dashboard!$F$4+Dashboard!D$10*SQRT(Dashboard!$F$4) * _xlfn.NORM.S.INV(RAND())</f>
        <v>1.1948695897270916E-2</v>
      </c>
    </row>
    <row r="1911" spans="18:21" x14ac:dyDescent="0.2">
      <c r="R1911" s="49">
        <v>1909</v>
      </c>
      <c r="S1911" s="59">
        <f ca="1">Dashboard!B$8* Dashboard!$F$4+Dashboard!B$10*SQRT(Dashboard!$F$4) * _xlfn.NORM.S.INV(RAND())</f>
        <v>-2.3392935995963482E-2</v>
      </c>
      <c r="T1911" s="59">
        <f ca="1">Dashboard!C$8* Dashboard!$F$4+Dashboard!C$10*SQRT(Dashboard!$F$4) * _xlfn.NORM.S.INV(RAND())</f>
        <v>-2.4099006669911953E-3</v>
      </c>
      <c r="U1911" s="59">
        <f ca="1">Dashboard!D$8* Dashboard!$F$4+Dashboard!D$10*SQRT(Dashboard!$F$4) * _xlfn.NORM.S.INV(RAND())</f>
        <v>-2.4503135511560045E-3</v>
      </c>
    </row>
    <row r="1912" spans="18:21" x14ac:dyDescent="0.2">
      <c r="R1912" s="49">
        <v>1910</v>
      </c>
      <c r="S1912" s="59">
        <f ca="1">Dashboard!B$8* Dashboard!$F$4+Dashboard!B$10*SQRT(Dashboard!$F$4) * _xlfn.NORM.S.INV(RAND())</f>
        <v>-2.3128451038583284E-2</v>
      </c>
      <c r="T1912" s="59">
        <f ca="1">Dashboard!C$8* Dashboard!$F$4+Dashboard!C$10*SQRT(Dashboard!$F$4) * _xlfn.NORM.S.INV(RAND())</f>
        <v>-4.5056765122024521E-2</v>
      </c>
      <c r="U1912" s="59">
        <f ca="1">Dashboard!D$8* Dashboard!$F$4+Dashboard!D$10*SQRT(Dashboard!$F$4) * _xlfn.NORM.S.INV(RAND())</f>
        <v>4.5174961383307247E-2</v>
      </c>
    </row>
    <row r="1913" spans="18:21" x14ac:dyDescent="0.2">
      <c r="R1913" s="49">
        <v>1911</v>
      </c>
      <c r="S1913" s="59">
        <f ca="1">Dashboard!B$8* Dashboard!$F$4+Dashboard!B$10*SQRT(Dashboard!$F$4) * _xlfn.NORM.S.INV(RAND())</f>
        <v>-2.4833135844159653E-3</v>
      </c>
      <c r="T1913" s="59">
        <f ca="1">Dashboard!C$8* Dashboard!$F$4+Dashboard!C$10*SQRT(Dashboard!$F$4) * _xlfn.NORM.S.INV(RAND())</f>
        <v>-2.6836006140881264E-2</v>
      </c>
      <c r="U1913" s="59">
        <f ca="1">Dashboard!D$8* Dashboard!$F$4+Dashboard!D$10*SQRT(Dashboard!$F$4) * _xlfn.NORM.S.INV(RAND())</f>
        <v>-1.5294267479574752E-2</v>
      </c>
    </row>
    <row r="1914" spans="18:21" x14ac:dyDescent="0.2">
      <c r="R1914" s="49">
        <v>1912</v>
      </c>
      <c r="S1914" s="59">
        <f ca="1">Dashboard!B$8* Dashboard!$F$4+Dashboard!B$10*SQRT(Dashboard!$F$4) * _xlfn.NORM.S.INV(RAND())</f>
        <v>3.5379978637926635E-2</v>
      </c>
      <c r="T1914" s="59">
        <f ca="1">Dashboard!C$8* Dashboard!$F$4+Dashboard!C$10*SQRT(Dashboard!$F$4) * _xlfn.NORM.S.INV(RAND())</f>
        <v>5.3659402152419017E-2</v>
      </c>
      <c r="U1914" s="59">
        <f ca="1">Dashboard!D$8* Dashboard!$F$4+Dashboard!D$10*SQRT(Dashboard!$F$4) * _xlfn.NORM.S.INV(RAND())</f>
        <v>-5.9587021811706067E-2</v>
      </c>
    </row>
    <row r="1915" spans="18:21" x14ac:dyDescent="0.2">
      <c r="R1915" s="49">
        <v>1913</v>
      </c>
      <c r="S1915" s="59">
        <f ca="1">Dashboard!B$8* Dashboard!$F$4+Dashboard!B$10*SQRT(Dashboard!$F$4) * _xlfn.NORM.S.INV(RAND())</f>
        <v>7.572949074761871E-3</v>
      </c>
      <c r="T1915" s="59">
        <f ca="1">Dashboard!C$8* Dashboard!$F$4+Dashboard!C$10*SQRT(Dashboard!$F$4) * _xlfn.NORM.S.INV(RAND())</f>
        <v>2.4821840296825628E-2</v>
      </c>
      <c r="U1915" s="59">
        <f ca="1">Dashboard!D$8* Dashboard!$F$4+Dashboard!D$10*SQRT(Dashboard!$F$4) * _xlfn.NORM.S.INV(RAND())</f>
        <v>-2.0499291890430673E-2</v>
      </c>
    </row>
    <row r="1916" spans="18:21" x14ac:dyDescent="0.2">
      <c r="R1916" s="49">
        <v>1914</v>
      </c>
      <c r="S1916" s="59">
        <f ca="1">Dashboard!B$8* Dashboard!$F$4+Dashboard!B$10*SQRT(Dashboard!$F$4) * _xlfn.NORM.S.INV(RAND())</f>
        <v>-2.7684674204603819E-3</v>
      </c>
      <c r="T1916" s="59">
        <f ca="1">Dashboard!C$8* Dashboard!$F$4+Dashboard!C$10*SQRT(Dashboard!$F$4) * _xlfn.NORM.S.INV(RAND())</f>
        <v>3.2740146560975457E-3</v>
      </c>
      <c r="U1916" s="59">
        <f ca="1">Dashboard!D$8* Dashboard!$F$4+Dashboard!D$10*SQRT(Dashboard!$F$4) * _xlfn.NORM.S.INV(RAND())</f>
        <v>6.4056948170553513E-3</v>
      </c>
    </row>
    <row r="1917" spans="18:21" x14ac:dyDescent="0.2">
      <c r="R1917" s="49">
        <v>1915</v>
      </c>
      <c r="S1917" s="59">
        <f ca="1">Dashboard!B$8* Dashboard!$F$4+Dashboard!B$10*SQRT(Dashboard!$F$4) * _xlfn.NORM.S.INV(RAND())</f>
        <v>-4.7534122292577502E-3</v>
      </c>
      <c r="T1917" s="59">
        <f ca="1">Dashboard!C$8* Dashboard!$F$4+Dashboard!C$10*SQRT(Dashboard!$F$4) * _xlfn.NORM.S.INV(RAND())</f>
        <v>2.009508239322922E-2</v>
      </c>
      <c r="U1917" s="59">
        <f ca="1">Dashboard!D$8* Dashboard!$F$4+Dashboard!D$10*SQRT(Dashboard!$F$4) * _xlfn.NORM.S.INV(RAND())</f>
        <v>-4.9955142464751023E-2</v>
      </c>
    </row>
    <row r="1918" spans="18:21" x14ac:dyDescent="0.2">
      <c r="R1918" s="49">
        <v>1916</v>
      </c>
      <c r="S1918" s="59">
        <f ca="1">Dashboard!B$8* Dashboard!$F$4+Dashboard!B$10*SQRT(Dashboard!$F$4) * _xlfn.NORM.S.INV(RAND())</f>
        <v>-3.1402160105132451E-3</v>
      </c>
      <c r="T1918" s="59">
        <f ca="1">Dashboard!C$8* Dashboard!$F$4+Dashboard!C$10*SQRT(Dashboard!$F$4) * _xlfn.NORM.S.INV(RAND())</f>
        <v>-4.4311649701054431E-2</v>
      </c>
      <c r="U1918" s="59">
        <f ca="1">Dashboard!D$8* Dashboard!$F$4+Dashboard!D$10*SQRT(Dashboard!$F$4) * _xlfn.NORM.S.INV(RAND())</f>
        <v>-7.0418612799680617E-3</v>
      </c>
    </row>
    <row r="1919" spans="18:21" x14ac:dyDescent="0.2">
      <c r="R1919" s="49">
        <v>1917</v>
      </c>
      <c r="S1919" s="59">
        <f ca="1">Dashboard!B$8* Dashboard!$F$4+Dashboard!B$10*SQRT(Dashboard!$F$4) * _xlfn.NORM.S.INV(RAND())</f>
        <v>-2.6888272116460686E-2</v>
      </c>
      <c r="T1919" s="59">
        <f ca="1">Dashboard!C$8* Dashboard!$F$4+Dashboard!C$10*SQRT(Dashboard!$F$4) * _xlfn.NORM.S.INV(RAND())</f>
        <v>4.3687764197658137E-2</v>
      </c>
      <c r="U1919" s="59">
        <f ca="1">Dashboard!D$8* Dashboard!$F$4+Dashboard!D$10*SQRT(Dashboard!$F$4) * _xlfn.NORM.S.INV(RAND())</f>
        <v>2.6251225896107185E-2</v>
      </c>
    </row>
    <row r="1920" spans="18:21" x14ac:dyDescent="0.2">
      <c r="R1920" s="49">
        <v>1918</v>
      </c>
      <c r="S1920" s="59">
        <f ca="1">Dashboard!B$8* Dashboard!$F$4+Dashboard!B$10*SQRT(Dashboard!$F$4) * _xlfn.NORM.S.INV(RAND())</f>
        <v>-4.8026592284637966E-2</v>
      </c>
      <c r="T1920" s="59">
        <f ca="1">Dashboard!C$8* Dashboard!$F$4+Dashboard!C$10*SQRT(Dashboard!$F$4) * _xlfn.NORM.S.INV(RAND())</f>
        <v>-4.2462643358145133E-2</v>
      </c>
      <c r="U1920" s="59">
        <f ca="1">Dashboard!D$8* Dashboard!$F$4+Dashboard!D$10*SQRT(Dashboard!$F$4) * _xlfn.NORM.S.INV(RAND())</f>
        <v>-1.6893204932506484E-2</v>
      </c>
    </row>
    <row r="1921" spans="18:21" x14ac:dyDescent="0.2">
      <c r="R1921" s="49">
        <v>1919</v>
      </c>
      <c r="S1921" s="59">
        <f ca="1">Dashboard!B$8* Dashboard!$F$4+Dashboard!B$10*SQRT(Dashboard!$F$4) * _xlfn.NORM.S.INV(RAND())</f>
        <v>-3.2246060364504704E-2</v>
      </c>
      <c r="T1921" s="59">
        <f ca="1">Dashboard!C$8* Dashboard!$F$4+Dashboard!C$10*SQRT(Dashboard!$F$4) * _xlfn.NORM.S.INV(RAND())</f>
        <v>-3.4589804026734824E-2</v>
      </c>
      <c r="U1921" s="59">
        <f ca="1">Dashboard!D$8* Dashboard!$F$4+Dashboard!D$10*SQRT(Dashboard!$F$4) * _xlfn.NORM.S.INV(RAND())</f>
        <v>-1.2564431633313149E-2</v>
      </c>
    </row>
    <row r="1922" spans="18:21" x14ac:dyDescent="0.2">
      <c r="R1922" s="49">
        <v>1920</v>
      </c>
      <c r="S1922" s="59">
        <f ca="1">Dashboard!B$8* Dashboard!$F$4+Dashboard!B$10*SQRT(Dashboard!$F$4) * _xlfn.NORM.S.INV(RAND())</f>
        <v>-2.443198221816538E-2</v>
      </c>
      <c r="T1922" s="59">
        <f ca="1">Dashboard!C$8* Dashboard!$F$4+Dashboard!C$10*SQRT(Dashboard!$F$4) * _xlfn.NORM.S.INV(RAND())</f>
        <v>-1.5796997040315355E-2</v>
      </c>
      <c r="U1922" s="59">
        <f ca="1">Dashboard!D$8* Dashboard!$F$4+Dashboard!D$10*SQRT(Dashboard!$F$4) * _xlfn.NORM.S.INV(RAND())</f>
        <v>2.3282377740748341E-2</v>
      </c>
    </row>
    <row r="1923" spans="18:21" x14ac:dyDescent="0.2">
      <c r="R1923" s="49">
        <v>1921</v>
      </c>
      <c r="S1923" s="59">
        <f ca="1">Dashboard!B$8* Dashboard!$F$4+Dashboard!B$10*SQRT(Dashboard!$F$4) * _xlfn.NORM.S.INV(RAND())</f>
        <v>8.4865263738174261E-3</v>
      </c>
      <c r="T1923" s="59">
        <f ca="1">Dashboard!C$8* Dashboard!$F$4+Dashboard!C$10*SQRT(Dashboard!$F$4) * _xlfn.NORM.S.INV(RAND())</f>
        <v>3.2706487906939731E-2</v>
      </c>
      <c r="U1923" s="59">
        <f ca="1">Dashboard!D$8* Dashboard!$F$4+Dashboard!D$10*SQRT(Dashboard!$F$4) * _xlfn.NORM.S.INV(RAND())</f>
        <v>-1.1997124012064306E-2</v>
      </c>
    </row>
    <row r="1924" spans="18:21" x14ac:dyDescent="0.2">
      <c r="R1924" s="49">
        <v>1922</v>
      </c>
      <c r="S1924" s="59">
        <f ca="1">Dashboard!B$8* Dashboard!$F$4+Dashboard!B$10*SQRT(Dashboard!$F$4) * _xlfn.NORM.S.INV(RAND())</f>
        <v>7.0214674367084756E-2</v>
      </c>
      <c r="T1924" s="59">
        <f ca="1">Dashboard!C$8* Dashboard!$F$4+Dashboard!C$10*SQRT(Dashboard!$F$4) * _xlfn.NORM.S.INV(RAND())</f>
        <v>8.2490656800979613E-4</v>
      </c>
      <c r="U1924" s="59">
        <f ca="1">Dashboard!D$8* Dashboard!$F$4+Dashboard!D$10*SQRT(Dashboard!$F$4) * _xlfn.NORM.S.INV(RAND())</f>
        <v>-4.3878476291188045E-2</v>
      </c>
    </row>
    <row r="1925" spans="18:21" x14ac:dyDescent="0.2">
      <c r="R1925" s="49">
        <v>1923</v>
      </c>
      <c r="S1925" s="59">
        <f ca="1">Dashboard!B$8* Dashboard!$F$4+Dashboard!B$10*SQRT(Dashboard!$F$4) * _xlfn.NORM.S.INV(RAND())</f>
        <v>1.0646111605294344E-3</v>
      </c>
      <c r="T1925" s="59">
        <f ca="1">Dashboard!C$8* Dashboard!$F$4+Dashboard!C$10*SQRT(Dashboard!$F$4) * _xlfn.NORM.S.INV(RAND())</f>
        <v>-3.8347605126035161E-2</v>
      </c>
      <c r="U1925" s="59">
        <f ca="1">Dashboard!D$8* Dashboard!$F$4+Dashboard!D$10*SQRT(Dashboard!$F$4) * _xlfn.NORM.S.INV(RAND())</f>
        <v>-5.3672364772173881E-3</v>
      </c>
    </row>
    <row r="1926" spans="18:21" x14ac:dyDescent="0.2">
      <c r="R1926" s="49">
        <v>1924</v>
      </c>
      <c r="S1926" s="59">
        <f ca="1">Dashboard!B$8* Dashboard!$F$4+Dashboard!B$10*SQRT(Dashboard!$F$4) * _xlfn.NORM.S.INV(RAND())</f>
        <v>-3.6086381974516617E-4</v>
      </c>
      <c r="T1926" s="59">
        <f ca="1">Dashboard!C$8* Dashboard!$F$4+Dashboard!C$10*SQRT(Dashboard!$F$4) * _xlfn.NORM.S.INV(RAND())</f>
        <v>4.6104690551977009E-2</v>
      </c>
      <c r="U1926" s="59">
        <f ca="1">Dashboard!D$8* Dashboard!$F$4+Dashboard!D$10*SQRT(Dashboard!$F$4) * _xlfn.NORM.S.INV(RAND())</f>
        <v>4.5291689061526988E-2</v>
      </c>
    </row>
    <row r="1927" spans="18:21" x14ac:dyDescent="0.2">
      <c r="R1927" s="49">
        <v>1925</v>
      </c>
      <c r="S1927" s="59">
        <f ca="1">Dashboard!B$8* Dashboard!$F$4+Dashboard!B$10*SQRT(Dashboard!$F$4) * _xlfn.NORM.S.INV(RAND())</f>
        <v>3.4925938334939574E-3</v>
      </c>
      <c r="T1927" s="59">
        <f ca="1">Dashboard!C$8* Dashboard!$F$4+Dashboard!C$10*SQRT(Dashboard!$F$4) * _xlfn.NORM.S.INV(RAND())</f>
        <v>3.0566345006880505E-2</v>
      </c>
      <c r="U1927" s="59">
        <f ca="1">Dashboard!D$8* Dashboard!$F$4+Dashboard!D$10*SQRT(Dashboard!$F$4) * _xlfn.NORM.S.INV(RAND())</f>
        <v>-1.9667756345284502E-3</v>
      </c>
    </row>
    <row r="1928" spans="18:21" x14ac:dyDescent="0.2">
      <c r="R1928" s="49">
        <v>1926</v>
      </c>
      <c r="S1928" s="59">
        <f ca="1">Dashboard!B$8* Dashboard!$F$4+Dashboard!B$10*SQRT(Dashboard!$F$4) * _xlfn.NORM.S.INV(RAND())</f>
        <v>-5.0966735562140313E-2</v>
      </c>
      <c r="T1928" s="59">
        <f ca="1">Dashboard!C$8* Dashboard!$F$4+Dashboard!C$10*SQRT(Dashboard!$F$4) * _xlfn.NORM.S.INV(RAND())</f>
        <v>6.402107691179329E-2</v>
      </c>
      <c r="U1928" s="59">
        <f ca="1">Dashboard!D$8* Dashboard!$F$4+Dashboard!D$10*SQRT(Dashboard!$F$4) * _xlfn.NORM.S.INV(RAND())</f>
        <v>1.5085599249833494E-2</v>
      </c>
    </row>
    <row r="1929" spans="18:21" x14ac:dyDescent="0.2">
      <c r="R1929" s="49">
        <v>1927</v>
      </c>
      <c r="S1929" s="59">
        <f ca="1">Dashboard!B$8* Dashboard!$F$4+Dashboard!B$10*SQRT(Dashboard!$F$4) * _xlfn.NORM.S.INV(RAND())</f>
        <v>-1.5287627023633187E-2</v>
      </c>
      <c r="T1929" s="59">
        <f ca="1">Dashboard!C$8* Dashboard!$F$4+Dashboard!C$10*SQRT(Dashboard!$F$4) * _xlfn.NORM.S.INV(RAND())</f>
        <v>-1.522048003655203E-2</v>
      </c>
      <c r="U1929" s="59">
        <f ca="1">Dashboard!D$8* Dashboard!$F$4+Dashboard!D$10*SQRT(Dashboard!$F$4) * _xlfn.NORM.S.INV(RAND())</f>
        <v>-2.077467717749967E-2</v>
      </c>
    </row>
    <row r="1930" spans="18:21" x14ac:dyDescent="0.2">
      <c r="R1930" s="49">
        <v>1928</v>
      </c>
      <c r="S1930" s="59">
        <f ca="1">Dashboard!B$8* Dashboard!$F$4+Dashboard!B$10*SQRT(Dashboard!$F$4) * _xlfn.NORM.S.INV(RAND())</f>
        <v>4.4225988624462826E-3</v>
      </c>
      <c r="T1930" s="59">
        <f ca="1">Dashboard!C$8* Dashboard!$F$4+Dashboard!C$10*SQRT(Dashboard!$F$4) * _xlfn.NORM.S.INV(RAND())</f>
        <v>5.6882707470774403E-2</v>
      </c>
      <c r="U1930" s="59">
        <f ca="1">Dashboard!D$8* Dashboard!$F$4+Dashboard!D$10*SQRT(Dashboard!$F$4) * _xlfn.NORM.S.INV(RAND())</f>
        <v>2.4772088160004761E-2</v>
      </c>
    </row>
    <row r="1931" spans="18:21" x14ac:dyDescent="0.2">
      <c r="R1931" s="49">
        <v>1929</v>
      </c>
      <c r="S1931" s="59">
        <f ca="1">Dashboard!B$8* Dashboard!$F$4+Dashboard!B$10*SQRT(Dashboard!$F$4) * _xlfn.NORM.S.INV(RAND())</f>
        <v>4.0397117895802026E-2</v>
      </c>
      <c r="T1931" s="59">
        <f ca="1">Dashboard!C$8* Dashboard!$F$4+Dashboard!C$10*SQRT(Dashboard!$F$4) * _xlfn.NORM.S.INV(RAND())</f>
        <v>-1.5623658270363928E-2</v>
      </c>
      <c r="U1931" s="59">
        <f ca="1">Dashboard!D$8* Dashboard!$F$4+Dashboard!D$10*SQRT(Dashboard!$F$4) * _xlfn.NORM.S.INV(RAND())</f>
        <v>-1.1809244918126812E-2</v>
      </c>
    </row>
    <row r="1932" spans="18:21" x14ac:dyDescent="0.2">
      <c r="R1932" s="49">
        <v>1930</v>
      </c>
      <c r="S1932" s="59">
        <f ca="1">Dashboard!B$8* Dashboard!$F$4+Dashboard!B$10*SQRT(Dashboard!$F$4) * _xlfn.NORM.S.INV(RAND())</f>
        <v>8.8560573651752378E-3</v>
      </c>
      <c r="T1932" s="59">
        <f ca="1">Dashboard!C$8* Dashboard!$F$4+Dashboard!C$10*SQRT(Dashboard!$F$4) * _xlfn.NORM.S.INV(RAND())</f>
        <v>2.0333801728726692E-2</v>
      </c>
      <c r="U1932" s="59">
        <f ca="1">Dashboard!D$8* Dashboard!$F$4+Dashboard!D$10*SQRT(Dashboard!$F$4) * _xlfn.NORM.S.INV(RAND())</f>
        <v>-6.1741785947035631E-3</v>
      </c>
    </row>
    <row r="1933" spans="18:21" x14ac:dyDescent="0.2">
      <c r="R1933" s="49">
        <v>1931</v>
      </c>
      <c r="S1933" s="59">
        <f ca="1">Dashboard!B$8* Dashboard!$F$4+Dashboard!B$10*SQRT(Dashboard!$F$4) * _xlfn.NORM.S.INV(RAND())</f>
        <v>-8.104436220721678E-2</v>
      </c>
      <c r="T1933" s="59">
        <f ca="1">Dashboard!C$8* Dashboard!$F$4+Dashboard!C$10*SQRT(Dashboard!$F$4) * _xlfn.NORM.S.INV(RAND())</f>
        <v>2.1286610226723918E-2</v>
      </c>
      <c r="U1933" s="59">
        <f ca="1">Dashboard!D$8* Dashboard!$F$4+Dashboard!D$10*SQRT(Dashboard!$F$4) * _xlfn.NORM.S.INV(RAND())</f>
        <v>7.8190964858460762E-3</v>
      </c>
    </row>
    <row r="1934" spans="18:21" x14ac:dyDescent="0.2">
      <c r="R1934" s="49">
        <v>1932</v>
      </c>
      <c r="S1934" s="59">
        <f ca="1">Dashboard!B$8* Dashboard!$F$4+Dashboard!B$10*SQRT(Dashboard!$F$4) * _xlfn.NORM.S.INV(RAND())</f>
        <v>4.0355749261684969E-2</v>
      </c>
      <c r="T1934" s="59">
        <f ca="1">Dashboard!C$8* Dashboard!$F$4+Dashboard!C$10*SQRT(Dashboard!$F$4) * _xlfn.NORM.S.INV(RAND())</f>
        <v>5.3575119613985207E-2</v>
      </c>
      <c r="U1934" s="59">
        <f ca="1">Dashboard!D$8* Dashboard!$F$4+Dashboard!D$10*SQRT(Dashboard!$F$4) * _xlfn.NORM.S.INV(RAND())</f>
        <v>-1.4446278522702583E-2</v>
      </c>
    </row>
    <row r="1935" spans="18:21" x14ac:dyDescent="0.2">
      <c r="R1935" s="49">
        <v>1933</v>
      </c>
      <c r="S1935" s="59">
        <f ca="1">Dashboard!B$8* Dashboard!$F$4+Dashboard!B$10*SQRT(Dashboard!$F$4) * _xlfn.NORM.S.INV(RAND())</f>
        <v>2.9151498724632456E-2</v>
      </c>
      <c r="T1935" s="59">
        <f ca="1">Dashboard!C$8* Dashboard!$F$4+Dashboard!C$10*SQRT(Dashboard!$F$4) * _xlfn.NORM.S.INV(RAND())</f>
        <v>7.4800741983615443E-2</v>
      </c>
      <c r="U1935" s="59">
        <f ca="1">Dashboard!D$8* Dashboard!$F$4+Dashboard!D$10*SQRT(Dashboard!$F$4) * _xlfn.NORM.S.INV(RAND())</f>
        <v>4.922395265200899E-2</v>
      </c>
    </row>
    <row r="1936" spans="18:21" x14ac:dyDescent="0.2">
      <c r="R1936" s="49">
        <v>1934</v>
      </c>
      <c r="S1936" s="59">
        <f ca="1">Dashboard!B$8* Dashboard!$F$4+Dashboard!B$10*SQRT(Dashboard!$F$4) * _xlfn.NORM.S.INV(RAND())</f>
        <v>2.249620674652493E-2</v>
      </c>
      <c r="T1936" s="59">
        <f ca="1">Dashboard!C$8* Dashboard!$F$4+Dashboard!C$10*SQRT(Dashboard!$F$4) * _xlfn.NORM.S.INV(RAND())</f>
        <v>4.8539506261782113E-2</v>
      </c>
      <c r="U1936" s="59">
        <f ca="1">Dashboard!D$8* Dashboard!$F$4+Dashboard!D$10*SQRT(Dashboard!$F$4) * _xlfn.NORM.S.INV(RAND())</f>
        <v>-1.1399006512879629E-3</v>
      </c>
    </row>
    <row r="1937" spans="18:21" x14ac:dyDescent="0.2">
      <c r="R1937" s="49">
        <v>1935</v>
      </c>
      <c r="S1937" s="59">
        <f ca="1">Dashboard!B$8* Dashboard!$F$4+Dashboard!B$10*SQRT(Dashboard!$F$4) * _xlfn.NORM.S.INV(RAND())</f>
        <v>-1.3665212705245261E-2</v>
      </c>
      <c r="T1937" s="59">
        <f ca="1">Dashboard!C$8* Dashboard!$F$4+Dashboard!C$10*SQRT(Dashboard!$F$4) * _xlfn.NORM.S.INV(RAND())</f>
        <v>4.2257147265747183E-2</v>
      </c>
      <c r="U1937" s="59">
        <f ca="1">Dashboard!D$8* Dashboard!$F$4+Dashboard!D$10*SQRT(Dashboard!$F$4) * _xlfn.NORM.S.INV(RAND())</f>
        <v>-1.6794369833388008E-2</v>
      </c>
    </row>
    <row r="1938" spans="18:21" x14ac:dyDescent="0.2">
      <c r="R1938" s="49">
        <v>1936</v>
      </c>
      <c r="S1938" s="59">
        <f ca="1">Dashboard!B$8* Dashboard!$F$4+Dashboard!B$10*SQRT(Dashboard!$F$4) * _xlfn.NORM.S.INV(RAND())</f>
        <v>3.4239168641418585E-2</v>
      </c>
      <c r="T1938" s="59">
        <f ca="1">Dashboard!C$8* Dashboard!$F$4+Dashboard!C$10*SQRT(Dashboard!$F$4) * _xlfn.NORM.S.INV(RAND())</f>
        <v>-1.0692497308423435E-2</v>
      </c>
      <c r="U1938" s="59">
        <f ca="1">Dashboard!D$8* Dashboard!$F$4+Dashboard!D$10*SQRT(Dashboard!$F$4) * _xlfn.NORM.S.INV(RAND())</f>
        <v>-6.3825933964513484E-2</v>
      </c>
    </row>
    <row r="1939" spans="18:21" x14ac:dyDescent="0.2">
      <c r="R1939" s="49">
        <v>1937</v>
      </c>
      <c r="S1939" s="59">
        <f ca="1">Dashboard!B$8* Dashboard!$F$4+Dashboard!B$10*SQRT(Dashboard!$F$4) * _xlfn.NORM.S.INV(RAND())</f>
        <v>-3.0978440940334605E-2</v>
      </c>
      <c r="T1939" s="59">
        <f ca="1">Dashboard!C$8* Dashboard!$F$4+Dashboard!C$10*SQRT(Dashboard!$F$4) * _xlfn.NORM.S.INV(RAND())</f>
        <v>-1.1019129070616092E-2</v>
      </c>
      <c r="U1939" s="59">
        <f ca="1">Dashboard!D$8* Dashboard!$F$4+Dashboard!D$10*SQRT(Dashboard!$F$4) * _xlfn.NORM.S.INV(RAND())</f>
        <v>2.4378615353931484E-2</v>
      </c>
    </row>
    <row r="1940" spans="18:21" x14ac:dyDescent="0.2">
      <c r="R1940" s="49">
        <v>1938</v>
      </c>
      <c r="S1940" s="59">
        <f ca="1">Dashboard!B$8* Dashboard!$F$4+Dashboard!B$10*SQRT(Dashboard!$F$4) * _xlfn.NORM.S.INV(RAND())</f>
        <v>-1.1902362281670485E-3</v>
      </c>
      <c r="T1940" s="59">
        <f ca="1">Dashboard!C$8* Dashboard!$F$4+Dashboard!C$10*SQRT(Dashboard!$F$4) * _xlfn.NORM.S.INV(RAND())</f>
        <v>-1.4853894327213901E-2</v>
      </c>
      <c r="U1940" s="59">
        <f ca="1">Dashboard!D$8* Dashboard!$F$4+Dashboard!D$10*SQRT(Dashboard!$F$4) * _xlfn.NORM.S.INV(RAND())</f>
        <v>-6.7169895302329266E-2</v>
      </c>
    </row>
    <row r="1941" spans="18:21" x14ac:dyDescent="0.2">
      <c r="R1941" s="49">
        <v>1939</v>
      </c>
      <c r="S1941" s="59">
        <f ca="1">Dashboard!B$8* Dashboard!$F$4+Dashboard!B$10*SQRT(Dashboard!$F$4) * _xlfn.NORM.S.INV(RAND())</f>
        <v>-5.586427132072737E-3</v>
      </c>
      <c r="T1941" s="59">
        <f ca="1">Dashboard!C$8* Dashboard!$F$4+Dashboard!C$10*SQRT(Dashboard!$F$4) * _xlfn.NORM.S.INV(RAND())</f>
        <v>3.3561776295422015E-2</v>
      </c>
      <c r="U1941" s="59">
        <f ca="1">Dashboard!D$8* Dashboard!$F$4+Dashboard!D$10*SQRT(Dashboard!$F$4) * _xlfn.NORM.S.INV(RAND())</f>
        <v>1.1705651378808841E-2</v>
      </c>
    </row>
    <row r="1942" spans="18:21" x14ac:dyDescent="0.2">
      <c r="R1942" s="49">
        <v>1940</v>
      </c>
      <c r="S1942" s="59">
        <f ca="1">Dashboard!B$8* Dashboard!$F$4+Dashboard!B$10*SQRT(Dashboard!$F$4) * _xlfn.NORM.S.INV(RAND())</f>
        <v>-3.8973470328296351E-3</v>
      </c>
      <c r="T1942" s="59">
        <f ca="1">Dashboard!C$8* Dashboard!$F$4+Dashboard!C$10*SQRT(Dashboard!$F$4) * _xlfn.NORM.S.INV(RAND())</f>
        <v>4.8008552602866773E-2</v>
      </c>
      <c r="U1942" s="59">
        <f ca="1">Dashboard!D$8* Dashboard!$F$4+Dashboard!D$10*SQRT(Dashboard!$F$4) * _xlfn.NORM.S.INV(RAND())</f>
        <v>6.5143195381207289E-4</v>
      </c>
    </row>
    <row r="1943" spans="18:21" x14ac:dyDescent="0.2">
      <c r="R1943" s="49">
        <v>1941</v>
      </c>
      <c r="S1943" s="59">
        <f ca="1">Dashboard!B$8* Dashboard!$F$4+Dashboard!B$10*SQRT(Dashboard!$F$4) * _xlfn.NORM.S.INV(RAND())</f>
        <v>4.7781959329502438E-2</v>
      </c>
      <c r="T1943" s="59">
        <f ca="1">Dashboard!C$8* Dashboard!$F$4+Dashboard!C$10*SQRT(Dashboard!$F$4) * _xlfn.NORM.S.INV(RAND())</f>
        <v>-2.2225067937761397E-2</v>
      </c>
      <c r="U1943" s="59">
        <f ca="1">Dashboard!D$8* Dashboard!$F$4+Dashboard!D$10*SQRT(Dashboard!$F$4) * _xlfn.NORM.S.INV(RAND())</f>
        <v>-6.7652144652106411E-3</v>
      </c>
    </row>
    <row r="1944" spans="18:21" x14ac:dyDescent="0.2">
      <c r="R1944" s="49">
        <v>1942</v>
      </c>
      <c r="S1944" s="59">
        <f ca="1">Dashboard!B$8* Dashboard!$F$4+Dashboard!B$10*SQRT(Dashboard!$F$4) * _xlfn.NORM.S.INV(RAND())</f>
        <v>-1.0196675825587974E-3</v>
      </c>
      <c r="T1944" s="59">
        <f ca="1">Dashboard!C$8* Dashboard!$F$4+Dashboard!C$10*SQRT(Dashboard!$F$4) * _xlfn.NORM.S.INV(RAND())</f>
        <v>7.3829040083006156E-2</v>
      </c>
      <c r="U1944" s="59">
        <f ca="1">Dashboard!D$8* Dashboard!$F$4+Dashboard!D$10*SQRT(Dashboard!$F$4) * _xlfn.NORM.S.INV(RAND())</f>
        <v>-1.0253611804036829E-2</v>
      </c>
    </row>
    <row r="1945" spans="18:21" x14ac:dyDescent="0.2">
      <c r="R1945" s="49">
        <v>1943</v>
      </c>
      <c r="S1945" s="59">
        <f ca="1">Dashboard!B$8* Dashboard!$F$4+Dashboard!B$10*SQRT(Dashboard!$F$4) * _xlfn.NORM.S.INV(RAND())</f>
        <v>-4.2066714797951495E-2</v>
      </c>
      <c r="T1945" s="59">
        <f ca="1">Dashboard!C$8* Dashboard!$F$4+Dashboard!C$10*SQRT(Dashboard!$F$4) * _xlfn.NORM.S.INV(RAND())</f>
        <v>3.1138531014893996E-2</v>
      </c>
      <c r="U1945" s="59">
        <f ca="1">Dashboard!D$8* Dashboard!$F$4+Dashboard!D$10*SQRT(Dashboard!$F$4) * _xlfn.NORM.S.INV(RAND())</f>
        <v>-4.7579787040710447E-2</v>
      </c>
    </row>
    <row r="1946" spans="18:21" x14ac:dyDescent="0.2">
      <c r="R1946" s="49">
        <v>1944</v>
      </c>
      <c r="S1946" s="59">
        <f ca="1">Dashboard!B$8* Dashboard!$F$4+Dashboard!B$10*SQRT(Dashboard!$F$4) * _xlfn.NORM.S.INV(RAND())</f>
        <v>6.143213945683372E-2</v>
      </c>
      <c r="T1946" s="59">
        <f ca="1">Dashboard!C$8* Dashboard!$F$4+Dashboard!C$10*SQRT(Dashboard!$F$4) * _xlfn.NORM.S.INV(RAND())</f>
        <v>-3.9488204277093951E-2</v>
      </c>
      <c r="U1946" s="59">
        <f ca="1">Dashboard!D$8* Dashboard!$F$4+Dashboard!D$10*SQRT(Dashboard!$F$4) * _xlfn.NORM.S.INV(RAND())</f>
        <v>-1.2863531266538074E-2</v>
      </c>
    </row>
    <row r="1947" spans="18:21" x14ac:dyDescent="0.2">
      <c r="R1947" s="49">
        <v>1945</v>
      </c>
      <c r="S1947" s="59">
        <f ca="1">Dashboard!B$8* Dashboard!$F$4+Dashboard!B$10*SQRT(Dashboard!$F$4) * _xlfn.NORM.S.INV(RAND())</f>
        <v>1.8580279018437056E-2</v>
      </c>
      <c r="T1947" s="59">
        <f ca="1">Dashboard!C$8* Dashboard!$F$4+Dashboard!C$10*SQRT(Dashboard!$F$4) * _xlfn.NORM.S.INV(RAND())</f>
        <v>3.3973870835718914E-2</v>
      </c>
      <c r="U1947" s="59">
        <f ca="1">Dashboard!D$8* Dashboard!$F$4+Dashboard!D$10*SQRT(Dashboard!$F$4) * _xlfn.NORM.S.INV(RAND())</f>
        <v>-1.8777916971228041E-2</v>
      </c>
    </row>
    <row r="1948" spans="18:21" x14ac:dyDescent="0.2">
      <c r="R1948" s="49">
        <v>1946</v>
      </c>
      <c r="S1948" s="59">
        <f ca="1">Dashboard!B$8* Dashboard!$F$4+Dashboard!B$10*SQRT(Dashboard!$F$4) * _xlfn.NORM.S.INV(RAND())</f>
        <v>2.036884813952311E-2</v>
      </c>
      <c r="T1948" s="59">
        <f ca="1">Dashboard!C$8* Dashboard!$F$4+Dashboard!C$10*SQRT(Dashboard!$F$4) * _xlfn.NORM.S.INV(RAND())</f>
        <v>-1.1101557838073376E-2</v>
      </c>
      <c r="U1948" s="59">
        <f ca="1">Dashboard!D$8* Dashboard!$F$4+Dashboard!D$10*SQRT(Dashboard!$F$4) * _xlfn.NORM.S.INV(RAND())</f>
        <v>6.1049949098201913E-3</v>
      </c>
    </row>
    <row r="1949" spans="18:21" x14ac:dyDescent="0.2">
      <c r="R1949" s="49">
        <v>1947</v>
      </c>
      <c r="S1949" s="59">
        <f ca="1">Dashboard!B$8* Dashboard!$F$4+Dashboard!B$10*SQRT(Dashboard!$F$4) * _xlfn.NORM.S.INV(RAND())</f>
        <v>-1.0843377405201509E-2</v>
      </c>
      <c r="T1949" s="59">
        <f ca="1">Dashboard!C$8* Dashboard!$F$4+Dashboard!C$10*SQRT(Dashboard!$F$4) * _xlfn.NORM.S.INV(RAND())</f>
        <v>2.1713101020614491E-2</v>
      </c>
      <c r="U1949" s="59">
        <f ca="1">Dashboard!D$8* Dashboard!$F$4+Dashboard!D$10*SQRT(Dashboard!$F$4) * _xlfn.NORM.S.INV(RAND())</f>
        <v>1.1510910693704759E-2</v>
      </c>
    </row>
    <row r="1950" spans="18:21" x14ac:dyDescent="0.2">
      <c r="R1950" s="49">
        <v>1948</v>
      </c>
      <c r="S1950" s="59">
        <f ca="1">Dashboard!B$8* Dashboard!$F$4+Dashboard!B$10*SQRT(Dashboard!$F$4) * _xlfn.NORM.S.INV(RAND())</f>
        <v>-2.3105731169290114E-2</v>
      </c>
      <c r="T1950" s="59">
        <f ca="1">Dashboard!C$8* Dashboard!$F$4+Dashboard!C$10*SQRT(Dashboard!$F$4) * _xlfn.NORM.S.INV(RAND())</f>
        <v>-2.7619458222053851E-2</v>
      </c>
      <c r="U1950" s="59">
        <f ca="1">Dashboard!D$8* Dashboard!$F$4+Dashboard!D$10*SQRT(Dashboard!$F$4) * _xlfn.NORM.S.INV(RAND())</f>
        <v>6.0311314351149135E-2</v>
      </c>
    </row>
    <row r="1951" spans="18:21" x14ac:dyDescent="0.2">
      <c r="R1951" s="49">
        <v>1949</v>
      </c>
      <c r="S1951" s="59">
        <f ca="1">Dashboard!B$8* Dashboard!$F$4+Dashboard!B$10*SQRT(Dashboard!$F$4) * _xlfn.NORM.S.INV(RAND())</f>
        <v>3.9557773619559207E-3</v>
      </c>
      <c r="T1951" s="59">
        <f ca="1">Dashboard!C$8* Dashboard!$F$4+Dashboard!C$10*SQRT(Dashboard!$F$4) * _xlfn.NORM.S.INV(RAND())</f>
        <v>6.5450025206768795E-3</v>
      </c>
      <c r="U1951" s="59">
        <f ca="1">Dashboard!D$8* Dashboard!$F$4+Dashboard!D$10*SQRT(Dashboard!$F$4) * _xlfn.NORM.S.INV(RAND())</f>
        <v>-1.5794217614025672E-3</v>
      </c>
    </row>
    <row r="1952" spans="18:21" x14ac:dyDescent="0.2">
      <c r="R1952" s="49">
        <v>1950</v>
      </c>
      <c r="S1952" s="59">
        <f ca="1">Dashboard!B$8* Dashboard!$F$4+Dashboard!B$10*SQRT(Dashboard!$F$4) * _xlfn.NORM.S.INV(RAND())</f>
        <v>4.2359105548399834E-2</v>
      </c>
      <c r="T1952" s="59">
        <f ca="1">Dashboard!C$8* Dashboard!$F$4+Dashboard!C$10*SQRT(Dashboard!$F$4) * _xlfn.NORM.S.INV(RAND())</f>
        <v>5.3315141539483329E-2</v>
      </c>
      <c r="U1952" s="59">
        <f ca="1">Dashboard!D$8* Dashboard!$F$4+Dashboard!D$10*SQRT(Dashboard!$F$4) * _xlfn.NORM.S.INV(RAND())</f>
        <v>-3.252171717971631E-2</v>
      </c>
    </row>
    <row r="1953" spans="18:21" x14ac:dyDescent="0.2">
      <c r="R1953" s="49">
        <v>1951</v>
      </c>
      <c r="S1953" s="59">
        <f ca="1">Dashboard!B$8* Dashboard!$F$4+Dashboard!B$10*SQRT(Dashboard!$F$4) * _xlfn.NORM.S.INV(RAND())</f>
        <v>-3.1987595519875345E-2</v>
      </c>
      <c r="T1953" s="59">
        <f ca="1">Dashboard!C$8* Dashboard!$F$4+Dashboard!C$10*SQRT(Dashboard!$F$4) * _xlfn.NORM.S.INV(RAND())</f>
        <v>-1.6210601435990634E-2</v>
      </c>
      <c r="U1953" s="59">
        <f ca="1">Dashboard!D$8* Dashboard!$F$4+Dashboard!D$10*SQRT(Dashboard!$F$4) * _xlfn.NORM.S.INV(RAND())</f>
        <v>2.0292971334089575E-2</v>
      </c>
    </row>
    <row r="1954" spans="18:21" x14ac:dyDescent="0.2">
      <c r="R1954" s="49">
        <v>1952</v>
      </c>
      <c r="S1954" s="59">
        <f ca="1">Dashboard!B$8* Dashboard!$F$4+Dashboard!B$10*SQRT(Dashboard!$F$4) * _xlfn.NORM.S.INV(RAND())</f>
        <v>8.6731732515644491E-2</v>
      </c>
      <c r="T1954" s="59">
        <f ca="1">Dashboard!C$8* Dashboard!$F$4+Dashboard!C$10*SQRT(Dashboard!$F$4) * _xlfn.NORM.S.INV(RAND())</f>
        <v>8.7443523688918862E-3</v>
      </c>
      <c r="U1954" s="59">
        <f ca="1">Dashboard!D$8* Dashboard!$F$4+Dashboard!D$10*SQRT(Dashboard!$F$4) * _xlfn.NORM.S.INV(RAND())</f>
        <v>-8.612704488993159E-3</v>
      </c>
    </row>
    <row r="1955" spans="18:21" x14ac:dyDescent="0.2">
      <c r="R1955" s="49">
        <v>1953</v>
      </c>
      <c r="S1955" s="59">
        <f ca="1">Dashboard!B$8* Dashboard!$F$4+Dashboard!B$10*SQRT(Dashboard!$F$4) * _xlfn.NORM.S.INV(RAND())</f>
        <v>-4.7511074248042386E-2</v>
      </c>
      <c r="T1955" s="59">
        <f ca="1">Dashboard!C$8* Dashboard!$F$4+Dashboard!C$10*SQRT(Dashboard!$F$4) * _xlfn.NORM.S.INV(RAND())</f>
        <v>6.6085630319043492E-2</v>
      </c>
      <c r="U1955" s="59">
        <f ca="1">Dashboard!D$8* Dashboard!$F$4+Dashboard!D$10*SQRT(Dashboard!$F$4) * _xlfn.NORM.S.INV(RAND())</f>
        <v>2.7037771235514509E-2</v>
      </c>
    </row>
    <row r="1956" spans="18:21" x14ac:dyDescent="0.2">
      <c r="R1956" s="49">
        <v>1954</v>
      </c>
      <c r="S1956" s="59">
        <f ca="1">Dashboard!B$8* Dashboard!$F$4+Dashboard!B$10*SQRT(Dashboard!$F$4) * _xlfn.NORM.S.INV(RAND())</f>
        <v>-3.1032738125365833E-3</v>
      </c>
      <c r="T1956" s="59">
        <f ca="1">Dashboard!C$8* Dashboard!$F$4+Dashboard!C$10*SQRT(Dashboard!$F$4) * _xlfn.NORM.S.INV(RAND())</f>
        <v>-8.7929495858376887E-4</v>
      </c>
      <c r="U1956" s="59">
        <f ca="1">Dashboard!D$8* Dashboard!$F$4+Dashboard!D$10*SQRT(Dashboard!$F$4) * _xlfn.NORM.S.INV(RAND())</f>
        <v>2.2908257166074718E-2</v>
      </c>
    </row>
    <row r="1957" spans="18:21" x14ac:dyDescent="0.2">
      <c r="R1957" s="49">
        <v>1955</v>
      </c>
      <c r="S1957" s="59">
        <f ca="1">Dashboard!B$8* Dashboard!$F$4+Dashboard!B$10*SQRT(Dashboard!$F$4) * _xlfn.NORM.S.INV(RAND())</f>
        <v>-3.0797902848066133E-2</v>
      </c>
      <c r="T1957" s="59">
        <f ca="1">Dashboard!C$8* Dashboard!$F$4+Dashboard!C$10*SQRT(Dashboard!$F$4) * _xlfn.NORM.S.INV(RAND())</f>
        <v>2.6915795961895264E-2</v>
      </c>
      <c r="U1957" s="59">
        <f ca="1">Dashboard!D$8* Dashboard!$F$4+Dashboard!D$10*SQRT(Dashboard!$F$4) * _xlfn.NORM.S.INV(RAND())</f>
        <v>1.1418476987730587E-2</v>
      </c>
    </row>
    <row r="1958" spans="18:21" x14ac:dyDescent="0.2">
      <c r="R1958" s="49">
        <v>1956</v>
      </c>
      <c r="S1958" s="59">
        <f ca="1">Dashboard!B$8* Dashboard!$F$4+Dashboard!B$10*SQRT(Dashboard!$F$4) * _xlfn.NORM.S.INV(RAND())</f>
        <v>2.0812183140465824E-2</v>
      </c>
      <c r="T1958" s="59">
        <f ca="1">Dashboard!C$8* Dashboard!$F$4+Dashboard!C$10*SQRT(Dashboard!$F$4) * _xlfn.NORM.S.INV(RAND())</f>
        <v>-1.5480230302058234E-2</v>
      </c>
      <c r="U1958" s="59">
        <f ca="1">Dashboard!D$8* Dashboard!$F$4+Dashboard!D$10*SQRT(Dashboard!$F$4) * _xlfn.NORM.S.INV(RAND())</f>
        <v>1.6184560192437573E-2</v>
      </c>
    </row>
    <row r="1959" spans="18:21" x14ac:dyDescent="0.2">
      <c r="R1959" s="49">
        <v>1957</v>
      </c>
      <c r="S1959" s="59">
        <f ca="1">Dashboard!B$8* Dashboard!$F$4+Dashboard!B$10*SQRT(Dashboard!$F$4) * _xlfn.NORM.S.INV(RAND())</f>
        <v>-5.178921066714981E-2</v>
      </c>
      <c r="T1959" s="59">
        <f ca="1">Dashboard!C$8* Dashboard!$F$4+Dashboard!C$10*SQRT(Dashboard!$F$4) * _xlfn.NORM.S.INV(RAND())</f>
        <v>4.7797842366098117E-2</v>
      </c>
      <c r="U1959" s="59">
        <f ca="1">Dashboard!D$8* Dashboard!$F$4+Dashboard!D$10*SQRT(Dashboard!$F$4) * _xlfn.NORM.S.INV(RAND())</f>
        <v>4.711386511801547E-2</v>
      </c>
    </row>
    <row r="1960" spans="18:21" x14ac:dyDescent="0.2">
      <c r="R1960" s="49">
        <v>1958</v>
      </c>
      <c r="S1960" s="59">
        <f ca="1">Dashboard!B$8* Dashboard!$F$4+Dashboard!B$10*SQRT(Dashboard!$F$4) * _xlfn.NORM.S.INV(RAND())</f>
        <v>-4.2453311646525466E-2</v>
      </c>
      <c r="T1960" s="59">
        <f ca="1">Dashboard!C$8* Dashboard!$F$4+Dashboard!C$10*SQRT(Dashboard!$F$4) * _xlfn.NORM.S.INV(RAND())</f>
        <v>-1.2888689787955564E-2</v>
      </c>
      <c r="U1960" s="59">
        <f ca="1">Dashboard!D$8* Dashboard!$F$4+Dashboard!D$10*SQRT(Dashboard!$F$4) * _xlfn.NORM.S.INV(RAND())</f>
        <v>-1.5392711430828926E-2</v>
      </c>
    </row>
    <row r="1961" spans="18:21" x14ac:dyDescent="0.2">
      <c r="R1961" s="49">
        <v>1959</v>
      </c>
      <c r="S1961" s="59">
        <f ca="1">Dashboard!B$8* Dashboard!$F$4+Dashboard!B$10*SQRT(Dashboard!$F$4) * _xlfn.NORM.S.INV(RAND())</f>
        <v>6.9461009416712394E-3</v>
      </c>
      <c r="T1961" s="59">
        <f ca="1">Dashboard!C$8* Dashboard!$F$4+Dashboard!C$10*SQRT(Dashboard!$F$4) * _xlfn.NORM.S.INV(RAND())</f>
        <v>-7.2907151494535583E-2</v>
      </c>
      <c r="U1961" s="59">
        <f ca="1">Dashboard!D$8* Dashboard!$F$4+Dashboard!D$10*SQRT(Dashboard!$F$4) * _xlfn.NORM.S.INV(RAND())</f>
        <v>-4.9283248845787435E-2</v>
      </c>
    </row>
    <row r="1962" spans="18:21" x14ac:dyDescent="0.2">
      <c r="R1962" s="49">
        <v>1960</v>
      </c>
      <c r="S1962" s="59">
        <f ca="1">Dashboard!B$8* Dashboard!$F$4+Dashboard!B$10*SQRT(Dashboard!$F$4) * _xlfn.NORM.S.INV(RAND())</f>
        <v>-2.4451794563469268E-3</v>
      </c>
      <c r="T1962" s="59">
        <f ca="1">Dashboard!C$8* Dashboard!$F$4+Dashboard!C$10*SQRT(Dashboard!$F$4) * _xlfn.NORM.S.INV(RAND())</f>
        <v>-3.3220877247708509E-2</v>
      </c>
      <c r="U1962" s="59">
        <f ca="1">Dashboard!D$8* Dashboard!$F$4+Dashboard!D$10*SQRT(Dashboard!$F$4) * _xlfn.NORM.S.INV(RAND())</f>
        <v>-3.6194051086461802E-5</v>
      </c>
    </row>
    <row r="1963" spans="18:21" x14ac:dyDescent="0.2">
      <c r="R1963" s="49">
        <v>1961</v>
      </c>
      <c r="S1963" s="59">
        <f ca="1">Dashboard!B$8* Dashboard!$F$4+Dashboard!B$10*SQRT(Dashboard!$F$4) * _xlfn.NORM.S.INV(RAND())</f>
        <v>7.1330173994375058E-3</v>
      </c>
      <c r="T1963" s="59">
        <f ca="1">Dashboard!C$8* Dashboard!$F$4+Dashboard!C$10*SQRT(Dashboard!$F$4) * _xlfn.NORM.S.INV(RAND())</f>
        <v>-6.6952994780843994E-3</v>
      </c>
      <c r="U1963" s="59">
        <f ca="1">Dashboard!D$8* Dashboard!$F$4+Dashboard!D$10*SQRT(Dashboard!$F$4) * _xlfn.NORM.S.INV(RAND())</f>
        <v>1.2171873107095962E-2</v>
      </c>
    </row>
    <row r="1964" spans="18:21" x14ac:dyDescent="0.2">
      <c r="R1964" s="49">
        <v>1962</v>
      </c>
      <c r="S1964" s="59">
        <f ca="1">Dashboard!B$8* Dashboard!$F$4+Dashboard!B$10*SQRT(Dashboard!$F$4) * _xlfn.NORM.S.INV(RAND())</f>
        <v>1.052256647525416E-2</v>
      </c>
      <c r="T1964" s="59">
        <f ca="1">Dashboard!C$8* Dashboard!$F$4+Dashboard!C$10*SQRT(Dashboard!$F$4) * _xlfn.NORM.S.INV(RAND())</f>
        <v>1.1366271689489036E-2</v>
      </c>
      <c r="U1964" s="59">
        <f ca="1">Dashboard!D$8* Dashboard!$F$4+Dashboard!D$10*SQRT(Dashboard!$F$4) * _xlfn.NORM.S.INV(RAND())</f>
        <v>-9.0597006943909986E-2</v>
      </c>
    </row>
    <row r="1965" spans="18:21" x14ac:dyDescent="0.2">
      <c r="R1965" s="49">
        <v>1963</v>
      </c>
      <c r="S1965" s="59">
        <f ca="1">Dashboard!B$8* Dashboard!$F$4+Dashboard!B$10*SQRT(Dashboard!$F$4) * _xlfn.NORM.S.INV(RAND())</f>
        <v>1.6878205193753416E-2</v>
      </c>
      <c r="T1965" s="59">
        <f ca="1">Dashboard!C$8* Dashboard!$F$4+Dashboard!C$10*SQRT(Dashboard!$F$4) * _xlfn.NORM.S.INV(RAND())</f>
        <v>-5.318328546100517E-3</v>
      </c>
      <c r="U1965" s="59">
        <f ca="1">Dashboard!D$8* Dashboard!$F$4+Dashboard!D$10*SQRT(Dashboard!$F$4) * _xlfn.NORM.S.INV(RAND())</f>
        <v>2.0315544675824134E-2</v>
      </c>
    </row>
    <row r="1966" spans="18:21" x14ac:dyDescent="0.2">
      <c r="R1966" s="49">
        <v>1964</v>
      </c>
      <c r="S1966" s="59">
        <f ca="1">Dashboard!B$8* Dashboard!$F$4+Dashboard!B$10*SQRT(Dashboard!$F$4) * _xlfn.NORM.S.INV(RAND())</f>
        <v>-3.1217701348418719E-3</v>
      </c>
      <c r="T1966" s="59">
        <f ca="1">Dashboard!C$8* Dashboard!$F$4+Dashboard!C$10*SQRT(Dashboard!$F$4) * _xlfn.NORM.S.INV(RAND())</f>
        <v>3.3376426266302911E-2</v>
      </c>
      <c r="U1966" s="59">
        <f ca="1">Dashboard!D$8* Dashboard!$F$4+Dashboard!D$10*SQRT(Dashboard!$F$4) * _xlfn.NORM.S.INV(RAND())</f>
        <v>-1.0829587335991358E-2</v>
      </c>
    </row>
    <row r="1967" spans="18:21" x14ac:dyDescent="0.2">
      <c r="R1967" s="49">
        <v>1965</v>
      </c>
      <c r="S1967" s="59">
        <f ca="1">Dashboard!B$8* Dashboard!$F$4+Dashboard!B$10*SQRT(Dashboard!$F$4) * _xlfn.NORM.S.INV(RAND())</f>
        <v>4.0259401565711374E-2</v>
      </c>
      <c r="T1967" s="59">
        <f ca="1">Dashboard!C$8* Dashboard!$F$4+Dashboard!C$10*SQRT(Dashboard!$F$4) * _xlfn.NORM.S.INV(RAND())</f>
        <v>-2.7285026326285416E-2</v>
      </c>
      <c r="U1967" s="59">
        <f ca="1">Dashboard!D$8* Dashboard!$F$4+Dashboard!D$10*SQRT(Dashboard!$F$4) * _xlfn.NORM.S.INV(RAND())</f>
        <v>-5.3373227094133412E-2</v>
      </c>
    </row>
    <row r="1968" spans="18:21" x14ac:dyDescent="0.2">
      <c r="R1968" s="49">
        <v>1966</v>
      </c>
      <c r="S1968" s="59">
        <f ca="1">Dashboard!B$8* Dashboard!$F$4+Dashboard!B$10*SQRT(Dashboard!$F$4) * _xlfn.NORM.S.INV(RAND())</f>
        <v>-4.8512290944450288E-2</v>
      </c>
      <c r="T1968" s="59">
        <f ca="1">Dashboard!C$8* Dashboard!$F$4+Dashboard!C$10*SQRT(Dashboard!$F$4) * _xlfn.NORM.S.INV(RAND())</f>
        <v>4.7007302250464893E-2</v>
      </c>
      <c r="U1968" s="59">
        <f ca="1">Dashboard!D$8* Dashboard!$F$4+Dashboard!D$10*SQRT(Dashboard!$F$4) * _xlfn.NORM.S.INV(RAND())</f>
        <v>-8.0460306231334808E-2</v>
      </c>
    </row>
    <row r="1969" spans="18:21" x14ac:dyDescent="0.2">
      <c r="R1969" s="49">
        <v>1967</v>
      </c>
      <c r="S1969" s="59">
        <f ca="1">Dashboard!B$8* Dashboard!$F$4+Dashboard!B$10*SQRT(Dashboard!$F$4) * _xlfn.NORM.S.INV(RAND())</f>
        <v>-6.0486590027199069E-2</v>
      </c>
      <c r="T1969" s="59">
        <f ca="1">Dashboard!C$8* Dashboard!$F$4+Dashboard!C$10*SQRT(Dashboard!$F$4) * _xlfn.NORM.S.INV(RAND())</f>
        <v>2.6607200098038068E-2</v>
      </c>
      <c r="U1969" s="59">
        <f ca="1">Dashboard!D$8* Dashboard!$F$4+Dashboard!D$10*SQRT(Dashboard!$F$4) * _xlfn.NORM.S.INV(RAND())</f>
        <v>-2.0257297303809828E-2</v>
      </c>
    </row>
    <row r="1970" spans="18:21" x14ac:dyDescent="0.2">
      <c r="R1970" s="49">
        <v>1968</v>
      </c>
      <c r="S1970" s="59">
        <f ca="1">Dashboard!B$8* Dashboard!$F$4+Dashboard!B$10*SQRT(Dashboard!$F$4) * _xlfn.NORM.S.INV(RAND())</f>
        <v>-3.2997846645255548E-2</v>
      </c>
      <c r="T1970" s="59">
        <f ca="1">Dashboard!C$8* Dashboard!$F$4+Dashboard!C$10*SQRT(Dashboard!$F$4) * _xlfn.NORM.S.INV(RAND())</f>
        <v>-2.9207175961160198E-2</v>
      </c>
      <c r="U1970" s="59">
        <f ca="1">Dashboard!D$8* Dashboard!$F$4+Dashboard!D$10*SQRT(Dashboard!$F$4) * _xlfn.NORM.S.INV(RAND())</f>
        <v>4.059005981840734E-2</v>
      </c>
    </row>
    <row r="1971" spans="18:21" x14ac:dyDescent="0.2">
      <c r="R1971" s="49">
        <v>1969</v>
      </c>
      <c r="S1971" s="59">
        <f ca="1">Dashboard!B$8* Dashboard!$F$4+Dashboard!B$10*SQRT(Dashboard!$F$4) * _xlfn.NORM.S.INV(RAND())</f>
        <v>2.728566285837853E-2</v>
      </c>
      <c r="T1971" s="59">
        <f ca="1">Dashboard!C$8* Dashboard!$F$4+Dashboard!C$10*SQRT(Dashboard!$F$4) * _xlfn.NORM.S.INV(RAND())</f>
        <v>2.2283722298706843E-2</v>
      </c>
      <c r="U1971" s="59">
        <f ca="1">Dashboard!D$8* Dashboard!$F$4+Dashboard!D$10*SQRT(Dashboard!$F$4) * _xlfn.NORM.S.INV(RAND())</f>
        <v>2.6417070793286843E-3</v>
      </c>
    </row>
    <row r="1972" spans="18:21" x14ac:dyDescent="0.2">
      <c r="R1972" s="49">
        <v>1970</v>
      </c>
      <c r="S1972" s="59">
        <f ca="1">Dashboard!B$8* Dashboard!$F$4+Dashboard!B$10*SQRT(Dashboard!$F$4) * _xlfn.NORM.S.INV(RAND())</f>
        <v>-0.10993013243199999</v>
      </c>
      <c r="T1972" s="59">
        <f ca="1">Dashboard!C$8* Dashboard!$F$4+Dashboard!C$10*SQRT(Dashboard!$F$4) * _xlfn.NORM.S.INV(RAND())</f>
        <v>2.9503048981223863E-3</v>
      </c>
      <c r="U1972" s="59">
        <f ca="1">Dashboard!D$8* Dashboard!$F$4+Dashboard!D$10*SQRT(Dashboard!$F$4) * _xlfn.NORM.S.INV(RAND())</f>
        <v>-3.4922227826606332E-2</v>
      </c>
    </row>
    <row r="1973" spans="18:21" x14ac:dyDescent="0.2">
      <c r="R1973" s="49">
        <v>1971</v>
      </c>
      <c r="S1973" s="59">
        <f ca="1">Dashboard!B$8* Dashboard!$F$4+Dashboard!B$10*SQRT(Dashboard!$F$4) * _xlfn.NORM.S.INV(RAND())</f>
        <v>1.1326876718027599E-2</v>
      </c>
      <c r="T1973" s="59">
        <f ca="1">Dashboard!C$8* Dashboard!$F$4+Dashboard!C$10*SQRT(Dashboard!$F$4) * _xlfn.NORM.S.INV(RAND())</f>
        <v>2.1821794877986141E-2</v>
      </c>
      <c r="U1973" s="59">
        <f ca="1">Dashboard!D$8* Dashboard!$F$4+Dashboard!D$10*SQRT(Dashboard!$F$4) * _xlfn.NORM.S.INV(RAND())</f>
        <v>-1.1360553219879957E-2</v>
      </c>
    </row>
    <row r="1974" spans="18:21" x14ac:dyDescent="0.2">
      <c r="R1974" s="49">
        <v>1972</v>
      </c>
      <c r="S1974" s="59">
        <f ca="1">Dashboard!B$8* Dashboard!$F$4+Dashboard!B$10*SQRT(Dashboard!$F$4) * _xlfn.NORM.S.INV(RAND())</f>
        <v>3.1678413435094199E-2</v>
      </c>
      <c r="T1974" s="59">
        <f ca="1">Dashboard!C$8* Dashboard!$F$4+Dashboard!C$10*SQRT(Dashboard!$F$4) * _xlfn.NORM.S.INV(RAND())</f>
        <v>6.2095719687829164E-3</v>
      </c>
      <c r="U1974" s="59">
        <f ca="1">Dashboard!D$8* Dashboard!$F$4+Dashboard!D$10*SQRT(Dashboard!$F$4) * _xlfn.NORM.S.INV(RAND())</f>
        <v>3.2259691946693633E-2</v>
      </c>
    </row>
    <row r="1975" spans="18:21" x14ac:dyDescent="0.2">
      <c r="R1975" s="49">
        <v>1973</v>
      </c>
      <c r="S1975" s="59">
        <f ca="1">Dashboard!B$8* Dashboard!$F$4+Dashboard!B$10*SQRT(Dashboard!$F$4) * _xlfn.NORM.S.INV(RAND())</f>
        <v>-4.0847423916650423E-2</v>
      </c>
      <c r="T1975" s="59">
        <f ca="1">Dashboard!C$8* Dashboard!$F$4+Dashboard!C$10*SQRT(Dashboard!$F$4) * _xlfn.NORM.S.INV(RAND())</f>
        <v>-4.4791136250320059E-2</v>
      </c>
      <c r="U1975" s="59">
        <f ca="1">Dashboard!D$8* Dashboard!$F$4+Dashboard!D$10*SQRT(Dashboard!$F$4) * _xlfn.NORM.S.INV(RAND())</f>
        <v>-4.2730064085590477E-2</v>
      </c>
    </row>
    <row r="1976" spans="18:21" x14ac:dyDescent="0.2">
      <c r="R1976" s="49">
        <v>1974</v>
      </c>
      <c r="S1976" s="59">
        <f ca="1">Dashboard!B$8* Dashboard!$F$4+Dashboard!B$10*SQRT(Dashboard!$F$4) * _xlfn.NORM.S.INV(RAND())</f>
        <v>1.9889056975950165E-3</v>
      </c>
      <c r="T1976" s="59">
        <f ca="1">Dashboard!C$8* Dashboard!$F$4+Dashboard!C$10*SQRT(Dashboard!$F$4) * _xlfn.NORM.S.INV(RAND())</f>
        <v>1.762248188948486E-2</v>
      </c>
      <c r="U1976" s="59">
        <f ca="1">Dashboard!D$8* Dashboard!$F$4+Dashboard!D$10*SQRT(Dashboard!$F$4) * _xlfn.NORM.S.INV(RAND())</f>
        <v>9.8534709384180894E-3</v>
      </c>
    </row>
    <row r="1977" spans="18:21" x14ac:dyDescent="0.2">
      <c r="R1977" s="49">
        <v>1975</v>
      </c>
      <c r="S1977" s="59">
        <f ca="1">Dashboard!B$8* Dashboard!$F$4+Dashboard!B$10*SQRT(Dashboard!$F$4) * _xlfn.NORM.S.INV(RAND())</f>
        <v>3.5617960028041164E-2</v>
      </c>
      <c r="T1977" s="59">
        <f ca="1">Dashboard!C$8* Dashboard!$F$4+Dashboard!C$10*SQRT(Dashboard!$F$4) * _xlfn.NORM.S.INV(RAND())</f>
        <v>3.0311544484640629E-2</v>
      </c>
      <c r="U1977" s="59">
        <f ca="1">Dashboard!D$8* Dashboard!$F$4+Dashboard!D$10*SQRT(Dashboard!$F$4) * _xlfn.NORM.S.INV(RAND())</f>
        <v>-5.5958221896314879E-3</v>
      </c>
    </row>
    <row r="1978" spans="18:21" x14ac:dyDescent="0.2">
      <c r="R1978" s="49">
        <v>1976</v>
      </c>
      <c r="S1978" s="59">
        <f ca="1">Dashboard!B$8* Dashboard!$F$4+Dashboard!B$10*SQRT(Dashboard!$F$4) * _xlfn.NORM.S.INV(RAND())</f>
        <v>5.4295822493819618E-3</v>
      </c>
      <c r="T1978" s="59">
        <f ca="1">Dashboard!C$8* Dashboard!$F$4+Dashboard!C$10*SQRT(Dashboard!$F$4) * _xlfn.NORM.S.INV(RAND())</f>
        <v>3.0903351109649934E-2</v>
      </c>
      <c r="U1978" s="59">
        <f ca="1">Dashboard!D$8* Dashboard!$F$4+Dashboard!D$10*SQRT(Dashboard!$F$4) * _xlfn.NORM.S.INV(RAND())</f>
        <v>-2.640992144967768E-2</v>
      </c>
    </row>
    <row r="1979" spans="18:21" x14ac:dyDescent="0.2">
      <c r="R1979" s="49">
        <v>1977</v>
      </c>
      <c r="S1979" s="59">
        <f ca="1">Dashboard!B$8* Dashboard!$F$4+Dashboard!B$10*SQRT(Dashboard!$F$4) * _xlfn.NORM.S.INV(RAND())</f>
        <v>1.2801709068285263E-2</v>
      </c>
      <c r="T1979" s="59">
        <f ca="1">Dashboard!C$8* Dashboard!$F$4+Dashboard!C$10*SQRT(Dashboard!$F$4) * _xlfn.NORM.S.INV(RAND())</f>
        <v>-6.5360011907319299E-5</v>
      </c>
      <c r="U1979" s="59">
        <f ca="1">Dashboard!D$8* Dashboard!$F$4+Dashboard!D$10*SQRT(Dashboard!$F$4) * _xlfn.NORM.S.INV(RAND())</f>
        <v>3.3723193265574172E-2</v>
      </c>
    </row>
    <row r="1980" spans="18:21" x14ac:dyDescent="0.2">
      <c r="R1980" s="49">
        <v>1978</v>
      </c>
      <c r="S1980" s="59">
        <f ca="1">Dashboard!B$8* Dashboard!$F$4+Dashboard!B$10*SQRT(Dashboard!$F$4) * _xlfn.NORM.S.INV(RAND())</f>
        <v>-9.3091369527928472E-2</v>
      </c>
      <c r="T1980" s="59">
        <f ca="1">Dashboard!C$8* Dashboard!$F$4+Dashboard!C$10*SQRT(Dashboard!$F$4) * _xlfn.NORM.S.INV(RAND())</f>
        <v>-1.0873316291705952E-2</v>
      </c>
      <c r="U1980" s="59">
        <f ca="1">Dashboard!D$8* Dashboard!$F$4+Dashboard!D$10*SQRT(Dashboard!$F$4) * _xlfn.NORM.S.INV(RAND())</f>
        <v>-3.4312145481318668E-2</v>
      </c>
    </row>
    <row r="1981" spans="18:21" x14ac:dyDescent="0.2">
      <c r="R1981" s="49">
        <v>1979</v>
      </c>
      <c r="S1981" s="59">
        <f ca="1">Dashboard!B$8* Dashboard!$F$4+Dashboard!B$10*SQRT(Dashboard!$F$4) * _xlfn.NORM.S.INV(RAND())</f>
        <v>6.9779779680100476E-2</v>
      </c>
      <c r="T1981" s="59">
        <f ca="1">Dashboard!C$8* Dashboard!$F$4+Dashboard!C$10*SQRT(Dashboard!$F$4) * _xlfn.NORM.S.INV(RAND())</f>
        <v>1.1710311898176314E-2</v>
      </c>
      <c r="U1981" s="59">
        <f ca="1">Dashboard!D$8* Dashboard!$F$4+Dashboard!D$10*SQRT(Dashboard!$F$4) * _xlfn.NORM.S.INV(RAND())</f>
        <v>1.7915399431562382E-2</v>
      </c>
    </row>
    <row r="1982" spans="18:21" x14ac:dyDescent="0.2">
      <c r="R1982" s="49">
        <v>1980</v>
      </c>
      <c r="S1982" s="59">
        <f ca="1">Dashboard!B$8* Dashboard!$F$4+Dashboard!B$10*SQRT(Dashboard!$F$4) * _xlfn.NORM.S.INV(RAND())</f>
        <v>-1.0442722890816752E-2</v>
      </c>
      <c r="T1982" s="59">
        <f ca="1">Dashboard!C$8* Dashboard!$F$4+Dashboard!C$10*SQRT(Dashboard!$F$4) * _xlfn.NORM.S.INV(RAND())</f>
        <v>1.8547604062182716E-2</v>
      </c>
      <c r="U1982" s="59">
        <f ca="1">Dashboard!D$8* Dashboard!$F$4+Dashboard!D$10*SQRT(Dashboard!$F$4) * _xlfn.NORM.S.INV(RAND())</f>
        <v>6.268707472875848E-2</v>
      </c>
    </row>
    <row r="1983" spans="18:21" x14ac:dyDescent="0.2">
      <c r="R1983" s="49">
        <v>1981</v>
      </c>
      <c r="S1983" s="59">
        <f ca="1">Dashboard!B$8* Dashboard!$F$4+Dashboard!B$10*SQRT(Dashboard!$F$4) * _xlfn.NORM.S.INV(RAND())</f>
        <v>-3.1881765899053269E-2</v>
      </c>
      <c r="T1983" s="59">
        <f ca="1">Dashboard!C$8* Dashboard!$F$4+Dashboard!C$10*SQRT(Dashboard!$F$4) * _xlfn.NORM.S.INV(RAND())</f>
        <v>7.4951556325657878E-3</v>
      </c>
      <c r="U1983" s="59">
        <f ca="1">Dashboard!D$8* Dashboard!$F$4+Dashboard!D$10*SQRT(Dashboard!$F$4) * _xlfn.NORM.S.INV(RAND())</f>
        <v>5.9141146706666536E-2</v>
      </c>
    </row>
    <row r="1984" spans="18:21" x14ac:dyDescent="0.2">
      <c r="R1984" s="49">
        <v>1982</v>
      </c>
      <c r="S1984" s="59">
        <f ca="1">Dashboard!B$8* Dashboard!$F$4+Dashboard!B$10*SQRT(Dashboard!$F$4) * _xlfn.NORM.S.INV(RAND())</f>
        <v>-2.2422867321637917E-2</v>
      </c>
      <c r="T1984" s="59">
        <f ca="1">Dashboard!C$8* Dashboard!$F$4+Dashboard!C$10*SQRT(Dashboard!$F$4) * _xlfn.NORM.S.INV(RAND())</f>
        <v>-2.7160791867892591E-2</v>
      </c>
      <c r="U1984" s="59">
        <f ca="1">Dashboard!D$8* Dashboard!$F$4+Dashboard!D$10*SQRT(Dashboard!$F$4) * _xlfn.NORM.S.INV(RAND())</f>
        <v>-2.7727028995269142E-2</v>
      </c>
    </row>
    <row r="1985" spans="18:21" x14ac:dyDescent="0.2">
      <c r="R1985" s="49">
        <v>1983</v>
      </c>
      <c r="S1985" s="59">
        <f ca="1">Dashboard!B$8* Dashboard!$F$4+Dashboard!B$10*SQRT(Dashboard!$F$4) * _xlfn.NORM.S.INV(RAND())</f>
        <v>-2.8118974429642569E-2</v>
      </c>
      <c r="T1985" s="59">
        <f ca="1">Dashboard!C$8* Dashboard!$F$4+Dashboard!C$10*SQRT(Dashboard!$F$4) * _xlfn.NORM.S.INV(RAND())</f>
        <v>4.034384086449589E-2</v>
      </c>
      <c r="U1985" s="59">
        <f ca="1">Dashboard!D$8* Dashboard!$F$4+Dashboard!D$10*SQRT(Dashboard!$F$4) * _xlfn.NORM.S.INV(RAND())</f>
        <v>6.7757536925829351E-2</v>
      </c>
    </row>
    <row r="1986" spans="18:21" x14ac:dyDescent="0.2">
      <c r="R1986" s="49">
        <v>1984</v>
      </c>
      <c r="S1986" s="59">
        <f ca="1">Dashboard!B$8* Dashboard!$F$4+Dashboard!B$10*SQRT(Dashboard!$F$4) * _xlfn.NORM.S.INV(RAND())</f>
        <v>-3.8263502825253239E-2</v>
      </c>
      <c r="T1986" s="59">
        <f ca="1">Dashboard!C$8* Dashboard!$F$4+Dashboard!C$10*SQRT(Dashboard!$F$4) * _xlfn.NORM.S.INV(RAND())</f>
        <v>2.746683039683118E-2</v>
      </c>
      <c r="U1986" s="59">
        <f ca="1">Dashboard!D$8* Dashboard!$F$4+Dashboard!D$10*SQRT(Dashboard!$F$4) * _xlfn.NORM.S.INV(RAND())</f>
        <v>1.490488602290185E-2</v>
      </c>
    </row>
    <row r="1987" spans="18:21" x14ac:dyDescent="0.2">
      <c r="R1987" s="49">
        <v>1985</v>
      </c>
      <c r="S1987" s="59">
        <f ca="1">Dashboard!B$8* Dashboard!$F$4+Dashboard!B$10*SQRT(Dashboard!$F$4) * _xlfn.NORM.S.INV(RAND())</f>
        <v>-2.1139290822380759E-2</v>
      </c>
      <c r="T1987" s="59">
        <f ca="1">Dashboard!C$8* Dashboard!$F$4+Dashboard!C$10*SQRT(Dashboard!$F$4) * _xlfn.NORM.S.INV(RAND())</f>
        <v>-6.4770598212635878E-3</v>
      </c>
      <c r="U1987" s="59">
        <f ca="1">Dashboard!D$8* Dashboard!$F$4+Dashboard!D$10*SQRT(Dashboard!$F$4) * _xlfn.NORM.S.INV(RAND())</f>
        <v>1.04152426896807E-2</v>
      </c>
    </row>
    <row r="1988" spans="18:21" x14ac:dyDescent="0.2">
      <c r="R1988" s="49">
        <v>1986</v>
      </c>
      <c r="S1988" s="59">
        <f ca="1">Dashboard!B$8* Dashboard!$F$4+Dashboard!B$10*SQRT(Dashboard!$F$4) * _xlfn.NORM.S.INV(RAND())</f>
        <v>-1.0226311398455912E-2</v>
      </c>
      <c r="T1988" s="59">
        <f ca="1">Dashboard!C$8* Dashboard!$F$4+Dashboard!C$10*SQRT(Dashboard!$F$4) * _xlfn.NORM.S.INV(RAND())</f>
        <v>2.9128844979480584E-2</v>
      </c>
      <c r="U1988" s="59">
        <f ca="1">Dashboard!D$8* Dashboard!$F$4+Dashboard!D$10*SQRT(Dashboard!$F$4) * _xlfn.NORM.S.INV(RAND())</f>
        <v>-4.7540391493983883E-2</v>
      </c>
    </row>
    <row r="1989" spans="18:21" x14ac:dyDescent="0.2">
      <c r="R1989" s="49">
        <v>1987</v>
      </c>
      <c r="S1989" s="59">
        <f ca="1">Dashboard!B$8* Dashboard!$F$4+Dashboard!B$10*SQRT(Dashboard!$F$4) * _xlfn.NORM.S.INV(RAND())</f>
        <v>-5.8413474351127578E-2</v>
      </c>
      <c r="T1989" s="59">
        <f ca="1">Dashboard!C$8* Dashboard!$F$4+Dashboard!C$10*SQRT(Dashboard!$F$4) * _xlfn.NORM.S.INV(RAND())</f>
        <v>1.4251871927095667E-2</v>
      </c>
      <c r="U1989" s="59">
        <f ca="1">Dashboard!D$8* Dashboard!$F$4+Dashboard!D$10*SQRT(Dashboard!$F$4) * _xlfn.NORM.S.INV(RAND())</f>
        <v>-2.0861179228004043E-2</v>
      </c>
    </row>
    <row r="1990" spans="18:21" x14ac:dyDescent="0.2">
      <c r="R1990" s="49">
        <v>1988</v>
      </c>
      <c r="S1990" s="59">
        <f ca="1">Dashboard!B$8* Dashboard!$F$4+Dashboard!B$10*SQRT(Dashboard!$F$4) * _xlfn.NORM.S.INV(RAND())</f>
        <v>-5.4164230139814015E-2</v>
      </c>
      <c r="T1990" s="59">
        <f ca="1">Dashboard!C$8* Dashboard!$F$4+Dashboard!C$10*SQRT(Dashboard!$F$4) * _xlfn.NORM.S.INV(RAND())</f>
        <v>1.2353744388049377E-2</v>
      </c>
      <c r="U1990" s="59">
        <f ca="1">Dashboard!D$8* Dashboard!$F$4+Dashboard!D$10*SQRT(Dashboard!$F$4) * _xlfn.NORM.S.INV(RAND())</f>
        <v>7.7161807920293713E-3</v>
      </c>
    </row>
    <row r="1991" spans="18:21" x14ac:dyDescent="0.2">
      <c r="R1991" s="49">
        <v>1989</v>
      </c>
      <c r="S1991" s="59">
        <f ca="1">Dashboard!B$8* Dashboard!$F$4+Dashboard!B$10*SQRT(Dashboard!$F$4) * _xlfn.NORM.S.INV(RAND())</f>
        <v>-1.8763513992455447E-2</v>
      </c>
      <c r="T1991" s="59">
        <f ca="1">Dashboard!C$8* Dashboard!$F$4+Dashboard!C$10*SQRT(Dashboard!$F$4) * _xlfn.NORM.S.INV(RAND())</f>
        <v>3.9762615169253057E-2</v>
      </c>
      <c r="U1991" s="59">
        <f ca="1">Dashboard!D$8* Dashboard!$F$4+Dashboard!D$10*SQRT(Dashboard!$F$4) * _xlfn.NORM.S.INV(RAND())</f>
        <v>9.7898102858794654E-3</v>
      </c>
    </row>
    <row r="1992" spans="18:21" x14ac:dyDescent="0.2">
      <c r="R1992" s="49">
        <v>1990</v>
      </c>
      <c r="S1992" s="59">
        <f ca="1">Dashboard!B$8* Dashboard!$F$4+Dashboard!B$10*SQRT(Dashboard!$F$4) * _xlfn.NORM.S.INV(RAND())</f>
        <v>-2.0116549158805133E-2</v>
      </c>
      <c r="T1992" s="59">
        <f ca="1">Dashboard!C$8* Dashboard!$F$4+Dashboard!C$10*SQRT(Dashboard!$F$4) * _xlfn.NORM.S.INV(RAND())</f>
        <v>-1.4019901251772524E-2</v>
      </c>
      <c r="U1992" s="59">
        <f ca="1">Dashboard!D$8* Dashboard!$F$4+Dashboard!D$10*SQRT(Dashboard!$F$4) * _xlfn.NORM.S.INV(RAND())</f>
        <v>2.9316798211101308E-2</v>
      </c>
    </row>
    <row r="1993" spans="18:21" x14ac:dyDescent="0.2">
      <c r="R1993" s="49">
        <v>1991</v>
      </c>
      <c r="S1993" s="59">
        <f ca="1">Dashboard!B$8* Dashboard!$F$4+Dashboard!B$10*SQRT(Dashboard!$F$4) * _xlfn.NORM.S.INV(RAND())</f>
        <v>-4.2687871865346363E-3</v>
      </c>
      <c r="T1993" s="59">
        <f ca="1">Dashboard!C$8* Dashboard!$F$4+Dashboard!C$10*SQRT(Dashboard!$F$4) * _xlfn.NORM.S.INV(RAND())</f>
        <v>7.5995502338144394E-2</v>
      </c>
      <c r="U1993" s="59">
        <f ca="1">Dashboard!D$8* Dashboard!$F$4+Dashboard!D$10*SQRT(Dashboard!$F$4) * _xlfn.NORM.S.INV(RAND())</f>
        <v>3.8828400007712621E-2</v>
      </c>
    </row>
    <row r="1994" spans="18:21" x14ac:dyDescent="0.2">
      <c r="R1994" s="49">
        <v>1992</v>
      </c>
      <c r="S1994" s="59">
        <f ca="1">Dashboard!B$8* Dashboard!$F$4+Dashboard!B$10*SQRT(Dashboard!$F$4) * _xlfn.NORM.S.INV(RAND())</f>
        <v>1.6294178241532675E-2</v>
      </c>
      <c r="T1994" s="59">
        <f ca="1">Dashboard!C$8* Dashboard!$F$4+Dashboard!C$10*SQRT(Dashboard!$F$4) * _xlfn.NORM.S.INV(RAND())</f>
        <v>8.1575293687448563E-2</v>
      </c>
      <c r="U1994" s="59">
        <f ca="1">Dashboard!D$8* Dashboard!$F$4+Dashboard!D$10*SQRT(Dashboard!$F$4) * _xlfn.NORM.S.INV(RAND())</f>
        <v>2.4771260966228545E-2</v>
      </c>
    </row>
    <row r="1995" spans="18:21" x14ac:dyDescent="0.2">
      <c r="R1995" s="49">
        <v>1993</v>
      </c>
      <c r="S1995" s="59">
        <f ca="1">Dashboard!B$8* Dashboard!$F$4+Dashboard!B$10*SQRT(Dashboard!$F$4) * _xlfn.NORM.S.INV(RAND())</f>
        <v>3.2217492055084127E-3</v>
      </c>
      <c r="T1995" s="59">
        <f ca="1">Dashboard!C$8* Dashboard!$F$4+Dashboard!C$10*SQRT(Dashboard!$F$4) * _xlfn.NORM.S.INV(RAND())</f>
        <v>2.768282935233176E-2</v>
      </c>
      <c r="U1995" s="59">
        <f ca="1">Dashboard!D$8* Dashboard!$F$4+Dashboard!D$10*SQRT(Dashboard!$F$4) * _xlfn.NORM.S.INV(RAND())</f>
        <v>4.8214919915083712E-2</v>
      </c>
    </row>
    <row r="1996" spans="18:21" x14ac:dyDescent="0.2">
      <c r="R1996" s="49">
        <v>1994</v>
      </c>
      <c r="S1996" s="59">
        <f ca="1">Dashboard!B$8* Dashboard!$F$4+Dashboard!B$10*SQRT(Dashboard!$F$4) * _xlfn.NORM.S.INV(RAND())</f>
        <v>2.6366610851240729E-2</v>
      </c>
      <c r="T1996" s="59">
        <f ca="1">Dashboard!C$8* Dashboard!$F$4+Dashboard!C$10*SQRT(Dashboard!$F$4) * _xlfn.NORM.S.INV(RAND())</f>
        <v>-6.9848549391992457E-3</v>
      </c>
      <c r="U1996" s="59">
        <f ca="1">Dashboard!D$8* Dashboard!$F$4+Dashboard!D$10*SQRT(Dashboard!$F$4) * _xlfn.NORM.S.INV(RAND())</f>
        <v>-3.7675625660401127E-2</v>
      </c>
    </row>
    <row r="1997" spans="18:21" x14ac:dyDescent="0.2">
      <c r="R1997" s="49">
        <v>1995</v>
      </c>
      <c r="S1997" s="59">
        <f ca="1">Dashboard!B$8* Dashboard!$F$4+Dashboard!B$10*SQRT(Dashboard!$F$4) * _xlfn.NORM.S.INV(RAND())</f>
        <v>1.6348402418153427E-2</v>
      </c>
      <c r="T1997" s="59">
        <f ca="1">Dashboard!C$8* Dashboard!$F$4+Dashboard!C$10*SQRT(Dashboard!$F$4) * _xlfn.NORM.S.INV(RAND())</f>
        <v>-3.986975414290079E-3</v>
      </c>
      <c r="U1997" s="59">
        <f ca="1">Dashboard!D$8* Dashboard!$F$4+Dashboard!D$10*SQRT(Dashboard!$F$4) * _xlfn.NORM.S.INV(RAND())</f>
        <v>-4.945525395489065E-2</v>
      </c>
    </row>
    <row r="1998" spans="18:21" x14ac:dyDescent="0.2">
      <c r="R1998" s="49">
        <v>1996</v>
      </c>
      <c r="S1998" s="59">
        <f ca="1">Dashboard!B$8* Dashboard!$F$4+Dashboard!B$10*SQRT(Dashboard!$F$4) * _xlfn.NORM.S.INV(RAND())</f>
        <v>3.0002967980344783E-2</v>
      </c>
      <c r="T1998" s="59">
        <f ca="1">Dashboard!C$8* Dashboard!$F$4+Dashboard!C$10*SQRT(Dashboard!$F$4) * _xlfn.NORM.S.INV(RAND())</f>
        <v>5.4184736604882943E-3</v>
      </c>
      <c r="U1998" s="59">
        <f ca="1">Dashboard!D$8* Dashboard!$F$4+Dashboard!D$10*SQRT(Dashboard!$F$4) * _xlfn.NORM.S.INV(RAND())</f>
        <v>2.7920832699780049E-2</v>
      </c>
    </row>
    <row r="1999" spans="18:21" x14ac:dyDescent="0.2">
      <c r="R1999" s="49">
        <v>1997</v>
      </c>
      <c r="S1999" s="59">
        <f ca="1">Dashboard!B$8* Dashboard!$F$4+Dashboard!B$10*SQRT(Dashboard!$F$4) * _xlfn.NORM.S.INV(RAND())</f>
        <v>7.2415082076401349E-3</v>
      </c>
      <c r="T1999" s="59">
        <f ca="1">Dashboard!C$8* Dashboard!$F$4+Dashboard!C$10*SQRT(Dashboard!$F$4) * _xlfn.NORM.S.INV(RAND())</f>
        <v>3.4322074608403585E-2</v>
      </c>
      <c r="U1999" s="59">
        <f ca="1">Dashboard!D$8* Dashboard!$F$4+Dashboard!D$10*SQRT(Dashboard!$F$4) * _xlfn.NORM.S.INV(RAND())</f>
        <v>3.4106539828971452E-2</v>
      </c>
    </row>
    <row r="2000" spans="18:21" x14ac:dyDescent="0.2">
      <c r="R2000" s="49">
        <v>1998</v>
      </c>
      <c r="S2000" s="59">
        <f ca="1">Dashboard!B$8* Dashboard!$F$4+Dashboard!B$10*SQRT(Dashboard!$F$4) * _xlfn.NORM.S.INV(RAND())</f>
        <v>-6.208879286281754E-3</v>
      </c>
      <c r="T2000" s="59">
        <f ca="1">Dashboard!C$8* Dashboard!$F$4+Dashboard!C$10*SQRT(Dashboard!$F$4) * _xlfn.NORM.S.INV(RAND())</f>
        <v>-3.8999205817883034E-2</v>
      </c>
      <c r="U2000" s="59">
        <f ca="1">Dashboard!D$8* Dashboard!$F$4+Dashboard!D$10*SQRT(Dashboard!$F$4) * _xlfn.NORM.S.INV(RAND())</f>
        <v>1.3129589698563733E-2</v>
      </c>
    </row>
    <row r="2001" spans="18:21" x14ac:dyDescent="0.2">
      <c r="R2001" s="49">
        <v>1999</v>
      </c>
      <c r="S2001" s="59">
        <f ca="1">Dashboard!B$8* Dashboard!$F$4+Dashboard!B$10*SQRT(Dashboard!$F$4) * _xlfn.NORM.S.INV(RAND())</f>
        <v>-2.6139346654412685E-2</v>
      </c>
      <c r="T2001" s="59">
        <f ca="1">Dashboard!C$8* Dashboard!$F$4+Dashboard!C$10*SQRT(Dashboard!$F$4) * _xlfn.NORM.S.INV(RAND())</f>
        <v>3.4873375017628189E-2</v>
      </c>
      <c r="U2001" s="59">
        <f ca="1">Dashboard!D$8* Dashboard!$F$4+Dashboard!D$10*SQRT(Dashboard!$F$4) * _xlfn.NORM.S.INV(RAND())</f>
        <v>-6.5896649189329456E-3</v>
      </c>
    </row>
    <row r="2002" spans="18:21" x14ac:dyDescent="0.2">
      <c r="R2002" s="49">
        <v>2000</v>
      </c>
      <c r="S2002" s="59">
        <f ca="1">Dashboard!B$8* Dashboard!$F$4+Dashboard!B$10*SQRT(Dashboard!$F$4) * _xlfn.NORM.S.INV(RAND())</f>
        <v>-1.5671180602063552E-2</v>
      </c>
      <c r="T2002" s="59">
        <f ca="1">Dashboard!C$8* Dashboard!$F$4+Dashboard!C$10*SQRT(Dashboard!$F$4) * _xlfn.NORM.S.INV(RAND())</f>
        <v>-9.022698462498889E-3</v>
      </c>
      <c r="U2002" s="59">
        <f ca="1">Dashboard!D$8* Dashboard!$F$4+Dashboard!D$10*SQRT(Dashboard!$F$4) * _xlfn.NORM.S.INV(RAND())</f>
        <v>7.5639242000120422E-3</v>
      </c>
    </row>
    <row r="2003" spans="18:21" x14ac:dyDescent="0.2">
      <c r="R2003" s="49">
        <v>2001</v>
      </c>
      <c r="S2003" s="59">
        <f ca="1">Dashboard!B$8* Dashboard!$F$4+Dashboard!B$10*SQRT(Dashboard!$F$4) * _xlfn.NORM.S.INV(RAND())</f>
        <v>-6.8725819839566882E-2</v>
      </c>
      <c r="T2003" s="59">
        <f ca="1">Dashboard!C$8* Dashboard!$F$4+Dashboard!C$10*SQRT(Dashboard!$F$4) * _xlfn.NORM.S.INV(RAND())</f>
        <v>1.5802937851680368E-2</v>
      </c>
      <c r="U2003" s="59">
        <f ca="1">Dashboard!D$8* Dashboard!$F$4+Dashboard!D$10*SQRT(Dashboard!$F$4) * _xlfn.NORM.S.INV(RAND())</f>
        <v>-2.3027471121515094E-2</v>
      </c>
    </row>
    <row r="2004" spans="18:21" x14ac:dyDescent="0.2">
      <c r="R2004" s="49">
        <v>2002</v>
      </c>
      <c r="S2004" s="59">
        <f ca="1">Dashboard!B$8* Dashboard!$F$4+Dashboard!B$10*SQRT(Dashboard!$F$4) * _xlfn.NORM.S.INV(RAND())</f>
        <v>-3.0452429193505159E-2</v>
      </c>
      <c r="T2004" s="59">
        <f ca="1">Dashboard!C$8* Dashboard!$F$4+Dashboard!C$10*SQRT(Dashboard!$F$4) * _xlfn.NORM.S.INV(RAND())</f>
        <v>-3.8226953965288128E-2</v>
      </c>
      <c r="U2004" s="59">
        <f ca="1">Dashboard!D$8* Dashboard!$F$4+Dashboard!D$10*SQRT(Dashboard!$F$4) * _xlfn.NORM.S.INV(RAND())</f>
        <v>-2.2325630253314549E-2</v>
      </c>
    </row>
    <row r="2005" spans="18:21" x14ac:dyDescent="0.2">
      <c r="R2005" s="49">
        <v>2003</v>
      </c>
      <c r="S2005" s="59">
        <f ca="1">Dashboard!B$8* Dashboard!$F$4+Dashboard!B$10*SQRT(Dashboard!$F$4) * _xlfn.NORM.S.INV(RAND())</f>
        <v>-1.4730038367727896E-2</v>
      </c>
      <c r="T2005" s="59">
        <f ca="1">Dashboard!C$8* Dashboard!$F$4+Dashboard!C$10*SQRT(Dashboard!$F$4) * _xlfn.NORM.S.INV(RAND())</f>
        <v>1.8838330121008801E-2</v>
      </c>
      <c r="U2005" s="59">
        <f ca="1">Dashboard!D$8* Dashboard!$F$4+Dashboard!D$10*SQRT(Dashboard!$F$4) * _xlfn.NORM.S.INV(RAND())</f>
        <v>5.888995620183729E-2</v>
      </c>
    </row>
    <row r="2006" spans="18:21" x14ac:dyDescent="0.2">
      <c r="R2006" s="49">
        <v>2004</v>
      </c>
      <c r="S2006" s="59">
        <f ca="1">Dashboard!B$8* Dashboard!$F$4+Dashboard!B$10*SQRT(Dashboard!$F$4) * _xlfn.NORM.S.INV(RAND())</f>
        <v>-6.2875365839390688E-3</v>
      </c>
      <c r="T2006" s="59">
        <f ca="1">Dashboard!C$8* Dashboard!$F$4+Dashboard!C$10*SQRT(Dashboard!$F$4) * _xlfn.NORM.S.INV(RAND())</f>
        <v>-6.5017555003507007E-3</v>
      </c>
      <c r="U2006" s="59">
        <f ca="1">Dashboard!D$8* Dashboard!$F$4+Dashboard!D$10*SQRT(Dashboard!$F$4) * _xlfn.NORM.S.INV(RAND())</f>
        <v>2.3755276114148519E-2</v>
      </c>
    </row>
    <row r="2007" spans="18:21" x14ac:dyDescent="0.2">
      <c r="R2007" s="49">
        <v>2005</v>
      </c>
      <c r="S2007" s="59">
        <f ca="1">Dashboard!B$8* Dashboard!$F$4+Dashboard!B$10*SQRT(Dashboard!$F$4) * _xlfn.NORM.S.INV(RAND())</f>
        <v>2.3812255364940998E-2</v>
      </c>
      <c r="T2007" s="59">
        <f ca="1">Dashboard!C$8* Dashboard!$F$4+Dashboard!C$10*SQRT(Dashboard!$F$4) * _xlfn.NORM.S.INV(RAND())</f>
        <v>3.0413609218927717E-2</v>
      </c>
      <c r="U2007" s="59">
        <f ca="1">Dashboard!D$8* Dashboard!$F$4+Dashboard!D$10*SQRT(Dashboard!$F$4) * _xlfn.NORM.S.INV(RAND())</f>
        <v>3.6973177815089332E-2</v>
      </c>
    </row>
    <row r="2008" spans="18:21" x14ac:dyDescent="0.2">
      <c r="R2008" s="49">
        <v>2006</v>
      </c>
      <c r="S2008" s="59">
        <f ca="1">Dashboard!B$8* Dashboard!$F$4+Dashboard!B$10*SQRT(Dashboard!$F$4) * _xlfn.NORM.S.INV(RAND())</f>
        <v>-2.3150284253472098E-2</v>
      </c>
      <c r="T2008" s="59">
        <f ca="1">Dashboard!C$8* Dashboard!$F$4+Dashboard!C$10*SQRT(Dashboard!$F$4) * _xlfn.NORM.S.INV(RAND())</f>
        <v>-5.1119912259426498E-4</v>
      </c>
      <c r="U2008" s="59">
        <f ca="1">Dashboard!D$8* Dashboard!$F$4+Dashboard!D$10*SQRT(Dashboard!$F$4) * _xlfn.NORM.S.INV(RAND())</f>
        <v>-2.0680406629098529E-2</v>
      </c>
    </row>
    <row r="2009" spans="18:21" x14ac:dyDescent="0.2">
      <c r="R2009" s="49">
        <v>2007</v>
      </c>
      <c r="S2009" s="59">
        <f ca="1">Dashboard!B$8* Dashboard!$F$4+Dashboard!B$10*SQRT(Dashboard!$F$4) * _xlfn.NORM.S.INV(RAND())</f>
        <v>-5.0876287846102465E-2</v>
      </c>
      <c r="T2009" s="59">
        <f ca="1">Dashboard!C$8* Dashboard!$F$4+Dashboard!C$10*SQRT(Dashboard!$F$4) * _xlfn.NORM.S.INV(RAND())</f>
        <v>-2.6703112515955117E-2</v>
      </c>
      <c r="U2009" s="59">
        <f ca="1">Dashboard!D$8* Dashboard!$F$4+Dashboard!D$10*SQRT(Dashboard!$F$4) * _xlfn.NORM.S.INV(RAND())</f>
        <v>-1.7508242138848992E-2</v>
      </c>
    </row>
    <row r="2010" spans="18:21" x14ac:dyDescent="0.2">
      <c r="R2010" s="49">
        <v>2008</v>
      </c>
      <c r="S2010" s="59">
        <f ca="1">Dashboard!B$8* Dashboard!$F$4+Dashboard!B$10*SQRT(Dashboard!$F$4) * _xlfn.NORM.S.INV(RAND())</f>
        <v>-1.3411815983229341E-2</v>
      </c>
      <c r="T2010" s="59">
        <f ca="1">Dashboard!C$8* Dashboard!$F$4+Dashboard!C$10*SQRT(Dashboard!$F$4) * _xlfn.NORM.S.INV(RAND())</f>
        <v>6.2217675534744263E-2</v>
      </c>
      <c r="U2010" s="59">
        <f ca="1">Dashboard!D$8* Dashboard!$F$4+Dashboard!D$10*SQRT(Dashboard!$F$4) * _xlfn.NORM.S.INV(RAND())</f>
        <v>-3.7916726355999845E-2</v>
      </c>
    </row>
    <row r="2011" spans="18:21" x14ac:dyDescent="0.2">
      <c r="R2011" s="49">
        <v>2009</v>
      </c>
      <c r="S2011" s="59">
        <f ca="1">Dashboard!B$8* Dashboard!$F$4+Dashboard!B$10*SQRT(Dashboard!$F$4) * _xlfn.NORM.S.INV(RAND())</f>
        <v>1.6905985018966525E-3</v>
      </c>
      <c r="T2011" s="59">
        <f ca="1">Dashboard!C$8* Dashboard!$F$4+Dashboard!C$10*SQRT(Dashboard!$F$4) * _xlfn.NORM.S.INV(RAND())</f>
        <v>-8.8840517291930467E-3</v>
      </c>
      <c r="U2011" s="59">
        <f ca="1">Dashboard!D$8* Dashboard!$F$4+Dashboard!D$10*SQRT(Dashboard!$F$4) * _xlfn.NORM.S.INV(RAND())</f>
        <v>3.3506480562232051E-2</v>
      </c>
    </row>
    <row r="2012" spans="18:21" x14ac:dyDescent="0.2">
      <c r="R2012" s="49">
        <v>2010</v>
      </c>
      <c r="S2012" s="59">
        <f ca="1">Dashboard!B$8* Dashboard!$F$4+Dashboard!B$10*SQRT(Dashboard!$F$4) * _xlfn.NORM.S.INV(RAND())</f>
        <v>-1.2223165422895253E-2</v>
      </c>
      <c r="T2012" s="59">
        <f ca="1">Dashboard!C$8* Dashboard!$F$4+Dashboard!C$10*SQRT(Dashboard!$F$4) * _xlfn.NORM.S.INV(RAND())</f>
        <v>-5.8119668949439878E-3</v>
      </c>
      <c r="U2012" s="59">
        <f ca="1">Dashboard!D$8* Dashboard!$F$4+Dashboard!D$10*SQRT(Dashboard!$F$4) * _xlfn.NORM.S.INV(RAND())</f>
        <v>1.4452924702195016E-2</v>
      </c>
    </row>
    <row r="2013" spans="18:21" x14ac:dyDescent="0.2">
      <c r="R2013" s="49">
        <v>2011</v>
      </c>
      <c r="S2013" s="59">
        <f ca="1">Dashboard!B$8* Dashboard!$F$4+Dashboard!B$10*SQRT(Dashboard!$F$4) * _xlfn.NORM.S.INV(RAND())</f>
        <v>1.6562562692786761E-2</v>
      </c>
      <c r="T2013" s="59">
        <f ca="1">Dashboard!C$8* Dashboard!$F$4+Dashboard!C$10*SQRT(Dashboard!$F$4) * _xlfn.NORM.S.INV(RAND())</f>
        <v>1.1767748526148755E-2</v>
      </c>
      <c r="U2013" s="59">
        <f ca="1">Dashboard!D$8* Dashboard!$F$4+Dashboard!D$10*SQRT(Dashboard!$F$4) * _xlfn.NORM.S.INV(RAND())</f>
        <v>5.9694358309613199E-2</v>
      </c>
    </row>
    <row r="2014" spans="18:21" x14ac:dyDescent="0.2">
      <c r="R2014" s="49">
        <v>2012</v>
      </c>
      <c r="S2014" s="59">
        <f ca="1">Dashboard!B$8* Dashboard!$F$4+Dashboard!B$10*SQRT(Dashboard!$F$4) * _xlfn.NORM.S.INV(RAND())</f>
        <v>7.2267411529499323E-2</v>
      </c>
      <c r="T2014" s="59">
        <f ca="1">Dashboard!C$8* Dashboard!$F$4+Dashboard!C$10*SQRT(Dashboard!$F$4) * _xlfn.NORM.S.INV(RAND())</f>
        <v>8.216878208239688E-3</v>
      </c>
      <c r="U2014" s="59">
        <f ca="1">Dashboard!D$8* Dashboard!$F$4+Dashboard!D$10*SQRT(Dashboard!$F$4) * _xlfn.NORM.S.INV(RAND())</f>
        <v>-1.7035339754638668E-2</v>
      </c>
    </row>
    <row r="2015" spans="18:21" x14ac:dyDescent="0.2">
      <c r="R2015" s="49">
        <v>2013</v>
      </c>
      <c r="S2015" s="59">
        <f ca="1">Dashboard!B$8* Dashboard!$F$4+Dashboard!B$10*SQRT(Dashboard!$F$4) * _xlfn.NORM.S.INV(RAND())</f>
        <v>-1.0052259228896456E-2</v>
      </c>
      <c r="T2015" s="59">
        <f ca="1">Dashboard!C$8* Dashboard!$F$4+Dashboard!C$10*SQRT(Dashboard!$F$4) * _xlfn.NORM.S.INV(RAND())</f>
        <v>-1.0551145224474867E-2</v>
      </c>
      <c r="U2015" s="59">
        <f ca="1">Dashboard!D$8* Dashboard!$F$4+Dashboard!D$10*SQRT(Dashboard!$F$4) * _xlfn.NORM.S.INV(RAND())</f>
        <v>-1.2305472091813886E-2</v>
      </c>
    </row>
    <row r="2016" spans="18:21" x14ac:dyDescent="0.2">
      <c r="R2016" s="49">
        <v>2014</v>
      </c>
      <c r="S2016" s="59">
        <f ca="1">Dashboard!B$8* Dashboard!$F$4+Dashboard!B$10*SQRT(Dashboard!$F$4) * _xlfn.NORM.S.INV(RAND())</f>
        <v>2.2266095159321757E-2</v>
      </c>
      <c r="T2016" s="59">
        <f ca="1">Dashboard!C$8* Dashboard!$F$4+Dashboard!C$10*SQRT(Dashboard!$F$4) * _xlfn.NORM.S.INV(RAND())</f>
        <v>2.7305147872788021E-2</v>
      </c>
      <c r="U2016" s="59">
        <f ca="1">Dashboard!D$8* Dashboard!$F$4+Dashboard!D$10*SQRT(Dashboard!$F$4) * _xlfn.NORM.S.INV(RAND())</f>
        <v>5.4101029504964107E-2</v>
      </c>
    </row>
    <row r="2017" spans="18:21" x14ac:dyDescent="0.2">
      <c r="R2017" s="49">
        <v>2015</v>
      </c>
      <c r="S2017" s="59">
        <f ca="1">Dashboard!B$8* Dashboard!$F$4+Dashboard!B$10*SQRT(Dashboard!$F$4) * _xlfn.NORM.S.INV(RAND())</f>
        <v>2.8671711542839526E-2</v>
      </c>
      <c r="T2017" s="59">
        <f ca="1">Dashboard!C$8* Dashboard!$F$4+Dashboard!C$10*SQRT(Dashboard!$F$4) * _xlfn.NORM.S.INV(RAND())</f>
        <v>6.9604098626634678E-2</v>
      </c>
      <c r="U2017" s="59">
        <f ca="1">Dashboard!D$8* Dashboard!$F$4+Dashboard!D$10*SQRT(Dashboard!$F$4) * _xlfn.NORM.S.INV(RAND())</f>
        <v>1.7260283827304462E-2</v>
      </c>
    </row>
    <row r="2018" spans="18:21" x14ac:dyDescent="0.2">
      <c r="R2018" s="49">
        <v>2016</v>
      </c>
      <c r="S2018" s="59">
        <f ca="1">Dashboard!B$8* Dashboard!$F$4+Dashboard!B$10*SQRT(Dashboard!$F$4) * _xlfn.NORM.S.INV(RAND())</f>
        <v>5.6843411442080986E-2</v>
      </c>
      <c r="T2018" s="59">
        <f ca="1">Dashboard!C$8* Dashboard!$F$4+Dashboard!C$10*SQRT(Dashboard!$F$4) * _xlfn.NORM.S.INV(RAND())</f>
        <v>-2.5938444331084654E-2</v>
      </c>
      <c r="U2018" s="59">
        <f ca="1">Dashboard!D$8* Dashboard!$F$4+Dashboard!D$10*SQRT(Dashboard!$F$4) * _xlfn.NORM.S.INV(RAND())</f>
        <v>1.8563031582503348E-2</v>
      </c>
    </row>
    <row r="2019" spans="18:21" x14ac:dyDescent="0.2">
      <c r="R2019" s="49">
        <v>2017</v>
      </c>
      <c r="S2019" s="59">
        <f ca="1">Dashboard!B$8* Dashboard!$F$4+Dashboard!B$10*SQRT(Dashboard!$F$4) * _xlfn.NORM.S.INV(RAND())</f>
        <v>5.5016244319164902E-2</v>
      </c>
      <c r="T2019" s="59">
        <f ca="1">Dashboard!C$8* Dashboard!$F$4+Dashboard!C$10*SQRT(Dashboard!$F$4) * _xlfn.NORM.S.INV(RAND())</f>
        <v>4.5580009644750709E-2</v>
      </c>
      <c r="U2019" s="59">
        <f ca="1">Dashboard!D$8* Dashboard!$F$4+Dashboard!D$10*SQRT(Dashboard!$F$4) * _xlfn.NORM.S.INV(RAND())</f>
        <v>-7.0326213023480008E-2</v>
      </c>
    </row>
    <row r="2020" spans="18:21" x14ac:dyDescent="0.2">
      <c r="R2020" s="49">
        <v>2018</v>
      </c>
      <c r="S2020" s="59">
        <f ca="1">Dashboard!B$8* Dashboard!$F$4+Dashboard!B$10*SQRT(Dashboard!$F$4) * _xlfn.NORM.S.INV(RAND())</f>
        <v>-3.0281548815261857E-3</v>
      </c>
      <c r="T2020" s="59">
        <f ca="1">Dashboard!C$8* Dashboard!$F$4+Dashboard!C$10*SQRT(Dashboard!$F$4) * _xlfn.NORM.S.INV(RAND())</f>
        <v>-2.4944413950832516E-2</v>
      </c>
      <c r="U2020" s="59">
        <f ca="1">Dashboard!D$8* Dashboard!$F$4+Dashboard!D$10*SQRT(Dashboard!$F$4) * _xlfn.NORM.S.INV(RAND())</f>
        <v>-2.1906361128873987E-2</v>
      </c>
    </row>
    <row r="2021" spans="18:21" x14ac:dyDescent="0.2">
      <c r="R2021" s="49">
        <v>2019</v>
      </c>
      <c r="S2021" s="59">
        <f ca="1">Dashboard!B$8* Dashboard!$F$4+Dashboard!B$10*SQRT(Dashboard!$F$4) * _xlfn.NORM.S.INV(RAND())</f>
        <v>8.907893836755618E-3</v>
      </c>
      <c r="T2021" s="59">
        <f ca="1">Dashboard!C$8* Dashboard!$F$4+Dashboard!C$10*SQRT(Dashboard!$F$4) * _xlfn.NORM.S.INV(RAND())</f>
        <v>1.1716632345264238E-2</v>
      </c>
      <c r="U2021" s="59">
        <f ca="1">Dashboard!D$8* Dashboard!$F$4+Dashboard!D$10*SQRT(Dashboard!$F$4) * _xlfn.NORM.S.INV(RAND())</f>
        <v>8.0361971457995423E-4</v>
      </c>
    </row>
    <row r="2022" spans="18:21" x14ac:dyDescent="0.2">
      <c r="R2022" s="49">
        <v>2020</v>
      </c>
      <c r="S2022" s="59">
        <f ca="1">Dashboard!B$8* Dashboard!$F$4+Dashboard!B$10*SQRT(Dashboard!$F$4) * _xlfn.NORM.S.INV(RAND())</f>
        <v>-3.286435979517828E-2</v>
      </c>
      <c r="T2022" s="59">
        <f ca="1">Dashboard!C$8* Dashboard!$F$4+Dashboard!C$10*SQRT(Dashboard!$F$4) * _xlfn.NORM.S.INV(RAND())</f>
        <v>1.5661134409351147E-2</v>
      </c>
      <c r="U2022" s="59">
        <f ca="1">Dashboard!D$8* Dashboard!$F$4+Dashboard!D$10*SQRT(Dashboard!$F$4) * _xlfn.NORM.S.INV(RAND())</f>
        <v>-1.0923894160679939E-3</v>
      </c>
    </row>
    <row r="2023" spans="18:21" x14ac:dyDescent="0.2">
      <c r="R2023" s="49">
        <v>2021</v>
      </c>
      <c r="S2023" s="59">
        <f ca="1">Dashboard!B$8* Dashboard!$F$4+Dashboard!B$10*SQRT(Dashboard!$F$4) * _xlfn.NORM.S.INV(RAND())</f>
        <v>-1.5085341701680239E-2</v>
      </c>
      <c r="T2023" s="59">
        <f ca="1">Dashboard!C$8* Dashboard!$F$4+Dashboard!C$10*SQRT(Dashboard!$F$4) * _xlfn.NORM.S.INV(RAND())</f>
        <v>2.6189413137617593E-2</v>
      </c>
      <c r="U2023" s="59">
        <f ca="1">Dashboard!D$8* Dashboard!$F$4+Dashboard!D$10*SQRT(Dashboard!$F$4) * _xlfn.NORM.S.INV(RAND())</f>
        <v>-2.2327568470868718E-3</v>
      </c>
    </row>
    <row r="2024" spans="18:21" x14ac:dyDescent="0.2">
      <c r="R2024" s="49">
        <v>2022</v>
      </c>
      <c r="S2024" s="59">
        <f ca="1">Dashboard!B$8* Dashboard!$F$4+Dashboard!B$10*SQRT(Dashboard!$F$4) * _xlfn.NORM.S.INV(RAND())</f>
        <v>-4.5475978977788253E-2</v>
      </c>
      <c r="T2024" s="59">
        <f ca="1">Dashboard!C$8* Dashboard!$F$4+Dashboard!C$10*SQRT(Dashboard!$F$4) * _xlfn.NORM.S.INV(RAND())</f>
        <v>-2.8362524161935191E-2</v>
      </c>
      <c r="U2024" s="59">
        <f ca="1">Dashboard!D$8* Dashboard!$F$4+Dashboard!D$10*SQRT(Dashboard!$F$4) * _xlfn.NORM.S.INV(RAND())</f>
        <v>-4.0628713653994626E-2</v>
      </c>
    </row>
    <row r="2025" spans="18:21" x14ac:dyDescent="0.2">
      <c r="R2025" s="49">
        <v>2023</v>
      </c>
      <c r="S2025" s="59">
        <f ca="1">Dashboard!B$8* Dashboard!$F$4+Dashboard!B$10*SQRT(Dashboard!$F$4) * _xlfn.NORM.S.INV(RAND())</f>
        <v>-2.1559091024526134E-2</v>
      </c>
      <c r="T2025" s="59">
        <f ca="1">Dashboard!C$8* Dashboard!$F$4+Dashboard!C$10*SQRT(Dashboard!$F$4) * _xlfn.NORM.S.INV(RAND())</f>
        <v>3.6735627610016775E-3</v>
      </c>
      <c r="U2025" s="59">
        <f ca="1">Dashboard!D$8* Dashboard!$F$4+Dashboard!D$10*SQRT(Dashboard!$F$4) * _xlfn.NORM.S.INV(RAND())</f>
        <v>3.2714253920268901E-2</v>
      </c>
    </row>
    <row r="2026" spans="18:21" x14ac:dyDescent="0.2">
      <c r="R2026" s="49">
        <v>2024</v>
      </c>
      <c r="S2026" s="59">
        <f ca="1">Dashboard!B$8* Dashboard!$F$4+Dashboard!B$10*SQRT(Dashboard!$F$4) * _xlfn.NORM.S.INV(RAND())</f>
        <v>1.8625088468626018E-2</v>
      </c>
      <c r="T2026" s="59">
        <f ca="1">Dashboard!C$8* Dashboard!$F$4+Dashboard!C$10*SQRT(Dashboard!$F$4) * _xlfn.NORM.S.INV(RAND())</f>
        <v>-1.3651954953779119E-2</v>
      </c>
      <c r="U2026" s="59">
        <f ca="1">Dashboard!D$8* Dashboard!$F$4+Dashboard!D$10*SQRT(Dashboard!$F$4) * _xlfn.NORM.S.INV(RAND())</f>
        <v>-4.3845465152906153E-3</v>
      </c>
    </row>
    <row r="2027" spans="18:21" x14ac:dyDescent="0.2">
      <c r="R2027" s="49">
        <v>2025</v>
      </c>
      <c r="S2027" s="59">
        <f ca="1">Dashboard!B$8* Dashboard!$F$4+Dashboard!B$10*SQRT(Dashboard!$F$4) * _xlfn.NORM.S.INV(RAND())</f>
        <v>8.3939806588917022E-3</v>
      </c>
      <c r="T2027" s="59">
        <f ca="1">Dashboard!C$8* Dashboard!$F$4+Dashboard!C$10*SQRT(Dashboard!$F$4) * _xlfn.NORM.S.INV(RAND())</f>
        <v>3.6685864789199336E-2</v>
      </c>
      <c r="U2027" s="59">
        <f ca="1">Dashboard!D$8* Dashboard!$F$4+Dashboard!D$10*SQRT(Dashboard!$F$4) * _xlfn.NORM.S.INV(RAND())</f>
        <v>-3.9880930291739211E-2</v>
      </c>
    </row>
    <row r="2028" spans="18:21" x14ac:dyDescent="0.2">
      <c r="R2028" s="49">
        <v>2026</v>
      </c>
      <c r="S2028" s="59">
        <f ca="1">Dashboard!B$8* Dashboard!$F$4+Dashboard!B$10*SQRT(Dashboard!$F$4) * _xlfn.NORM.S.INV(RAND())</f>
        <v>2.0264603863045107E-2</v>
      </c>
      <c r="T2028" s="59">
        <f ca="1">Dashboard!C$8* Dashboard!$F$4+Dashboard!C$10*SQRT(Dashboard!$F$4) * _xlfn.NORM.S.INV(RAND())</f>
        <v>5.2107106111499844E-2</v>
      </c>
      <c r="U2028" s="59">
        <f ca="1">Dashboard!D$8* Dashboard!$F$4+Dashboard!D$10*SQRT(Dashboard!$F$4) * _xlfn.NORM.S.INV(RAND())</f>
        <v>5.9833551967217888E-2</v>
      </c>
    </row>
    <row r="2029" spans="18:21" x14ac:dyDescent="0.2">
      <c r="R2029" s="49">
        <v>2027</v>
      </c>
      <c r="S2029" s="59">
        <f ca="1">Dashboard!B$8* Dashboard!$F$4+Dashboard!B$10*SQRT(Dashboard!$F$4) * _xlfn.NORM.S.INV(RAND())</f>
        <v>2.4155349509116561E-2</v>
      </c>
      <c r="T2029" s="59">
        <f ca="1">Dashboard!C$8* Dashboard!$F$4+Dashboard!C$10*SQRT(Dashboard!$F$4) * _xlfn.NORM.S.INV(RAND())</f>
        <v>-1.5720441495129647E-2</v>
      </c>
      <c r="U2029" s="59">
        <f ca="1">Dashboard!D$8* Dashboard!$F$4+Dashboard!D$10*SQRT(Dashboard!$F$4) * _xlfn.NORM.S.INV(RAND())</f>
        <v>-1.5294987699884604E-3</v>
      </c>
    </row>
    <row r="2030" spans="18:21" x14ac:dyDescent="0.2">
      <c r="R2030" s="49">
        <v>2028</v>
      </c>
      <c r="S2030" s="59">
        <f ca="1">Dashboard!B$8* Dashboard!$F$4+Dashboard!B$10*SQRT(Dashboard!$F$4) * _xlfn.NORM.S.INV(RAND())</f>
        <v>-2.0066421460853641E-2</v>
      </c>
      <c r="T2030" s="59">
        <f ca="1">Dashboard!C$8* Dashboard!$F$4+Dashboard!C$10*SQRT(Dashboard!$F$4) * _xlfn.NORM.S.INV(RAND())</f>
        <v>-2.9978962374504403E-3</v>
      </c>
      <c r="U2030" s="59">
        <f ca="1">Dashboard!D$8* Dashboard!$F$4+Dashboard!D$10*SQRT(Dashboard!$F$4) * _xlfn.NORM.S.INV(RAND())</f>
        <v>-2.7263372141342966E-2</v>
      </c>
    </row>
    <row r="2031" spans="18:21" x14ac:dyDescent="0.2">
      <c r="R2031" s="49">
        <v>2029</v>
      </c>
      <c r="S2031" s="59">
        <f ca="1">Dashboard!B$8* Dashboard!$F$4+Dashboard!B$10*SQRT(Dashboard!$F$4) * _xlfn.NORM.S.INV(RAND())</f>
        <v>1.5028671908421786E-3</v>
      </c>
      <c r="T2031" s="59">
        <f ca="1">Dashboard!C$8* Dashboard!$F$4+Dashboard!C$10*SQRT(Dashboard!$F$4) * _xlfn.NORM.S.INV(RAND())</f>
        <v>3.6881543848203226E-2</v>
      </c>
      <c r="U2031" s="59">
        <f ca="1">Dashboard!D$8* Dashboard!$F$4+Dashboard!D$10*SQRT(Dashboard!$F$4) * _xlfn.NORM.S.INV(RAND())</f>
        <v>-6.5993380324223902E-2</v>
      </c>
    </row>
    <row r="2032" spans="18:21" x14ac:dyDescent="0.2">
      <c r="R2032" s="49">
        <v>2030</v>
      </c>
      <c r="S2032" s="59">
        <f ca="1">Dashboard!B$8* Dashboard!$F$4+Dashboard!B$10*SQRT(Dashboard!$F$4) * _xlfn.NORM.S.INV(RAND())</f>
        <v>-4.7030143459316609E-2</v>
      </c>
      <c r="T2032" s="59">
        <f ca="1">Dashboard!C$8* Dashboard!$F$4+Dashboard!C$10*SQRT(Dashboard!$F$4) * _xlfn.NORM.S.INV(RAND())</f>
        <v>-2.0130005833490075E-2</v>
      </c>
      <c r="U2032" s="59">
        <f ca="1">Dashboard!D$8* Dashboard!$F$4+Dashboard!D$10*SQRT(Dashboard!$F$4) * _xlfn.NORM.S.INV(RAND())</f>
        <v>-2.1722407394733412E-2</v>
      </c>
    </row>
    <row r="2033" spans="18:21" x14ac:dyDescent="0.2">
      <c r="R2033" s="49">
        <v>2031</v>
      </c>
      <c r="S2033" s="59">
        <f ca="1">Dashboard!B$8* Dashboard!$F$4+Dashboard!B$10*SQRT(Dashboard!$F$4) * _xlfn.NORM.S.INV(RAND())</f>
        <v>-3.4811524997578176E-2</v>
      </c>
      <c r="T2033" s="59">
        <f ca="1">Dashboard!C$8* Dashboard!$F$4+Dashboard!C$10*SQRT(Dashboard!$F$4) * _xlfn.NORM.S.INV(RAND())</f>
        <v>2.7567845916398392E-2</v>
      </c>
      <c r="U2033" s="59">
        <f ca="1">Dashboard!D$8* Dashboard!$F$4+Dashboard!D$10*SQRT(Dashboard!$F$4) * _xlfn.NORM.S.INV(RAND())</f>
        <v>-3.382123551677052E-3</v>
      </c>
    </row>
    <row r="2034" spans="18:21" x14ac:dyDescent="0.2">
      <c r="R2034" s="49">
        <v>2032</v>
      </c>
      <c r="S2034" s="59">
        <f ca="1">Dashboard!B$8* Dashboard!$F$4+Dashboard!B$10*SQRT(Dashboard!$F$4) * _xlfn.NORM.S.INV(RAND())</f>
        <v>-4.0091270103329276E-3</v>
      </c>
      <c r="T2034" s="59">
        <f ca="1">Dashboard!C$8* Dashboard!$F$4+Dashboard!C$10*SQRT(Dashboard!$F$4) * _xlfn.NORM.S.INV(RAND())</f>
        <v>2.2211963799697608E-2</v>
      </c>
      <c r="U2034" s="59">
        <f ca="1">Dashboard!D$8* Dashboard!$F$4+Dashboard!D$10*SQRT(Dashboard!$F$4) * _xlfn.NORM.S.INV(RAND())</f>
        <v>-1.9020040692802651E-2</v>
      </c>
    </row>
    <row r="2035" spans="18:21" x14ac:dyDescent="0.2">
      <c r="R2035" s="49">
        <v>2033</v>
      </c>
      <c r="S2035" s="59">
        <f ca="1">Dashboard!B$8* Dashboard!$F$4+Dashboard!B$10*SQRT(Dashboard!$F$4) * _xlfn.NORM.S.INV(RAND())</f>
        <v>-1.9367340132272495E-2</v>
      </c>
      <c r="T2035" s="59">
        <f ca="1">Dashboard!C$8* Dashboard!$F$4+Dashboard!C$10*SQRT(Dashboard!$F$4) * _xlfn.NORM.S.INV(RAND())</f>
        <v>2.7197139340056953E-2</v>
      </c>
      <c r="U2035" s="59">
        <f ca="1">Dashboard!D$8* Dashboard!$F$4+Dashboard!D$10*SQRT(Dashboard!$F$4) * _xlfn.NORM.S.INV(RAND())</f>
        <v>4.2593517341661238E-2</v>
      </c>
    </row>
    <row r="2036" spans="18:21" x14ac:dyDescent="0.2">
      <c r="R2036" s="49">
        <v>2034</v>
      </c>
      <c r="S2036" s="59">
        <f ca="1">Dashboard!B$8* Dashboard!$F$4+Dashboard!B$10*SQRT(Dashboard!$F$4) * _xlfn.NORM.S.INV(RAND())</f>
        <v>-4.1472063331681019E-2</v>
      </c>
      <c r="T2036" s="59">
        <f ca="1">Dashboard!C$8* Dashboard!$F$4+Dashboard!C$10*SQRT(Dashboard!$F$4) * _xlfn.NORM.S.INV(RAND())</f>
        <v>-4.3701367392298624E-3</v>
      </c>
      <c r="U2036" s="59">
        <f ca="1">Dashboard!D$8* Dashboard!$F$4+Dashboard!D$10*SQRT(Dashboard!$F$4) * _xlfn.NORM.S.INV(RAND())</f>
        <v>-7.4944590794525839E-2</v>
      </c>
    </row>
    <row r="2037" spans="18:21" x14ac:dyDescent="0.2">
      <c r="R2037" s="49">
        <v>2035</v>
      </c>
      <c r="S2037" s="59">
        <f ca="1">Dashboard!B$8* Dashboard!$F$4+Dashboard!B$10*SQRT(Dashboard!$F$4) * _xlfn.NORM.S.INV(RAND())</f>
        <v>-3.0396009684999789E-3</v>
      </c>
      <c r="T2037" s="59">
        <f ca="1">Dashboard!C$8* Dashboard!$F$4+Dashboard!C$10*SQRT(Dashboard!$F$4) * _xlfn.NORM.S.INV(RAND())</f>
        <v>6.34056311955285E-2</v>
      </c>
      <c r="U2037" s="59">
        <f ca="1">Dashboard!D$8* Dashboard!$F$4+Dashboard!D$10*SQRT(Dashboard!$F$4) * _xlfn.NORM.S.INV(RAND())</f>
        <v>3.3630357478432224E-2</v>
      </c>
    </row>
    <row r="2038" spans="18:21" x14ac:dyDescent="0.2">
      <c r="R2038" s="49">
        <v>2036</v>
      </c>
      <c r="S2038" s="59">
        <f ca="1">Dashboard!B$8* Dashboard!$F$4+Dashboard!B$10*SQRT(Dashboard!$F$4) * _xlfn.NORM.S.INV(RAND())</f>
        <v>-1.4807864766496303E-2</v>
      </c>
      <c r="T2038" s="59">
        <f ca="1">Dashboard!C$8* Dashboard!$F$4+Dashboard!C$10*SQRT(Dashboard!$F$4) * _xlfn.NORM.S.INV(RAND())</f>
        <v>3.5812739146769822E-2</v>
      </c>
      <c r="U2038" s="59">
        <f ca="1">Dashboard!D$8* Dashboard!$F$4+Dashboard!D$10*SQRT(Dashboard!$F$4) * _xlfn.NORM.S.INV(RAND())</f>
        <v>9.259696401180767E-3</v>
      </c>
    </row>
    <row r="2039" spans="18:21" x14ac:dyDescent="0.2">
      <c r="R2039" s="49">
        <v>2037</v>
      </c>
      <c r="S2039" s="59">
        <f ca="1">Dashboard!B$8* Dashboard!$F$4+Dashboard!B$10*SQRT(Dashboard!$F$4) * _xlfn.NORM.S.INV(RAND())</f>
        <v>-2.2343528874713012E-2</v>
      </c>
      <c r="T2039" s="59">
        <f ca="1">Dashboard!C$8* Dashboard!$F$4+Dashboard!C$10*SQRT(Dashboard!$F$4) * _xlfn.NORM.S.INV(RAND())</f>
        <v>2.5192753608605054E-2</v>
      </c>
      <c r="U2039" s="59">
        <f ca="1">Dashboard!D$8* Dashboard!$F$4+Dashboard!D$10*SQRT(Dashboard!$F$4) * _xlfn.NORM.S.INV(RAND())</f>
        <v>-3.8199783517964658E-2</v>
      </c>
    </row>
    <row r="2040" spans="18:21" x14ac:dyDescent="0.2">
      <c r="R2040" s="49">
        <v>2038</v>
      </c>
      <c r="S2040" s="59">
        <f ca="1">Dashboard!B$8* Dashboard!$F$4+Dashboard!B$10*SQRT(Dashboard!$F$4) * _xlfn.NORM.S.INV(RAND())</f>
        <v>5.6303472848768556E-5</v>
      </c>
      <c r="T2040" s="59">
        <f ca="1">Dashboard!C$8* Dashboard!$F$4+Dashboard!C$10*SQRT(Dashboard!$F$4) * _xlfn.NORM.S.INV(RAND())</f>
        <v>8.7215661924467267E-2</v>
      </c>
      <c r="U2040" s="59">
        <f ca="1">Dashboard!D$8* Dashboard!$F$4+Dashboard!D$10*SQRT(Dashboard!$F$4) * _xlfn.NORM.S.INV(RAND())</f>
        <v>-5.3977672169266758E-2</v>
      </c>
    </row>
    <row r="2041" spans="18:21" x14ac:dyDescent="0.2">
      <c r="R2041" s="49">
        <v>2039</v>
      </c>
      <c r="S2041" s="59">
        <f ca="1">Dashboard!B$8* Dashboard!$F$4+Dashboard!B$10*SQRT(Dashboard!$F$4) * _xlfn.NORM.S.INV(RAND())</f>
        <v>2.6496339139700086E-2</v>
      </c>
      <c r="T2041" s="59">
        <f ca="1">Dashboard!C$8* Dashboard!$F$4+Dashboard!C$10*SQRT(Dashboard!$F$4) * _xlfn.NORM.S.INV(RAND())</f>
        <v>-3.5865450509246902E-2</v>
      </c>
      <c r="U2041" s="59">
        <f ca="1">Dashboard!D$8* Dashboard!$F$4+Dashboard!D$10*SQRT(Dashboard!$F$4) * _xlfn.NORM.S.INV(RAND())</f>
        <v>4.840067529364827E-2</v>
      </c>
    </row>
    <row r="2042" spans="18:21" x14ac:dyDescent="0.2">
      <c r="R2042" s="49">
        <v>2040</v>
      </c>
      <c r="S2042" s="59">
        <f ca="1">Dashboard!B$8* Dashboard!$F$4+Dashboard!B$10*SQRT(Dashboard!$F$4) * _xlfn.NORM.S.INV(RAND())</f>
        <v>4.1551410513998785E-2</v>
      </c>
      <c r="T2042" s="59">
        <f ca="1">Dashboard!C$8* Dashboard!$F$4+Dashboard!C$10*SQRT(Dashboard!$F$4) * _xlfn.NORM.S.INV(RAND())</f>
        <v>-2.9530014588058654E-2</v>
      </c>
      <c r="U2042" s="59">
        <f ca="1">Dashboard!D$8* Dashboard!$F$4+Dashboard!D$10*SQRT(Dashboard!$F$4) * _xlfn.NORM.S.INV(RAND())</f>
        <v>4.4073080038402941E-2</v>
      </c>
    </row>
    <row r="2043" spans="18:21" x14ac:dyDescent="0.2">
      <c r="R2043" s="49">
        <v>2041</v>
      </c>
      <c r="S2043" s="59">
        <f ca="1">Dashboard!B$8* Dashboard!$F$4+Dashboard!B$10*SQRT(Dashboard!$F$4) * _xlfn.NORM.S.INV(RAND())</f>
        <v>-3.9475258212819664E-2</v>
      </c>
      <c r="T2043" s="59">
        <f ca="1">Dashboard!C$8* Dashboard!$F$4+Dashboard!C$10*SQRT(Dashboard!$F$4) * _xlfn.NORM.S.INV(RAND())</f>
        <v>6.7839028721397975E-3</v>
      </c>
      <c r="U2043" s="59">
        <f ca="1">Dashboard!D$8* Dashboard!$F$4+Dashboard!D$10*SQRT(Dashboard!$F$4) * _xlfn.NORM.S.INV(RAND())</f>
        <v>1.1864483518097012E-2</v>
      </c>
    </row>
    <row r="2044" spans="18:21" x14ac:dyDescent="0.2">
      <c r="R2044" s="49">
        <v>2042</v>
      </c>
      <c r="S2044" s="59">
        <f ca="1">Dashboard!B$8* Dashboard!$F$4+Dashboard!B$10*SQRT(Dashboard!$F$4) * _xlfn.NORM.S.INV(RAND())</f>
        <v>1.7873000169313119E-2</v>
      </c>
      <c r="T2044" s="59">
        <f ca="1">Dashboard!C$8* Dashboard!$F$4+Dashboard!C$10*SQRT(Dashboard!$F$4) * _xlfn.NORM.S.INV(RAND())</f>
        <v>-8.0436242805862992E-2</v>
      </c>
      <c r="U2044" s="59">
        <f ca="1">Dashboard!D$8* Dashboard!$F$4+Dashboard!D$10*SQRT(Dashboard!$F$4) * _xlfn.NORM.S.INV(RAND())</f>
        <v>-4.3214677652156447E-2</v>
      </c>
    </row>
    <row r="2045" spans="18:21" x14ac:dyDescent="0.2">
      <c r="R2045" s="49">
        <v>2043</v>
      </c>
      <c r="S2045" s="59">
        <f ca="1">Dashboard!B$8* Dashboard!$F$4+Dashboard!B$10*SQRT(Dashboard!$F$4) * _xlfn.NORM.S.INV(RAND())</f>
        <v>1.1204512412513381E-2</v>
      </c>
      <c r="T2045" s="59">
        <f ca="1">Dashboard!C$8* Dashboard!$F$4+Dashboard!C$10*SQRT(Dashboard!$F$4) * _xlfn.NORM.S.INV(RAND())</f>
        <v>-4.003073809708934E-2</v>
      </c>
      <c r="U2045" s="59">
        <f ca="1">Dashboard!D$8* Dashboard!$F$4+Dashboard!D$10*SQRT(Dashboard!$F$4) * _xlfn.NORM.S.INV(RAND())</f>
        <v>1.2650423502620089E-2</v>
      </c>
    </row>
    <row r="2046" spans="18:21" x14ac:dyDescent="0.2">
      <c r="R2046" s="49">
        <v>2044</v>
      </c>
      <c r="S2046" s="59">
        <f ca="1">Dashboard!B$8* Dashboard!$F$4+Dashboard!B$10*SQRT(Dashboard!$F$4) * _xlfn.NORM.S.INV(RAND())</f>
        <v>-4.4591114058609327E-2</v>
      </c>
      <c r="T2046" s="59">
        <f ca="1">Dashboard!C$8* Dashboard!$F$4+Dashboard!C$10*SQRT(Dashboard!$F$4) * _xlfn.NORM.S.INV(RAND())</f>
        <v>-2.5964702311838716E-3</v>
      </c>
      <c r="U2046" s="59">
        <f ca="1">Dashboard!D$8* Dashboard!$F$4+Dashboard!D$10*SQRT(Dashboard!$F$4) * _xlfn.NORM.S.INV(RAND())</f>
        <v>-1.3342076351083872E-2</v>
      </c>
    </row>
    <row r="2047" spans="18:21" x14ac:dyDescent="0.2">
      <c r="R2047" s="49">
        <v>2045</v>
      </c>
      <c r="S2047" s="59">
        <f ca="1">Dashboard!B$8* Dashboard!$F$4+Dashboard!B$10*SQRT(Dashboard!$F$4) * _xlfn.NORM.S.INV(RAND())</f>
        <v>9.1747870403668899E-2</v>
      </c>
      <c r="T2047" s="59">
        <f ca="1">Dashboard!C$8* Dashboard!$F$4+Dashboard!C$10*SQRT(Dashboard!$F$4) * _xlfn.NORM.S.INV(RAND())</f>
        <v>1.7260312667569333E-2</v>
      </c>
      <c r="U2047" s="59">
        <f ca="1">Dashboard!D$8* Dashboard!$F$4+Dashboard!D$10*SQRT(Dashboard!$F$4) * _xlfn.NORM.S.INV(RAND())</f>
        <v>-8.438326195258368E-2</v>
      </c>
    </row>
    <row r="2048" spans="18:21" x14ac:dyDescent="0.2">
      <c r="R2048" s="49">
        <v>2046</v>
      </c>
      <c r="S2048" s="59">
        <f ca="1">Dashboard!B$8* Dashboard!$F$4+Dashboard!B$10*SQRT(Dashboard!$F$4) * _xlfn.NORM.S.INV(RAND())</f>
        <v>-1.3968045194817012E-2</v>
      </c>
      <c r="T2048" s="59">
        <f ca="1">Dashboard!C$8* Dashboard!$F$4+Dashboard!C$10*SQRT(Dashboard!$F$4) * _xlfn.NORM.S.INV(RAND())</f>
        <v>1.4404173147854686E-2</v>
      </c>
      <c r="U2048" s="59">
        <f ca="1">Dashboard!D$8* Dashboard!$F$4+Dashboard!D$10*SQRT(Dashboard!$F$4) * _xlfn.NORM.S.INV(RAND())</f>
        <v>-4.5205252430761643E-2</v>
      </c>
    </row>
    <row r="2049" spans="18:21" x14ac:dyDescent="0.2">
      <c r="R2049" s="49">
        <v>2047</v>
      </c>
      <c r="S2049" s="59">
        <f ca="1">Dashboard!B$8* Dashboard!$F$4+Dashboard!B$10*SQRT(Dashboard!$F$4) * _xlfn.NORM.S.INV(RAND())</f>
        <v>3.3767946107232764E-2</v>
      </c>
      <c r="T2049" s="59">
        <f ca="1">Dashboard!C$8* Dashboard!$F$4+Dashboard!C$10*SQRT(Dashboard!$F$4) * _xlfn.NORM.S.INV(RAND())</f>
        <v>-2.5615814451197656E-2</v>
      </c>
      <c r="U2049" s="59">
        <f ca="1">Dashboard!D$8* Dashboard!$F$4+Dashboard!D$10*SQRT(Dashboard!$F$4) * _xlfn.NORM.S.INV(RAND())</f>
        <v>8.1942732402207931E-3</v>
      </c>
    </row>
    <row r="2050" spans="18:21" x14ac:dyDescent="0.2">
      <c r="R2050" s="49">
        <v>2048</v>
      </c>
      <c r="S2050" s="59">
        <f ca="1">Dashboard!B$8* Dashboard!$F$4+Dashboard!B$10*SQRT(Dashboard!$F$4) * _xlfn.NORM.S.INV(RAND())</f>
        <v>5.6362797487505265E-2</v>
      </c>
      <c r="T2050" s="59">
        <f ca="1">Dashboard!C$8* Dashboard!$F$4+Dashboard!C$10*SQRT(Dashboard!$F$4) * _xlfn.NORM.S.INV(RAND())</f>
        <v>-1.9255194318996239E-2</v>
      </c>
      <c r="U2050" s="59">
        <f ca="1">Dashboard!D$8* Dashboard!$F$4+Dashboard!D$10*SQRT(Dashboard!$F$4) * _xlfn.NORM.S.INV(RAND())</f>
        <v>4.1567690972070504E-4</v>
      </c>
    </row>
    <row r="2051" spans="18:21" x14ac:dyDescent="0.2">
      <c r="R2051" s="49">
        <v>2049</v>
      </c>
      <c r="S2051" s="59">
        <f ca="1">Dashboard!B$8* Dashboard!$F$4+Dashboard!B$10*SQRT(Dashboard!$F$4) * _xlfn.NORM.S.INV(RAND())</f>
        <v>-3.3669688176213373E-2</v>
      </c>
      <c r="T2051" s="59">
        <f ca="1">Dashboard!C$8* Dashboard!$F$4+Dashboard!C$10*SQRT(Dashboard!$F$4) * _xlfn.NORM.S.INV(RAND())</f>
        <v>-2.3481822321224394E-2</v>
      </c>
      <c r="U2051" s="59">
        <f ca="1">Dashboard!D$8* Dashboard!$F$4+Dashboard!D$10*SQRT(Dashboard!$F$4) * _xlfn.NORM.S.INV(RAND())</f>
        <v>3.1706525394264801E-2</v>
      </c>
    </row>
    <row r="2052" spans="18:21" x14ac:dyDescent="0.2">
      <c r="R2052" s="49">
        <v>2050</v>
      </c>
      <c r="S2052" s="59">
        <f ca="1">Dashboard!B$8* Dashboard!$F$4+Dashboard!B$10*SQRT(Dashboard!$F$4) * _xlfn.NORM.S.INV(RAND())</f>
        <v>-2.3155770437195182E-2</v>
      </c>
      <c r="T2052" s="59">
        <f ca="1">Dashboard!C$8* Dashboard!$F$4+Dashboard!C$10*SQRT(Dashboard!$F$4) * _xlfn.NORM.S.INV(RAND())</f>
        <v>1.4324466760402634E-2</v>
      </c>
      <c r="U2052" s="59">
        <f ca="1">Dashboard!D$8* Dashboard!$F$4+Dashboard!D$10*SQRT(Dashboard!$F$4) * _xlfn.NORM.S.INV(RAND())</f>
        <v>5.9039845814078239E-3</v>
      </c>
    </row>
    <row r="2053" spans="18:21" x14ac:dyDescent="0.2">
      <c r="R2053" s="49">
        <v>2051</v>
      </c>
      <c r="S2053" s="59">
        <f ca="1">Dashboard!B$8* Dashboard!$F$4+Dashboard!B$10*SQRT(Dashboard!$F$4) * _xlfn.NORM.S.INV(RAND())</f>
        <v>1.157699699617405E-2</v>
      </c>
      <c r="T2053" s="59">
        <f ca="1">Dashboard!C$8* Dashboard!$F$4+Dashboard!C$10*SQRT(Dashboard!$F$4) * _xlfn.NORM.S.INV(RAND())</f>
        <v>2.577666410067465E-2</v>
      </c>
      <c r="U2053" s="59">
        <f ca="1">Dashboard!D$8* Dashboard!$F$4+Dashboard!D$10*SQRT(Dashboard!$F$4) * _xlfn.NORM.S.INV(RAND())</f>
        <v>-2.4568241477934634E-2</v>
      </c>
    </row>
    <row r="2054" spans="18:21" x14ac:dyDescent="0.2">
      <c r="R2054" s="49">
        <v>2052</v>
      </c>
      <c r="S2054" s="59">
        <f ca="1">Dashboard!B$8* Dashboard!$F$4+Dashboard!B$10*SQRT(Dashboard!$F$4) * _xlfn.NORM.S.INV(RAND())</f>
        <v>1.3158558900846407E-2</v>
      </c>
      <c r="T2054" s="59">
        <f ca="1">Dashboard!C$8* Dashboard!$F$4+Dashboard!C$10*SQRT(Dashboard!$F$4) * _xlfn.NORM.S.INV(RAND())</f>
        <v>-6.2390422007678479E-3</v>
      </c>
      <c r="U2054" s="59">
        <f ca="1">Dashboard!D$8* Dashboard!$F$4+Dashboard!D$10*SQRT(Dashboard!$F$4) * _xlfn.NORM.S.INV(RAND())</f>
        <v>-1.6712064723491109E-2</v>
      </c>
    </row>
    <row r="2055" spans="18:21" x14ac:dyDescent="0.2">
      <c r="R2055" s="49">
        <v>2053</v>
      </c>
      <c r="S2055" s="59">
        <f ca="1">Dashboard!B$8* Dashboard!$F$4+Dashboard!B$10*SQRT(Dashboard!$F$4) * _xlfn.NORM.S.INV(RAND())</f>
        <v>-8.377795363439933E-3</v>
      </c>
      <c r="T2055" s="59">
        <f ca="1">Dashboard!C$8* Dashboard!$F$4+Dashboard!C$10*SQRT(Dashboard!$F$4) * _xlfn.NORM.S.INV(RAND())</f>
        <v>-4.7451689713721877E-3</v>
      </c>
      <c r="U2055" s="59">
        <f ca="1">Dashboard!D$8* Dashboard!$F$4+Dashboard!D$10*SQRT(Dashboard!$F$4) * _xlfn.NORM.S.INV(RAND())</f>
        <v>6.9194876921559127E-3</v>
      </c>
    </row>
    <row r="2056" spans="18:21" x14ac:dyDescent="0.2">
      <c r="R2056" s="49">
        <v>2054</v>
      </c>
      <c r="S2056" s="59">
        <f ca="1">Dashboard!B$8* Dashboard!$F$4+Dashboard!B$10*SQRT(Dashboard!$F$4) * _xlfn.NORM.S.INV(RAND())</f>
        <v>-7.6515729305131966E-2</v>
      </c>
      <c r="T2056" s="59">
        <f ca="1">Dashboard!C$8* Dashboard!$F$4+Dashboard!C$10*SQRT(Dashboard!$F$4) * _xlfn.NORM.S.INV(RAND())</f>
        <v>1.5414187135753932E-2</v>
      </c>
      <c r="U2056" s="59">
        <f ca="1">Dashboard!D$8* Dashboard!$F$4+Dashboard!D$10*SQRT(Dashboard!$F$4) * _xlfn.NORM.S.INV(RAND())</f>
        <v>-3.1209401254176292E-2</v>
      </c>
    </row>
    <row r="2057" spans="18:21" x14ac:dyDescent="0.2">
      <c r="R2057" s="49">
        <v>2055</v>
      </c>
      <c r="S2057" s="59">
        <f ca="1">Dashboard!B$8* Dashboard!$F$4+Dashboard!B$10*SQRT(Dashboard!$F$4) * _xlfn.NORM.S.INV(RAND())</f>
        <v>1.6607045078737649E-2</v>
      </c>
      <c r="T2057" s="59">
        <f ca="1">Dashboard!C$8* Dashboard!$F$4+Dashboard!C$10*SQRT(Dashboard!$F$4) * _xlfn.NORM.S.INV(RAND())</f>
        <v>-2.0050918686399286E-2</v>
      </c>
      <c r="U2057" s="59">
        <f ca="1">Dashboard!D$8* Dashboard!$F$4+Dashboard!D$10*SQRT(Dashboard!$F$4) * _xlfn.NORM.S.INV(RAND())</f>
        <v>-3.2798751048694419E-3</v>
      </c>
    </row>
    <row r="2058" spans="18:21" x14ac:dyDescent="0.2">
      <c r="R2058" s="49">
        <v>2056</v>
      </c>
      <c r="S2058" s="59">
        <f ca="1">Dashboard!B$8* Dashboard!$F$4+Dashboard!B$10*SQRT(Dashboard!$F$4) * _xlfn.NORM.S.INV(RAND())</f>
        <v>7.2022004763379097E-2</v>
      </c>
      <c r="T2058" s="59">
        <f ca="1">Dashboard!C$8* Dashboard!$F$4+Dashboard!C$10*SQRT(Dashboard!$F$4) * _xlfn.NORM.S.INV(RAND())</f>
        <v>-1.0286703349847645E-2</v>
      </c>
      <c r="U2058" s="59">
        <f ca="1">Dashboard!D$8* Dashboard!$F$4+Dashboard!D$10*SQRT(Dashboard!$F$4) * _xlfn.NORM.S.INV(RAND())</f>
        <v>9.471922136389456E-3</v>
      </c>
    </row>
    <row r="2059" spans="18:21" x14ac:dyDescent="0.2">
      <c r="R2059" s="49">
        <v>2057</v>
      </c>
      <c r="S2059" s="59">
        <f ca="1">Dashboard!B$8* Dashboard!$F$4+Dashboard!B$10*SQRT(Dashboard!$F$4) * _xlfn.NORM.S.INV(RAND())</f>
        <v>-2.8127236233064241E-2</v>
      </c>
      <c r="T2059" s="59">
        <f ca="1">Dashboard!C$8* Dashboard!$F$4+Dashboard!C$10*SQRT(Dashboard!$F$4) * _xlfn.NORM.S.INV(RAND())</f>
        <v>2.5324808397622443E-2</v>
      </c>
      <c r="U2059" s="59">
        <f ca="1">Dashboard!D$8* Dashboard!$F$4+Dashboard!D$10*SQRT(Dashboard!$F$4) * _xlfn.NORM.S.INV(RAND())</f>
        <v>-1.6258640583063765E-2</v>
      </c>
    </row>
    <row r="2060" spans="18:21" x14ac:dyDescent="0.2">
      <c r="R2060" s="49">
        <v>2058</v>
      </c>
      <c r="S2060" s="59">
        <f ca="1">Dashboard!B$8* Dashboard!$F$4+Dashboard!B$10*SQRT(Dashboard!$F$4) * _xlfn.NORM.S.INV(RAND())</f>
        <v>-4.4772875876826915E-3</v>
      </c>
      <c r="T2060" s="59">
        <f ca="1">Dashboard!C$8* Dashboard!$F$4+Dashboard!C$10*SQRT(Dashboard!$F$4) * _xlfn.NORM.S.INV(RAND())</f>
        <v>5.1162897090923538E-2</v>
      </c>
      <c r="U2060" s="59">
        <f ca="1">Dashboard!D$8* Dashboard!$F$4+Dashboard!D$10*SQRT(Dashboard!$F$4) * _xlfn.NORM.S.INV(RAND())</f>
        <v>-1.5537410455144958E-2</v>
      </c>
    </row>
    <row r="2061" spans="18:21" x14ac:dyDescent="0.2">
      <c r="R2061" s="49">
        <v>2059</v>
      </c>
      <c r="S2061" s="59">
        <f ca="1">Dashboard!B$8* Dashboard!$F$4+Dashboard!B$10*SQRT(Dashboard!$F$4) * _xlfn.NORM.S.INV(RAND())</f>
        <v>1.5139128154074527E-2</v>
      </c>
      <c r="T2061" s="59">
        <f ca="1">Dashboard!C$8* Dashboard!$F$4+Dashboard!C$10*SQRT(Dashboard!$F$4) * _xlfn.NORM.S.INV(RAND())</f>
        <v>1.4627169603635162E-2</v>
      </c>
      <c r="U2061" s="59">
        <f ca="1">Dashboard!D$8* Dashboard!$F$4+Dashboard!D$10*SQRT(Dashboard!$F$4) * _xlfn.NORM.S.INV(RAND())</f>
        <v>-1.8716368060588909E-2</v>
      </c>
    </row>
    <row r="2062" spans="18:21" x14ac:dyDescent="0.2">
      <c r="R2062" s="49">
        <v>2060</v>
      </c>
      <c r="S2062" s="59">
        <f ca="1">Dashboard!B$8* Dashboard!$F$4+Dashboard!B$10*SQRT(Dashboard!$F$4) * _xlfn.NORM.S.INV(RAND())</f>
        <v>3.5921316288603622E-2</v>
      </c>
      <c r="T2062" s="59">
        <f ca="1">Dashboard!C$8* Dashboard!$F$4+Dashboard!C$10*SQRT(Dashboard!$F$4) * _xlfn.NORM.S.INV(RAND())</f>
        <v>2.7091507609107269E-2</v>
      </c>
      <c r="U2062" s="59">
        <f ca="1">Dashboard!D$8* Dashboard!$F$4+Dashboard!D$10*SQRT(Dashboard!$F$4) * _xlfn.NORM.S.INV(RAND())</f>
        <v>2.2418783116725592E-2</v>
      </c>
    </row>
    <row r="2063" spans="18:21" x14ac:dyDescent="0.2">
      <c r="R2063" s="49">
        <v>2061</v>
      </c>
      <c r="S2063" s="59">
        <f ca="1">Dashboard!B$8* Dashboard!$F$4+Dashboard!B$10*SQRT(Dashboard!$F$4) * _xlfn.NORM.S.INV(RAND())</f>
        <v>-3.4959350293135898E-2</v>
      </c>
      <c r="T2063" s="59">
        <f ca="1">Dashboard!C$8* Dashboard!$F$4+Dashboard!C$10*SQRT(Dashboard!$F$4) * _xlfn.NORM.S.INV(RAND())</f>
        <v>-2.3539892117103476E-2</v>
      </c>
      <c r="U2063" s="59">
        <f ca="1">Dashboard!D$8* Dashboard!$F$4+Dashboard!D$10*SQRT(Dashboard!$F$4) * _xlfn.NORM.S.INV(RAND())</f>
        <v>4.0843382633060955E-2</v>
      </c>
    </row>
    <row r="2064" spans="18:21" x14ac:dyDescent="0.2">
      <c r="R2064" s="49">
        <v>2062</v>
      </c>
      <c r="S2064" s="59">
        <f ca="1">Dashboard!B$8* Dashboard!$F$4+Dashboard!B$10*SQRT(Dashboard!$F$4) * _xlfn.NORM.S.INV(RAND())</f>
        <v>-2.0568866773807454E-2</v>
      </c>
      <c r="T2064" s="59">
        <f ca="1">Dashboard!C$8* Dashboard!$F$4+Dashboard!C$10*SQRT(Dashboard!$F$4) * _xlfn.NORM.S.INV(RAND())</f>
        <v>6.2968623390453005E-2</v>
      </c>
      <c r="U2064" s="59">
        <f ca="1">Dashboard!D$8* Dashboard!$F$4+Dashboard!D$10*SQRT(Dashboard!$F$4) * _xlfn.NORM.S.INV(RAND())</f>
        <v>-7.5556375519673216E-2</v>
      </c>
    </row>
    <row r="2065" spans="18:21" x14ac:dyDescent="0.2">
      <c r="R2065" s="49">
        <v>2063</v>
      </c>
      <c r="S2065" s="59">
        <f ca="1">Dashboard!B$8* Dashboard!$F$4+Dashboard!B$10*SQRT(Dashboard!$F$4) * _xlfn.NORM.S.INV(RAND())</f>
        <v>-2.8171155073453934E-2</v>
      </c>
      <c r="T2065" s="59">
        <f ca="1">Dashboard!C$8* Dashboard!$F$4+Dashboard!C$10*SQRT(Dashboard!$F$4) * _xlfn.NORM.S.INV(RAND())</f>
        <v>2.8564350320475142E-2</v>
      </c>
      <c r="U2065" s="59">
        <f ca="1">Dashboard!D$8* Dashboard!$F$4+Dashboard!D$10*SQRT(Dashboard!$F$4) * _xlfn.NORM.S.INV(RAND())</f>
        <v>6.9836274316552052E-2</v>
      </c>
    </row>
    <row r="2066" spans="18:21" x14ac:dyDescent="0.2">
      <c r="R2066" s="49">
        <v>2064</v>
      </c>
      <c r="S2066" s="59">
        <f ca="1">Dashboard!B$8* Dashboard!$F$4+Dashboard!B$10*SQRT(Dashboard!$F$4) * _xlfn.NORM.S.INV(RAND())</f>
        <v>-4.531264299712464E-2</v>
      </c>
      <c r="T2066" s="59">
        <f ca="1">Dashboard!C$8* Dashboard!$F$4+Dashboard!C$10*SQRT(Dashboard!$F$4) * _xlfn.NORM.S.INV(RAND())</f>
        <v>5.9600036001595642E-2</v>
      </c>
      <c r="U2066" s="59">
        <f ca="1">Dashboard!D$8* Dashboard!$F$4+Dashboard!D$10*SQRT(Dashboard!$F$4) * _xlfn.NORM.S.INV(RAND())</f>
        <v>2.9258179879202654E-2</v>
      </c>
    </row>
    <row r="2067" spans="18:21" x14ac:dyDescent="0.2">
      <c r="R2067" s="49">
        <v>2065</v>
      </c>
      <c r="S2067" s="59">
        <f ca="1">Dashboard!B$8* Dashboard!$F$4+Dashboard!B$10*SQRT(Dashboard!$F$4) * _xlfn.NORM.S.INV(RAND())</f>
        <v>1.9521951375671446E-3</v>
      </c>
      <c r="T2067" s="59">
        <f ca="1">Dashboard!C$8* Dashboard!$F$4+Dashboard!C$10*SQRT(Dashboard!$F$4) * _xlfn.NORM.S.INV(RAND())</f>
        <v>-3.4122851820857253E-2</v>
      </c>
      <c r="U2067" s="59">
        <f ca="1">Dashboard!D$8* Dashboard!$F$4+Dashboard!D$10*SQRT(Dashboard!$F$4) * _xlfn.NORM.S.INV(RAND())</f>
        <v>-1.2481317966981775E-2</v>
      </c>
    </row>
    <row r="2068" spans="18:21" x14ac:dyDescent="0.2">
      <c r="R2068" s="49">
        <v>2066</v>
      </c>
      <c r="S2068" s="59">
        <f ca="1">Dashboard!B$8* Dashboard!$F$4+Dashboard!B$10*SQRT(Dashboard!$F$4) * _xlfn.NORM.S.INV(RAND())</f>
        <v>2.3002803480093988E-2</v>
      </c>
      <c r="T2068" s="59">
        <f ca="1">Dashboard!C$8* Dashboard!$F$4+Dashboard!C$10*SQRT(Dashboard!$F$4) * _xlfn.NORM.S.INV(RAND())</f>
        <v>6.4285288566726259E-2</v>
      </c>
      <c r="U2068" s="59">
        <f ca="1">Dashboard!D$8* Dashboard!$F$4+Dashboard!D$10*SQRT(Dashboard!$F$4) * _xlfn.NORM.S.INV(RAND())</f>
        <v>6.8566747104643486E-2</v>
      </c>
    </row>
    <row r="2069" spans="18:21" x14ac:dyDescent="0.2">
      <c r="R2069" s="49">
        <v>2067</v>
      </c>
      <c r="S2069" s="59">
        <f ca="1">Dashboard!B$8* Dashboard!$F$4+Dashboard!B$10*SQRT(Dashboard!$F$4) * _xlfn.NORM.S.INV(RAND())</f>
        <v>2.6331486621505841E-2</v>
      </c>
      <c r="T2069" s="59">
        <f ca="1">Dashboard!C$8* Dashboard!$F$4+Dashboard!C$10*SQRT(Dashboard!$F$4) * _xlfn.NORM.S.INV(RAND())</f>
        <v>-1.9759243490946501E-2</v>
      </c>
      <c r="U2069" s="59">
        <f ca="1">Dashboard!D$8* Dashboard!$F$4+Dashboard!D$10*SQRT(Dashboard!$F$4) * _xlfn.NORM.S.INV(RAND())</f>
        <v>2.3887088519261877E-2</v>
      </c>
    </row>
    <row r="2070" spans="18:21" x14ac:dyDescent="0.2">
      <c r="R2070" s="49">
        <v>2068</v>
      </c>
      <c r="S2070" s="59">
        <f ca="1">Dashboard!B$8* Dashboard!$F$4+Dashboard!B$10*SQRT(Dashboard!$F$4) * _xlfn.NORM.S.INV(RAND())</f>
        <v>-3.7689546672786678E-2</v>
      </c>
      <c r="T2070" s="59">
        <f ca="1">Dashboard!C$8* Dashboard!$F$4+Dashboard!C$10*SQRT(Dashboard!$F$4) * _xlfn.NORM.S.INV(RAND())</f>
        <v>2.1072779957640921E-2</v>
      </c>
      <c r="U2070" s="59">
        <f ca="1">Dashboard!D$8* Dashboard!$F$4+Dashboard!D$10*SQRT(Dashboard!$F$4) * _xlfn.NORM.S.INV(RAND())</f>
        <v>2.0598530130757457E-2</v>
      </c>
    </row>
    <row r="2071" spans="18:21" x14ac:dyDescent="0.2">
      <c r="R2071" s="49">
        <v>2069</v>
      </c>
      <c r="S2071" s="59">
        <f ca="1">Dashboard!B$8* Dashboard!$F$4+Dashboard!B$10*SQRT(Dashboard!$F$4) * _xlfn.NORM.S.INV(RAND())</f>
        <v>1.7468495730187342E-2</v>
      </c>
      <c r="T2071" s="59">
        <f ca="1">Dashboard!C$8* Dashboard!$F$4+Dashboard!C$10*SQRT(Dashboard!$F$4) * _xlfn.NORM.S.INV(RAND())</f>
        <v>1.8514876416756256E-3</v>
      </c>
      <c r="U2071" s="59">
        <f ca="1">Dashboard!D$8* Dashboard!$F$4+Dashboard!D$10*SQRT(Dashboard!$F$4) * _xlfn.NORM.S.INV(RAND())</f>
        <v>3.2964409566699188E-2</v>
      </c>
    </row>
    <row r="2072" spans="18:21" x14ac:dyDescent="0.2">
      <c r="R2072" s="49">
        <v>2070</v>
      </c>
      <c r="S2072" s="59">
        <f ca="1">Dashboard!B$8* Dashboard!$F$4+Dashboard!B$10*SQRT(Dashboard!$F$4) * _xlfn.NORM.S.INV(RAND())</f>
        <v>-3.9109761368617754E-2</v>
      </c>
      <c r="T2072" s="59">
        <f ca="1">Dashboard!C$8* Dashboard!$F$4+Dashboard!C$10*SQRT(Dashboard!$F$4) * _xlfn.NORM.S.INV(RAND())</f>
        <v>7.6243117082988962E-2</v>
      </c>
      <c r="U2072" s="59">
        <f ca="1">Dashboard!D$8* Dashboard!$F$4+Dashboard!D$10*SQRT(Dashboard!$F$4) * _xlfn.NORM.S.INV(RAND())</f>
        <v>-2.7032721260125491E-4</v>
      </c>
    </row>
    <row r="2073" spans="18:21" x14ac:dyDescent="0.2">
      <c r="R2073" s="49">
        <v>2071</v>
      </c>
      <c r="S2073" s="59">
        <f ca="1">Dashboard!B$8* Dashboard!$F$4+Dashboard!B$10*SQRT(Dashboard!$F$4) * _xlfn.NORM.S.INV(RAND())</f>
        <v>1.350685734785278E-2</v>
      </c>
      <c r="T2073" s="59">
        <f ca="1">Dashboard!C$8* Dashboard!$F$4+Dashboard!C$10*SQRT(Dashboard!$F$4) * _xlfn.NORM.S.INV(RAND())</f>
        <v>3.6562839766918785E-2</v>
      </c>
      <c r="U2073" s="59">
        <f ca="1">Dashboard!D$8* Dashboard!$F$4+Dashboard!D$10*SQRT(Dashboard!$F$4) * _xlfn.NORM.S.INV(RAND())</f>
        <v>2.7665204812990498E-3</v>
      </c>
    </row>
    <row r="2074" spans="18:21" x14ac:dyDescent="0.2">
      <c r="R2074" s="49">
        <v>2072</v>
      </c>
      <c r="S2074" s="59">
        <f ca="1">Dashboard!B$8* Dashboard!$F$4+Dashboard!B$10*SQRT(Dashboard!$F$4) * _xlfn.NORM.S.INV(RAND())</f>
        <v>-7.8792180084835146E-3</v>
      </c>
      <c r="T2074" s="59">
        <f ca="1">Dashboard!C$8* Dashboard!$F$4+Dashboard!C$10*SQRT(Dashboard!$F$4) * _xlfn.NORM.S.INV(RAND())</f>
        <v>7.7536982422984874E-2</v>
      </c>
      <c r="U2074" s="59">
        <f ca="1">Dashboard!D$8* Dashboard!$F$4+Dashboard!D$10*SQRT(Dashboard!$F$4) * _xlfn.NORM.S.INV(RAND())</f>
        <v>2.3483193383974598E-2</v>
      </c>
    </row>
    <row r="2075" spans="18:21" x14ac:dyDescent="0.2">
      <c r="R2075" s="49">
        <v>2073</v>
      </c>
      <c r="S2075" s="59">
        <f ca="1">Dashboard!B$8* Dashboard!$F$4+Dashboard!B$10*SQRT(Dashboard!$F$4) * _xlfn.NORM.S.INV(RAND())</f>
        <v>-2.0540338183841211E-2</v>
      </c>
      <c r="T2075" s="59">
        <f ca="1">Dashboard!C$8* Dashboard!$F$4+Dashboard!C$10*SQRT(Dashboard!$F$4) * _xlfn.NORM.S.INV(RAND())</f>
        <v>1.2921580923170643E-2</v>
      </c>
      <c r="U2075" s="59">
        <f ca="1">Dashboard!D$8* Dashboard!$F$4+Dashboard!D$10*SQRT(Dashboard!$F$4) * _xlfn.NORM.S.INV(RAND())</f>
        <v>-4.3254043839472504E-2</v>
      </c>
    </row>
    <row r="2076" spans="18:21" x14ac:dyDescent="0.2">
      <c r="R2076" s="49">
        <v>2074</v>
      </c>
      <c r="S2076" s="59">
        <f ca="1">Dashboard!B$8* Dashboard!$F$4+Dashboard!B$10*SQRT(Dashboard!$F$4) * _xlfn.NORM.S.INV(RAND())</f>
        <v>-7.1160555684786492E-2</v>
      </c>
      <c r="T2076" s="59">
        <f ca="1">Dashboard!C$8* Dashboard!$F$4+Dashboard!C$10*SQRT(Dashboard!$F$4) * _xlfn.NORM.S.INV(RAND())</f>
        <v>4.40252565819765E-3</v>
      </c>
      <c r="U2076" s="59">
        <f ca="1">Dashboard!D$8* Dashboard!$F$4+Dashboard!D$10*SQRT(Dashboard!$F$4) * _xlfn.NORM.S.INV(RAND())</f>
        <v>-2.6311865234848221E-3</v>
      </c>
    </row>
    <row r="2077" spans="18:21" x14ac:dyDescent="0.2">
      <c r="R2077" s="49">
        <v>2075</v>
      </c>
      <c r="S2077" s="59">
        <f ca="1">Dashboard!B$8* Dashboard!$F$4+Dashboard!B$10*SQRT(Dashboard!$F$4) * _xlfn.NORM.S.INV(RAND())</f>
        <v>-2.5753960233364619E-2</v>
      </c>
      <c r="T2077" s="59">
        <f ca="1">Dashboard!C$8* Dashboard!$F$4+Dashboard!C$10*SQRT(Dashboard!$F$4) * _xlfn.NORM.S.INV(RAND())</f>
        <v>3.1392137191517622E-2</v>
      </c>
      <c r="U2077" s="59">
        <f ca="1">Dashboard!D$8* Dashboard!$F$4+Dashboard!D$10*SQRT(Dashboard!$F$4) * _xlfn.NORM.S.INV(RAND())</f>
        <v>1.2884499242079673E-2</v>
      </c>
    </row>
    <row r="2078" spans="18:21" x14ac:dyDescent="0.2">
      <c r="R2078" s="49">
        <v>2076</v>
      </c>
      <c r="S2078" s="59">
        <f ca="1">Dashboard!B$8* Dashboard!$F$4+Dashboard!B$10*SQRT(Dashboard!$F$4) * _xlfn.NORM.S.INV(RAND())</f>
        <v>-4.177835263757522E-2</v>
      </c>
      <c r="T2078" s="59">
        <f ca="1">Dashboard!C$8* Dashboard!$F$4+Dashboard!C$10*SQRT(Dashboard!$F$4) * _xlfn.NORM.S.INV(RAND())</f>
        <v>-4.8041861965389503E-2</v>
      </c>
      <c r="U2078" s="59">
        <f ca="1">Dashboard!D$8* Dashboard!$F$4+Dashboard!D$10*SQRT(Dashboard!$F$4) * _xlfn.NORM.S.INV(RAND())</f>
        <v>4.0677636586696937E-2</v>
      </c>
    </row>
    <row r="2079" spans="18:21" x14ac:dyDescent="0.2">
      <c r="R2079" s="49">
        <v>2077</v>
      </c>
      <c r="S2079" s="59">
        <f ca="1">Dashboard!B$8* Dashboard!$F$4+Dashboard!B$10*SQRT(Dashboard!$F$4) * _xlfn.NORM.S.INV(RAND())</f>
        <v>-5.5910394633593492E-2</v>
      </c>
      <c r="T2079" s="59">
        <f ca="1">Dashboard!C$8* Dashboard!$F$4+Dashboard!C$10*SQRT(Dashboard!$F$4) * _xlfn.NORM.S.INV(RAND())</f>
        <v>3.658566515042766E-2</v>
      </c>
      <c r="U2079" s="59">
        <f ca="1">Dashboard!D$8* Dashboard!$F$4+Dashboard!D$10*SQRT(Dashboard!$F$4) * _xlfn.NORM.S.INV(RAND())</f>
        <v>4.64289138530335E-2</v>
      </c>
    </row>
    <row r="2080" spans="18:21" x14ac:dyDescent="0.2">
      <c r="R2080" s="49">
        <v>2078</v>
      </c>
      <c r="S2080" s="59">
        <f ca="1">Dashboard!B$8* Dashboard!$F$4+Dashboard!B$10*SQRT(Dashboard!$F$4) * _xlfn.NORM.S.INV(RAND())</f>
        <v>2.755511944372737E-2</v>
      </c>
      <c r="T2080" s="59">
        <f ca="1">Dashboard!C$8* Dashboard!$F$4+Dashboard!C$10*SQRT(Dashboard!$F$4) * _xlfn.NORM.S.INV(RAND())</f>
        <v>-2.531356401628555E-2</v>
      </c>
      <c r="U2080" s="59">
        <f ca="1">Dashboard!D$8* Dashboard!$F$4+Dashboard!D$10*SQRT(Dashboard!$F$4) * _xlfn.NORM.S.INV(RAND())</f>
        <v>4.1431466775669397E-2</v>
      </c>
    </row>
    <row r="2081" spans="18:21" x14ac:dyDescent="0.2">
      <c r="R2081" s="49">
        <v>2079</v>
      </c>
      <c r="S2081" s="59">
        <f ca="1">Dashboard!B$8* Dashboard!$F$4+Dashboard!B$10*SQRT(Dashboard!$F$4) * _xlfn.NORM.S.INV(RAND())</f>
        <v>2.2224522292237037E-2</v>
      </c>
      <c r="T2081" s="59">
        <f ca="1">Dashboard!C$8* Dashboard!$F$4+Dashboard!C$10*SQRT(Dashboard!$F$4) * _xlfn.NORM.S.INV(RAND())</f>
        <v>-7.6499497020013447E-3</v>
      </c>
      <c r="U2081" s="59">
        <f ca="1">Dashboard!D$8* Dashboard!$F$4+Dashboard!D$10*SQRT(Dashboard!$F$4) * _xlfn.NORM.S.INV(RAND())</f>
        <v>2.6693525092796488E-2</v>
      </c>
    </row>
    <row r="2082" spans="18:21" x14ac:dyDescent="0.2">
      <c r="R2082" s="49">
        <v>2080</v>
      </c>
      <c r="S2082" s="59">
        <f ca="1">Dashboard!B$8* Dashboard!$F$4+Dashboard!B$10*SQRT(Dashboard!$F$4) * _xlfn.NORM.S.INV(RAND())</f>
        <v>-4.7963163725652392E-3</v>
      </c>
      <c r="T2082" s="59">
        <f ca="1">Dashboard!C$8* Dashboard!$F$4+Dashboard!C$10*SQRT(Dashboard!$F$4) * _xlfn.NORM.S.INV(RAND())</f>
        <v>-2.7891836578833994E-2</v>
      </c>
      <c r="U2082" s="59">
        <f ca="1">Dashboard!D$8* Dashboard!$F$4+Dashboard!D$10*SQRT(Dashboard!$F$4) * _xlfn.NORM.S.INV(RAND())</f>
        <v>-1.6687011042053026E-2</v>
      </c>
    </row>
    <row r="2083" spans="18:21" x14ac:dyDescent="0.2">
      <c r="R2083" s="49">
        <v>2081</v>
      </c>
      <c r="S2083" s="59">
        <f ca="1">Dashboard!B$8* Dashboard!$F$4+Dashboard!B$10*SQRT(Dashboard!$F$4) * _xlfn.NORM.S.INV(RAND())</f>
        <v>-5.280570518313087E-3</v>
      </c>
      <c r="T2083" s="59">
        <f ca="1">Dashboard!C$8* Dashboard!$F$4+Dashboard!C$10*SQRT(Dashboard!$F$4) * _xlfn.NORM.S.INV(RAND())</f>
        <v>-3.2655014873518309E-2</v>
      </c>
      <c r="U2083" s="59">
        <f ca="1">Dashboard!D$8* Dashboard!$F$4+Dashboard!D$10*SQRT(Dashboard!$F$4) * _xlfn.NORM.S.INV(RAND())</f>
        <v>6.6276370206447919E-3</v>
      </c>
    </row>
    <row r="2084" spans="18:21" x14ac:dyDescent="0.2">
      <c r="R2084" s="49">
        <v>2082</v>
      </c>
      <c r="S2084" s="59">
        <f ca="1">Dashboard!B$8* Dashboard!$F$4+Dashboard!B$10*SQRT(Dashboard!$F$4) * _xlfn.NORM.S.INV(RAND())</f>
        <v>-1.7659302915424849E-2</v>
      </c>
      <c r="T2084" s="59">
        <f ca="1">Dashboard!C$8* Dashboard!$F$4+Dashboard!C$10*SQRT(Dashboard!$F$4) * _xlfn.NORM.S.INV(RAND())</f>
        <v>-3.0446436029562315E-3</v>
      </c>
      <c r="U2084" s="59">
        <f ca="1">Dashboard!D$8* Dashboard!$F$4+Dashboard!D$10*SQRT(Dashboard!$F$4) * _xlfn.NORM.S.INV(RAND())</f>
        <v>-8.2088246042767484E-3</v>
      </c>
    </row>
    <row r="2085" spans="18:21" x14ac:dyDescent="0.2">
      <c r="R2085" s="49">
        <v>2083</v>
      </c>
      <c r="S2085" s="59">
        <f ca="1">Dashboard!B$8* Dashboard!$F$4+Dashboard!B$10*SQRT(Dashboard!$F$4) * _xlfn.NORM.S.INV(RAND())</f>
        <v>5.3734890407685816E-3</v>
      </c>
      <c r="T2085" s="59">
        <f ca="1">Dashboard!C$8* Dashboard!$F$4+Dashboard!C$10*SQRT(Dashboard!$F$4) * _xlfn.NORM.S.INV(RAND())</f>
        <v>2.3234042111059186E-2</v>
      </c>
      <c r="U2085" s="59">
        <f ca="1">Dashboard!D$8* Dashboard!$F$4+Dashboard!D$10*SQRT(Dashboard!$F$4) * _xlfn.NORM.S.INV(RAND())</f>
        <v>-1.2590204569628461E-2</v>
      </c>
    </row>
    <row r="2086" spans="18:21" x14ac:dyDescent="0.2">
      <c r="R2086" s="49">
        <v>2084</v>
      </c>
      <c r="S2086" s="59">
        <f ca="1">Dashboard!B$8* Dashboard!$F$4+Dashboard!B$10*SQRT(Dashboard!$F$4) * _xlfn.NORM.S.INV(RAND())</f>
        <v>4.0177978473855298E-2</v>
      </c>
      <c r="T2086" s="59">
        <f ca="1">Dashboard!C$8* Dashboard!$F$4+Dashboard!C$10*SQRT(Dashboard!$F$4) * _xlfn.NORM.S.INV(RAND())</f>
        <v>-5.6613185219973348E-2</v>
      </c>
      <c r="U2086" s="59">
        <f ca="1">Dashboard!D$8* Dashboard!$F$4+Dashboard!D$10*SQRT(Dashboard!$F$4) * _xlfn.NORM.S.INV(RAND())</f>
        <v>-4.4555532679563664E-2</v>
      </c>
    </row>
    <row r="2087" spans="18:21" x14ac:dyDescent="0.2">
      <c r="R2087" s="49">
        <v>2085</v>
      </c>
      <c r="S2087" s="59">
        <f ca="1">Dashboard!B$8* Dashboard!$F$4+Dashboard!B$10*SQRT(Dashboard!$F$4) * _xlfn.NORM.S.INV(RAND())</f>
        <v>-5.7717322374951675E-3</v>
      </c>
      <c r="T2087" s="59">
        <f ca="1">Dashboard!C$8* Dashboard!$F$4+Dashboard!C$10*SQRT(Dashboard!$F$4) * _xlfn.NORM.S.INV(RAND())</f>
        <v>-2.9283393197671061E-2</v>
      </c>
      <c r="U2087" s="59">
        <f ca="1">Dashboard!D$8* Dashboard!$F$4+Dashboard!D$10*SQRT(Dashboard!$F$4) * _xlfn.NORM.S.INV(RAND())</f>
        <v>-2.4276312816567981E-3</v>
      </c>
    </row>
    <row r="2088" spans="18:21" x14ac:dyDescent="0.2">
      <c r="R2088" s="49">
        <v>2086</v>
      </c>
      <c r="S2088" s="59">
        <f ca="1">Dashboard!B$8* Dashboard!$F$4+Dashboard!B$10*SQRT(Dashboard!$F$4) * _xlfn.NORM.S.INV(RAND())</f>
        <v>-9.1959403991837465E-3</v>
      </c>
      <c r="T2088" s="59">
        <f ca="1">Dashboard!C$8* Dashboard!$F$4+Dashboard!C$10*SQRT(Dashboard!$F$4) * _xlfn.NORM.S.INV(RAND())</f>
        <v>-9.4356395542848515E-4</v>
      </c>
      <c r="U2088" s="59">
        <f ca="1">Dashboard!D$8* Dashboard!$F$4+Dashboard!D$10*SQRT(Dashboard!$F$4) * _xlfn.NORM.S.INV(RAND())</f>
        <v>-1.0936530842020308E-2</v>
      </c>
    </row>
    <row r="2089" spans="18:21" x14ac:dyDescent="0.2">
      <c r="R2089" s="49">
        <v>2087</v>
      </c>
      <c r="S2089" s="59">
        <f ca="1">Dashboard!B$8* Dashboard!$F$4+Dashboard!B$10*SQRT(Dashboard!$F$4) * _xlfn.NORM.S.INV(RAND())</f>
        <v>-3.2676503842978967E-2</v>
      </c>
      <c r="T2089" s="59">
        <f ca="1">Dashboard!C$8* Dashboard!$F$4+Dashboard!C$10*SQRT(Dashboard!$F$4) * _xlfn.NORM.S.INV(RAND())</f>
        <v>4.985130294948218E-2</v>
      </c>
      <c r="U2089" s="59">
        <f ca="1">Dashboard!D$8* Dashboard!$F$4+Dashboard!D$10*SQRT(Dashboard!$F$4) * _xlfn.NORM.S.INV(RAND())</f>
        <v>8.2233153336899612E-3</v>
      </c>
    </row>
    <row r="2090" spans="18:21" x14ac:dyDescent="0.2">
      <c r="R2090" s="49">
        <v>2088</v>
      </c>
      <c r="S2090" s="59">
        <f ca="1">Dashboard!B$8* Dashboard!$F$4+Dashboard!B$10*SQRT(Dashboard!$F$4) * _xlfn.NORM.S.INV(RAND())</f>
        <v>9.1834976771959648E-3</v>
      </c>
      <c r="T2090" s="59">
        <f ca="1">Dashboard!C$8* Dashboard!$F$4+Dashboard!C$10*SQRT(Dashboard!$F$4) * _xlfn.NORM.S.INV(RAND())</f>
        <v>2.5617443196644467E-3</v>
      </c>
      <c r="U2090" s="59">
        <f ca="1">Dashboard!D$8* Dashboard!$F$4+Dashboard!D$10*SQRT(Dashboard!$F$4) * _xlfn.NORM.S.INV(RAND())</f>
        <v>-5.2909829819141217E-3</v>
      </c>
    </row>
    <row r="2091" spans="18:21" x14ac:dyDescent="0.2">
      <c r="R2091" s="49">
        <v>2089</v>
      </c>
      <c r="S2091" s="59">
        <f ca="1">Dashboard!B$8* Dashboard!$F$4+Dashboard!B$10*SQRT(Dashboard!$F$4) * _xlfn.NORM.S.INV(RAND())</f>
        <v>1.1783700531437508E-2</v>
      </c>
      <c r="T2091" s="59">
        <f ca="1">Dashboard!C$8* Dashboard!$F$4+Dashboard!C$10*SQRT(Dashboard!$F$4) * _xlfn.NORM.S.INV(RAND())</f>
        <v>3.1199368133054219E-2</v>
      </c>
      <c r="U2091" s="59">
        <f ca="1">Dashboard!D$8* Dashboard!$F$4+Dashboard!D$10*SQRT(Dashboard!$F$4) * _xlfn.NORM.S.INV(RAND())</f>
        <v>-3.3120130419221606E-2</v>
      </c>
    </row>
    <row r="2092" spans="18:21" x14ac:dyDescent="0.2">
      <c r="R2092" s="49">
        <v>2090</v>
      </c>
      <c r="S2092" s="59">
        <f ca="1">Dashboard!B$8* Dashboard!$F$4+Dashboard!B$10*SQRT(Dashboard!$F$4) * _xlfn.NORM.S.INV(RAND())</f>
        <v>-1.7557488311373458E-2</v>
      </c>
      <c r="T2092" s="59">
        <f ca="1">Dashboard!C$8* Dashboard!$F$4+Dashboard!C$10*SQRT(Dashboard!$F$4) * _xlfn.NORM.S.INV(RAND())</f>
        <v>5.0272040571258017E-2</v>
      </c>
      <c r="U2092" s="59">
        <f ca="1">Dashboard!D$8* Dashboard!$F$4+Dashboard!D$10*SQRT(Dashboard!$F$4) * _xlfn.NORM.S.INV(RAND())</f>
        <v>2.0853058878988472E-4</v>
      </c>
    </row>
    <row r="2093" spans="18:21" x14ac:dyDescent="0.2">
      <c r="R2093" s="49">
        <v>2091</v>
      </c>
      <c r="S2093" s="59">
        <f ca="1">Dashboard!B$8* Dashboard!$F$4+Dashboard!B$10*SQRT(Dashboard!$F$4) * _xlfn.NORM.S.INV(RAND())</f>
        <v>4.5047502058234573E-2</v>
      </c>
      <c r="T2093" s="59">
        <f ca="1">Dashboard!C$8* Dashboard!$F$4+Dashboard!C$10*SQRT(Dashboard!$F$4) * _xlfn.NORM.S.INV(RAND())</f>
        <v>-4.5944157912917918E-4</v>
      </c>
      <c r="U2093" s="59">
        <f ca="1">Dashboard!D$8* Dashboard!$F$4+Dashboard!D$10*SQRT(Dashboard!$F$4) * _xlfn.NORM.S.INV(RAND())</f>
        <v>-3.7658367728097962E-2</v>
      </c>
    </row>
    <row r="2094" spans="18:21" x14ac:dyDescent="0.2">
      <c r="R2094" s="49">
        <v>2092</v>
      </c>
      <c r="S2094" s="59">
        <f ca="1">Dashboard!B$8* Dashboard!$F$4+Dashboard!B$10*SQRT(Dashboard!$F$4) * _xlfn.NORM.S.INV(RAND())</f>
        <v>5.8226601793202708E-5</v>
      </c>
      <c r="T2094" s="59">
        <f ca="1">Dashboard!C$8* Dashboard!$F$4+Dashboard!C$10*SQRT(Dashboard!$F$4) * _xlfn.NORM.S.INV(RAND())</f>
        <v>1.4618895930519585E-2</v>
      </c>
      <c r="U2094" s="59">
        <f ca="1">Dashboard!D$8* Dashboard!$F$4+Dashboard!D$10*SQRT(Dashboard!$F$4) * _xlfn.NORM.S.INV(RAND())</f>
        <v>3.2463104390162707E-2</v>
      </c>
    </row>
    <row r="2095" spans="18:21" x14ac:dyDescent="0.2">
      <c r="R2095" s="49">
        <v>2093</v>
      </c>
      <c r="S2095" s="59">
        <f ca="1">Dashboard!B$8* Dashboard!$F$4+Dashboard!B$10*SQRT(Dashboard!$F$4) * _xlfn.NORM.S.INV(RAND())</f>
        <v>6.9293147490332052E-2</v>
      </c>
      <c r="T2095" s="59">
        <f ca="1">Dashboard!C$8* Dashboard!$F$4+Dashboard!C$10*SQRT(Dashboard!$F$4) * _xlfn.NORM.S.INV(RAND())</f>
        <v>2.1412562662107906E-2</v>
      </c>
      <c r="U2095" s="59">
        <f ca="1">Dashboard!D$8* Dashboard!$F$4+Dashboard!D$10*SQRT(Dashboard!$F$4) * _xlfn.NORM.S.INV(RAND())</f>
        <v>-3.1901444076819517E-2</v>
      </c>
    </row>
    <row r="2096" spans="18:21" x14ac:dyDescent="0.2">
      <c r="R2096" s="49">
        <v>2094</v>
      </c>
      <c r="S2096" s="59">
        <f ca="1">Dashboard!B$8* Dashboard!$F$4+Dashboard!B$10*SQRT(Dashboard!$F$4) * _xlfn.NORM.S.INV(RAND())</f>
        <v>-1.0637089508759563E-2</v>
      </c>
      <c r="T2096" s="59">
        <f ca="1">Dashboard!C$8* Dashboard!$F$4+Dashboard!C$10*SQRT(Dashboard!$F$4) * _xlfn.NORM.S.INV(RAND())</f>
        <v>3.4012628946244496E-4</v>
      </c>
      <c r="U2096" s="59">
        <f ca="1">Dashboard!D$8* Dashboard!$F$4+Dashboard!D$10*SQRT(Dashboard!$F$4) * _xlfn.NORM.S.INV(RAND())</f>
        <v>-1.0179901458547368E-2</v>
      </c>
    </row>
    <row r="2097" spans="18:21" x14ac:dyDescent="0.2">
      <c r="R2097" s="49">
        <v>2095</v>
      </c>
      <c r="S2097" s="59">
        <f ca="1">Dashboard!B$8* Dashboard!$F$4+Dashboard!B$10*SQRT(Dashboard!$F$4) * _xlfn.NORM.S.INV(RAND())</f>
        <v>3.2633234305286252E-4</v>
      </c>
      <c r="T2097" s="59">
        <f ca="1">Dashboard!C$8* Dashboard!$F$4+Dashboard!C$10*SQRT(Dashboard!$F$4) * _xlfn.NORM.S.INV(RAND())</f>
        <v>-5.4952889323957615E-2</v>
      </c>
      <c r="U2097" s="59">
        <f ca="1">Dashboard!D$8* Dashboard!$F$4+Dashboard!D$10*SQRT(Dashboard!$F$4) * _xlfn.NORM.S.INV(RAND())</f>
        <v>6.385553518751556E-3</v>
      </c>
    </row>
    <row r="2098" spans="18:21" x14ac:dyDescent="0.2">
      <c r="R2098" s="49">
        <v>2096</v>
      </c>
      <c r="S2098" s="59">
        <f ca="1">Dashboard!B$8* Dashboard!$F$4+Dashboard!B$10*SQRT(Dashboard!$F$4) * _xlfn.NORM.S.INV(RAND())</f>
        <v>2.5115480964400756E-2</v>
      </c>
      <c r="T2098" s="59">
        <f ca="1">Dashboard!C$8* Dashboard!$F$4+Dashboard!C$10*SQRT(Dashboard!$F$4) * _xlfn.NORM.S.INV(RAND())</f>
        <v>-1.8313589786201973E-2</v>
      </c>
      <c r="U2098" s="59">
        <f ca="1">Dashboard!D$8* Dashboard!$F$4+Dashboard!D$10*SQRT(Dashboard!$F$4) * _xlfn.NORM.S.INV(RAND())</f>
        <v>-2.3520437998436092E-2</v>
      </c>
    </row>
    <row r="2099" spans="18:21" x14ac:dyDescent="0.2">
      <c r="R2099" s="49">
        <v>2097</v>
      </c>
      <c r="S2099" s="59">
        <f ca="1">Dashboard!B$8* Dashboard!$F$4+Dashboard!B$10*SQRT(Dashboard!$F$4) * _xlfn.NORM.S.INV(RAND())</f>
        <v>-6.3799858306060983E-2</v>
      </c>
      <c r="T2099" s="59">
        <f ca="1">Dashboard!C$8* Dashboard!$F$4+Dashboard!C$10*SQRT(Dashboard!$F$4) * _xlfn.NORM.S.INV(RAND())</f>
        <v>-5.5777299740543641E-3</v>
      </c>
      <c r="U2099" s="59">
        <f ca="1">Dashboard!D$8* Dashboard!$F$4+Dashboard!D$10*SQRT(Dashboard!$F$4) * _xlfn.NORM.S.INV(RAND())</f>
        <v>-1.5643917821413476E-2</v>
      </c>
    </row>
    <row r="2100" spans="18:21" x14ac:dyDescent="0.2">
      <c r="R2100" s="49">
        <v>2098</v>
      </c>
      <c r="S2100" s="59">
        <f ca="1">Dashboard!B$8* Dashboard!$F$4+Dashboard!B$10*SQRT(Dashboard!$F$4) * _xlfn.NORM.S.INV(RAND())</f>
        <v>1.0426875706615718E-2</v>
      </c>
      <c r="T2100" s="59">
        <f ca="1">Dashboard!C$8* Dashboard!$F$4+Dashboard!C$10*SQRT(Dashboard!$F$4) * _xlfn.NORM.S.INV(RAND())</f>
        <v>-6.2849639518717873E-2</v>
      </c>
      <c r="U2100" s="59">
        <f ca="1">Dashboard!D$8* Dashboard!$F$4+Dashboard!D$10*SQRT(Dashboard!$F$4) * _xlfn.NORM.S.INV(RAND())</f>
        <v>-1.2607334839934203E-2</v>
      </c>
    </row>
    <row r="2101" spans="18:21" x14ac:dyDescent="0.2">
      <c r="R2101" s="49">
        <v>2099</v>
      </c>
      <c r="S2101" s="59">
        <f ca="1">Dashboard!B$8* Dashboard!$F$4+Dashboard!B$10*SQRT(Dashboard!$F$4) * _xlfn.NORM.S.INV(RAND())</f>
        <v>-1.7522135494598134E-2</v>
      </c>
      <c r="T2101" s="59">
        <f ca="1">Dashboard!C$8* Dashboard!$F$4+Dashboard!C$10*SQRT(Dashboard!$F$4) * _xlfn.NORM.S.INV(RAND())</f>
        <v>-5.2301827939635039E-2</v>
      </c>
      <c r="U2101" s="59">
        <f ca="1">Dashboard!D$8* Dashboard!$F$4+Dashboard!D$10*SQRT(Dashboard!$F$4) * _xlfn.NORM.S.INV(RAND())</f>
        <v>2.5848727114861365E-2</v>
      </c>
    </row>
    <row r="2102" spans="18:21" x14ac:dyDescent="0.2">
      <c r="R2102" s="49">
        <v>2100</v>
      </c>
      <c r="S2102" s="59">
        <f ca="1">Dashboard!B$8* Dashboard!$F$4+Dashboard!B$10*SQRT(Dashboard!$F$4) * _xlfn.NORM.S.INV(RAND())</f>
        <v>2.8533712442442355E-3</v>
      </c>
      <c r="T2102" s="59">
        <f ca="1">Dashboard!C$8* Dashboard!$F$4+Dashboard!C$10*SQRT(Dashboard!$F$4) * _xlfn.NORM.S.INV(RAND())</f>
        <v>1.8480794568657227E-2</v>
      </c>
      <c r="U2102" s="59">
        <f ca="1">Dashboard!D$8* Dashboard!$F$4+Dashboard!D$10*SQRT(Dashboard!$F$4) * _xlfn.NORM.S.INV(RAND())</f>
        <v>-1.6594211784882476E-2</v>
      </c>
    </row>
    <row r="2103" spans="18:21" x14ac:dyDescent="0.2">
      <c r="R2103" s="49">
        <v>2101</v>
      </c>
      <c r="S2103" s="59">
        <f ca="1">Dashboard!B$8* Dashboard!$F$4+Dashboard!B$10*SQRT(Dashboard!$F$4) * _xlfn.NORM.S.INV(RAND())</f>
        <v>-1.9834241567512595E-2</v>
      </c>
      <c r="T2103" s="59">
        <f ca="1">Dashboard!C$8* Dashboard!$F$4+Dashboard!C$10*SQRT(Dashboard!$F$4) * _xlfn.NORM.S.INV(RAND())</f>
        <v>5.1200948351044433E-2</v>
      </c>
      <c r="U2103" s="59">
        <f ca="1">Dashboard!D$8* Dashboard!$F$4+Dashboard!D$10*SQRT(Dashboard!$F$4) * _xlfn.NORM.S.INV(RAND())</f>
        <v>-8.7564145239464814E-4</v>
      </c>
    </row>
    <row r="2104" spans="18:21" x14ac:dyDescent="0.2">
      <c r="R2104" s="49">
        <v>2102</v>
      </c>
      <c r="S2104" s="59">
        <f ca="1">Dashboard!B$8* Dashboard!$F$4+Dashboard!B$10*SQRT(Dashboard!$F$4) * _xlfn.NORM.S.INV(RAND())</f>
        <v>4.0941085068065361E-2</v>
      </c>
      <c r="T2104" s="59">
        <f ca="1">Dashboard!C$8* Dashboard!$F$4+Dashboard!C$10*SQRT(Dashboard!$F$4) * _xlfn.NORM.S.INV(RAND())</f>
        <v>-1.9931737214726287E-2</v>
      </c>
      <c r="U2104" s="59">
        <f ca="1">Dashboard!D$8* Dashboard!$F$4+Dashboard!D$10*SQRT(Dashboard!$F$4) * _xlfn.NORM.S.INV(RAND())</f>
        <v>2.551525686099335E-2</v>
      </c>
    </row>
    <row r="2105" spans="18:21" x14ac:dyDescent="0.2">
      <c r="R2105" s="49">
        <v>2103</v>
      </c>
      <c r="S2105" s="59">
        <f ca="1">Dashboard!B$8* Dashboard!$F$4+Dashboard!B$10*SQRT(Dashboard!$F$4) * _xlfn.NORM.S.INV(RAND())</f>
        <v>5.3951413578236292E-3</v>
      </c>
      <c r="T2105" s="59">
        <f ca="1">Dashboard!C$8* Dashboard!$F$4+Dashboard!C$10*SQRT(Dashboard!$F$4) * _xlfn.NORM.S.INV(RAND())</f>
        <v>4.2281785438987043E-2</v>
      </c>
      <c r="U2105" s="59">
        <f ca="1">Dashboard!D$8* Dashboard!$F$4+Dashboard!D$10*SQRT(Dashboard!$F$4) * _xlfn.NORM.S.INV(RAND())</f>
        <v>5.6742312864302355E-2</v>
      </c>
    </row>
    <row r="2106" spans="18:21" x14ac:dyDescent="0.2">
      <c r="R2106" s="49">
        <v>2104</v>
      </c>
      <c r="S2106" s="59">
        <f ca="1">Dashboard!B$8* Dashboard!$F$4+Dashboard!B$10*SQRT(Dashboard!$F$4) * _xlfn.NORM.S.INV(RAND())</f>
        <v>-8.8544937920131163E-3</v>
      </c>
      <c r="T2106" s="59">
        <f ca="1">Dashboard!C$8* Dashboard!$F$4+Dashboard!C$10*SQRT(Dashboard!$F$4) * _xlfn.NORM.S.INV(RAND())</f>
        <v>4.4161894824771619E-2</v>
      </c>
      <c r="U2106" s="59">
        <f ca="1">Dashboard!D$8* Dashboard!$F$4+Dashboard!D$10*SQRT(Dashboard!$F$4) * _xlfn.NORM.S.INV(RAND())</f>
        <v>-1.5299794485486759E-2</v>
      </c>
    </row>
    <row r="2107" spans="18:21" x14ac:dyDescent="0.2">
      <c r="R2107" s="49">
        <v>2105</v>
      </c>
      <c r="S2107" s="59">
        <f ca="1">Dashboard!B$8* Dashboard!$F$4+Dashboard!B$10*SQRT(Dashboard!$F$4) * _xlfn.NORM.S.INV(RAND())</f>
        <v>-1.6103527826839388E-2</v>
      </c>
      <c r="T2107" s="59">
        <f ca="1">Dashboard!C$8* Dashboard!$F$4+Dashboard!C$10*SQRT(Dashboard!$F$4) * _xlfn.NORM.S.INV(RAND())</f>
        <v>-1.2346846017311917E-2</v>
      </c>
      <c r="U2107" s="59">
        <f ca="1">Dashboard!D$8* Dashboard!$F$4+Dashboard!D$10*SQRT(Dashboard!$F$4) * _xlfn.NORM.S.INV(RAND())</f>
        <v>2.1053298671117271E-2</v>
      </c>
    </row>
    <row r="2108" spans="18:21" x14ac:dyDescent="0.2">
      <c r="R2108" s="49">
        <v>2106</v>
      </c>
      <c r="S2108" s="59">
        <f ca="1">Dashboard!B$8* Dashboard!$F$4+Dashboard!B$10*SQRT(Dashboard!$F$4) * _xlfn.NORM.S.INV(RAND())</f>
        <v>1.4311397657849525E-3</v>
      </c>
      <c r="T2108" s="59">
        <f ca="1">Dashboard!C$8* Dashboard!$F$4+Dashboard!C$10*SQRT(Dashboard!$F$4) * _xlfn.NORM.S.INV(RAND())</f>
        <v>3.2748118535594034E-2</v>
      </c>
      <c r="U2108" s="59">
        <f ca="1">Dashboard!D$8* Dashboard!$F$4+Dashboard!D$10*SQRT(Dashboard!$F$4) * _xlfn.NORM.S.INV(RAND())</f>
        <v>5.85248166843352E-2</v>
      </c>
    </row>
    <row r="2109" spans="18:21" x14ac:dyDescent="0.2">
      <c r="R2109" s="49">
        <v>2107</v>
      </c>
      <c r="S2109" s="59">
        <f ca="1">Dashboard!B$8* Dashboard!$F$4+Dashboard!B$10*SQRT(Dashboard!$F$4) * _xlfn.NORM.S.INV(RAND())</f>
        <v>-3.130101396429022E-2</v>
      </c>
      <c r="T2109" s="59">
        <f ca="1">Dashboard!C$8* Dashboard!$F$4+Dashboard!C$10*SQRT(Dashboard!$F$4) * _xlfn.NORM.S.INV(RAND())</f>
        <v>-7.1772476667347374E-2</v>
      </c>
      <c r="U2109" s="59">
        <f ca="1">Dashboard!D$8* Dashboard!$F$4+Dashboard!D$10*SQRT(Dashboard!$F$4) * _xlfn.NORM.S.INV(RAND())</f>
        <v>3.1490533022030184E-2</v>
      </c>
    </row>
    <row r="2110" spans="18:21" x14ac:dyDescent="0.2">
      <c r="R2110" s="49">
        <v>2108</v>
      </c>
      <c r="S2110" s="59">
        <f ca="1">Dashboard!B$8* Dashboard!$F$4+Dashboard!B$10*SQRT(Dashboard!$F$4) * _xlfn.NORM.S.INV(RAND())</f>
        <v>2.1367000496798169E-2</v>
      </c>
      <c r="T2110" s="59">
        <f ca="1">Dashboard!C$8* Dashboard!$F$4+Dashboard!C$10*SQRT(Dashboard!$F$4) * _xlfn.NORM.S.INV(RAND())</f>
        <v>-5.8697560593031226E-3</v>
      </c>
      <c r="U2110" s="59">
        <f ca="1">Dashboard!D$8* Dashboard!$F$4+Dashboard!D$10*SQRT(Dashboard!$F$4) * _xlfn.NORM.S.INV(RAND())</f>
        <v>3.6045114420140021E-3</v>
      </c>
    </row>
    <row r="2111" spans="18:21" x14ac:dyDescent="0.2">
      <c r="R2111" s="49">
        <v>2109</v>
      </c>
      <c r="S2111" s="59">
        <f ca="1">Dashboard!B$8* Dashboard!$F$4+Dashboard!B$10*SQRT(Dashboard!$F$4) * _xlfn.NORM.S.INV(RAND())</f>
        <v>2.5360126536599567E-2</v>
      </c>
      <c r="T2111" s="59">
        <f ca="1">Dashboard!C$8* Dashboard!$F$4+Dashboard!C$10*SQRT(Dashboard!$F$4) * _xlfn.NORM.S.INV(RAND())</f>
        <v>-1.6932481089254318E-2</v>
      </c>
      <c r="U2111" s="59">
        <f ca="1">Dashboard!D$8* Dashboard!$F$4+Dashboard!D$10*SQRT(Dashboard!$F$4) * _xlfn.NORM.S.INV(RAND())</f>
        <v>1.0067637664647017E-2</v>
      </c>
    </row>
    <row r="2112" spans="18:21" x14ac:dyDescent="0.2">
      <c r="R2112" s="49">
        <v>2110</v>
      </c>
      <c r="S2112" s="59">
        <f ca="1">Dashboard!B$8* Dashboard!$F$4+Dashboard!B$10*SQRT(Dashboard!$F$4) * _xlfn.NORM.S.INV(RAND())</f>
        <v>-1.4330278476741835E-2</v>
      </c>
      <c r="T2112" s="59">
        <f ca="1">Dashboard!C$8* Dashboard!$F$4+Dashboard!C$10*SQRT(Dashboard!$F$4) * _xlfn.NORM.S.INV(RAND())</f>
        <v>3.5394647100665345E-2</v>
      </c>
      <c r="U2112" s="59">
        <f ca="1">Dashboard!D$8* Dashboard!$F$4+Dashboard!D$10*SQRT(Dashboard!$F$4) * _xlfn.NORM.S.INV(RAND())</f>
        <v>-2.8841707173228887E-2</v>
      </c>
    </row>
    <row r="2113" spans="18:21" x14ac:dyDescent="0.2">
      <c r="R2113" s="49">
        <v>2111</v>
      </c>
      <c r="S2113" s="59">
        <f ca="1">Dashboard!B$8* Dashboard!$F$4+Dashboard!B$10*SQRT(Dashboard!$F$4) * _xlfn.NORM.S.INV(RAND())</f>
        <v>-3.051224847611847E-2</v>
      </c>
      <c r="T2113" s="59">
        <f ca="1">Dashboard!C$8* Dashboard!$F$4+Dashboard!C$10*SQRT(Dashboard!$F$4) * _xlfn.NORM.S.INV(RAND())</f>
        <v>-7.4201186937030955E-2</v>
      </c>
      <c r="U2113" s="59">
        <f ca="1">Dashboard!D$8* Dashboard!$F$4+Dashboard!D$10*SQRT(Dashboard!$F$4) * _xlfn.NORM.S.INV(RAND())</f>
        <v>4.4099728906436403E-2</v>
      </c>
    </row>
    <row r="2114" spans="18:21" x14ac:dyDescent="0.2">
      <c r="R2114" s="49">
        <v>2112</v>
      </c>
      <c r="S2114" s="59">
        <f ca="1">Dashboard!B$8* Dashboard!$F$4+Dashboard!B$10*SQRT(Dashboard!$F$4) * _xlfn.NORM.S.INV(RAND())</f>
        <v>5.672598679576403E-3</v>
      </c>
      <c r="T2114" s="59">
        <f ca="1">Dashboard!C$8* Dashboard!$F$4+Dashboard!C$10*SQRT(Dashboard!$F$4) * _xlfn.NORM.S.INV(RAND())</f>
        <v>-2.6500729524218579E-2</v>
      </c>
      <c r="U2114" s="59">
        <f ca="1">Dashboard!D$8* Dashboard!$F$4+Dashboard!D$10*SQRT(Dashboard!$F$4) * _xlfn.NORM.S.INV(RAND())</f>
        <v>1.3923091691424761E-3</v>
      </c>
    </row>
    <row r="2115" spans="18:21" x14ac:dyDescent="0.2">
      <c r="R2115" s="49">
        <v>2113</v>
      </c>
      <c r="S2115" s="59">
        <f ca="1">Dashboard!B$8* Dashboard!$F$4+Dashboard!B$10*SQRT(Dashboard!$F$4) * _xlfn.NORM.S.INV(RAND())</f>
        <v>-1.9260795646197482E-2</v>
      </c>
      <c r="T2115" s="59">
        <f ca="1">Dashboard!C$8* Dashboard!$F$4+Dashboard!C$10*SQRT(Dashboard!$F$4) * _xlfn.NORM.S.INV(RAND())</f>
        <v>3.0820236814117601E-3</v>
      </c>
      <c r="U2115" s="59">
        <f ca="1">Dashboard!D$8* Dashboard!$F$4+Dashboard!D$10*SQRT(Dashboard!$F$4) * _xlfn.NORM.S.INV(RAND())</f>
        <v>1.475667541517881E-2</v>
      </c>
    </row>
    <row r="2116" spans="18:21" x14ac:dyDescent="0.2">
      <c r="R2116" s="49">
        <v>2114</v>
      </c>
      <c r="S2116" s="59">
        <f ca="1">Dashboard!B$8* Dashboard!$F$4+Dashboard!B$10*SQRT(Dashboard!$F$4) * _xlfn.NORM.S.INV(RAND())</f>
        <v>-3.8488192115415563E-2</v>
      </c>
      <c r="T2116" s="59">
        <f ca="1">Dashboard!C$8* Dashboard!$F$4+Dashboard!C$10*SQRT(Dashboard!$F$4) * _xlfn.NORM.S.INV(RAND())</f>
        <v>-1.6318773550087855E-2</v>
      </c>
      <c r="U2116" s="59">
        <f ca="1">Dashboard!D$8* Dashboard!$F$4+Dashboard!D$10*SQRT(Dashboard!$F$4) * _xlfn.NORM.S.INV(RAND())</f>
        <v>-2.3812649554423054E-2</v>
      </c>
    </row>
    <row r="2117" spans="18:21" x14ac:dyDescent="0.2">
      <c r="R2117" s="49">
        <v>2115</v>
      </c>
      <c r="S2117" s="59">
        <f ca="1">Dashboard!B$8* Dashboard!$F$4+Dashboard!B$10*SQRT(Dashboard!$F$4) * _xlfn.NORM.S.INV(RAND())</f>
        <v>1.7336747147186402E-2</v>
      </c>
      <c r="T2117" s="59">
        <f ca="1">Dashboard!C$8* Dashboard!$F$4+Dashboard!C$10*SQRT(Dashboard!$F$4) * _xlfn.NORM.S.INV(RAND())</f>
        <v>-5.0449962754572052E-2</v>
      </c>
      <c r="U2117" s="59">
        <f ca="1">Dashboard!D$8* Dashboard!$F$4+Dashboard!D$10*SQRT(Dashboard!$F$4) * _xlfn.NORM.S.INV(RAND())</f>
        <v>-1.1230281518181536E-2</v>
      </c>
    </row>
    <row r="2118" spans="18:21" x14ac:dyDescent="0.2">
      <c r="R2118" s="49">
        <v>2116</v>
      </c>
      <c r="S2118" s="59">
        <f ca="1">Dashboard!B$8* Dashboard!$F$4+Dashboard!B$10*SQRT(Dashboard!$F$4) * _xlfn.NORM.S.INV(RAND())</f>
        <v>1.1362520680659705E-2</v>
      </c>
      <c r="T2118" s="59">
        <f ca="1">Dashboard!C$8* Dashboard!$F$4+Dashboard!C$10*SQRT(Dashboard!$F$4) * _xlfn.NORM.S.INV(RAND())</f>
        <v>2.5370800543322396E-2</v>
      </c>
      <c r="U2118" s="59">
        <f ca="1">Dashboard!D$8* Dashboard!$F$4+Dashboard!D$10*SQRT(Dashboard!$F$4) * _xlfn.NORM.S.INV(RAND())</f>
        <v>1.4917399101794385E-2</v>
      </c>
    </row>
    <row r="2119" spans="18:21" x14ac:dyDescent="0.2">
      <c r="R2119" s="49">
        <v>2117</v>
      </c>
      <c r="S2119" s="59">
        <f ca="1">Dashboard!B$8* Dashboard!$F$4+Dashboard!B$10*SQRT(Dashboard!$F$4) * _xlfn.NORM.S.INV(RAND())</f>
        <v>7.5803828996933408E-3</v>
      </c>
      <c r="T2119" s="59">
        <f ca="1">Dashboard!C$8* Dashboard!$F$4+Dashboard!C$10*SQRT(Dashboard!$F$4) * _xlfn.NORM.S.INV(RAND())</f>
        <v>3.5855823671091104E-3</v>
      </c>
      <c r="U2119" s="59">
        <f ca="1">Dashboard!D$8* Dashboard!$F$4+Dashboard!D$10*SQRT(Dashboard!$F$4) * _xlfn.NORM.S.INV(RAND())</f>
        <v>4.1689911479627931E-2</v>
      </c>
    </row>
    <row r="2120" spans="18:21" x14ac:dyDescent="0.2">
      <c r="R2120" s="49">
        <v>2118</v>
      </c>
      <c r="S2120" s="59">
        <f ca="1">Dashboard!B$8* Dashboard!$F$4+Dashboard!B$10*SQRT(Dashboard!$F$4) * _xlfn.NORM.S.INV(RAND())</f>
        <v>-1.5056554432762442E-2</v>
      </c>
      <c r="T2120" s="59">
        <f ca="1">Dashboard!C$8* Dashboard!$F$4+Dashboard!C$10*SQRT(Dashboard!$F$4) * _xlfn.NORM.S.INV(RAND())</f>
        <v>1.9824036685193825E-2</v>
      </c>
      <c r="U2120" s="59">
        <f ca="1">Dashboard!D$8* Dashboard!$F$4+Dashboard!D$10*SQRT(Dashboard!$F$4) * _xlfn.NORM.S.INV(RAND())</f>
        <v>3.7104714816011443E-2</v>
      </c>
    </row>
    <row r="2121" spans="18:21" x14ac:dyDescent="0.2">
      <c r="R2121" s="49">
        <v>2119</v>
      </c>
      <c r="S2121" s="59">
        <f ca="1">Dashboard!B$8* Dashboard!$F$4+Dashboard!B$10*SQRT(Dashboard!$F$4) * _xlfn.NORM.S.INV(RAND())</f>
        <v>-2.3639810289235882E-2</v>
      </c>
      <c r="T2121" s="59">
        <f ca="1">Dashboard!C$8* Dashboard!$F$4+Dashboard!C$10*SQRT(Dashboard!$F$4) * _xlfn.NORM.S.INV(RAND())</f>
        <v>-6.0993331298144189E-3</v>
      </c>
      <c r="U2121" s="59">
        <f ca="1">Dashboard!D$8* Dashboard!$F$4+Dashboard!D$10*SQRT(Dashboard!$F$4) * _xlfn.NORM.S.INV(RAND())</f>
        <v>-1.0322868360823887E-2</v>
      </c>
    </row>
    <row r="2122" spans="18:21" x14ac:dyDescent="0.2">
      <c r="R2122" s="49">
        <v>2120</v>
      </c>
      <c r="S2122" s="59">
        <f ca="1">Dashboard!B$8* Dashboard!$F$4+Dashboard!B$10*SQRT(Dashboard!$F$4) * _xlfn.NORM.S.INV(RAND())</f>
        <v>5.6831725609077389E-3</v>
      </c>
      <c r="T2122" s="59">
        <f ca="1">Dashboard!C$8* Dashboard!$F$4+Dashboard!C$10*SQRT(Dashboard!$F$4) * _xlfn.NORM.S.INV(RAND())</f>
        <v>-1.2722489604429829E-2</v>
      </c>
      <c r="U2122" s="59">
        <f ca="1">Dashboard!D$8* Dashboard!$F$4+Dashboard!D$10*SQRT(Dashboard!$F$4) * _xlfn.NORM.S.INV(RAND())</f>
        <v>-2.4755338865083701E-2</v>
      </c>
    </row>
    <row r="2123" spans="18:21" x14ac:dyDescent="0.2">
      <c r="R2123" s="49">
        <v>2121</v>
      </c>
      <c r="S2123" s="59">
        <f ca="1">Dashboard!B$8* Dashboard!$F$4+Dashboard!B$10*SQRT(Dashboard!$F$4) * _xlfn.NORM.S.INV(RAND())</f>
        <v>-3.549836756571912E-2</v>
      </c>
      <c r="T2123" s="59">
        <f ca="1">Dashboard!C$8* Dashboard!$F$4+Dashboard!C$10*SQRT(Dashboard!$F$4) * _xlfn.NORM.S.INV(RAND())</f>
        <v>1.1975744995972874E-2</v>
      </c>
      <c r="U2123" s="59">
        <f ca="1">Dashboard!D$8* Dashboard!$F$4+Dashboard!D$10*SQRT(Dashboard!$F$4) * _xlfn.NORM.S.INV(RAND())</f>
        <v>4.2268903219666362E-3</v>
      </c>
    </row>
    <row r="2124" spans="18:21" x14ac:dyDescent="0.2">
      <c r="R2124" s="49">
        <v>2122</v>
      </c>
      <c r="S2124" s="59">
        <f ca="1">Dashboard!B$8* Dashboard!$F$4+Dashboard!B$10*SQRT(Dashboard!$F$4) * _xlfn.NORM.S.INV(RAND())</f>
        <v>2.6570757919043515E-2</v>
      </c>
      <c r="T2124" s="59">
        <f ca="1">Dashboard!C$8* Dashboard!$F$4+Dashboard!C$10*SQRT(Dashboard!$F$4) * _xlfn.NORM.S.INV(RAND())</f>
        <v>4.2442237411096297E-2</v>
      </c>
      <c r="U2124" s="59">
        <f ca="1">Dashboard!D$8* Dashboard!$F$4+Dashboard!D$10*SQRT(Dashboard!$F$4) * _xlfn.NORM.S.INV(RAND())</f>
        <v>9.2302804566552279E-3</v>
      </c>
    </row>
    <row r="2125" spans="18:21" x14ac:dyDescent="0.2">
      <c r="R2125" s="49">
        <v>2123</v>
      </c>
      <c r="S2125" s="59">
        <f ca="1">Dashboard!B$8* Dashboard!$F$4+Dashboard!B$10*SQRT(Dashboard!$F$4) * _xlfn.NORM.S.INV(RAND())</f>
        <v>8.2520877147784388E-2</v>
      </c>
      <c r="T2125" s="59">
        <f ca="1">Dashboard!C$8* Dashboard!$F$4+Dashboard!C$10*SQRT(Dashboard!$F$4) * _xlfn.NORM.S.INV(RAND())</f>
        <v>-4.6607112079769024E-2</v>
      </c>
      <c r="U2125" s="59">
        <f ca="1">Dashboard!D$8* Dashboard!$F$4+Dashboard!D$10*SQRT(Dashboard!$F$4) * _xlfn.NORM.S.INV(RAND())</f>
        <v>-5.1695291083573E-2</v>
      </c>
    </row>
    <row r="2126" spans="18:21" x14ac:dyDescent="0.2">
      <c r="R2126" s="49">
        <v>2124</v>
      </c>
      <c r="S2126" s="59">
        <f ca="1">Dashboard!B$8* Dashboard!$F$4+Dashboard!B$10*SQRT(Dashboard!$F$4) * _xlfn.NORM.S.INV(RAND())</f>
        <v>3.1044886169355752E-2</v>
      </c>
      <c r="T2126" s="59">
        <f ca="1">Dashboard!C$8* Dashboard!$F$4+Dashboard!C$10*SQRT(Dashboard!$F$4) * _xlfn.NORM.S.INV(RAND())</f>
        <v>1.8092371390137957E-3</v>
      </c>
      <c r="U2126" s="59">
        <f ca="1">Dashboard!D$8* Dashboard!$F$4+Dashboard!D$10*SQRT(Dashboard!$F$4) * _xlfn.NORM.S.INV(RAND())</f>
        <v>-1.0391562952076062E-2</v>
      </c>
    </row>
    <row r="2127" spans="18:21" x14ac:dyDescent="0.2">
      <c r="R2127" s="49">
        <v>2125</v>
      </c>
      <c r="S2127" s="59">
        <f ca="1">Dashboard!B$8* Dashboard!$F$4+Dashboard!B$10*SQRT(Dashboard!$F$4) * _xlfn.NORM.S.INV(RAND())</f>
        <v>-4.7938116549018231E-3</v>
      </c>
      <c r="T2127" s="59">
        <f ca="1">Dashboard!C$8* Dashboard!$F$4+Dashboard!C$10*SQRT(Dashboard!$F$4) * _xlfn.NORM.S.INV(RAND())</f>
        <v>-1.69662809651514E-2</v>
      </c>
      <c r="U2127" s="59">
        <f ca="1">Dashboard!D$8* Dashboard!$F$4+Dashboard!D$10*SQRT(Dashboard!$F$4) * _xlfn.NORM.S.INV(RAND())</f>
        <v>5.5605350496555135E-2</v>
      </c>
    </row>
    <row r="2128" spans="18:21" x14ac:dyDescent="0.2">
      <c r="R2128" s="49">
        <v>2126</v>
      </c>
      <c r="S2128" s="59">
        <f ca="1">Dashboard!B$8* Dashboard!$F$4+Dashboard!B$10*SQRT(Dashboard!$F$4) * _xlfn.NORM.S.INV(RAND())</f>
        <v>-3.3594336357689047E-2</v>
      </c>
      <c r="T2128" s="59">
        <f ca="1">Dashboard!C$8* Dashboard!$F$4+Dashboard!C$10*SQRT(Dashboard!$F$4) * _xlfn.NORM.S.INV(RAND())</f>
        <v>1.255963166442043E-2</v>
      </c>
      <c r="U2128" s="59">
        <f ca="1">Dashboard!D$8* Dashboard!$F$4+Dashboard!D$10*SQRT(Dashboard!$F$4) * _xlfn.NORM.S.INV(RAND())</f>
        <v>-1.7458706684052056E-2</v>
      </c>
    </row>
    <row r="2129" spans="18:21" x14ac:dyDescent="0.2">
      <c r="R2129" s="49">
        <v>2127</v>
      </c>
      <c r="S2129" s="59">
        <f ca="1">Dashboard!B$8* Dashboard!$F$4+Dashboard!B$10*SQRT(Dashboard!$F$4) * _xlfn.NORM.S.INV(RAND())</f>
        <v>2.1037148911803236E-2</v>
      </c>
      <c r="T2129" s="59">
        <f ca="1">Dashboard!C$8* Dashboard!$F$4+Dashboard!C$10*SQRT(Dashboard!$F$4) * _xlfn.NORM.S.INV(RAND())</f>
        <v>-4.4442814901839633E-3</v>
      </c>
      <c r="U2129" s="59">
        <f ca="1">Dashboard!D$8* Dashboard!$F$4+Dashboard!D$10*SQRT(Dashboard!$F$4) * _xlfn.NORM.S.INV(RAND())</f>
        <v>-1.3562181588207409E-2</v>
      </c>
    </row>
    <row r="2130" spans="18:21" x14ac:dyDescent="0.2">
      <c r="R2130" s="49">
        <v>2128</v>
      </c>
      <c r="S2130" s="59">
        <f ca="1">Dashboard!B$8* Dashboard!$F$4+Dashboard!B$10*SQRT(Dashboard!$F$4) * _xlfn.NORM.S.INV(RAND())</f>
        <v>-8.7363691115461672E-3</v>
      </c>
      <c r="T2130" s="59">
        <f ca="1">Dashboard!C$8* Dashboard!$F$4+Dashboard!C$10*SQRT(Dashboard!$F$4) * _xlfn.NORM.S.INV(RAND())</f>
        <v>-1.881735377836526E-2</v>
      </c>
      <c r="U2130" s="59">
        <f ca="1">Dashboard!D$8* Dashboard!$F$4+Dashboard!D$10*SQRT(Dashboard!$F$4) * _xlfn.NORM.S.INV(RAND())</f>
        <v>-7.4093847260485119E-3</v>
      </c>
    </row>
    <row r="2131" spans="18:21" x14ac:dyDescent="0.2">
      <c r="R2131" s="49">
        <v>2129</v>
      </c>
      <c r="S2131" s="59">
        <f ca="1">Dashboard!B$8* Dashboard!$F$4+Dashboard!B$10*SQRT(Dashboard!$F$4) * _xlfn.NORM.S.INV(RAND())</f>
        <v>-5.1005352004201056E-3</v>
      </c>
      <c r="T2131" s="59">
        <f ca="1">Dashboard!C$8* Dashboard!$F$4+Dashboard!C$10*SQRT(Dashboard!$F$4) * _xlfn.NORM.S.INV(RAND())</f>
        <v>4.4740213389089442E-2</v>
      </c>
      <c r="U2131" s="59">
        <f ca="1">Dashboard!D$8* Dashboard!$F$4+Dashboard!D$10*SQRT(Dashboard!$F$4) * _xlfn.NORM.S.INV(RAND())</f>
        <v>9.1394413754262343E-4</v>
      </c>
    </row>
    <row r="2132" spans="18:21" x14ac:dyDescent="0.2">
      <c r="R2132" s="49">
        <v>2130</v>
      </c>
      <c r="S2132" s="59">
        <f ca="1">Dashboard!B$8* Dashboard!$F$4+Dashboard!B$10*SQRT(Dashboard!$F$4) * _xlfn.NORM.S.INV(RAND())</f>
        <v>-6.8010460006104178E-3</v>
      </c>
      <c r="T2132" s="59">
        <f ca="1">Dashboard!C$8* Dashboard!$F$4+Dashboard!C$10*SQRT(Dashboard!$F$4) * _xlfn.NORM.S.INV(RAND())</f>
        <v>3.2527411315861942E-3</v>
      </c>
      <c r="U2132" s="59">
        <f ca="1">Dashboard!D$8* Dashboard!$F$4+Dashboard!D$10*SQRT(Dashboard!$F$4) * _xlfn.NORM.S.INV(RAND())</f>
        <v>7.6855946401510524E-3</v>
      </c>
    </row>
    <row r="2133" spans="18:21" x14ac:dyDescent="0.2">
      <c r="R2133" s="49">
        <v>2131</v>
      </c>
      <c r="S2133" s="59">
        <f ca="1">Dashboard!B$8* Dashboard!$F$4+Dashboard!B$10*SQRT(Dashboard!$F$4) * _xlfn.NORM.S.INV(RAND())</f>
        <v>-4.9692971195809101E-2</v>
      </c>
      <c r="T2133" s="59">
        <f ca="1">Dashboard!C$8* Dashboard!$F$4+Dashboard!C$10*SQRT(Dashboard!$F$4) * _xlfn.NORM.S.INV(RAND())</f>
        <v>2.8779996872582744E-2</v>
      </c>
      <c r="U2133" s="59">
        <f ca="1">Dashboard!D$8* Dashboard!$F$4+Dashboard!D$10*SQRT(Dashboard!$F$4) * _xlfn.NORM.S.INV(RAND())</f>
        <v>-3.5546545057531846E-2</v>
      </c>
    </row>
    <row r="2134" spans="18:21" x14ac:dyDescent="0.2">
      <c r="R2134" s="49">
        <v>2132</v>
      </c>
      <c r="S2134" s="59">
        <f ca="1">Dashboard!B$8* Dashboard!$F$4+Dashboard!B$10*SQRT(Dashboard!$F$4) * _xlfn.NORM.S.INV(RAND())</f>
        <v>-1.5986818243218945E-2</v>
      </c>
      <c r="T2134" s="59">
        <f ca="1">Dashboard!C$8* Dashboard!$F$4+Dashboard!C$10*SQRT(Dashboard!$F$4) * _xlfn.NORM.S.INV(RAND())</f>
        <v>4.191601383779945E-2</v>
      </c>
      <c r="U2134" s="59">
        <f ca="1">Dashboard!D$8* Dashboard!$F$4+Dashboard!D$10*SQRT(Dashboard!$F$4) * _xlfn.NORM.S.INV(RAND())</f>
        <v>-3.6602412046120525E-2</v>
      </c>
    </row>
    <row r="2135" spans="18:21" x14ac:dyDescent="0.2">
      <c r="R2135" s="49">
        <v>2133</v>
      </c>
      <c r="S2135" s="59">
        <f ca="1">Dashboard!B$8* Dashboard!$F$4+Dashboard!B$10*SQRT(Dashboard!$F$4) * _xlfn.NORM.S.INV(RAND())</f>
        <v>4.2287063492911E-3</v>
      </c>
      <c r="T2135" s="59">
        <f ca="1">Dashboard!C$8* Dashboard!$F$4+Dashboard!C$10*SQRT(Dashboard!$F$4) * _xlfn.NORM.S.INV(RAND())</f>
        <v>1.2973172106803987E-2</v>
      </c>
      <c r="U2135" s="59">
        <f ca="1">Dashboard!D$8* Dashboard!$F$4+Dashboard!D$10*SQRT(Dashboard!$F$4) * _xlfn.NORM.S.INV(RAND())</f>
        <v>-4.457482023441587E-2</v>
      </c>
    </row>
    <row r="2136" spans="18:21" x14ac:dyDescent="0.2">
      <c r="R2136" s="49">
        <v>2134</v>
      </c>
      <c r="S2136" s="59">
        <f ca="1">Dashboard!B$8* Dashboard!$F$4+Dashboard!B$10*SQRT(Dashboard!$F$4) * _xlfn.NORM.S.INV(RAND())</f>
        <v>-2.0967467902164125E-2</v>
      </c>
      <c r="T2136" s="59">
        <f ca="1">Dashboard!C$8* Dashboard!$F$4+Dashboard!C$10*SQRT(Dashboard!$F$4) * _xlfn.NORM.S.INV(RAND())</f>
        <v>5.0700688437569183E-2</v>
      </c>
      <c r="U2136" s="59">
        <f ca="1">Dashboard!D$8* Dashboard!$F$4+Dashboard!D$10*SQRT(Dashboard!$F$4) * _xlfn.NORM.S.INV(RAND())</f>
        <v>-1.9799353718498981E-2</v>
      </c>
    </row>
    <row r="2137" spans="18:21" x14ac:dyDescent="0.2">
      <c r="R2137" s="49">
        <v>2135</v>
      </c>
      <c r="S2137" s="59">
        <f ca="1">Dashboard!B$8* Dashboard!$F$4+Dashboard!B$10*SQRT(Dashboard!$F$4) * _xlfn.NORM.S.INV(RAND())</f>
        <v>5.9354685805059523E-2</v>
      </c>
      <c r="T2137" s="59">
        <f ca="1">Dashboard!C$8* Dashboard!$F$4+Dashboard!C$10*SQRT(Dashboard!$F$4) * _xlfn.NORM.S.INV(RAND())</f>
        <v>3.0276992758658409E-2</v>
      </c>
      <c r="U2137" s="59">
        <f ca="1">Dashboard!D$8* Dashboard!$F$4+Dashboard!D$10*SQRT(Dashboard!$F$4) * _xlfn.NORM.S.INV(RAND())</f>
        <v>-2.5091349167268403E-2</v>
      </c>
    </row>
    <row r="2138" spans="18:21" x14ac:dyDescent="0.2">
      <c r="R2138" s="49">
        <v>2136</v>
      </c>
      <c r="S2138" s="59">
        <f ca="1">Dashboard!B$8* Dashboard!$F$4+Dashboard!B$10*SQRT(Dashboard!$F$4) * _xlfn.NORM.S.INV(RAND())</f>
        <v>-8.0878541801602116E-3</v>
      </c>
      <c r="T2138" s="59">
        <f ca="1">Dashboard!C$8* Dashboard!$F$4+Dashboard!C$10*SQRT(Dashboard!$F$4) * _xlfn.NORM.S.INV(RAND())</f>
        <v>-5.9307340405441574E-3</v>
      </c>
      <c r="U2138" s="59">
        <f ca="1">Dashboard!D$8* Dashboard!$F$4+Dashboard!D$10*SQRT(Dashboard!$F$4) * _xlfn.NORM.S.INV(RAND())</f>
        <v>-1.6447244881096859E-3</v>
      </c>
    </row>
    <row r="2139" spans="18:21" x14ac:dyDescent="0.2">
      <c r="R2139" s="49">
        <v>2137</v>
      </c>
      <c r="S2139" s="59">
        <f ca="1">Dashboard!B$8* Dashboard!$F$4+Dashboard!B$10*SQRT(Dashboard!$F$4) * _xlfn.NORM.S.INV(RAND())</f>
        <v>4.1198157306271743E-2</v>
      </c>
      <c r="T2139" s="59">
        <f ca="1">Dashboard!C$8* Dashboard!$F$4+Dashboard!C$10*SQRT(Dashboard!$F$4) * _xlfn.NORM.S.INV(RAND())</f>
        <v>-4.2644047072799431E-2</v>
      </c>
      <c r="U2139" s="59">
        <f ca="1">Dashboard!D$8* Dashboard!$F$4+Dashboard!D$10*SQRT(Dashboard!$F$4) * _xlfn.NORM.S.INV(RAND())</f>
        <v>3.7803484048230147E-2</v>
      </c>
    </row>
    <row r="2140" spans="18:21" x14ac:dyDescent="0.2">
      <c r="R2140" s="49">
        <v>2138</v>
      </c>
      <c r="S2140" s="59">
        <f ca="1">Dashboard!B$8* Dashboard!$F$4+Dashboard!B$10*SQRT(Dashboard!$F$4) * _xlfn.NORM.S.INV(RAND())</f>
        <v>-9.8202938149998548E-3</v>
      </c>
      <c r="T2140" s="59">
        <f ca="1">Dashboard!C$8* Dashboard!$F$4+Dashboard!C$10*SQRT(Dashboard!$F$4) * _xlfn.NORM.S.INV(RAND())</f>
        <v>-2.4844925581051395E-2</v>
      </c>
      <c r="U2140" s="59">
        <f ca="1">Dashboard!D$8* Dashboard!$F$4+Dashboard!D$10*SQRT(Dashboard!$F$4) * _xlfn.NORM.S.INV(RAND())</f>
        <v>5.9018477868426171E-3</v>
      </c>
    </row>
    <row r="2141" spans="18:21" x14ac:dyDescent="0.2">
      <c r="R2141" s="49">
        <v>2139</v>
      </c>
      <c r="S2141" s="59">
        <f ca="1">Dashboard!B$8* Dashboard!$F$4+Dashboard!B$10*SQRT(Dashboard!$F$4) * _xlfn.NORM.S.INV(RAND())</f>
        <v>-4.6923712096187793E-2</v>
      </c>
      <c r="T2141" s="59">
        <f ca="1">Dashboard!C$8* Dashboard!$F$4+Dashboard!C$10*SQRT(Dashboard!$F$4) * _xlfn.NORM.S.INV(RAND())</f>
        <v>-2.694307796813439E-3</v>
      </c>
      <c r="U2141" s="59">
        <f ca="1">Dashboard!D$8* Dashboard!$F$4+Dashboard!D$10*SQRT(Dashboard!$F$4) * _xlfn.NORM.S.INV(RAND())</f>
        <v>-1.0904045819049316E-2</v>
      </c>
    </row>
    <row r="2142" spans="18:21" x14ac:dyDescent="0.2">
      <c r="R2142" s="49">
        <v>2140</v>
      </c>
      <c r="S2142" s="59">
        <f ca="1">Dashboard!B$8* Dashboard!$F$4+Dashboard!B$10*SQRT(Dashboard!$F$4) * _xlfn.NORM.S.INV(RAND())</f>
        <v>6.7581034748024557E-3</v>
      </c>
      <c r="T2142" s="59">
        <f ca="1">Dashboard!C$8* Dashboard!$F$4+Dashboard!C$10*SQRT(Dashboard!$F$4) * _xlfn.NORM.S.INV(RAND())</f>
        <v>-3.2597125037355417E-3</v>
      </c>
      <c r="U2142" s="59">
        <f ca="1">Dashboard!D$8* Dashboard!$F$4+Dashboard!D$10*SQRT(Dashboard!$F$4) * _xlfn.NORM.S.INV(RAND())</f>
        <v>-2.5076974750558721E-2</v>
      </c>
    </row>
    <row r="2143" spans="18:21" x14ac:dyDescent="0.2">
      <c r="R2143" s="49">
        <v>2141</v>
      </c>
      <c r="S2143" s="59">
        <f ca="1">Dashboard!B$8* Dashboard!$F$4+Dashboard!B$10*SQRT(Dashboard!$F$4) * _xlfn.NORM.S.INV(RAND())</f>
        <v>3.1492610542546963E-2</v>
      </c>
      <c r="T2143" s="59">
        <f ca="1">Dashboard!C$8* Dashboard!$F$4+Dashboard!C$10*SQRT(Dashboard!$F$4) * _xlfn.NORM.S.INV(RAND())</f>
        <v>4.438912643365097E-2</v>
      </c>
      <c r="U2143" s="59">
        <f ca="1">Dashboard!D$8* Dashboard!$F$4+Dashboard!D$10*SQRT(Dashboard!$F$4) * _xlfn.NORM.S.INV(RAND())</f>
        <v>2.0130751375787112E-2</v>
      </c>
    </row>
    <row r="2144" spans="18:21" x14ac:dyDescent="0.2">
      <c r="R2144" s="49">
        <v>2142</v>
      </c>
      <c r="S2144" s="59">
        <f ca="1">Dashboard!B$8* Dashboard!$F$4+Dashboard!B$10*SQRT(Dashboard!$F$4) * _xlfn.NORM.S.INV(RAND())</f>
        <v>7.9371655866157294E-3</v>
      </c>
      <c r="T2144" s="59">
        <f ca="1">Dashboard!C$8* Dashboard!$F$4+Dashboard!C$10*SQRT(Dashboard!$F$4) * _xlfn.NORM.S.INV(RAND())</f>
        <v>-9.6628735963646857E-3</v>
      </c>
      <c r="U2144" s="59">
        <f ca="1">Dashboard!D$8* Dashboard!$F$4+Dashboard!D$10*SQRT(Dashboard!$F$4) * _xlfn.NORM.S.INV(RAND())</f>
        <v>-2.9912519448788054E-2</v>
      </c>
    </row>
    <row r="2145" spans="18:21" x14ac:dyDescent="0.2">
      <c r="R2145" s="49">
        <v>2143</v>
      </c>
      <c r="S2145" s="59">
        <f ca="1">Dashboard!B$8* Dashboard!$F$4+Dashboard!B$10*SQRT(Dashboard!$F$4) * _xlfn.NORM.S.INV(RAND())</f>
        <v>1.3839433648810002E-2</v>
      </c>
      <c r="T2145" s="59">
        <f ca="1">Dashboard!C$8* Dashboard!$F$4+Dashboard!C$10*SQRT(Dashboard!$F$4) * _xlfn.NORM.S.INV(RAND())</f>
        <v>-1.4957368226155145E-2</v>
      </c>
      <c r="U2145" s="59">
        <f ca="1">Dashboard!D$8* Dashboard!$F$4+Dashboard!D$10*SQRT(Dashboard!$F$4) * _xlfn.NORM.S.INV(RAND())</f>
        <v>4.8304579528681474E-2</v>
      </c>
    </row>
    <row r="2146" spans="18:21" x14ac:dyDescent="0.2">
      <c r="R2146" s="49">
        <v>2144</v>
      </c>
      <c r="S2146" s="59">
        <f ca="1">Dashboard!B$8* Dashboard!$F$4+Dashboard!B$10*SQRT(Dashboard!$F$4) * _xlfn.NORM.S.INV(RAND())</f>
        <v>-8.9494342859036853E-4</v>
      </c>
      <c r="T2146" s="59">
        <f ca="1">Dashboard!C$8* Dashboard!$F$4+Dashboard!C$10*SQRT(Dashboard!$F$4) * _xlfn.NORM.S.INV(RAND())</f>
        <v>-6.0617076075430085E-2</v>
      </c>
      <c r="U2146" s="59">
        <f ca="1">Dashboard!D$8* Dashboard!$F$4+Dashboard!D$10*SQRT(Dashboard!$F$4) * _xlfn.NORM.S.INV(RAND())</f>
        <v>5.0484958893382122E-2</v>
      </c>
    </row>
    <row r="2147" spans="18:21" x14ac:dyDescent="0.2">
      <c r="R2147" s="49">
        <v>2145</v>
      </c>
      <c r="S2147" s="59">
        <f ca="1">Dashboard!B$8* Dashboard!$F$4+Dashboard!B$10*SQRT(Dashboard!$F$4) * _xlfn.NORM.S.INV(RAND())</f>
        <v>-7.4796135230933439E-2</v>
      </c>
      <c r="T2147" s="59">
        <f ca="1">Dashboard!C$8* Dashboard!$F$4+Dashboard!C$10*SQRT(Dashboard!$F$4) * _xlfn.NORM.S.INV(RAND())</f>
        <v>5.159241193027337E-2</v>
      </c>
      <c r="U2147" s="59">
        <f ca="1">Dashboard!D$8* Dashboard!$F$4+Dashboard!D$10*SQRT(Dashboard!$F$4) * _xlfn.NORM.S.INV(RAND())</f>
        <v>1.5971414259350399E-3</v>
      </c>
    </row>
    <row r="2148" spans="18:21" x14ac:dyDescent="0.2">
      <c r="R2148" s="49">
        <v>2146</v>
      </c>
      <c r="S2148" s="59">
        <f ca="1">Dashboard!B$8* Dashboard!$F$4+Dashboard!B$10*SQRT(Dashboard!$F$4) * _xlfn.NORM.S.INV(RAND())</f>
        <v>-3.5886988668904357E-2</v>
      </c>
      <c r="T2148" s="59">
        <f ca="1">Dashboard!C$8* Dashboard!$F$4+Dashboard!C$10*SQRT(Dashboard!$F$4) * _xlfn.NORM.S.INV(RAND())</f>
        <v>5.7437615097677579E-2</v>
      </c>
      <c r="U2148" s="59">
        <f ca="1">Dashboard!D$8* Dashboard!$F$4+Dashboard!D$10*SQRT(Dashboard!$F$4) * _xlfn.NORM.S.INV(RAND())</f>
        <v>4.6941498602370617E-2</v>
      </c>
    </row>
    <row r="2149" spans="18:21" x14ac:dyDescent="0.2">
      <c r="R2149" s="49">
        <v>2147</v>
      </c>
      <c r="S2149" s="59">
        <f ca="1">Dashboard!B$8* Dashboard!$F$4+Dashboard!B$10*SQRT(Dashboard!$F$4) * _xlfn.NORM.S.INV(RAND())</f>
        <v>-5.3934295077289723E-2</v>
      </c>
      <c r="T2149" s="59">
        <f ca="1">Dashboard!C$8* Dashboard!$F$4+Dashboard!C$10*SQRT(Dashboard!$F$4) * _xlfn.NORM.S.INV(RAND())</f>
        <v>-1.1692953495968619E-2</v>
      </c>
      <c r="U2149" s="59">
        <f ca="1">Dashboard!D$8* Dashboard!$F$4+Dashboard!D$10*SQRT(Dashboard!$F$4) * _xlfn.NORM.S.INV(RAND())</f>
        <v>4.4456747856445246E-2</v>
      </c>
    </row>
    <row r="2150" spans="18:21" x14ac:dyDescent="0.2">
      <c r="R2150" s="49">
        <v>2148</v>
      </c>
      <c r="S2150" s="59">
        <f ca="1">Dashboard!B$8* Dashboard!$F$4+Dashboard!B$10*SQRT(Dashboard!$F$4) * _xlfn.NORM.S.INV(RAND())</f>
        <v>-5.9040239749384056E-3</v>
      </c>
      <c r="T2150" s="59">
        <f ca="1">Dashboard!C$8* Dashboard!$F$4+Dashboard!C$10*SQRT(Dashboard!$F$4) * _xlfn.NORM.S.INV(RAND())</f>
        <v>-1.808675668032278E-2</v>
      </c>
      <c r="U2150" s="59">
        <f ca="1">Dashboard!D$8* Dashboard!$F$4+Dashboard!D$10*SQRT(Dashboard!$F$4) * _xlfn.NORM.S.INV(RAND())</f>
        <v>6.5158522178582923E-2</v>
      </c>
    </row>
    <row r="2151" spans="18:21" x14ac:dyDescent="0.2">
      <c r="R2151" s="49">
        <v>2149</v>
      </c>
      <c r="S2151" s="59">
        <f ca="1">Dashboard!B$8* Dashboard!$F$4+Dashboard!B$10*SQRT(Dashboard!$F$4) * _xlfn.NORM.S.INV(RAND())</f>
        <v>-1.2929761253399525E-2</v>
      </c>
      <c r="T2151" s="59">
        <f ca="1">Dashboard!C$8* Dashboard!$F$4+Dashboard!C$10*SQRT(Dashboard!$F$4) * _xlfn.NORM.S.INV(RAND())</f>
        <v>-6.8692443545269174E-3</v>
      </c>
      <c r="U2151" s="59">
        <f ca="1">Dashboard!D$8* Dashboard!$F$4+Dashboard!D$10*SQRT(Dashboard!$F$4) * _xlfn.NORM.S.INV(RAND())</f>
        <v>4.4397699868011127E-2</v>
      </c>
    </row>
    <row r="2152" spans="18:21" x14ac:dyDescent="0.2">
      <c r="R2152" s="49">
        <v>2150</v>
      </c>
      <c r="S2152" s="59">
        <f ca="1">Dashboard!B$8* Dashboard!$F$4+Dashboard!B$10*SQRT(Dashboard!$F$4) * _xlfn.NORM.S.INV(RAND())</f>
        <v>-5.8220243191665522E-2</v>
      </c>
      <c r="T2152" s="59">
        <f ca="1">Dashboard!C$8* Dashboard!$F$4+Dashboard!C$10*SQRT(Dashboard!$F$4) * _xlfn.NORM.S.INV(RAND())</f>
        <v>-8.3547890908358541E-3</v>
      </c>
      <c r="U2152" s="59">
        <f ca="1">Dashboard!D$8* Dashboard!$F$4+Dashboard!D$10*SQRT(Dashboard!$F$4) * _xlfn.NORM.S.INV(RAND())</f>
        <v>2.1407488535222573E-2</v>
      </c>
    </row>
    <row r="2153" spans="18:21" x14ac:dyDescent="0.2">
      <c r="R2153" s="49">
        <v>2151</v>
      </c>
      <c r="S2153" s="59">
        <f ca="1">Dashboard!B$8* Dashboard!$F$4+Dashboard!B$10*SQRT(Dashboard!$F$4) * _xlfn.NORM.S.INV(RAND())</f>
        <v>2.8646661043212236E-2</v>
      </c>
      <c r="T2153" s="59">
        <f ca="1">Dashboard!C$8* Dashboard!$F$4+Dashboard!C$10*SQRT(Dashboard!$F$4) * _xlfn.NORM.S.INV(RAND())</f>
        <v>-9.1977884990211596E-3</v>
      </c>
      <c r="U2153" s="59">
        <f ca="1">Dashboard!D$8* Dashboard!$F$4+Dashboard!D$10*SQRT(Dashboard!$F$4) * _xlfn.NORM.S.INV(RAND())</f>
        <v>2.9639544780064246E-2</v>
      </c>
    </row>
    <row r="2154" spans="18:21" x14ac:dyDescent="0.2">
      <c r="R2154" s="49">
        <v>2152</v>
      </c>
      <c r="S2154" s="59">
        <f ca="1">Dashboard!B$8* Dashboard!$F$4+Dashboard!B$10*SQRT(Dashboard!$F$4) * _xlfn.NORM.S.INV(RAND())</f>
        <v>-3.6471889259476739E-2</v>
      </c>
      <c r="T2154" s="59">
        <f ca="1">Dashboard!C$8* Dashboard!$F$4+Dashboard!C$10*SQRT(Dashboard!$F$4) * _xlfn.NORM.S.INV(RAND())</f>
        <v>-1.2077208291460636E-2</v>
      </c>
      <c r="U2154" s="59">
        <f ca="1">Dashboard!D$8* Dashboard!$F$4+Dashboard!D$10*SQRT(Dashboard!$F$4) * _xlfn.NORM.S.INV(RAND())</f>
        <v>-9.2879272396004103E-3</v>
      </c>
    </row>
    <row r="2155" spans="18:21" x14ac:dyDescent="0.2">
      <c r="R2155" s="49">
        <v>2153</v>
      </c>
      <c r="S2155" s="59">
        <f ca="1">Dashboard!B$8* Dashboard!$F$4+Dashboard!B$10*SQRT(Dashboard!$F$4) * _xlfn.NORM.S.INV(RAND())</f>
        <v>8.5875971087348308E-3</v>
      </c>
      <c r="T2155" s="59">
        <f ca="1">Dashboard!C$8* Dashboard!$F$4+Dashboard!C$10*SQRT(Dashboard!$F$4) * _xlfn.NORM.S.INV(RAND())</f>
        <v>-2.9957071341532641E-2</v>
      </c>
      <c r="U2155" s="59">
        <f ca="1">Dashboard!D$8* Dashboard!$F$4+Dashboard!D$10*SQRT(Dashboard!$F$4) * _xlfn.NORM.S.INV(RAND())</f>
        <v>-5.2816535719423893E-2</v>
      </c>
    </row>
    <row r="2156" spans="18:21" x14ac:dyDescent="0.2">
      <c r="R2156" s="49">
        <v>2154</v>
      </c>
      <c r="S2156" s="59">
        <f ca="1">Dashboard!B$8* Dashboard!$F$4+Dashboard!B$10*SQRT(Dashboard!$F$4) * _xlfn.NORM.S.INV(RAND())</f>
        <v>3.1764056099740139E-2</v>
      </c>
      <c r="T2156" s="59">
        <f ca="1">Dashboard!C$8* Dashboard!$F$4+Dashboard!C$10*SQRT(Dashboard!$F$4) * _xlfn.NORM.S.INV(RAND())</f>
        <v>0.1097668190885142</v>
      </c>
      <c r="U2156" s="59">
        <f ca="1">Dashboard!D$8* Dashboard!$F$4+Dashboard!D$10*SQRT(Dashboard!$F$4) * _xlfn.NORM.S.INV(RAND())</f>
        <v>-2.4463500521676704E-2</v>
      </c>
    </row>
    <row r="2157" spans="18:21" x14ac:dyDescent="0.2">
      <c r="R2157" s="49">
        <v>2155</v>
      </c>
      <c r="S2157" s="59">
        <f ca="1">Dashboard!B$8* Dashboard!$F$4+Dashboard!B$10*SQRT(Dashboard!$F$4) * _xlfn.NORM.S.INV(RAND())</f>
        <v>3.1813729695075343E-2</v>
      </c>
      <c r="T2157" s="59">
        <f ca="1">Dashboard!C$8* Dashboard!$F$4+Dashboard!C$10*SQRT(Dashboard!$F$4) * _xlfn.NORM.S.INV(RAND())</f>
        <v>-1.9201197932256473E-2</v>
      </c>
      <c r="U2157" s="59">
        <f ca="1">Dashboard!D$8* Dashboard!$F$4+Dashboard!D$10*SQRT(Dashboard!$F$4) * _xlfn.NORM.S.INV(RAND())</f>
        <v>3.4702850054335099E-2</v>
      </c>
    </row>
    <row r="2158" spans="18:21" x14ac:dyDescent="0.2">
      <c r="R2158" s="49">
        <v>2156</v>
      </c>
      <c r="S2158" s="59">
        <f ca="1">Dashboard!B$8* Dashboard!$F$4+Dashboard!B$10*SQRT(Dashboard!$F$4) * _xlfn.NORM.S.INV(RAND())</f>
        <v>-1.1134707153353371E-2</v>
      </c>
      <c r="T2158" s="59">
        <f ca="1">Dashboard!C$8* Dashboard!$F$4+Dashboard!C$10*SQRT(Dashboard!$F$4) * _xlfn.NORM.S.INV(RAND())</f>
        <v>3.3990350648048014E-2</v>
      </c>
      <c r="U2158" s="59">
        <f ca="1">Dashboard!D$8* Dashboard!$F$4+Dashboard!D$10*SQRT(Dashboard!$F$4) * _xlfn.NORM.S.INV(RAND())</f>
        <v>-9.4981143451661441E-3</v>
      </c>
    </row>
    <row r="2159" spans="18:21" x14ac:dyDescent="0.2">
      <c r="R2159" s="49">
        <v>2157</v>
      </c>
      <c r="S2159" s="59">
        <f ca="1">Dashboard!B$8* Dashboard!$F$4+Dashboard!B$10*SQRT(Dashboard!$F$4) * _xlfn.NORM.S.INV(RAND())</f>
        <v>-3.3567200575415411E-3</v>
      </c>
      <c r="T2159" s="59">
        <f ca="1">Dashboard!C$8* Dashboard!$F$4+Dashboard!C$10*SQRT(Dashboard!$F$4) * _xlfn.NORM.S.INV(RAND())</f>
        <v>4.3632460787596302E-3</v>
      </c>
      <c r="U2159" s="59">
        <f ca="1">Dashboard!D$8* Dashboard!$F$4+Dashboard!D$10*SQRT(Dashboard!$F$4) * _xlfn.NORM.S.INV(RAND())</f>
        <v>4.3765424913621849E-2</v>
      </c>
    </row>
    <row r="2160" spans="18:21" x14ac:dyDescent="0.2">
      <c r="R2160" s="49">
        <v>2158</v>
      </c>
      <c r="S2160" s="59">
        <f ca="1">Dashboard!B$8* Dashboard!$F$4+Dashboard!B$10*SQRT(Dashboard!$F$4) * _xlfn.NORM.S.INV(RAND())</f>
        <v>1.8624982891037846E-2</v>
      </c>
      <c r="T2160" s="59">
        <f ca="1">Dashboard!C$8* Dashboard!$F$4+Dashboard!C$10*SQRT(Dashboard!$F$4) * _xlfn.NORM.S.INV(RAND())</f>
        <v>4.4488551022161323E-2</v>
      </c>
      <c r="U2160" s="59">
        <f ca="1">Dashboard!D$8* Dashboard!$F$4+Dashboard!D$10*SQRT(Dashboard!$F$4) * _xlfn.NORM.S.INV(RAND())</f>
        <v>-1.5649545494290675E-2</v>
      </c>
    </row>
    <row r="2161" spans="18:21" x14ac:dyDescent="0.2">
      <c r="R2161" s="49">
        <v>2159</v>
      </c>
      <c r="S2161" s="59">
        <f ca="1">Dashboard!B$8* Dashboard!$F$4+Dashboard!B$10*SQRT(Dashboard!$F$4) * _xlfn.NORM.S.INV(RAND())</f>
        <v>3.5912961205300711E-3</v>
      </c>
      <c r="T2161" s="59">
        <f ca="1">Dashboard!C$8* Dashboard!$F$4+Dashboard!C$10*SQRT(Dashboard!$F$4) * _xlfn.NORM.S.INV(RAND())</f>
        <v>-1.4752001164240636E-2</v>
      </c>
      <c r="U2161" s="59">
        <f ca="1">Dashboard!D$8* Dashboard!$F$4+Dashboard!D$10*SQRT(Dashboard!$F$4) * _xlfn.NORM.S.INV(RAND())</f>
        <v>6.3193052600211394E-2</v>
      </c>
    </row>
    <row r="2162" spans="18:21" x14ac:dyDescent="0.2">
      <c r="R2162" s="49">
        <v>2160</v>
      </c>
      <c r="S2162" s="59">
        <f ca="1">Dashboard!B$8* Dashboard!$F$4+Dashboard!B$10*SQRT(Dashboard!$F$4) * _xlfn.NORM.S.INV(RAND())</f>
        <v>1.1675998006214569E-2</v>
      </c>
      <c r="T2162" s="59">
        <f ca="1">Dashboard!C$8* Dashboard!$F$4+Dashboard!C$10*SQRT(Dashboard!$F$4) * _xlfn.NORM.S.INV(RAND())</f>
        <v>4.0344051477431135E-2</v>
      </c>
      <c r="U2162" s="59">
        <f ca="1">Dashboard!D$8* Dashboard!$F$4+Dashboard!D$10*SQRT(Dashboard!$F$4) * _xlfn.NORM.S.INV(RAND())</f>
        <v>2.6761727305253729E-3</v>
      </c>
    </row>
    <row r="2163" spans="18:21" x14ac:dyDescent="0.2">
      <c r="R2163" s="49">
        <v>2161</v>
      </c>
      <c r="S2163" s="59">
        <f ca="1">Dashboard!B$8* Dashboard!$F$4+Dashboard!B$10*SQRT(Dashboard!$F$4) * _xlfn.NORM.S.INV(RAND())</f>
        <v>1.6451173532844822E-3</v>
      </c>
      <c r="T2163" s="59">
        <f ca="1">Dashboard!C$8* Dashboard!$F$4+Dashboard!C$10*SQRT(Dashboard!$F$4) * _xlfn.NORM.S.INV(RAND())</f>
        <v>3.6973379937699342E-2</v>
      </c>
      <c r="U2163" s="59">
        <f ca="1">Dashboard!D$8* Dashboard!$F$4+Dashboard!D$10*SQRT(Dashboard!$F$4) * _xlfn.NORM.S.INV(RAND())</f>
        <v>3.2576190470328024E-2</v>
      </c>
    </row>
    <row r="2164" spans="18:21" x14ac:dyDescent="0.2">
      <c r="R2164" s="49">
        <v>2162</v>
      </c>
      <c r="S2164" s="59">
        <f ca="1">Dashboard!B$8* Dashboard!$F$4+Dashboard!B$10*SQRT(Dashboard!$F$4) * _xlfn.NORM.S.INV(RAND())</f>
        <v>1.3571856523029715E-2</v>
      </c>
      <c r="T2164" s="59">
        <f ca="1">Dashboard!C$8* Dashboard!$F$4+Dashboard!C$10*SQRT(Dashboard!$F$4) * _xlfn.NORM.S.INV(RAND())</f>
        <v>-4.3459462359560087E-2</v>
      </c>
      <c r="U2164" s="59">
        <f ca="1">Dashboard!D$8* Dashboard!$F$4+Dashboard!D$10*SQRT(Dashboard!$F$4) * _xlfn.NORM.S.INV(RAND())</f>
        <v>3.39957711898351E-2</v>
      </c>
    </row>
    <row r="2165" spans="18:21" x14ac:dyDescent="0.2">
      <c r="R2165" s="49">
        <v>2163</v>
      </c>
      <c r="S2165" s="59">
        <f ca="1">Dashboard!B$8* Dashboard!$F$4+Dashboard!B$10*SQRT(Dashboard!$F$4) * _xlfn.NORM.S.INV(RAND())</f>
        <v>4.1767115501058234E-3</v>
      </c>
      <c r="T2165" s="59">
        <f ca="1">Dashboard!C$8* Dashboard!$F$4+Dashboard!C$10*SQRT(Dashboard!$F$4) * _xlfn.NORM.S.INV(RAND())</f>
        <v>3.6382258411086894E-2</v>
      </c>
      <c r="U2165" s="59">
        <f ca="1">Dashboard!D$8* Dashboard!$F$4+Dashboard!D$10*SQRT(Dashboard!$F$4) * _xlfn.NORM.S.INV(RAND())</f>
        <v>3.3433166104436338E-3</v>
      </c>
    </row>
    <row r="2166" spans="18:21" x14ac:dyDescent="0.2">
      <c r="R2166" s="49">
        <v>2164</v>
      </c>
      <c r="S2166" s="59">
        <f ca="1">Dashboard!B$8* Dashboard!$F$4+Dashboard!B$10*SQRT(Dashboard!$F$4) * _xlfn.NORM.S.INV(RAND())</f>
        <v>-4.1335483392772786E-2</v>
      </c>
      <c r="T2166" s="59">
        <f ca="1">Dashboard!C$8* Dashboard!$F$4+Dashboard!C$10*SQRT(Dashboard!$F$4) * _xlfn.NORM.S.INV(RAND())</f>
        <v>-1.6529747080420532E-2</v>
      </c>
      <c r="U2166" s="59">
        <f ca="1">Dashboard!D$8* Dashboard!$F$4+Dashboard!D$10*SQRT(Dashboard!$F$4) * _xlfn.NORM.S.INV(RAND())</f>
        <v>6.5515428024163255E-2</v>
      </c>
    </row>
    <row r="2167" spans="18:21" x14ac:dyDescent="0.2">
      <c r="R2167" s="49">
        <v>2165</v>
      </c>
      <c r="S2167" s="59">
        <f ca="1">Dashboard!B$8* Dashboard!$F$4+Dashboard!B$10*SQRT(Dashboard!$F$4) * _xlfn.NORM.S.INV(RAND())</f>
        <v>6.8239363377199644E-2</v>
      </c>
      <c r="T2167" s="59">
        <f ca="1">Dashboard!C$8* Dashboard!$F$4+Dashboard!C$10*SQRT(Dashboard!$F$4) * _xlfn.NORM.S.INV(RAND())</f>
        <v>1.8549111032664153E-2</v>
      </c>
      <c r="U2167" s="59">
        <f ca="1">Dashboard!D$8* Dashboard!$F$4+Dashboard!D$10*SQRT(Dashboard!$F$4) * _xlfn.NORM.S.INV(RAND())</f>
        <v>-1.4443567318515644E-2</v>
      </c>
    </row>
    <row r="2168" spans="18:21" x14ac:dyDescent="0.2">
      <c r="R2168" s="49">
        <v>2166</v>
      </c>
      <c r="S2168" s="59">
        <f ca="1">Dashboard!B$8* Dashboard!$F$4+Dashboard!B$10*SQRT(Dashboard!$F$4) * _xlfn.NORM.S.INV(RAND())</f>
        <v>1.6601277174073358E-2</v>
      </c>
      <c r="T2168" s="59">
        <f ca="1">Dashboard!C$8* Dashboard!$F$4+Dashboard!C$10*SQRT(Dashboard!$F$4) * _xlfn.NORM.S.INV(RAND())</f>
        <v>2.4833558005731187E-3</v>
      </c>
      <c r="U2168" s="59">
        <f ca="1">Dashboard!D$8* Dashboard!$F$4+Dashboard!D$10*SQRT(Dashboard!$F$4) * _xlfn.NORM.S.INV(RAND())</f>
        <v>-1.3747398759098431E-2</v>
      </c>
    </row>
    <row r="2169" spans="18:21" x14ac:dyDescent="0.2">
      <c r="R2169" s="49">
        <v>2167</v>
      </c>
      <c r="S2169" s="59">
        <f ca="1">Dashboard!B$8* Dashboard!$F$4+Dashboard!B$10*SQRT(Dashboard!$F$4) * _xlfn.NORM.S.INV(RAND())</f>
        <v>2.5501653563053887E-2</v>
      </c>
      <c r="T2169" s="59">
        <f ca="1">Dashboard!C$8* Dashboard!$F$4+Dashboard!C$10*SQRT(Dashboard!$F$4) * _xlfn.NORM.S.INV(RAND())</f>
        <v>3.2562918436830922E-2</v>
      </c>
      <c r="U2169" s="59">
        <f ca="1">Dashboard!D$8* Dashboard!$F$4+Dashboard!D$10*SQRT(Dashboard!$F$4) * _xlfn.NORM.S.INV(RAND())</f>
        <v>-4.4266406088624234E-2</v>
      </c>
    </row>
    <row r="2170" spans="18:21" x14ac:dyDescent="0.2">
      <c r="R2170" s="49">
        <v>2168</v>
      </c>
      <c r="S2170" s="59">
        <f ca="1">Dashboard!B$8* Dashboard!$F$4+Dashboard!B$10*SQRT(Dashboard!$F$4) * _xlfn.NORM.S.INV(RAND())</f>
        <v>5.9004406084100083E-2</v>
      </c>
      <c r="T2170" s="59">
        <f ca="1">Dashboard!C$8* Dashboard!$F$4+Dashboard!C$10*SQRT(Dashboard!$F$4) * _xlfn.NORM.S.INV(RAND())</f>
        <v>-3.0053202735798937E-3</v>
      </c>
      <c r="U2170" s="59">
        <f ca="1">Dashboard!D$8* Dashboard!$F$4+Dashboard!D$10*SQRT(Dashboard!$F$4) * _xlfn.NORM.S.INV(RAND())</f>
        <v>-4.7099437376079183E-2</v>
      </c>
    </row>
    <row r="2171" spans="18:21" x14ac:dyDescent="0.2">
      <c r="R2171" s="49">
        <v>2169</v>
      </c>
      <c r="S2171" s="59">
        <f ca="1">Dashboard!B$8* Dashboard!$F$4+Dashboard!B$10*SQRT(Dashboard!$F$4) * _xlfn.NORM.S.INV(RAND())</f>
        <v>5.879927200866629E-3</v>
      </c>
      <c r="T2171" s="59">
        <f ca="1">Dashboard!C$8* Dashboard!$F$4+Dashboard!C$10*SQRT(Dashboard!$F$4) * _xlfn.NORM.S.INV(RAND())</f>
        <v>3.3543712708086093E-2</v>
      </c>
      <c r="U2171" s="59">
        <f ca="1">Dashboard!D$8* Dashboard!$F$4+Dashboard!D$10*SQRT(Dashboard!$F$4) * _xlfn.NORM.S.INV(RAND())</f>
        <v>9.3067840983836244E-3</v>
      </c>
    </row>
    <row r="2172" spans="18:21" x14ac:dyDescent="0.2">
      <c r="R2172" s="49">
        <v>2170</v>
      </c>
      <c r="S2172" s="59">
        <f ca="1">Dashboard!B$8* Dashboard!$F$4+Dashboard!B$10*SQRT(Dashboard!$F$4) * _xlfn.NORM.S.INV(RAND())</f>
        <v>-8.1244256123306109E-3</v>
      </c>
      <c r="T2172" s="59">
        <f ca="1">Dashboard!C$8* Dashboard!$F$4+Dashboard!C$10*SQRT(Dashboard!$F$4) * _xlfn.NORM.S.INV(RAND())</f>
        <v>-3.5131229669051425E-2</v>
      </c>
      <c r="U2172" s="59">
        <f ca="1">Dashboard!D$8* Dashboard!$F$4+Dashboard!D$10*SQRT(Dashboard!$F$4) * _xlfn.NORM.S.INV(RAND())</f>
        <v>-1.038152461503811E-2</v>
      </c>
    </row>
    <row r="2173" spans="18:21" x14ac:dyDescent="0.2">
      <c r="R2173" s="49">
        <v>2171</v>
      </c>
      <c r="S2173" s="59">
        <f ca="1">Dashboard!B$8* Dashboard!$F$4+Dashboard!B$10*SQRT(Dashboard!$F$4) * _xlfn.NORM.S.INV(RAND())</f>
        <v>-4.6164765476221538E-3</v>
      </c>
      <c r="T2173" s="59">
        <f ca="1">Dashboard!C$8* Dashboard!$F$4+Dashboard!C$10*SQRT(Dashboard!$F$4) * _xlfn.NORM.S.INV(RAND())</f>
        <v>3.1751675701373577E-2</v>
      </c>
      <c r="U2173" s="59">
        <f ca="1">Dashboard!D$8* Dashboard!$F$4+Dashboard!D$10*SQRT(Dashboard!$F$4) * _xlfn.NORM.S.INV(RAND())</f>
        <v>-2.6410102561904084E-3</v>
      </c>
    </row>
    <row r="2174" spans="18:21" x14ac:dyDescent="0.2">
      <c r="R2174" s="49">
        <v>2172</v>
      </c>
      <c r="S2174" s="59">
        <f ca="1">Dashboard!B$8* Dashboard!$F$4+Dashboard!B$10*SQRT(Dashboard!$F$4) * _xlfn.NORM.S.INV(RAND())</f>
        <v>8.1782483859483505E-3</v>
      </c>
      <c r="T2174" s="59">
        <f ca="1">Dashboard!C$8* Dashboard!$F$4+Dashboard!C$10*SQRT(Dashboard!$F$4) * _xlfn.NORM.S.INV(RAND())</f>
        <v>4.7207305153890197E-2</v>
      </c>
      <c r="U2174" s="59">
        <f ca="1">Dashboard!D$8* Dashboard!$F$4+Dashboard!D$10*SQRT(Dashboard!$F$4) * _xlfn.NORM.S.INV(RAND())</f>
        <v>4.0047899426241755E-2</v>
      </c>
    </row>
    <row r="2175" spans="18:21" x14ac:dyDescent="0.2">
      <c r="R2175" s="49">
        <v>2173</v>
      </c>
      <c r="S2175" s="59">
        <f ca="1">Dashboard!B$8* Dashboard!$F$4+Dashboard!B$10*SQRT(Dashboard!$F$4) * _xlfn.NORM.S.INV(RAND())</f>
        <v>-3.7920497710249149E-2</v>
      </c>
      <c r="T2175" s="59">
        <f ca="1">Dashboard!C$8* Dashboard!$F$4+Dashboard!C$10*SQRT(Dashboard!$F$4) * _xlfn.NORM.S.INV(RAND())</f>
        <v>1.4461229792981846E-2</v>
      </c>
      <c r="U2175" s="59">
        <f ca="1">Dashboard!D$8* Dashboard!$F$4+Dashboard!D$10*SQRT(Dashboard!$F$4) * _xlfn.NORM.S.INV(RAND())</f>
        <v>3.6090723115043785E-2</v>
      </c>
    </row>
    <row r="2176" spans="18:21" x14ac:dyDescent="0.2">
      <c r="R2176" s="49">
        <v>2174</v>
      </c>
      <c r="S2176" s="59">
        <f ca="1">Dashboard!B$8* Dashboard!$F$4+Dashboard!B$10*SQRT(Dashboard!$F$4) * _xlfn.NORM.S.INV(RAND())</f>
        <v>-1.1680569061997824E-2</v>
      </c>
      <c r="T2176" s="59">
        <f ca="1">Dashboard!C$8* Dashboard!$F$4+Dashboard!C$10*SQRT(Dashboard!$F$4) * _xlfn.NORM.S.INV(RAND())</f>
        <v>-3.7104695321899882E-2</v>
      </c>
      <c r="U2176" s="59">
        <f ca="1">Dashboard!D$8* Dashboard!$F$4+Dashboard!D$10*SQRT(Dashboard!$F$4) * _xlfn.NORM.S.INV(RAND())</f>
        <v>3.1093260552646964E-2</v>
      </c>
    </row>
    <row r="2177" spans="18:21" x14ac:dyDescent="0.2">
      <c r="R2177" s="49">
        <v>2175</v>
      </c>
      <c r="S2177" s="59">
        <f ca="1">Dashboard!B$8* Dashboard!$F$4+Dashboard!B$10*SQRT(Dashboard!$F$4) * _xlfn.NORM.S.INV(RAND())</f>
        <v>-1.235896422194685E-2</v>
      </c>
      <c r="T2177" s="59">
        <f ca="1">Dashboard!C$8* Dashboard!$F$4+Dashboard!C$10*SQRT(Dashboard!$F$4) * _xlfn.NORM.S.INV(RAND())</f>
        <v>2.1745415826712713E-2</v>
      </c>
      <c r="U2177" s="59">
        <f ca="1">Dashboard!D$8* Dashboard!$F$4+Dashboard!D$10*SQRT(Dashboard!$F$4) * _xlfn.NORM.S.INV(RAND())</f>
        <v>-1.9375836814741521E-2</v>
      </c>
    </row>
    <row r="2178" spans="18:21" x14ac:dyDescent="0.2">
      <c r="R2178" s="49">
        <v>2176</v>
      </c>
      <c r="S2178" s="59">
        <f ca="1">Dashboard!B$8* Dashboard!$F$4+Dashboard!B$10*SQRT(Dashboard!$F$4) * _xlfn.NORM.S.INV(RAND())</f>
        <v>-4.4522710379870663E-2</v>
      </c>
      <c r="T2178" s="59">
        <f ca="1">Dashboard!C$8* Dashboard!$F$4+Dashboard!C$10*SQRT(Dashboard!$F$4) * _xlfn.NORM.S.INV(RAND())</f>
        <v>-1.7080752898670622E-2</v>
      </c>
      <c r="U2178" s="59">
        <f ca="1">Dashboard!D$8* Dashboard!$F$4+Dashboard!D$10*SQRT(Dashboard!$F$4) * _xlfn.NORM.S.INV(RAND())</f>
        <v>9.0912566562321821E-3</v>
      </c>
    </row>
    <row r="2179" spans="18:21" x14ac:dyDescent="0.2">
      <c r="R2179" s="49">
        <v>2177</v>
      </c>
      <c r="S2179" s="59">
        <f ca="1">Dashboard!B$8* Dashboard!$F$4+Dashboard!B$10*SQRT(Dashboard!$F$4) * _xlfn.NORM.S.INV(RAND())</f>
        <v>-3.9981486512481748E-2</v>
      </c>
      <c r="T2179" s="59">
        <f ca="1">Dashboard!C$8* Dashboard!$F$4+Dashboard!C$10*SQRT(Dashboard!$F$4) * _xlfn.NORM.S.INV(RAND())</f>
        <v>4.9396292795103693E-2</v>
      </c>
      <c r="U2179" s="59">
        <f ca="1">Dashboard!D$8* Dashboard!$F$4+Dashboard!D$10*SQRT(Dashboard!$F$4) * _xlfn.NORM.S.INV(RAND())</f>
        <v>8.5628537562173809E-3</v>
      </c>
    </row>
    <row r="2180" spans="18:21" x14ac:dyDescent="0.2">
      <c r="R2180" s="49">
        <v>2178</v>
      </c>
      <c r="S2180" s="59">
        <f ca="1">Dashboard!B$8* Dashboard!$F$4+Dashboard!B$10*SQRT(Dashboard!$F$4) * _xlfn.NORM.S.INV(RAND())</f>
        <v>2.0155845687730069E-3</v>
      </c>
      <c r="T2180" s="59">
        <f ca="1">Dashboard!C$8* Dashboard!$F$4+Dashboard!C$10*SQRT(Dashboard!$F$4) * _xlfn.NORM.S.INV(RAND())</f>
        <v>-2.2776457172571485E-2</v>
      </c>
      <c r="U2180" s="59">
        <f ca="1">Dashboard!D$8* Dashboard!$F$4+Dashboard!D$10*SQRT(Dashboard!$F$4) * _xlfn.NORM.S.INV(RAND())</f>
        <v>3.8171147773900837E-3</v>
      </c>
    </row>
    <row r="2181" spans="18:21" x14ac:dyDescent="0.2">
      <c r="R2181" s="49">
        <v>2179</v>
      </c>
      <c r="S2181" s="59">
        <f ca="1">Dashboard!B$8* Dashboard!$F$4+Dashboard!B$10*SQRT(Dashboard!$F$4) * _xlfn.NORM.S.INV(RAND())</f>
        <v>-2.2659882123691674E-2</v>
      </c>
      <c r="T2181" s="59">
        <f ca="1">Dashboard!C$8* Dashboard!$F$4+Dashboard!C$10*SQRT(Dashboard!$F$4) * _xlfn.NORM.S.INV(RAND())</f>
        <v>1.8758916289478584E-2</v>
      </c>
      <c r="U2181" s="59">
        <f ca="1">Dashboard!D$8* Dashboard!$F$4+Dashboard!D$10*SQRT(Dashboard!$F$4) * _xlfn.NORM.S.INV(RAND())</f>
        <v>2.7985776690547255E-2</v>
      </c>
    </row>
    <row r="2182" spans="18:21" x14ac:dyDescent="0.2">
      <c r="R2182" s="49">
        <v>2180</v>
      </c>
      <c r="S2182" s="59">
        <f ca="1">Dashboard!B$8* Dashboard!$F$4+Dashboard!B$10*SQRT(Dashboard!$F$4) * _xlfn.NORM.S.INV(RAND())</f>
        <v>-3.0220076662785089E-2</v>
      </c>
      <c r="T2182" s="59">
        <f ca="1">Dashboard!C$8* Dashboard!$F$4+Dashboard!C$10*SQRT(Dashboard!$F$4) * _xlfn.NORM.S.INV(RAND())</f>
        <v>3.5198231505615698E-3</v>
      </c>
      <c r="U2182" s="59">
        <f ca="1">Dashboard!D$8* Dashboard!$F$4+Dashboard!D$10*SQRT(Dashboard!$F$4) * _xlfn.NORM.S.INV(RAND())</f>
        <v>-9.5857153220688042E-4</v>
      </c>
    </row>
    <row r="2183" spans="18:21" x14ac:dyDescent="0.2">
      <c r="R2183" s="49">
        <v>2181</v>
      </c>
      <c r="S2183" s="59">
        <f ca="1">Dashboard!B$8* Dashboard!$F$4+Dashboard!B$10*SQRT(Dashboard!$F$4) * _xlfn.NORM.S.INV(RAND())</f>
        <v>3.1438480830198116E-2</v>
      </c>
      <c r="T2183" s="59">
        <f ca="1">Dashboard!C$8* Dashboard!$F$4+Dashboard!C$10*SQRT(Dashboard!$F$4) * _xlfn.NORM.S.INV(RAND())</f>
        <v>-1.9509401297400569E-2</v>
      </c>
      <c r="U2183" s="59">
        <f ca="1">Dashboard!D$8* Dashboard!$F$4+Dashboard!D$10*SQRT(Dashboard!$F$4) * _xlfn.NORM.S.INV(RAND())</f>
        <v>-9.369264764214371E-3</v>
      </c>
    </row>
    <row r="2184" spans="18:21" x14ac:dyDescent="0.2">
      <c r="R2184" s="49">
        <v>2182</v>
      </c>
      <c r="S2184" s="59">
        <f ca="1">Dashboard!B$8* Dashboard!$F$4+Dashboard!B$10*SQRT(Dashboard!$F$4) * _xlfn.NORM.S.INV(RAND())</f>
        <v>1.9974809934993426E-2</v>
      </c>
      <c r="T2184" s="59">
        <f ca="1">Dashboard!C$8* Dashboard!$F$4+Dashboard!C$10*SQRT(Dashboard!$F$4) * _xlfn.NORM.S.INV(RAND())</f>
        <v>-2.8522107516076822E-2</v>
      </c>
      <c r="U2184" s="59">
        <f ca="1">Dashboard!D$8* Dashboard!$F$4+Dashboard!D$10*SQRT(Dashboard!$F$4) * _xlfn.NORM.S.INV(RAND())</f>
        <v>8.9799568182971322E-3</v>
      </c>
    </row>
    <row r="2185" spans="18:21" x14ac:dyDescent="0.2">
      <c r="R2185" s="49">
        <v>2183</v>
      </c>
      <c r="S2185" s="59">
        <f ca="1">Dashboard!B$8* Dashboard!$F$4+Dashboard!B$10*SQRT(Dashboard!$F$4) * _xlfn.NORM.S.INV(RAND())</f>
        <v>4.3632388869861538E-2</v>
      </c>
      <c r="T2185" s="59">
        <f ca="1">Dashboard!C$8* Dashboard!$F$4+Dashboard!C$10*SQRT(Dashboard!$F$4) * _xlfn.NORM.S.INV(RAND())</f>
        <v>1.2333395027985224E-2</v>
      </c>
      <c r="U2185" s="59">
        <f ca="1">Dashboard!D$8* Dashboard!$F$4+Dashboard!D$10*SQRT(Dashboard!$F$4) * _xlfn.NORM.S.INV(RAND())</f>
        <v>6.1409180477125923E-2</v>
      </c>
    </row>
    <row r="2186" spans="18:21" x14ac:dyDescent="0.2">
      <c r="R2186" s="49">
        <v>2184</v>
      </c>
      <c r="S2186" s="59">
        <f ca="1">Dashboard!B$8* Dashboard!$F$4+Dashboard!B$10*SQRT(Dashboard!$F$4) * _xlfn.NORM.S.INV(RAND())</f>
        <v>2.1731927588533678E-2</v>
      </c>
      <c r="T2186" s="59">
        <f ca="1">Dashboard!C$8* Dashboard!$F$4+Dashboard!C$10*SQRT(Dashboard!$F$4) * _xlfn.NORM.S.INV(RAND())</f>
        <v>-2.6306777908270702E-2</v>
      </c>
      <c r="U2186" s="59">
        <f ca="1">Dashboard!D$8* Dashboard!$F$4+Dashboard!D$10*SQRT(Dashboard!$F$4) * _xlfn.NORM.S.INV(RAND())</f>
        <v>9.4999244784100406E-3</v>
      </c>
    </row>
    <row r="2187" spans="18:21" x14ac:dyDescent="0.2">
      <c r="R2187" s="49">
        <v>2185</v>
      </c>
      <c r="S2187" s="59">
        <f ca="1">Dashboard!B$8* Dashboard!$F$4+Dashboard!B$10*SQRT(Dashboard!$F$4) * _xlfn.NORM.S.INV(RAND())</f>
        <v>-1.6883763625822678E-2</v>
      </c>
      <c r="T2187" s="59">
        <f ca="1">Dashboard!C$8* Dashboard!$F$4+Dashboard!C$10*SQRT(Dashboard!$F$4) * _xlfn.NORM.S.INV(RAND())</f>
        <v>-1.3588765825761857E-2</v>
      </c>
      <c r="U2187" s="59">
        <f ca="1">Dashboard!D$8* Dashboard!$F$4+Dashboard!D$10*SQRT(Dashboard!$F$4) * _xlfn.NORM.S.INV(RAND())</f>
        <v>-5.8278263377600274E-2</v>
      </c>
    </row>
    <row r="2188" spans="18:21" x14ac:dyDescent="0.2">
      <c r="R2188" s="49">
        <v>2186</v>
      </c>
      <c r="S2188" s="59">
        <f ca="1">Dashboard!B$8* Dashboard!$F$4+Dashboard!B$10*SQRT(Dashboard!$F$4) * _xlfn.NORM.S.INV(RAND())</f>
        <v>-5.7738920154329319E-3</v>
      </c>
      <c r="T2188" s="59">
        <f ca="1">Dashboard!C$8* Dashboard!$F$4+Dashboard!C$10*SQRT(Dashboard!$F$4) * _xlfn.NORM.S.INV(RAND())</f>
        <v>4.4284878613290772E-2</v>
      </c>
      <c r="U2188" s="59">
        <f ca="1">Dashboard!D$8* Dashboard!$F$4+Dashboard!D$10*SQRT(Dashboard!$F$4) * _xlfn.NORM.S.INV(RAND())</f>
        <v>4.2831186770392375E-2</v>
      </c>
    </row>
    <row r="2189" spans="18:21" x14ac:dyDescent="0.2">
      <c r="R2189" s="49">
        <v>2187</v>
      </c>
      <c r="S2189" s="59">
        <f ca="1">Dashboard!B$8* Dashboard!$F$4+Dashboard!B$10*SQRT(Dashboard!$F$4) * _xlfn.NORM.S.INV(RAND())</f>
        <v>-7.8008651221147954E-4</v>
      </c>
      <c r="T2189" s="59">
        <f ca="1">Dashboard!C$8* Dashboard!$F$4+Dashboard!C$10*SQRT(Dashboard!$F$4) * _xlfn.NORM.S.INV(RAND())</f>
        <v>3.8702917865039801E-3</v>
      </c>
      <c r="U2189" s="59">
        <f ca="1">Dashboard!D$8* Dashboard!$F$4+Dashboard!D$10*SQRT(Dashboard!$F$4) * _xlfn.NORM.S.INV(RAND())</f>
        <v>4.8313109885340995E-2</v>
      </c>
    </row>
    <row r="2190" spans="18:21" x14ac:dyDescent="0.2">
      <c r="R2190" s="49">
        <v>2188</v>
      </c>
      <c r="S2190" s="59">
        <f ca="1">Dashboard!B$8* Dashboard!$F$4+Dashboard!B$10*SQRT(Dashboard!$F$4) * _xlfn.NORM.S.INV(RAND())</f>
        <v>-4.1853845256282787E-2</v>
      </c>
      <c r="T2190" s="59">
        <f ca="1">Dashboard!C$8* Dashboard!$F$4+Dashboard!C$10*SQRT(Dashboard!$F$4) * _xlfn.NORM.S.INV(RAND())</f>
        <v>5.8271294603298197E-2</v>
      </c>
      <c r="U2190" s="59">
        <f ca="1">Dashboard!D$8* Dashboard!$F$4+Dashboard!D$10*SQRT(Dashboard!$F$4) * _xlfn.NORM.S.INV(RAND())</f>
        <v>-3.3275873567122E-2</v>
      </c>
    </row>
    <row r="2191" spans="18:21" x14ac:dyDescent="0.2">
      <c r="R2191" s="49">
        <v>2189</v>
      </c>
      <c r="S2191" s="59">
        <f ca="1">Dashboard!B$8* Dashboard!$F$4+Dashboard!B$10*SQRT(Dashboard!$F$4) * _xlfn.NORM.S.INV(RAND())</f>
        <v>5.0118911053792393E-3</v>
      </c>
      <c r="T2191" s="59">
        <f ca="1">Dashboard!C$8* Dashboard!$F$4+Dashboard!C$10*SQRT(Dashboard!$F$4) * _xlfn.NORM.S.INV(RAND())</f>
        <v>3.1759917967089635E-3</v>
      </c>
      <c r="U2191" s="59">
        <f ca="1">Dashboard!D$8* Dashboard!$F$4+Dashboard!D$10*SQRT(Dashboard!$F$4) * _xlfn.NORM.S.INV(RAND())</f>
        <v>8.1751183236782834E-2</v>
      </c>
    </row>
    <row r="2192" spans="18:21" x14ac:dyDescent="0.2">
      <c r="R2192" s="49">
        <v>2190</v>
      </c>
      <c r="S2192" s="59">
        <f ca="1">Dashboard!B$8* Dashboard!$F$4+Dashboard!B$10*SQRT(Dashboard!$F$4) * _xlfn.NORM.S.INV(RAND())</f>
        <v>-3.0092060624209493E-2</v>
      </c>
      <c r="T2192" s="59">
        <f ca="1">Dashboard!C$8* Dashboard!$F$4+Dashboard!C$10*SQRT(Dashboard!$F$4) * _xlfn.NORM.S.INV(RAND())</f>
        <v>4.9659889546760554E-3</v>
      </c>
      <c r="U2192" s="59">
        <f ca="1">Dashboard!D$8* Dashboard!$F$4+Dashboard!D$10*SQRT(Dashboard!$F$4) * _xlfn.NORM.S.INV(RAND())</f>
        <v>-3.0599577484515519E-3</v>
      </c>
    </row>
    <row r="2193" spans="18:21" x14ac:dyDescent="0.2">
      <c r="R2193" s="49">
        <v>2191</v>
      </c>
      <c r="S2193" s="59">
        <f ca="1">Dashboard!B$8* Dashboard!$F$4+Dashboard!B$10*SQRT(Dashboard!$F$4) * _xlfn.NORM.S.INV(RAND())</f>
        <v>1.9044951818063462E-2</v>
      </c>
      <c r="T2193" s="59">
        <f ca="1">Dashboard!C$8* Dashboard!$F$4+Dashboard!C$10*SQRT(Dashboard!$F$4) * _xlfn.NORM.S.INV(RAND())</f>
        <v>4.5031080156162424E-2</v>
      </c>
      <c r="U2193" s="59">
        <f ca="1">Dashboard!D$8* Dashboard!$F$4+Dashboard!D$10*SQRT(Dashboard!$F$4) * _xlfn.NORM.S.INV(RAND())</f>
        <v>-7.9818114781713186E-3</v>
      </c>
    </row>
    <row r="2194" spans="18:21" x14ac:dyDescent="0.2">
      <c r="R2194" s="49">
        <v>2192</v>
      </c>
      <c r="S2194" s="59">
        <f ca="1">Dashboard!B$8* Dashboard!$F$4+Dashboard!B$10*SQRT(Dashboard!$F$4) * _xlfn.NORM.S.INV(RAND())</f>
        <v>3.3128732068956702E-2</v>
      </c>
      <c r="T2194" s="59">
        <f ca="1">Dashboard!C$8* Dashboard!$F$4+Dashboard!C$10*SQRT(Dashboard!$F$4) * _xlfn.NORM.S.INV(RAND())</f>
        <v>-3.9975278677670055E-2</v>
      </c>
      <c r="U2194" s="59">
        <f ca="1">Dashboard!D$8* Dashboard!$F$4+Dashboard!D$10*SQRT(Dashboard!$F$4) * _xlfn.NORM.S.INV(RAND())</f>
        <v>-3.8165830677008988E-2</v>
      </c>
    </row>
    <row r="2195" spans="18:21" x14ac:dyDescent="0.2">
      <c r="R2195" s="49">
        <v>2193</v>
      </c>
      <c r="S2195" s="59">
        <f ca="1">Dashboard!B$8* Dashboard!$F$4+Dashboard!B$10*SQRT(Dashboard!$F$4) * _xlfn.NORM.S.INV(RAND())</f>
        <v>3.7757592361688571E-3</v>
      </c>
      <c r="T2195" s="59">
        <f ca="1">Dashboard!C$8* Dashboard!$F$4+Dashboard!C$10*SQRT(Dashboard!$F$4) * _xlfn.NORM.S.INV(RAND())</f>
        <v>2.1165826399551477E-2</v>
      </c>
      <c r="U2195" s="59">
        <f ca="1">Dashboard!D$8* Dashboard!$F$4+Dashboard!D$10*SQRT(Dashboard!$F$4) * _xlfn.NORM.S.INV(RAND())</f>
        <v>1.9026173700099146E-2</v>
      </c>
    </row>
    <row r="2196" spans="18:21" x14ac:dyDescent="0.2">
      <c r="R2196" s="49">
        <v>2194</v>
      </c>
      <c r="S2196" s="59">
        <f ca="1">Dashboard!B$8* Dashboard!$F$4+Dashboard!B$10*SQRT(Dashboard!$F$4) * _xlfn.NORM.S.INV(RAND())</f>
        <v>-5.4370104053411963E-3</v>
      </c>
      <c r="T2196" s="59">
        <f ca="1">Dashboard!C$8* Dashboard!$F$4+Dashboard!C$10*SQRT(Dashboard!$F$4) * _xlfn.NORM.S.INV(RAND())</f>
        <v>-1.0063065461800094E-2</v>
      </c>
      <c r="U2196" s="59">
        <f ca="1">Dashboard!D$8* Dashboard!$F$4+Dashboard!D$10*SQRT(Dashboard!$F$4) * _xlfn.NORM.S.INV(RAND())</f>
        <v>-3.0601269635229338E-2</v>
      </c>
    </row>
    <row r="2197" spans="18:21" x14ac:dyDescent="0.2">
      <c r="R2197" s="49">
        <v>2195</v>
      </c>
      <c r="S2197" s="59">
        <f ca="1">Dashboard!B$8* Dashboard!$F$4+Dashboard!B$10*SQRT(Dashboard!$F$4) * _xlfn.NORM.S.INV(RAND())</f>
        <v>-1.1550695409382011E-2</v>
      </c>
      <c r="T2197" s="59">
        <f ca="1">Dashboard!C$8* Dashboard!$F$4+Dashboard!C$10*SQRT(Dashboard!$F$4) * _xlfn.NORM.S.INV(RAND())</f>
        <v>3.7566118780908646E-2</v>
      </c>
      <c r="U2197" s="59">
        <f ca="1">Dashboard!D$8* Dashboard!$F$4+Dashboard!D$10*SQRT(Dashboard!$F$4) * _xlfn.NORM.S.INV(RAND())</f>
        <v>-1.6372445352980089E-2</v>
      </c>
    </row>
    <row r="2198" spans="18:21" x14ac:dyDescent="0.2">
      <c r="R2198" s="49">
        <v>2196</v>
      </c>
      <c r="S2198" s="59">
        <f ca="1">Dashboard!B$8* Dashboard!$F$4+Dashboard!B$10*SQRT(Dashboard!$F$4) * _xlfn.NORM.S.INV(RAND())</f>
        <v>-5.4819595882336473E-3</v>
      </c>
      <c r="T2198" s="59">
        <f ca="1">Dashboard!C$8* Dashboard!$F$4+Dashboard!C$10*SQRT(Dashboard!$F$4) * _xlfn.NORM.S.INV(RAND())</f>
        <v>2.6600233171661658E-2</v>
      </c>
      <c r="U2198" s="59">
        <f ca="1">Dashboard!D$8* Dashboard!$F$4+Dashboard!D$10*SQRT(Dashboard!$F$4) * _xlfn.NORM.S.INV(RAND())</f>
        <v>1.3304494764427485E-2</v>
      </c>
    </row>
    <row r="2199" spans="18:21" x14ac:dyDescent="0.2">
      <c r="R2199" s="49">
        <v>2197</v>
      </c>
      <c r="S2199" s="59">
        <f ca="1">Dashboard!B$8* Dashboard!$F$4+Dashboard!B$10*SQRT(Dashboard!$F$4) * _xlfn.NORM.S.INV(RAND())</f>
        <v>5.5162070515362253E-3</v>
      </c>
      <c r="T2199" s="59">
        <f ca="1">Dashboard!C$8* Dashboard!$F$4+Dashboard!C$10*SQRT(Dashboard!$F$4) * _xlfn.NORM.S.INV(RAND())</f>
        <v>3.4413501596091869E-2</v>
      </c>
      <c r="U2199" s="59">
        <f ca="1">Dashboard!D$8* Dashboard!$F$4+Dashboard!D$10*SQRT(Dashboard!$F$4) * _xlfn.NORM.S.INV(RAND())</f>
        <v>1.8680973892460959E-2</v>
      </c>
    </row>
    <row r="2200" spans="18:21" x14ac:dyDescent="0.2">
      <c r="R2200" s="49">
        <v>2198</v>
      </c>
      <c r="S2200" s="59">
        <f ca="1">Dashboard!B$8* Dashboard!$F$4+Dashboard!B$10*SQRT(Dashboard!$F$4) * _xlfn.NORM.S.INV(RAND())</f>
        <v>-3.6888514872751209E-2</v>
      </c>
      <c r="T2200" s="59">
        <f ca="1">Dashboard!C$8* Dashboard!$F$4+Dashboard!C$10*SQRT(Dashboard!$F$4) * _xlfn.NORM.S.INV(RAND())</f>
        <v>7.4667342914903734E-2</v>
      </c>
      <c r="U2200" s="59">
        <f ca="1">Dashboard!D$8* Dashboard!$F$4+Dashboard!D$10*SQRT(Dashboard!$F$4) * _xlfn.NORM.S.INV(RAND())</f>
        <v>-5.0300997319989035E-2</v>
      </c>
    </row>
    <row r="2201" spans="18:21" x14ac:dyDescent="0.2">
      <c r="R2201" s="49">
        <v>2199</v>
      </c>
      <c r="S2201" s="59">
        <f ca="1">Dashboard!B$8* Dashboard!$F$4+Dashboard!B$10*SQRT(Dashboard!$F$4) * _xlfn.NORM.S.INV(RAND())</f>
        <v>6.3444570605864226E-3</v>
      </c>
      <c r="T2201" s="59">
        <f ca="1">Dashboard!C$8* Dashboard!$F$4+Dashboard!C$10*SQRT(Dashboard!$F$4) * _xlfn.NORM.S.INV(RAND())</f>
        <v>-1.9242581944214871E-2</v>
      </c>
      <c r="U2201" s="59">
        <f ca="1">Dashboard!D$8* Dashboard!$F$4+Dashboard!D$10*SQRT(Dashboard!$F$4) * _xlfn.NORM.S.INV(RAND())</f>
        <v>1.5509127593016321E-4</v>
      </c>
    </row>
    <row r="2202" spans="18:21" x14ac:dyDescent="0.2">
      <c r="R2202" s="49">
        <v>2200</v>
      </c>
      <c r="S2202" s="59">
        <f ca="1">Dashboard!B$8* Dashboard!$F$4+Dashboard!B$10*SQRT(Dashboard!$F$4) * _xlfn.NORM.S.INV(RAND())</f>
        <v>-2.482556063337308E-2</v>
      </c>
      <c r="T2202" s="59">
        <f ca="1">Dashboard!C$8* Dashboard!$F$4+Dashboard!C$10*SQRT(Dashboard!$F$4) * _xlfn.NORM.S.INV(RAND())</f>
        <v>-4.5113123194728801E-2</v>
      </c>
      <c r="U2202" s="59">
        <f ca="1">Dashboard!D$8* Dashboard!$F$4+Dashboard!D$10*SQRT(Dashboard!$F$4) * _xlfn.NORM.S.INV(RAND())</f>
        <v>-1.7211944667632921E-2</v>
      </c>
    </row>
    <row r="2203" spans="18:21" x14ac:dyDescent="0.2">
      <c r="R2203" s="49">
        <v>2201</v>
      </c>
      <c r="S2203" s="59">
        <f ca="1">Dashboard!B$8* Dashboard!$F$4+Dashboard!B$10*SQRT(Dashboard!$F$4) * _xlfn.NORM.S.INV(RAND())</f>
        <v>-2.4417231921435023E-2</v>
      </c>
      <c r="T2203" s="59">
        <f ca="1">Dashboard!C$8* Dashboard!$F$4+Dashboard!C$10*SQRT(Dashboard!$F$4) * _xlfn.NORM.S.INV(RAND())</f>
        <v>-4.2122130613646738E-2</v>
      </c>
      <c r="U2203" s="59">
        <f ca="1">Dashboard!D$8* Dashboard!$F$4+Dashboard!D$10*SQRT(Dashboard!$F$4) * _xlfn.NORM.S.INV(RAND())</f>
        <v>5.4878191233286699E-3</v>
      </c>
    </row>
    <row r="2204" spans="18:21" x14ac:dyDescent="0.2">
      <c r="R2204" s="49">
        <v>2202</v>
      </c>
      <c r="S2204" s="59">
        <f ca="1">Dashboard!B$8* Dashboard!$F$4+Dashboard!B$10*SQRT(Dashboard!$F$4) * _xlfn.NORM.S.INV(RAND())</f>
        <v>-1.0440484719303285E-2</v>
      </c>
      <c r="T2204" s="59">
        <f ca="1">Dashboard!C$8* Dashboard!$F$4+Dashboard!C$10*SQRT(Dashboard!$F$4) * _xlfn.NORM.S.INV(RAND())</f>
        <v>-6.0893547266461664E-2</v>
      </c>
      <c r="U2204" s="59">
        <f ca="1">Dashboard!D$8* Dashboard!$F$4+Dashboard!D$10*SQRT(Dashboard!$F$4) * _xlfn.NORM.S.INV(RAND())</f>
        <v>4.2575510935593822E-2</v>
      </c>
    </row>
    <row r="2205" spans="18:21" x14ac:dyDescent="0.2">
      <c r="R2205" s="49">
        <v>2203</v>
      </c>
      <c r="S2205" s="59">
        <f ca="1">Dashboard!B$8* Dashboard!$F$4+Dashboard!B$10*SQRT(Dashboard!$F$4) * _xlfn.NORM.S.INV(RAND())</f>
        <v>-2.0956513960873217E-2</v>
      </c>
      <c r="T2205" s="59">
        <f ca="1">Dashboard!C$8* Dashboard!$F$4+Dashboard!C$10*SQRT(Dashboard!$F$4) * _xlfn.NORM.S.INV(RAND())</f>
        <v>-2.7161679678348784E-3</v>
      </c>
      <c r="U2205" s="59">
        <f ca="1">Dashboard!D$8* Dashboard!$F$4+Dashboard!D$10*SQRT(Dashboard!$F$4) * _xlfn.NORM.S.INV(RAND())</f>
        <v>9.6356121511118886E-3</v>
      </c>
    </row>
    <row r="2206" spans="18:21" x14ac:dyDescent="0.2">
      <c r="R2206" s="49">
        <v>2204</v>
      </c>
      <c r="S2206" s="59">
        <f ca="1">Dashboard!B$8* Dashboard!$F$4+Dashboard!B$10*SQRT(Dashboard!$F$4) * _xlfn.NORM.S.INV(RAND())</f>
        <v>-1.1020188621055197E-2</v>
      </c>
      <c r="T2206" s="59">
        <f ca="1">Dashboard!C$8* Dashboard!$F$4+Dashboard!C$10*SQRT(Dashboard!$F$4) * _xlfn.NORM.S.INV(RAND())</f>
        <v>1.2989244980768228E-2</v>
      </c>
      <c r="U2206" s="59">
        <f ca="1">Dashboard!D$8* Dashboard!$F$4+Dashboard!D$10*SQRT(Dashboard!$F$4) * _xlfn.NORM.S.INV(RAND())</f>
        <v>-8.1596483595268408E-3</v>
      </c>
    </row>
    <row r="2207" spans="18:21" x14ac:dyDescent="0.2">
      <c r="R2207" s="49">
        <v>2205</v>
      </c>
      <c r="S2207" s="59">
        <f ca="1">Dashboard!B$8* Dashboard!$F$4+Dashboard!B$10*SQRT(Dashboard!$F$4) * _xlfn.NORM.S.INV(RAND())</f>
        <v>-1.6559230402649346E-2</v>
      </c>
      <c r="T2207" s="59">
        <f ca="1">Dashboard!C$8* Dashboard!$F$4+Dashboard!C$10*SQRT(Dashboard!$F$4) * _xlfn.NORM.S.INV(RAND())</f>
        <v>4.1301811878592089E-2</v>
      </c>
      <c r="U2207" s="59">
        <f ca="1">Dashboard!D$8* Dashboard!$F$4+Dashboard!D$10*SQRT(Dashboard!$F$4) * _xlfn.NORM.S.INV(RAND())</f>
        <v>1.1438006490414798E-2</v>
      </c>
    </row>
    <row r="2208" spans="18:21" x14ac:dyDescent="0.2">
      <c r="R2208" s="49">
        <v>2206</v>
      </c>
      <c r="S2208" s="59">
        <f ca="1">Dashboard!B$8* Dashboard!$F$4+Dashboard!B$10*SQRT(Dashboard!$F$4) * _xlfn.NORM.S.INV(RAND())</f>
        <v>2.6242937819779134E-2</v>
      </c>
      <c r="T2208" s="59">
        <f ca="1">Dashboard!C$8* Dashboard!$F$4+Dashboard!C$10*SQRT(Dashboard!$F$4) * _xlfn.NORM.S.INV(RAND())</f>
        <v>-3.2830817664100335E-2</v>
      </c>
      <c r="U2208" s="59">
        <f ca="1">Dashboard!D$8* Dashboard!$F$4+Dashboard!D$10*SQRT(Dashboard!$F$4) * _xlfn.NORM.S.INV(RAND())</f>
        <v>-5.6422843806481944E-2</v>
      </c>
    </row>
    <row r="2209" spans="18:21" x14ac:dyDescent="0.2">
      <c r="R2209" s="49">
        <v>2207</v>
      </c>
      <c r="S2209" s="59">
        <f ca="1">Dashboard!B$8* Dashboard!$F$4+Dashboard!B$10*SQRT(Dashboard!$F$4) * _xlfn.NORM.S.INV(RAND())</f>
        <v>6.036463601198451E-2</v>
      </c>
      <c r="T2209" s="59">
        <f ca="1">Dashboard!C$8* Dashboard!$F$4+Dashboard!C$10*SQRT(Dashboard!$F$4) * _xlfn.NORM.S.INV(RAND())</f>
        <v>-7.7130396829367759E-2</v>
      </c>
      <c r="U2209" s="59">
        <f ca="1">Dashboard!D$8* Dashboard!$F$4+Dashboard!D$10*SQRT(Dashboard!$F$4) * _xlfn.NORM.S.INV(RAND())</f>
        <v>-1.3979482939587048E-2</v>
      </c>
    </row>
    <row r="2210" spans="18:21" x14ac:dyDescent="0.2">
      <c r="R2210" s="49">
        <v>2208</v>
      </c>
      <c r="S2210" s="59">
        <f ca="1">Dashboard!B$8* Dashboard!$F$4+Dashboard!B$10*SQRT(Dashboard!$F$4) * _xlfn.NORM.S.INV(RAND())</f>
        <v>-1.2065718593156527E-2</v>
      </c>
      <c r="T2210" s="59">
        <f ca="1">Dashboard!C$8* Dashboard!$F$4+Dashboard!C$10*SQRT(Dashboard!$F$4) * _xlfn.NORM.S.INV(RAND())</f>
        <v>-4.7884627621777157E-2</v>
      </c>
      <c r="U2210" s="59">
        <f ca="1">Dashboard!D$8* Dashboard!$F$4+Dashboard!D$10*SQRT(Dashboard!$F$4) * _xlfn.NORM.S.INV(RAND())</f>
        <v>1.2497646938312141E-2</v>
      </c>
    </row>
    <row r="2211" spans="18:21" x14ac:dyDescent="0.2">
      <c r="R2211" s="49">
        <v>2209</v>
      </c>
      <c r="S2211" s="59">
        <f ca="1">Dashboard!B$8* Dashboard!$F$4+Dashboard!B$10*SQRT(Dashboard!$F$4) * _xlfn.NORM.S.INV(RAND())</f>
        <v>-2.6368626916095171E-2</v>
      </c>
      <c r="T2211" s="59">
        <f ca="1">Dashboard!C$8* Dashboard!$F$4+Dashboard!C$10*SQRT(Dashboard!$F$4) * _xlfn.NORM.S.INV(RAND())</f>
        <v>8.0381947777055131E-3</v>
      </c>
      <c r="U2211" s="59">
        <f ca="1">Dashboard!D$8* Dashboard!$F$4+Dashboard!D$10*SQRT(Dashboard!$F$4) * _xlfn.NORM.S.INV(RAND())</f>
        <v>-7.7666344602239411E-3</v>
      </c>
    </row>
    <row r="2212" spans="18:21" x14ac:dyDescent="0.2">
      <c r="R2212" s="49">
        <v>2210</v>
      </c>
      <c r="S2212" s="59">
        <f ca="1">Dashboard!B$8* Dashboard!$F$4+Dashboard!B$10*SQRT(Dashboard!$F$4) * _xlfn.NORM.S.INV(RAND())</f>
        <v>-1.3730947173915813E-2</v>
      </c>
      <c r="T2212" s="59">
        <f ca="1">Dashboard!C$8* Dashboard!$F$4+Dashboard!C$10*SQRT(Dashboard!$F$4) * _xlfn.NORM.S.INV(RAND())</f>
        <v>-2.9705151814644833E-2</v>
      </c>
      <c r="U2212" s="59">
        <f ca="1">Dashboard!D$8* Dashboard!$F$4+Dashboard!D$10*SQRT(Dashboard!$F$4) * _xlfn.NORM.S.INV(RAND())</f>
        <v>-1.3889030565065302E-2</v>
      </c>
    </row>
    <row r="2213" spans="18:21" x14ac:dyDescent="0.2">
      <c r="R2213" s="49">
        <v>2211</v>
      </c>
      <c r="S2213" s="59">
        <f ca="1">Dashboard!B$8* Dashboard!$F$4+Dashboard!B$10*SQRT(Dashboard!$F$4) * _xlfn.NORM.S.INV(RAND())</f>
        <v>1.5935457760212025E-2</v>
      </c>
      <c r="T2213" s="59">
        <f ca="1">Dashboard!C$8* Dashboard!$F$4+Dashboard!C$10*SQRT(Dashboard!$F$4) * _xlfn.NORM.S.INV(RAND())</f>
        <v>4.2510656998495107E-2</v>
      </c>
      <c r="U2213" s="59">
        <f ca="1">Dashboard!D$8* Dashboard!$F$4+Dashboard!D$10*SQRT(Dashboard!$F$4) * _xlfn.NORM.S.INV(RAND())</f>
        <v>3.2357793171235834E-2</v>
      </c>
    </row>
    <row r="2214" spans="18:21" x14ac:dyDescent="0.2">
      <c r="R2214" s="49">
        <v>2212</v>
      </c>
      <c r="S2214" s="59">
        <f ca="1">Dashboard!B$8* Dashboard!$F$4+Dashboard!B$10*SQRT(Dashboard!$F$4) * _xlfn.NORM.S.INV(RAND())</f>
        <v>4.6717305658109387E-3</v>
      </c>
      <c r="T2214" s="59">
        <f ca="1">Dashboard!C$8* Dashboard!$F$4+Dashboard!C$10*SQRT(Dashboard!$F$4) * _xlfn.NORM.S.INV(RAND())</f>
        <v>4.5451189827937541E-2</v>
      </c>
      <c r="U2214" s="59">
        <f ca="1">Dashboard!D$8* Dashboard!$F$4+Dashboard!D$10*SQRT(Dashboard!$F$4) * _xlfn.NORM.S.INV(RAND())</f>
        <v>-1.2099115123859611E-2</v>
      </c>
    </row>
    <row r="2215" spans="18:21" x14ac:dyDescent="0.2">
      <c r="R2215" s="49">
        <v>2213</v>
      </c>
      <c r="S2215" s="59">
        <f ca="1">Dashboard!B$8* Dashboard!$F$4+Dashboard!B$10*SQRT(Dashboard!$F$4) * _xlfn.NORM.S.INV(RAND())</f>
        <v>1.7568232855193107E-2</v>
      </c>
      <c r="T2215" s="59">
        <f ca="1">Dashboard!C$8* Dashboard!$F$4+Dashboard!C$10*SQRT(Dashboard!$F$4) * _xlfn.NORM.S.INV(RAND())</f>
        <v>4.4524075147355666E-2</v>
      </c>
      <c r="U2215" s="59">
        <f ca="1">Dashboard!D$8* Dashboard!$F$4+Dashboard!D$10*SQRT(Dashboard!$F$4) * _xlfn.NORM.S.INV(RAND())</f>
        <v>-2.2127488181608226E-2</v>
      </c>
    </row>
    <row r="2216" spans="18:21" x14ac:dyDescent="0.2">
      <c r="R2216" s="49">
        <v>2214</v>
      </c>
      <c r="S2216" s="59">
        <f ca="1">Dashboard!B$8* Dashboard!$F$4+Dashboard!B$10*SQRT(Dashboard!$F$4) * _xlfn.NORM.S.INV(RAND())</f>
        <v>4.6610346150473915E-2</v>
      </c>
      <c r="T2216" s="59">
        <f ca="1">Dashboard!C$8* Dashboard!$F$4+Dashboard!C$10*SQRT(Dashboard!$F$4) * _xlfn.NORM.S.INV(RAND())</f>
        <v>4.5175823107585014E-2</v>
      </c>
      <c r="U2216" s="59">
        <f ca="1">Dashboard!D$8* Dashboard!$F$4+Dashboard!D$10*SQRT(Dashboard!$F$4) * _xlfn.NORM.S.INV(RAND())</f>
        <v>4.6776692231317828E-2</v>
      </c>
    </row>
    <row r="2217" spans="18:21" x14ac:dyDescent="0.2">
      <c r="R2217" s="49">
        <v>2215</v>
      </c>
      <c r="S2217" s="59">
        <f ca="1">Dashboard!B$8* Dashboard!$F$4+Dashboard!B$10*SQRT(Dashboard!$F$4) * _xlfn.NORM.S.INV(RAND())</f>
        <v>1.1575396547419041E-2</v>
      </c>
      <c r="T2217" s="59">
        <f ca="1">Dashboard!C$8* Dashboard!$F$4+Dashboard!C$10*SQRT(Dashboard!$F$4) * _xlfn.NORM.S.INV(RAND())</f>
        <v>9.207176657080548E-4</v>
      </c>
      <c r="U2217" s="59">
        <f ca="1">Dashboard!D$8* Dashboard!$F$4+Dashboard!D$10*SQRT(Dashboard!$F$4) * _xlfn.NORM.S.INV(RAND())</f>
        <v>2.113211548161607E-2</v>
      </c>
    </row>
    <row r="2218" spans="18:21" x14ac:dyDescent="0.2">
      <c r="R2218" s="49">
        <v>2216</v>
      </c>
      <c r="S2218" s="59">
        <f ca="1">Dashboard!B$8* Dashboard!$F$4+Dashboard!B$10*SQRT(Dashboard!$F$4) * _xlfn.NORM.S.INV(RAND())</f>
        <v>2.8523447865273456E-3</v>
      </c>
      <c r="T2218" s="59">
        <f ca="1">Dashboard!C$8* Dashboard!$F$4+Dashboard!C$10*SQRT(Dashboard!$F$4) * _xlfn.NORM.S.INV(RAND())</f>
        <v>1.0149722445139987E-2</v>
      </c>
      <c r="U2218" s="59">
        <f ca="1">Dashboard!D$8* Dashboard!$F$4+Dashboard!D$10*SQRT(Dashboard!$F$4) * _xlfn.NORM.S.INV(RAND())</f>
        <v>4.8715655335591988E-2</v>
      </c>
    </row>
    <row r="2219" spans="18:21" x14ac:dyDescent="0.2">
      <c r="R2219" s="49">
        <v>2217</v>
      </c>
      <c r="S2219" s="59">
        <f ca="1">Dashboard!B$8* Dashboard!$F$4+Dashboard!B$10*SQRT(Dashboard!$F$4) * _xlfn.NORM.S.INV(RAND())</f>
        <v>1.7137165192789842E-2</v>
      </c>
      <c r="T2219" s="59">
        <f ca="1">Dashboard!C$8* Dashboard!$F$4+Dashboard!C$10*SQRT(Dashboard!$F$4) * _xlfn.NORM.S.INV(RAND())</f>
        <v>-4.7338650465393033E-2</v>
      </c>
      <c r="U2219" s="59">
        <f ca="1">Dashboard!D$8* Dashboard!$F$4+Dashboard!D$10*SQRT(Dashboard!$F$4) * _xlfn.NORM.S.INV(RAND())</f>
        <v>1.7349764394935779E-2</v>
      </c>
    </row>
    <row r="2220" spans="18:21" x14ac:dyDescent="0.2">
      <c r="R2220" s="49">
        <v>2218</v>
      </c>
      <c r="S2220" s="59">
        <f ca="1">Dashboard!B$8* Dashboard!$F$4+Dashboard!B$10*SQRT(Dashboard!$F$4) * _xlfn.NORM.S.INV(RAND())</f>
        <v>-7.3495235306457974E-3</v>
      </c>
      <c r="T2220" s="59">
        <f ca="1">Dashboard!C$8* Dashboard!$F$4+Dashboard!C$10*SQRT(Dashboard!$F$4) * _xlfn.NORM.S.INV(RAND())</f>
        <v>2.3630542248402685E-2</v>
      </c>
      <c r="U2220" s="59">
        <f ca="1">Dashboard!D$8* Dashboard!$F$4+Dashboard!D$10*SQRT(Dashboard!$F$4) * _xlfn.NORM.S.INV(RAND())</f>
        <v>3.5244537812615641E-2</v>
      </c>
    </row>
    <row r="2221" spans="18:21" x14ac:dyDescent="0.2">
      <c r="R2221" s="49">
        <v>2219</v>
      </c>
      <c r="S2221" s="59">
        <f ca="1">Dashboard!B$8* Dashboard!$F$4+Dashboard!B$10*SQRT(Dashboard!$F$4) * _xlfn.NORM.S.INV(RAND())</f>
        <v>4.1440407610876633E-2</v>
      </c>
      <c r="T2221" s="59">
        <f ca="1">Dashboard!C$8* Dashboard!$F$4+Dashboard!C$10*SQRT(Dashboard!$F$4) * _xlfn.NORM.S.INV(RAND())</f>
        <v>2.6205185128079529E-2</v>
      </c>
      <c r="U2221" s="59">
        <f ca="1">Dashboard!D$8* Dashboard!$F$4+Dashboard!D$10*SQRT(Dashboard!$F$4) * _xlfn.NORM.S.INV(RAND())</f>
        <v>1.7252350713797021E-2</v>
      </c>
    </row>
    <row r="2222" spans="18:21" x14ac:dyDescent="0.2">
      <c r="R2222" s="49">
        <v>2220</v>
      </c>
      <c r="S2222" s="59">
        <f ca="1">Dashboard!B$8* Dashboard!$F$4+Dashboard!B$10*SQRT(Dashboard!$F$4) * _xlfn.NORM.S.INV(RAND())</f>
        <v>-3.5991370130450135E-4</v>
      </c>
      <c r="T2222" s="59">
        <f ca="1">Dashboard!C$8* Dashboard!$F$4+Dashboard!C$10*SQRT(Dashboard!$F$4) * _xlfn.NORM.S.INV(RAND())</f>
        <v>3.4133496074186337E-2</v>
      </c>
      <c r="U2222" s="59">
        <f ca="1">Dashboard!D$8* Dashboard!$F$4+Dashboard!D$10*SQRT(Dashboard!$F$4) * _xlfn.NORM.S.INV(RAND())</f>
        <v>-5.1696897141216197E-2</v>
      </c>
    </row>
    <row r="2223" spans="18:21" x14ac:dyDescent="0.2">
      <c r="R2223" s="49">
        <v>2221</v>
      </c>
      <c r="S2223" s="59">
        <f ca="1">Dashboard!B$8* Dashboard!$F$4+Dashboard!B$10*SQRT(Dashboard!$F$4) * _xlfn.NORM.S.INV(RAND())</f>
        <v>-1.8985551011341563E-2</v>
      </c>
      <c r="T2223" s="59">
        <f ca="1">Dashboard!C$8* Dashboard!$F$4+Dashboard!C$10*SQRT(Dashboard!$F$4) * _xlfn.NORM.S.INV(RAND())</f>
        <v>8.9779727997497463E-3</v>
      </c>
      <c r="U2223" s="59">
        <f ca="1">Dashboard!D$8* Dashboard!$F$4+Dashboard!D$10*SQRT(Dashboard!$F$4) * _xlfn.NORM.S.INV(RAND())</f>
        <v>7.7263562907438021E-2</v>
      </c>
    </row>
    <row r="2224" spans="18:21" x14ac:dyDescent="0.2">
      <c r="R2224" s="49">
        <v>2222</v>
      </c>
      <c r="S2224" s="59">
        <f ca="1">Dashboard!B$8* Dashboard!$F$4+Dashboard!B$10*SQRT(Dashboard!$F$4) * _xlfn.NORM.S.INV(RAND())</f>
        <v>-3.3976051498481478E-2</v>
      </c>
      <c r="T2224" s="59">
        <f ca="1">Dashboard!C$8* Dashboard!$F$4+Dashboard!C$10*SQRT(Dashboard!$F$4) * _xlfn.NORM.S.INV(RAND())</f>
        <v>-8.9245674258728105E-3</v>
      </c>
      <c r="U2224" s="59">
        <f ca="1">Dashboard!D$8* Dashboard!$F$4+Dashboard!D$10*SQRT(Dashboard!$F$4) * _xlfn.NORM.S.INV(RAND())</f>
        <v>3.0896926151925515E-2</v>
      </c>
    </row>
    <row r="2225" spans="18:21" x14ac:dyDescent="0.2">
      <c r="R2225" s="49">
        <v>2223</v>
      </c>
      <c r="S2225" s="59">
        <f ca="1">Dashboard!B$8* Dashboard!$F$4+Dashboard!B$10*SQRT(Dashboard!$F$4) * _xlfn.NORM.S.INV(RAND())</f>
        <v>1.2569738200162254E-2</v>
      </c>
      <c r="T2225" s="59">
        <f ca="1">Dashboard!C$8* Dashboard!$F$4+Dashboard!C$10*SQRT(Dashboard!$F$4) * _xlfn.NORM.S.INV(RAND())</f>
        <v>2.0432567069547602E-2</v>
      </c>
      <c r="U2225" s="59">
        <f ca="1">Dashboard!D$8* Dashboard!$F$4+Dashboard!D$10*SQRT(Dashboard!$F$4) * _xlfn.NORM.S.INV(RAND())</f>
        <v>-1.962605029457325E-2</v>
      </c>
    </row>
    <row r="2226" spans="18:21" x14ac:dyDescent="0.2">
      <c r="R2226" s="49">
        <v>2224</v>
      </c>
      <c r="S2226" s="59">
        <f ca="1">Dashboard!B$8* Dashboard!$F$4+Dashboard!B$10*SQRT(Dashboard!$F$4) * _xlfn.NORM.S.INV(RAND())</f>
        <v>-2.0956300035211123E-2</v>
      </c>
      <c r="T2226" s="59">
        <f ca="1">Dashboard!C$8* Dashboard!$F$4+Dashboard!C$10*SQRT(Dashboard!$F$4) * _xlfn.NORM.S.INV(RAND())</f>
        <v>9.9737775015482835E-3</v>
      </c>
      <c r="U2226" s="59">
        <f ca="1">Dashboard!D$8* Dashboard!$F$4+Dashboard!D$10*SQRT(Dashboard!$F$4) * _xlfn.NORM.S.INV(RAND())</f>
        <v>-1.2481038500093401E-2</v>
      </c>
    </row>
    <row r="2227" spans="18:21" x14ac:dyDescent="0.2">
      <c r="R2227" s="49">
        <v>2225</v>
      </c>
      <c r="S2227" s="59">
        <f ca="1">Dashboard!B$8* Dashboard!$F$4+Dashboard!B$10*SQRT(Dashboard!$F$4) * _xlfn.NORM.S.INV(RAND())</f>
        <v>3.4161348318398226E-2</v>
      </c>
      <c r="T2227" s="59">
        <f ca="1">Dashboard!C$8* Dashboard!$F$4+Dashboard!C$10*SQRT(Dashboard!$F$4) * _xlfn.NORM.S.INV(RAND())</f>
        <v>-2.2080134855512804E-2</v>
      </c>
      <c r="U2227" s="59">
        <f ca="1">Dashboard!D$8* Dashboard!$F$4+Dashboard!D$10*SQRT(Dashboard!$F$4) * _xlfn.NORM.S.INV(RAND())</f>
        <v>1.5710369734764792E-2</v>
      </c>
    </row>
    <row r="2228" spans="18:21" x14ac:dyDescent="0.2">
      <c r="R2228" s="49">
        <v>2226</v>
      </c>
      <c r="S2228" s="59">
        <f ca="1">Dashboard!B$8* Dashboard!$F$4+Dashboard!B$10*SQRT(Dashboard!$F$4) * _xlfn.NORM.S.INV(RAND())</f>
        <v>1.9451068773232355E-2</v>
      </c>
      <c r="T2228" s="59">
        <f ca="1">Dashboard!C$8* Dashboard!$F$4+Dashboard!C$10*SQRT(Dashboard!$F$4) * _xlfn.NORM.S.INV(RAND())</f>
        <v>-6.924408976878107E-3</v>
      </c>
      <c r="U2228" s="59">
        <f ca="1">Dashboard!D$8* Dashboard!$F$4+Dashboard!D$10*SQRT(Dashboard!$F$4) * _xlfn.NORM.S.INV(RAND())</f>
        <v>-3.0726888018514444E-2</v>
      </c>
    </row>
    <row r="2229" spans="18:21" x14ac:dyDescent="0.2">
      <c r="R2229" s="49">
        <v>2227</v>
      </c>
      <c r="S2229" s="59">
        <f ca="1">Dashboard!B$8* Dashboard!$F$4+Dashboard!B$10*SQRT(Dashboard!$F$4) * _xlfn.NORM.S.INV(RAND())</f>
        <v>1.18821419865299E-2</v>
      </c>
      <c r="T2229" s="59">
        <f ca="1">Dashboard!C$8* Dashboard!$F$4+Dashboard!C$10*SQRT(Dashboard!$F$4) * _xlfn.NORM.S.INV(RAND())</f>
        <v>4.5074379570959326E-2</v>
      </c>
      <c r="U2229" s="59">
        <f ca="1">Dashboard!D$8* Dashboard!$F$4+Dashboard!D$10*SQRT(Dashboard!$F$4) * _xlfn.NORM.S.INV(RAND())</f>
        <v>3.3702421661217098E-2</v>
      </c>
    </row>
    <row r="2230" spans="18:21" x14ac:dyDescent="0.2">
      <c r="R2230" s="49">
        <v>2228</v>
      </c>
      <c r="S2230" s="59">
        <f ca="1">Dashboard!B$8* Dashboard!$F$4+Dashboard!B$10*SQRT(Dashboard!$F$4) * _xlfn.NORM.S.INV(RAND())</f>
        <v>-2.8881023923735281E-2</v>
      </c>
      <c r="T2230" s="59">
        <f ca="1">Dashboard!C$8* Dashboard!$F$4+Dashboard!C$10*SQRT(Dashboard!$F$4) * _xlfn.NORM.S.INV(RAND())</f>
        <v>3.9707337559266809E-2</v>
      </c>
      <c r="U2230" s="59">
        <f ca="1">Dashboard!D$8* Dashboard!$F$4+Dashboard!D$10*SQRT(Dashboard!$F$4) * _xlfn.NORM.S.INV(RAND())</f>
        <v>2.5026498341831616E-2</v>
      </c>
    </row>
    <row r="2231" spans="18:21" x14ac:dyDescent="0.2">
      <c r="R2231" s="49">
        <v>2229</v>
      </c>
      <c r="S2231" s="59">
        <f ca="1">Dashboard!B$8* Dashboard!$F$4+Dashboard!B$10*SQRT(Dashboard!$F$4) * _xlfn.NORM.S.INV(RAND())</f>
        <v>1.2788447654280234E-2</v>
      </c>
      <c r="T2231" s="59">
        <f ca="1">Dashboard!C$8* Dashboard!$F$4+Dashboard!C$10*SQRT(Dashboard!$F$4) * _xlfn.NORM.S.INV(RAND())</f>
        <v>-6.4981207237304134E-2</v>
      </c>
      <c r="U2231" s="59">
        <f ca="1">Dashboard!D$8* Dashboard!$F$4+Dashboard!D$10*SQRT(Dashboard!$F$4) * _xlfn.NORM.S.INV(RAND())</f>
        <v>-3.7240649879072642E-2</v>
      </c>
    </row>
    <row r="2232" spans="18:21" x14ac:dyDescent="0.2">
      <c r="R2232" s="49">
        <v>2230</v>
      </c>
      <c r="S2232" s="59">
        <f ca="1">Dashboard!B$8* Dashboard!$F$4+Dashboard!B$10*SQRT(Dashboard!$F$4) * _xlfn.NORM.S.INV(RAND())</f>
        <v>1.1502721903421274E-2</v>
      </c>
      <c r="T2232" s="59">
        <f ca="1">Dashboard!C$8* Dashboard!$F$4+Dashboard!C$10*SQRT(Dashboard!$F$4) * _xlfn.NORM.S.INV(RAND())</f>
        <v>-3.5114036024642893E-2</v>
      </c>
      <c r="U2232" s="59">
        <f ca="1">Dashboard!D$8* Dashboard!$F$4+Dashboard!D$10*SQRT(Dashboard!$F$4) * _xlfn.NORM.S.INV(RAND())</f>
        <v>-1.2606442867638991E-3</v>
      </c>
    </row>
    <row r="2233" spans="18:21" x14ac:dyDescent="0.2">
      <c r="R2233" s="49">
        <v>2231</v>
      </c>
      <c r="S2233" s="59">
        <f ca="1">Dashboard!B$8* Dashboard!$F$4+Dashboard!B$10*SQRT(Dashboard!$F$4) * _xlfn.NORM.S.INV(RAND())</f>
        <v>4.6678355107077123E-2</v>
      </c>
      <c r="T2233" s="59">
        <f ca="1">Dashboard!C$8* Dashboard!$F$4+Dashboard!C$10*SQRT(Dashboard!$F$4) * _xlfn.NORM.S.INV(RAND())</f>
        <v>-3.6903429703676945E-2</v>
      </c>
      <c r="U2233" s="59">
        <f ca="1">Dashboard!D$8* Dashboard!$F$4+Dashboard!D$10*SQRT(Dashboard!$F$4) * _xlfn.NORM.S.INV(RAND())</f>
        <v>3.641608326260052E-2</v>
      </c>
    </row>
    <row r="2234" spans="18:21" x14ac:dyDescent="0.2">
      <c r="R2234" s="49">
        <v>2232</v>
      </c>
      <c r="S2234" s="59">
        <f ca="1">Dashboard!B$8* Dashboard!$F$4+Dashboard!B$10*SQRT(Dashboard!$F$4) * _xlfn.NORM.S.INV(RAND())</f>
        <v>2.4593582004475319E-2</v>
      </c>
      <c r="T2234" s="59">
        <f ca="1">Dashboard!C$8* Dashboard!$F$4+Dashboard!C$10*SQRT(Dashboard!$F$4) * _xlfn.NORM.S.INV(RAND())</f>
        <v>3.0496861454115478E-2</v>
      </c>
      <c r="U2234" s="59">
        <f ca="1">Dashboard!D$8* Dashboard!$F$4+Dashboard!D$10*SQRT(Dashboard!$F$4) * _xlfn.NORM.S.INV(RAND())</f>
        <v>-1.6502092333328184E-2</v>
      </c>
    </row>
    <row r="2235" spans="18:21" x14ac:dyDescent="0.2">
      <c r="R2235" s="49">
        <v>2233</v>
      </c>
      <c r="S2235" s="59">
        <f ca="1">Dashboard!B$8* Dashboard!$F$4+Dashboard!B$10*SQRT(Dashboard!$F$4) * _xlfn.NORM.S.INV(RAND())</f>
        <v>4.8317158828726177E-2</v>
      </c>
      <c r="T2235" s="59">
        <f ca="1">Dashboard!C$8* Dashboard!$F$4+Dashboard!C$10*SQRT(Dashboard!$F$4) * _xlfn.NORM.S.INV(RAND())</f>
        <v>2.8952294603717954E-4</v>
      </c>
      <c r="U2235" s="59">
        <f ca="1">Dashboard!D$8* Dashboard!$F$4+Dashboard!D$10*SQRT(Dashboard!$F$4) * _xlfn.NORM.S.INV(RAND())</f>
        <v>3.3490278820352444E-2</v>
      </c>
    </row>
    <row r="2236" spans="18:21" x14ac:dyDescent="0.2">
      <c r="R2236" s="49">
        <v>2234</v>
      </c>
      <c r="S2236" s="59">
        <f ca="1">Dashboard!B$8* Dashboard!$F$4+Dashboard!B$10*SQRT(Dashboard!$F$4) * _xlfn.NORM.S.INV(RAND())</f>
        <v>-4.8921369751454532E-3</v>
      </c>
      <c r="T2236" s="59">
        <f ca="1">Dashboard!C$8* Dashboard!$F$4+Dashboard!C$10*SQRT(Dashboard!$F$4) * _xlfn.NORM.S.INV(RAND())</f>
        <v>1.000833636291314E-2</v>
      </c>
      <c r="U2236" s="59">
        <f ca="1">Dashboard!D$8* Dashboard!$F$4+Dashboard!D$10*SQRT(Dashboard!$F$4) * _xlfn.NORM.S.INV(RAND())</f>
        <v>-1.3191233468285178E-2</v>
      </c>
    </row>
    <row r="2237" spans="18:21" x14ac:dyDescent="0.2">
      <c r="R2237" s="49">
        <v>2235</v>
      </c>
      <c r="S2237" s="59">
        <f ca="1">Dashboard!B$8* Dashboard!$F$4+Dashboard!B$10*SQRT(Dashboard!$F$4) * _xlfn.NORM.S.INV(RAND())</f>
        <v>-1.9013458037416657E-2</v>
      </c>
      <c r="T2237" s="59">
        <f ca="1">Dashboard!C$8* Dashboard!$F$4+Dashboard!C$10*SQRT(Dashboard!$F$4) * _xlfn.NORM.S.INV(RAND())</f>
        <v>-2.5345277674658009E-3</v>
      </c>
      <c r="U2237" s="59">
        <f ca="1">Dashboard!D$8* Dashboard!$F$4+Dashboard!D$10*SQRT(Dashboard!$F$4) * _xlfn.NORM.S.INV(RAND())</f>
        <v>5.4192318629685904E-2</v>
      </c>
    </row>
    <row r="2238" spans="18:21" x14ac:dyDescent="0.2">
      <c r="R2238" s="49">
        <v>2236</v>
      </c>
      <c r="S2238" s="59">
        <f ca="1">Dashboard!B$8* Dashboard!$F$4+Dashboard!B$10*SQRT(Dashboard!$F$4) * _xlfn.NORM.S.INV(RAND())</f>
        <v>3.6336268493811094E-2</v>
      </c>
      <c r="T2238" s="59">
        <f ca="1">Dashboard!C$8* Dashboard!$F$4+Dashboard!C$10*SQRT(Dashboard!$F$4) * _xlfn.NORM.S.INV(RAND())</f>
        <v>4.8348952792529938E-2</v>
      </c>
      <c r="U2238" s="59">
        <f ca="1">Dashboard!D$8* Dashboard!$F$4+Dashboard!D$10*SQRT(Dashboard!$F$4) * _xlfn.NORM.S.INV(RAND())</f>
        <v>1.1337714614214011E-3</v>
      </c>
    </row>
    <row r="2239" spans="18:21" x14ac:dyDescent="0.2">
      <c r="R2239" s="49">
        <v>2237</v>
      </c>
      <c r="S2239" s="59">
        <f ca="1">Dashboard!B$8* Dashboard!$F$4+Dashboard!B$10*SQRT(Dashboard!$F$4) * _xlfn.NORM.S.INV(RAND())</f>
        <v>2.5279865919328404E-2</v>
      </c>
      <c r="T2239" s="59">
        <f ca="1">Dashboard!C$8* Dashboard!$F$4+Dashboard!C$10*SQRT(Dashboard!$F$4) * _xlfn.NORM.S.INV(RAND())</f>
        <v>7.1905682724906937E-3</v>
      </c>
      <c r="U2239" s="59">
        <f ca="1">Dashboard!D$8* Dashboard!$F$4+Dashboard!D$10*SQRT(Dashboard!$F$4) * _xlfn.NORM.S.INV(RAND())</f>
        <v>-8.749383288577859E-3</v>
      </c>
    </row>
    <row r="2240" spans="18:21" x14ac:dyDescent="0.2">
      <c r="R2240" s="49">
        <v>2238</v>
      </c>
      <c r="S2240" s="59">
        <f ca="1">Dashboard!B$8* Dashboard!$F$4+Dashboard!B$10*SQRT(Dashboard!$F$4) * _xlfn.NORM.S.INV(RAND())</f>
        <v>-1.5414012702445336E-2</v>
      </c>
      <c r="T2240" s="59">
        <f ca="1">Dashboard!C$8* Dashboard!$F$4+Dashboard!C$10*SQRT(Dashboard!$F$4) * _xlfn.NORM.S.INV(RAND())</f>
        <v>2.4054954725225078E-2</v>
      </c>
      <c r="U2240" s="59">
        <f ca="1">Dashboard!D$8* Dashboard!$F$4+Dashboard!D$10*SQRT(Dashboard!$F$4) * _xlfn.NORM.S.INV(RAND())</f>
        <v>5.7363534498636962E-3</v>
      </c>
    </row>
    <row r="2241" spans="18:21" x14ac:dyDescent="0.2">
      <c r="R2241" s="49">
        <v>2239</v>
      </c>
      <c r="S2241" s="59">
        <f ca="1">Dashboard!B$8* Dashboard!$F$4+Dashboard!B$10*SQRT(Dashboard!$F$4) * _xlfn.NORM.S.INV(RAND())</f>
        <v>5.858430933975825E-3</v>
      </c>
      <c r="T2241" s="59">
        <f ca="1">Dashboard!C$8* Dashboard!$F$4+Dashboard!C$10*SQRT(Dashboard!$F$4) * _xlfn.NORM.S.INV(RAND())</f>
        <v>-4.7651764210464076E-2</v>
      </c>
      <c r="U2241" s="59">
        <f ca="1">Dashboard!D$8* Dashboard!$F$4+Dashboard!D$10*SQRT(Dashboard!$F$4) * _xlfn.NORM.S.INV(RAND())</f>
        <v>-3.0595597288507959E-2</v>
      </c>
    </row>
    <row r="2242" spans="18:21" x14ac:dyDescent="0.2">
      <c r="R2242" s="49">
        <v>2240</v>
      </c>
      <c r="S2242" s="59">
        <f ca="1">Dashboard!B$8* Dashboard!$F$4+Dashboard!B$10*SQRT(Dashboard!$F$4) * _xlfn.NORM.S.INV(RAND())</f>
        <v>-3.8577878517408092E-2</v>
      </c>
      <c r="T2242" s="59">
        <f ca="1">Dashboard!C$8* Dashboard!$F$4+Dashboard!C$10*SQRT(Dashboard!$F$4) * _xlfn.NORM.S.INV(RAND())</f>
        <v>-2.9952318531700318E-2</v>
      </c>
      <c r="U2242" s="59">
        <f ca="1">Dashboard!D$8* Dashboard!$F$4+Dashboard!D$10*SQRT(Dashboard!$F$4) * _xlfn.NORM.S.INV(RAND())</f>
        <v>-1.0377986207146637E-2</v>
      </c>
    </row>
    <row r="2243" spans="18:21" x14ac:dyDescent="0.2">
      <c r="R2243" s="49">
        <v>2241</v>
      </c>
      <c r="S2243" s="59">
        <f ca="1">Dashboard!B$8* Dashboard!$F$4+Dashboard!B$10*SQRT(Dashboard!$F$4) * _xlfn.NORM.S.INV(RAND())</f>
        <v>-4.3175221527007056E-2</v>
      </c>
      <c r="T2243" s="59">
        <f ca="1">Dashboard!C$8* Dashboard!$F$4+Dashboard!C$10*SQRT(Dashboard!$F$4) * _xlfn.NORM.S.INV(RAND())</f>
        <v>-4.979104280754252E-2</v>
      </c>
      <c r="U2243" s="59">
        <f ca="1">Dashboard!D$8* Dashboard!$F$4+Dashboard!D$10*SQRT(Dashboard!$F$4) * _xlfn.NORM.S.INV(RAND())</f>
        <v>4.017463519158216E-2</v>
      </c>
    </row>
    <row r="2244" spans="18:21" x14ac:dyDescent="0.2">
      <c r="R2244" s="49">
        <v>2242</v>
      </c>
      <c r="S2244" s="59">
        <f ca="1">Dashboard!B$8* Dashboard!$F$4+Dashboard!B$10*SQRT(Dashboard!$F$4) * _xlfn.NORM.S.INV(RAND())</f>
        <v>2.9067363192690938E-2</v>
      </c>
      <c r="T2244" s="59">
        <f ca="1">Dashboard!C$8* Dashboard!$F$4+Dashboard!C$10*SQRT(Dashboard!$F$4) * _xlfn.NORM.S.INV(RAND())</f>
        <v>7.569268358181408E-2</v>
      </c>
      <c r="U2244" s="59">
        <f ca="1">Dashboard!D$8* Dashboard!$F$4+Dashboard!D$10*SQRT(Dashboard!$F$4) * _xlfn.NORM.S.INV(RAND())</f>
        <v>-4.6893890054604974E-2</v>
      </c>
    </row>
    <row r="2245" spans="18:21" x14ac:dyDescent="0.2">
      <c r="R2245" s="49">
        <v>2243</v>
      </c>
      <c r="S2245" s="59">
        <f ca="1">Dashboard!B$8* Dashboard!$F$4+Dashboard!B$10*SQRT(Dashboard!$F$4) * _xlfn.NORM.S.INV(RAND())</f>
        <v>2.1773572363841337E-2</v>
      </c>
      <c r="T2245" s="59">
        <f ca="1">Dashboard!C$8* Dashboard!$F$4+Dashboard!C$10*SQRT(Dashboard!$F$4) * _xlfn.NORM.S.INV(RAND())</f>
        <v>-8.8247338848636732E-3</v>
      </c>
      <c r="U2245" s="59">
        <f ca="1">Dashboard!D$8* Dashboard!$F$4+Dashboard!D$10*SQRT(Dashboard!$F$4) * _xlfn.NORM.S.INV(RAND())</f>
        <v>3.4454739711923699E-2</v>
      </c>
    </row>
    <row r="2246" spans="18:21" x14ac:dyDescent="0.2">
      <c r="R2246" s="49">
        <v>2244</v>
      </c>
      <c r="S2246" s="59">
        <f ca="1">Dashboard!B$8* Dashboard!$F$4+Dashboard!B$10*SQRT(Dashboard!$F$4) * _xlfn.NORM.S.INV(RAND())</f>
        <v>-1.2363474903665923E-2</v>
      </c>
      <c r="T2246" s="59">
        <f ca="1">Dashboard!C$8* Dashboard!$F$4+Dashboard!C$10*SQRT(Dashboard!$F$4) * _xlfn.NORM.S.INV(RAND())</f>
        <v>1.3741037392365502E-2</v>
      </c>
      <c r="U2246" s="59">
        <f ca="1">Dashboard!D$8* Dashboard!$F$4+Dashboard!D$10*SQRT(Dashboard!$F$4) * _xlfn.NORM.S.INV(RAND())</f>
        <v>1.5964842348947721E-2</v>
      </c>
    </row>
    <row r="2247" spans="18:21" x14ac:dyDescent="0.2">
      <c r="R2247" s="49">
        <v>2245</v>
      </c>
      <c r="S2247" s="59">
        <f ca="1">Dashboard!B$8* Dashboard!$F$4+Dashboard!B$10*SQRT(Dashboard!$F$4) * _xlfn.NORM.S.INV(RAND())</f>
        <v>-1.8365099972135673E-2</v>
      </c>
      <c r="T2247" s="59">
        <f ca="1">Dashboard!C$8* Dashboard!$F$4+Dashboard!C$10*SQRT(Dashboard!$F$4) * _xlfn.NORM.S.INV(RAND())</f>
        <v>-2.214200585789557E-2</v>
      </c>
      <c r="U2247" s="59">
        <f ca="1">Dashboard!D$8* Dashboard!$F$4+Dashboard!D$10*SQRT(Dashboard!$F$4) * _xlfn.NORM.S.INV(RAND())</f>
        <v>3.3280595306661123E-2</v>
      </c>
    </row>
    <row r="2248" spans="18:21" x14ac:dyDescent="0.2">
      <c r="R2248" s="49">
        <v>2246</v>
      </c>
      <c r="S2248" s="59">
        <f ca="1">Dashboard!B$8* Dashboard!$F$4+Dashboard!B$10*SQRT(Dashboard!$F$4) * _xlfn.NORM.S.INV(RAND())</f>
        <v>5.2075829633682978E-2</v>
      </c>
      <c r="T2248" s="59">
        <f ca="1">Dashboard!C$8* Dashboard!$F$4+Dashboard!C$10*SQRT(Dashboard!$F$4) * _xlfn.NORM.S.INV(RAND())</f>
        <v>-5.9837759357993722E-2</v>
      </c>
      <c r="U2248" s="59">
        <f ca="1">Dashboard!D$8* Dashboard!$F$4+Dashboard!D$10*SQRT(Dashboard!$F$4) * _xlfn.NORM.S.INV(RAND())</f>
        <v>-3.0714590310315225E-2</v>
      </c>
    </row>
    <row r="2249" spans="18:21" x14ac:dyDescent="0.2">
      <c r="R2249" s="49">
        <v>2247</v>
      </c>
      <c r="S2249" s="59">
        <f ca="1">Dashboard!B$8* Dashboard!$F$4+Dashboard!B$10*SQRT(Dashboard!$F$4) * _xlfn.NORM.S.INV(RAND())</f>
        <v>4.030824422238212E-2</v>
      </c>
      <c r="T2249" s="59">
        <f ca="1">Dashboard!C$8* Dashboard!$F$4+Dashboard!C$10*SQRT(Dashboard!$F$4) * _xlfn.NORM.S.INV(RAND())</f>
        <v>1.8731755269806329E-2</v>
      </c>
      <c r="U2249" s="59">
        <f ca="1">Dashboard!D$8* Dashboard!$F$4+Dashboard!D$10*SQRT(Dashboard!$F$4) * _xlfn.NORM.S.INV(RAND())</f>
        <v>-1.2809404396513915E-2</v>
      </c>
    </row>
    <row r="2250" spans="18:21" x14ac:dyDescent="0.2">
      <c r="R2250" s="49">
        <v>2248</v>
      </c>
      <c r="S2250" s="59">
        <f ca="1">Dashboard!B$8* Dashboard!$F$4+Dashboard!B$10*SQRT(Dashboard!$F$4) * _xlfn.NORM.S.INV(RAND())</f>
        <v>-8.0230111362409651E-2</v>
      </c>
      <c r="T2250" s="59">
        <f ca="1">Dashboard!C$8* Dashboard!$F$4+Dashboard!C$10*SQRT(Dashboard!$F$4) * _xlfn.NORM.S.INV(RAND())</f>
        <v>-1.1925165994656723E-2</v>
      </c>
      <c r="U2250" s="59">
        <f ca="1">Dashboard!D$8* Dashboard!$F$4+Dashboard!D$10*SQRT(Dashboard!$F$4) * _xlfn.NORM.S.INV(RAND())</f>
        <v>-1.4642527834614158E-2</v>
      </c>
    </row>
    <row r="2251" spans="18:21" x14ac:dyDescent="0.2">
      <c r="R2251" s="49">
        <v>2249</v>
      </c>
      <c r="S2251" s="59">
        <f ca="1">Dashboard!B$8* Dashboard!$F$4+Dashboard!B$10*SQRT(Dashboard!$F$4) * _xlfn.NORM.S.INV(RAND())</f>
        <v>3.6473115723264962E-2</v>
      </c>
      <c r="T2251" s="59">
        <f ca="1">Dashboard!C$8* Dashboard!$F$4+Dashboard!C$10*SQRT(Dashboard!$F$4) * _xlfn.NORM.S.INV(RAND())</f>
        <v>-6.2351323174493725E-2</v>
      </c>
      <c r="U2251" s="59">
        <f ca="1">Dashboard!D$8* Dashboard!$F$4+Dashboard!D$10*SQRT(Dashboard!$F$4) * _xlfn.NORM.S.INV(RAND())</f>
        <v>-1.6571565115356478E-2</v>
      </c>
    </row>
    <row r="2252" spans="18:21" x14ac:dyDescent="0.2">
      <c r="R2252" s="49">
        <v>2250</v>
      </c>
      <c r="S2252" s="59">
        <f ca="1">Dashboard!B$8* Dashboard!$F$4+Dashboard!B$10*SQRT(Dashboard!$F$4) * _xlfn.NORM.S.INV(RAND())</f>
        <v>-2.1061087272923398E-2</v>
      </c>
      <c r="T2252" s="59">
        <f ca="1">Dashboard!C$8* Dashboard!$F$4+Dashboard!C$10*SQRT(Dashboard!$F$4) * _xlfn.NORM.S.INV(RAND())</f>
        <v>4.4523088038057115E-3</v>
      </c>
      <c r="U2252" s="59">
        <f ca="1">Dashboard!D$8* Dashboard!$F$4+Dashboard!D$10*SQRT(Dashboard!$F$4) * _xlfn.NORM.S.INV(RAND())</f>
        <v>6.5630842040500714E-3</v>
      </c>
    </row>
    <row r="2253" spans="18:21" x14ac:dyDescent="0.2">
      <c r="R2253" s="49">
        <v>2251</v>
      </c>
      <c r="S2253" s="59">
        <f ca="1">Dashboard!B$8* Dashboard!$F$4+Dashboard!B$10*SQRT(Dashboard!$F$4) * _xlfn.NORM.S.INV(RAND())</f>
        <v>1.5369292402646633E-2</v>
      </c>
      <c r="T2253" s="59">
        <f ca="1">Dashboard!C$8* Dashboard!$F$4+Dashboard!C$10*SQRT(Dashboard!$F$4) * _xlfn.NORM.S.INV(RAND())</f>
        <v>1.8614922632667172E-3</v>
      </c>
      <c r="U2253" s="59">
        <f ca="1">Dashboard!D$8* Dashboard!$F$4+Dashboard!D$10*SQRT(Dashboard!$F$4) * _xlfn.NORM.S.INV(RAND())</f>
        <v>2.354961950381557E-2</v>
      </c>
    </row>
    <row r="2254" spans="18:21" x14ac:dyDescent="0.2">
      <c r="R2254" s="49">
        <v>2252</v>
      </c>
      <c r="S2254" s="59">
        <f ca="1">Dashboard!B$8* Dashboard!$F$4+Dashboard!B$10*SQRT(Dashboard!$F$4) * _xlfn.NORM.S.INV(RAND())</f>
        <v>1.7619335379420099E-2</v>
      </c>
      <c r="T2254" s="59">
        <f ca="1">Dashboard!C$8* Dashboard!$F$4+Dashboard!C$10*SQRT(Dashboard!$F$4) * _xlfn.NORM.S.INV(RAND())</f>
        <v>6.219140360259412E-2</v>
      </c>
      <c r="U2254" s="59">
        <f ca="1">Dashboard!D$8* Dashboard!$F$4+Dashboard!D$10*SQRT(Dashboard!$F$4) * _xlfn.NORM.S.INV(RAND())</f>
        <v>-1.1417418261490766E-4</v>
      </c>
    </row>
    <row r="2255" spans="18:21" x14ac:dyDescent="0.2">
      <c r="R2255" s="49">
        <v>2253</v>
      </c>
      <c r="S2255" s="59">
        <f ca="1">Dashboard!B$8* Dashboard!$F$4+Dashboard!B$10*SQRT(Dashboard!$F$4) * _xlfn.NORM.S.INV(RAND())</f>
        <v>2.1174913833263233E-2</v>
      </c>
      <c r="T2255" s="59">
        <f ca="1">Dashboard!C$8* Dashboard!$F$4+Dashboard!C$10*SQRT(Dashboard!$F$4) * _xlfn.NORM.S.INV(RAND())</f>
        <v>4.18272966797981E-2</v>
      </c>
      <c r="U2255" s="59">
        <f ca="1">Dashboard!D$8* Dashboard!$F$4+Dashboard!D$10*SQRT(Dashboard!$F$4) * _xlfn.NORM.S.INV(RAND())</f>
        <v>-3.3873043590978947E-4</v>
      </c>
    </row>
    <row r="2256" spans="18:21" x14ac:dyDescent="0.2">
      <c r="R2256" s="49">
        <v>2254</v>
      </c>
      <c r="S2256" s="59">
        <f ca="1">Dashboard!B$8* Dashboard!$F$4+Dashboard!B$10*SQRT(Dashboard!$F$4) * _xlfn.NORM.S.INV(RAND())</f>
        <v>-4.5671964584164296E-2</v>
      </c>
      <c r="T2256" s="59">
        <f ca="1">Dashboard!C$8* Dashboard!$F$4+Dashboard!C$10*SQRT(Dashboard!$F$4) * _xlfn.NORM.S.INV(RAND())</f>
        <v>-2.2782217433783558E-2</v>
      </c>
      <c r="U2256" s="59">
        <f ca="1">Dashboard!D$8* Dashboard!$F$4+Dashboard!D$10*SQRT(Dashboard!$F$4) * _xlfn.NORM.S.INV(RAND())</f>
        <v>-1.3725529381902777E-2</v>
      </c>
    </row>
    <row r="2257" spans="18:21" x14ac:dyDescent="0.2">
      <c r="R2257" s="49">
        <v>2255</v>
      </c>
      <c r="S2257" s="59">
        <f ca="1">Dashboard!B$8* Dashboard!$F$4+Dashboard!B$10*SQRT(Dashboard!$F$4) * _xlfn.NORM.S.INV(RAND())</f>
        <v>-2.5094608333301495E-2</v>
      </c>
      <c r="T2257" s="59">
        <f ca="1">Dashboard!C$8* Dashboard!$F$4+Dashboard!C$10*SQRT(Dashboard!$F$4) * _xlfn.NORM.S.INV(RAND())</f>
        <v>-2.461482929051469E-2</v>
      </c>
      <c r="U2257" s="59">
        <f ca="1">Dashboard!D$8* Dashboard!$F$4+Dashboard!D$10*SQRT(Dashboard!$F$4) * _xlfn.NORM.S.INV(RAND())</f>
        <v>-3.7271231615991968E-2</v>
      </c>
    </row>
    <row r="2258" spans="18:21" x14ac:dyDescent="0.2">
      <c r="R2258" s="49">
        <v>2256</v>
      </c>
      <c r="S2258" s="59">
        <f ca="1">Dashboard!B$8* Dashboard!$F$4+Dashboard!B$10*SQRT(Dashboard!$F$4) * _xlfn.NORM.S.INV(RAND())</f>
        <v>6.0693724573067556E-2</v>
      </c>
      <c r="T2258" s="59">
        <f ca="1">Dashboard!C$8* Dashboard!$F$4+Dashboard!C$10*SQRT(Dashboard!$F$4) * _xlfn.NORM.S.INV(RAND())</f>
        <v>-1.5503797625751742E-2</v>
      </c>
      <c r="U2258" s="59">
        <f ca="1">Dashboard!D$8* Dashboard!$F$4+Dashboard!D$10*SQRT(Dashboard!$F$4) * _xlfn.NORM.S.INV(RAND())</f>
        <v>1.957093175432759E-2</v>
      </c>
    </row>
    <row r="2259" spans="18:21" x14ac:dyDescent="0.2">
      <c r="R2259" s="49">
        <v>2257</v>
      </c>
      <c r="S2259" s="59">
        <f ca="1">Dashboard!B$8* Dashboard!$F$4+Dashboard!B$10*SQRT(Dashboard!$F$4) * _xlfn.NORM.S.INV(RAND())</f>
        <v>3.4686269384094644E-2</v>
      </c>
      <c r="T2259" s="59">
        <f ca="1">Dashboard!C$8* Dashboard!$F$4+Dashboard!C$10*SQRT(Dashboard!$F$4) * _xlfn.NORM.S.INV(RAND())</f>
        <v>-2.430503910560854E-2</v>
      </c>
      <c r="U2259" s="59">
        <f ca="1">Dashboard!D$8* Dashboard!$F$4+Dashboard!D$10*SQRT(Dashboard!$F$4) * _xlfn.NORM.S.INV(RAND())</f>
        <v>1.5580290777590277E-2</v>
      </c>
    </row>
    <row r="2260" spans="18:21" x14ac:dyDescent="0.2">
      <c r="R2260" s="49">
        <v>2258</v>
      </c>
      <c r="S2260" s="59">
        <f ca="1">Dashboard!B$8* Dashboard!$F$4+Dashboard!B$10*SQRT(Dashboard!$F$4) * _xlfn.NORM.S.INV(RAND())</f>
        <v>-2.3891770382256608E-2</v>
      </c>
      <c r="T2260" s="59">
        <f ca="1">Dashboard!C$8* Dashboard!$F$4+Dashboard!C$10*SQRT(Dashboard!$F$4) * _xlfn.NORM.S.INV(RAND())</f>
        <v>-4.1703234596646094E-3</v>
      </c>
      <c r="U2260" s="59">
        <f ca="1">Dashboard!D$8* Dashboard!$F$4+Dashboard!D$10*SQRT(Dashboard!$F$4) * _xlfn.NORM.S.INV(RAND())</f>
        <v>6.6264770590528871E-3</v>
      </c>
    </row>
    <row r="2261" spans="18:21" x14ac:dyDescent="0.2">
      <c r="R2261" s="49">
        <v>2259</v>
      </c>
      <c r="S2261" s="59">
        <f ca="1">Dashboard!B$8* Dashboard!$F$4+Dashboard!B$10*SQRT(Dashboard!$F$4) * _xlfn.NORM.S.INV(RAND())</f>
        <v>6.9128403313255624E-3</v>
      </c>
      <c r="T2261" s="59">
        <f ca="1">Dashboard!C$8* Dashboard!$F$4+Dashboard!C$10*SQRT(Dashboard!$F$4) * _xlfn.NORM.S.INV(RAND())</f>
        <v>-1.8767322872215438E-2</v>
      </c>
      <c r="U2261" s="59">
        <f ca="1">Dashboard!D$8* Dashboard!$F$4+Dashboard!D$10*SQRT(Dashboard!$F$4) * _xlfn.NORM.S.INV(RAND())</f>
        <v>2.6215846416321618E-4</v>
      </c>
    </row>
    <row r="2262" spans="18:21" x14ac:dyDescent="0.2">
      <c r="R2262" s="49">
        <v>2260</v>
      </c>
      <c r="S2262" s="59">
        <f ca="1">Dashboard!B$8* Dashboard!$F$4+Dashboard!B$10*SQRT(Dashboard!$F$4) * _xlfn.NORM.S.INV(RAND())</f>
        <v>-7.8163745434873897E-3</v>
      </c>
      <c r="T2262" s="59">
        <f ca="1">Dashboard!C$8* Dashboard!$F$4+Dashboard!C$10*SQRT(Dashboard!$F$4) * _xlfn.NORM.S.INV(RAND())</f>
        <v>4.4247336263420374E-2</v>
      </c>
      <c r="U2262" s="59">
        <f ca="1">Dashboard!D$8* Dashboard!$F$4+Dashboard!D$10*SQRT(Dashboard!$F$4) * _xlfn.NORM.S.INV(RAND())</f>
        <v>7.2014708046453102E-2</v>
      </c>
    </row>
    <row r="2263" spans="18:21" x14ac:dyDescent="0.2">
      <c r="R2263" s="49">
        <v>2261</v>
      </c>
      <c r="S2263" s="59">
        <f ca="1">Dashboard!B$8* Dashboard!$F$4+Dashboard!B$10*SQRT(Dashboard!$F$4) * _xlfn.NORM.S.INV(RAND())</f>
        <v>1.5054892512181202E-2</v>
      </c>
      <c r="T2263" s="59">
        <f ca="1">Dashboard!C$8* Dashboard!$F$4+Dashboard!C$10*SQRT(Dashboard!$F$4) * _xlfn.NORM.S.INV(RAND())</f>
        <v>-3.4468630086378148E-2</v>
      </c>
      <c r="U2263" s="59">
        <f ca="1">Dashboard!D$8* Dashboard!$F$4+Dashboard!D$10*SQRT(Dashboard!$F$4) * _xlfn.NORM.S.INV(RAND())</f>
        <v>6.682913318316692E-3</v>
      </c>
    </row>
    <row r="2264" spans="18:21" x14ac:dyDescent="0.2">
      <c r="R2264" s="49">
        <v>2262</v>
      </c>
      <c r="S2264" s="59">
        <f ca="1">Dashboard!B$8* Dashboard!$F$4+Dashboard!B$10*SQRT(Dashboard!$F$4) * _xlfn.NORM.S.INV(RAND())</f>
        <v>1.2319406349566667E-2</v>
      </c>
      <c r="T2264" s="59">
        <f ca="1">Dashboard!C$8* Dashboard!$F$4+Dashboard!C$10*SQRT(Dashboard!$F$4) * _xlfn.NORM.S.INV(RAND())</f>
        <v>7.6581712732678242E-3</v>
      </c>
      <c r="U2264" s="59">
        <f ca="1">Dashboard!D$8* Dashboard!$F$4+Dashboard!D$10*SQRT(Dashboard!$F$4) * _xlfn.NORM.S.INV(RAND())</f>
        <v>2.2962625178427967E-2</v>
      </c>
    </row>
    <row r="2265" spans="18:21" x14ac:dyDescent="0.2">
      <c r="R2265" s="49">
        <v>2263</v>
      </c>
      <c r="S2265" s="59">
        <f ca="1">Dashboard!B$8* Dashboard!$F$4+Dashboard!B$10*SQRT(Dashboard!$F$4) * _xlfn.NORM.S.INV(RAND())</f>
        <v>-6.1225555318358783E-4</v>
      </c>
      <c r="T2265" s="59">
        <f ca="1">Dashboard!C$8* Dashboard!$F$4+Dashboard!C$10*SQRT(Dashboard!$F$4) * _xlfn.NORM.S.INV(RAND())</f>
        <v>-2.7603530343107221E-2</v>
      </c>
      <c r="U2265" s="59">
        <f ca="1">Dashboard!D$8* Dashboard!$F$4+Dashboard!D$10*SQRT(Dashboard!$F$4) * _xlfn.NORM.S.INV(RAND())</f>
        <v>-2.1971718124243192E-3</v>
      </c>
    </row>
    <row r="2266" spans="18:21" x14ac:dyDescent="0.2">
      <c r="R2266" s="49">
        <v>2264</v>
      </c>
      <c r="S2266" s="59">
        <f ca="1">Dashboard!B$8* Dashboard!$F$4+Dashboard!B$10*SQRT(Dashboard!$F$4) * _xlfn.NORM.S.INV(RAND())</f>
        <v>3.4462674433692921E-2</v>
      </c>
      <c r="T2266" s="59">
        <f ca="1">Dashboard!C$8* Dashboard!$F$4+Dashboard!C$10*SQRT(Dashboard!$F$4) * _xlfn.NORM.S.INV(RAND())</f>
        <v>1.0184406269838166E-2</v>
      </c>
      <c r="U2266" s="59">
        <f ca="1">Dashboard!D$8* Dashboard!$F$4+Dashboard!D$10*SQRT(Dashboard!$F$4) * _xlfn.NORM.S.INV(RAND())</f>
        <v>-3.5048476788384145E-2</v>
      </c>
    </row>
    <row r="2267" spans="18:21" x14ac:dyDescent="0.2">
      <c r="R2267" s="49">
        <v>2265</v>
      </c>
      <c r="S2267" s="59">
        <f ca="1">Dashboard!B$8* Dashboard!$F$4+Dashboard!B$10*SQRT(Dashboard!$F$4) * _xlfn.NORM.S.INV(RAND())</f>
        <v>5.3805611634164911E-2</v>
      </c>
      <c r="T2267" s="59">
        <f ca="1">Dashboard!C$8* Dashboard!$F$4+Dashboard!C$10*SQRT(Dashboard!$F$4) * _xlfn.NORM.S.INV(RAND())</f>
        <v>1.5100847819127423E-2</v>
      </c>
      <c r="U2267" s="59">
        <f ca="1">Dashboard!D$8* Dashboard!$F$4+Dashboard!D$10*SQRT(Dashboard!$F$4) * _xlfn.NORM.S.INV(RAND())</f>
        <v>-1.0647289442023816E-2</v>
      </c>
    </row>
    <row r="2268" spans="18:21" x14ac:dyDescent="0.2">
      <c r="R2268" s="49">
        <v>2266</v>
      </c>
      <c r="S2268" s="59">
        <f ca="1">Dashboard!B$8* Dashboard!$F$4+Dashboard!B$10*SQRT(Dashboard!$F$4) * _xlfn.NORM.S.INV(RAND())</f>
        <v>8.6320870776406926E-3</v>
      </c>
      <c r="T2268" s="59">
        <f ca="1">Dashboard!C$8* Dashboard!$F$4+Dashboard!C$10*SQRT(Dashboard!$F$4) * _xlfn.NORM.S.INV(RAND())</f>
        <v>6.6810931438216264E-3</v>
      </c>
      <c r="U2268" s="59">
        <f ca="1">Dashboard!D$8* Dashboard!$F$4+Dashboard!D$10*SQRT(Dashboard!$F$4) * _xlfn.NORM.S.INV(RAND())</f>
        <v>-3.393388007063023E-2</v>
      </c>
    </row>
    <row r="2269" spans="18:21" x14ac:dyDescent="0.2">
      <c r="R2269" s="49">
        <v>2267</v>
      </c>
      <c r="S2269" s="59">
        <f ca="1">Dashboard!B$8* Dashboard!$F$4+Dashboard!B$10*SQRT(Dashboard!$F$4) * _xlfn.NORM.S.INV(RAND())</f>
        <v>3.0138205234445964E-2</v>
      </c>
      <c r="T2269" s="59">
        <f ca="1">Dashboard!C$8* Dashboard!$F$4+Dashboard!C$10*SQRT(Dashboard!$F$4) * _xlfn.NORM.S.INV(RAND())</f>
        <v>-2.4408888916058946E-3</v>
      </c>
      <c r="U2269" s="59">
        <f ca="1">Dashboard!D$8* Dashboard!$F$4+Dashboard!D$10*SQRT(Dashboard!$F$4) * _xlfn.NORM.S.INV(RAND())</f>
        <v>-1.5512860404294917E-2</v>
      </c>
    </row>
    <row r="2270" spans="18:21" x14ac:dyDescent="0.2">
      <c r="R2270" s="49">
        <v>2268</v>
      </c>
      <c r="S2270" s="59">
        <f ca="1">Dashboard!B$8* Dashboard!$F$4+Dashboard!B$10*SQRT(Dashboard!$F$4) * _xlfn.NORM.S.INV(RAND())</f>
        <v>-1.6391797802532207E-2</v>
      </c>
      <c r="T2270" s="59">
        <f ca="1">Dashboard!C$8* Dashboard!$F$4+Dashboard!C$10*SQRT(Dashboard!$F$4) * _xlfn.NORM.S.INV(RAND())</f>
        <v>-1.4607966113360359E-2</v>
      </c>
      <c r="U2270" s="59">
        <f ca="1">Dashboard!D$8* Dashboard!$F$4+Dashboard!D$10*SQRT(Dashboard!$F$4) * _xlfn.NORM.S.INV(RAND())</f>
        <v>3.2366916476917515E-2</v>
      </c>
    </row>
    <row r="2271" spans="18:21" x14ac:dyDescent="0.2">
      <c r="R2271" s="49">
        <v>2269</v>
      </c>
      <c r="S2271" s="59">
        <f ca="1">Dashboard!B$8* Dashboard!$F$4+Dashboard!B$10*SQRT(Dashboard!$F$4) * _xlfn.NORM.S.INV(RAND())</f>
        <v>1.0013351970742965E-2</v>
      </c>
      <c r="T2271" s="59">
        <f ca="1">Dashboard!C$8* Dashboard!$F$4+Dashboard!C$10*SQRT(Dashboard!$F$4) * _xlfn.NORM.S.INV(RAND())</f>
        <v>-2.0451632497588352E-3</v>
      </c>
      <c r="U2271" s="59">
        <f ca="1">Dashboard!D$8* Dashboard!$F$4+Dashboard!D$10*SQRT(Dashboard!$F$4) * _xlfn.NORM.S.INV(RAND())</f>
        <v>5.4702324627548357E-2</v>
      </c>
    </row>
    <row r="2272" spans="18:21" x14ac:dyDescent="0.2">
      <c r="R2272" s="49">
        <v>2270</v>
      </c>
      <c r="S2272" s="59">
        <f ca="1">Dashboard!B$8* Dashboard!$F$4+Dashboard!B$10*SQRT(Dashboard!$F$4) * _xlfn.NORM.S.INV(RAND())</f>
        <v>4.3080799802356386E-2</v>
      </c>
      <c r="T2272" s="59">
        <f ca="1">Dashboard!C$8* Dashboard!$F$4+Dashboard!C$10*SQRT(Dashboard!$F$4) * _xlfn.NORM.S.INV(RAND())</f>
        <v>-2.897218304148377E-2</v>
      </c>
      <c r="U2272" s="59">
        <f ca="1">Dashboard!D$8* Dashboard!$F$4+Dashboard!D$10*SQRT(Dashboard!$F$4) * _xlfn.NORM.S.INV(RAND())</f>
        <v>1.1147472529564413E-2</v>
      </c>
    </row>
    <row r="2273" spans="18:21" x14ac:dyDescent="0.2">
      <c r="R2273" s="49">
        <v>2271</v>
      </c>
      <c r="S2273" s="59">
        <f ca="1">Dashboard!B$8* Dashboard!$F$4+Dashboard!B$10*SQRT(Dashboard!$F$4) * _xlfn.NORM.S.INV(RAND())</f>
        <v>1.1215367625130613E-2</v>
      </c>
      <c r="T2273" s="59">
        <f ca="1">Dashboard!C$8* Dashboard!$F$4+Dashboard!C$10*SQRT(Dashboard!$F$4) * _xlfn.NORM.S.INV(RAND())</f>
        <v>1.9925662594401511E-2</v>
      </c>
      <c r="U2273" s="59">
        <f ca="1">Dashboard!D$8* Dashboard!$F$4+Dashboard!D$10*SQRT(Dashboard!$F$4) * _xlfn.NORM.S.INV(RAND())</f>
        <v>9.8179237773283495E-2</v>
      </c>
    </row>
    <row r="2274" spans="18:21" x14ac:dyDescent="0.2">
      <c r="R2274" s="49">
        <v>2272</v>
      </c>
      <c r="S2274" s="59">
        <f ca="1">Dashboard!B$8* Dashboard!$F$4+Dashboard!B$10*SQRT(Dashboard!$F$4) * _xlfn.NORM.S.INV(RAND())</f>
        <v>1.9385465926557398E-2</v>
      </c>
      <c r="T2274" s="59">
        <f ca="1">Dashboard!C$8* Dashboard!$F$4+Dashboard!C$10*SQRT(Dashboard!$F$4) * _xlfn.NORM.S.INV(RAND())</f>
        <v>7.4783394104745559E-3</v>
      </c>
      <c r="U2274" s="59">
        <f ca="1">Dashboard!D$8* Dashboard!$F$4+Dashboard!D$10*SQRT(Dashboard!$F$4) * _xlfn.NORM.S.INV(RAND())</f>
        <v>6.1029837176173926E-2</v>
      </c>
    </row>
    <row r="2275" spans="18:21" x14ac:dyDescent="0.2">
      <c r="R2275" s="49">
        <v>2273</v>
      </c>
      <c r="S2275" s="59">
        <f ca="1">Dashboard!B$8* Dashboard!$F$4+Dashboard!B$10*SQRT(Dashboard!$F$4) * _xlfn.NORM.S.INV(RAND())</f>
        <v>3.056910561379516E-2</v>
      </c>
      <c r="T2275" s="59">
        <f ca="1">Dashboard!C$8* Dashboard!$F$4+Dashboard!C$10*SQRT(Dashboard!$F$4) * _xlfn.NORM.S.INV(RAND())</f>
        <v>-3.6106449997239248E-2</v>
      </c>
      <c r="U2275" s="59">
        <f ca="1">Dashboard!D$8* Dashboard!$F$4+Dashboard!D$10*SQRT(Dashboard!$F$4) * _xlfn.NORM.S.INV(RAND())</f>
        <v>3.0377691631685296E-2</v>
      </c>
    </row>
    <row r="2276" spans="18:21" x14ac:dyDescent="0.2">
      <c r="R2276" s="49">
        <v>2274</v>
      </c>
      <c r="S2276" s="59">
        <f ca="1">Dashboard!B$8* Dashboard!$F$4+Dashboard!B$10*SQRT(Dashboard!$F$4) * _xlfn.NORM.S.INV(RAND())</f>
        <v>-3.1317270131758834E-2</v>
      </c>
      <c r="T2276" s="59">
        <f ca="1">Dashboard!C$8* Dashboard!$F$4+Dashboard!C$10*SQRT(Dashboard!$F$4) * _xlfn.NORM.S.INV(RAND())</f>
        <v>-1.2816312791589343E-2</v>
      </c>
      <c r="U2276" s="59">
        <f ca="1">Dashboard!D$8* Dashboard!$F$4+Dashboard!D$10*SQRT(Dashboard!$F$4) * _xlfn.NORM.S.INV(RAND())</f>
        <v>3.230649120164962E-2</v>
      </c>
    </row>
    <row r="2277" spans="18:21" x14ac:dyDescent="0.2">
      <c r="R2277" s="49">
        <v>2275</v>
      </c>
      <c r="S2277" s="59">
        <f ca="1">Dashboard!B$8* Dashboard!$F$4+Dashboard!B$10*SQRT(Dashboard!$F$4) * _xlfn.NORM.S.INV(RAND())</f>
        <v>-4.8134986439861749E-2</v>
      </c>
      <c r="T2277" s="59">
        <f ca="1">Dashboard!C$8* Dashboard!$F$4+Dashboard!C$10*SQRT(Dashboard!$F$4) * _xlfn.NORM.S.INV(RAND())</f>
        <v>-1.7178433272759384E-2</v>
      </c>
      <c r="U2277" s="59">
        <f ca="1">Dashboard!D$8* Dashboard!$F$4+Dashboard!D$10*SQRT(Dashboard!$F$4) * _xlfn.NORM.S.INV(RAND())</f>
        <v>1.1536191159375233E-2</v>
      </c>
    </row>
    <row r="2278" spans="18:21" x14ac:dyDescent="0.2">
      <c r="R2278" s="49">
        <v>2276</v>
      </c>
      <c r="S2278" s="59">
        <f ca="1">Dashboard!B$8* Dashboard!$F$4+Dashboard!B$10*SQRT(Dashboard!$F$4) * _xlfn.NORM.S.INV(RAND())</f>
        <v>-4.099700538824691E-3</v>
      </c>
      <c r="T2278" s="59">
        <f ca="1">Dashboard!C$8* Dashboard!$F$4+Dashboard!C$10*SQRT(Dashboard!$F$4) * _xlfn.NORM.S.INV(RAND())</f>
        <v>4.9836405683912996E-2</v>
      </c>
      <c r="U2278" s="59">
        <f ca="1">Dashboard!D$8* Dashboard!$F$4+Dashboard!D$10*SQRT(Dashboard!$F$4) * _xlfn.NORM.S.INV(RAND())</f>
        <v>-2.4333384974143196E-2</v>
      </c>
    </row>
    <row r="2279" spans="18:21" x14ac:dyDescent="0.2">
      <c r="R2279" s="49">
        <v>2277</v>
      </c>
      <c r="S2279" s="59">
        <f ca="1">Dashboard!B$8* Dashboard!$F$4+Dashboard!B$10*SQRT(Dashboard!$F$4) * _xlfn.NORM.S.INV(RAND())</f>
        <v>-2.9527968786082645E-2</v>
      </c>
      <c r="T2279" s="59">
        <f ca="1">Dashboard!C$8* Dashboard!$F$4+Dashboard!C$10*SQRT(Dashboard!$F$4) * _xlfn.NORM.S.INV(RAND())</f>
        <v>4.1769483150742356E-3</v>
      </c>
      <c r="U2279" s="59">
        <f ca="1">Dashboard!D$8* Dashboard!$F$4+Dashboard!D$10*SQRT(Dashboard!$F$4) * _xlfn.NORM.S.INV(RAND())</f>
        <v>1.3088857101421045E-3</v>
      </c>
    </row>
    <row r="2280" spans="18:21" x14ac:dyDescent="0.2">
      <c r="R2280" s="49">
        <v>2278</v>
      </c>
      <c r="S2280" s="59">
        <f ca="1">Dashboard!B$8* Dashboard!$F$4+Dashboard!B$10*SQRT(Dashboard!$F$4) * _xlfn.NORM.S.INV(RAND())</f>
        <v>-3.5883029422261695E-2</v>
      </c>
      <c r="T2280" s="59">
        <f ca="1">Dashboard!C$8* Dashboard!$F$4+Dashboard!C$10*SQRT(Dashboard!$F$4) * _xlfn.NORM.S.INV(RAND())</f>
        <v>2.7615186773802102E-2</v>
      </c>
      <c r="U2280" s="59">
        <f ca="1">Dashboard!D$8* Dashboard!$F$4+Dashboard!D$10*SQRT(Dashboard!$F$4) * _xlfn.NORM.S.INV(RAND())</f>
        <v>-6.2562593101899613E-2</v>
      </c>
    </row>
    <row r="2281" spans="18:21" x14ac:dyDescent="0.2">
      <c r="R2281" s="49">
        <v>2279</v>
      </c>
      <c r="S2281" s="59">
        <f ca="1">Dashboard!B$8* Dashboard!$F$4+Dashboard!B$10*SQRT(Dashboard!$F$4) * _xlfn.NORM.S.INV(RAND())</f>
        <v>6.5003317965245579E-3</v>
      </c>
      <c r="T2281" s="59">
        <f ca="1">Dashboard!C$8* Dashboard!$F$4+Dashboard!C$10*SQRT(Dashboard!$F$4) * _xlfn.NORM.S.INV(RAND())</f>
        <v>4.1404994604877537E-2</v>
      </c>
      <c r="U2281" s="59">
        <f ca="1">Dashboard!D$8* Dashboard!$F$4+Dashboard!D$10*SQRT(Dashboard!$F$4) * _xlfn.NORM.S.INV(RAND())</f>
        <v>-3.937038306072644E-2</v>
      </c>
    </row>
    <row r="2282" spans="18:21" x14ac:dyDescent="0.2">
      <c r="R2282" s="49">
        <v>2280</v>
      </c>
      <c r="S2282" s="59">
        <f ca="1">Dashboard!B$8* Dashboard!$F$4+Dashboard!B$10*SQRT(Dashboard!$F$4) * _xlfn.NORM.S.INV(RAND())</f>
        <v>-5.5547136518338508E-2</v>
      </c>
      <c r="T2282" s="59">
        <f ca="1">Dashboard!C$8* Dashboard!$F$4+Dashboard!C$10*SQRT(Dashboard!$F$4) * _xlfn.NORM.S.INV(RAND())</f>
        <v>2.0410788346668641E-2</v>
      </c>
      <c r="U2282" s="59">
        <f ca="1">Dashboard!D$8* Dashboard!$F$4+Dashboard!D$10*SQRT(Dashboard!$F$4) * _xlfn.NORM.S.INV(RAND())</f>
        <v>2.459069772824474E-2</v>
      </c>
    </row>
    <row r="2283" spans="18:21" x14ac:dyDescent="0.2">
      <c r="R2283" s="49">
        <v>2281</v>
      </c>
      <c r="S2283" s="59">
        <f ca="1">Dashboard!B$8* Dashboard!$F$4+Dashboard!B$10*SQRT(Dashboard!$F$4) * _xlfn.NORM.S.INV(RAND())</f>
        <v>-9.1310020782106351E-3</v>
      </c>
      <c r="T2283" s="59">
        <f ca="1">Dashboard!C$8* Dashboard!$F$4+Dashboard!C$10*SQRT(Dashboard!$F$4) * _xlfn.NORM.S.INV(RAND())</f>
        <v>1.9885596790186542E-3</v>
      </c>
      <c r="U2283" s="59">
        <f ca="1">Dashboard!D$8* Dashboard!$F$4+Dashboard!D$10*SQRT(Dashboard!$F$4) * _xlfn.NORM.S.INV(RAND())</f>
        <v>8.9260951278291572E-3</v>
      </c>
    </row>
    <row r="2284" spans="18:21" x14ac:dyDescent="0.2">
      <c r="R2284" s="49">
        <v>2282</v>
      </c>
      <c r="S2284" s="59">
        <f ca="1">Dashboard!B$8* Dashboard!$F$4+Dashboard!B$10*SQRT(Dashboard!$F$4) * _xlfn.NORM.S.INV(RAND())</f>
        <v>6.0361284427827774E-2</v>
      </c>
      <c r="T2284" s="59">
        <f ca="1">Dashboard!C$8* Dashboard!$F$4+Dashboard!C$10*SQRT(Dashboard!$F$4) * _xlfn.NORM.S.INV(RAND())</f>
        <v>-1.8975843416032027E-2</v>
      </c>
      <c r="U2284" s="59">
        <f ca="1">Dashboard!D$8* Dashboard!$F$4+Dashboard!D$10*SQRT(Dashboard!$F$4) * _xlfn.NORM.S.INV(RAND())</f>
        <v>1.3513033309778216E-2</v>
      </c>
    </row>
    <row r="2285" spans="18:21" x14ac:dyDescent="0.2">
      <c r="R2285" s="49">
        <v>2283</v>
      </c>
      <c r="S2285" s="59">
        <f ca="1">Dashboard!B$8* Dashboard!$F$4+Dashboard!B$10*SQRT(Dashboard!$F$4) * _xlfn.NORM.S.INV(RAND())</f>
        <v>5.2355183194777839E-2</v>
      </c>
      <c r="T2285" s="59">
        <f ca="1">Dashboard!C$8* Dashboard!$F$4+Dashboard!C$10*SQRT(Dashboard!$F$4) * _xlfn.NORM.S.INV(RAND())</f>
        <v>-2.1084882615185232E-2</v>
      </c>
      <c r="U2285" s="59">
        <f ca="1">Dashboard!D$8* Dashboard!$F$4+Dashboard!D$10*SQRT(Dashboard!$F$4) * _xlfn.NORM.S.INV(RAND())</f>
        <v>-9.3570227874236692E-3</v>
      </c>
    </row>
    <row r="2286" spans="18:21" x14ac:dyDescent="0.2">
      <c r="R2286" s="49">
        <v>2284</v>
      </c>
      <c r="S2286" s="59">
        <f ca="1">Dashboard!B$8* Dashboard!$F$4+Dashboard!B$10*SQRT(Dashboard!$F$4) * _xlfn.NORM.S.INV(RAND())</f>
        <v>1.3211675686559099E-2</v>
      </c>
      <c r="T2286" s="59">
        <f ca="1">Dashboard!C$8* Dashboard!$F$4+Dashboard!C$10*SQRT(Dashboard!$F$4) * _xlfn.NORM.S.INV(RAND())</f>
        <v>6.1338430678120552E-2</v>
      </c>
      <c r="U2286" s="59">
        <f ca="1">Dashboard!D$8* Dashboard!$F$4+Dashboard!D$10*SQRT(Dashboard!$F$4) * _xlfn.NORM.S.INV(RAND())</f>
        <v>3.5329896626244167E-2</v>
      </c>
    </row>
    <row r="2287" spans="18:21" x14ac:dyDescent="0.2">
      <c r="R2287" s="49">
        <v>2285</v>
      </c>
      <c r="S2287" s="59">
        <f ca="1">Dashboard!B$8* Dashboard!$F$4+Dashboard!B$10*SQRT(Dashboard!$F$4) * _xlfn.NORM.S.INV(RAND())</f>
        <v>-2.1592391244499534E-2</v>
      </c>
      <c r="T2287" s="59">
        <f ca="1">Dashboard!C$8* Dashboard!$F$4+Dashboard!C$10*SQRT(Dashboard!$F$4) * _xlfn.NORM.S.INV(RAND())</f>
        <v>-3.4782182080753898E-2</v>
      </c>
      <c r="U2287" s="59">
        <f ca="1">Dashboard!D$8* Dashboard!$F$4+Dashboard!D$10*SQRT(Dashboard!$F$4) * _xlfn.NORM.S.INV(RAND())</f>
        <v>1.9211124072878567E-2</v>
      </c>
    </row>
    <row r="2288" spans="18:21" x14ac:dyDescent="0.2">
      <c r="R2288" s="49">
        <v>2286</v>
      </c>
      <c r="S2288" s="59">
        <f ca="1">Dashboard!B$8* Dashboard!$F$4+Dashboard!B$10*SQRT(Dashboard!$F$4) * _xlfn.NORM.S.INV(RAND())</f>
        <v>3.2161880583252964E-2</v>
      </c>
      <c r="T2288" s="59">
        <f ca="1">Dashboard!C$8* Dashboard!$F$4+Dashboard!C$10*SQRT(Dashboard!$F$4) * _xlfn.NORM.S.INV(RAND())</f>
        <v>-5.1140221273951068E-3</v>
      </c>
      <c r="U2288" s="59">
        <f ca="1">Dashboard!D$8* Dashboard!$F$4+Dashboard!D$10*SQRT(Dashboard!$F$4) * _xlfn.NORM.S.INV(RAND())</f>
        <v>2.1709184803236602E-3</v>
      </c>
    </row>
    <row r="2289" spans="18:21" x14ac:dyDescent="0.2">
      <c r="R2289" s="49">
        <v>2287</v>
      </c>
      <c r="S2289" s="59">
        <f ca="1">Dashboard!B$8* Dashboard!$F$4+Dashboard!B$10*SQRT(Dashboard!$F$4) * _xlfn.NORM.S.INV(RAND())</f>
        <v>7.640100147953641E-3</v>
      </c>
      <c r="T2289" s="59">
        <f ca="1">Dashboard!C$8* Dashboard!$F$4+Dashboard!C$10*SQRT(Dashboard!$F$4) * _xlfn.NORM.S.INV(RAND())</f>
        <v>-2.7966804397481459E-2</v>
      </c>
      <c r="U2289" s="59">
        <f ca="1">Dashboard!D$8* Dashboard!$F$4+Dashboard!D$10*SQRT(Dashboard!$F$4) * _xlfn.NORM.S.INV(RAND())</f>
        <v>-5.4233403872591915E-2</v>
      </c>
    </row>
    <row r="2290" spans="18:21" x14ac:dyDescent="0.2">
      <c r="R2290" s="49">
        <v>2288</v>
      </c>
      <c r="S2290" s="59">
        <f ca="1">Dashboard!B$8* Dashboard!$F$4+Dashboard!B$10*SQRT(Dashboard!$F$4) * _xlfn.NORM.S.INV(RAND())</f>
        <v>-3.2005893448332989E-2</v>
      </c>
      <c r="T2290" s="59">
        <f ca="1">Dashboard!C$8* Dashboard!$F$4+Dashboard!C$10*SQRT(Dashboard!$F$4) * _xlfn.NORM.S.INV(RAND())</f>
        <v>5.5778711249949153E-2</v>
      </c>
      <c r="U2290" s="59">
        <f ca="1">Dashboard!D$8* Dashboard!$F$4+Dashboard!D$10*SQRT(Dashboard!$F$4) * _xlfn.NORM.S.INV(RAND())</f>
        <v>-3.6276621962922716E-2</v>
      </c>
    </row>
    <row r="2291" spans="18:21" x14ac:dyDescent="0.2">
      <c r="R2291" s="49">
        <v>2289</v>
      </c>
      <c r="S2291" s="59">
        <f ca="1">Dashboard!B$8* Dashboard!$F$4+Dashboard!B$10*SQRT(Dashboard!$F$4) * _xlfn.NORM.S.INV(RAND())</f>
        <v>-6.7653008395411867E-3</v>
      </c>
      <c r="T2291" s="59">
        <f ca="1">Dashboard!C$8* Dashboard!$F$4+Dashboard!C$10*SQRT(Dashboard!$F$4) * _xlfn.NORM.S.INV(RAND())</f>
        <v>2.3403440537855862E-2</v>
      </c>
      <c r="U2291" s="59">
        <f ca="1">Dashboard!D$8* Dashboard!$F$4+Dashboard!D$10*SQRT(Dashboard!$F$4) * _xlfn.NORM.S.INV(RAND())</f>
        <v>4.1444228244654165E-2</v>
      </c>
    </row>
    <row r="2292" spans="18:21" x14ac:dyDescent="0.2">
      <c r="R2292" s="49">
        <v>2290</v>
      </c>
      <c r="S2292" s="59">
        <f ca="1">Dashboard!B$8* Dashboard!$F$4+Dashboard!B$10*SQRT(Dashboard!$F$4) * _xlfn.NORM.S.INV(RAND())</f>
        <v>-2.1143059149020087E-2</v>
      </c>
      <c r="T2292" s="59">
        <f ca="1">Dashboard!C$8* Dashboard!$F$4+Dashboard!C$10*SQRT(Dashboard!$F$4) * _xlfn.NORM.S.INV(RAND())</f>
        <v>6.653911960003589E-3</v>
      </c>
      <c r="U2292" s="59">
        <f ca="1">Dashboard!D$8* Dashboard!$F$4+Dashboard!D$10*SQRT(Dashboard!$F$4) * _xlfn.NORM.S.INV(RAND())</f>
        <v>3.3336617782441728E-2</v>
      </c>
    </row>
    <row r="2293" spans="18:21" x14ac:dyDescent="0.2">
      <c r="R2293" s="49">
        <v>2291</v>
      </c>
      <c r="S2293" s="59">
        <f ca="1">Dashboard!B$8* Dashboard!$F$4+Dashboard!B$10*SQRT(Dashboard!$F$4) * _xlfn.NORM.S.INV(RAND())</f>
        <v>-3.1375578078015635E-3</v>
      </c>
      <c r="T2293" s="59">
        <f ca="1">Dashboard!C$8* Dashboard!$F$4+Dashboard!C$10*SQRT(Dashboard!$F$4) * _xlfn.NORM.S.INV(RAND())</f>
        <v>-1.1752512908905954E-2</v>
      </c>
      <c r="U2293" s="59">
        <f ca="1">Dashboard!D$8* Dashboard!$F$4+Dashboard!D$10*SQRT(Dashboard!$F$4) * _xlfn.NORM.S.INV(RAND())</f>
        <v>5.4758383381737497E-2</v>
      </c>
    </row>
    <row r="2294" spans="18:21" x14ac:dyDescent="0.2">
      <c r="R2294" s="49">
        <v>2292</v>
      </c>
      <c r="S2294" s="59">
        <f ca="1">Dashboard!B$8* Dashboard!$F$4+Dashboard!B$10*SQRT(Dashboard!$F$4) * _xlfn.NORM.S.INV(RAND())</f>
        <v>5.5208061715914438E-3</v>
      </c>
      <c r="T2294" s="59">
        <f ca="1">Dashboard!C$8* Dashboard!$F$4+Dashboard!C$10*SQRT(Dashboard!$F$4) * _xlfn.NORM.S.INV(RAND())</f>
        <v>3.4365143085963494E-2</v>
      </c>
      <c r="U2294" s="59">
        <f ca="1">Dashboard!D$8* Dashboard!$F$4+Dashboard!D$10*SQRT(Dashboard!$F$4) * _xlfn.NORM.S.INV(RAND())</f>
        <v>-8.4773913366862994E-3</v>
      </c>
    </row>
    <row r="2295" spans="18:21" x14ac:dyDescent="0.2">
      <c r="R2295" s="49">
        <v>2293</v>
      </c>
      <c r="S2295" s="59">
        <f ca="1">Dashboard!B$8* Dashboard!$F$4+Dashboard!B$10*SQRT(Dashboard!$F$4) * _xlfn.NORM.S.INV(RAND())</f>
        <v>-3.1595640671995925E-2</v>
      </c>
      <c r="T2295" s="59">
        <f ca="1">Dashboard!C$8* Dashboard!$F$4+Dashboard!C$10*SQRT(Dashboard!$F$4) * _xlfn.NORM.S.INV(RAND())</f>
        <v>9.4944452846684943E-3</v>
      </c>
      <c r="U2295" s="59">
        <f ca="1">Dashboard!D$8* Dashboard!$F$4+Dashboard!D$10*SQRT(Dashboard!$F$4) * _xlfn.NORM.S.INV(RAND())</f>
        <v>3.5479363725271357E-2</v>
      </c>
    </row>
    <row r="2296" spans="18:21" x14ac:dyDescent="0.2">
      <c r="R2296" s="49">
        <v>2294</v>
      </c>
      <c r="S2296" s="59">
        <f ca="1">Dashboard!B$8* Dashboard!$F$4+Dashboard!B$10*SQRT(Dashboard!$F$4) * _xlfn.NORM.S.INV(RAND())</f>
        <v>-1.9134094816502002E-2</v>
      </c>
      <c r="T2296" s="59">
        <f ca="1">Dashboard!C$8* Dashboard!$F$4+Dashboard!C$10*SQRT(Dashboard!$F$4) * _xlfn.NORM.S.INV(RAND())</f>
        <v>-6.8714168557453921E-3</v>
      </c>
      <c r="U2296" s="59">
        <f ca="1">Dashboard!D$8* Dashboard!$F$4+Dashboard!D$10*SQRT(Dashboard!$F$4) * _xlfn.NORM.S.INV(RAND())</f>
        <v>-1.7723525712782167E-2</v>
      </c>
    </row>
    <row r="2297" spans="18:21" x14ac:dyDescent="0.2">
      <c r="R2297" s="49">
        <v>2295</v>
      </c>
      <c r="S2297" s="59">
        <f ca="1">Dashboard!B$8* Dashboard!$F$4+Dashboard!B$10*SQRT(Dashboard!$F$4) * _xlfn.NORM.S.INV(RAND())</f>
        <v>2.5877863712845062E-2</v>
      </c>
      <c r="T2297" s="59">
        <f ca="1">Dashboard!C$8* Dashboard!$F$4+Dashboard!C$10*SQRT(Dashboard!$F$4) * _xlfn.NORM.S.INV(RAND())</f>
        <v>8.3593384261335946E-3</v>
      </c>
      <c r="U2297" s="59">
        <f ca="1">Dashboard!D$8* Dashboard!$F$4+Dashboard!D$10*SQRT(Dashboard!$F$4) * _xlfn.NORM.S.INV(RAND())</f>
        <v>-5.1001444956843868E-3</v>
      </c>
    </row>
    <row r="2298" spans="18:21" x14ac:dyDescent="0.2">
      <c r="R2298" s="49">
        <v>2296</v>
      </c>
      <c r="S2298" s="59">
        <f ca="1">Dashboard!B$8* Dashboard!$F$4+Dashboard!B$10*SQRT(Dashboard!$F$4) * _xlfn.NORM.S.INV(RAND())</f>
        <v>1.935325247759985E-2</v>
      </c>
      <c r="T2298" s="59">
        <f ca="1">Dashboard!C$8* Dashboard!$F$4+Dashboard!C$10*SQRT(Dashboard!$F$4) * _xlfn.NORM.S.INV(RAND())</f>
        <v>-4.2150050421499207E-3</v>
      </c>
      <c r="U2298" s="59">
        <f ca="1">Dashboard!D$8* Dashboard!$F$4+Dashboard!D$10*SQRT(Dashboard!$F$4) * _xlfn.NORM.S.INV(RAND())</f>
        <v>1.4359986893714176E-2</v>
      </c>
    </row>
    <row r="2299" spans="18:21" x14ac:dyDescent="0.2">
      <c r="R2299" s="49">
        <v>2297</v>
      </c>
      <c r="S2299" s="59">
        <f ca="1">Dashboard!B$8* Dashboard!$F$4+Dashboard!B$10*SQRT(Dashboard!$F$4) * _xlfn.NORM.S.INV(RAND())</f>
        <v>1.7032813854866179E-2</v>
      </c>
      <c r="T2299" s="59">
        <f ca="1">Dashboard!C$8* Dashboard!$F$4+Dashboard!C$10*SQRT(Dashboard!$F$4) * _xlfn.NORM.S.INV(RAND())</f>
        <v>5.0257864395616882E-4</v>
      </c>
      <c r="U2299" s="59">
        <f ca="1">Dashboard!D$8* Dashboard!$F$4+Dashboard!D$10*SQRT(Dashboard!$F$4) * _xlfn.NORM.S.INV(RAND())</f>
        <v>-2.4444490439646327E-3</v>
      </c>
    </row>
    <row r="2300" spans="18:21" x14ac:dyDescent="0.2">
      <c r="R2300" s="49">
        <v>2298</v>
      </c>
      <c r="S2300" s="59">
        <f ca="1">Dashboard!B$8* Dashboard!$F$4+Dashboard!B$10*SQRT(Dashboard!$F$4) * _xlfn.NORM.S.INV(RAND())</f>
        <v>-9.686583207650621E-3</v>
      </c>
      <c r="T2300" s="59">
        <f ca="1">Dashboard!C$8* Dashboard!$F$4+Dashboard!C$10*SQRT(Dashboard!$F$4) * _xlfn.NORM.S.INV(RAND())</f>
        <v>-3.3370171558715512E-4</v>
      </c>
      <c r="U2300" s="59">
        <f ca="1">Dashboard!D$8* Dashboard!$F$4+Dashboard!D$10*SQRT(Dashboard!$F$4) * _xlfn.NORM.S.INV(RAND())</f>
        <v>4.6148618753686095E-2</v>
      </c>
    </row>
    <row r="2301" spans="18:21" x14ac:dyDescent="0.2">
      <c r="R2301" s="49">
        <v>2299</v>
      </c>
      <c r="S2301" s="59">
        <f ca="1">Dashboard!B$8* Dashboard!$F$4+Dashboard!B$10*SQRT(Dashboard!$F$4) * _xlfn.NORM.S.INV(RAND())</f>
        <v>-2.607659406284047E-2</v>
      </c>
      <c r="T2301" s="59">
        <f ca="1">Dashboard!C$8* Dashboard!$F$4+Dashboard!C$10*SQRT(Dashboard!$F$4) * _xlfn.NORM.S.INV(RAND())</f>
        <v>1.0312736886523675E-2</v>
      </c>
      <c r="U2301" s="59">
        <f ca="1">Dashboard!D$8* Dashboard!$F$4+Dashboard!D$10*SQRT(Dashboard!$F$4) * _xlfn.NORM.S.INV(RAND())</f>
        <v>1.2054709606160115E-2</v>
      </c>
    </row>
    <row r="2302" spans="18:21" x14ac:dyDescent="0.2">
      <c r="R2302" s="49">
        <v>2300</v>
      </c>
      <c r="S2302" s="59">
        <f ca="1">Dashboard!B$8* Dashboard!$F$4+Dashboard!B$10*SQRT(Dashboard!$F$4) * _xlfn.NORM.S.INV(RAND())</f>
        <v>1.3514076511732387E-2</v>
      </c>
      <c r="T2302" s="59">
        <f ca="1">Dashboard!C$8* Dashboard!$F$4+Dashboard!C$10*SQRT(Dashboard!$F$4) * _xlfn.NORM.S.INV(RAND())</f>
        <v>-1.5673983464716802E-2</v>
      </c>
      <c r="U2302" s="59">
        <f ca="1">Dashboard!D$8* Dashboard!$F$4+Dashboard!D$10*SQRT(Dashboard!$F$4) * _xlfn.NORM.S.INV(RAND())</f>
        <v>3.0004973560691726E-2</v>
      </c>
    </row>
    <row r="2303" spans="18:21" x14ac:dyDescent="0.2">
      <c r="R2303" s="49">
        <v>2301</v>
      </c>
      <c r="S2303" s="59">
        <f ca="1">Dashboard!B$8* Dashboard!$F$4+Dashboard!B$10*SQRT(Dashboard!$F$4) * _xlfn.NORM.S.INV(RAND())</f>
        <v>-3.6254444591541618E-2</v>
      </c>
      <c r="T2303" s="59">
        <f ca="1">Dashboard!C$8* Dashboard!$F$4+Dashboard!C$10*SQRT(Dashboard!$F$4) * _xlfn.NORM.S.INV(RAND())</f>
        <v>4.3277698709813302E-2</v>
      </c>
      <c r="U2303" s="59">
        <f ca="1">Dashboard!D$8* Dashboard!$F$4+Dashboard!D$10*SQRT(Dashboard!$F$4) * _xlfn.NORM.S.INV(RAND())</f>
        <v>-1.8100238400829514E-3</v>
      </c>
    </row>
    <row r="2304" spans="18:21" x14ac:dyDescent="0.2">
      <c r="R2304" s="49">
        <v>2302</v>
      </c>
      <c r="S2304" s="59">
        <f ca="1">Dashboard!B$8* Dashboard!$F$4+Dashboard!B$10*SQRT(Dashboard!$F$4) * _xlfn.NORM.S.INV(RAND())</f>
        <v>2.9622914894337882E-2</v>
      </c>
      <c r="T2304" s="59">
        <f ca="1">Dashboard!C$8* Dashboard!$F$4+Dashboard!C$10*SQRT(Dashboard!$F$4) * _xlfn.NORM.S.INV(RAND())</f>
        <v>-6.658478892802377E-3</v>
      </c>
      <c r="U2304" s="59">
        <f ca="1">Dashboard!D$8* Dashboard!$F$4+Dashboard!D$10*SQRT(Dashboard!$F$4) * _xlfn.NORM.S.INV(RAND())</f>
        <v>3.5451279582225131E-2</v>
      </c>
    </row>
    <row r="2305" spans="18:21" x14ac:dyDescent="0.2">
      <c r="R2305" s="49">
        <v>2303</v>
      </c>
      <c r="S2305" s="59">
        <f ca="1">Dashboard!B$8* Dashboard!$F$4+Dashboard!B$10*SQRT(Dashboard!$F$4) * _xlfn.NORM.S.INV(RAND())</f>
        <v>-4.8080639913441588E-2</v>
      </c>
      <c r="T2305" s="59">
        <f ca="1">Dashboard!C$8* Dashboard!$F$4+Dashboard!C$10*SQRT(Dashboard!$F$4) * _xlfn.NORM.S.INV(RAND())</f>
        <v>2.5339775271164416E-2</v>
      </c>
      <c r="U2305" s="59">
        <f ca="1">Dashboard!D$8* Dashboard!$F$4+Dashboard!D$10*SQRT(Dashboard!$F$4) * _xlfn.NORM.S.INV(RAND())</f>
        <v>9.6856897479496561E-3</v>
      </c>
    </row>
    <row r="2306" spans="18:21" x14ac:dyDescent="0.2">
      <c r="R2306" s="49">
        <v>2304</v>
      </c>
      <c r="S2306" s="59">
        <f ca="1">Dashboard!B$8* Dashboard!$F$4+Dashboard!B$10*SQRT(Dashboard!$F$4) * _xlfn.NORM.S.INV(RAND())</f>
        <v>-6.8598232240759689E-3</v>
      </c>
      <c r="T2306" s="59">
        <f ca="1">Dashboard!C$8* Dashboard!$F$4+Dashboard!C$10*SQRT(Dashboard!$F$4) * _xlfn.NORM.S.INV(RAND())</f>
        <v>-7.1492915658279317E-4</v>
      </c>
      <c r="U2306" s="59">
        <f ca="1">Dashboard!D$8* Dashboard!$F$4+Dashboard!D$10*SQRT(Dashboard!$F$4) * _xlfn.NORM.S.INV(RAND())</f>
        <v>1.9359732041542087E-2</v>
      </c>
    </row>
    <row r="2307" spans="18:21" x14ac:dyDescent="0.2">
      <c r="R2307" s="49">
        <v>2305</v>
      </c>
      <c r="S2307" s="59">
        <f ca="1">Dashboard!B$8* Dashboard!$F$4+Dashboard!B$10*SQRT(Dashboard!$F$4) * _xlfn.NORM.S.INV(RAND())</f>
        <v>5.4104451676836494E-2</v>
      </c>
      <c r="T2307" s="59">
        <f ca="1">Dashboard!C$8* Dashboard!$F$4+Dashboard!C$10*SQRT(Dashboard!$F$4) * _xlfn.NORM.S.INV(RAND())</f>
        <v>1.4161998613682027E-2</v>
      </c>
      <c r="U2307" s="59">
        <f ca="1">Dashboard!D$8* Dashboard!$F$4+Dashboard!D$10*SQRT(Dashboard!$F$4) * _xlfn.NORM.S.INV(RAND())</f>
        <v>2.2772692454225741E-2</v>
      </c>
    </row>
    <row r="2308" spans="18:21" x14ac:dyDescent="0.2">
      <c r="R2308" s="49">
        <v>2306</v>
      </c>
      <c r="S2308" s="59">
        <f ca="1">Dashboard!B$8* Dashboard!$F$4+Dashboard!B$10*SQRT(Dashboard!$F$4) * _xlfn.NORM.S.INV(RAND())</f>
        <v>1.062489391674239E-2</v>
      </c>
      <c r="T2308" s="59">
        <f ca="1">Dashboard!C$8* Dashboard!$F$4+Dashboard!C$10*SQRT(Dashboard!$F$4) * _xlfn.NORM.S.INV(RAND())</f>
        <v>2.2735893001224351E-2</v>
      </c>
      <c r="U2308" s="59">
        <f ca="1">Dashboard!D$8* Dashboard!$F$4+Dashboard!D$10*SQRT(Dashboard!$F$4) * _xlfn.NORM.S.INV(RAND())</f>
        <v>9.9619913074249448E-3</v>
      </c>
    </row>
    <row r="2309" spans="18:21" x14ac:dyDescent="0.2">
      <c r="R2309" s="49">
        <v>2307</v>
      </c>
      <c r="S2309" s="59">
        <f ca="1">Dashboard!B$8* Dashboard!$F$4+Dashboard!B$10*SQRT(Dashboard!$F$4) * _xlfn.NORM.S.INV(RAND())</f>
        <v>-6.041111666710881E-3</v>
      </c>
      <c r="T2309" s="59">
        <f ca="1">Dashboard!C$8* Dashboard!$F$4+Dashboard!C$10*SQRT(Dashboard!$F$4) * _xlfn.NORM.S.INV(RAND())</f>
        <v>-4.3495279065901032E-2</v>
      </c>
      <c r="U2309" s="59">
        <f ca="1">Dashboard!D$8* Dashboard!$F$4+Dashboard!D$10*SQRT(Dashboard!$F$4) * _xlfn.NORM.S.INV(RAND())</f>
        <v>3.339522345023118E-2</v>
      </c>
    </row>
    <row r="2310" spans="18:21" x14ac:dyDescent="0.2">
      <c r="R2310" s="49">
        <v>2308</v>
      </c>
      <c r="S2310" s="59">
        <f ca="1">Dashboard!B$8* Dashboard!$F$4+Dashboard!B$10*SQRT(Dashboard!$F$4) * _xlfn.NORM.S.INV(RAND())</f>
        <v>-1.9223514836208589E-2</v>
      </c>
      <c r="T2310" s="59">
        <f ca="1">Dashboard!C$8* Dashboard!$F$4+Dashboard!C$10*SQRT(Dashboard!$F$4) * _xlfn.NORM.S.INV(RAND())</f>
        <v>1.7666784058985443E-2</v>
      </c>
      <c r="U2310" s="59">
        <f ca="1">Dashboard!D$8* Dashboard!$F$4+Dashboard!D$10*SQRT(Dashboard!$F$4) * _xlfn.NORM.S.INV(RAND())</f>
        <v>-2.879239829132051E-2</v>
      </c>
    </row>
    <row r="2311" spans="18:21" x14ac:dyDescent="0.2">
      <c r="R2311" s="49">
        <v>2309</v>
      </c>
      <c r="S2311" s="59">
        <f ca="1">Dashboard!B$8* Dashboard!$F$4+Dashboard!B$10*SQRT(Dashboard!$F$4) * _xlfn.NORM.S.INV(RAND())</f>
        <v>-2.4524097761528703E-2</v>
      </c>
      <c r="T2311" s="59">
        <f ca="1">Dashboard!C$8* Dashboard!$F$4+Dashboard!C$10*SQRT(Dashboard!$F$4) * _xlfn.NORM.S.INV(RAND())</f>
        <v>-5.7416681462352383E-2</v>
      </c>
      <c r="U2311" s="59">
        <f ca="1">Dashboard!D$8* Dashboard!$F$4+Dashboard!D$10*SQRT(Dashboard!$F$4) * _xlfn.NORM.S.INV(RAND())</f>
        <v>-4.950696141563548E-2</v>
      </c>
    </row>
    <row r="2312" spans="18:21" x14ac:dyDescent="0.2">
      <c r="R2312" s="49">
        <v>2310</v>
      </c>
      <c r="S2312" s="59">
        <f ca="1">Dashboard!B$8* Dashboard!$F$4+Dashboard!B$10*SQRT(Dashboard!$F$4) * _xlfn.NORM.S.INV(RAND())</f>
        <v>-6.605457789774645E-2</v>
      </c>
      <c r="T2312" s="59">
        <f ca="1">Dashboard!C$8* Dashboard!$F$4+Dashboard!C$10*SQRT(Dashboard!$F$4) * _xlfn.NORM.S.INV(RAND())</f>
        <v>-9.2609985726800209E-2</v>
      </c>
      <c r="U2312" s="59">
        <f ca="1">Dashboard!D$8* Dashboard!$F$4+Dashboard!D$10*SQRT(Dashboard!$F$4) * _xlfn.NORM.S.INV(RAND())</f>
        <v>1.3234963224762711E-2</v>
      </c>
    </row>
    <row r="2313" spans="18:21" x14ac:dyDescent="0.2">
      <c r="R2313" s="49">
        <v>2311</v>
      </c>
      <c r="S2313" s="59">
        <f ca="1">Dashboard!B$8* Dashboard!$F$4+Dashboard!B$10*SQRT(Dashboard!$F$4) * _xlfn.NORM.S.INV(RAND())</f>
        <v>-4.7314095008188046E-3</v>
      </c>
      <c r="T2313" s="59">
        <f ca="1">Dashboard!C$8* Dashboard!$F$4+Dashboard!C$10*SQRT(Dashboard!$F$4) * _xlfn.NORM.S.INV(RAND())</f>
        <v>1.9788969941566478E-2</v>
      </c>
      <c r="U2313" s="59">
        <f ca="1">Dashboard!D$8* Dashboard!$F$4+Dashboard!D$10*SQRT(Dashboard!$F$4) * _xlfn.NORM.S.INV(RAND())</f>
        <v>-1.7556020190740908E-2</v>
      </c>
    </row>
    <row r="2314" spans="18:21" x14ac:dyDescent="0.2">
      <c r="R2314" s="49">
        <v>2312</v>
      </c>
      <c r="S2314" s="59">
        <f ca="1">Dashboard!B$8* Dashboard!$F$4+Dashboard!B$10*SQRT(Dashboard!$F$4) * _xlfn.NORM.S.INV(RAND())</f>
        <v>-7.7881430197679083E-2</v>
      </c>
      <c r="T2314" s="59">
        <f ca="1">Dashboard!C$8* Dashboard!$F$4+Dashboard!C$10*SQRT(Dashboard!$F$4) * _xlfn.NORM.S.INV(RAND())</f>
        <v>1.1994314797195168E-2</v>
      </c>
      <c r="U2314" s="59">
        <f ca="1">Dashboard!D$8* Dashboard!$F$4+Dashboard!D$10*SQRT(Dashboard!$F$4) * _xlfn.NORM.S.INV(RAND())</f>
        <v>-1.667593285950255E-2</v>
      </c>
    </row>
    <row r="2315" spans="18:21" x14ac:dyDescent="0.2">
      <c r="R2315" s="49">
        <v>2313</v>
      </c>
      <c r="S2315" s="59">
        <f ca="1">Dashboard!B$8* Dashboard!$F$4+Dashboard!B$10*SQRT(Dashboard!$F$4) * _xlfn.NORM.S.INV(RAND())</f>
        <v>-6.3799155395113105E-2</v>
      </c>
      <c r="T2315" s="59">
        <f ca="1">Dashboard!C$8* Dashboard!$F$4+Dashboard!C$10*SQRT(Dashboard!$F$4) * _xlfn.NORM.S.INV(RAND())</f>
        <v>-9.8604750774019291E-3</v>
      </c>
      <c r="U2315" s="59">
        <f ca="1">Dashboard!D$8* Dashboard!$F$4+Dashboard!D$10*SQRT(Dashboard!$F$4) * _xlfn.NORM.S.INV(RAND())</f>
        <v>2.5144458877768588E-2</v>
      </c>
    </row>
    <row r="2316" spans="18:21" x14ac:dyDescent="0.2">
      <c r="R2316" s="49">
        <v>2314</v>
      </c>
      <c r="S2316" s="59">
        <f ca="1">Dashboard!B$8* Dashboard!$F$4+Dashboard!B$10*SQRT(Dashboard!$F$4) * _xlfn.NORM.S.INV(RAND())</f>
        <v>-9.3448566891505047E-2</v>
      </c>
      <c r="T2316" s="59">
        <f ca="1">Dashboard!C$8* Dashboard!$F$4+Dashboard!C$10*SQRT(Dashboard!$F$4) * _xlfn.NORM.S.INV(RAND())</f>
        <v>3.8703471830007505E-3</v>
      </c>
      <c r="U2316" s="59">
        <f ca="1">Dashboard!D$8* Dashboard!$F$4+Dashboard!D$10*SQRT(Dashboard!$F$4) * _xlfn.NORM.S.INV(RAND())</f>
        <v>3.6437251591815663E-2</v>
      </c>
    </row>
    <row r="2317" spans="18:21" x14ac:dyDescent="0.2">
      <c r="R2317" s="49">
        <v>2315</v>
      </c>
      <c r="S2317" s="59">
        <f ca="1">Dashboard!B$8* Dashboard!$F$4+Dashboard!B$10*SQRT(Dashboard!$F$4) * _xlfn.NORM.S.INV(RAND())</f>
        <v>-2.7348977240650253E-2</v>
      </c>
      <c r="T2317" s="59">
        <f ca="1">Dashboard!C$8* Dashboard!$F$4+Dashboard!C$10*SQRT(Dashboard!$F$4) * _xlfn.NORM.S.INV(RAND())</f>
        <v>-1.3327671854105806E-2</v>
      </c>
      <c r="U2317" s="59">
        <f ca="1">Dashboard!D$8* Dashboard!$F$4+Dashboard!D$10*SQRT(Dashboard!$F$4) * _xlfn.NORM.S.INV(RAND())</f>
        <v>-1.6985757689150824E-2</v>
      </c>
    </row>
    <row r="2318" spans="18:21" x14ac:dyDescent="0.2">
      <c r="R2318" s="49">
        <v>2316</v>
      </c>
      <c r="S2318" s="59">
        <f ca="1">Dashboard!B$8* Dashboard!$F$4+Dashboard!B$10*SQRT(Dashboard!$F$4) * _xlfn.NORM.S.INV(RAND())</f>
        <v>4.6432765634726439E-2</v>
      </c>
      <c r="T2318" s="59">
        <f ca="1">Dashboard!C$8* Dashboard!$F$4+Dashboard!C$10*SQRT(Dashboard!$F$4) * _xlfn.NORM.S.INV(RAND())</f>
        <v>-3.5062339449311126E-3</v>
      </c>
      <c r="U2318" s="59">
        <f ca="1">Dashboard!D$8* Dashboard!$F$4+Dashboard!D$10*SQRT(Dashboard!$F$4) * _xlfn.NORM.S.INV(RAND())</f>
        <v>-6.7849450359980671E-3</v>
      </c>
    </row>
    <row r="2319" spans="18:21" x14ac:dyDescent="0.2">
      <c r="R2319" s="49">
        <v>2317</v>
      </c>
      <c r="S2319" s="59">
        <f ca="1">Dashboard!B$8* Dashboard!$F$4+Dashboard!B$10*SQRT(Dashboard!$F$4) * _xlfn.NORM.S.INV(RAND())</f>
        <v>2.5222216787591102E-2</v>
      </c>
      <c r="T2319" s="59">
        <f ca="1">Dashboard!C$8* Dashboard!$F$4+Dashboard!C$10*SQRT(Dashboard!$F$4) * _xlfn.NORM.S.INV(RAND())</f>
        <v>7.1243086215383254E-3</v>
      </c>
      <c r="U2319" s="59">
        <f ca="1">Dashboard!D$8* Dashboard!$F$4+Dashboard!D$10*SQRT(Dashboard!$F$4) * _xlfn.NORM.S.INV(RAND())</f>
        <v>-2.6281403850928982E-2</v>
      </c>
    </row>
    <row r="2320" spans="18:21" x14ac:dyDescent="0.2">
      <c r="R2320" s="49">
        <v>2318</v>
      </c>
      <c r="S2320" s="59">
        <f ca="1">Dashboard!B$8* Dashboard!$F$4+Dashboard!B$10*SQRT(Dashboard!$F$4) * _xlfn.NORM.S.INV(RAND())</f>
        <v>3.3158230221837184E-2</v>
      </c>
      <c r="T2320" s="59">
        <f ca="1">Dashboard!C$8* Dashboard!$F$4+Dashboard!C$10*SQRT(Dashboard!$F$4) * _xlfn.NORM.S.INV(RAND())</f>
        <v>-2.3152169060892316E-2</v>
      </c>
      <c r="U2320" s="59">
        <f ca="1">Dashboard!D$8* Dashboard!$F$4+Dashboard!D$10*SQRT(Dashboard!$F$4) * _xlfn.NORM.S.INV(RAND())</f>
        <v>3.3785793165253437E-2</v>
      </c>
    </row>
    <row r="2321" spans="18:21" x14ac:dyDescent="0.2">
      <c r="R2321" s="49">
        <v>2319</v>
      </c>
      <c r="S2321" s="59">
        <f ca="1">Dashboard!B$8* Dashboard!$F$4+Dashboard!B$10*SQRT(Dashboard!$F$4) * _xlfn.NORM.S.INV(RAND())</f>
        <v>-3.2976591746967585E-4</v>
      </c>
      <c r="T2321" s="59">
        <f ca="1">Dashboard!C$8* Dashboard!$F$4+Dashboard!C$10*SQRT(Dashboard!$F$4) * _xlfn.NORM.S.INV(RAND())</f>
        <v>-6.6103104761810319E-2</v>
      </c>
      <c r="U2321" s="59">
        <f ca="1">Dashboard!D$8* Dashboard!$F$4+Dashboard!D$10*SQRT(Dashboard!$F$4) * _xlfn.NORM.S.INV(RAND())</f>
        <v>-2.661510042149963E-2</v>
      </c>
    </row>
    <row r="2322" spans="18:21" x14ac:dyDescent="0.2">
      <c r="R2322" s="49">
        <v>2320</v>
      </c>
      <c r="S2322" s="59">
        <f ca="1">Dashboard!B$8* Dashboard!$F$4+Dashboard!B$10*SQRT(Dashboard!$F$4) * _xlfn.NORM.S.INV(RAND())</f>
        <v>-2.0454340912872578E-2</v>
      </c>
      <c r="T2322" s="59">
        <f ca="1">Dashboard!C$8* Dashboard!$F$4+Dashboard!C$10*SQRT(Dashboard!$F$4) * _xlfn.NORM.S.INV(RAND())</f>
        <v>7.2266956515445083E-2</v>
      </c>
      <c r="U2322" s="59">
        <f ca="1">Dashboard!D$8* Dashboard!$F$4+Dashboard!D$10*SQRT(Dashboard!$F$4) * _xlfn.NORM.S.INV(RAND())</f>
        <v>-5.8486569891690945E-3</v>
      </c>
    </row>
    <row r="2323" spans="18:21" x14ac:dyDescent="0.2">
      <c r="R2323" s="49">
        <v>2321</v>
      </c>
      <c r="S2323" s="59">
        <f ca="1">Dashboard!B$8* Dashboard!$F$4+Dashboard!B$10*SQRT(Dashboard!$F$4) * _xlfn.NORM.S.INV(RAND())</f>
        <v>-9.9144765616724258E-3</v>
      </c>
      <c r="T2323" s="59">
        <f ca="1">Dashboard!C$8* Dashboard!$F$4+Dashboard!C$10*SQRT(Dashboard!$F$4) * _xlfn.NORM.S.INV(RAND())</f>
        <v>-4.5467341678009393E-2</v>
      </c>
      <c r="U2323" s="59">
        <f ca="1">Dashboard!D$8* Dashboard!$F$4+Dashboard!D$10*SQRT(Dashboard!$F$4) * _xlfn.NORM.S.INV(RAND())</f>
        <v>2.2849001962812324E-2</v>
      </c>
    </row>
    <row r="2324" spans="18:21" x14ac:dyDescent="0.2">
      <c r="R2324" s="49">
        <v>2322</v>
      </c>
      <c r="S2324" s="59">
        <f ca="1">Dashboard!B$8* Dashboard!$F$4+Dashboard!B$10*SQRT(Dashboard!$F$4) * _xlfn.NORM.S.INV(RAND())</f>
        <v>-7.9820046171994716E-2</v>
      </c>
      <c r="T2324" s="59">
        <f ca="1">Dashboard!C$8* Dashboard!$F$4+Dashboard!C$10*SQRT(Dashboard!$F$4) * _xlfn.NORM.S.INV(RAND())</f>
        <v>-2.9464304809576829E-2</v>
      </c>
      <c r="U2324" s="59">
        <f ca="1">Dashboard!D$8* Dashboard!$F$4+Dashboard!D$10*SQRT(Dashboard!$F$4) * _xlfn.NORM.S.INV(RAND())</f>
        <v>4.2028627435910661E-2</v>
      </c>
    </row>
    <row r="2325" spans="18:21" x14ac:dyDescent="0.2">
      <c r="R2325" s="49">
        <v>2323</v>
      </c>
      <c r="S2325" s="59">
        <f ca="1">Dashboard!B$8* Dashboard!$F$4+Dashboard!B$10*SQRT(Dashboard!$F$4) * _xlfn.NORM.S.INV(RAND())</f>
        <v>-2.0428174548848023E-2</v>
      </c>
      <c r="T2325" s="59">
        <f ca="1">Dashboard!C$8* Dashboard!$F$4+Dashboard!C$10*SQRT(Dashboard!$F$4) * _xlfn.NORM.S.INV(RAND())</f>
        <v>-4.981027432861819E-2</v>
      </c>
      <c r="U2325" s="59">
        <f ca="1">Dashboard!D$8* Dashboard!$F$4+Dashboard!D$10*SQRT(Dashboard!$F$4) * _xlfn.NORM.S.INV(RAND())</f>
        <v>-1.9361109488772562E-2</v>
      </c>
    </row>
    <row r="2326" spans="18:21" x14ac:dyDescent="0.2">
      <c r="R2326" s="49">
        <v>2324</v>
      </c>
      <c r="S2326" s="59">
        <f ca="1">Dashboard!B$8* Dashboard!$F$4+Dashboard!B$10*SQRT(Dashboard!$F$4) * _xlfn.NORM.S.INV(RAND())</f>
        <v>-7.8685368453460438E-3</v>
      </c>
      <c r="T2326" s="59">
        <f ca="1">Dashboard!C$8* Dashboard!$F$4+Dashboard!C$10*SQRT(Dashboard!$F$4) * _xlfn.NORM.S.INV(RAND())</f>
        <v>2.0326572084213589E-2</v>
      </c>
      <c r="U2326" s="59">
        <f ca="1">Dashboard!D$8* Dashboard!$F$4+Dashboard!D$10*SQRT(Dashboard!$F$4) * _xlfn.NORM.S.INV(RAND())</f>
        <v>-2.410893162362762E-3</v>
      </c>
    </row>
    <row r="2327" spans="18:21" x14ac:dyDescent="0.2">
      <c r="R2327" s="49">
        <v>2325</v>
      </c>
      <c r="S2327" s="59">
        <f ca="1">Dashboard!B$8* Dashboard!$F$4+Dashboard!B$10*SQRT(Dashboard!$F$4) * _xlfn.NORM.S.INV(RAND())</f>
        <v>9.8745199463387816E-4</v>
      </c>
      <c r="T2327" s="59">
        <f ca="1">Dashboard!C$8* Dashboard!$F$4+Dashboard!C$10*SQRT(Dashboard!$F$4) * _xlfn.NORM.S.INV(RAND())</f>
        <v>2.4637869105982438E-2</v>
      </c>
      <c r="U2327" s="59">
        <f ca="1">Dashboard!D$8* Dashboard!$F$4+Dashboard!D$10*SQRT(Dashboard!$F$4) * _xlfn.NORM.S.INV(RAND())</f>
        <v>9.9694301254982555E-3</v>
      </c>
    </row>
    <row r="2328" spans="18:21" x14ac:dyDescent="0.2">
      <c r="R2328" s="49">
        <v>2326</v>
      </c>
      <c r="S2328" s="59">
        <f ca="1">Dashboard!B$8* Dashboard!$F$4+Dashboard!B$10*SQRT(Dashboard!$F$4) * _xlfn.NORM.S.INV(RAND())</f>
        <v>-4.4967174644772553E-2</v>
      </c>
      <c r="T2328" s="59">
        <f ca="1">Dashboard!C$8* Dashboard!$F$4+Dashboard!C$10*SQRT(Dashboard!$F$4) * _xlfn.NORM.S.INV(RAND())</f>
        <v>7.7102103566997092E-3</v>
      </c>
      <c r="U2328" s="59">
        <f ca="1">Dashboard!D$8* Dashboard!$F$4+Dashboard!D$10*SQRT(Dashboard!$F$4) * _xlfn.NORM.S.INV(RAND())</f>
        <v>-1.007058659500592E-4</v>
      </c>
    </row>
    <row r="2329" spans="18:21" x14ac:dyDescent="0.2">
      <c r="R2329" s="49">
        <v>2327</v>
      </c>
      <c r="S2329" s="59">
        <f ca="1">Dashboard!B$8* Dashboard!$F$4+Dashboard!B$10*SQRT(Dashboard!$F$4) * _xlfn.NORM.S.INV(RAND())</f>
        <v>5.7112874746395557E-3</v>
      </c>
      <c r="T2329" s="59">
        <f ca="1">Dashboard!C$8* Dashboard!$F$4+Dashboard!C$10*SQRT(Dashboard!$F$4) * _xlfn.NORM.S.INV(RAND())</f>
        <v>-8.6785818156008658E-3</v>
      </c>
      <c r="U2329" s="59">
        <f ca="1">Dashboard!D$8* Dashboard!$F$4+Dashboard!D$10*SQRT(Dashboard!$F$4) * _xlfn.NORM.S.INV(RAND())</f>
        <v>-8.5698785632492194E-3</v>
      </c>
    </row>
    <row r="2330" spans="18:21" x14ac:dyDescent="0.2">
      <c r="R2330" s="49">
        <v>2328</v>
      </c>
      <c r="S2330" s="59">
        <f ca="1">Dashboard!B$8* Dashboard!$F$4+Dashboard!B$10*SQRT(Dashboard!$F$4) * _xlfn.NORM.S.INV(RAND())</f>
        <v>-2.0991997739219781E-4</v>
      </c>
      <c r="T2330" s="59">
        <f ca="1">Dashboard!C$8* Dashboard!$F$4+Dashboard!C$10*SQRT(Dashboard!$F$4) * _xlfn.NORM.S.INV(RAND())</f>
        <v>2.561886970565501E-3</v>
      </c>
      <c r="U2330" s="59">
        <f ca="1">Dashboard!D$8* Dashboard!$F$4+Dashboard!D$10*SQRT(Dashboard!$F$4) * _xlfn.NORM.S.INV(RAND())</f>
        <v>-1.4647322345120105E-2</v>
      </c>
    </row>
    <row r="2331" spans="18:21" x14ac:dyDescent="0.2">
      <c r="R2331" s="49">
        <v>2329</v>
      </c>
      <c r="S2331" s="59">
        <f ca="1">Dashboard!B$8* Dashboard!$F$4+Dashboard!B$10*SQRT(Dashboard!$F$4) * _xlfn.NORM.S.INV(RAND())</f>
        <v>5.1212473309311807E-3</v>
      </c>
      <c r="T2331" s="59">
        <f ca="1">Dashboard!C$8* Dashboard!$F$4+Dashboard!C$10*SQRT(Dashboard!$F$4) * _xlfn.NORM.S.INV(RAND())</f>
        <v>-6.0663995546433924E-2</v>
      </c>
      <c r="U2331" s="59">
        <f ca="1">Dashboard!D$8* Dashboard!$F$4+Dashboard!D$10*SQRT(Dashboard!$F$4) * _xlfn.NORM.S.INV(RAND())</f>
        <v>4.0161150299607429E-2</v>
      </c>
    </row>
    <row r="2332" spans="18:21" x14ac:dyDescent="0.2">
      <c r="R2332" s="49">
        <v>2330</v>
      </c>
      <c r="S2332" s="59">
        <f ca="1">Dashboard!B$8* Dashboard!$F$4+Dashboard!B$10*SQRT(Dashboard!$F$4) * _xlfn.NORM.S.INV(RAND())</f>
        <v>3.115197309963607E-3</v>
      </c>
      <c r="T2332" s="59">
        <f ca="1">Dashboard!C$8* Dashboard!$F$4+Dashboard!C$10*SQRT(Dashboard!$F$4) * _xlfn.NORM.S.INV(RAND())</f>
        <v>-2.9375298957630424E-2</v>
      </c>
      <c r="U2332" s="59">
        <f ca="1">Dashboard!D$8* Dashboard!$F$4+Dashboard!D$10*SQRT(Dashboard!$F$4) * _xlfn.NORM.S.INV(RAND())</f>
        <v>-1.1121445456875533E-2</v>
      </c>
    </row>
    <row r="2333" spans="18:21" x14ac:dyDescent="0.2">
      <c r="R2333" s="49">
        <v>2331</v>
      </c>
      <c r="S2333" s="59">
        <f ca="1">Dashboard!B$8* Dashboard!$F$4+Dashboard!B$10*SQRT(Dashboard!$F$4) * _xlfn.NORM.S.INV(RAND())</f>
        <v>5.2600121983328009E-2</v>
      </c>
      <c r="T2333" s="59">
        <f ca="1">Dashboard!C$8* Dashboard!$F$4+Dashboard!C$10*SQRT(Dashboard!$F$4) * _xlfn.NORM.S.INV(RAND())</f>
        <v>-9.825367064336607E-3</v>
      </c>
      <c r="U2333" s="59">
        <f ca="1">Dashboard!D$8* Dashboard!$F$4+Dashboard!D$10*SQRT(Dashboard!$F$4) * _xlfn.NORM.S.INV(RAND())</f>
        <v>1.4328469355918578E-2</v>
      </c>
    </row>
    <row r="2334" spans="18:21" x14ac:dyDescent="0.2">
      <c r="R2334" s="49">
        <v>2332</v>
      </c>
      <c r="S2334" s="59">
        <f ca="1">Dashboard!B$8* Dashboard!$F$4+Dashboard!B$10*SQRT(Dashboard!$F$4) * _xlfn.NORM.S.INV(RAND())</f>
        <v>-4.2390247446360947E-2</v>
      </c>
      <c r="T2334" s="59">
        <f ca="1">Dashboard!C$8* Dashboard!$F$4+Dashboard!C$10*SQRT(Dashboard!$F$4) * _xlfn.NORM.S.INV(RAND())</f>
        <v>-6.1469762944024496E-3</v>
      </c>
      <c r="U2334" s="59">
        <f ca="1">Dashboard!D$8* Dashboard!$F$4+Dashboard!D$10*SQRT(Dashboard!$F$4) * _xlfn.NORM.S.INV(RAND())</f>
        <v>-3.4217350740683855E-2</v>
      </c>
    </row>
    <row r="2335" spans="18:21" x14ac:dyDescent="0.2">
      <c r="R2335" s="49">
        <v>2333</v>
      </c>
      <c r="S2335" s="59">
        <f ca="1">Dashboard!B$8* Dashboard!$F$4+Dashboard!B$10*SQRT(Dashboard!$F$4) * _xlfn.NORM.S.INV(RAND())</f>
        <v>-7.2716456019268016E-2</v>
      </c>
      <c r="T2335" s="59">
        <f ca="1">Dashboard!C$8* Dashboard!$F$4+Dashboard!C$10*SQRT(Dashboard!$F$4) * _xlfn.NORM.S.INV(RAND())</f>
        <v>-1.9962780752934214E-3</v>
      </c>
      <c r="U2335" s="59">
        <f ca="1">Dashboard!D$8* Dashboard!$F$4+Dashboard!D$10*SQRT(Dashboard!$F$4) * _xlfn.NORM.S.INV(RAND())</f>
        <v>-5.2103783550929463E-2</v>
      </c>
    </row>
    <row r="2336" spans="18:21" x14ac:dyDescent="0.2">
      <c r="R2336" s="49">
        <v>2334</v>
      </c>
      <c r="S2336" s="59">
        <f ca="1">Dashboard!B$8* Dashboard!$F$4+Dashboard!B$10*SQRT(Dashboard!$F$4) * _xlfn.NORM.S.INV(RAND())</f>
        <v>-1.4335215941784643E-2</v>
      </c>
      <c r="T2336" s="59">
        <f ca="1">Dashboard!C$8* Dashboard!$F$4+Dashboard!C$10*SQRT(Dashboard!$F$4) * _xlfn.NORM.S.INV(RAND())</f>
        <v>6.0545545155534418E-2</v>
      </c>
      <c r="U2336" s="59">
        <f ca="1">Dashboard!D$8* Dashboard!$F$4+Dashboard!D$10*SQRT(Dashboard!$F$4) * _xlfn.NORM.S.INV(RAND())</f>
        <v>3.1710303276246604E-2</v>
      </c>
    </row>
    <row r="2337" spans="18:21" x14ac:dyDescent="0.2">
      <c r="R2337" s="49">
        <v>2335</v>
      </c>
      <c r="S2337" s="59">
        <f ca="1">Dashboard!B$8* Dashboard!$F$4+Dashboard!B$10*SQRT(Dashboard!$F$4) * _xlfn.NORM.S.INV(RAND())</f>
        <v>-1.9765767828598124E-2</v>
      </c>
      <c r="T2337" s="59">
        <f ca="1">Dashboard!C$8* Dashboard!$F$4+Dashboard!C$10*SQRT(Dashboard!$F$4) * _xlfn.NORM.S.INV(RAND())</f>
        <v>-3.7098814885129963E-2</v>
      </c>
      <c r="U2337" s="59">
        <f ca="1">Dashboard!D$8* Dashboard!$F$4+Dashboard!D$10*SQRT(Dashboard!$F$4) * _xlfn.NORM.S.INV(RAND())</f>
        <v>-3.1607675081452895E-2</v>
      </c>
    </row>
    <row r="2338" spans="18:21" x14ac:dyDescent="0.2">
      <c r="R2338" s="49">
        <v>2336</v>
      </c>
      <c r="S2338" s="59">
        <f ca="1">Dashboard!B$8* Dashboard!$F$4+Dashboard!B$10*SQRT(Dashboard!$F$4) * _xlfn.NORM.S.INV(RAND())</f>
        <v>-1.1749470518453469E-2</v>
      </c>
      <c r="T2338" s="59">
        <f ca="1">Dashboard!C$8* Dashboard!$F$4+Dashboard!C$10*SQRT(Dashboard!$F$4) * _xlfn.NORM.S.INV(RAND())</f>
        <v>1.8451154502763582E-2</v>
      </c>
      <c r="U2338" s="59">
        <f ca="1">Dashboard!D$8* Dashboard!$F$4+Dashboard!D$10*SQRT(Dashboard!$F$4) * _xlfn.NORM.S.INV(RAND())</f>
        <v>2.9193788422770945E-2</v>
      </c>
    </row>
    <row r="2339" spans="18:21" x14ac:dyDescent="0.2">
      <c r="R2339" s="49">
        <v>2337</v>
      </c>
      <c r="S2339" s="59">
        <f ca="1">Dashboard!B$8* Dashboard!$F$4+Dashboard!B$10*SQRT(Dashboard!$F$4) * _xlfn.NORM.S.INV(RAND())</f>
        <v>3.1744509592367701E-2</v>
      </c>
      <c r="T2339" s="59">
        <f ca="1">Dashboard!C$8* Dashboard!$F$4+Dashboard!C$10*SQRT(Dashboard!$F$4) * _xlfn.NORM.S.INV(RAND())</f>
        <v>-9.6579769098599499E-3</v>
      </c>
      <c r="U2339" s="59">
        <f ca="1">Dashboard!D$8* Dashboard!$F$4+Dashboard!D$10*SQRT(Dashboard!$F$4) * _xlfn.NORM.S.INV(RAND())</f>
        <v>1.2692226440673735E-2</v>
      </c>
    </row>
    <row r="2340" spans="18:21" x14ac:dyDescent="0.2">
      <c r="R2340" s="49">
        <v>2338</v>
      </c>
      <c r="S2340" s="59">
        <f ca="1">Dashboard!B$8* Dashboard!$F$4+Dashboard!B$10*SQRT(Dashboard!$F$4) * _xlfn.NORM.S.INV(RAND())</f>
        <v>-5.344939070791874E-3</v>
      </c>
      <c r="T2340" s="59">
        <f ca="1">Dashboard!C$8* Dashboard!$F$4+Dashboard!C$10*SQRT(Dashboard!$F$4) * _xlfn.NORM.S.INV(RAND())</f>
        <v>7.1441399688555018E-3</v>
      </c>
      <c r="U2340" s="59">
        <f ca="1">Dashboard!D$8* Dashboard!$F$4+Dashboard!D$10*SQRT(Dashboard!$F$4) * _xlfn.NORM.S.INV(RAND())</f>
        <v>4.4166643898985711E-2</v>
      </c>
    </row>
    <row r="2341" spans="18:21" x14ac:dyDescent="0.2">
      <c r="R2341" s="49">
        <v>2339</v>
      </c>
      <c r="S2341" s="59">
        <f ca="1">Dashboard!B$8* Dashboard!$F$4+Dashboard!B$10*SQRT(Dashboard!$F$4) * _xlfn.NORM.S.INV(RAND())</f>
        <v>-1.3671046589853659E-3</v>
      </c>
      <c r="T2341" s="59">
        <f ca="1">Dashboard!C$8* Dashboard!$F$4+Dashboard!C$10*SQRT(Dashboard!$F$4) * _xlfn.NORM.S.INV(RAND())</f>
        <v>4.1772515540375685E-2</v>
      </c>
      <c r="U2341" s="59">
        <f ca="1">Dashboard!D$8* Dashboard!$F$4+Dashboard!D$10*SQRT(Dashboard!$F$4) * _xlfn.NORM.S.INV(RAND())</f>
        <v>-6.130082193488099E-3</v>
      </c>
    </row>
    <row r="2342" spans="18:21" x14ac:dyDescent="0.2">
      <c r="R2342" s="49">
        <v>2340</v>
      </c>
      <c r="S2342" s="59">
        <f ca="1">Dashboard!B$8* Dashboard!$F$4+Dashboard!B$10*SQRT(Dashboard!$F$4) * _xlfn.NORM.S.INV(RAND())</f>
        <v>-6.0200292256718021E-3</v>
      </c>
      <c r="T2342" s="59">
        <f ca="1">Dashboard!C$8* Dashboard!$F$4+Dashboard!C$10*SQRT(Dashboard!$F$4) * _xlfn.NORM.S.INV(RAND())</f>
        <v>-2.7538606825423034E-3</v>
      </c>
      <c r="U2342" s="59">
        <f ca="1">Dashboard!D$8* Dashboard!$F$4+Dashboard!D$10*SQRT(Dashboard!$F$4) * _xlfn.NORM.S.INV(RAND())</f>
        <v>-1.9218835284671568E-2</v>
      </c>
    </row>
    <row r="2343" spans="18:21" x14ac:dyDescent="0.2">
      <c r="R2343" s="49">
        <v>2341</v>
      </c>
      <c r="S2343" s="59">
        <f ca="1">Dashboard!B$8* Dashboard!$F$4+Dashboard!B$10*SQRT(Dashboard!$F$4) * _xlfn.NORM.S.INV(RAND())</f>
        <v>-3.6434026476070872E-2</v>
      </c>
      <c r="T2343" s="59">
        <f ca="1">Dashboard!C$8* Dashboard!$F$4+Dashboard!C$10*SQRT(Dashboard!$F$4) * _xlfn.NORM.S.INV(RAND())</f>
        <v>5.8403563661726582E-2</v>
      </c>
      <c r="U2343" s="59">
        <f ca="1">Dashboard!D$8* Dashboard!$F$4+Dashboard!D$10*SQRT(Dashboard!$F$4) * _xlfn.NORM.S.INV(RAND())</f>
        <v>-4.4898521967138665E-2</v>
      </c>
    </row>
    <row r="2344" spans="18:21" x14ac:dyDescent="0.2">
      <c r="R2344" s="49">
        <v>2342</v>
      </c>
      <c r="S2344" s="59">
        <f ca="1">Dashboard!B$8* Dashboard!$F$4+Dashboard!B$10*SQRT(Dashboard!$F$4) * _xlfn.NORM.S.INV(RAND())</f>
        <v>-3.2123604924459849E-2</v>
      </c>
      <c r="T2344" s="59">
        <f ca="1">Dashboard!C$8* Dashboard!$F$4+Dashboard!C$10*SQRT(Dashboard!$F$4) * _xlfn.NORM.S.INV(RAND())</f>
        <v>-2.3645833828451852E-3</v>
      </c>
      <c r="U2344" s="59">
        <f ca="1">Dashboard!D$8* Dashboard!$F$4+Dashboard!D$10*SQRT(Dashboard!$F$4) * _xlfn.NORM.S.INV(RAND())</f>
        <v>2.5093397822765654E-2</v>
      </c>
    </row>
    <row r="2345" spans="18:21" x14ac:dyDescent="0.2">
      <c r="R2345" s="49">
        <v>2343</v>
      </c>
      <c r="S2345" s="59">
        <f ca="1">Dashboard!B$8* Dashboard!$F$4+Dashboard!B$10*SQRT(Dashboard!$F$4) * _xlfn.NORM.S.INV(RAND())</f>
        <v>-1.7579285213951537E-2</v>
      </c>
      <c r="T2345" s="59">
        <f ca="1">Dashboard!C$8* Dashboard!$F$4+Dashboard!C$10*SQRT(Dashboard!$F$4) * _xlfn.NORM.S.INV(RAND())</f>
        <v>-2.6992752834497698E-2</v>
      </c>
      <c r="U2345" s="59">
        <f ca="1">Dashboard!D$8* Dashboard!$F$4+Dashboard!D$10*SQRT(Dashboard!$F$4) * _xlfn.NORM.S.INV(RAND())</f>
        <v>-6.177473946812416E-3</v>
      </c>
    </row>
    <row r="2346" spans="18:21" x14ac:dyDescent="0.2">
      <c r="R2346" s="49">
        <v>2344</v>
      </c>
      <c r="S2346" s="59">
        <f ca="1">Dashboard!B$8* Dashboard!$F$4+Dashboard!B$10*SQRT(Dashboard!$F$4) * _xlfn.NORM.S.INV(RAND())</f>
        <v>-4.5338202290282764E-2</v>
      </c>
      <c r="T2346" s="59">
        <f ca="1">Dashboard!C$8* Dashboard!$F$4+Dashboard!C$10*SQRT(Dashboard!$F$4) * _xlfn.NORM.S.INV(RAND())</f>
        <v>-5.1430210793506841E-2</v>
      </c>
      <c r="U2346" s="59">
        <f ca="1">Dashboard!D$8* Dashboard!$F$4+Dashboard!D$10*SQRT(Dashboard!$F$4) * _xlfn.NORM.S.INV(RAND())</f>
        <v>-9.5549606782152421E-3</v>
      </c>
    </row>
    <row r="2347" spans="18:21" x14ac:dyDescent="0.2">
      <c r="R2347" s="49">
        <v>2345</v>
      </c>
      <c r="S2347" s="59">
        <f ca="1">Dashboard!B$8* Dashboard!$F$4+Dashboard!B$10*SQRT(Dashboard!$F$4) * _xlfn.NORM.S.INV(RAND())</f>
        <v>-7.4341414745753814E-2</v>
      </c>
      <c r="T2347" s="59">
        <f ca="1">Dashboard!C$8* Dashboard!$F$4+Dashboard!C$10*SQRT(Dashboard!$F$4) * _xlfn.NORM.S.INV(RAND())</f>
        <v>-8.300130044198991E-3</v>
      </c>
      <c r="U2347" s="59">
        <f ca="1">Dashboard!D$8* Dashboard!$F$4+Dashboard!D$10*SQRT(Dashboard!$F$4) * _xlfn.NORM.S.INV(RAND())</f>
        <v>-4.2659365630828332E-2</v>
      </c>
    </row>
    <row r="2348" spans="18:21" x14ac:dyDescent="0.2">
      <c r="R2348" s="49">
        <v>2346</v>
      </c>
      <c r="S2348" s="59">
        <f ca="1">Dashboard!B$8* Dashboard!$F$4+Dashboard!B$10*SQRT(Dashboard!$F$4) * _xlfn.NORM.S.INV(RAND())</f>
        <v>-5.79734563027808E-2</v>
      </c>
      <c r="T2348" s="59">
        <f ca="1">Dashboard!C$8* Dashboard!$F$4+Dashboard!C$10*SQRT(Dashboard!$F$4) * _xlfn.NORM.S.INV(RAND())</f>
        <v>5.5605436161237304E-3</v>
      </c>
      <c r="U2348" s="59">
        <f ca="1">Dashboard!D$8* Dashboard!$F$4+Dashboard!D$10*SQRT(Dashboard!$F$4) * _xlfn.NORM.S.INV(RAND())</f>
        <v>-7.4661031716225082E-2</v>
      </c>
    </row>
    <row r="2349" spans="18:21" x14ac:dyDescent="0.2">
      <c r="R2349" s="49">
        <v>2347</v>
      </c>
      <c r="S2349" s="59">
        <f ca="1">Dashboard!B$8* Dashboard!$F$4+Dashboard!B$10*SQRT(Dashboard!$F$4) * _xlfn.NORM.S.INV(RAND())</f>
        <v>-1.8627372231525906E-2</v>
      </c>
      <c r="T2349" s="59">
        <f ca="1">Dashboard!C$8* Dashboard!$F$4+Dashboard!C$10*SQRT(Dashboard!$F$4) * _xlfn.NORM.S.INV(RAND())</f>
        <v>-5.2994752097976433E-3</v>
      </c>
      <c r="U2349" s="59">
        <f ca="1">Dashboard!D$8* Dashboard!$F$4+Dashboard!D$10*SQRT(Dashboard!$F$4) * _xlfn.NORM.S.INV(RAND())</f>
        <v>1.8717665809305662E-3</v>
      </c>
    </row>
    <row r="2350" spans="18:21" x14ac:dyDescent="0.2">
      <c r="R2350" s="49">
        <v>2348</v>
      </c>
      <c r="S2350" s="59">
        <f ca="1">Dashboard!B$8* Dashboard!$F$4+Dashboard!B$10*SQRT(Dashboard!$F$4) * _xlfn.NORM.S.INV(RAND())</f>
        <v>-5.1769330708589703E-2</v>
      </c>
      <c r="T2350" s="59">
        <f ca="1">Dashboard!C$8* Dashboard!$F$4+Dashboard!C$10*SQRT(Dashboard!$F$4) * _xlfn.NORM.S.INV(RAND())</f>
        <v>2.8666522170717947E-2</v>
      </c>
      <c r="U2350" s="59">
        <f ca="1">Dashboard!D$8* Dashboard!$F$4+Dashboard!D$10*SQRT(Dashboard!$F$4) * _xlfn.NORM.S.INV(RAND())</f>
        <v>4.7842533893560434E-2</v>
      </c>
    </row>
    <row r="2351" spans="18:21" x14ac:dyDescent="0.2">
      <c r="R2351" s="49">
        <v>2349</v>
      </c>
      <c r="S2351" s="59">
        <f ca="1">Dashboard!B$8* Dashboard!$F$4+Dashboard!B$10*SQRT(Dashboard!$F$4) * _xlfn.NORM.S.INV(RAND())</f>
        <v>-3.4511756823322741E-2</v>
      </c>
      <c r="T2351" s="59">
        <f ca="1">Dashboard!C$8* Dashboard!$F$4+Dashboard!C$10*SQRT(Dashboard!$F$4) * _xlfn.NORM.S.INV(RAND())</f>
        <v>4.9095411919215876E-2</v>
      </c>
      <c r="U2351" s="59">
        <f ca="1">Dashboard!D$8* Dashboard!$F$4+Dashboard!D$10*SQRT(Dashboard!$F$4) * _xlfn.NORM.S.INV(RAND())</f>
        <v>3.0121856542713484E-2</v>
      </c>
    </row>
    <row r="2352" spans="18:21" x14ac:dyDescent="0.2">
      <c r="R2352" s="49">
        <v>2350</v>
      </c>
      <c r="S2352" s="59">
        <f ca="1">Dashboard!B$8* Dashboard!$F$4+Dashboard!B$10*SQRT(Dashboard!$F$4) * _xlfn.NORM.S.INV(RAND())</f>
        <v>-2.2581570424115245E-2</v>
      </c>
      <c r="T2352" s="59">
        <f ca="1">Dashboard!C$8* Dashboard!$F$4+Dashboard!C$10*SQRT(Dashboard!$F$4) * _xlfn.NORM.S.INV(RAND())</f>
        <v>-6.1429927471889717E-2</v>
      </c>
      <c r="U2352" s="59">
        <f ca="1">Dashboard!D$8* Dashboard!$F$4+Dashboard!D$10*SQRT(Dashboard!$F$4) * _xlfn.NORM.S.INV(RAND())</f>
        <v>3.4853261901830197E-2</v>
      </c>
    </row>
    <row r="2353" spans="18:21" x14ac:dyDescent="0.2">
      <c r="R2353" s="49">
        <v>2351</v>
      </c>
      <c r="S2353" s="59">
        <f ca="1">Dashboard!B$8* Dashboard!$F$4+Dashboard!B$10*SQRT(Dashboard!$F$4) * _xlfn.NORM.S.INV(RAND())</f>
        <v>-3.6770659934092301E-2</v>
      </c>
      <c r="T2353" s="59">
        <f ca="1">Dashboard!C$8* Dashboard!$F$4+Dashboard!C$10*SQRT(Dashboard!$F$4) * _xlfn.NORM.S.INV(RAND())</f>
        <v>9.7944944970542631E-3</v>
      </c>
      <c r="U2353" s="59">
        <f ca="1">Dashboard!D$8* Dashboard!$F$4+Dashboard!D$10*SQRT(Dashboard!$F$4) * _xlfn.NORM.S.INV(RAND())</f>
        <v>-5.3888201602165467E-2</v>
      </c>
    </row>
    <row r="2354" spans="18:21" x14ac:dyDescent="0.2">
      <c r="R2354" s="49">
        <v>2352</v>
      </c>
      <c r="S2354" s="59">
        <f ca="1">Dashboard!B$8* Dashboard!$F$4+Dashboard!B$10*SQRT(Dashboard!$F$4) * _xlfn.NORM.S.INV(RAND())</f>
        <v>9.8524021492579425E-5</v>
      </c>
      <c r="T2354" s="59">
        <f ca="1">Dashboard!C$8* Dashboard!$F$4+Dashboard!C$10*SQRT(Dashboard!$F$4) * _xlfn.NORM.S.INV(RAND())</f>
        <v>-2.0723888799856389E-2</v>
      </c>
      <c r="U2354" s="59">
        <f ca="1">Dashboard!D$8* Dashboard!$F$4+Dashboard!D$10*SQRT(Dashboard!$F$4) * _xlfn.NORM.S.INV(RAND())</f>
        <v>1.5016707714162318E-2</v>
      </c>
    </row>
    <row r="2355" spans="18:21" x14ac:dyDescent="0.2">
      <c r="R2355" s="49">
        <v>2353</v>
      </c>
      <c r="S2355" s="59">
        <f ca="1">Dashboard!B$8* Dashboard!$F$4+Dashboard!B$10*SQRT(Dashboard!$F$4) * _xlfn.NORM.S.INV(RAND())</f>
        <v>2.8853254917819683E-2</v>
      </c>
      <c r="T2355" s="59">
        <f ca="1">Dashboard!C$8* Dashboard!$F$4+Dashboard!C$10*SQRT(Dashboard!$F$4) * _xlfn.NORM.S.INV(RAND())</f>
        <v>2.4874975030886814E-2</v>
      </c>
      <c r="U2355" s="59">
        <f ca="1">Dashboard!D$8* Dashboard!$F$4+Dashboard!D$10*SQRT(Dashboard!$F$4) * _xlfn.NORM.S.INV(RAND())</f>
        <v>4.9084849290327312E-3</v>
      </c>
    </row>
    <row r="2356" spans="18:21" x14ac:dyDescent="0.2">
      <c r="R2356" s="49">
        <v>2354</v>
      </c>
      <c r="S2356" s="59">
        <f ca="1">Dashboard!B$8* Dashboard!$F$4+Dashboard!B$10*SQRT(Dashboard!$F$4) * _xlfn.NORM.S.INV(RAND())</f>
        <v>2.8059408127282193E-2</v>
      </c>
      <c r="T2356" s="59">
        <f ca="1">Dashboard!C$8* Dashboard!$F$4+Dashboard!C$10*SQRT(Dashboard!$F$4) * _xlfn.NORM.S.INV(RAND())</f>
        <v>3.9437938490857062E-2</v>
      </c>
      <c r="U2356" s="59">
        <f ca="1">Dashboard!D$8* Dashboard!$F$4+Dashboard!D$10*SQRT(Dashboard!$F$4) * _xlfn.NORM.S.INV(RAND())</f>
        <v>1.9089641580892623E-2</v>
      </c>
    </row>
    <row r="2357" spans="18:21" x14ac:dyDescent="0.2">
      <c r="R2357" s="49">
        <v>2355</v>
      </c>
      <c r="S2357" s="59">
        <f ca="1">Dashboard!B$8* Dashboard!$F$4+Dashboard!B$10*SQRT(Dashboard!$F$4) * _xlfn.NORM.S.INV(RAND())</f>
        <v>3.3341876676005267E-3</v>
      </c>
      <c r="T2357" s="59">
        <f ca="1">Dashboard!C$8* Dashboard!$F$4+Dashboard!C$10*SQRT(Dashboard!$F$4) * _xlfn.NORM.S.INV(RAND())</f>
        <v>-4.6008388335283666E-2</v>
      </c>
      <c r="U2357" s="59">
        <f ca="1">Dashboard!D$8* Dashboard!$F$4+Dashboard!D$10*SQRT(Dashboard!$F$4) * _xlfn.NORM.S.INV(RAND())</f>
        <v>-1.9518102329977197E-2</v>
      </c>
    </row>
    <row r="2358" spans="18:21" x14ac:dyDescent="0.2">
      <c r="R2358" s="49">
        <v>2356</v>
      </c>
      <c r="S2358" s="59">
        <f ca="1">Dashboard!B$8* Dashboard!$F$4+Dashboard!B$10*SQRT(Dashboard!$F$4) * _xlfn.NORM.S.INV(RAND())</f>
        <v>6.7562707526967539E-3</v>
      </c>
      <c r="T2358" s="59">
        <f ca="1">Dashboard!C$8* Dashboard!$F$4+Dashboard!C$10*SQRT(Dashboard!$F$4) * _xlfn.NORM.S.INV(RAND())</f>
        <v>-2.5575417413654777E-2</v>
      </c>
      <c r="U2358" s="59">
        <f ca="1">Dashboard!D$8* Dashboard!$F$4+Dashboard!D$10*SQRT(Dashboard!$F$4) * _xlfn.NORM.S.INV(RAND())</f>
        <v>-5.5868393642670787E-2</v>
      </c>
    </row>
    <row r="2359" spans="18:21" x14ac:dyDescent="0.2">
      <c r="R2359" s="49">
        <v>2357</v>
      </c>
      <c r="S2359" s="59">
        <f ca="1">Dashboard!B$8* Dashboard!$F$4+Dashboard!B$10*SQRT(Dashboard!$F$4) * _xlfn.NORM.S.INV(RAND())</f>
        <v>1.0160464572098059E-2</v>
      </c>
      <c r="T2359" s="59">
        <f ca="1">Dashboard!C$8* Dashboard!$F$4+Dashboard!C$10*SQRT(Dashboard!$F$4) * _xlfn.NORM.S.INV(RAND())</f>
        <v>4.9210456717785844E-2</v>
      </c>
      <c r="U2359" s="59">
        <f ca="1">Dashboard!D$8* Dashboard!$F$4+Dashboard!D$10*SQRT(Dashboard!$F$4) * _xlfn.NORM.S.INV(RAND())</f>
        <v>2.4745277336663346E-2</v>
      </c>
    </row>
    <row r="2360" spans="18:21" x14ac:dyDescent="0.2">
      <c r="R2360" s="49">
        <v>2358</v>
      </c>
      <c r="S2360" s="59">
        <f ca="1">Dashboard!B$8* Dashboard!$F$4+Dashboard!B$10*SQRT(Dashboard!$F$4) * _xlfn.NORM.S.INV(RAND())</f>
        <v>3.5560021221587759E-2</v>
      </c>
      <c r="T2360" s="59">
        <f ca="1">Dashboard!C$8* Dashboard!$F$4+Dashboard!C$10*SQRT(Dashboard!$F$4) * _xlfn.NORM.S.INV(RAND())</f>
        <v>-5.210864584716822E-2</v>
      </c>
      <c r="U2360" s="59">
        <f ca="1">Dashboard!D$8* Dashboard!$F$4+Dashboard!D$10*SQRT(Dashboard!$F$4) * _xlfn.NORM.S.INV(RAND())</f>
        <v>3.1180015521354597E-2</v>
      </c>
    </row>
    <row r="2361" spans="18:21" x14ac:dyDescent="0.2">
      <c r="R2361" s="49">
        <v>2359</v>
      </c>
      <c r="S2361" s="59">
        <f ca="1">Dashboard!B$8* Dashboard!$F$4+Dashboard!B$10*SQRT(Dashboard!$F$4) * _xlfn.NORM.S.INV(RAND())</f>
        <v>-2.5531756758773623E-3</v>
      </c>
      <c r="T2361" s="59">
        <f ca="1">Dashboard!C$8* Dashboard!$F$4+Dashboard!C$10*SQRT(Dashboard!$F$4) * _xlfn.NORM.S.INV(RAND())</f>
        <v>5.339806425419185E-2</v>
      </c>
      <c r="U2361" s="59">
        <f ca="1">Dashboard!D$8* Dashboard!$F$4+Dashboard!D$10*SQRT(Dashboard!$F$4) * _xlfn.NORM.S.INV(RAND())</f>
        <v>-1.5576812424563109E-2</v>
      </c>
    </row>
    <row r="2362" spans="18:21" x14ac:dyDescent="0.2">
      <c r="R2362" s="49">
        <v>2360</v>
      </c>
      <c r="S2362" s="59">
        <f ca="1">Dashboard!B$8* Dashboard!$F$4+Dashboard!B$10*SQRT(Dashboard!$F$4) * _xlfn.NORM.S.INV(RAND())</f>
        <v>2.1975728897534304E-2</v>
      </c>
      <c r="T2362" s="59">
        <f ca="1">Dashboard!C$8* Dashboard!$F$4+Dashboard!C$10*SQRT(Dashboard!$F$4) * _xlfn.NORM.S.INV(RAND())</f>
        <v>1.8208337220302802E-2</v>
      </c>
      <c r="U2362" s="59">
        <f ca="1">Dashboard!D$8* Dashboard!$F$4+Dashboard!D$10*SQRT(Dashboard!$F$4) * _xlfn.NORM.S.INV(RAND())</f>
        <v>-3.7701008370613708E-2</v>
      </c>
    </row>
    <row r="2363" spans="18:21" x14ac:dyDescent="0.2">
      <c r="R2363" s="49">
        <v>2361</v>
      </c>
      <c r="S2363" s="59">
        <f ca="1">Dashboard!B$8* Dashboard!$F$4+Dashboard!B$10*SQRT(Dashboard!$F$4) * _xlfn.NORM.S.INV(RAND())</f>
        <v>3.1448919972626426E-3</v>
      </c>
      <c r="T2363" s="59">
        <f ca="1">Dashboard!C$8* Dashboard!$F$4+Dashboard!C$10*SQRT(Dashboard!$F$4) * _xlfn.NORM.S.INV(RAND())</f>
        <v>9.9248174958820982E-3</v>
      </c>
      <c r="U2363" s="59">
        <f ca="1">Dashboard!D$8* Dashboard!$F$4+Dashboard!D$10*SQRT(Dashboard!$F$4) * _xlfn.NORM.S.INV(RAND())</f>
        <v>6.8674807527020348E-3</v>
      </c>
    </row>
    <row r="2364" spans="18:21" x14ac:dyDescent="0.2">
      <c r="R2364" s="49">
        <v>2362</v>
      </c>
      <c r="S2364" s="59">
        <f ca="1">Dashboard!B$8* Dashboard!$F$4+Dashboard!B$10*SQRT(Dashboard!$F$4) * _xlfn.NORM.S.INV(RAND())</f>
        <v>-8.9348653141268271E-4</v>
      </c>
      <c r="T2364" s="59">
        <f ca="1">Dashboard!C$8* Dashboard!$F$4+Dashboard!C$10*SQRT(Dashboard!$F$4) * _xlfn.NORM.S.INV(RAND())</f>
        <v>-3.6970499006430358E-3</v>
      </c>
      <c r="U2364" s="59">
        <f ca="1">Dashboard!D$8* Dashboard!$F$4+Dashboard!D$10*SQRT(Dashboard!$F$4) * _xlfn.NORM.S.INV(RAND())</f>
        <v>4.3588622591600033E-2</v>
      </c>
    </row>
    <row r="2365" spans="18:21" x14ac:dyDescent="0.2">
      <c r="R2365" s="49">
        <v>2363</v>
      </c>
      <c r="S2365" s="59">
        <f ca="1">Dashboard!B$8* Dashboard!$F$4+Dashboard!B$10*SQRT(Dashboard!$F$4) * _xlfn.NORM.S.INV(RAND())</f>
        <v>-3.1072469236347065E-2</v>
      </c>
      <c r="T2365" s="59">
        <f ca="1">Dashboard!C$8* Dashboard!$F$4+Dashboard!C$10*SQRT(Dashboard!$F$4) * _xlfn.NORM.S.INV(RAND())</f>
        <v>6.1285723532745794E-3</v>
      </c>
      <c r="U2365" s="59">
        <f ca="1">Dashboard!D$8* Dashboard!$F$4+Dashboard!D$10*SQRT(Dashboard!$F$4) * _xlfn.NORM.S.INV(RAND())</f>
        <v>1.5657005785606113E-2</v>
      </c>
    </row>
    <row r="2366" spans="18:21" x14ac:dyDescent="0.2">
      <c r="R2366" s="49">
        <v>2364</v>
      </c>
      <c r="S2366" s="59">
        <f ca="1">Dashboard!B$8* Dashboard!$F$4+Dashboard!B$10*SQRT(Dashboard!$F$4) * _xlfn.NORM.S.INV(RAND())</f>
        <v>-3.5563992074831982E-3</v>
      </c>
      <c r="T2366" s="59">
        <f ca="1">Dashboard!C$8* Dashboard!$F$4+Dashboard!C$10*SQRT(Dashboard!$F$4) * _xlfn.NORM.S.INV(RAND())</f>
        <v>-9.5614529275698558E-3</v>
      </c>
      <c r="U2366" s="59">
        <f ca="1">Dashboard!D$8* Dashboard!$F$4+Dashboard!D$10*SQRT(Dashboard!$F$4) * _xlfn.NORM.S.INV(RAND())</f>
        <v>-1.8932851482814195E-2</v>
      </c>
    </row>
    <row r="2367" spans="18:21" x14ac:dyDescent="0.2">
      <c r="R2367" s="49">
        <v>2365</v>
      </c>
      <c r="S2367" s="59">
        <f ca="1">Dashboard!B$8* Dashboard!$F$4+Dashboard!B$10*SQRT(Dashboard!$F$4) * _xlfn.NORM.S.INV(RAND())</f>
        <v>5.9800893415471221E-2</v>
      </c>
      <c r="T2367" s="59">
        <f ca="1">Dashboard!C$8* Dashboard!$F$4+Dashboard!C$10*SQRT(Dashboard!$F$4) * _xlfn.NORM.S.INV(RAND())</f>
        <v>-7.1913849186480777E-2</v>
      </c>
      <c r="U2367" s="59">
        <f ca="1">Dashboard!D$8* Dashboard!$F$4+Dashboard!D$10*SQRT(Dashboard!$F$4) * _xlfn.NORM.S.INV(RAND())</f>
        <v>-3.9313243061141687E-3</v>
      </c>
    </row>
    <row r="2368" spans="18:21" x14ac:dyDescent="0.2">
      <c r="R2368" s="49">
        <v>2366</v>
      </c>
      <c r="S2368" s="59">
        <f ca="1">Dashboard!B$8* Dashboard!$F$4+Dashboard!B$10*SQRT(Dashboard!$F$4) * _xlfn.NORM.S.INV(RAND())</f>
        <v>3.6442675726028682E-2</v>
      </c>
      <c r="T2368" s="59">
        <f ca="1">Dashboard!C$8* Dashboard!$F$4+Dashboard!C$10*SQRT(Dashboard!$F$4) * _xlfn.NORM.S.INV(RAND())</f>
        <v>-2.4371716510136521E-2</v>
      </c>
      <c r="U2368" s="59">
        <f ca="1">Dashboard!D$8* Dashboard!$F$4+Dashboard!D$10*SQRT(Dashboard!$F$4) * _xlfn.NORM.S.INV(RAND())</f>
        <v>-9.45026414747808E-3</v>
      </c>
    </row>
    <row r="2369" spans="18:21" x14ac:dyDescent="0.2">
      <c r="R2369" s="49">
        <v>2367</v>
      </c>
      <c r="S2369" s="59">
        <f ca="1">Dashboard!B$8* Dashboard!$F$4+Dashboard!B$10*SQRT(Dashboard!$F$4) * _xlfn.NORM.S.INV(RAND())</f>
        <v>1.4915893964106414E-2</v>
      </c>
      <c r="T2369" s="59">
        <f ca="1">Dashboard!C$8* Dashboard!$F$4+Dashboard!C$10*SQRT(Dashboard!$F$4) * _xlfn.NORM.S.INV(RAND())</f>
        <v>-2.2442620971390208E-2</v>
      </c>
      <c r="U2369" s="59">
        <f ca="1">Dashboard!D$8* Dashboard!$F$4+Dashboard!D$10*SQRT(Dashboard!$F$4) * _xlfn.NORM.S.INV(RAND())</f>
        <v>-2.2947020582387501E-2</v>
      </c>
    </row>
    <row r="2370" spans="18:21" x14ac:dyDescent="0.2">
      <c r="R2370" s="49">
        <v>2368</v>
      </c>
      <c r="S2370" s="59">
        <f ca="1">Dashboard!B$8* Dashboard!$F$4+Dashboard!B$10*SQRT(Dashboard!$F$4) * _xlfn.NORM.S.INV(RAND())</f>
        <v>-1.0367342063937727E-2</v>
      </c>
      <c r="T2370" s="59">
        <f ca="1">Dashboard!C$8* Dashboard!$F$4+Dashboard!C$10*SQRT(Dashboard!$F$4) * _xlfn.NORM.S.INV(RAND())</f>
        <v>-2.32946620663722E-2</v>
      </c>
      <c r="U2370" s="59">
        <f ca="1">Dashboard!D$8* Dashboard!$F$4+Dashboard!D$10*SQRT(Dashboard!$F$4) * _xlfn.NORM.S.INV(RAND())</f>
        <v>-1.4270407917339559E-2</v>
      </c>
    </row>
    <row r="2371" spans="18:21" x14ac:dyDescent="0.2">
      <c r="R2371" s="49">
        <v>2369</v>
      </c>
      <c r="S2371" s="59">
        <f ca="1">Dashboard!B$8* Dashboard!$F$4+Dashboard!B$10*SQRT(Dashboard!$F$4) * _xlfn.NORM.S.INV(RAND())</f>
        <v>-1.499953999337156E-2</v>
      </c>
      <c r="T2371" s="59">
        <f ca="1">Dashboard!C$8* Dashboard!$F$4+Dashboard!C$10*SQRT(Dashboard!$F$4) * _xlfn.NORM.S.INV(RAND())</f>
        <v>7.090104358166463E-2</v>
      </c>
      <c r="U2371" s="59">
        <f ca="1">Dashboard!D$8* Dashboard!$F$4+Dashboard!D$10*SQRT(Dashboard!$F$4) * _xlfn.NORM.S.INV(RAND())</f>
        <v>-4.9757923981203579E-2</v>
      </c>
    </row>
    <row r="2372" spans="18:21" x14ac:dyDescent="0.2">
      <c r="R2372" s="49">
        <v>2370</v>
      </c>
      <c r="S2372" s="59">
        <f ca="1">Dashboard!B$8* Dashboard!$F$4+Dashboard!B$10*SQRT(Dashboard!$F$4) * _xlfn.NORM.S.INV(RAND())</f>
        <v>-3.4183467355075152E-2</v>
      </c>
      <c r="T2372" s="59">
        <f ca="1">Dashboard!C$8* Dashboard!$F$4+Dashboard!C$10*SQRT(Dashboard!$F$4) * _xlfn.NORM.S.INV(RAND())</f>
        <v>1.2303774238882747E-3</v>
      </c>
      <c r="U2372" s="59">
        <f ca="1">Dashboard!D$8* Dashboard!$F$4+Dashboard!D$10*SQRT(Dashboard!$F$4) * _xlfn.NORM.S.INV(RAND())</f>
        <v>3.641013169768658E-2</v>
      </c>
    </row>
    <row r="2373" spans="18:21" x14ac:dyDescent="0.2">
      <c r="R2373" s="49">
        <v>2371</v>
      </c>
      <c r="S2373" s="59">
        <f ca="1">Dashboard!B$8* Dashboard!$F$4+Dashboard!B$10*SQRT(Dashboard!$F$4) * _xlfn.NORM.S.INV(RAND())</f>
        <v>3.2768514904607901E-2</v>
      </c>
      <c r="T2373" s="59">
        <f ca="1">Dashboard!C$8* Dashboard!$F$4+Dashboard!C$10*SQRT(Dashboard!$F$4) * _xlfn.NORM.S.INV(RAND())</f>
        <v>3.3786272316832966E-3</v>
      </c>
      <c r="U2373" s="59">
        <f ca="1">Dashboard!D$8* Dashboard!$F$4+Dashboard!D$10*SQRT(Dashboard!$F$4) * _xlfn.NORM.S.INV(RAND())</f>
        <v>-7.6342872140701831E-2</v>
      </c>
    </row>
    <row r="2374" spans="18:21" x14ac:dyDescent="0.2">
      <c r="R2374" s="49">
        <v>2372</v>
      </c>
      <c r="S2374" s="59">
        <f ca="1">Dashboard!B$8* Dashboard!$F$4+Dashboard!B$10*SQRT(Dashboard!$F$4) * _xlfn.NORM.S.INV(RAND())</f>
        <v>-3.195859148770714E-2</v>
      </c>
      <c r="T2374" s="59">
        <f ca="1">Dashboard!C$8* Dashboard!$F$4+Dashboard!C$10*SQRT(Dashboard!$F$4) * _xlfn.NORM.S.INV(RAND())</f>
        <v>-4.6091883838324148E-3</v>
      </c>
      <c r="U2374" s="59">
        <f ca="1">Dashboard!D$8* Dashboard!$F$4+Dashboard!D$10*SQRT(Dashboard!$F$4) * _xlfn.NORM.S.INV(RAND())</f>
        <v>-8.1844657254534936E-2</v>
      </c>
    </row>
    <row r="2375" spans="18:21" x14ac:dyDescent="0.2">
      <c r="R2375" s="49">
        <v>2373</v>
      </c>
      <c r="S2375" s="59">
        <f ca="1">Dashboard!B$8* Dashboard!$F$4+Dashboard!B$10*SQRT(Dashboard!$F$4) * _xlfn.NORM.S.INV(RAND())</f>
        <v>9.215607163800656E-3</v>
      </c>
      <c r="T2375" s="59">
        <f ca="1">Dashboard!C$8* Dashboard!$F$4+Dashboard!C$10*SQRT(Dashboard!$F$4) * _xlfn.NORM.S.INV(RAND())</f>
        <v>-9.1373846959986356E-3</v>
      </c>
      <c r="U2375" s="59">
        <f ca="1">Dashboard!D$8* Dashboard!$F$4+Dashboard!D$10*SQRT(Dashboard!$F$4) * _xlfn.NORM.S.INV(RAND())</f>
        <v>-2.22923836700855E-2</v>
      </c>
    </row>
    <row r="2376" spans="18:21" x14ac:dyDescent="0.2">
      <c r="R2376" s="49">
        <v>2374</v>
      </c>
      <c r="S2376" s="59">
        <f ca="1">Dashboard!B$8* Dashboard!$F$4+Dashboard!B$10*SQRT(Dashboard!$F$4) * _xlfn.NORM.S.INV(RAND())</f>
        <v>4.369822163100584E-2</v>
      </c>
      <c r="T2376" s="59">
        <f ca="1">Dashboard!C$8* Dashboard!$F$4+Dashboard!C$10*SQRT(Dashboard!$F$4) * _xlfn.NORM.S.INV(RAND())</f>
        <v>-3.3894957011526533E-2</v>
      </c>
      <c r="U2376" s="59">
        <f ca="1">Dashboard!D$8* Dashboard!$F$4+Dashboard!D$10*SQRT(Dashboard!$F$4) * _xlfn.NORM.S.INV(RAND())</f>
        <v>-2.8815005690661647E-2</v>
      </c>
    </row>
    <row r="2377" spans="18:21" x14ac:dyDescent="0.2">
      <c r="R2377" s="49">
        <v>2375</v>
      </c>
      <c r="S2377" s="59">
        <f ca="1">Dashboard!B$8* Dashboard!$F$4+Dashboard!B$10*SQRT(Dashboard!$F$4) * _xlfn.NORM.S.INV(RAND())</f>
        <v>-3.1064400649569619E-2</v>
      </c>
      <c r="T2377" s="59">
        <f ca="1">Dashboard!C$8* Dashboard!$F$4+Dashboard!C$10*SQRT(Dashboard!$F$4) * _xlfn.NORM.S.INV(RAND())</f>
        <v>3.2614895676804548E-2</v>
      </c>
      <c r="U2377" s="59">
        <f ca="1">Dashboard!D$8* Dashboard!$F$4+Dashboard!D$10*SQRT(Dashboard!$F$4) * _xlfn.NORM.S.INV(RAND())</f>
        <v>-8.1909625261799165E-2</v>
      </c>
    </row>
    <row r="2378" spans="18:21" x14ac:dyDescent="0.2">
      <c r="R2378" s="49">
        <v>2376</v>
      </c>
      <c r="S2378" s="59">
        <f ca="1">Dashboard!B$8* Dashboard!$F$4+Dashboard!B$10*SQRT(Dashboard!$F$4) * _xlfn.NORM.S.INV(RAND())</f>
        <v>-4.4197510205053449E-2</v>
      </c>
      <c r="T2378" s="59">
        <f ca="1">Dashboard!C$8* Dashboard!$F$4+Dashboard!C$10*SQRT(Dashboard!$F$4) * _xlfn.NORM.S.INV(RAND())</f>
        <v>-1.3773323991265209E-2</v>
      </c>
      <c r="U2378" s="59">
        <f ca="1">Dashboard!D$8* Dashboard!$F$4+Dashboard!D$10*SQRT(Dashboard!$F$4) * _xlfn.NORM.S.INV(RAND())</f>
        <v>-3.5153724238298122E-2</v>
      </c>
    </row>
    <row r="2379" spans="18:21" x14ac:dyDescent="0.2">
      <c r="R2379" s="49">
        <v>2377</v>
      </c>
      <c r="S2379" s="59">
        <f ca="1">Dashboard!B$8* Dashboard!$F$4+Dashboard!B$10*SQRT(Dashboard!$F$4) * _xlfn.NORM.S.INV(RAND())</f>
        <v>-5.5147745081386854E-2</v>
      </c>
      <c r="T2379" s="59">
        <f ca="1">Dashboard!C$8* Dashboard!$F$4+Dashboard!C$10*SQRT(Dashboard!$F$4) * _xlfn.NORM.S.INV(RAND())</f>
        <v>3.5661450961763763E-2</v>
      </c>
      <c r="U2379" s="59">
        <f ca="1">Dashboard!D$8* Dashboard!$F$4+Dashboard!D$10*SQRT(Dashboard!$F$4) * _xlfn.NORM.S.INV(RAND())</f>
        <v>3.6992455662809655E-2</v>
      </c>
    </row>
    <row r="2380" spans="18:21" x14ac:dyDescent="0.2">
      <c r="R2380" s="49">
        <v>2378</v>
      </c>
      <c r="S2380" s="59">
        <f ca="1">Dashboard!B$8* Dashboard!$F$4+Dashboard!B$10*SQRT(Dashboard!$F$4) * _xlfn.NORM.S.INV(RAND())</f>
        <v>5.8554996089666914E-3</v>
      </c>
      <c r="T2380" s="59">
        <f ca="1">Dashboard!C$8* Dashboard!$F$4+Dashboard!C$10*SQRT(Dashboard!$F$4) * _xlfn.NORM.S.INV(RAND())</f>
        <v>-1.4902885740534118E-3</v>
      </c>
      <c r="U2380" s="59">
        <f ca="1">Dashboard!D$8* Dashboard!$F$4+Dashboard!D$10*SQRT(Dashboard!$F$4) * _xlfn.NORM.S.INV(RAND())</f>
        <v>-5.3939051869166177E-3</v>
      </c>
    </row>
    <row r="2381" spans="18:21" x14ac:dyDescent="0.2">
      <c r="R2381" s="49">
        <v>2379</v>
      </c>
      <c r="S2381" s="59">
        <f ca="1">Dashboard!B$8* Dashboard!$F$4+Dashboard!B$10*SQRT(Dashboard!$F$4) * _xlfn.NORM.S.INV(RAND())</f>
        <v>-6.2478190997639418E-2</v>
      </c>
      <c r="T2381" s="59">
        <f ca="1">Dashboard!C$8* Dashboard!$F$4+Dashboard!C$10*SQRT(Dashboard!$F$4) * _xlfn.NORM.S.INV(RAND())</f>
        <v>6.7686622570430927E-2</v>
      </c>
      <c r="U2381" s="59">
        <f ca="1">Dashboard!D$8* Dashboard!$F$4+Dashboard!D$10*SQRT(Dashboard!$F$4) * _xlfn.NORM.S.INV(RAND())</f>
        <v>-1.7508795151059591E-3</v>
      </c>
    </row>
    <row r="2382" spans="18:21" x14ac:dyDescent="0.2">
      <c r="R2382" s="49">
        <v>2380</v>
      </c>
      <c r="S2382" s="59">
        <f ca="1">Dashboard!B$8* Dashboard!$F$4+Dashboard!B$10*SQRT(Dashboard!$F$4) * _xlfn.NORM.S.INV(RAND())</f>
        <v>-7.0674979791026452E-2</v>
      </c>
      <c r="T2382" s="59">
        <f ca="1">Dashboard!C$8* Dashboard!$F$4+Dashboard!C$10*SQRT(Dashboard!$F$4) * _xlfn.NORM.S.INV(RAND())</f>
        <v>2.276333744915662E-2</v>
      </c>
      <c r="U2382" s="59">
        <f ca="1">Dashboard!D$8* Dashboard!$F$4+Dashboard!D$10*SQRT(Dashboard!$F$4) * _xlfn.NORM.S.INV(RAND())</f>
        <v>-3.5383562190848088E-2</v>
      </c>
    </row>
    <row r="2383" spans="18:21" x14ac:dyDescent="0.2">
      <c r="R2383" s="49">
        <v>2381</v>
      </c>
      <c r="S2383" s="59">
        <f ca="1">Dashboard!B$8* Dashboard!$F$4+Dashboard!B$10*SQRT(Dashboard!$F$4) * _xlfn.NORM.S.INV(RAND())</f>
        <v>3.6361559124039799E-3</v>
      </c>
      <c r="T2383" s="59">
        <f ca="1">Dashboard!C$8* Dashboard!$F$4+Dashboard!C$10*SQRT(Dashboard!$F$4) * _xlfn.NORM.S.INV(RAND())</f>
        <v>-2.8770281774905485E-2</v>
      </c>
      <c r="U2383" s="59">
        <f ca="1">Dashboard!D$8* Dashboard!$F$4+Dashboard!D$10*SQRT(Dashboard!$F$4) * _xlfn.NORM.S.INV(RAND())</f>
        <v>8.979164340460459E-2</v>
      </c>
    </row>
    <row r="2384" spans="18:21" x14ac:dyDescent="0.2">
      <c r="R2384" s="49">
        <v>2382</v>
      </c>
      <c r="S2384" s="59">
        <f ca="1">Dashboard!B$8* Dashboard!$F$4+Dashboard!B$10*SQRT(Dashboard!$F$4) * _xlfn.NORM.S.INV(RAND())</f>
        <v>-2.5246556891127835E-2</v>
      </c>
      <c r="T2384" s="59">
        <f ca="1">Dashboard!C$8* Dashboard!$F$4+Dashboard!C$10*SQRT(Dashboard!$F$4) * _xlfn.NORM.S.INV(RAND())</f>
        <v>1.6956080324196762E-3</v>
      </c>
      <c r="U2384" s="59">
        <f ca="1">Dashboard!D$8* Dashboard!$F$4+Dashboard!D$10*SQRT(Dashboard!$F$4) * _xlfn.NORM.S.INV(RAND())</f>
        <v>-3.7832458555466665E-2</v>
      </c>
    </row>
    <row r="2385" spans="18:21" x14ac:dyDescent="0.2">
      <c r="R2385" s="49">
        <v>2383</v>
      </c>
      <c r="S2385" s="59">
        <f ca="1">Dashboard!B$8* Dashboard!$F$4+Dashboard!B$10*SQRT(Dashboard!$F$4) * _xlfn.NORM.S.INV(RAND())</f>
        <v>-4.8879633678865601E-3</v>
      </c>
      <c r="T2385" s="59">
        <f ca="1">Dashboard!C$8* Dashboard!$F$4+Dashboard!C$10*SQRT(Dashboard!$F$4) * _xlfn.NORM.S.INV(RAND())</f>
        <v>4.8097903862450969E-2</v>
      </c>
      <c r="U2385" s="59">
        <f ca="1">Dashboard!D$8* Dashboard!$F$4+Dashboard!D$10*SQRT(Dashboard!$F$4) * _xlfn.NORM.S.INV(RAND())</f>
        <v>8.5407275585012016E-3</v>
      </c>
    </row>
    <row r="2386" spans="18:21" x14ac:dyDescent="0.2">
      <c r="R2386" s="49">
        <v>2384</v>
      </c>
      <c r="S2386" s="59">
        <f ca="1">Dashboard!B$8* Dashboard!$F$4+Dashboard!B$10*SQRT(Dashboard!$F$4) * _xlfn.NORM.S.INV(RAND())</f>
        <v>-1.2467213971731082E-2</v>
      </c>
      <c r="T2386" s="59">
        <f ca="1">Dashboard!C$8* Dashboard!$F$4+Dashboard!C$10*SQRT(Dashboard!$F$4) * _xlfn.NORM.S.INV(RAND())</f>
        <v>-4.573112975432924E-2</v>
      </c>
      <c r="U2386" s="59">
        <f ca="1">Dashboard!D$8* Dashboard!$F$4+Dashboard!D$10*SQRT(Dashboard!$F$4) * _xlfn.NORM.S.INV(RAND())</f>
        <v>-2.9788759765329804E-2</v>
      </c>
    </row>
    <row r="2387" spans="18:21" x14ac:dyDescent="0.2">
      <c r="R2387" s="49">
        <v>2385</v>
      </c>
      <c r="S2387" s="59">
        <f ca="1">Dashboard!B$8* Dashboard!$F$4+Dashboard!B$10*SQRT(Dashboard!$F$4) * _xlfn.NORM.S.INV(RAND())</f>
        <v>1.4520899261542567E-2</v>
      </c>
      <c r="T2387" s="59">
        <f ca="1">Dashboard!C$8* Dashboard!$F$4+Dashboard!C$10*SQRT(Dashboard!$F$4) * _xlfn.NORM.S.INV(RAND())</f>
        <v>2.5675603841335173E-2</v>
      </c>
      <c r="U2387" s="59">
        <f ca="1">Dashboard!D$8* Dashboard!$F$4+Dashboard!D$10*SQRT(Dashboard!$F$4) * _xlfn.NORM.S.INV(RAND())</f>
        <v>6.6580597510109926E-4</v>
      </c>
    </row>
    <row r="2388" spans="18:21" x14ac:dyDescent="0.2">
      <c r="R2388" s="49">
        <v>2386</v>
      </c>
      <c r="S2388" s="59">
        <f ca="1">Dashboard!B$8* Dashboard!$F$4+Dashboard!B$10*SQRT(Dashboard!$F$4) * _xlfn.NORM.S.INV(RAND())</f>
        <v>2.935506747341541E-2</v>
      </c>
      <c r="T2388" s="59">
        <f ca="1">Dashboard!C$8* Dashboard!$F$4+Dashboard!C$10*SQRT(Dashboard!$F$4) * _xlfn.NORM.S.INV(RAND())</f>
        <v>1.2819712183521912E-3</v>
      </c>
      <c r="U2388" s="59">
        <f ca="1">Dashboard!D$8* Dashboard!$F$4+Dashboard!D$10*SQRT(Dashboard!$F$4) * _xlfn.NORM.S.INV(RAND())</f>
        <v>-6.8757065882394898E-3</v>
      </c>
    </row>
    <row r="2389" spans="18:21" x14ac:dyDescent="0.2">
      <c r="R2389" s="49">
        <v>2387</v>
      </c>
      <c r="S2389" s="59">
        <f ca="1">Dashboard!B$8* Dashboard!$F$4+Dashboard!B$10*SQRT(Dashboard!$F$4) * _xlfn.NORM.S.INV(RAND())</f>
        <v>-5.5900674555671617E-2</v>
      </c>
      <c r="T2389" s="59">
        <f ca="1">Dashboard!C$8* Dashboard!$F$4+Dashboard!C$10*SQRT(Dashboard!$F$4) * _xlfn.NORM.S.INV(RAND())</f>
        <v>9.6853758813178745E-2</v>
      </c>
      <c r="U2389" s="59">
        <f ca="1">Dashboard!D$8* Dashboard!$F$4+Dashboard!D$10*SQRT(Dashboard!$F$4) * _xlfn.NORM.S.INV(RAND())</f>
        <v>4.0070154354696845E-2</v>
      </c>
    </row>
    <row r="2390" spans="18:21" x14ac:dyDescent="0.2">
      <c r="R2390" s="49">
        <v>2388</v>
      </c>
      <c r="S2390" s="59">
        <f ca="1">Dashboard!B$8* Dashboard!$F$4+Dashboard!B$10*SQRT(Dashboard!$F$4) * _xlfn.NORM.S.INV(RAND())</f>
        <v>2.3330694497020792E-2</v>
      </c>
      <c r="T2390" s="59">
        <f ca="1">Dashboard!C$8* Dashboard!$F$4+Dashboard!C$10*SQRT(Dashboard!$F$4) * _xlfn.NORM.S.INV(RAND())</f>
        <v>4.7275209663504882E-2</v>
      </c>
      <c r="U2390" s="59">
        <f ca="1">Dashboard!D$8* Dashboard!$F$4+Dashboard!D$10*SQRT(Dashboard!$F$4) * _xlfn.NORM.S.INV(RAND())</f>
        <v>-9.1060263859849243E-3</v>
      </c>
    </row>
    <row r="2391" spans="18:21" x14ac:dyDescent="0.2">
      <c r="R2391" s="49">
        <v>2389</v>
      </c>
      <c r="S2391" s="59">
        <f ca="1">Dashboard!B$8* Dashboard!$F$4+Dashboard!B$10*SQRT(Dashboard!$F$4) * _xlfn.NORM.S.INV(RAND())</f>
        <v>-2.9407171491193998E-2</v>
      </c>
      <c r="T2391" s="59">
        <f ca="1">Dashboard!C$8* Dashboard!$F$4+Dashboard!C$10*SQRT(Dashboard!$F$4) * _xlfn.NORM.S.INV(RAND())</f>
        <v>5.1292346607587063E-3</v>
      </c>
      <c r="U2391" s="59">
        <f ca="1">Dashboard!D$8* Dashboard!$F$4+Dashboard!D$10*SQRT(Dashboard!$F$4) * _xlfn.NORM.S.INV(RAND())</f>
        <v>8.1673058738350873E-2</v>
      </c>
    </row>
    <row r="2392" spans="18:21" x14ac:dyDescent="0.2">
      <c r="R2392" s="49">
        <v>2390</v>
      </c>
      <c r="S2392" s="59">
        <f ca="1">Dashboard!B$8* Dashboard!$F$4+Dashboard!B$10*SQRT(Dashboard!$F$4) * _xlfn.NORM.S.INV(RAND())</f>
        <v>4.5161626419157858E-2</v>
      </c>
      <c r="T2392" s="59">
        <f ca="1">Dashboard!C$8* Dashboard!$F$4+Dashboard!C$10*SQRT(Dashboard!$F$4) * _xlfn.NORM.S.INV(RAND())</f>
        <v>-1.2746454699555352E-2</v>
      </c>
      <c r="U2392" s="59">
        <f ca="1">Dashboard!D$8* Dashboard!$F$4+Dashboard!D$10*SQRT(Dashboard!$F$4) * _xlfn.NORM.S.INV(RAND())</f>
        <v>-1.5000942344610534E-2</v>
      </c>
    </row>
    <row r="2393" spans="18:21" x14ac:dyDescent="0.2">
      <c r="R2393" s="49">
        <v>2391</v>
      </c>
      <c r="S2393" s="59">
        <f ca="1">Dashboard!B$8* Dashboard!$F$4+Dashboard!B$10*SQRT(Dashboard!$F$4) * _xlfn.NORM.S.INV(RAND())</f>
        <v>-2.4437017813032029E-2</v>
      </c>
      <c r="T2393" s="59">
        <f ca="1">Dashboard!C$8* Dashboard!$F$4+Dashboard!C$10*SQRT(Dashboard!$F$4) * _xlfn.NORM.S.INV(RAND())</f>
        <v>-1.6618281740760615E-2</v>
      </c>
      <c r="U2393" s="59">
        <f ca="1">Dashboard!D$8* Dashboard!$F$4+Dashboard!D$10*SQRT(Dashboard!$F$4) * _xlfn.NORM.S.INV(RAND())</f>
        <v>-1.0806181247208531E-2</v>
      </c>
    </row>
    <row r="2394" spans="18:21" x14ac:dyDescent="0.2">
      <c r="R2394" s="49">
        <v>2392</v>
      </c>
      <c r="S2394" s="59">
        <f ca="1">Dashboard!B$8* Dashboard!$F$4+Dashboard!B$10*SQRT(Dashboard!$F$4) * _xlfn.NORM.S.INV(RAND())</f>
        <v>-2.1364927688437528E-2</v>
      </c>
      <c r="T2394" s="59">
        <f ca="1">Dashboard!C$8* Dashboard!$F$4+Dashboard!C$10*SQRT(Dashboard!$F$4) * _xlfn.NORM.S.INV(RAND())</f>
        <v>2.4757364971365724E-2</v>
      </c>
      <c r="U2394" s="59">
        <f ca="1">Dashboard!D$8* Dashboard!$F$4+Dashboard!D$10*SQRT(Dashboard!$F$4) * _xlfn.NORM.S.INV(RAND())</f>
        <v>-2.2303499778496459E-2</v>
      </c>
    </row>
    <row r="2395" spans="18:21" x14ac:dyDescent="0.2">
      <c r="R2395" s="49">
        <v>2393</v>
      </c>
      <c r="S2395" s="59">
        <f ca="1">Dashboard!B$8* Dashboard!$F$4+Dashboard!B$10*SQRT(Dashboard!$F$4) * _xlfn.NORM.S.INV(RAND())</f>
        <v>-4.7973545665761154E-2</v>
      </c>
      <c r="T2395" s="59">
        <f ca="1">Dashboard!C$8* Dashboard!$F$4+Dashboard!C$10*SQRT(Dashboard!$F$4) * _xlfn.NORM.S.INV(RAND())</f>
        <v>4.9680094130817247E-2</v>
      </c>
      <c r="U2395" s="59">
        <f ca="1">Dashboard!D$8* Dashboard!$F$4+Dashboard!D$10*SQRT(Dashboard!$F$4) * _xlfn.NORM.S.INV(RAND())</f>
        <v>-4.3873570055892167E-2</v>
      </c>
    </row>
    <row r="2396" spans="18:21" x14ac:dyDescent="0.2">
      <c r="R2396" s="49">
        <v>2394</v>
      </c>
      <c r="S2396" s="59">
        <f ca="1">Dashboard!B$8* Dashboard!$F$4+Dashboard!B$10*SQRT(Dashboard!$F$4) * _xlfn.NORM.S.INV(RAND())</f>
        <v>3.9052910147760994E-2</v>
      </c>
      <c r="T2396" s="59">
        <f ca="1">Dashboard!C$8* Dashboard!$F$4+Dashboard!C$10*SQRT(Dashboard!$F$4) * _xlfn.NORM.S.INV(RAND())</f>
        <v>-1.9172372660865983E-2</v>
      </c>
      <c r="U2396" s="59">
        <f ca="1">Dashboard!D$8* Dashboard!$F$4+Dashboard!D$10*SQRT(Dashboard!$F$4) * _xlfn.NORM.S.INV(RAND())</f>
        <v>-9.6474725709607429E-3</v>
      </c>
    </row>
    <row r="2397" spans="18:21" x14ac:dyDescent="0.2">
      <c r="R2397" s="49">
        <v>2395</v>
      </c>
      <c r="S2397" s="59">
        <f ca="1">Dashboard!B$8* Dashboard!$F$4+Dashboard!B$10*SQRT(Dashboard!$F$4) * _xlfn.NORM.S.INV(RAND())</f>
        <v>2.927271940805732E-2</v>
      </c>
      <c r="T2397" s="59">
        <f ca="1">Dashboard!C$8* Dashboard!$F$4+Dashboard!C$10*SQRT(Dashboard!$F$4) * _xlfn.NORM.S.INV(RAND())</f>
        <v>3.8048134364832051E-2</v>
      </c>
      <c r="U2397" s="59">
        <f ca="1">Dashboard!D$8* Dashboard!$F$4+Dashboard!D$10*SQRT(Dashboard!$F$4) * _xlfn.NORM.S.INV(RAND())</f>
        <v>-1.192178898281907E-2</v>
      </c>
    </row>
    <row r="2398" spans="18:21" x14ac:dyDescent="0.2">
      <c r="R2398" s="49">
        <v>2396</v>
      </c>
      <c r="S2398" s="59">
        <f ca="1">Dashboard!B$8* Dashboard!$F$4+Dashboard!B$10*SQRT(Dashboard!$F$4) * _xlfn.NORM.S.INV(RAND())</f>
        <v>2.6655621991989011E-3</v>
      </c>
      <c r="T2398" s="59">
        <f ca="1">Dashboard!C$8* Dashboard!$F$4+Dashboard!C$10*SQRT(Dashboard!$F$4) * _xlfn.NORM.S.INV(RAND())</f>
        <v>-4.9090832599695863E-2</v>
      </c>
      <c r="U2398" s="59">
        <f ca="1">Dashboard!D$8* Dashboard!$F$4+Dashboard!D$10*SQRT(Dashboard!$F$4) * _xlfn.NORM.S.INV(RAND())</f>
        <v>3.1265123287931108E-2</v>
      </c>
    </row>
    <row r="2399" spans="18:21" x14ac:dyDescent="0.2">
      <c r="R2399" s="49">
        <v>2397</v>
      </c>
      <c r="S2399" s="59">
        <f ca="1">Dashboard!B$8* Dashboard!$F$4+Dashboard!B$10*SQRT(Dashboard!$F$4) * _xlfn.NORM.S.INV(RAND())</f>
        <v>4.5208362765391578E-2</v>
      </c>
      <c r="T2399" s="59">
        <f ca="1">Dashboard!C$8* Dashboard!$F$4+Dashboard!C$10*SQRT(Dashboard!$F$4) * _xlfn.NORM.S.INV(RAND())</f>
        <v>-2.1573062856011651E-2</v>
      </c>
      <c r="U2399" s="59">
        <f ca="1">Dashboard!D$8* Dashboard!$F$4+Dashboard!D$10*SQRT(Dashboard!$F$4) * _xlfn.NORM.S.INV(RAND())</f>
        <v>-6.7237497315544598E-2</v>
      </c>
    </row>
    <row r="2400" spans="18:21" x14ac:dyDescent="0.2">
      <c r="R2400" s="49">
        <v>2398</v>
      </c>
      <c r="S2400" s="59">
        <f ca="1">Dashboard!B$8* Dashboard!$F$4+Dashboard!B$10*SQRT(Dashboard!$F$4) * _xlfn.NORM.S.INV(RAND())</f>
        <v>-5.6611753212280121E-3</v>
      </c>
      <c r="T2400" s="59">
        <f ca="1">Dashboard!C$8* Dashboard!$F$4+Dashboard!C$10*SQRT(Dashboard!$F$4) * _xlfn.NORM.S.INV(RAND())</f>
        <v>1.579518281201785E-2</v>
      </c>
      <c r="U2400" s="59">
        <f ca="1">Dashboard!D$8* Dashboard!$F$4+Dashboard!D$10*SQRT(Dashboard!$F$4) * _xlfn.NORM.S.INV(RAND())</f>
        <v>-2.2661736199182923E-4</v>
      </c>
    </row>
    <row r="2401" spans="18:21" x14ac:dyDescent="0.2">
      <c r="R2401" s="49">
        <v>2399</v>
      </c>
      <c r="S2401" s="59">
        <f ca="1">Dashboard!B$8* Dashboard!$F$4+Dashboard!B$10*SQRT(Dashboard!$F$4) * _xlfn.NORM.S.INV(RAND())</f>
        <v>-8.5296691227815203E-4</v>
      </c>
      <c r="T2401" s="59">
        <f ca="1">Dashboard!C$8* Dashboard!$F$4+Dashboard!C$10*SQRT(Dashboard!$F$4) * _xlfn.NORM.S.INV(RAND())</f>
        <v>-1.6453667813478484E-2</v>
      </c>
      <c r="U2401" s="59">
        <f ca="1">Dashboard!D$8* Dashboard!$F$4+Dashboard!D$10*SQRT(Dashboard!$F$4) * _xlfn.NORM.S.INV(RAND())</f>
        <v>5.9181054734799475E-2</v>
      </c>
    </row>
    <row r="2402" spans="18:21" x14ac:dyDescent="0.2">
      <c r="R2402" s="49">
        <v>2400</v>
      </c>
      <c r="S2402" s="59">
        <f ca="1">Dashboard!B$8* Dashboard!$F$4+Dashboard!B$10*SQRT(Dashboard!$F$4) * _xlfn.NORM.S.INV(RAND())</f>
        <v>-2.4305741109114133E-2</v>
      </c>
      <c r="T2402" s="59">
        <f ca="1">Dashboard!C$8* Dashboard!$F$4+Dashboard!C$10*SQRT(Dashboard!$F$4) * _xlfn.NORM.S.INV(RAND())</f>
        <v>-4.9542046946838073E-2</v>
      </c>
      <c r="U2402" s="59">
        <f ca="1">Dashboard!D$8* Dashboard!$F$4+Dashboard!D$10*SQRT(Dashboard!$F$4) * _xlfn.NORM.S.INV(RAND())</f>
        <v>3.4383414746929235E-2</v>
      </c>
    </row>
    <row r="2403" spans="18:21" x14ac:dyDescent="0.2">
      <c r="R2403" s="49">
        <v>2401</v>
      </c>
      <c r="S2403" s="59">
        <f ca="1">Dashboard!B$8* Dashboard!$F$4+Dashboard!B$10*SQRT(Dashboard!$F$4) * _xlfn.NORM.S.INV(RAND())</f>
        <v>4.0001349562677514E-2</v>
      </c>
      <c r="T2403" s="59">
        <f ca="1">Dashboard!C$8* Dashboard!$F$4+Dashboard!C$10*SQRT(Dashboard!$F$4) * _xlfn.NORM.S.INV(RAND())</f>
        <v>-2.9889639907935178E-2</v>
      </c>
      <c r="U2403" s="59">
        <f ca="1">Dashboard!D$8* Dashboard!$F$4+Dashboard!D$10*SQRT(Dashboard!$F$4) * _xlfn.NORM.S.INV(RAND())</f>
        <v>-3.0001913801209239E-2</v>
      </c>
    </row>
    <row r="2404" spans="18:21" x14ac:dyDescent="0.2">
      <c r="R2404" s="49">
        <v>2402</v>
      </c>
      <c r="S2404" s="59">
        <f ca="1">Dashboard!B$8* Dashboard!$F$4+Dashboard!B$10*SQRT(Dashboard!$F$4) * _xlfn.NORM.S.INV(RAND())</f>
        <v>-2.6438393449740279E-3</v>
      </c>
      <c r="T2404" s="59">
        <f ca="1">Dashboard!C$8* Dashboard!$F$4+Dashboard!C$10*SQRT(Dashboard!$F$4) * _xlfn.NORM.S.INV(RAND())</f>
        <v>-1.828478750255565E-2</v>
      </c>
      <c r="U2404" s="59">
        <f ca="1">Dashboard!D$8* Dashboard!$F$4+Dashboard!D$10*SQRT(Dashboard!$F$4) * _xlfn.NORM.S.INV(RAND())</f>
        <v>-6.3155562539909296E-2</v>
      </c>
    </row>
    <row r="2405" spans="18:21" x14ac:dyDescent="0.2">
      <c r="R2405" s="49">
        <v>2403</v>
      </c>
      <c r="S2405" s="59">
        <f ca="1">Dashboard!B$8* Dashboard!$F$4+Dashboard!B$10*SQRT(Dashboard!$F$4) * _xlfn.NORM.S.INV(RAND())</f>
        <v>1.0812695096220121E-2</v>
      </c>
      <c r="T2405" s="59">
        <f ca="1">Dashboard!C$8* Dashboard!$F$4+Dashboard!C$10*SQRT(Dashboard!$F$4) * _xlfn.NORM.S.INV(RAND())</f>
        <v>-3.4847633799819248E-2</v>
      </c>
      <c r="U2405" s="59">
        <f ca="1">Dashboard!D$8* Dashboard!$F$4+Dashboard!D$10*SQRT(Dashboard!$F$4) * _xlfn.NORM.S.INV(RAND())</f>
        <v>-4.1844353022535537E-2</v>
      </c>
    </row>
    <row r="2406" spans="18:21" x14ac:dyDescent="0.2">
      <c r="R2406" s="49">
        <v>2404</v>
      </c>
      <c r="S2406" s="59">
        <f ca="1">Dashboard!B$8* Dashboard!$F$4+Dashboard!B$10*SQRT(Dashboard!$F$4) * _xlfn.NORM.S.INV(RAND())</f>
        <v>-3.6244188898723197E-2</v>
      </c>
      <c r="T2406" s="59">
        <f ca="1">Dashboard!C$8* Dashboard!$F$4+Dashboard!C$10*SQRT(Dashboard!$F$4) * _xlfn.NORM.S.INV(RAND())</f>
        <v>3.5549842790303855E-2</v>
      </c>
      <c r="U2406" s="59">
        <f ca="1">Dashboard!D$8* Dashboard!$F$4+Dashboard!D$10*SQRT(Dashboard!$F$4) * _xlfn.NORM.S.INV(RAND())</f>
        <v>-1.3014467011368306E-2</v>
      </c>
    </row>
    <row r="2407" spans="18:21" x14ac:dyDescent="0.2">
      <c r="R2407" s="49">
        <v>2405</v>
      </c>
      <c r="S2407" s="59">
        <f ca="1">Dashboard!B$8* Dashboard!$F$4+Dashboard!B$10*SQRT(Dashboard!$F$4) * _xlfn.NORM.S.INV(RAND())</f>
        <v>4.2358066554018976E-3</v>
      </c>
      <c r="T2407" s="59">
        <f ca="1">Dashboard!C$8* Dashboard!$F$4+Dashboard!C$10*SQRT(Dashboard!$F$4) * _xlfn.NORM.S.INV(RAND())</f>
        <v>6.780720579174334E-3</v>
      </c>
      <c r="U2407" s="59">
        <f ca="1">Dashboard!D$8* Dashboard!$F$4+Dashboard!D$10*SQRT(Dashboard!$F$4) * _xlfn.NORM.S.INV(RAND())</f>
        <v>2.5078130649778246E-2</v>
      </c>
    </row>
    <row r="2408" spans="18:21" x14ac:dyDescent="0.2">
      <c r="R2408" s="49">
        <v>2406</v>
      </c>
      <c r="S2408" s="59">
        <f ca="1">Dashboard!B$8* Dashboard!$F$4+Dashboard!B$10*SQRT(Dashboard!$F$4) * _xlfn.NORM.S.INV(RAND())</f>
        <v>5.4127410125919033E-2</v>
      </c>
      <c r="T2408" s="59">
        <f ca="1">Dashboard!C$8* Dashboard!$F$4+Dashboard!C$10*SQRT(Dashboard!$F$4) * _xlfn.NORM.S.INV(RAND())</f>
        <v>-1.34145886108686E-4</v>
      </c>
      <c r="U2408" s="59">
        <f ca="1">Dashboard!D$8* Dashboard!$F$4+Dashboard!D$10*SQRT(Dashboard!$F$4) * _xlfn.NORM.S.INV(RAND())</f>
        <v>3.1596354805351412E-3</v>
      </c>
    </row>
    <row r="2409" spans="18:21" x14ac:dyDescent="0.2">
      <c r="R2409" s="49">
        <v>2407</v>
      </c>
      <c r="S2409" s="59">
        <f ca="1">Dashboard!B$8* Dashboard!$F$4+Dashboard!B$10*SQRT(Dashboard!$F$4) * _xlfn.NORM.S.INV(RAND())</f>
        <v>6.8824723448112815E-2</v>
      </c>
      <c r="T2409" s="59">
        <f ca="1">Dashboard!C$8* Dashboard!$F$4+Dashboard!C$10*SQRT(Dashboard!$F$4) * _xlfn.NORM.S.INV(RAND())</f>
        <v>-7.9865489062529334E-3</v>
      </c>
      <c r="U2409" s="59">
        <f ca="1">Dashboard!D$8* Dashboard!$F$4+Dashboard!D$10*SQRT(Dashboard!$F$4) * _xlfn.NORM.S.INV(RAND())</f>
        <v>-1.9537289377329875E-2</v>
      </c>
    </row>
    <row r="2410" spans="18:21" x14ac:dyDescent="0.2">
      <c r="R2410" s="49">
        <v>2408</v>
      </c>
      <c r="S2410" s="59">
        <f ca="1">Dashboard!B$8* Dashboard!$F$4+Dashboard!B$10*SQRT(Dashboard!$F$4) * _xlfn.NORM.S.INV(RAND())</f>
        <v>6.2935391116408813E-3</v>
      </c>
      <c r="T2410" s="59">
        <f ca="1">Dashboard!C$8* Dashboard!$F$4+Dashboard!C$10*SQRT(Dashboard!$F$4) * _xlfn.NORM.S.INV(RAND())</f>
        <v>9.777920220350381E-3</v>
      </c>
      <c r="U2410" s="59">
        <f ca="1">Dashboard!D$8* Dashboard!$F$4+Dashboard!D$10*SQRT(Dashboard!$F$4) * _xlfn.NORM.S.INV(RAND())</f>
        <v>6.3312110445661804E-2</v>
      </c>
    </row>
    <row r="2411" spans="18:21" x14ac:dyDescent="0.2">
      <c r="R2411" s="49">
        <v>2409</v>
      </c>
      <c r="S2411" s="59">
        <f ca="1">Dashboard!B$8* Dashboard!$F$4+Dashboard!B$10*SQRT(Dashboard!$F$4) * _xlfn.NORM.S.INV(RAND())</f>
        <v>-5.7785023194442849E-2</v>
      </c>
      <c r="T2411" s="59">
        <f ca="1">Dashboard!C$8* Dashboard!$F$4+Dashboard!C$10*SQRT(Dashboard!$F$4) * _xlfn.NORM.S.INV(RAND())</f>
        <v>7.2927804574208013E-2</v>
      </c>
      <c r="U2411" s="59">
        <f ca="1">Dashboard!D$8* Dashboard!$F$4+Dashboard!D$10*SQRT(Dashboard!$F$4) * _xlfn.NORM.S.INV(RAND())</f>
        <v>-4.2027483984994493E-2</v>
      </c>
    </row>
    <row r="2412" spans="18:21" x14ac:dyDescent="0.2">
      <c r="R2412" s="49">
        <v>2410</v>
      </c>
      <c r="S2412" s="59">
        <f ca="1">Dashboard!B$8* Dashboard!$F$4+Dashboard!B$10*SQRT(Dashboard!$F$4) * _xlfn.NORM.S.INV(RAND())</f>
        <v>-3.1015168154238321E-3</v>
      </c>
      <c r="T2412" s="59">
        <f ca="1">Dashboard!C$8* Dashboard!$F$4+Dashboard!C$10*SQRT(Dashboard!$F$4) * _xlfn.NORM.S.INV(RAND())</f>
        <v>4.7714928981758283E-2</v>
      </c>
      <c r="U2412" s="59">
        <f ca="1">Dashboard!D$8* Dashboard!$F$4+Dashboard!D$10*SQRT(Dashboard!$F$4) * _xlfn.NORM.S.INV(RAND())</f>
        <v>7.7399960554952768E-2</v>
      </c>
    </row>
    <row r="2413" spans="18:21" x14ac:dyDescent="0.2">
      <c r="R2413" s="49">
        <v>2411</v>
      </c>
      <c r="S2413" s="59">
        <f ca="1">Dashboard!B$8* Dashboard!$F$4+Dashboard!B$10*SQRT(Dashboard!$F$4) * _xlfn.NORM.S.INV(RAND())</f>
        <v>-1.7594458896193547E-2</v>
      </c>
      <c r="T2413" s="59">
        <f ca="1">Dashboard!C$8* Dashboard!$F$4+Dashboard!C$10*SQRT(Dashboard!$F$4) * _xlfn.NORM.S.INV(RAND())</f>
        <v>1.5540791192656294E-3</v>
      </c>
      <c r="U2413" s="59">
        <f ca="1">Dashboard!D$8* Dashboard!$F$4+Dashboard!D$10*SQRT(Dashboard!$F$4) * _xlfn.NORM.S.INV(RAND())</f>
        <v>1.586229507023491E-2</v>
      </c>
    </row>
    <row r="2414" spans="18:21" x14ac:dyDescent="0.2">
      <c r="R2414" s="49">
        <v>2412</v>
      </c>
      <c r="S2414" s="59">
        <f ca="1">Dashboard!B$8* Dashboard!$F$4+Dashboard!B$10*SQRT(Dashboard!$F$4) * _xlfn.NORM.S.INV(RAND())</f>
        <v>-4.7649517655225602E-3</v>
      </c>
      <c r="T2414" s="59">
        <f ca="1">Dashboard!C$8* Dashboard!$F$4+Dashboard!C$10*SQRT(Dashboard!$F$4) * _xlfn.NORM.S.INV(RAND())</f>
        <v>2.6418925096207649E-2</v>
      </c>
      <c r="U2414" s="59">
        <f ca="1">Dashboard!D$8* Dashboard!$F$4+Dashboard!D$10*SQRT(Dashboard!$F$4) * _xlfn.NORM.S.INV(RAND())</f>
        <v>3.5790496895007594E-2</v>
      </c>
    </row>
    <row r="2415" spans="18:21" x14ac:dyDescent="0.2">
      <c r="R2415" s="49">
        <v>2413</v>
      </c>
      <c r="S2415" s="59">
        <f ca="1">Dashboard!B$8* Dashboard!$F$4+Dashboard!B$10*SQRT(Dashboard!$F$4) * _xlfn.NORM.S.INV(RAND())</f>
        <v>-2.1723333248148874E-2</v>
      </c>
      <c r="T2415" s="59">
        <f ca="1">Dashboard!C$8* Dashboard!$F$4+Dashboard!C$10*SQRT(Dashboard!$F$4) * _xlfn.NORM.S.INV(RAND())</f>
        <v>5.6804382160479713E-2</v>
      </c>
      <c r="U2415" s="59">
        <f ca="1">Dashboard!D$8* Dashboard!$F$4+Dashboard!D$10*SQRT(Dashboard!$F$4) * _xlfn.NORM.S.INV(RAND())</f>
        <v>2.4311817982284826E-2</v>
      </c>
    </row>
    <row r="2416" spans="18:21" x14ac:dyDescent="0.2">
      <c r="R2416" s="49">
        <v>2414</v>
      </c>
      <c r="S2416" s="59">
        <f ca="1">Dashboard!B$8* Dashboard!$F$4+Dashboard!B$10*SQRT(Dashboard!$F$4) * _xlfn.NORM.S.INV(RAND())</f>
        <v>2.3198424035033825E-2</v>
      </c>
      <c r="T2416" s="59">
        <f ca="1">Dashboard!C$8* Dashboard!$F$4+Dashboard!C$10*SQRT(Dashboard!$F$4) * _xlfn.NORM.S.INV(RAND())</f>
        <v>4.9282202039800981E-3</v>
      </c>
      <c r="U2416" s="59">
        <f ca="1">Dashboard!D$8* Dashboard!$F$4+Dashboard!D$10*SQRT(Dashboard!$F$4) * _xlfn.NORM.S.INV(RAND())</f>
        <v>-5.5992676784667695E-3</v>
      </c>
    </row>
    <row r="2417" spans="18:21" x14ac:dyDescent="0.2">
      <c r="R2417" s="49">
        <v>2415</v>
      </c>
      <c r="S2417" s="59">
        <f ca="1">Dashboard!B$8* Dashboard!$F$4+Dashboard!B$10*SQRT(Dashboard!$F$4) * _xlfn.NORM.S.INV(RAND())</f>
        <v>-1.7993120957982073E-2</v>
      </c>
      <c r="T2417" s="59">
        <f ca="1">Dashboard!C$8* Dashboard!$F$4+Dashboard!C$10*SQRT(Dashboard!$F$4) * _xlfn.NORM.S.INV(RAND())</f>
        <v>6.5522063836799451E-3</v>
      </c>
      <c r="U2417" s="59">
        <f ca="1">Dashboard!D$8* Dashboard!$F$4+Dashboard!D$10*SQRT(Dashboard!$F$4) * _xlfn.NORM.S.INV(RAND())</f>
        <v>-9.0769563731650498E-3</v>
      </c>
    </row>
    <row r="2418" spans="18:21" x14ac:dyDescent="0.2">
      <c r="R2418" s="49">
        <v>2416</v>
      </c>
      <c r="S2418" s="59">
        <f ca="1">Dashboard!B$8* Dashboard!$F$4+Dashboard!B$10*SQRT(Dashboard!$F$4) * _xlfn.NORM.S.INV(RAND())</f>
        <v>1.211490756881854E-3</v>
      </c>
      <c r="T2418" s="59">
        <f ca="1">Dashboard!C$8* Dashboard!$F$4+Dashboard!C$10*SQRT(Dashboard!$F$4) * _xlfn.NORM.S.INV(RAND())</f>
        <v>-6.0874263313163051E-3</v>
      </c>
      <c r="U2418" s="59">
        <f ca="1">Dashboard!D$8* Dashboard!$F$4+Dashboard!D$10*SQRT(Dashboard!$F$4) * _xlfn.NORM.S.INV(RAND())</f>
        <v>-2.7208231795113128E-2</v>
      </c>
    </row>
    <row r="2419" spans="18:21" x14ac:dyDescent="0.2">
      <c r="R2419" s="49">
        <v>2417</v>
      </c>
      <c r="S2419" s="59">
        <f ca="1">Dashboard!B$8* Dashboard!$F$4+Dashboard!B$10*SQRT(Dashboard!$F$4) * _xlfn.NORM.S.INV(RAND())</f>
        <v>1.4393411072489542E-2</v>
      </c>
      <c r="T2419" s="59">
        <f ca="1">Dashboard!C$8* Dashboard!$F$4+Dashboard!C$10*SQRT(Dashboard!$F$4) * _xlfn.NORM.S.INV(RAND())</f>
        <v>1.2521699611243619E-2</v>
      </c>
      <c r="U2419" s="59">
        <f ca="1">Dashboard!D$8* Dashboard!$F$4+Dashboard!D$10*SQRT(Dashboard!$F$4) * _xlfn.NORM.S.INV(RAND())</f>
        <v>1.5180746954840524E-3</v>
      </c>
    </row>
    <row r="2420" spans="18:21" x14ac:dyDescent="0.2">
      <c r="R2420" s="49">
        <v>2418</v>
      </c>
      <c r="S2420" s="59">
        <f ca="1">Dashboard!B$8* Dashboard!$F$4+Dashboard!B$10*SQRT(Dashboard!$F$4) * _xlfn.NORM.S.INV(RAND())</f>
        <v>-4.713456062208346E-2</v>
      </c>
      <c r="T2420" s="59">
        <f ca="1">Dashboard!C$8* Dashboard!$F$4+Dashboard!C$10*SQRT(Dashboard!$F$4) * _xlfn.NORM.S.INV(RAND())</f>
        <v>6.0439958892950412E-3</v>
      </c>
      <c r="U2420" s="59">
        <f ca="1">Dashboard!D$8* Dashboard!$F$4+Dashboard!D$10*SQRT(Dashboard!$F$4) * _xlfn.NORM.S.INV(RAND())</f>
        <v>4.2510715922627791E-2</v>
      </c>
    </row>
    <row r="2421" spans="18:21" x14ac:dyDescent="0.2">
      <c r="R2421" s="49">
        <v>2419</v>
      </c>
      <c r="S2421" s="59">
        <f ca="1">Dashboard!B$8* Dashboard!$F$4+Dashboard!B$10*SQRT(Dashboard!$F$4) * _xlfn.NORM.S.INV(RAND())</f>
        <v>4.1971360508066331E-2</v>
      </c>
      <c r="T2421" s="59">
        <f ca="1">Dashboard!C$8* Dashboard!$F$4+Dashboard!C$10*SQRT(Dashboard!$F$4) * _xlfn.NORM.S.INV(RAND())</f>
        <v>1.1554368010604738E-2</v>
      </c>
      <c r="U2421" s="59">
        <f ca="1">Dashboard!D$8* Dashboard!$F$4+Dashboard!D$10*SQRT(Dashboard!$F$4) * _xlfn.NORM.S.INV(RAND())</f>
        <v>2.7050682684546117E-2</v>
      </c>
    </row>
    <row r="2422" spans="18:21" x14ac:dyDescent="0.2">
      <c r="R2422" s="49">
        <v>2420</v>
      </c>
      <c r="S2422" s="59">
        <f ca="1">Dashboard!B$8* Dashboard!$F$4+Dashboard!B$10*SQRT(Dashboard!$F$4) * _xlfn.NORM.S.INV(RAND())</f>
        <v>-2.8914410328569555E-2</v>
      </c>
      <c r="T2422" s="59">
        <f ca="1">Dashboard!C$8* Dashboard!$F$4+Dashboard!C$10*SQRT(Dashboard!$F$4) * _xlfn.NORM.S.INV(RAND())</f>
        <v>4.1402296458590643E-2</v>
      </c>
      <c r="U2422" s="59">
        <f ca="1">Dashboard!D$8* Dashboard!$F$4+Dashboard!D$10*SQRT(Dashboard!$F$4) * _xlfn.NORM.S.INV(RAND())</f>
        <v>8.2866844932134795E-3</v>
      </c>
    </row>
    <row r="2423" spans="18:21" x14ac:dyDescent="0.2">
      <c r="R2423" s="49">
        <v>2421</v>
      </c>
      <c r="S2423" s="59">
        <f ca="1">Dashboard!B$8* Dashboard!$F$4+Dashboard!B$10*SQRT(Dashboard!$F$4) * _xlfn.NORM.S.INV(RAND())</f>
        <v>-3.7954120215219454E-2</v>
      </c>
      <c r="T2423" s="59">
        <f ca="1">Dashboard!C$8* Dashboard!$F$4+Dashboard!C$10*SQRT(Dashboard!$F$4) * _xlfn.NORM.S.INV(RAND())</f>
        <v>5.9359149596440678E-4</v>
      </c>
      <c r="U2423" s="59">
        <f ca="1">Dashboard!D$8* Dashboard!$F$4+Dashboard!D$10*SQRT(Dashboard!$F$4) * _xlfn.NORM.S.INV(RAND())</f>
        <v>-6.8735955831583803E-2</v>
      </c>
    </row>
    <row r="2424" spans="18:21" x14ac:dyDescent="0.2">
      <c r="R2424" s="49">
        <v>2422</v>
      </c>
      <c r="S2424" s="59">
        <f ca="1">Dashboard!B$8* Dashboard!$F$4+Dashboard!B$10*SQRT(Dashboard!$F$4) * _xlfn.NORM.S.INV(RAND())</f>
        <v>1.9459791308797748E-2</v>
      </c>
      <c r="T2424" s="59">
        <f ca="1">Dashboard!C$8* Dashboard!$F$4+Dashboard!C$10*SQRT(Dashboard!$F$4) * _xlfn.NORM.S.INV(RAND())</f>
        <v>5.6367907392770929E-2</v>
      </c>
      <c r="U2424" s="59">
        <f ca="1">Dashboard!D$8* Dashboard!$F$4+Dashboard!D$10*SQRT(Dashboard!$F$4) * _xlfn.NORM.S.INV(RAND())</f>
        <v>5.8444897705997353E-2</v>
      </c>
    </row>
    <row r="2425" spans="18:21" x14ac:dyDescent="0.2">
      <c r="R2425" s="49">
        <v>2423</v>
      </c>
      <c r="S2425" s="59">
        <f ca="1">Dashboard!B$8* Dashboard!$F$4+Dashboard!B$10*SQRT(Dashboard!$F$4) * _xlfn.NORM.S.INV(RAND())</f>
        <v>-4.3034607910134399E-3</v>
      </c>
      <c r="T2425" s="59">
        <f ca="1">Dashboard!C$8* Dashboard!$F$4+Dashboard!C$10*SQRT(Dashboard!$F$4) * _xlfn.NORM.S.INV(RAND())</f>
        <v>4.9854183918493803E-3</v>
      </c>
      <c r="U2425" s="59">
        <f ca="1">Dashboard!D$8* Dashboard!$F$4+Dashboard!D$10*SQRT(Dashboard!$F$4) * _xlfn.NORM.S.INV(RAND())</f>
        <v>5.033595720696285E-2</v>
      </c>
    </row>
    <row r="2426" spans="18:21" x14ac:dyDescent="0.2">
      <c r="R2426" s="49">
        <v>2424</v>
      </c>
      <c r="S2426" s="59">
        <f ca="1">Dashboard!B$8* Dashboard!$F$4+Dashboard!B$10*SQRT(Dashboard!$F$4) * _xlfn.NORM.S.INV(RAND())</f>
        <v>-1.3474679142218988E-2</v>
      </c>
      <c r="T2426" s="59">
        <f ca="1">Dashboard!C$8* Dashboard!$F$4+Dashboard!C$10*SQRT(Dashboard!$F$4) * _xlfn.NORM.S.INV(RAND())</f>
        <v>3.1971970702261036E-2</v>
      </c>
      <c r="U2426" s="59">
        <f ca="1">Dashboard!D$8* Dashboard!$F$4+Dashboard!D$10*SQRT(Dashboard!$F$4) * _xlfn.NORM.S.INV(RAND())</f>
        <v>4.4144886739286363E-2</v>
      </c>
    </row>
    <row r="2427" spans="18:21" x14ac:dyDescent="0.2">
      <c r="R2427" s="49">
        <v>2425</v>
      </c>
      <c r="S2427" s="59">
        <f ca="1">Dashboard!B$8* Dashboard!$F$4+Dashboard!B$10*SQRT(Dashboard!$F$4) * _xlfn.NORM.S.INV(RAND())</f>
        <v>1.943384945855587E-2</v>
      </c>
      <c r="T2427" s="59">
        <f ca="1">Dashboard!C$8* Dashboard!$F$4+Dashboard!C$10*SQRT(Dashboard!$F$4) * _xlfn.NORM.S.INV(RAND())</f>
        <v>2.7805909459557337E-2</v>
      </c>
      <c r="U2427" s="59">
        <f ca="1">Dashboard!D$8* Dashboard!$F$4+Dashboard!D$10*SQRT(Dashboard!$F$4) * _xlfn.NORM.S.INV(RAND())</f>
        <v>-8.5228760531122494E-3</v>
      </c>
    </row>
    <row r="2428" spans="18:21" x14ac:dyDescent="0.2">
      <c r="R2428" s="49">
        <v>2426</v>
      </c>
      <c r="S2428" s="59">
        <f ca="1">Dashboard!B$8* Dashboard!$F$4+Dashboard!B$10*SQRT(Dashboard!$F$4) * _xlfn.NORM.S.INV(RAND())</f>
        <v>3.6326459211066815E-2</v>
      </c>
      <c r="T2428" s="59">
        <f ca="1">Dashboard!C$8* Dashboard!$F$4+Dashboard!C$10*SQRT(Dashboard!$F$4) * _xlfn.NORM.S.INV(RAND())</f>
        <v>1.2013560098293959E-2</v>
      </c>
      <c r="U2428" s="59">
        <f ca="1">Dashboard!D$8* Dashboard!$F$4+Dashboard!D$10*SQRT(Dashboard!$F$4) * _xlfn.NORM.S.INV(RAND())</f>
        <v>8.5429923788997567E-2</v>
      </c>
    </row>
    <row r="2429" spans="18:21" x14ac:dyDescent="0.2">
      <c r="R2429" s="49">
        <v>2427</v>
      </c>
      <c r="S2429" s="59">
        <f ca="1">Dashboard!B$8* Dashboard!$F$4+Dashboard!B$10*SQRT(Dashboard!$F$4) * _xlfn.NORM.S.INV(RAND())</f>
        <v>1.1202109055337736E-2</v>
      </c>
      <c r="T2429" s="59">
        <f ca="1">Dashboard!C$8* Dashboard!$F$4+Dashboard!C$10*SQRT(Dashboard!$F$4) * _xlfn.NORM.S.INV(RAND())</f>
        <v>6.7553693690070495E-3</v>
      </c>
      <c r="U2429" s="59">
        <f ca="1">Dashboard!D$8* Dashboard!$F$4+Dashboard!D$10*SQRT(Dashboard!$F$4) * _xlfn.NORM.S.INV(RAND())</f>
        <v>4.257910843913594E-2</v>
      </c>
    </row>
    <row r="2430" spans="18:21" x14ac:dyDescent="0.2">
      <c r="R2430" s="49">
        <v>2428</v>
      </c>
      <c r="S2430" s="59">
        <f ca="1">Dashboard!B$8* Dashboard!$F$4+Dashboard!B$10*SQRT(Dashboard!$F$4) * _xlfn.NORM.S.INV(RAND())</f>
        <v>-4.3012505480596187E-2</v>
      </c>
      <c r="T2430" s="59">
        <f ca="1">Dashboard!C$8* Dashboard!$F$4+Dashboard!C$10*SQRT(Dashboard!$F$4) * _xlfn.NORM.S.INV(RAND())</f>
        <v>-1.8537919254908979E-4</v>
      </c>
      <c r="U2430" s="59">
        <f ca="1">Dashboard!D$8* Dashboard!$F$4+Dashboard!D$10*SQRT(Dashboard!$F$4) * _xlfn.NORM.S.INV(RAND())</f>
        <v>-1.3637487678648459E-2</v>
      </c>
    </row>
    <row r="2431" spans="18:21" x14ac:dyDescent="0.2">
      <c r="R2431" s="49">
        <v>2429</v>
      </c>
      <c r="S2431" s="59">
        <f ca="1">Dashboard!B$8* Dashboard!$F$4+Dashboard!B$10*SQRT(Dashboard!$F$4) * _xlfn.NORM.S.INV(RAND())</f>
        <v>-4.0153302278786183E-2</v>
      </c>
      <c r="T2431" s="59">
        <f ca="1">Dashboard!C$8* Dashboard!$F$4+Dashboard!C$10*SQRT(Dashboard!$F$4) * _xlfn.NORM.S.INV(RAND())</f>
        <v>2.1289568455591629E-2</v>
      </c>
      <c r="U2431" s="59">
        <f ca="1">Dashboard!D$8* Dashboard!$F$4+Dashboard!D$10*SQRT(Dashboard!$F$4) * _xlfn.NORM.S.INV(RAND())</f>
        <v>-7.4572453108532027E-4</v>
      </c>
    </row>
    <row r="2432" spans="18:21" x14ac:dyDescent="0.2">
      <c r="R2432" s="49">
        <v>2430</v>
      </c>
      <c r="S2432" s="59">
        <f ca="1">Dashboard!B$8* Dashboard!$F$4+Dashboard!B$10*SQRT(Dashboard!$F$4) * _xlfn.NORM.S.INV(RAND())</f>
        <v>1.4205755854274327E-2</v>
      </c>
      <c r="T2432" s="59">
        <f ca="1">Dashboard!C$8* Dashboard!$F$4+Dashboard!C$10*SQRT(Dashboard!$F$4) * _xlfn.NORM.S.INV(RAND())</f>
        <v>-4.2302416581183992E-2</v>
      </c>
      <c r="U2432" s="59">
        <f ca="1">Dashboard!D$8* Dashboard!$F$4+Dashboard!D$10*SQRT(Dashboard!$F$4) * _xlfn.NORM.S.INV(RAND())</f>
        <v>3.4837670100972398E-2</v>
      </c>
    </row>
    <row r="2433" spans="18:21" x14ac:dyDescent="0.2">
      <c r="R2433" s="49">
        <v>2431</v>
      </c>
      <c r="S2433" s="59">
        <f ca="1">Dashboard!B$8* Dashboard!$F$4+Dashboard!B$10*SQRT(Dashboard!$F$4) * _xlfn.NORM.S.INV(RAND())</f>
        <v>-1.1558736489351594E-2</v>
      </c>
      <c r="T2433" s="59">
        <f ca="1">Dashboard!C$8* Dashboard!$F$4+Dashboard!C$10*SQRT(Dashboard!$F$4) * _xlfn.NORM.S.INV(RAND())</f>
        <v>6.3366777790992606E-3</v>
      </c>
      <c r="U2433" s="59">
        <f ca="1">Dashboard!D$8* Dashboard!$F$4+Dashboard!D$10*SQRT(Dashboard!$F$4) * _xlfn.NORM.S.INV(RAND())</f>
        <v>-1.2171951103566666E-2</v>
      </c>
    </row>
    <row r="2434" spans="18:21" x14ac:dyDescent="0.2">
      <c r="R2434" s="49">
        <v>2432</v>
      </c>
      <c r="S2434" s="59">
        <f ca="1">Dashboard!B$8* Dashboard!$F$4+Dashboard!B$10*SQRT(Dashboard!$F$4) * _xlfn.NORM.S.INV(RAND())</f>
        <v>-1.3164017999860785E-2</v>
      </c>
      <c r="T2434" s="59">
        <f ca="1">Dashboard!C$8* Dashboard!$F$4+Dashboard!C$10*SQRT(Dashboard!$F$4) * _xlfn.NORM.S.INV(RAND())</f>
        <v>4.5661320077722469E-3</v>
      </c>
      <c r="U2434" s="59">
        <f ca="1">Dashboard!D$8* Dashboard!$F$4+Dashboard!D$10*SQRT(Dashboard!$F$4) * _xlfn.NORM.S.INV(RAND())</f>
        <v>3.706192224042433E-2</v>
      </c>
    </row>
    <row r="2435" spans="18:21" x14ac:dyDescent="0.2">
      <c r="R2435" s="49">
        <v>2433</v>
      </c>
      <c r="S2435" s="59">
        <f ca="1">Dashboard!B$8* Dashboard!$F$4+Dashboard!B$10*SQRT(Dashboard!$F$4) * _xlfn.NORM.S.INV(RAND())</f>
        <v>-2.7769028837330664E-2</v>
      </c>
      <c r="T2435" s="59">
        <f ca="1">Dashboard!C$8* Dashboard!$F$4+Dashboard!C$10*SQRT(Dashboard!$F$4) * _xlfn.NORM.S.INV(RAND())</f>
        <v>1.7325885785322608E-2</v>
      </c>
      <c r="U2435" s="59">
        <f ca="1">Dashboard!D$8* Dashboard!$F$4+Dashboard!D$10*SQRT(Dashboard!$F$4) * _xlfn.NORM.S.INV(RAND())</f>
        <v>-1.1652526743439981E-2</v>
      </c>
    </row>
    <row r="2436" spans="18:21" x14ac:dyDescent="0.2">
      <c r="R2436" s="49">
        <v>2434</v>
      </c>
      <c r="S2436" s="59">
        <f ca="1">Dashboard!B$8* Dashboard!$F$4+Dashboard!B$10*SQRT(Dashboard!$F$4) * _xlfn.NORM.S.INV(RAND())</f>
        <v>3.8321638655514773E-5</v>
      </c>
      <c r="T2436" s="59">
        <f ca="1">Dashboard!C$8* Dashboard!$F$4+Dashboard!C$10*SQRT(Dashboard!$F$4) * _xlfn.NORM.S.INV(RAND())</f>
        <v>4.8544546757192282E-2</v>
      </c>
      <c r="U2436" s="59">
        <f ca="1">Dashboard!D$8* Dashboard!$F$4+Dashboard!D$10*SQRT(Dashboard!$F$4) * _xlfn.NORM.S.INV(RAND())</f>
        <v>-7.7931724902249545E-3</v>
      </c>
    </row>
    <row r="2437" spans="18:21" x14ac:dyDescent="0.2">
      <c r="R2437" s="49">
        <v>2435</v>
      </c>
      <c r="S2437" s="59">
        <f ca="1">Dashboard!B$8* Dashboard!$F$4+Dashboard!B$10*SQRT(Dashboard!$F$4) * _xlfn.NORM.S.INV(RAND())</f>
        <v>7.0686550782764878E-3</v>
      </c>
      <c r="T2437" s="59">
        <f ca="1">Dashboard!C$8* Dashboard!$F$4+Dashboard!C$10*SQRT(Dashboard!$F$4) * _xlfn.NORM.S.INV(RAND())</f>
        <v>3.3508796383784019E-2</v>
      </c>
      <c r="U2437" s="59">
        <f ca="1">Dashboard!D$8* Dashboard!$F$4+Dashboard!D$10*SQRT(Dashboard!$F$4) * _xlfn.NORM.S.INV(RAND())</f>
        <v>1.2542666941237453E-2</v>
      </c>
    </row>
    <row r="2438" spans="18:21" x14ac:dyDescent="0.2">
      <c r="R2438" s="49">
        <v>2436</v>
      </c>
      <c r="S2438" s="59">
        <f ca="1">Dashboard!B$8* Dashboard!$F$4+Dashboard!B$10*SQRT(Dashboard!$F$4) * _xlfn.NORM.S.INV(RAND())</f>
        <v>3.5047637652147121E-2</v>
      </c>
      <c r="T2438" s="59">
        <f ca="1">Dashboard!C$8* Dashboard!$F$4+Dashboard!C$10*SQRT(Dashboard!$F$4) * _xlfn.NORM.S.INV(RAND())</f>
        <v>-4.5928957972313562E-2</v>
      </c>
      <c r="U2438" s="59">
        <f ca="1">Dashboard!D$8* Dashboard!$F$4+Dashboard!D$10*SQRT(Dashboard!$F$4) * _xlfn.NORM.S.INV(RAND())</f>
        <v>1.7001774492584703E-2</v>
      </c>
    </row>
    <row r="2439" spans="18:21" x14ac:dyDescent="0.2">
      <c r="R2439" s="49">
        <v>2437</v>
      </c>
      <c r="S2439" s="59">
        <f ca="1">Dashboard!B$8* Dashboard!$F$4+Dashboard!B$10*SQRT(Dashboard!$F$4) * _xlfn.NORM.S.INV(RAND())</f>
        <v>4.7115156204124008E-2</v>
      </c>
      <c r="T2439" s="59">
        <f ca="1">Dashboard!C$8* Dashboard!$F$4+Dashboard!C$10*SQRT(Dashboard!$F$4) * _xlfn.NORM.S.INV(RAND())</f>
        <v>-1.0269712777030062E-3</v>
      </c>
      <c r="U2439" s="59">
        <f ca="1">Dashboard!D$8* Dashboard!$F$4+Dashboard!D$10*SQRT(Dashboard!$F$4) * _xlfn.NORM.S.INV(RAND())</f>
        <v>-2.9592473774307654E-2</v>
      </c>
    </row>
    <row r="2440" spans="18:21" x14ac:dyDescent="0.2">
      <c r="R2440" s="49">
        <v>2438</v>
      </c>
      <c r="S2440" s="59">
        <f ca="1">Dashboard!B$8* Dashboard!$F$4+Dashboard!B$10*SQRT(Dashboard!$F$4) * _xlfn.NORM.S.INV(RAND())</f>
        <v>-3.0996477719130763E-2</v>
      </c>
      <c r="T2440" s="59">
        <f ca="1">Dashboard!C$8* Dashboard!$F$4+Dashboard!C$10*SQRT(Dashboard!$F$4) * _xlfn.NORM.S.INV(RAND())</f>
        <v>-3.1570773959902571E-2</v>
      </c>
      <c r="U2440" s="59">
        <f ca="1">Dashboard!D$8* Dashboard!$F$4+Dashboard!D$10*SQRT(Dashboard!$F$4) * _xlfn.NORM.S.INV(RAND())</f>
        <v>6.3066243072354936E-2</v>
      </c>
    </row>
    <row r="2441" spans="18:21" x14ac:dyDescent="0.2">
      <c r="R2441" s="49">
        <v>2439</v>
      </c>
      <c r="S2441" s="59">
        <f ca="1">Dashboard!B$8* Dashboard!$F$4+Dashboard!B$10*SQRT(Dashboard!$F$4) * _xlfn.NORM.S.INV(RAND())</f>
        <v>1.0742926241807482E-2</v>
      </c>
      <c r="T2441" s="59">
        <f ca="1">Dashboard!C$8* Dashboard!$F$4+Dashboard!C$10*SQRT(Dashboard!$F$4) * _xlfn.NORM.S.INV(RAND())</f>
        <v>-3.7728245059461325E-2</v>
      </c>
      <c r="U2441" s="59">
        <f ca="1">Dashboard!D$8* Dashboard!$F$4+Dashboard!D$10*SQRT(Dashboard!$F$4) * _xlfn.NORM.S.INV(RAND())</f>
        <v>3.6053116562296747E-4</v>
      </c>
    </row>
    <row r="2442" spans="18:21" x14ac:dyDescent="0.2">
      <c r="R2442" s="49">
        <v>2440</v>
      </c>
      <c r="S2442" s="59">
        <f ca="1">Dashboard!B$8* Dashboard!$F$4+Dashboard!B$10*SQRT(Dashboard!$F$4) * _xlfn.NORM.S.INV(RAND())</f>
        <v>2.0115886361995523E-2</v>
      </c>
      <c r="T2442" s="59">
        <f ca="1">Dashboard!C$8* Dashboard!$F$4+Dashboard!C$10*SQRT(Dashboard!$F$4) * _xlfn.NORM.S.INV(RAND())</f>
        <v>6.9761474316912347E-2</v>
      </c>
      <c r="U2442" s="59">
        <f ca="1">Dashboard!D$8* Dashboard!$F$4+Dashboard!D$10*SQRT(Dashboard!$F$4) * _xlfn.NORM.S.INV(RAND())</f>
        <v>4.4152825710840875E-3</v>
      </c>
    </row>
    <row r="2443" spans="18:21" x14ac:dyDescent="0.2">
      <c r="R2443" s="49">
        <v>2441</v>
      </c>
      <c r="S2443" s="59">
        <f ca="1">Dashboard!B$8* Dashboard!$F$4+Dashboard!B$10*SQRT(Dashboard!$F$4) * _xlfn.NORM.S.INV(RAND())</f>
        <v>1.4810083962159036E-2</v>
      </c>
      <c r="T2443" s="59">
        <f ca="1">Dashboard!C$8* Dashboard!$F$4+Dashboard!C$10*SQRT(Dashboard!$F$4) * _xlfn.NORM.S.INV(RAND())</f>
        <v>4.0216456373251145E-3</v>
      </c>
      <c r="U2443" s="59">
        <f ca="1">Dashboard!D$8* Dashboard!$F$4+Dashboard!D$10*SQRT(Dashboard!$F$4) * _xlfn.NORM.S.INV(RAND())</f>
        <v>3.7123941344632719E-2</v>
      </c>
    </row>
    <row r="2444" spans="18:21" x14ac:dyDescent="0.2">
      <c r="R2444" s="49">
        <v>2442</v>
      </c>
      <c r="S2444" s="59">
        <f ca="1">Dashboard!B$8* Dashboard!$F$4+Dashboard!B$10*SQRT(Dashboard!$F$4) * _xlfn.NORM.S.INV(RAND())</f>
        <v>-2.1912741118051429E-2</v>
      </c>
      <c r="T2444" s="59">
        <f ca="1">Dashboard!C$8* Dashboard!$F$4+Dashboard!C$10*SQRT(Dashboard!$F$4) * _xlfn.NORM.S.INV(RAND())</f>
        <v>2.1341693695918963E-2</v>
      </c>
      <c r="U2444" s="59">
        <f ca="1">Dashboard!D$8* Dashboard!$F$4+Dashboard!D$10*SQRT(Dashboard!$F$4) * _xlfn.NORM.S.INV(RAND())</f>
        <v>5.0779309101541166E-4</v>
      </c>
    </row>
    <row r="2445" spans="18:21" x14ac:dyDescent="0.2">
      <c r="R2445" s="49">
        <v>2443</v>
      </c>
      <c r="S2445" s="59">
        <f ca="1">Dashboard!B$8* Dashboard!$F$4+Dashboard!B$10*SQRT(Dashboard!$F$4) * _xlfn.NORM.S.INV(RAND())</f>
        <v>-2.6431792859603086E-2</v>
      </c>
      <c r="T2445" s="59">
        <f ca="1">Dashboard!C$8* Dashboard!$F$4+Dashboard!C$10*SQRT(Dashboard!$F$4) * _xlfn.NORM.S.INV(RAND())</f>
        <v>-3.7247068129282565E-2</v>
      </c>
      <c r="U2445" s="59">
        <f ca="1">Dashboard!D$8* Dashboard!$F$4+Dashboard!D$10*SQRT(Dashboard!$F$4) * _xlfn.NORM.S.INV(RAND())</f>
        <v>-9.9382825807546715E-3</v>
      </c>
    </row>
    <row r="2446" spans="18:21" x14ac:dyDescent="0.2">
      <c r="R2446" s="49">
        <v>2444</v>
      </c>
      <c r="S2446" s="59">
        <f ca="1">Dashboard!B$8* Dashboard!$F$4+Dashboard!B$10*SQRT(Dashboard!$F$4) * _xlfn.NORM.S.INV(RAND())</f>
        <v>-6.8165620001443238E-3</v>
      </c>
      <c r="T2446" s="59">
        <f ca="1">Dashboard!C$8* Dashboard!$F$4+Dashboard!C$10*SQRT(Dashboard!$F$4) * _xlfn.NORM.S.INV(RAND())</f>
        <v>1.0090722785014053E-3</v>
      </c>
      <c r="U2446" s="59">
        <f ca="1">Dashboard!D$8* Dashboard!$F$4+Dashboard!D$10*SQRT(Dashboard!$F$4) * _xlfn.NORM.S.INV(RAND())</f>
        <v>-7.304436582451547E-2</v>
      </c>
    </row>
    <row r="2447" spans="18:21" x14ac:dyDescent="0.2">
      <c r="R2447" s="49">
        <v>2445</v>
      </c>
      <c r="S2447" s="59">
        <f ca="1">Dashboard!B$8* Dashboard!$F$4+Dashboard!B$10*SQRT(Dashboard!$F$4) * _xlfn.NORM.S.INV(RAND())</f>
        <v>5.2536988485958648E-3</v>
      </c>
      <c r="T2447" s="59">
        <f ca="1">Dashboard!C$8* Dashboard!$F$4+Dashboard!C$10*SQRT(Dashboard!$F$4) * _xlfn.NORM.S.INV(RAND())</f>
        <v>-1.6021492642741341E-2</v>
      </c>
      <c r="U2447" s="59">
        <f ca="1">Dashboard!D$8* Dashboard!$F$4+Dashboard!D$10*SQRT(Dashboard!$F$4) * _xlfn.NORM.S.INV(RAND())</f>
        <v>-1.3817649944999946E-2</v>
      </c>
    </row>
    <row r="2448" spans="18:21" x14ac:dyDescent="0.2">
      <c r="R2448" s="49">
        <v>2446</v>
      </c>
      <c r="S2448" s="59">
        <f ca="1">Dashboard!B$8* Dashboard!$F$4+Dashboard!B$10*SQRT(Dashboard!$F$4) * _xlfn.NORM.S.INV(RAND())</f>
        <v>-1.1547952675280106E-2</v>
      </c>
      <c r="T2448" s="59">
        <f ca="1">Dashboard!C$8* Dashboard!$F$4+Dashboard!C$10*SQRT(Dashboard!$F$4) * _xlfn.NORM.S.INV(RAND())</f>
        <v>9.1640484827244621E-3</v>
      </c>
      <c r="U2448" s="59">
        <f ca="1">Dashboard!D$8* Dashboard!$F$4+Dashboard!D$10*SQRT(Dashboard!$F$4) * _xlfn.NORM.S.INV(RAND())</f>
        <v>7.6865937410754322E-3</v>
      </c>
    </row>
    <row r="2449" spans="18:21" x14ac:dyDescent="0.2">
      <c r="R2449" s="49">
        <v>2447</v>
      </c>
      <c r="S2449" s="59">
        <f ca="1">Dashboard!B$8* Dashboard!$F$4+Dashboard!B$10*SQRT(Dashboard!$F$4) * _xlfn.NORM.S.INV(RAND())</f>
        <v>1.1601041226117883E-2</v>
      </c>
      <c r="T2449" s="59">
        <f ca="1">Dashboard!C$8* Dashboard!$F$4+Dashboard!C$10*SQRT(Dashboard!$F$4) * _xlfn.NORM.S.INV(RAND())</f>
        <v>1.3402894169509162E-2</v>
      </c>
      <c r="U2449" s="59">
        <f ca="1">Dashboard!D$8* Dashboard!$F$4+Dashboard!D$10*SQRT(Dashboard!$F$4) * _xlfn.NORM.S.INV(RAND())</f>
        <v>-4.2081044842846353E-2</v>
      </c>
    </row>
    <row r="2450" spans="18:21" x14ac:dyDescent="0.2">
      <c r="R2450" s="49">
        <v>2448</v>
      </c>
      <c r="S2450" s="59">
        <f ca="1">Dashboard!B$8* Dashboard!$F$4+Dashboard!B$10*SQRT(Dashboard!$F$4) * _xlfn.NORM.S.INV(RAND())</f>
        <v>-1.9172795213317856E-2</v>
      </c>
      <c r="T2450" s="59">
        <f ca="1">Dashboard!C$8* Dashboard!$F$4+Dashboard!C$10*SQRT(Dashboard!$F$4) * _xlfn.NORM.S.INV(RAND())</f>
        <v>7.0094359649520363E-2</v>
      </c>
      <c r="U2450" s="59">
        <f ca="1">Dashboard!D$8* Dashboard!$F$4+Dashboard!D$10*SQRT(Dashboard!$F$4) * _xlfn.NORM.S.INV(RAND())</f>
        <v>1.4382225454961069E-2</v>
      </c>
    </row>
    <row r="2451" spans="18:21" x14ac:dyDescent="0.2">
      <c r="R2451" s="49">
        <v>2449</v>
      </c>
      <c r="S2451" s="59">
        <f ca="1">Dashboard!B$8* Dashboard!$F$4+Dashboard!B$10*SQRT(Dashboard!$F$4) * _xlfn.NORM.S.INV(RAND())</f>
        <v>2.1552067100739654E-2</v>
      </c>
      <c r="T2451" s="59">
        <f ca="1">Dashboard!C$8* Dashboard!$F$4+Dashboard!C$10*SQRT(Dashboard!$F$4) * _xlfn.NORM.S.INV(RAND())</f>
        <v>-2.4912597913635176E-2</v>
      </c>
      <c r="U2451" s="59">
        <f ca="1">Dashboard!D$8* Dashboard!$F$4+Dashboard!D$10*SQRT(Dashboard!$F$4) * _xlfn.NORM.S.INV(RAND())</f>
        <v>2.2519723482980699E-2</v>
      </c>
    </row>
    <row r="2452" spans="18:21" x14ac:dyDescent="0.2">
      <c r="R2452" s="49">
        <v>2450</v>
      </c>
      <c r="S2452" s="59">
        <f ca="1">Dashboard!B$8* Dashboard!$F$4+Dashboard!B$10*SQRT(Dashboard!$F$4) * _xlfn.NORM.S.INV(RAND())</f>
        <v>-1.5833798022076122E-3</v>
      </c>
      <c r="T2452" s="59">
        <f ca="1">Dashboard!C$8* Dashboard!$F$4+Dashboard!C$10*SQRT(Dashboard!$F$4) * _xlfn.NORM.S.INV(RAND())</f>
        <v>8.0926929933281641E-2</v>
      </c>
      <c r="U2452" s="59">
        <f ca="1">Dashboard!D$8* Dashboard!$F$4+Dashboard!D$10*SQRT(Dashboard!$F$4) * _xlfn.NORM.S.INV(RAND())</f>
        <v>4.1504985448386413E-2</v>
      </c>
    </row>
    <row r="2453" spans="18:21" x14ac:dyDescent="0.2">
      <c r="R2453" s="49">
        <v>2451</v>
      </c>
      <c r="S2453" s="59">
        <f ca="1">Dashboard!B$8* Dashboard!$F$4+Dashboard!B$10*SQRT(Dashboard!$F$4) * _xlfn.NORM.S.INV(RAND())</f>
        <v>-2.0597212413406396E-2</v>
      </c>
      <c r="T2453" s="59">
        <f ca="1">Dashboard!C$8* Dashboard!$F$4+Dashboard!C$10*SQRT(Dashboard!$F$4) * _xlfn.NORM.S.INV(RAND())</f>
        <v>4.3944749974339607E-2</v>
      </c>
      <c r="U2453" s="59">
        <f ca="1">Dashboard!D$8* Dashboard!$F$4+Dashboard!D$10*SQRT(Dashboard!$F$4) * _xlfn.NORM.S.INV(RAND())</f>
        <v>-5.386129602250155E-3</v>
      </c>
    </row>
    <row r="2454" spans="18:21" x14ac:dyDescent="0.2">
      <c r="R2454" s="49">
        <v>2452</v>
      </c>
      <c r="S2454" s="59">
        <f ca="1">Dashboard!B$8* Dashboard!$F$4+Dashboard!B$10*SQRT(Dashboard!$F$4) * _xlfn.NORM.S.INV(RAND())</f>
        <v>-6.9079280709462461E-3</v>
      </c>
      <c r="T2454" s="59">
        <f ca="1">Dashboard!C$8* Dashboard!$F$4+Dashboard!C$10*SQRT(Dashboard!$F$4) * _xlfn.NORM.S.INV(RAND())</f>
        <v>-4.9275934942656224E-2</v>
      </c>
      <c r="U2454" s="59">
        <f ca="1">Dashboard!D$8* Dashboard!$F$4+Dashboard!D$10*SQRT(Dashboard!$F$4) * _xlfn.NORM.S.INV(RAND())</f>
        <v>5.7849483966493486E-3</v>
      </c>
    </row>
    <row r="2455" spans="18:21" x14ac:dyDescent="0.2">
      <c r="R2455" s="49">
        <v>2453</v>
      </c>
      <c r="S2455" s="59">
        <f ca="1">Dashboard!B$8* Dashboard!$F$4+Dashboard!B$10*SQRT(Dashboard!$F$4) * _xlfn.NORM.S.INV(RAND())</f>
        <v>-4.4053441463432638E-2</v>
      </c>
      <c r="T2455" s="59">
        <f ca="1">Dashboard!C$8* Dashboard!$F$4+Dashboard!C$10*SQRT(Dashboard!$F$4) * _xlfn.NORM.S.INV(RAND())</f>
        <v>3.7583467767013205E-4</v>
      </c>
      <c r="U2455" s="59">
        <f ca="1">Dashboard!D$8* Dashboard!$F$4+Dashboard!D$10*SQRT(Dashboard!$F$4) * _xlfn.NORM.S.INV(RAND())</f>
        <v>1.7499513896393148E-2</v>
      </c>
    </row>
    <row r="2456" spans="18:21" x14ac:dyDescent="0.2">
      <c r="R2456" s="49">
        <v>2454</v>
      </c>
      <c r="S2456" s="59">
        <f ca="1">Dashboard!B$8* Dashboard!$F$4+Dashboard!B$10*SQRT(Dashboard!$F$4) * _xlfn.NORM.S.INV(RAND())</f>
        <v>-1.9101504331371359E-2</v>
      </c>
      <c r="T2456" s="59">
        <f ca="1">Dashboard!C$8* Dashboard!$F$4+Dashboard!C$10*SQRT(Dashboard!$F$4) * _xlfn.NORM.S.INV(RAND())</f>
        <v>1.1347594114590102E-2</v>
      </c>
      <c r="U2456" s="59">
        <f ca="1">Dashboard!D$8* Dashboard!$F$4+Dashboard!D$10*SQRT(Dashboard!$F$4) * _xlfn.NORM.S.INV(RAND())</f>
        <v>-1.6115958818051137E-2</v>
      </c>
    </row>
    <row r="2457" spans="18:21" x14ac:dyDescent="0.2">
      <c r="R2457" s="49">
        <v>2455</v>
      </c>
      <c r="S2457" s="59">
        <f ca="1">Dashboard!B$8* Dashboard!$F$4+Dashboard!B$10*SQRT(Dashboard!$F$4) * _xlfn.NORM.S.INV(RAND())</f>
        <v>-2.4017303524768663E-2</v>
      </c>
      <c r="T2457" s="59">
        <f ca="1">Dashboard!C$8* Dashboard!$F$4+Dashboard!C$10*SQRT(Dashboard!$F$4) * _xlfn.NORM.S.INV(RAND())</f>
        <v>-1.7730980158904612E-2</v>
      </c>
      <c r="U2457" s="59">
        <f ca="1">Dashboard!D$8* Dashboard!$F$4+Dashboard!D$10*SQRT(Dashboard!$F$4) * _xlfn.NORM.S.INV(RAND())</f>
        <v>4.2729948640637012E-2</v>
      </c>
    </row>
    <row r="2458" spans="18:21" x14ac:dyDescent="0.2">
      <c r="R2458" s="49">
        <v>2456</v>
      </c>
      <c r="S2458" s="59">
        <f ca="1">Dashboard!B$8* Dashboard!$F$4+Dashboard!B$10*SQRT(Dashboard!$F$4) * _xlfn.NORM.S.INV(RAND())</f>
        <v>-7.995751840831242E-3</v>
      </c>
      <c r="T2458" s="59">
        <f ca="1">Dashboard!C$8* Dashboard!$F$4+Dashboard!C$10*SQRT(Dashboard!$F$4) * _xlfn.NORM.S.INV(RAND())</f>
        <v>2.9727485500969653E-3</v>
      </c>
      <c r="U2458" s="59">
        <f ca="1">Dashboard!D$8* Dashboard!$F$4+Dashboard!D$10*SQRT(Dashboard!$F$4) * _xlfn.NORM.S.INV(RAND())</f>
        <v>3.0443252200707902E-2</v>
      </c>
    </row>
    <row r="2459" spans="18:21" x14ac:dyDescent="0.2">
      <c r="R2459" s="49">
        <v>2457</v>
      </c>
      <c r="S2459" s="59">
        <f ca="1">Dashboard!B$8* Dashboard!$F$4+Dashboard!B$10*SQRT(Dashboard!$F$4) * _xlfn.NORM.S.INV(RAND())</f>
        <v>-2.0539388712767274E-2</v>
      </c>
      <c r="T2459" s="59">
        <f ca="1">Dashboard!C$8* Dashboard!$F$4+Dashboard!C$10*SQRT(Dashboard!$F$4) * _xlfn.NORM.S.INV(RAND())</f>
        <v>2.6025060613838434E-2</v>
      </c>
      <c r="U2459" s="59">
        <f ca="1">Dashboard!D$8* Dashboard!$F$4+Dashboard!D$10*SQRT(Dashboard!$F$4) * _xlfn.NORM.S.INV(RAND())</f>
        <v>2.9753566927720613E-3</v>
      </c>
    </row>
    <row r="2460" spans="18:21" x14ac:dyDescent="0.2">
      <c r="R2460" s="49">
        <v>2458</v>
      </c>
      <c r="S2460" s="59">
        <f ca="1">Dashboard!B$8* Dashboard!$F$4+Dashboard!B$10*SQRT(Dashboard!$F$4) * _xlfn.NORM.S.INV(RAND())</f>
        <v>-1.4346394638515482E-2</v>
      </c>
      <c r="T2460" s="59">
        <f ca="1">Dashboard!C$8* Dashboard!$F$4+Dashboard!C$10*SQRT(Dashboard!$F$4) * _xlfn.NORM.S.INV(RAND())</f>
        <v>9.0193208095171139E-3</v>
      </c>
      <c r="U2460" s="59">
        <f ca="1">Dashboard!D$8* Dashboard!$F$4+Dashboard!D$10*SQRT(Dashboard!$F$4) * _xlfn.NORM.S.INV(RAND())</f>
        <v>2.519349773813799E-2</v>
      </c>
    </row>
    <row r="2461" spans="18:21" x14ac:dyDescent="0.2">
      <c r="R2461" s="49">
        <v>2459</v>
      </c>
      <c r="S2461" s="59">
        <f ca="1">Dashboard!B$8* Dashboard!$F$4+Dashboard!B$10*SQRT(Dashboard!$F$4) * _xlfn.NORM.S.INV(RAND())</f>
        <v>-6.4129045781208312E-3</v>
      </c>
      <c r="T2461" s="59">
        <f ca="1">Dashboard!C$8* Dashboard!$F$4+Dashboard!C$10*SQRT(Dashboard!$F$4) * _xlfn.NORM.S.INV(RAND())</f>
        <v>-3.6564695853487088E-2</v>
      </c>
      <c r="U2461" s="59">
        <f ca="1">Dashboard!D$8* Dashboard!$F$4+Dashboard!D$10*SQRT(Dashboard!$F$4) * _xlfn.NORM.S.INV(RAND())</f>
        <v>1.3870961913073772E-2</v>
      </c>
    </row>
    <row r="2462" spans="18:21" x14ac:dyDescent="0.2">
      <c r="R2462" s="49">
        <v>2460</v>
      </c>
      <c r="S2462" s="59">
        <f ca="1">Dashboard!B$8* Dashboard!$F$4+Dashboard!B$10*SQRT(Dashboard!$F$4) * _xlfn.NORM.S.INV(RAND())</f>
        <v>2.9012897714849231E-2</v>
      </c>
      <c r="T2462" s="59">
        <f ca="1">Dashboard!C$8* Dashboard!$F$4+Dashboard!C$10*SQRT(Dashboard!$F$4) * _xlfn.NORM.S.INV(RAND())</f>
        <v>-4.0125640945299093E-2</v>
      </c>
      <c r="U2462" s="59">
        <f ca="1">Dashboard!D$8* Dashboard!$F$4+Dashboard!D$10*SQRT(Dashboard!$F$4) * _xlfn.NORM.S.INV(RAND())</f>
        <v>-2.0520907076755782E-3</v>
      </c>
    </row>
    <row r="2463" spans="18:21" x14ac:dyDescent="0.2">
      <c r="R2463" s="49">
        <v>2461</v>
      </c>
      <c r="S2463" s="59">
        <f ca="1">Dashboard!B$8* Dashboard!$F$4+Dashboard!B$10*SQRT(Dashboard!$F$4) * _xlfn.NORM.S.INV(RAND())</f>
        <v>-1.9781529682197346E-2</v>
      </c>
      <c r="T2463" s="59">
        <f ca="1">Dashboard!C$8* Dashboard!$F$4+Dashboard!C$10*SQRT(Dashboard!$F$4) * _xlfn.NORM.S.INV(RAND())</f>
        <v>-3.8224977164159062E-2</v>
      </c>
      <c r="U2463" s="59">
        <f ca="1">Dashboard!D$8* Dashboard!$F$4+Dashboard!D$10*SQRT(Dashboard!$F$4) * _xlfn.NORM.S.INV(RAND())</f>
        <v>4.3990789217589815E-3</v>
      </c>
    </row>
    <row r="2464" spans="18:21" x14ac:dyDescent="0.2">
      <c r="R2464" s="49">
        <v>2462</v>
      </c>
      <c r="S2464" s="59">
        <f ca="1">Dashboard!B$8* Dashboard!$F$4+Dashboard!B$10*SQRT(Dashboard!$F$4) * _xlfn.NORM.S.INV(RAND())</f>
        <v>-3.0970648580657359E-2</v>
      </c>
      <c r="T2464" s="59">
        <f ca="1">Dashboard!C$8* Dashboard!$F$4+Dashboard!C$10*SQRT(Dashboard!$F$4) * _xlfn.NORM.S.INV(RAND())</f>
        <v>1.5252411438450436E-3</v>
      </c>
      <c r="U2464" s="59">
        <f ca="1">Dashboard!D$8* Dashboard!$F$4+Dashboard!D$10*SQRT(Dashboard!$F$4) * _xlfn.NORM.S.INV(RAND())</f>
        <v>-1.0103393679577003E-2</v>
      </c>
    </row>
    <row r="2465" spans="18:21" x14ac:dyDescent="0.2">
      <c r="R2465" s="49">
        <v>2463</v>
      </c>
      <c r="S2465" s="59">
        <f ca="1">Dashboard!B$8* Dashboard!$F$4+Dashboard!B$10*SQRT(Dashboard!$F$4) * _xlfn.NORM.S.INV(RAND())</f>
        <v>-3.8655661474968656E-2</v>
      </c>
      <c r="T2465" s="59">
        <f ca="1">Dashboard!C$8* Dashboard!$F$4+Dashboard!C$10*SQRT(Dashboard!$F$4) * _xlfn.NORM.S.INV(RAND())</f>
        <v>2.0945493932848135E-2</v>
      </c>
      <c r="U2465" s="59">
        <f ca="1">Dashboard!D$8* Dashboard!$F$4+Dashboard!D$10*SQRT(Dashboard!$F$4) * _xlfn.NORM.S.INV(RAND())</f>
        <v>1.4811930305215829E-2</v>
      </c>
    </row>
    <row r="2466" spans="18:21" x14ac:dyDescent="0.2">
      <c r="R2466" s="49">
        <v>2464</v>
      </c>
      <c r="S2466" s="59">
        <f ca="1">Dashboard!B$8* Dashboard!$F$4+Dashboard!B$10*SQRT(Dashboard!$F$4) * _xlfn.NORM.S.INV(RAND())</f>
        <v>-3.1577925780046558E-3</v>
      </c>
      <c r="T2466" s="59">
        <f ca="1">Dashboard!C$8* Dashboard!$F$4+Dashboard!C$10*SQRT(Dashboard!$F$4) * _xlfn.NORM.S.INV(RAND())</f>
        <v>6.3328812542571503E-3</v>
      </c>
      <c r="U2466" s="59">
        <f ca="1">Dashboard!D$8* Dashboard!$F$4+Dashboard!D$10*SQRT(Dashboard!$F$4) * _xlfn.NORM.S.INV(RAND())</f>
        <v>1.1625236297503245E-2</v>
      </c>
    </row>
    <row r="2467" spans="18:21" x14ac:dyDescent="0.2">
      <c r="R2467" s="49">
        <v>2465</v>
      </c>
      <c r="S2467" s="59">
        <f ca="1">Dashboard!B$8* Dashboard!$F$4+Dashboard!B$10*SQRT(Dashboard!$F$4) * _xlfn.NORM.S.INV(RAND())</f>
        <v>4.3775975213201097E-2</v>
      </c>
      <c r="T2467" s="59">
        <f ca="1">Dashboard!C$8* Dashboard!$F$4+Dashboard!C$10*SQRT(Dashboard!$F$4) * _xlfn.NORM.S.INV(RAND())</f>
        <v>4.2919975163883649E-2</v>
      </c>
      <c r="U2467" s="59">
        <f ca="1">Dashboard!D$8* Dashboard!$F$4+Dashboard!D$10*SQRT(Dashboard!$F$4) * _xlfn.NORM.S.INV(RAND())</f>
        <v>9.4075585455289906E-2</v>
      </c>
    </row>
    <row r="2468" spans="18:21" x14ac:dyDescent="0.2">
      <c r="R2468" s="49">
        <v>2466</v>
      </c>
      <c r="S2468" s="59">
        <f ca="1">Dashboard!B$8* Dashboard!$F$4+Dashboard!B$10*SQRT(Dashboard!$F$4) * _xlfn.NORM.S.INV(RAND())</f>
        <v>-2.2549650305992423E-2</v>
      </c>
      <c r="T2468" s="59">
        <f ca="1">Dashboard!C$8* Dashboard!$F$4+Dashboard!C$10*SQRT(Dashboard!$F$4) * _xlfn.NORM.S.INV(RAND())</f>
        <v>3.3416507352954275E-2</v>
      </c>
      <c r="U2468" s="59">
        <f ca="1">Dashboard!D$8* Dashboard!$F$4+Dashboard!D$10*SQRT(Dashboard!$F$4) * _xlfn.NORM.S.INV(RAND())</f>
        <v>2.7169681127761663E-2</v>
      </c>
    </row>
    <row r="2469" spans="18:21" x14ac:dyDescent="0.2">
      <c r="R2469" s="49">
        <v>2467</v>
      </c>
      <c r="S2469" s="59">
        <f ca="1">Dashboard!B$8* Dashboard!$F$4+Dashboard!B$10*SQRT(Dashboard!$F$4) * _xlfn.NORM.S.INV(RAND())</f>
        <v>3.8627137624404256E-2</v>
      </c>
      <c r="T2469" s="59">
        <f ca="1">Dashboard!C$8* Dashboard!$F$4+Dashboard!C$10*SQRT(Dashboard!$F$4) * _xlfn.NORM.S.INV(RAND())</f>
        <v>-3.6092099450537131E-2</v>
      </c>
      <c r="U2469" s="59">
        <f ca="1">Dashboard!D$8* Dashboard!$F$4+Dashboard!D$10*SQRT(Dashboard!$F$4) * _xlfn.NORM.S.INV(RAND())</f>
        <v>-2.5558982092413689E-2</v>
      </c>
    </row>
    <row r="2470" spans="18:21" x14ac:dyDescent="0.2">
      <c r="R2470" s="49">
        <v>2468</v>
      </c>
      <c r="S2470" s="59">
        <f ca="1">Dashboard!B$8* Dashboard!$F$4+Dashboard!B$10*SQRT(Dashboard!$F$4) * _xlfn.NORM.S.INV(RAND())</f>
        <v>-4.1065406047620032E-2</v>
      </c>
      <c r="T2470" s="59">
        <f ca="1">Dashboard!C$8* Dashboard!$F$4+Dashboard!C$10*SQRT(Dashboard!$F$4) * _xlfn.NORM.S.INV(RAND())</f>
        <v>-6.4437199700244337E-3</v>
      </c>
      <c r="U2470" s="59">
        <f ca="1">Dashboard!D$8* Dashboard!$F$4+Dashboard!D$10*SQRT(Dashboard!$F$4) * _xlfn.NORM.S.INV(RAND())</f>
        <v>2.8379208921006854E-2</v>
      </c>
    </row>
    <row r="2471" spans="18:21" x14ac:dyDescent="0.2">
      <c r="R2471" s="49">
        <v>2469</v>
      </c>
      <c r="S2471" s="59">
        <f ca="1">Dashboard!B$8* Dashboard!$F$4+Dashboard!B$10*SQRT(Dashboard!$F$4) * _xlfn.NORM.S.INV(RAND())</f>
        <v>-3.2148694899041693E-3</v>
      </c>
      <c r="T2471" s="59">
        <f ca="1">Dashboard!C$8* Dashboard!$F$4+Dashboard!C$10*SQRT(Dashboard!$F$4) * _xlfn.NORM.S.INV(RAND())</f>
        <v>-1.9355849487776532E-2</v>
      </c>
      <c r="U2471" s="59">
        <f ca="1">Dashboard!D$8* Dashboard!$F$4+Dashboard!D$10*SQRT(Dashboard!$F$4) * _xlfn.NORM.S.INV(RAND())</f>
        <v>-7.5610480975007069E-2</v>
      </c>
    </row>
    <row r="2472" spans="18:21" x14ac:dyDescent="0.2">
      <c r="R2472" s="49">
        <v>2470</v>
      </c>
      <c r="S2472" s="59">
        <f ca="1">Dashboard!B$8* Dashboard!$F$4+Dashboard!B$10*SQRT(Dashboard!$F$4) * _xlfn.NORM.S.INV(RAND())</f>
        <v>-2.052121653200098E-2</v>
      </c>
      <c r="T2472" s="59">
        <f ca="1">Dashboard!C$8* Dashboard!$F$4+Dashboard!C$10*SQRT(Dashboard!$F$4) * _xlfn.NORM.S.INV(RAND())</f>
        <v>-1.1352676261136768E-2</v>
      </c>
      <c r="U2472" s="59">
        <f ca="1">Dashboard!D$8* Dashboard!$F$4+Dashboard!D$10*SQRT(Dashboard!$F$4) * _xlfn.NORM.S.INV(RAND())</f>
        <v>2.8096688822107054E-2</v>
      </c>
    </row>
    <row r="2473" spans="18:21" x14ac:dyDescent="0.2">
      <c r="R2473" s="49">
        <v>2471</v>
      </c>
      <c r="S2473" s="59">
        <f ca="1">Dashboard!B$8* Dashboard!$F$4+Dashboard!B$10*SQRT(Dashboard!$F$4) * _xlfn.NORM.S.INV(RAND())</f>
        <v>-3.0239604241776005E-2</v>
      </c>
      <c r="T2473" s="59">
        <f ca="1">Dashboard!C$8* Dashboard!$F$4+Dashboard!C$10*SQRT(Dashboard!$F$4) * _xlfn.NORM.S.INV(RAND())</f>
        <v>1.6435550539406457E-2</v>
      </c>
      <c r="U2473" s="59">
        <f ca="1">Dashboard!D$8* Dashboard!$F$4+Dashboard!D$10*SQRT(Dashboard!$F$4) * _xlfn.NORM.S.INV(RAND())</f>
        <v>-5.6097171189056641E-3</v>
      </c>
    </row>
    <row r="2474" spans="18:21" x14ac:dyDescent="0.2">
      <c r="R2474" s="49">
        <v>2472</v>
      </c>
      <c r="S2474" s="59">
        <f ca="1">Dashboard!B$8* Dashboard!$F$4+Dashboard!B$10*SQRT(Dashboard!$F$4) * _xlfn.NORM.S.INV(RAND())</f>
        <v>5.4460661854072716E-2</v>
      </c>
      <c r="T2474" s="59">
        <f ca="1">Dashboard!C$8* Dashboard!$F$4+Dashboard!C$10*SQRT(Dashboard!$F$4) * _xlfn.NORM.S.INV(RAND())</f>
        <v>-2.3126832672060268E-2</v>
      </c>
      <c r="U2474" s="59">
        <f ca="1">Dashboard!D$8* Dashboard!$F$4+Dashboard!D$10*SQRT(Dashboard!$F$4) * _xlfn.NORM.S.INV(RAND())</f>
        <v>-3.8229410351117717E-2</v>
      </c>
    </row>
    <row r="2475" spans="18:21" x14ac:dyDescent="0.2">
      <c r="R2475" s="49">
        <v>2473</v>
      </c>
      <c r="S2475" s="59">
        <f ca="1">Dashboard!B$8* Dashboard!$F$4+Dashboard!B$10*SQRT(Dashboard!$F$4) * _xlfn.NORM.S.INV(RAND())</f>
        <v>-1.1719033514470845E-2</v>
      </c>
      <c r="T2475" s="59">
        <f ca="1">Dashboard!C$8* Dashboard!$F$4+Dashboard!C$10*SQRT(Dashboard!$F$4) * _xlfn.NORM.S.INV(RAND())</f>
        <v>-2.5099848121919281E-3</v>
      </c>
      <c r="U2475" s="59">
        <f ca="1">Dashboard!D$8* Dashboard!$F$4+Dashboard!D$10*SQRT(Dashboard!$F$4) * _xlfn.NORM.S.INV(RAND())</f>
        <v>1.745997857603335E-2</v>
      </c>
    </row>
    <row r="2476" spans="18:21" x14ac:dyDescent="0.2">
      <c r="R2476" s="49">
        <v>2474</v>
      </c>
      <c r="S2476" s="59">
        <f ca="1">Dashboard!B$8* Dashboard!$F$4+Dashboard!B$10*SQRT(Dashboard!$F$4) * _xlfn.NORM.S.INV(RAND())</f>
        <v>-2.8692130041215336E-4</v>
      </c>
      <c r="T2476" s="59">
        <f ca="1">Dashboard!C$8* Dashboard!$F$4+Dashboard!C$10*SQRT(Dashboard!$F$4) * _xlfn.NORM.S.INV(RAND())</f>
        <v>3.9037151863034671E-2</v>
      </c>
      <c r="U2476" s="59">
        <f ca="1">Dashboard!D$8* Dashboard!$F$4+Dashboard!D$10*SQRT(Dashboard!$F$4) * _xlfn.NORM.S.INV(RAND())</f>
        <v>-3.6849030081067921E-2</v>
      </c>
    </row>
    <row r="2477" spans="18:21" x14ac:dyDescent="0.2">
      <c r="R2477" s="49">
        <v>2475</v>
      </c>
      <c r="S2477" s="59">
        <f ca="1">Dashboard!B$8* Dashboard!$F$4+Dashboard!B$10*SQRT(Dashboard!$F$4) * _xlfn.NORM.S.INV(RAND())</f>
        <v>2.7842252772478877E-2</v>
      </c>
      <c r="T2477" s="59">
        <f ca="1">Dashboard!C$8* Dashboard!$F$4+Dashboard!C$10*SQRT(Dashboard!$F$4) * _xlfn.NORM.S.INV(RAND())</f>
        <v>3.8703853707628674E-2</v>
      </c>
      <c r="U2477" s="59">
        <f ca="1">Dashboard!D$8* Dashboard!$F$4+Dashboard!D$10*SQRT(Dashboard!$F$4) * _xlfn.NORM.S.INV(RAND())</f>
        <v>7.4969449822351432E-3</v>
      </c>
    </row>
    <row r="2478" spans="18:21" x14ac:dyDescent="0.2">
      <c r="R2478" s="49">
        <v>2476</v>
      </c>
      <c r="S2478" s="59">
        <f ca="1">Dashboard!B$8* Dashboard!$F$4+Dashboard!B$10*SQRT(Dashboard!$F$4) * _xlfn.NORM.S.INV(RAND())</f>
        <v>1.4534019969172246E-2</v>
      </c>
      <c r="T2478" s="59">
        <f ca="1">Dashboard!C$8* Dashboard!$F$4+Dashboard!C$10*SQRT(Dashboard!$F$4) * _xlfn.NORM.S.INV(RAND())</f>
        <v>-1.3573951471401339E-2</v>
      </c>
      <c r="U2478" s="59">
        <f ca="1">Dashboard!D$8* Dashboard!$F$4+Dashboard!D$10*SQRT(Dashboard!$F$4) * _xlfn.NORM.S.INV(RAND())</f>
        <v>2.0473730904848542E-2</v>
      </c>
    </row>
    <row r="2479" spans="18:21" x14ac:dyDescent="0.2">
      <c r="R2479" s="49">
        <v>2477</v>
      </c>
      <c r="S2479" s="59">
        <f ca="1">Dashboard!B$8* Dashboard!$F$4+Dashboard!B$10*SQRT(Dashboard!$F$4) * _xlfn.NORM.S.INV(RAND())</f>
        <v>9.7748953972097187E-3</v>
      </c>
      <c r="T2479" s="59">
        <f ca="1">Dashboard!C$8* Dashboard!$F$4+Dashboard!C$10*SQRT(Dashboard!$F$4) * _xlfn.NORM.S.INV(RAND())</f>
        <v>-1.1622629206020259E-2</v>
      </c>
      <c r="U2479" s="59">
        <f ca="1">Dashboard!D$8* Dashboard!$F$4+Dashboard!D$10*SQRT(Dashboard!$F$4) * _xlfn.NORM.S.INV(RAND())</f>
        <v>2.1460503112767759E-2</v>
      </c>
    </row>
    <row r="2480" spans="18:21" x14ac:dyDescent="0.2">
      <c r="R2480" s="49">
        <v>2478</v>
      </c>
      <c r="S2480" s="59">
        <f ca="1">Dashboard!B$8* Dashboard!$F$4+Dashboard!B$10*SQRT(Dashboard!$F$4) * _xlfn.NORM.S.INV(RAND())</f>
        <v>-7.110235818565494E-2</v>
      </c>
      <c r="T2480" s="59">
        <f ca="1">Dashboard!C$8* Dashboard!$F$4+Dashboard!C$10*SQRT(Dashboard!$F$4) * _xlfn.NORM.S.INV(RAND())</f>
        <v>4.0949811891286693E-2</v>
      </c>
      <c r="U2480" s="59">
        <f ca="1">Dashboard!D$8* Dashboard!$F$4+Dashboard!D$10*SQRT(Dashboard!$F$4) * _xlfn.NORM.S.INV(RAND())</f>
        <v>2.9890877349854966E-3</v>
      </c>
    </row>
    <row r="2481" spans="18:21" x14ac:dyDescent="0.2">
      <c r="R2481" s="49">
        <v>2479</v>
      </c>
      <c r="S2481" s="59">
        <f ca="1">Dashboard!B$8* Dashboard!$F$4+Dashboard!B$10*SQRT(Dashboard!$F$4) * _xlfn.NORM.S.INV(RAND())</f>
        <v>-5.2252972788237671E-2</v>
      </c>
      <c r="T2481" s="59">
        <f ca="1">Dashboard!C$8* Dashboard!$F$4+Dashboard!C$10*SQRT(Dashboard!$F$4) * _xlfn.NORM.S.INV(RAND())</f>
        <v>-6.4597385052223419E-3</v>
      </c>
      <c r="U2481" s="59">
        <f ca="1">Dashboard!D$8* Dashboard!$F$4+Dashboard!D$10*SQRT(Dashboard!$F$4) * _xlfn.NORM.S.INV(RAND())</f>
        <v>2.8991980347951377E-3</v>
      </c>
    </row>
    <row r="2482" spans="18:21" x14ac:dyDescent="0.2">
      <c r="R2482" s="49">
        <v>2480</v>
      </c>
      <c r="S2482" s="59">
        <f ca="1">Dashboard!B$8* Dashboard!$F$4+Dashboard!B$10*SQRT(Dashboard!$F$4) * _xlfn.NORM.S.INV(RAND())</f>
        <v>-1.9333500361329477E-5</v>
      </c>
      <c r="T2482" s="59">
        <f ca="1">Dashboard!C$8* Dashboard!$F$4+Dashboard!C$10*SQRT(Dashboard!$F$4) * _xlfn.NORM.S.INV(RAND())</f>
        <v>-1.5633794539178122E-2</v>
      </c>
      <c r="U2482" s="59">
        <f ca="1">Dashboard!D$8* Dashboard!$F$4+Dashboard!D$10*SQRT(Dashboard!$F$4) * _xlfn.NORM.S.INV(RAND())</f>
        <v>-1.587225203577125E-2</v>
      </c>
    </row>
    <row r="2483" spans="18:21" x14ac:dyDescent="0.2">
      <c r="R2483" s="49">
        <v>2481</v>
      </c>
      <c r="S2483" s="59">
        <f ca="1">Dashboard!B$8* Dashboard!$F$4+Dashboard!B$10*SQRT(Dashboard!$F$4) * _xlfn.NORM.S.INV(RAND())</f>
        <v>-1.6583625307686617E-2</v>
      </c>
      <c r="T2483" s="59">
        <f ca="1">Dashboard!C$8* Dashboard!$F$4+Dashboard!C$10*SQRT(Dashboard!$F$4) * _xlfn.NORM.S.INV(RAND())</f>
        <v>7.5117741365535173E-4</v>
      </c>
      <c r="U2483" s="59">
        <f ca="1">Dashboard!D$8* Dashboard!$F$4+Dashboard!D$10*SQRT(Dashboard!$F$4) * _xlfn.NORM.S.INV(RAND())</f>
        <v>6.7438754133777146E-2</v>
      </c>
    </row>
    <row r="2484" spans="18:21" x14ac:dyDescent="0.2">
      <c r="R2484" s="49">
        <v>2482</v>
      </c>
      <c r="S2484" s="59">
        <f ca="1">Dashboard!B$8* Dashboard!$F$4+Dashboard!B$10*SQRT(Dashboard!$F$4) * _xlfn.NORM.S.INV(RAND())</f>
        <v>1.1627250325627647E-2</v>
      </c>
      <c r="T2484" s="59">
        <f ca="1">Dashboard!C$8* Dashboard!$F$4+Dashboard!C$10*SQRT(Dashboard!$F$4) * _xlfn.NORM.S.INV(RAND())</f>
        <v>1.3083418398091028E-2</v>
      </c>
      <c r="U2484" s="59">
        <f ca="1">Dashboard!D$8* Dashboard!$F$4+Dashboard!D$10*SQRT(Dashboard!$F$4) * _xlfn.NORM.S.INV(RAND())</f>
        <v>-3.167390047295441E-2</v>
      </c>
    </row>
    <row r="2485" spans="18:21" x14ac:dyDescent="0.2">
      <c r="R2485" s="49">
        <v>2483</v>
      </c>
      <c r="S2485" s="59">
        <f ca="1">Dashboard!B$8* Dashboard!$F$4+Dashboard!B$10*SQRT(Dashboard!$F$4) * _xlfn.NORM.S.INV(RAND())</f>
        <v>8.2825548384054554E-3</v>
      </c>
      <c r="T2485" s="59">
        <f ca="1">Dashboard!C$8* Dashboard!$F$4+Dashboard!C$10*SQRT(Dashboard!$F$4) * _xlfn.NORM.S.INV(RAND())</f>
        <v>3.7939578523886221E-2</v>
      </c>
      <c r="U2485" s="59">
        <f ca="1">Dashboard!D$8* Dashboard!$F$4+Dashboard!D$10*SQRT(Dashboard!$F$4) * _xlfn.NORM.S.INV(RAND())</f>
        <v>3.662519354186923E-2</v>
      </c>
    </row>
    <row r="2486" spans="18:21" x14ac:dyDescent="0.2">
      <c r="R2486" s="49">
        <v>2484</v>
      </c>
      <c r="S2486" s="59">
        <f ca="1">Dashboard!B$8* Dashboard!$F$4+Dashboard!B$10*SQRT(Dashboard!$F$4) * _xlfn.NORM.S.INV(RAND())</f>
        <v>1.8480681433376348E-2</v>
      </c>
      <c r="T2486" s="59">
        <f ca="1">Dashboard!C$8* Dashboard!$F$4+Dashboard!C$10*SQRT(Dashboard!$F$4) * _xlfn.NORM.S.INV(RAND())</f>
        <v>-8.059125264781912E-3</v>
      </c>
      <c r="U2486" s="59">
        <f ca="1">Dashboard!D$8* Dashboard!$F$4+Dashboard!D$10*SQRT(Dashboard!$F$4) * _xlfn.NORM.S.INV(RAND())</f>
        <v>9.827127844293947E-3</v>
      </c>
    </row>
    <row r="2487" spans="18:21" x14ac:dyDescent="0.2">
      <c r="R2487" s="49">
        <v>2485</v>
      </c>
      <c r="S2487" s="59">
        <f ca="1">Dashboard!B$8* Dashboard!$F$4+Dashboard!B$10*SQRT(Dashboard!$F$4) * _xlfn.NORM.S.INV(RAND())</f>
        <v>-1.7884094209643223E-2</v>
      </c>
      <c r="T2487" s="59">
        <f ca="1">Dashboard!C$8* Dashboard!$F$4+Dashboard!C$10*SQRT(Dashboard!$F$4) * _xlfn.NORM.S.INV(RAND())</f>
        <v>2.9139709921674951E-2</v>
      </c>
      <c r="U2487" s="59">
        <f ca="1">Dashboard!D$8* Dashboard!$F$4+Dashboard!D$10*SQRT(Dashboard!$F$4) * _xlfn.NORM.S.INV(RAND())</f>
        <v>9.2237150092593975E-3</v>
      </c>
    </row>
    <row r="2488" spans="18:21" x14ac:dyDescent="0.2">
      <c r="R2488" s="49">
        <v>2486</v>
      </c>
      <c r="S2488" s="59">
        <f ca="1">Dashboard!B$8* Dashboard!$F$4+Dashboard!B$10*SQRT(Dashboard!$F$4) * _xlfn.NORM.S.INV(RAND())</f>
        <v>-3.8035454881961125E-2</v>
      </c>
      <c r="T2488" s="59">
        <f ca="1">Dashboard!C$8* Dashboard!$F$4+Dashboard!C$10*SQRT(Dashboard!$F$4) * _xlfn.NORM.S.INV(RAND())</f>
        <v>-7.8201096200928438E-3</v>
      </c>
      <c r="U2488" s="59">
        <f ca="1">Dashboard!D$8* Dashboard!$F$4+Dashboard!D$10*SQRT(Dashboard!$F$4) * _xlfn.NORM.S.INV(RAND())</f>
        <v>5.774739520336758E-2</v>
      </c>
    </row>
    <row r="2489" spans="18:21" x14ac:dyDescent="0.2">
      <c r="R2489" s="49">
        <v>2487</v>
      </c>
      <c r="S2489" s="59">
        <f ca="1">Dashboard!B$8* Dashboard!$F$4+Dashboard!B$10*SQRT(Dashboard!$F$4) * _xlfn.NORM.S.INV(RAND())</f>
        <v>-3.8366349657093783E-2</v>
      </c>
      <c r="T2489" s="59">
        <f ca="1">Dashboard!C$8* Dashboard!$F$4+Dashboard!C$10*SQRT(Dashboard!$F$4) * _xlfn.NORM.S.INV(RAND())</f>
        <v>3.300454429954857E-2</v>
      </c>
      <c r="U2489" s="59">
        <f ca="1">Dashboard!D$8* Dashboard!$F$4+Dashboard!D$10*SQRT(Dashboard!$F$4) * _xlfn.NORM.S.INV(RAND())</f>
        <v>6.3957364004401263E-3</v>
      </c>
    </row>
    <row r="2490" spans="18:21" x14ac:dyDescent="0.2">
      <c r="R2490" s="49">
        <v>2488</v>
      </c>
      <c r="S2490" s="59">
        <f ca="1">Dashboard!B$8* Dashboard!$F$4+Dashboard!B$10*SQRT(Dashboard!$F$4) * _xlfn.NORM.S.INV(RAND())</f>
        <v>-1.5376422565889909E-2</v>
      </c>
      <c r="T2490" s="59">
        <f ca="1">Dashboard!C$8* Dashboard!$F$4+Dashboard!C$10*SQRT(Dashboard!$F$4) * _xlfn.NORM.S.INV(RAND())</f>
        <v>6.0190098186740657E-3</v>
      </c>
      <c r="U2490" s="59">
        <f ca="1">Dashboard!D$8* Dashboard!$F$4+Dashboard!D$10*SQRT(Dashboard!$F$4) * _xlfn.NORM.S.INV(RAND())</f>
        <v>-2.0351028032744373E-2</v>
      </c>
    </row>
    <row r="2491" spans="18:21" x14ac:dyDescent="0.2">
      <c r="R2491" s="49">
        <v>2489</v>
      </c>
      <c r="S2491" s="59">
        <f ca="1">Dashboard!B$8* Dashboard!$F$4+Dashboard!B$10*SQRT(Dashboard!$F$4) * _xlfn.NORM.S.INV(RAND())</f>
        <v>-3.3538730155224128E-2</v>
      </c>
      <c r="T2491" s="59">
        <f ca="1">Dashboard!C$8* Dashboard!$F$4+Dashboard!C$10*SQRT(Dashboard!$F$4) * _xlfn.NORM.S.INV(RAND())</f>
        <v>-5.5717631397783685E-2</v>
      </c>
      <c r="U2491" s="59">
        <f ca="1">Dashboard!D$8* Dashboard!$F$4+Dashboard!D$10*SQRT(Dashboard!$F$4) * _xlfn.NORM.S.INV(RAND())</f>
        <v>1.9637203093852935E-2</v>
      </c>
    </row>
    <row r="2492" spans="18:21" x14ac:dyDescent="0.2">
      <c r="R2492" s="49">
        <v>2490</v>
      </c>
      <c r="S2492" s="59">
        <f ca="1">Dashboard!B$8* Dashboard!$F$4+Dashboard!B$10*SQRT(Dashboard!$F$4) * _xlfn.NORM.S.INV(RAND())</f>
        <v>-4.6444990387177192E-2</v>
      </c>
      <c r="T2492" s="59">
        <f ca="1">Dashboard!C$8* Dashboard!$F$4+Dashboard!C$10*SQRT(Dashboard!$F$4) * _xlfn.NORM.S.INV(RAND())</f>
        <v>1.385926536353603E-2</v>
      </c>
      <c r="U2492" s="59">
        <f ca="1">Dashboard!D$8* Dashboard!$F$4+Dashboard!D$10*SQRT(Dashboard!$F$4) * _xlfn.NORM.S.INV(RAND())</f>
        <v>3.2636934082953296E-2</v>
      </c>
    </row>
    <row r="2493" spans="18:21" x14ac:dyDescent="0.2">
      <c r="R2493" s="49">
        <v>2491</v>
      </c>
      <c r="S2493" s="59">
        <f ca="1">Dashboard!B$8* Dashboard!$F$4+Dashboard!B$10*SQRT(Dashboard!$F$4) * _xlfn.NORM.S.INV(RAND())</f>
        <v>-7.8439636081992267E-2</v>
      </c>
      <c r="T2493" s="59">
        <f ca="1">Dashboard!C$8* Dashboard!$F$4+Dashboard!C$10*SQRT(Dashboard!$F$4) * _xlfn.NORM.S.INV(RAND())</f>
        <v>1.9267645511860117E-2</v>
      </c>
      <c r="U2493" s="59">
        <f ca="1">Dashboard!D$8* Dashboard!$F$4+Dashboard!D$10*SQRT(Dashboard!$F$4) * _xlfn.NORM.S.INV(RAND())</f>
        <v>2.4928003720093354E-2</v>
      </c>
    </row>
    <row r="2494" spans="18:21" x14ac:dyDescent="0.2">
      <c r="R2494" s="49">
        <v>2492</v>
      </c>
      <c r="S2494" s="59">
        <f ca="1">Dashboard!B$8* Dashboard!$F$4+Dashboard!B$10*SQRT(Dashboard!$F$4) * _xlfn.NORM.S.INV(RAND())</f>
        <v>-1.5175116631444396E-2</v>
      </c>
      <c r="T2494" s="59">
        <f ca="1">Dashboard!C$8* Dashboard!$F$4+Dashboard!C$10*SQRT(Dashboard!$F$4) * _xlfn.NORM.S.INV(RAND())</f>
        <v>-7.3850029466340358E-3</v>
      </c>
      <c r="U2494" s="59">
        <f ca="1">Dashboard!D$8* Dashboard!$F$4+Dashboard!D$10*SQRT(Dashboard!$F$4) * _xlfn.NORM.S.INV(RAND())</f>
        <v>2.5015772433278877E-2</v>
      </c>
    </row>
    <row r="2495" spans="18:21" x14ac:dyDescent="0.2">
      <c r="R2495" s="49">
        <v>2493</v>
      </c>
      <c r="S2495" s="59">
        <f ca="1">Dashboard!B$8* Dashboard!$F$4+Dashboard!B$10*SQRT(Dashboard!$F$4) * _xlfn.NORM.S.INV(RAND())</f>
        <v>6.8489558702779188E-2</v>
      </c>
      <c r="T2495" s="59">
        <f ca="1">Dashboard!C$8* Dashboard!$F$4+Dashboard!C$10*SQRT(Dashboard!$F$4) * _xlfn.NORM.S.INV(RAND())</f>
        <v>2.4837277676945886E-2</v>
      </c>
      <c r="U2495" s="59">
        <f ca="1">Dashboard!D$8* Dashboard!$F$4+Dashboard!D$10*SQRT(Dashboard!$F$4) * _xlfn.NORM.S.INV(RAND())</f>
        <v>2.6161285823942696E-3</v>
      </c>
    </row>
    <row r="2496" spans="18:21" x14ac:dyDescent="0.2">
      <c r="R2496" s="49">
        <v>2494</v>
      </c>
      <c r="S2496" s="59">
        <f ca="1">Dashboard!B$8* Dashboard!$F$4+Dashboard!B$10*SQRT(Dashboard!$F$4) * _xlfn.NORM.S.INV(RAND())</f>
        <v>-7.4270206838954772E-2</v>
      </c>
      <c r="T2496" s="59">
        <f ca="1">Dashboard!C$8* Dashboard!$F$4+Dashboard!C$10*SQRT(Dashboard!$F$4) * _xlfn.NORM.S.INV(RAND())</f>
        <v>3.2752951064562011E-2</v>
      </c>
      <c r="U2496" s="59">
        <f ca="1">Dashboard!D$8* Dashboard!$F$4+Dashboard!D$10*SQRT(Dashboard!$F$4) * _xlfn.NORM.S.INV(RAND())</f>
        <v>1.2605637337081164E-2</v>
      </c>
    </row>
    <row r="2497" spans="18:21" x14ac:dyDescent="0.2">
      <c r="R2497" s="49">
        <v>2495</v>
      </c>
      <c r="S2497" s="59">
        <f ca="1">Dashboard!B$8* Dashboard!$F$4+Dashboard!B$10*SQRT(Dashboard!$F$4) * _xlfn.NORM.S.INV(RAND())</f>
        <v>-1.5987854122848276E-2</v>
      </c>
      <c r="T2497" s="59">
        <f ca="1">Dashboard!C$8* Dashboard!$F$4+Dashboard!C$10*SQRT(Dashboard!$F$4) * _xlfn.NORM.S.INV(RAND())</f>
        <v>-9.7270447600110721E-3</v>
      </c>
      <c r="U2497" s="59">
        <f ca="1">Dashboard!D$8* Dashboard!$F$4+Dashboard!D$10*SQRT(Dashboard!$F$4) * _xlfn.NORM.S.INV(RAND())</f>
        <v>-2.5840533939978778E-2</v>
      </c>
    </row>
    <row r="2498" spans="18:21" x14ac:dyDescent="0.2">
      <c r="R2498" s="49">
        <v>2496</v>
      </c>
      <c r="S2498" s="59">
        <f ca="1">Dashboard!B$8* Dashboard!$F$4+Dashboard!B$10*SQRT(Dashboard!$F$4) * _xlfn.NORM.S.INV(RAND())</f>
        <v>3.0170046147196788E-2</v>
      </c>
      <c r="T2498" s="59">
        <f ca="1">Dashboard!C$8* Dashboard!$F$4+Dashboard!C$10*SQRT(Dashboard!$F$4) * _xlfn.NORM.S.INV(RAND())</f>
        <v>5.4449803564734771E-2</v>
      </c>
      <c r="U2498" s="59">
        <f ca="1">Dashboard!D$8* Dashboard!$F$4+Dashboard!D$10*SQRT(Dashboard!$F$4) * _xlfn.NORM.S.INV(RAND())</f>
        <v>4.230854444667901E-2</v>
      </c>
    </row>
    <row r="2499" spans="18:21" x14ac:dyDescent="0.2">
      <c r="R2499" s="49">
        <v>2497</v>
      </c>
      <c r="S2499" s="59">
        <f ca="1">Dashboard!B$8* Dashboard!$F$4+Dashboard!B$10*SQRT(Dashboard!$F$4) * _xlfn.NORM.S.INV(RAND())</f>
        <v>-3.3189823646107133E-2</v>
      </c>
      <c r="T2499" s="59">
        <f ca="1">Dashboard!C$8* Dashboard!$F$4+Dashboard!C$10*SQRT(Dashboard!$F$4) * _xlfn.NORM.S.INV(RAND())</f>
        <v>-1.3636375488405909E-2</v>
      </c>
      <c r="U2499" s="59">
        <f ca="1">Dashboard!D$8* Dashboard!$F$4+Dashboard!D$10*SQRT(Dashboard!$F$4) * _xlfn.NORM.S.INV(RAND())</f>
        <v>9.0472710049289799E-3</v>
      </c>
    </row>
    <row r="2500" spans="18:21" x14ac:dyDescent="0.2">
      <c r="R2500" s="49">
        <v>2498</v>
      </c>
      <c r="S2500" s="59">
        <f ca="1">Dashboard!B$8* Dashboard!$F$4+Dashboard!B$10*SQRT(Dashboard!$F$4) * _xlfn.NORM.S.INV(RAND())</f>
        <v>7.5612079713895164E-2</v>
      </c>
      <c r="T2500" s="59">
        <f ca="1">Dashboard!C$8* Dashboard!$F$4+Dashboard!C$10*SQRT(Dashboard!$F$4) * _xlfn.NORM.S.INV(RAND())</f>
        <v>1.6186316998651258E-2</v>
      </c>
      <c r="U2500" s="59">
        <f ca="1">Dashboard!D$8* Dashboard!$F$4+Dashboard!D$10*SQRT(Dashboard!$F$4) * _xlfn.NORM.S.INV(RAND())</f>
        <v>1.8207337328242989E-2</v>
      </c>
    </row>
    <row r="2501" spans="18:21" x14ac:dyDescent="0.2">
      <c r="R2501" s="49">
        <v>2499</v>
      </c>
      <c r="S2501" s="59">
        <f ca="1">Dashboard!B$8* Dashboard!$F$4+Dashboard!B$10*SQRT(Dashboard!$F$4) * _xlfn.NORM.S.INV(RAND())</f>
        <v>-1.1366934564208953E-2</v>
      </c>
      <c r="T2501" s="59">
        <f ca="1">Dashboard!C$8* Dashboard!$F$4+Dashboard!C$10*SQRT(Dashboard!$F$4) * _xlfn.NORM.S.INV(RAND())</f>
        <v>5.4075581056098998E-2</v>
      </c>
      <c r="U2501" s="59">
        <f ca="1">Dashboard!D$8* Dashboard!$F$4+Dashboard!D$10*SQRT(Dashboard!$F$4) * _xlfn.NORM.S.INV(RAND())</f>
        <v>3.1596630957953502E-2</v>
      </c>
    </row>
    <row r="2502" spans="18:21" x14ac:dyDescent="0.2">
      <c r="R2502" s="49">
        <v>2500</v>
      </c>
      <c r="S2502" s="59">
        <f ca="1">Dashboard!B$8* Dashboard!$F$4+Dashboard!B$10*SQRT(Dashboard!$F$4) * _xlfn.NORM.S.INV(RAND())</f>
        <v>6.5709987895406427E-3</v>
      </c>
      <c r="T2502" s="59">
        <f ca="1">Dashboard!C$8* Dashboard!$F$4+Dashboard!C$10*SQRT(Dashboard!$F$4) * _xlfn.NORM.S.INV(RAND())</f>
        <v>5.4767263373578116E-2</v>
      </c>
      <c r="U2502" s="59">
        <f ca="1">Dashboard!D$8* Dashboard!$F$4+Dashboard!D$10*SQRT(Dashboard!$F$4) * _xlfn.NORM.S.INV(RAND())</f>
        <v>-4.2513637797483364E-2</v>
      </c>
    </row>
    <row r="2503" spans="18:21" x14ac:dyDescent="0.2">
      <c r="R2503" s="49">
        <v>2501</v>
      </c>
      <c r="S2503" s="59">
        <f ca="1">Dashboard!B$8* Dashboard!$F$4+Dashboard!B$10*SQRT(Dashboard!$F$4) * _xlfn.NORM.S.INV(RAND())</f>
        <v>-1.1323921499368107E-2</v>
      </c>
      <c r="T2503" s="59">
        <f ca="1">Dashboard!C$8* Dashboard!$F$4+Dashboard!C$10*SQRT(Dashboard!$F$4) * _xlfn.NORM.S.INV(RAND())</f>
        <v>-2.9153630045939152E-2</v>
      </c>
      <c r="U2503" s="59">
        <f ca="1">Dashboard!D$8* Dashboard!$F$4+Dashboard!D$10*SQRT(Dashboard!$F$4) * _xlfn.NORM.S.INV(RAND())</f>
        <v>-1.7162285824244027E-2</v>
      </c>
    </row>
    <row r="2504" spans="18:21" x14ac:dyDescent="0.2">
      <c r="R2504" s="49">
        <v>2502</v>
      </c>
      <c r="S2504" s="59">
        <f ca="1">Dashboard!B$8* Dashboard!$F$4+Dashboard!B$10*SQRT(Dashboard!$F$4) * _xlfn.NORM.S.INV(RAND())</f>
        <v>-3.5355496074495868E-2</v>
      </c>
      <c r="T2504" s="59">
        <f ca="1">Dashboard!C$8* Dashboard!$F$4+Dashboard!C$10*SQRT(Dashboard!$F$4) * _xlfn.NORM.S.INV(RAND())</f>
        <v>-1.5069818224830552E-2</v>
      </c>
      <c r="U2504" s="59">
        <f ca="1">Dashboard!D$8* Dashboard!$F$4+Dashboard!D$10*SQRT(Dashboard!$F$4) * _xlfn.NORM.S.INV(RAND())</f>
        <v>-3.4397867580319132E-2</v>
      </c>
    </row>
    <row r="2505" spans="18:21" x14ac:dyDescent="0.2">
      <c r="R2505" s="49">
        <v>2503</v>
      </c>
      <c r="S2505" s="59">
        <f ca="1">Dashboard!B$8* Dashboard!$F$4+Dashboard!B$10*SQRT(Dashboard!$F$4) * _xlfn.NORM.S.INV(RAND())</f>
        <v>4.1857258254898739E-3</v>
      </c>
      <c r="T2505" s="59">
        <f ca="1">Dashboard!C$8* Dashboard!$F$4+Dashboard!C$10*SQRT(Dashboard!$F$4) * _xlfn.NORM.S.INV(RAND())</f>
        <v>3.2525048097271979E-3</v>
      </c>
      <c r="U2505" s="59">
        <f ca="1">Dashboard!D$8* Dashboard!$F$4+Dashboard!D$10*SQRT(Dashboard!$F$4) * _xlfn.NORM.S.INV(RAND())</f>
        <v>1.8155941300199645E-2</v>
      </c>
    </row>
    <row r="2506" spans="18:21" x14ac:dyDescent="0.2">
      <c r="R2506" s="49">
        <v>2504</v>
      </c>
      <c r="S2506" s="59">
        <f ca="1">Dashboard!B$8* Dashboard!$F$4+Dashboard!B$10*SQRT(Dashboard!$F$4) * _xlfn.NORM.S.INV(RAND())</f>
        <v>-2.9099405322588943E-2</v>
      </c>
      <c r="T2506" s="59">
        <f ca="1">Dashboard!C$8* Dashboard!$F$4+Dashboard!C$10*SQRT(Dashboard!$F$4) * _xlfn.NORM.S.INV(RAND())</f>
        <v>3.8046723081413339E-2</v>
      </c>
      <c r="U2506" s="59">
        <f ca="1">Dashboard!D$8* Dashboard!$F$4+Dashboard!D$10*SQRT(Dashboard!$F$4) * _xlfn.NORM.S.INV(RAND())</f>
        <v>-1.4218711738237534E-2</v>
      </c>
    </row>
    <row r="2507" spans="18:21" x14ac:dyDescent="0.2">
      <c r="R2507" s="49">
        <v>2505</v>
      </c>
      <c r="S2507" s="59">
        <f ca="1">Dashboard!B$8* Dashboard!$F$4+Dashboard!B$10*SQRT(Dashboard!$F$4) * _xlfn.NORM.S.INV(RAND())</f>
        <v>-4.3265745751904283E-2</v>
      </c>
      <c r="T2507" s="59">
        <f ca="1">Dashboard!C$8* Dashboard!$F$4+Dashboard!C$10*SQRT(Dashboard!$F$4) * _xlfn.NORM.S.INV(RAND())</f>
        <v>-2.8128579439589612E-2</v>
      </c>
      <c r="U2507" s="59">
        <f ca="1">Dashboard!D$8* Dashboard!$F$4+Dashboard!D$10*SQRT(Dashboard!$F$4) * _xlfn.NORM.S.INV(RAND())</f>
        <v>-3.1776714166918595E-2</v>
      </c>
    </row>
    <row r="2508" spans="18:21" x14ac:dyDescent="0.2">
      <c r="R2508" s="49">
        <v>2506</v>
      </c>
      <c r="S2508" s="59">
        <f ca="1">Dashboard!B$8* Dashboard!$F$4+Dashboard!B$10*SQRT(Dashboard!$F$4) * _xlfn.NORM.S.INV(RAND())</f>
        <v>-3.856954778593228E-2</v>
      </c>
      <c r="T2508" s="59">
        <f ca="1">Dashboard!C$8* Dashboard!$F$4+Dashboard!C$10*SQRT(Dashboard!$F$4) * _xlfn.NORM.S.INV(RAND())</f>
        <v>3.468196459263833E-2</v>
      </c>
      <c r="U2508" s="59">
        <f ca="1">Dashboard!D$8* Dashboard!$F$4+Dashboard!D$10*SQRT(Dashboard!$F$4) * _xlfn.NORM.S.INV(RAND())</f>
        <v>-4.5620086338071977E-2</v>
      </c>
    </row>
    <row r="2509" spans="18:21" x14ac:dyDescent="0.2">
      <c r="R2509" s="49">
        <v>2507</v>
      </c>
      <c r="S2509" s="59">
        <f ca="1">Dashboard!B$8* Dashboard!$F$4+Dashboard!B$10*SQRT(Dashboard!$F$4) * _xlfn.NORM.S.INV(RAND())</f>
        <v>1.5406660228399894E-2</v>
      </c>
      <c r="T2509" s="59">
        <f ca="1">Dashboard!C$8* Dashboard!$F$4+Dashboard!C$10*SQRT(Dashboard!$F$4) * _xlfn.NORM.S.INV(RAND())</f>
        <v>3.503461500982738E-2</v>
      </c>
      <c r="U2509" s="59">
        <f ca="1">Dashboard!D$8* Dashboard!$F$4+Dashboard!D$10*SQRT(Dashboard!$F$4) * _xlfn.NORM.S.INV(RAND())</f>
        <v>-5.1424644059806103E-2</v>
      </c>
    </row>
    <row r="2510" spans="18:21" x14ac:dyDescent="0.2">
      <c r="R2510" s="49">
        <v>2508</v>
      </c>
      <c r="S2510" s="59">
        <f ca="1">Dashboard!B$8* Dashboard!$F$4+Dashboard!B$10*SQRT(Dashboard!$F$4) * _xlfn.NORM.S.INV(RAND())</f>
        <v>-7.6085772726219414E-2</v>
      </c>
      <c r="T2510" s="59">
        <f ca="1">Dashboard!C$8* Dashboard!$F$4+Dashboard!C$10*SQRT(Dashboard!$F$4) * _xlfn.NORM.S.INV(RAND())</f>
        <v>-1.0338405299104372E-2</v>
      </c>
      <c r="U2510" s="59">
        <f ca="1">Dashboard!D$8* Dashboard!$F$4+Dashboard!D$10*SQRT(Dashboard!$F$4) * _xlfn.NORM.S.INV(RAND())</f>
        <v>-3.4086712743845442E-2</v>
      </c>
    </row>
    <row r="2511" spans="18:21" x14ac:dyDescent="0.2">
      <c r="R2511" s="49">
        <v>2509</v>
      </c>
      <c r="S2511" s="59">
        <f ca="1">Dashboard!B$8* Dashboard!$F$4+Dashboard!B$10*SQRT(Dashboard!$F$4) * _xlfn.NORM.S.INV(RAND())</f>
        <v>-3.3519446079901906E-2</v>
      </c>
      <c r="T2511" s="59">
        <f ca="1">Dashboard!C$8* Dashboard!$F$4+Dashboard!C$10*SQRT(Dashboard!$F$4) * _xlfn.NORM.S.INV(RAND())</f>
        <v>-2.0220196082519123E-2</v>
      </c>
      <c r="U2511" s="59">
        <f ca="1">Dashboard!D$8* Dashboard!$F$4+Dashboard!D$10*SQRT(Dashboard!$F$4) * _xlfn.NORM.S.INV(RAND())</f>
        <v>-2.0812726961842557E-2</v>
      </c>
    </row>
    <row r="2512" spans="18:21" x14ac:dyDescent="0.2">
      <c r="R2512" s="49">
        <v>2510</v>
      </c>
      <c r="S2512" s="59">
        <f ca="1">Dashboard!B$8* Dashboard!$F$4+Dashboard!B$10*SQRT(Dashboard!$F$4) * _xlfn.NORM.S.INV(RAND())</f>
        <v>-6.5465465008257992E-2</v>
      </c>
      <c r="T2512" s="59">
        <f ca="1">Dashboard!C$8* Dashboard!$F$4+Dashboard!C$10*SQRT(Dashboard!$F$4) * _xlfn.NORM.S.INV(RAND())</f>
        <v>-1.1880162195554139E-2</v>
      </c>
      <c r="U2512" s="59">
        <f ca="1">Dashboard!D$8* Dashboard!$F$4+Dashboard!D$10*SQRT(Dashboard!$F$4) * _xlfn.NORM.S.INV(RAND())</f>
        <v>3.9810525420102896E-2</v>
      </c>
    </row>
    <row r="2513" spans="18:21" x14ac:dyDescent="0.2">
      <c r="R2513" s="49">
        <v>2511</v>
      </c>
      <c r="S2513" s="59">
        <f ca="1">Dashboard!B$8* Dashboard!$F$4+Dashboard!B$10*SQRT(Dashboard!$F$4) * _xlfn.NORM.S.INV(RAND())</f>
        <v>-6.9881733658356555E-3</v>
      </c>
      <c r="T2513" s="59">
        <f ca="1">Dashboard!C$8* Dashboard!$F$4+Dashboard!C$10*SQRT(Dashboard!$F$4) * _xlfn.NORM.S.INV(RAND())</f>
        <v>-2.2424148979764257E-2</v>
      </c>
      <c r="U2513" s="59">
        <f ca="1">Dashboard!D$8* Dashboard!$F$4+Dashboard!D$10*SQRT(Dashboard!$F$4) * _xlfn.NORM.S.INV(RAND())</f>
        <v>-6.8775459166123655E-3</v>
      </c>
    </row>
    <row r="2514" spans="18:21" x14ac:dyDescent="0.2">
      <c r="R2514" s="49">
        <v>2512</v>
      </c>
      <c r="S2514" s="59">
        <f ca="1">Dashboard!B$8* Dashboard!$F$4+Dashboard!B$10*SQRT(Dashboard!$F$4) * _xlfn.NORM.S.INV(RAND())</f>
        <v>7.4245880941248843E-3</v>
      </c>
      <c r="T2514" s="59">
        <f ca="1">Dashboard!C$8* Dashboard!$F$4+Dashboard!C$10*SQRT(Dashboard!$F$4) * _xlfn.NORM.S.INV(RAND())</f>
        <v>-4.0484181113302348E-2</v>
      </c>
      <c r="U2514" s="59">
        <f ca="1">Dashboard!D$8* Dashboard!$F$4+Dashboard!D$10*SQRT(Dashboard!$F$4) * _xlfn.NORM.S.INV(RAND())</f>
        <v>-3.3679357404110863E-2</v>
      </c>
    </row>
    <row r="2515" spans="18:21" x14ac:dyDescent="0.2">
      <c r="R2515" s="49">
        <v>2513</v>
      </c>
      <c r="S2515" s="59">
        <f ca="1">Dashboard!B$8* Dashboard!$F$4+Dashboard!B$10*SQRT(Dashboard!$F$4) * _xlfn.NORM.S.INV(RAND())</f>
        <v>-3.6864601578912273E-3</v>
      </c>
      <c r="T2515" s="59">
        <f ca="1">Dashboard!C$8* Dashboard!$F$4+Dashboard!C$10*SQRT(Dashboard!$F$4) * _xlfn.NORM.S.INV(RAND())</f>
        <v>-1.7789902072187058E-2</v>
      </c>
      <c r="U2515" s="59">
        <f ca="1">Dashboard!D$8* Dashboard!$F$4+Dashboard!D$10*SQRT(Dashboard!$F$4) * _xlfn.NORM.S.INV(RAND())</f>
        <v>1.4683557632979223E-2</v>
      </c>
    </row>
    <row r="2516" spans="18:21" x14ac:dyDescent="0.2">
      <c r="R2516" s="49">
        <v>2514</v>
      </c>
      <c r="S2516" s="59">
        <f ca="1">Dashboard!B$8* Dashboard!$F$4+Dashboard!B$10*SQRT(Dashboard!$F$4) * _xlfn.NORM.S.INV(RAND())</f>
        <v>-7.301363398960202E-2</v>
      </c>
      <c r="T2516" s="59">
        <f ca="1">Dashboard!C$8* Dashboard!$F$4+Dashboard!C$10*SQRT(Dashboard!$F$4) * _xlfn.NORM.S.INV(RAND())</f>
        <v>-2.9962879467330329E-2</v>
      </c>
      <c r="U2516" s="59">
        <f ca="1">Dashboard!D$8* Dashboard!$F$4+Dashboard!D$10*SQRT(Dashboard!$F$4) * _xlfn.NORM.S.INV(RAND())</f>
        <v>2.1196477258935625E-2</v>
      </c>
    </row>
    <row r="2517" spans="18:21" x14ac:dyDescent="0.2">
      <c r="R2517" s="49">
        <v>2515</v>
      </c>
      <c r="S2517" s="59">
        <f ca="1">Dashboard!B$8* Dashboard!$F$4+Dashboard!B$10*SQRT(Dashboard!$F$4) * _xlfn.NORM.S.INV(RAND())</f>
        <v>-1.6688023804539184E-3</v>
      </c>
      <c r="T2517" s="59">
        <f ca="1">Dashboard!C$8* Dashboard!$F$4+Dashboard!C$10*SQRT(Dashboard!$F$4) * _xlfn.NORM.S.INV(RAND())</f>
        <v>1.2314220928881209E-2</v>
      </c>
      <c r="U2517" s="59">
        <f ca="1">Dashboard!D$8* Dashboard!$F$4+Dashboard!D$10*SQRT(Dashboard!$F$4) * _xlfn.NORM.S.INV(RAND())</f>
        <v>-3.8283457218462894E-2</v>
      </c>
    </row>
    <row r="2518" spans="18:21" x14ac:dyDescent="0.2">
      <c r="R2518" s="49">
        <v>2516</v>
      </c>
      <c r="S2518" s="59">
        <f ca="1">Dashboard!B$8* Dashboard!$F$4+Dashboard!B$10*SQRT(Dashboard!$F$4) * _xlfn.NORM.S.INV(RAND())</f>
        <v>-3.6165467171267306E-2</v>
      </c>
      <c r="T2518" s="59">
        <f ca="1">Dashboard!C$8* Dashboard!$F$4+Dashboard!C$10*SQRT(Dashboard!$F$4) * _xlfn.NORM.S.INV(RAND())</f>
        <v>1.3154094134419712E-3</v>
      </c>
      <c r="U2518" s="59">
        <f ca="1">Dashboard!D$8* Dashboard!$F$4+Dashboard!D$10*SQRT(Dashboard!$F$4) * _xlfn.NORM.S.INV(RAND())</f>
        <v>1.3814924107888288E-2</v>
      </c>
    </row>
    <row r="2519" spans="18:21" x14ac:dyDescent="0.2">
      <c r="R2519" s="49">
        <v>2517</v>
      </c>
      <c r="S2519" s="59">
        <f ca="1">Dashboard!B$8* Dashboard!$F$4+Dashboard!B$10*SQRT(Dashboard!$F$4) * _xlfn.NORM.S.INV(RAND())</f>
        <v>2.551047043337773E-2</v>
      </c>
      <c r="T2519" s="59">
        <f ca="1">Dashboard!C$8* Dashboard!$F$4+Dashboard!C$10*SQRT(Dashboard!$F$4) * _xlfn.NORM.S.INV(RAND())</f>
        <v>1.2669099360625869E-3</v>
      </c>
      <c r="U2519" s="59">
        <f ca="1">Dashboard!D$8* Dashboard!$F$4+Dashboard!D$10*SQRT(Dashboard!$F$4) * _xlfn.NORM.S.INV(RAND())</f>
        <v>-1.5626256055245038E-3</v>
      </c>
    </row>
    <row r="2520" spans="18:21" x14ac:dyDescent="0.2">
      <c r="R2520" s="49">
        <v>2518</v>
      </c>
      <c r="S2520" s="59">
        <f ca="1">Dashboard!B$8* Dashboard!$F$4+Dashboard!B$10*SQRT(Dashboard!$F$4) * _xlfn.NORM.S.INV(RAND())</f>
        <v>-1.3899873528562796E-2</v>
      </c>
      <c r="T2520" s="59">
        <f ca="1">Dashboard!C$8* Dashboard!$F$4+Dashboard!C$10*SQRT(Dashboard!$F$4) * _xlfn.NORM.S.INV(RAND())</f>
        <v>5.4473419202893912E-2</v>
      </c>
      <c r="U2520" s="59">
        <f ca="1">Dashboard!D$8* Dashboard!$F$4+Dashboard!D$10*SQRT(Dashboard!$F$4) * _xlfn.NORM.S.INV(RAND())</f>
        <v>7.4271265439605466E-2</v>
      </c>
    </row>
    <row r="2521" spans="18:21" x14ac:dyDescent="0.2">
      <c r="R2521" s="49">
        <v>2519</v>
      </c>
      <c r="S2521" s="59">
        <f ca="1">Dashboard!B$8* Dashboard!$F$4+Dashboard!B$10*SQRT(Dashboard!$F$4) * _xlfn.NORM.S.INV(RAND())</f>
        <v>3.1954764799302121E-2</v>
      </c>
      <c r="T2521" s="59">
        <f ca="1">Dashboard!C$8* Dashboard!$F$4+Dashboard!C$10*SQRT(Dashboard!$F$4) * _xlfn.NORM.S.INV(RAND())</f>
        <v>-1.2882120020586977E-2</v>
      </c>
      <c r="U2521" s="59">
        <f ca="1">Dashboard!D$8* Dashboard!$F$4+Dashboard!D$10*SQRT(Dashboard!$F$4) * _xlfn.NORM.S.INV(RAND())</f>
        <v>-6.9059472665099512E-3</v>
      </c>
    </row>
    <row r="2522" spans="18:21" x14ac:dyDescent="0.2">
      <c r="R2522" s="49">
        <v>2520</v>
      </c>
      <c r="S2522" s="59">
        <f ca="1">Dashboard!B$8* Dashboard!$F$4+Dashboard!B$10*SQRT(Dashboard!$F$4) * _xlfn.NORM.S.INV(RAND())</f>
        <v>1.0285172702713043E-2</v>
      </c>
      <c r="T2522" s="59">
        <f ca="1">Dashboard!C$8* Dashboard!$F$4+Dashboard!C$10*SQRT(Dashboard!$F$4) * _xlfn.NORM.S.INV(RAND())</f>
        <v>-3.7879121388176562E-2</v>
      </c>
      <c r="U2522" s="59">
        <f ca="1">Dashboard!D$8* Dashboard!$F$4+Dashboard!D$10*SQRT(Dashboard!$F$4) * _xlfn.NORM.S.INV(RAND())</f>
        <v>-5.5541435032514401E-2</v>
      </c>
    </row>
    <row r="2523" spans="18:21" x14ac:dyDescent="0.2">
      <c r="R2523" s="49">
        <v>2521</v>
      </c>
      <c r="S2523" s="59">
        <f ca="1">Dashboard!B$8* Dashboard!$F$4+Dashboard!B$10*SQRT(Dashboard!$F$4) * _xlfn.NORM.S.INV(RAND())</f>
        <v>1.0360741147584791E-2</v>
      </c>
      <c r="T2523" s="59">
        <f ca="1">Dashboard!C$8* Dashboard!$F$4+Dashboard!C$10*SQRT(Dashboard!$F$4) * _xlfn.NORM.S.INV(RAND())</f>
        <v>4.6562383976957878E-3</v>
      </c>
      <c r="U2523" s="59">
        <f ca="1">Dashboard!D$8* Dashboard!$F$4+Dashboard!D$10*SQRT(Dashboard!$F$4) * _xlfn.NORM.S.INV(RAND())</f>
        <v>-3.8602908982390285E-2</v>
      </c>
    </row>
    <row r="2524" spans="18:21" x14ac:dyDescent="0.2">
      <c r="R2524" s="49">
        <v>2522</v>
      </c>
      <c r="S2524" s="59">
        <f ca="1">Dashboard!B$8* Dashboard!$F$4+Dashboard!B$10*SQRT(Dashboard!$F$4) * _xlfn.NORM.S.INV(RAND())</f>
        <v>3.5432060489814423E-3</v>
      </c>
      <c r="T2524" s="59">
        <f ca="1">Dashboard!C$8* Dashboard!$F$4+Dashboard!C$10*SQRT(Dashboard!$F$4) * _xlfn.NORM.S.INV(RAND())</f>
        <v>3.2610156098467423E-2</v>
      </c>
      <c r="U2524" s="59">
        <f ca="1">Dashboard!D$8* Dashboard!$F$4+Dashboard!D$10*SQRT(Dashboard!$F$4) * _xlfn.NORM.S.INV(RAND())</f>
        <v>-7.4577434655400164E-3</v>
      </c>
    </row>
    <row r="2525" spans="18:21" x14ac:dyDescent="0.2">
      <c r="R2525" s="49">
        <v>2523</v>
      </c>
      <c r="S2525" s="59">
        <f ca="1">Dashboard!B$8* Dashboard!$F$4+Dashboard!B$10*SQRT(Dashboard!$F$4) * _xlfn.NORM.S.INV(RAND())</f>
        <v>4.5346397786092348E-2</v>
      </c>
      <c r="T2525" s="59">
        <f ca="1">Dashboard!C$8* Dashboard!$F$4+Dashboard!C$10*SQRT(Dashboard!$F$4) * _xlfn.NORM.S.INV(RAND())</f>
        <v>-1.3560910055332207E-2</v>
      </c>
      <c r="U2525" s="59">
        <f ca="1">Dashboard!D$8* Dashboard!$F$4+Dashboard!D$10*SQRT(Dashboard!$F$4) * _xlfn.NORM.S.INV(RAND())</f>
        <v>-2.9881430384247003E-2</v>
      </c>
    </row>
    <row r="2526" spans="18:21" x14ac:dyDescent="0.2">
      <c r="R2526" s="49">
        <v>2524</v>
      </c>
      <c r="S2526" s="59">
        <f ca="1">Dashboard!B$8* Dashboard!$F$4+Dashboard!B$10*SQRT(Dashboard!$F$4) * _xlfn.NORM.S.INV(RAND())</f>
        <v>-6.128033356850221E-2</v>
      </c>
      <c r="T2526" s="59">
        <f ca="1">Dashboard!C$8* Dashboard!$F$4+Dashboard!C$10*SQRT(Dashboard!$F$4) * _xlfn.NORM.S.INV(RAND())</f>
        <v>-2.8250255043170167E-2</v>
      </c>
      <c r="U2526" s="59">
        <f ca="1">Dashboard!D$8* Dashboard!$F$4+Dashboard!D$10*SQRT(Dashboard!$F$4) * _xlfn.NORM.S.INV(RAND())</f>
        <v>-3.022357168045289E-2</v>
      </c>
    </row>
    <row r="2527" spans="18:21" x14ac:dyDescent="0.2">
      <c r="R2527" s="49">
        <v>2525</v>
      </c>
      <c r="S2527" s="59">
        <f ca="1">Dashboard!B$8* Dashboard!$F$4+Dashboard!B$10*SQRT(Dashboard!$F$4) * _xlfn.NORM.S.INV(RAND())</f>
        <v>-2.4351483495136758E-2</v>
      </c>
      <c r="T2527" s="59">
        <f ca="1">Dashboard!C$8* Dashboard!$F$4+Dashboard!C$10*SQRT(Dashboard!$F$4) * _xlfn.NORM.S.INV(RAND())</f>
        <v>6.4565725019526565E-2</v>
      </c>
      <c r="U2527" s="59">
        <f ca="1">Dashboard!D$8* Dashboard!$F$4+Dashboard!D$10*SQRT(Dashboard!$F$4) * _xlfn.NORM.S.INV(RAND())</f>
        <v>2.9833062349265877E-2</v>
      </c>
    </row>
    <row r="2528" spans="18:21" x14ac:dyDescent="0.2">
      <c r="R2528" s="49">
        <v>2526</v>
      </c>
      <c r="S2528" s="59">
        <f ca="1">Dashboard!B$8* Dashboard!$F$4+Dashboard!B$10*SQRT(Dashboard!$F$4) * _xlfn.NORM.S.INV(RAND())</f>
        <v>-4.3805721806221692E-2</v>
      </c>
      <c r="T2528" s="59">
        <f ca="1">Dashboard!C$8* Dashboard!$F$4+Dashboard!C$10*SQRT(Dashboard!$F$4) * _xlfn.NORM.S.INV(RAND())</f>
        <v>3.9101683800424482E-2</v>
      </c>
      <c r="U2528" s="59">
        <f ca="1">Dashboard!D$8* Dashboard!$F$4+Dashboard!D$10*SQRT(Dashboard!$F$4) * _xlfn.NORM.S.INV(RAND())</f>
        <v>3.9633491614408149E-2</v>
      </c>
    </row>
    <row r="2529" spans="18:21" x14ac:dyDescent="0.2">
      <c r="R2529" s="49">
        <v>2527</v>
      </c>
      <c r="S2529" s="59">
        <f ca="1">Dashboard!B$8* Dashboard!$F$4+Dashboard!B$10*SQRT(Dashboard!$F$4) * _xlfn.NORM.S.INV(RAND())</f>
        <v>2.1754676079681269E-2</v>
      </c>
      <c r="T2529" s="59">
        <f ca="1">Dashboard!C$8* Dashboard!$F$4+Dashboard!C$10*SQRT(Dashboard!$F$4) * _xlfn.NORM.S.INV(RAND())</f>
        <v>-3.3316094416090047E-3</v>
      </c>
      <c r="U2529" s="59">
        <f ca="1">Dashboard!D$8* Dashboard!$F$4+Dashboard!D$10*SQRT(Dashboard!$F$4) * _xlfn.NORM.S.INV(RAND())</f>
        <v>-7.0656464441859787E-2</v>
      </c>
    </row>
    <row r="2530" spans="18:21" x14ac:dyDescent="0.2">
      <c r="R2530" s="49">
        <v>2528</v>
      </c>
      <c r="S2530" s="59">
        <f ca="1">Dashboard!B$8* Dashboard!$F$4+Dashboard!B$10*SQRT(Dashboard!$F$4) * _xlfn.NORM.S.INV(RAND())</f>
        <v>6.3179058702202435E-3</v>
      </c>
      <c r="T2530" s="59">
        <f ca="1">Dashboard!C$8* Dashboard!$F$4+Dashboard!C$10*SQRT(Dashboard!$F$4) * _xlfn.NORM.S.INV(RAND())</f>
        <v>4.6748325581179072E-3</v>
      </c>
      <c r="U2530" s="59">
        <f ca="1">Dashboard!D$8* Dashboard!$F$4+Dashboard!D$10*SQRT(Dashboard!$F$4) * _xlfn.NORM.S.INV(RAND())</f>
        <v>-2.4554516256795316E-2</v>
      </c>
    </row>
    <row r="2531" spans="18:21" x14ac:dyDescent="0.2">
      <c r="R2531" s="49">
        <v>2529</v>
      </c>
      <c r="S2531" s="59">
        <f ca="1">Dashboard!B$8* Dashboard!$F$4+Dashboard!B$10*SQRT(Dashboard!$F$4) * _xlfn.NORM.S.INV(RAND())</f>
        <v>-5.5283617026329897E-2</v>
      </c>
      <c r="T2531" s="59">
        <f ca="1">Dashboard!C$8* Dashboard!$F$4+Dashboard!C$10*SQRT(Dashboard!$F$4) * _xlfn.NORM.S.INV(RAND())</f>
        <v>2.7773389760786207E-2</v>
      </c>
      <c r="U2531" s="59">
        <f ca="1">Dashboard!D$8* Dashboard!$F$4+Dashboard!D$10*SQRT(Dashboard!$F$4) * _xlfn.NORM.S.INV(RAND())</f>
        <v>1.717936044971257E-2</v>
      </c>
    </row>
    <row r="2532" spans="18:21" x14ac:dyDescent="0.2">
      <c r="R2532" s="49">
        <v>2530</v>
      </c>
      <c r="S2532" s="59">
        <f ca="1">Dashboard!B$8* Dashboard!$F$4+Dashboard!B$10*SQRT(Dashboard!$F$4) * _xlfn.NORM.S.INV(RAND())</f>
        <v>2.4131349755372898E-3</v>
      </c>
      <c r="T2532" s="59">
        <f ca="1">Dashboard!C$8* Dashboard!$F$4+Dashboard!C$10*SQRT(Dashboard!$F$4) * _xlfn.NORM.S.INV(RAND())</f>
        <v>-9.5052631523922723E-3</v>
      </c>
      <c r="U2532" s="59">
        <f ca="1">Dashboard!D$8* Dashboard!$F$4+Dashboard!D$10*SQRT(Dashboard!$F$4) * _xlfn.NORM.S.INV(RAND())</f>
        <v>-8.9243008265564756E-3</v>
      </c>
    </row>
    <row r="2533" spans="18:21" x14ac:dyDescent="0.2">
      <c r="R2533" s="49">
        <v>2531</v>
      </c>
      <c r="S2533" s="59">
        <f ca="1">Dashboard!B$8* Dashboard!$F$4+Dashboard!B$10*SQRT(Dashboard!$F$4) * _xlfn.NORM.S.INV(RAND())</f>
        <v>2.2323506262470767E-2</v>
      </c>
      <c r="T2533" s="59">
        <f ca="1">Dashboard!C$8* Dashboard!$F$4+Dashboard!C$10*SQRT(Dashboard!$F$4) * _xlfn.NORM.S.INV(RAND())</f>
        <v>2.210562886984721E-4</v>
      </c>
      <c r="U2533" s="59">
        <f ca="1">Dashboard!D$8* Dashboard!$F$4+Dashboard!D$10*SQRT(Dashboard!$F$4) * _xlfn.NORM.S.INV(RAND())</f>
        <v>5.73477960415812E-3</v>
      </c>
    </row>
    <row r="2534" spans="18:21" x14ac:dyDescent="0.2">
      <c r="R2534" s="49">
        <v>2532</v>
      </c>
      <c r="S2534" s="59">
        <f ca="1">Dashboard!B$8* Dashboard!$F$4+Dashboard!B$10*SQRT(Dashboard!$F$4) * _xlfn.NORM.S.INV(RAND())</f>
        <v>-2.5185186208387493E-2</v>
      </c>
      <c r="T2534" s="59">
        <f ca="1">Dashboard!C$8* Dashboard!$F$4+Dashboard!C$10*SQRT(Dashboard!$F$4) * _xlfn.NORM.S.INV(RAND())</f>
        <v>1.2178131559401211E-2</v>
      </c>
      <c r="U2534" s="59">
        <f ca="1">Dashboard!D$8* Dashboard!$F$4+Dashboard!D$10*SQRT(Dashboard!$F$4) * _xlfn.NORM.S.INV(RAND())</f>
        <v>3.4165300598977731E-2</v>
      </c>
    </row>
    <row r="2535" spans="18:21" x14ac:dyDescent="0.2">
      <c r="R2535" s="49">
        <v>2533</v>
      </c>
      <c r="S2535" s="59">
        <f ca="1">Dashboard!B$8* Dashboard!$F$4+Dashboard!B$10*SQRT(Dashboard!$F$4) * _xlfn.NORM.S.INV(RAND())</f>
        <v>-7.8615114212725171E-2</v>
      </c>
      <c r="T2535" s="59">
        <f ca="1">Dashboard!C$8* Dashboard!$F$4+Dashboard!C$10*SQRT(Dashboard!$F$4) * _xlfn.NORM.S.INV(RAND())</f>
        <v>3.2042075000815906E-2</v>
      </c>
      <c r="U2535" s="59">
        <f ca="1">Dashboard!D$8* Dashboard!$F$4+Dashboard!D$10*SQRT(Dashboard!$F$4) * _xlfn.NORM.S.INV(RAND())</f>
        <v>1.785133820619288E-2</v>
      </c>
    </row>
    <row r="2536" spans="18:21" x14ac:dyDescent="0.2">
      <c r="R2536" s="49">
        <v>2534</v>
      </c>
      <c r="S2536" s="59">
        <f ca="1">Dashboard!B$8* Dashboard!$F$4+Dashboard!B$10*SQRT(Dashboard!$F$4) * _xlfn.NORM.S.INV(RAND())</f>
        <v>-2.3234242923800191E-2</v>
      </c>
      <c r="T2536" s="59">
        <f ca="1">Dashboard!C$8* Dashboard!$F$4+Dashboard!C$10*SQRT(Dashboard!$F$4) * _xlfn.NORM.S.INV(RAND())</f>
        <v>2.6917310132348941E-2</v>
      </c>
      <c r="U2536" s="59">
        <f ca="1">Dashboard!D$8* Dashboard!$F$4+Dashboard!D$10*SQRT(Dashboard!$F$4) * _xlfn.NORM.S.INV(RAND())</f>
        <v>-2.4069727184873751E-2</v>
      </c>
    </row>
    <row r="2537" spans="18:21" x14ac:dyDescent="0.2">
      <c r="R2537" s="49">
        <v>2535</v>
      </c>
      <c r="S2537" s="59">
        <f ca="1">Dashboard!B$8* Dashboard!$F$4+Dashboard!B$10*SQRT(Dashboard!$F$4) * _xlfn.NORM.S.INV(RAND())</f>
        <v>4.0297289615498895E-2</v>
      </c>
      <c r="T2537" s="59">
        <f ca="1">Dashboard!C$8* Dashboard!$F$4+Dashboard!C$10*SQRT(Dashboard!$F$4) * _xlfn.NORM.S.INV(RAND())</f>
        <v>-1.0800989726085428E-2</v>
      </c>
      <c r="U2537" s="59">
        <f ca="1">Dashboard!D$8* Dashboard!$F$4+Dashboard!D$10*SQRT(Dashboard!$F$4) * _xlfn.NORM.S.INV(RAND())</f>
        <v>-6.8604065954340002E-3</v>
      </c>
    </row>
    <row r="2538" spans="18:21" x14ac:dyDescent="0.2">
      <c r="R2538" s="49">
        <v>2536</v>
      </c>
      <c r="S2538" s="59">
        <f ca="1">Dashboard!B$8* Dashboard!$F$4+Dashboard!B$10*SQRT(Dashboard!$F$4) * _xlfn.NORM.S.INV(RAND())</f>
        <v>-2.8182226274350616E-2</v>
      </c>
      <c r="T2538" s="59">
        <f ca="1">Dashboard!C$8* Dashboard!$F$4+Dashboard!C$10*SQRT(Dashboard!$F$4) * _xlfn.NORM.S.INV(RAND())</f>
        <v>1.9402698684382255E-2</v>
      </c>
      <c r="U2538" s="59">
        <f ca="1">Dashboard!D$8* Dashboard!$F$4+Dashboard!D$10*SQRT(Dashboard!$F$4) * _xlfn.NORM.S.INV(RAND())</f>
        <v>1.0273789455589419E-2</v>
      </c>
    </row>
    <row r="2539" spans="18:21" x14ac:dyDescent="0.2">
      <c r="R2539" s="49">
        <v>2537</v>
      </c>
      <c r="S2539" s="59">
        <f ca="1">Dashboard!B$8* Dashboard!$F$4+Dashboard!B$10*SQRT(Dashboard!$F$4) * _xlfn.NORM.S.INV(RAND())</f>
        <v>-4.3551407956202694E-2</v>
      </c>
      <c r="T2539" s="59">
        <f ca="1">Dashboard!C$8* Dashboard!$F$4+Dashboard!C$10*SQRT(Dashboard!$F$4) * _xlfn.NORM.S.INV(RAND())</f>
        <v>3.7436735728518869E-2</v>
      </c>
      <c r="U2539" s="59">
        <f ca="1">Dashboard!D$8* Dashboard!$F$4+Dashboard!D$10*SQRT(Dashboard!$F$4) * _xlfn.NORM.S.INV(RAND())</f>
        <v>-3.317470057866341E-2</v>
      </c>
    </row>
    <row r="2540" spans="18:21" x14ac:dyDescent="0.2">
      <c r="R2540" s="49">
        <v>2538</v>
      </c>
      <c r="S2540" s="59">
        <f ca="1">Dashboard!B$8* Dashboard!$F$4+Dashboard!B$10*SQRT(Dashboard!$F$4) * _xlfn.NORM.S.INV(RAND())</f>
        <v>1.0332721793345226E-2</v>
      </c>
      <c r="T2540" s="59">
        <f ca="1">Dashboard!C$8* Dashboard!$F$4+Dashboard!C$10*SQRT(Dashboard!$F$4) * _xlfn.NORM.S.INV(RAND())</f>
        <v>-4.7625028121707533E-2</v>
      </c>
      <c r="U2540" s="59">
        <f ca="1">Dashboard!D$8* Dashboard!$F$4+Dashboard!D$10*SQRT(Dashboard!$F$4) * _xlfn.NORM.S.INV(RAND())</f>
        <v>-4.3015238012315576E-2</v>
      </c>
    </row>
    <row r="2541" spans="18:21" x14ac:dyDescent="0.2">
      <c r="R2541" s="49">
        <v>2539</v>
      </c>
      <c r="S2541" s="59">
        <f ca="1">Dashboard!B$8* Dashboard!$F$4+Dashboard!B$10*SQRT(Dashboard!$F$4) * _xlfn.NORM.S.INV(RAND())</f>
        <v>7.0834830475438024E-2</v>
      </c>
      <c r="T2541" s="59">
        <f ca="1">Dashboard!C$8* Dashboard!$F$4+Dashboard!C$10*SQRT(Dashboard!$F$4) * _xlfn.NORM.S.INV(RAND())</f>
        <v>-1.8133639514247617E-2</v>
      </c>
      <c r="U2541" s="59">
        <f ca="1">Dashboard!D$8* Dashboard!$F$4+Dashboard!D$10*SQRT(Dashboard!$F$4) * _xlfn.NORM.S.INV(RAND())</f>
        <v>2.1352611077392641E-2</v>
      </c>
    </row>
    <row r="2542" spans="18:21" x14ac:dyDescent="0.2">
      <c r="R2542" s="49">
        <v>2540</v>
      </c>
      <c r="S2542" s="59">
        <f ca="1">Dashboard!B$8* Dashboard!$F$4+Dashboard!B$10*SQRT(Dashboard!$F$4) * _xlfn.NORM.S.INV(RAND())</f>
        <v>1.8240274095397579E-2</v>
      </c>
      <c r="T2542" s="59">
        <f ca="1">Dashboard!C$8* Dashboard!$F$4+Dashboard!C$10*SQRT(Dashboard!$F$4) * _xlfn.NORM.S.INV(RAND())</f>
        <v>2.2904732706197212E-2</v>
      </c>
      <c r="U2542" s="59">
        <f ca="1">Dashboard!D$8* Dashboard!$F$4+Dashboard!D$10*SQRT(Dashboard!$F$4) * _xlfn.NORM.S.INV(RAND())</f>
        <v>4.7162766117711828E-2</v>
      </c>
    </row>
    <row r="2543" spans="18:21" x14ac:dyDescent="0.2">
      <c r="R2543" s="49">
        <v>2541</v>
      </c>
      <c r="S2543" s="59">
        <f ca="1">Dashboard!B$8* Dashboard!$F$4+Dashboard!B$10*SQRT(Dashboard!$F$4) * _xlfn.NORM.S.INV(RAND())</f>
        <v>2.0363455256378733E-2</v>
      </c>
      <c r="T2543" s="59">
        <f ca="1">Dashboard!C$8* Dashboard!$F$4+Dashboard!C$10*SQRT(Dashboard!$F$4) * _xlfn.NORM.S.INV(RAND())</f>
        <v>2.5998931849869247E-2</v>
      </c>
      <c r="U2543" s="59">
        <f ca="1">Dashboard!D$8* Dashboard!$F$4+Dashboard!D$10*SQRT(Dashboard!$F$4) * _xlfn.NORM.S.INV(RAND())</f>
        <v>9.8959708856814141E-3</v>
      </c>
    </row>
    <row r="2544" spans="18:21" x14ac:dyDescent="0.2">
      <c r="R2544" s="49">
        <v>2542</v>
      </c>
      <c r="S2544" s="59">
        <f ca="1">Dashboard!B$8* Dashboard!$F$4+Dashboard!B$10*SQRT(Dashboard!$F$4) * _xlfn.NORM.S.INV(RAND())</f>
        <v>9.9783698638965072E-3</v>
      </c>
      <c r="T2544" s="59">
        <f ca="1">Dashboard!C$8* Dashboard!$F$4+Dashboard!C$10*SQRT(Dashboard!$F$4) * _xlfn.NORM.S.INV(RAND())</f>
        <v>1.3268573380084789E-2</v>
      </c>
      <c r="U2544" s="59">
        <f ca="1">Dashboard!D$8* Dashboard!$F$4+Dashboard!D$10*SQRT(Dashboard!$F$4) * _xlfn.NORM.S.INV(RAND())</f>
        <v>-1.4244741241803881E-2</v>
      </c>
    </row>
    <row r="2545" spans="18:21" x14ac:dyDescent="0.2">
      <c r="R2545" s="49">
        <v>2543</v>
      </c>
      <c r="S2545" s="59">
        <f ca="1">Dashboard!B$8* Dashboard!$F$4+Dashboard!B$10*SQRT(Dashboard!$F$4) * _xlfn.NORM.S.INV(RAND())</f>
        <v>4.0234827220908452E-2</v>
      </c>
      <c r="T2545" s="59">
        <f ca="1">Dashboard!C$8* Dashboard!$F$4+Dashboard!C$10*SQRT(Dashboard!$F$4) * _xlfn.NORM.S.INV(RAND())</f>
        <v>-1.5355127961023143E-2</v>
      </c>
      <c r="U2545" s="59">
        <f ca="1">Dashboard!D$8* Dashboard!$F$4+Dashboard!D$10*SQRT(Dashboard!$F$4) * _xlfn.NORM.S.INV(RAND())</f>
        <v>2.8967727161278305E-2</v>
      </c>
    </row>
    <row r="2546" spans="18:21" x14ac:dyDescent="0.2">
      <c r="R2546" s="49">
        <v>2544</v>
      </c>
      <c r="S2546" s="59">
        <f ca="1">Dashboard!B$8* Dashboard!$F$4+Dashboard!B$10*SQRT(Dashboard!$F$4) * _xlfn.NORM.S.INV(RAND())</f>
        <v>-2.7118877678399628E-2</v>
      </c>
      <c r="T2546" s="59">
        <f ca="1">Dashboard!C$8* Dashboard!$F$4+Dashboard!C$10*SQRT(Dashboard!$F$4) * _xlfn.NORM.S.INV(RAND())</f>
        <v>3.6019839005365754E-2</v>
      </c>
      <c r="U2546" s="59">
        <f ca="1">Dashboard!D$8* Dashboard!$F$4+Dashboard!D$10*SQRT(Dashboard!$F$4) * _xlfn.NORM.S.INV(RAND())</f>
        <v>-7.0707428908758857E-3</v>
      </c>
    </row>
    <row r="2547" spans="18:21" x14ac:dyDescent="0.2">
      <c r="R2547" s="49">
        <v>2545</v>
      </c>
      <c r="S2547" s="59">
        <f ca="1">Dashboard!B$8* Dashboard!$F$4+Dashboard!B$10*SQRT(Dashboard!$F$4) * _xlfn.NORM.S.INV(RAND())</f>
        <v>6.8885314555357582E-3</v>
      </c>
      <c r="T2547" s="59">
        <f ca="1">Dashboard!C$8* Dashboard!$F$4+Dashboard!C$10*SQRT(Dashboard!$F$4) * _xlfn.NORM.S.INV(RAND())</f>
        <v>-4.04615030831647E-2</v>
      </c>
      <c r="U2547" s="59">
        <f ca="1">Dashboard!D$8* Dashboard!$F$4+Dashboard!D$10*SQRT(Dashboard!$F$4) * _xlfn.NORM.S.INV(RAND())</f>
        <v>2.9596281621921183E-2</v>
      </c>
    </row>
    <row r="2548" spans="18:21" x14ac:dyDescent="0.2">
      <c r="R2548" s="49">
        <v>2546</v>
      </c>
      <c r="S2548" s="59">
        <f ca="1">Dashboard!B$8* Dashboard!$F$4+Dashboard!B$10*SQRT(Dashboard!$F$4) * _xlfn.NORM.S.INV(RAND())</f>
        <v>-5.5931219119217029E-2</v>
      </c>
      <c r="T2548" s="59">
        <f ca="1">Dashboard!C$8* Dashboard!$F$4+Dashboard!C$10*SQRT(Dashboard!$F$4) * _xlfn.NORM.S.INV(RAND())</f>
        <v>-1.8625511758949782E-2</v>
      </c>
      <c r="U2548" s="59">
        <f ca="1">Dashboard!D$8* Dashboard!$F$4+Dashboard!D$10*SQRT(Dashboard!$F$4) * _xlfn.NORM.S.INV(RAND())</f>
        <v>-1.0337034042479683E-2</v>
      </c>
    </row>
    <row r="2549" spans="18:21" x14ac:dyDescent="0.2">
      <c r="R2549" s="49">
        <v>2547</v>
      </c>
      <c r="S2549" s="59">
        <f ca="1">Dashboard!B$8* Dashboard!$F$4+Dashboard!B$10*SQRT(Dashboard!$F$4) * _xlfn.NORM.S.INV(RAND())</f>
        <v>-9.0348273144578734E-3</v>
      </c>
      <c r="T2549" s="59">
        <f ca="1">Dashboard!C$8* Dashboard!$F$4+Dashboard!C$10*SQRT(Dashboard!$F$4) * _xlfn.NORM.S.INV(RAND())</f>
        <v>-2.8519315726355899E-2</v>
      </c>
      <c r="U2549" s="59">
        <f ca="1">Dashboard!D$8* Dashboard!$F$4+Dashboard!D$10*SQRT(Dashboard!$F$4) * _xlfn.NORM.S.INV(RAND())</f>
        <v>-2.1150493443266435E-3</v>
      </c>
    </row>
    <row r="2550" spans="18:21" x14ac:dyDescent="0.2">
      <c r="R2550" s="49">
        <v>2548</v>
      </c>
      <c r="S2550" s="59">
        <f ca="1">Dashboard!B$8* Dashboard!$F$4+Dashboard!B$10*SQRT(Dashboard!$F$4) * _xlfn.NORM.S.INV(RAND())</f>
        <v>2.9247970625860702E-2</v>
      </c>
      <c r="T2550" s="59">
        <f ca="1">Dashboard!C$8* Dashboard!$F$4+Dashboard!C$10*SQRT(Dashboard!$F$4) * _xlfn.NORM.S.INV(RAND())</f>
        <v>3.1626297854500645E-3</v>
      </c>
      <c r="U2550" s="59">
        <f ca="1">Dashboard!D$8* Dashboard!$F$4+Dashboard!D$10*SQRT(Dashboard!$F$4) * _xlfn.NORM.S.INV(RAND())</f>
        <v>1.321796785522061E-2</v>
      </c>
    </row>
    <row r="2551" spans="18:21" x14ac:dyDescent="0.2">
      <c r="R2551" s="49">
        <v>2549</v>
      </c>
      <c r="S2551" s="59">
        <f ca="1">Dashboard!B$8* Dashboard!$F$4+Dashboard!B$10*SQRT(Dashboard!$F$4) * _xlfn.NORM.S.INV(RAND())</f>
        <v>-1.0097666940932906E-2</v>
      </c>
      <c r="T2551" s="59">
        <f ca="1">Dashboard!C$8* Dashboard!$F$4+Dashboard!C$10*SQRT(Dashboard!$F$4) * _xlfn.NORM.S.INV(RAND())</f>
        <v>2.2249230828276262E-2</v>
      </c>
      <c r="U2551" s="59">
        <f ca="1">Dashboard!D$8* Dashboard!$F$4+Dashboard!D$10*SQRT(Dashboard!$F$4) * _xlfn.NORM.S.INV(RAND())</f>
        <v>9.3424519896757006E-3</v>
      </c>
    </row>
    <row r="2552" spans="18:21" x14ac:dyDescent="0.2">
      <c r="R2552" s="49">
        <v>2550</v>
      </c>
      <c r="S2552" s="59">
        <f ca="1">Dashboard!B$8* Dashboard!$F$4+Dashboard!B$10*SQRT(Dashboard!$F$4) * _xlfn.NORM.S.INV(RAND())</f>
        <v>3.1635231521109919E-2</v>
      </c>
      <c r="T2552" s="59">
        <f ca="1">Dashboard!C$8* Dashboard!$F$4+Dashboard!C$10*SQRT(Dashboard!$F$4) * _xlfn.NORM.S.INV(RAND())</f>
        <v>1.5935950397863566E-2</v>
      </c>
      <c r="U2552" s="59">
        <f ca="1">Dashboard!D$8* Dashboard!$F$4+Dashboard!D$10*SQRT(Dashboard!$F$4) * _xlfn.NORM.S.INV(RAND())</f>
        <v>-3.6924981122455026E-3</v>
      </c>
    </row>
    <row r="2553" spans="18:21" x14ac:dyDescent="0.2">
      <c r="R2553" s="49">
        <v>2551</v>
      </c>
      <c r="S2553" s="59">
        <f ca="1">Dashboard!B$8* Dashboard!$F$4+Dashboard!B$10*SQRT(Dashboard!$F$4) * _xlfn.NORM.S.INV(RAND())</f>
        <v>-4.792276086813313E-2</v>
      </c>
      <c r="T2553" s="59">
        <f ca="1">Dashboard!C$8* Dashboard!$F$4+Dashboard!C$10*SQRT(Dashboard!$F$4) * _xlfn.NORM.S.INV(RAND())</f>
        <v>3.59319998806059E-4</v>
      </c>
      <c r="U2553" s="59">
        <f ca="1">Dashboard!D$8* Dashboard!$F$4+Dashboard!D$10*SQRT(Dashboard!$F$4) * _xlfn.NORM.S.INV(RAND())</f>
        <v>7.3614274927157131E-3</v>
      </c>
    </row>
    <row r="2554" spans="18:21" x14ac:dyDescent="0.2">
      <c r="R2554" s="49">
        <v>2552</v>
      </c>
      <c r="S2554" s="59">
        <f ca="1">Dashboard!B$8* Dashboard!$F$4+Dashboard!B$10*SQRT(Dashboard!$F$4) * _xlfn.NORM.S.INV(RAND())</f>
        <v>4.7916603292761518E-2</v>
      </c>
      <c r="T2554" s="59">
        <f ca="1">Dashboard!C$8* Dashboard!$F$4+Dashboard!C$10*SQRT(Dashboard!$F$4) * _xlfn.NORM.S.INV(RAND())</f>
        <v>1.0941359520410664E-2</v>
      </c>
      <c r="U2554" s="59">
        <f ca="1">Dashboard!D$8* Dashboard!$F$4+Dashboard!D$10*SQRT(Dashboard!$F$4) * _xlfn.NORM.S.INV(RAND())</f>
        <v>-4.8270438824879559E-2</v>
      </c>
    </row>
    <row r="2555" spans="18:21" x14ac:dyDescent="0.2">
      <c r="R2555" s="49">
        <v>2553</v>
      </c>
      <c r="S2555" s="59">
        <f ca="1">Dashboard!B$8* Dashboard!$F$4+Dashboard!B$10*SQRT(Dashboard!$F$4) * _xlfn.NORM.S.INV(RAND())</f>
        <v>7.0307045923864685E-3</v>
      </c>
      <c r="T2555" s="59">
        <f ca="1">Dashboard!C$8* Dashboard!$F$4+Dashboard!C$10*SQRT(Dashboard!$F$4) * _xlfn.NORM.S.INV(RAND())</f>
        <v>2.522142424424215E-2</v>
      </c>
      <c r="U2555" s="59">
        <f ca="1">Dashboard!D$8* Dashboard!$F$4+Dashboard!D$10*SQRT(Dashboard!$F$4) * _xlfn.NORM.S.INV(RAND())</f>
        <v>6.8445132167378559E-3</v>
      </c>
    </row>
    <row r="2556" spans="18:21" x14ac:dyDescent="0.2">
      <c r="R2556" s="49">
        <v>2554</v>
      </c>
      <c r="S2556" s="59">
        <f ca="1">Dashboard!B$8* Dashboard!$F$4+Dashboard!B$10*SQRT(Dashboard!$F$4) * _xlfn.NORM.S.INV(RAND())</f>
        <v>1.1444260658450407E-2</v>
      </c>
      <c r="T2556" s="59">
        <f ca="1">Dashboard!C$8* Dashboard!$F$4+Dashboard!C$10*SQRT(Dashboard!$F$4) * _xlfn.NORM.S.INV(RAND())</f>
        <v>-3.6266005221134927E-2</v>
      </c>
      <c r="U2556" s="59">
        <f ca="1">Dashboard!D$8* Dashboard!$F$4+Dashboard!D$10*SQRT(Dashboard!$F$4) * _xlfn.NORM.S.INV(RAND())</f>
        <v>-2.1437498493117595E-2</v>
      </c>
    </row>
    <row r="2557" spans="18:21" x14ac:dyDescent="0.2">
      <c r="R2557" s="49">
        <v>2555</v>
      </c>
      <c r="S2557" s="59">
        <f ca="1">Dashboard!B$8* Dashboard!$F$4+Dashboard!B$10*SQRT(Dashboard!$F$4) * _xlfn.NORM.S.INV(RAND())</f>
        <v>2.7649550250089763E-2</v>
      </c>
      <c r="T2557" s="59">
        <f ca="1">Dashboard!C$8* Dashboard!$F$4+Dashboard!C$10*SQRT(Dashboard!$F$4) * _xlfn.NORM.S.INV(RAND())</f>
        <v>7.8420733258857442E-2</v>
      </c>
      <c r="U2557" s="59">
        <f ca="1">Dashboard!D$8* Dashboard!$F$4+Dashboard!D$10*SQRT(Dashboard!$F$4) * _xlfn.NORM.S.INV(RAND())</f>
        <v>2.7751656467029515E-2</v>
      </c>
    </row>
    <row r="2558" spans="18:21" x14ac:dyDescent="0.2">
      <c r="R2558" s="49">
        <v>2556</v>
      </c>
      <c r="S2558" s="59">
        <f ca="1">Dashboard!B$8* Dashboard!$F$4+Dashboard!B$10*SQRT(Dashboard!$F$4) * _xlfn.NORM.S.INV(RAND())</f>
        <v>9.8655370007114888E-3</v>
      </c>
      <c r="T2558" s="59">
        <f ca="1">Dashboard!C$8* Dashboard!$F$4+Dashboard!C$10*SQRT(Dashboard!$F$4) * _xlfn.NORM.S.INV(RAND())</f>
        <v>-1.9638767718500115E-2</v>
      </c>
      <c r="U2558" s="59">
        <f ca="1">Dashboard!D$8* Dashboard!$F$4+Dashboard!D$10*SQRT(Dashboard!$F$4) * _xlfn.NORM.S.INV(RAND())</f>
        <v>1.3917383009484755E-2</v>
      </c>
    </row>
    <row r="2559" spans="18:21" x14ac:dyDescent="0.2">
      <c r="R2559" s="49">
        <v>2557</v>
      </c>
      <c r="S2559" s="59">
        <f ca="1">Dashboard!B$8* Dashboard!$F$4+Dashboard!B$10*SQRT(Dashboard!$F$4) * _xlfn.NORM.S.INV(RAND())</f>
        <v>-7.758013008102028E-3</v>
      </c>
      <c r="T2559" s="59">
        <f ca="1">Dashboard!C$8* Dashboard!$F$4+Dashboard!C$10*SQRT(Dashboard!$F$4) * _xlfn.NORM.S.INV(RAND())</f>
        <v>3.1894804391260197E-2</v>
      </c>
      <c r="U2559" s="59">
        <f ca="1">Dashboard!D$8* Dashboard!$F$4+Dashboard!D$10*SQRT(Dashboard!$F$4) * _xlfn.NORM.S.INV(RAND())</f>
        <v>-6.9344469047965445E-3</v>
      </c>
    </row>
    <row r="2560" spans="18:21" x14ac:dyDescent="0.2">
      <c r="R2560" s="49">
        <v>2558</v>
      </c>
      <c r="S2560" s="59">
        <f ca="1">Dashboard!B$8* Dashboard!$F$4+Dashboard!B$10*SQRT(Dashboard!$F$4) * _xlfn.NORM.S.INV(RAND())</f>
        <v>-7.4987688420990864E-2</v>
      </c>
      <c r="T2560" s="59">
        <f ca="1">Dashboard!C$8* Dashboard!$F$4+Dashboard!C$10*SQRT(Dashboard!$F$4) * _xlfn.NORM.S.INV(RAND())</f>
        <v>2.1977235576439599E-2</v>
      </c>
      <c r="U2560" s="59">
        <f ca="1">Dashboard!D$8* Dashboard!$F$4+Dashboard!D$10*SQRT(Dashboard!$F$4) * _xlfn.NORM.S.INV(RAND())</f>
        <v>-3.8389305251937539E-2</v>
      </c>
    </row>
    <row r="2561" spans="18:21" x14ac:dyDescent="0.2">
      <c r="R2561" s="49">
        <v>2559</v>
      </c>
      <c r="S2561" s="59">
        <f ca="1">Dashboard!B$8* Dashboard!$F$4+Dashboard!B$10*SQRT(Dashboard!$F$4) * _xlfn.NORM.S.INV(RAND())</f>
        <v>-6.5589374827924291E-2</v>
      </c>
      <c r="T2561" s="59">
        <f ca="1">Dashboard!C$8* Dashboard!$F$4+Dashboard!C$10*SQRT(Dashboard!$F$4) * _xlfn.NORM.S.INV(RAND())</f>
        <v>1.8182592005538283E-2</v>
      </c>
      <c r="U2561" s="59">
        <f ca="1">Dashboard!D$8* Dashboard!$F$4+Dashboard!D$10*SQRT(Dashboard!$F$4) * _xlfn.NORM.S.INV(RAND())</f>
        <v>-4.1316448891120086E-2</v>
      </c>
    </row>
    <row r="2562" spans="18:21" x14ac:dyDescent="0.2">
      <c r="R2562" s="49">
        <v>2560</v>
      </c>
      <c r="S2562" s="59">
        <f ca="1">Dashboard!B$8* Dashboard!$F$4+Dashboard!B$10*SQRT(Dashboard!$F$4) * _xlfn.NORM.S.INV(RAND())</f>
        <v>6.3058405284802443E-2</v>
      </c>
      <c r="T2562" s="59">
        <f ca="1">Dashboard!C$8* Dashboard!$F$4+Dashboard!C$10*SQRT(Dashboard!$F$4) * _xlfn.NORM.S.INV(RAND())</f>
        <v>6.9547153687084834E-2</v>
      </c>
      <c r="U2562" s="59">
        <f ca="1">Dashboard!D$8* Dashboard!$F$4+Dashboard!D$10*SQRT(Dashboard!$F$4) * _xlfn.NORM.S.INV(RAND())</f>
        <v>-2.8377259546331655E-2</v>
      </c>
    </row>
    <row r="2563" spans="18:21" x14ac:dyDescent="0.2">
      <c r="R2563" s="49">
        <v>2561</v>
      </c>
      <c r="S2563" s="59">
        <f ca="1">Dashboard!B$8* Dashboard!$F$4+Dashboard!B$10*SQRT(Dashboard!$F$4) * _xlfn.NORM.S.INV(RAND())</f>
        <v>1.02873994452304E-2</v>
      </c>
      <c r="T2563" s="59">
        <f ca="1">Dashboard!C$8* Dashboard!$F$4+Dashboard!C$10*SQRT(Dashboard!$F$4) * _xlfn.NORM.S.INV(RAND())</f>
        <v>2.6669262240175875E-3</v>
      </c>
      <c r="U2563" s="59">
        <f ca="1">Dashboard!D$8* Dashboard!$F$4+Dashboard!D$10*SQRT(Dashboard!$F$4) * _xlfn.NORM.S.INV(RAND())</f>
        <v>-5.7811599421711379E-2</v>
      </c>
    </row>
    <row r="2564" spans="18:21" x14ac:dyDescent="0.2">
      <c r="R2564" s="49">
        <v>2562</v>
      </c>
      <c r="S2564" s="59">
        <f ca="1">Dashboard!B$8* Dashboard!$F$4+Dashboard!B$10*SQRT(Dashboard!$F$4) * _xlfn.NORM.S.INV(RAND())</f>
        <v>1.6262999645228239E-2</v>
      </c>
      <c r="T2564" s="59">
        <f ca="1">Dashboard!C$8* Dashboard!$F$4+Dashboard!C$10*SQRT(Dashboard!$F$4) * _xlfn.NORM.S.INV(RAND())</f>
        <v>-2.5139705150686142E-2</v>
      </c>
      <c r="U2564" s="59">
        <f ca="1">Dashboard!D$8* Dashboard!$F$4+Dashboard!D$10*SQRT(Dashboard!$F$4) * _xlfn.NORM.S.INV(RAND())</f>
        <v>-7.8537378867077432E-3</v>
      </c>
    </row>
    <row r="2565" spans="18:21" x14ac:dyDescent="0.2">
      <c r="R2565" s="49">
        <v>2563</v>
      </c>
      <c r="S2565" s="59">
        <f ca="1">Dashboard!B$8* Dashboard!$F$4+Dashboard!B$10*SQRT(Dashboard!$F$4) * _xlfn.NORM.S.INV(RAND())</f>
        <v>1.54120449311801E-2</v>
      </c>
      <c r="T2565" s="59">
        <f ca="1">Dashboard!C$8* Dashboard!$F$4+Dashboard!C$10*SQRT(Dashboard!$F$4) * _xlfn.NORM.S.INV(RAND())</f>
        <v>4.2272261597580602E-2</v>
      </c>
      <c r="U2565" s="59">
        <f ca="1">Dashboard!D$8* Dashboard!$F$4+Dashboard!D$10*SQRT(Dashboard!$F$4) * _xlfn.NORM.S.INV(RAND())</f>
        <v>1.6111674134421335E-2</v>
      </c>
    </row>
    <row r="2566" spans="18:21" x14ac:dyDescent="0.2">
      <c r="R2566" s="49">
        <v>2564</v>
      </c>
      <c r="S2566" s="59">
        <f ca="1">Dashboard!B$8* Dashboard!$F$4+Dashboard!B$10*SQRT(Dashboard!$F$4) * _xlfn.NORM.S.INV(RAND())</f>
        <v>7.3064232743926903E-3</v>
      </c>
      <c r="T2566" s="59">
        <f ca="1">Dashboard!C$8* Dashboard!$F$4+Dashboard!C$10*SQRT(Dashboard!$F$4) * _xlfn.NORM.S.INV(RAND())</f>
        <v>-3.4888307243539321E-2</v>
      </c>
      <c r="U2566" s="59">
        <f ca="1">Dashboard!D$8* Dashboard!$F$4+Dashboard!D$10*SQRT(Dashboard!$F$4) * _xlfn.NORM.S.INV(RAND())</f>
        <v>-7.668622174131659E-2</v>
      </c>
    </row>
    <row r="2567" spans="18:21" x14ac:dyDescent="0.2">
      <c r="R2567" s="49">
        <v>2565</v>
      </c>
      <c r="S2567" s="59">
        <f ca="1">Dashboard!B$8* Dashboard!$F$4+Dashboard!B$10*SQRT(Dashboard!$F$4) * _xlfn.NORM.S.INV(RAND())</f>
        <v>-2.131651410294607E-2</v>
      </c>
      <c r="T2567" s="59">
        <f ca="1">Dashboard!C$8* Dashboard!$F$4+Dashboard!C$10*SQRT(Dashboard!$F$4) * _xlfn.NORM.S.INV(RAND())</f>
        <v>-4.8303865971234686E-3</v>
      </c>
      <c r="U2567" s="59">
        <f ca="1">Dashboard!D$8* Dashboard!$F$4+Dashboard!D$10*SQRT(Dashboard!$F$4) * _xlfn.NORM.S.INV(RAND())</f>
        <v>-3.2869110032099143E-2</v>
      </c>
    </row>
    <row r="2568" spans="18:21" x14ac:dyDescent="0.2">
      <c r="R2568" s="49">
        <v>2566</v>
      </c>
      <c r="S2568" s="59">
        <f ca="1">Dashboard!B$8* Dashboard!$F$4+Dashboard!B$10*SQRT(Dashboard!$F$4) * _xlfn.NORM.S.INV(RAND())</f>
        <v>-5.5953987305173966E-2</v>
      </c>
      <c r="T2568" s="59">
        <f ca="1">Dashboard!C$8* Dashboard!$F$4+Dashboard!C$10*SQRT(Dashboard!$F$4) * _xlfn.NORM.S.INV(RAND())</f>
        <v>4.0483459615561053E-2</v>
      </c>
      <c r="U2568" s="59">
        <f ca="1">Dashboard!D$8* Dashboard!$F$4+Dashboard!D$10*SQRT(Dashboard!$F$4) * _xlfn.NORM.S.INV(RAND())</f>
        <v>-1.7781542161659194E-2</v>
      </c>
    </row>
    <row r="2569" spans="18:21" x14ac:dyDescent="0.2">
      <c r="R2569" s="49">
        <v>2567</v>
      </c>
      <c r="S2569" s="59">
        <f ca="1">Dashboard!B$8* Dashboard!$F$4+Dashboard!B$10*SQRT(Dashboard!$F$4) * _xlfn.NORM.S.INV(RAND())</f>
        <v>-2.7038049769277685E-3</v>
      </c>
      <c r="T2569" s="59">
        <f ca="1">Dashboard!C$8* Dashboard!$F$4+Dashboard!C$10*SQRT(Dashboard!$F$4) * _xlfn.NORM.S.INV(RAND())</f>
        <v>-2.2607915196416681E-2</v>
      </c>
      <c r="U2569" s="59">
        <f ca="1">Dashboard!D$8* Dashboard!$F$4+Dashboard!D$10*SQRT(Dashboard!$F$4) * _xlfn.NORM.S.INV(RAND())</f>
        <v>4.971476341426263E-3</v>
      </c>
    </row>
    <row r="2570" spans="18:21" x14ac:dyDescent="0.2">
      <c r="R2570" s="49">
        <v>2568</v>
      </c>
      <c r="S2570" s="59">
        <f ca="1">Dashboard!B$8* Dashboard!$F$4+Dashboard!B$10*SQRT(Dashboard!$F$4) * _xlfn.NORM.S.INV(RAND())</f>
        <v>1.1391275797920757E-2</v>
      </c>
      <c r="T2570" s="59">
        <f ca="1">Dashboard!C$8* Dashboard!$F$4+Dashboard!C$10*SQRT(Dashboard!$F$4) * _xlfn.NORM.S.INV(RAND())</f>
        <v>2.2453049823124287E-2</v>
      </c>
      <c r="U2570" s="59">
        <f ca="1">Dashboard!D$8* Dashboard!$F$4+Dashboard!D$10*SQRT(Dashboard!$F$4) * _xlfn.NORM.S.INV(RAND())</f>
        <v>2.0766608747376732E-2</v>
      </c>
    </row>
    <row r="2571" spans="18:21" x14ac:dyDescent="0.2">
      <c r="R2571" s="49">
        <v>2569</v>
      </c>
      <c r="S2571" s="59">
        <f ca="1">Dashboard!B$8* Dashboard!$F$4+Dashboard!B$10*SQRT(Dashboard!$F$4) * _xlfn.NORM.S.INV(RAND())</f>
        <v>2.9891592403463736E-2</v>
      </c>
      <c r="T2571" s="59">
        <f ca="1">Dashboard!C$8* Dashboard!$F$4+Dashboard!C$10*SQRT(Dashboard!$F$4) * _xlfn.NORM.S.INV(RAND())</f>
        <v>-2.1574734227410082E-2</v>
      </c>
      <c r="U2571" s="59">
        <f ca="1">Dashboard!D$8* Dashboard!$F$4+Dashboard!D$10*SQRT(Dashboard!$F$4) * _xlfn.NORM.S.INV(RAND())</f>
        <v>-1.3610822040211995E-2</v>
      </c>
    </row>
    <row r="2572" spans="18:21" x14ac:dyDescent="0.2">
      <c r="R2572" s="49">
        <v>2570</v>
      </c>
      <c r="S2572" s="59">
        <f ca="1">Dashboard!B$8* Dashboard!$F$4+Dashboard!B$10*SQRT(Dashboard!$F$4) * _xlfn.NORM.S.INV(RAND())</f>
        <v>5.8532301838691972E-2</v>
      </c>
      <c r="T2572" s="59">
        <f ca="1">Dashboard!C$8* Dashboard!$F$4+Dashboard!C$10*SQRT(Dashboard!$F$4) * _xlfn.NORM.S.INV(RAND())</f>
        <v>8.7411948317141691E-2</v>
      </c>
      <c r="U2572" s="59">
        <f ca="1">Dashboard!D$8* Dashboard!$F$4+Dashboard!D$10*SQRT(Dashboard!$F$4) * _xlfn.NORM.S.INV(RAND())</f>
        <v>1.9198446621192019E-2</v>
      </c>
    </row>
    <row r="2573" spans="18:21" x14ac:dyDescent="0.2">
      <c r="R2573" s="49">
        <v>2571</v>
      </c>
      <c r="S2573" s="59">
        <f ca="1">Dashboard!B$8* Dashboard!$F$4+Dashboard!B$10*SQRT(Dashboard!$F$4) * _xlfn.NORM.S.INV(RAND())</f>
        <v>1.0509281337081493E-2</v>
      </c>
      <c r="T2573" s="59">
        <f ca="1">Dashboard!C$8* Dashboard!$F$4+Dashboard!C$10*SQRT(Dashboard!$F$4) * _xlfn.NORM.S.INV(RAND())</f>
        <v>-3.2064262113402058E-3</v>
      </c>
      <c r="U2573" s="59">
        <f ca="1">Dashboard!D$8* Dashboard!$F$4+Dashboard!D$10*SQRT(Dashboard!$F$4) * _xlfn.NORM.S.INV(RAND())</f>
        <v>4.0347667824908354E-2</v>
      </c>
    </row>
    <row r="2574" spans="18:21" x14ac:dyDescent="0.2">
      <c r="R2574" s="49">
        <v>2572</v>
      </c>
      <c r="S2574" s="59">
        <f ca="1">Dashboard!B$8* Dashboard!$F$4+Dashboard!B$10*SQRT(Dashboard!$F$4) * _xlfn.NORM.S.INV(RAND())</f>
        <v>-1.6774210060419615E-2</v>
      </c>
      <c r="T2574" s="59">
        <f ca="1">Dashboard!C$8* Dashboard!$F$4+Dashboard!C$10*SQRT(Dashboard!$F$4) * _xlfn.NORM.S.INV(RAND())</f>
        <v>-1.8345077438552314E-2</v>
      </c>
      <c r="U2574" s="59">
        <f ca="1">Dashboard!D$8* Dashboard!$F$4+Dashboard!D$10*SQRT(Dashboard!$F$4) * _xlfn.NORM.S.INV(RAND())</f>
        <v>4.2360387069171604E-3</v>
      </c>
    </row>
    <row r="2575" spans="18:21" x14ac:dyDescent="0.2">
      <c r="R2575" s="49">
        <v>2573</v>
      </c>
      <c r="S2575" s="59">
        <f ca="1">Dashboard!B$8* Dashboard!$F$4+Dashboard!B$10*SQRT(Dashboard!$F$4) * _xlfn.NORM.S.INV(RAND())</f>
        <v>-3.1434728743044097E-4</v>
      </c>
      <c r="T2575" s="59">
        <f ca="1">Dashboard!C$8* Dashboard!$F$4+Dashboard!C$10*SQRT(Dashboard!$F$4) * _xlfn.NORM.S.INV(RAND())</f>
        <v>1.94336094841801E-2</v>
      </c>
      <c r="U2575" s="59">
        <f ca="1">Dashboard!D$8* Dashboard!$F$4+Dashboard!D$10*SQRT(Dashboard!$F$4) * _xlfn.NORM.S.INV(RAND())</f>
        <v>3.2446059862460484E-2</v>
      </c>
    </row>
    <row r="2576" spans="18:21" x14ac:dyDescent="0.2">
      <c r="R2576" s="49">
        <v>2574</v>
      </c>
      <c r="S2576" s="59">
        <f ca="1">Dashboard!B$8* Dashboard!$F$4+Dashboard!B$10*SQRT(Dashboard!$F$4) * _xlfn.NORM.S.INV(RAND())</f>
        <v>2.8385195115793578E-2</v>
      </c>
      <c r="T2576" s="59">
        <f ca="1">Dashboard!C$8* Dashboard!$F$4+Dashboard!C$10*SQRT(Dashboard!$F$4) * _xlfn.NORM.S.INV(RAND())</f>
        <v>-2.1125902423808754E-2</v>
      </c>
      <c r="U2576" s="59">
        <f ca="1">Dashboard!D$8* Dashboard!$F$4+Dashboard!D$10*SQRT(Dashboard!$F$4) * _xlfn.NORM.S.INV(RAND())</f>
        <v>1.1180915496080222E-3</v>
      </c>
    </row>
    <row r="2577" spans="18:21" x14ac:dyDescent="0.2">
      <c r="R2577" s="49">
        <v>2575</v>
      </c>
      <c r="S2577" s="59">
        <f ca="1">Dashboard!B$8* Dashboard!$F$4+Dashboard!B$10*SQRT(Dashboard!$F$4) * _xlfn.NORM.S.INV(RAND())</f>
        <v>-2.2836413286360262E-2</v>
      </c>
      <c r="T2577" s="59">
        <f ca="1">Dashboard!C$8* Dashboard!$F$4+Dashboard!C$10*SQRT(Dashboard!$F$4) * _xlfn.NORM.S.INV(RAND())</f>
        <v>-2.539947029278752E-3</v>
      </c>
      <c r="U2577" s="59">
        <f ca="1">Dashboard!D$8* Dashboard!$F$4+Dashboard!D$10*SQRT(Dashboard!$F$4) * _xlfn.NORM.S.INV(RAND())</f>
        <v>-5.7427971784283313E-2</v>
      </c>
    </row>
    <row r="2578" spans="18:21" x14ac:dyDescent="0.2">
      <c r="R2578" s="49">
        <v>2576</v>
      </c>
      <c r="S2578" s="59">
        <f ca="1">Dashboard!B$8* Dashboard!$F$4+Dashboard!B$10*SQRT(Dashboard!$F$4) * _xlfn.NORM.S.INV(RAND())</f>
        <v>3.5275167364518807E-2</v>
      </c>
      <c r="T2578" s="59">
        <f ca="1">Dashboard!C$8* Dashboard!$F$4+Dashboard!C$10*SQRT(Dashboard!$F$4) * _xlfn.NORM.S.INV(RAND())</f>
        <v>-2.8391080362055E-2</v>
      </c>
      <c r="U2578" s="59">
        <f ca="1">Dashboard!D$8* Dashboard!$F$4+Dashboard!D$10*SQRT(Dashboard!$F$4) * _xlfn.NORM.S.INV(RAND())</f>
        <v>-1.8062135119790733E-2</v>
      </c>
    </row>
    <row r="2579" spans="18:21" x14ac:dyDescent="0.2">
      <c r="R2579" s="49">
        <v>2577</v>
      </c>
      <c r="S2579" s="59">
        <f ca="1">Dashboard!B$8* Dashboard!$F$4+Dashboard!B$10*SQRT(Dashboard!$F$4) * _xlfn.NORM.S.INV(RAND())</f>
        <v>1.8398932633076175E-2</v>
      </c>
      <c r="T2579" s="59">
        <f ca="1">Dashboard!C$8* Dashboard!$F$4+Dashboard!C$10*SQRT(Dashboard!$F$4) * _xlfn.NORM.S.INV(RAND())</f>
        <v>4.1557516528893876E-2</v>
      </c>
      <c r="U2579" s="59">
        <f ca="1">Dashboard!D$8* Dashboard!$F$4+Dashboard!D$10*SQRT(Dashboard!$F$4) * _xlfn.NORM.S.INV(RAND())</f>
        <v>7.2022918539425083E-3</v>
      </c>
    </row>
    <row r="2580" spans="18:21" x14ac:dyDescent="0.2">
      <c r="R2580" s="49">
        <v>2578</v>
      </c>
      <c r="S2580" s="59">
        <f ca="1">Dashboard!B$8* Dashboard!$F$4+Dashboard!B$10*SQRT(Dashboard!$F$4) * _xlfn.NORM.S.INV(RAND())</f>
        <v>-2.0384715594924149E-2</v>
      </c>
      <c r="T2580" s="59">
        <f ca="1">Dashboard!C$8* Dashboard!$F$4+Dashboard!C$10*SQRT(Dashboard!$F$4) * _xlfn.NORM.S.INV(RAND())</f>
        <v>-2.8694452289319047E-4</v>
      </c>
      <c r="U2580" s="59">
        <f ca="1">Dashboard!D$8* Dashboard!$F$4+Dashboard!D$10*SQRT(Dashboard!$F$4) * _xlfn.NORM.S.INV(RAND())</f>
        <v>1.9415404720544045E-2</v>
      </c>
    </row>
    <row r="2581" spans="18:21" x14ac:dyDescent="0.2">
      <c r="R2581" s="49">
        <v>2579</v>
      </c>
      <c r="S2581" s="59">
        <f ca="1">Dashboard!B$8* Dashboard!$F$4+Dashboard!B$10*SQRT(Dashboard!$F$4) * _xlfn.NORM.S.INV(RAND())</f>
        <v>3.5568523301559969E-2</v>
      </c>
      <c r="T2581" s="59">
        <f ca="1">Dashboard!C$8* Dashboard!$F$4+Dashboard!C$10*SQRT(Dashboard!$F$4) * _xlfn.NORM.S.INV(RAND())</f>
        <v>-3.0829896530870104E-2</v>
      </c>
      <c r="U2581" s="59">
        <f ca="1">Dashboard!D$8* Dashboard!$F$4+Dashboard!D$10*SQRT(Dashboard!$F$4) * _xlfn.NORM.S.INV(RAND())</f>
        <v>-6.461513217106799E-3</v>
      </c>
    </row>
    <row r="2582" spans="18:21" x14ac:dyDescent="0.2">
      <c r="R2582" s="49">
        <v>2580</v>
      </c>
      <c r="S2582" s="59">
        <f ca="1">Dashboard!B$8* Dashboard!$F$4+Dashboard!B$10*SQRT(Dashboard!$F$4) * _xlfn.NORM.S.INV(RAND())</f>
        <v>-3.2401869800933507E-2</v>
      </c>
      <c r="T2582" s="59">
        <f ca="1">Dashboard!C$8* Dashboard!$F$4+Dashboard!C$10*SQRT(Dashboard!$F$4) * _xlfn.NORM.S.INV(RAND())</f>
        <v>-2.8690246394234783E-2</v>
      </c>
      <c r="U2582" s="59">
        <f ca="1">Dashboard!D$8* Dashboard!$F$4+Dashboard!D$10*SQRT(Dashboard!$F$4) * _xlfn.NORM.S.INV(RAND())</f>
        <v>1.2987941672791702E-2</v>
      </c>
    </row>
    <row r="2583" spans="18:21" x14ac:dyDescent="0.2">
      <c r="R2583" s="49">
        <v>2581</v>
      </c>
      <c r="S2583" s="59">
        <f ca="1">Dashboard!B$8* Dashboard!$F$4+Dashboard!B$10*SQRT(Dashboard!$F$4) * _xlfn.NORM.S.INV(RAND())</f>
        <v>1.104614591241008E-2</v>
      </c>
      <c r="T2583" s="59">
        <f ca="1">Dashboard!C$8* Dashboard!$F$4+Dashboard!C$10*SQRT(Dashboard!$F$4) * _xlfn.NORM.S.INV(RAND())</f>
        <v>2.5547248174010623E-2</v>
      </c>
      <c r="U2583" s="59">
        <f ca="1">Dashboard!D$8* Dashboard!$F$4+Dashboard!D$10*SQRT(Dashboard!$F$4) * _xlfn.NORM.S.INV(RAND())</f>
        <v>-4.0260949267091443E-2</v>
      </c>
    </row>
    <row r="2584" spans="18:21" x14ac:dyDescent="0.2">
      <c r="R2584" s="49">
        <v>2582</v>
      </c>
      <c r="S2584" s="59">
        <f ca="1">Dashboard!B$8* Dashboard!$F$4+Dashboard!B$10*SQRT(Dashboard!$F$4) * _xlfn.NORM.S.INV(RAND())</f>
        <v>9.4277656844546764E-3</v>
      </c>
      <c r="T2584" s="59">
        <f ca="1">Dashboard!C$8* Dashboard!$F$4+Dashboard!C$10*SQRT(Dashboard!$F$4) * _xlfn.NORM.S.INV(RAND())</f>
        <v>4.0726808421361147E-4</v>
      </c>
      <c r="U2584" s="59">
        <f ca="1">Dashboard!D$8* Dashboard!$F$4+Dashboard!D$10*SQRT(Dashboard!$F$4) * _xlfn.NORM.S.INV(RAND())</f>
        <v>-2.5679077898006174E-2</v>
      </c>
    </row>
    <row r="2585" spans="18:21" x14ac:dyDescent="0.2">
      <c r="R2585" s="49">
        <v>2583</v>
      </c>
      <c r="S2585" s="59">
        <f ca="1">Dashboard!B$8* Dashboard!$F$4+Dashboard!B$10*SQRT(Dashboard!$F$4) * _xlfn.NORM.S.INV(RAND())</f>
        <v>2.3647667109905075E-2</v>
      </c>
      <c r="T2585" s="59">
        <f ca="1">Dashboard!C$8* Dashboard!$F$4+Dashboard!C$10*SQRT(Dashboard!$F$4) * _xlfn.NORM.S.INV(RAND())</f>
        <v>8.6820020517884594E-2</v>
      </c>
      <c r="U2585" s="59">
        <f ca="1">Dashboard!D$8* Dashboard!$F$4+Dashboard!D$10*SQRT(Dashboard!$F$4) * _xlfn.NORM.S.INV(RAND())</f>
        <v>-5.3787551260607108E-2</v>
      </c>
    </row>
    <row r="2586" spans="18:21" x14ac:dyDescent="0.2">
      <c r="R2586" s="49">
        <v>2584</v>
      </c>
      <c r="S2586" s="59">
        <f ca="1">Dashboard!B$8* Dashboard!$F$4+Dashboard!B$10*SQRT(Dashboard!$F$4) * _xlfn.NORM.S.INV(RAND())</f>
        <v>-1.9872748850347476E-2</v>
      </c>
      <c r="T2586" s="59">
        <f ca="1">Dashboard!C$8* Dashboard!$F$4+Dashboard!C$10*SQRT(Dashboard!$F$4) * _xlfn.NORM.S.INV(RAND())</f>
        <v>-8.0153636715678683E-3</v>
      </c>
      <c r="U2586" s="59">
        <f ca="1">Dashboard!D$8* Dashboard!$F$4+Dashboard!D$10*SQRT(Dashboard!$F$4) * _xlfn.NORM.S.INV(RAND())</f>
        <v>9.7292392269469914E-3</v>
      </c>
    </row>
    <row r="2587" spans="18:21" x14ac:dyDescent="0.2">
      <c r="R2587" s="49">
        <v>2585</v>
      </c>
      <c r="S2587" s="59">
        <f ca="1">Dashboard!B$8* Dashboard!$F$4+Dashboard!B$10*SQRT(Dashboard!$F$4) * _xlfn.NORM.S.INV(RAND())</f>
        <v>-1.1662150057735912E-3</v>
      </c>
      <c r="T2587" s="59">
        <f ca="1">Dashboard!C$8* Dashboard!$F$4+Dashboard!C$10*SQRT(Dashboard!$F$4) * _xlfn.NORM.S.INV(RAND())</f>
        <v>-8.9364967739193647E-3</v>
      </c>
      <c r="U2587" s="59">
        <f ca="1">Dashboard!D$8* Dashboard!$F$4+Dashboard!D$10*SQRT(Dashboard!$F$4) * _xlfn.NORM.S.INV(RAND())</f>
        <v>-2.5083134171625939E-2</v>
      </c>
    </row>
    <row r="2588" spans="18:21" x14ac:dyDescent="0.2">
      <c r="R2588" s="49">
        <v>2586</v>
      </c>
      <c r="S2588" s="59">
        <f ca="1">Dashboard!B$8* Dashboard!$F$4+Dashboard!B$10*SQRT(Dashboard!$F$4) * _xlfn.NORM.S.INV(RAND())</f>
        <v>2.7323553765175576E-2</v>
      </c>
      <c r="T2588" s="59">
        <f ca="1">Dashboard!C$8* Dashboard!$F$4+Dashboard!C$10*SQRT(Dashboard!$F$4) * _xlfn.NORM.S.INV(RAND())</f>
        <v>2.5403623583394701E-2</v>
      </c>
      <c r="U2588" s="59">
        <f ca="1">Dashboard!D$8* Dashboard!$F$4+Dashboard!D$10*SQRT(Dashboard!$F$4) * _xlfn.NORM.S.INV(RAND())</f>
        <v>2.8517339992273492E-2</v>
      </c>
    </row>
    <row r="2589" spans="18:21" x14ac:dyDescent="0.2">
      <c r="R2589" s="49">
        <v>2587</v>
      </c>
      <c r="S2589" s="59">
        <f ca="1">Dashboard!B$8* Dashboard!$F$4+Dashboard!B$10*SQRT(Dashboard!$F$4) * _xlfn.NORM.S.INV(RAND())</f>
        <v>1.7754270830317095E-2</v>
      </c>
      <c r="T2589" s="59">
        <f ca="1">Dashboard!C$8* Dashboard!$F$4+Dashboard!C$10*SQRT(Dashboard!$F$4) * _xlfn.NORM.S.INV(RAND())</f>
        <v>-3.0253622757736454E-2</v>
      </c>
      <c r="U2589" s="59">
        <f ca="1">Dashboard!D$8* Dashboard!$F$4+Dashboard!D$10*SQRT(Dashboard!$F$4) * _xlfn.NORM.S.INV(RAND())</f>
        <v>1.0537398135822334E-2</v>
      </c>
    </row>
    <row r="2590" spans="18:21" x14ac:dyDescent="0.2">
      <c r="R2590" s="49">
        <v>2588</v>
      </c>
      <c r="S2590" s="59">
        <f ca="1">Dashboard!B$8* Dashboard!$F$4+Dashboard!B$10*SQRT(Dashboard!$F$4) * _xlfn.NORM.S.INV(RAND())</f>
        <v>-4.5308871662632894E-2</v>
      </c>
      <c r="T2590" s="59">
        <f ca="1">Dashboard!C$8* Dashboard!$F$4+Dashboard!C$10*SQRT(Dashboard!$F$4) * _xlfn.NORM.S.INV(RAND())</f>
        <v>-1.5787500932266819E-2</v>
      </c>
      <c r="U2590" s="59">
        <f ca="1">Dashboard!D$8* Dashboard!$F$4+Dashboard!D$10*SQRT(Dashboard!$F$4) * _xlfn.NORM.S.INV(RAND())</f>
        <v>8.460681492551211E-3</v>
      </c>
    </row>
    <row r="2591" spans="18:21" x14ac:dyDescent="0.2">
      <c r="R2591" s="49">
        <v>2589</v>
      </c>
      <c r="S2591" s="59">
        <f ca="1">Dashboard!B$8* Dashboard!$F$4+Dashboard!B$10*SQRT(Dashboard!$F$4) * _xlfn.NORM.S.INV(RAND())</f>
        <v>-7.708762609517654E-2</v>
      </c>
      <c r="T2591" s="59">
        <f ca="1">Dashboard!C$8* Dashboard!$F$4+Dashboard!C$10*SQRT(Dashboard!$F$4) * _xlfn.NORM.S.INV(RAND())</f>
        <v>-1.7646102210975616E-2</v>
      </c>
      <c r="U2591" s="59">
        <f ca="1">Dashboard!D$8* Dashboard!$F$4+Dashboard!D$10*SQRT(Dashboard!$F$4) * _xlfn.NORM.S.INV(RAND())</f>
        <v>3.1124481615014202E-3</v>
      </c>
    </row>
    <row r="2592" spans="18:21" x14ac:dyDescent="0.2">
      <c r="R2592" s="49">
        <v>2590</v>
      </c>
      <c r="S2592" s="59">
        <f ca="1">Dashboard!B$8* Dashboard!$F$4+Dashboard!B$10*SQRT(Dashboard!$F$4) * _xlfn.NORM.S.INV(RAND())</f>
        <v>2.30543032835554E-2</v>
      </c>
      <c r="T2592" s="59">
        <f ca="1">Dashboard!C$8* Dashboard!$F$4+Dashboard!C$10*SQRT(Dashboard!$F$4) * _xlfn.NORM.S.INV(RAND())</f>
        <v>4.1764800384549272E-2</v>
      </c>
      <c r="U2592" s="59">
        <f ca="1">Dashboard!D$8* Dashboard!$F$4+Dashboard!D$10*SQRT(Dashboard!$F$4) * _xlfn.NORM.S.INV(RAND())</f>
        <v>1.9778728117937853E-3</v>
      </c>
    </row>
    <row r="2593" spans="18:21" x14ac:dyDescent="0.2">
      <c r="R2593" s="49">
        <v>2591</v>
      </c>
      <c r="S2593" s="59">
        <f ca="1">Dashboard!B$8* Dashboard!$F$4+Dashboard!B$10*SQRT(Dashboard!$F$4) * _xlfn.NORM.S.INV(RAND())</f>
        <v>-7.0123653214512333E-2</v>
      </c>
      <c r="T2593" s="59">
        <f ca="1">Dashboard!C$8* Dashboard!$F$4+Dashboard!C$10*SQRT(Dashboard!$F$4) * _xlfn.NORM.S.INV(RAND())</f>
        <v>7.1834593823718214E-3</v>
      </c>
      <c r="U2593" s="59">
        <f ca="1">Dashboard!D$8* Dashboard!$F$4+Dashboard!D$10*SQRT(Dashboard!$F$4) * _xlfn.NORM.S.INV(RAND())</f>
        <v>1.4063479093556083E-2</v>
      </c>
    </row>
    <row r="2594" spans="18:21" x14ac:dyDescent="0.2">
      <c r="R2594" s="49">
        <v>2592</v>
      </c>
      <c r="S2594" s="59">
        <f ca="1">Dashboard!B$8* Dashboard!$F$4+Dashboard!B$10*SQRT(Dashboard!$F$4) * _xlfn.NORM.S.INV(RAND())</f>
        <v>-6.3749138300625188E-2</v>
      </c>
      <c r="T2594" s="59">
        <f ca="1">Dashboard!C$8* Dashboard!$F$4+Dashboard!C$10*SQRT(Dashboard!$F$4) * _xlfn.NORM.S.INV(RAND())</f>
        <v>6.3316486380927323E-2</v>
      </c>
      <c r="U2594" s="59">
        <f ca="1">Dashboard!D$8* Dashboard!$F$4+Dashboard!D$10*SQRT(Dashboard!$F$4) * _xlfn.NORM.S.INV(RAND())</f>
        <v>-3.2778229941326835E-2</v>
      </c>
    </row>
    <row r="2595" spans="18:21" x14ac:dyDescent="0.2">
      <c r="R2595" s="49">
        <v>2593</v>
      </c>
      <c r="S2595" s="59">
        <f ca="1">Dashboard!B$8* Dashboard!$F$4+Dashboard!B$10*SQRT(Dashboard!$F$4) * _xlfn.NORM.S.INV(RAND())</f>
        <v>-4.6409654121363934E-2</v>
      </c>
      <c r="T2595" s="59">
        <f ca="1">Dashboard!C$8* Dashboard!$F$4+Dashboard!C$10*SQRT(Dashboard!$F$4) * _xlfn.NORM.S.INV(RAND())</f>
        <v>-3.5761372252505585E-2</v>
      </c>
      <c r="U2595" s="59">
        <f ca="1">Dashboard!D$8* Dashboard!$F$4+Dashboard!D$10*SQRT(Dashboard!$F$4) * _xlfn.NORM.S.INV(RAND())</f>
        <v>-4.6119134764033651E-3</v>
      </c>
    </row>
    <row r="2596" spans="18:21" x14ac:dyDescent="0.2">
      <c r="R2596" s="49">
        <v>2594</v>
      </c>
      <c r="S2596" s="59">
        <f ca="1">Dashboard!B$8* Dashboard!$F$4+Dashboard!B$10*SQRT(Dashboard!$F$4) * _xlfn.NORM.S.INV(RAND())</f>
        <v>-6.8001902247493237E-2</v>
      </c>
      <c r="T2596" s="59">
        <f ca="1">Dashboard!C$8* Dashboard!$F$4+Dashboard!C$10*SQRT(Dashboard!$F$4) * _xlfn.NORM.S.INV(RAND())</f>
        <v>1.1257250545985933E-2</v>
      </c>
      <c r="U2596" s="59">
        <f ca="1">Dashboard!D$8* Dashboard!$F$4+Dashboard!D$10*SQRT(Dashboard!$F$4) * _xlfn.NORM.S.INV(RAND())</f>
        <v>-2.7071523617047479E-2</v>
      </c>
    </row>
    <row r="2597" spans="18:21" x14ac:dyDescent="0.2">
      <c r="R2597" s="49">
        <v>2595</v>
      </c>
      <c r="S2597" s="59">
        <f ca="1">Dashboard!B$8* Dashboard!$F$4+Dashboard!B$10*SQRT(Dashboard!$F$4) * _xlfn.NORM.S.INV(RAND())</f>
        <v>-2.2395494868208535E-2</v>
      </c>
      <c r="T2597" s="59">
        <f ca="1">Dashboard!C$8* Dashboard!$F$4+Dashboard!C$10*SQRT(Dashboard!$F$4) * _xlfn.NORM.S.INV(RAND())</f>
        <v>1.885239936539734E-2</v>
      </c>
      <c r="U2597" s="59">
        <f ca="1">Dashboard!D$8* Dashboard!$F$4+Dashboard!D$10*SQRT(Dashboard!$F$4) * _xlfn.NORM.S.INV(RAND())</f>
        <v>-2.8763280485653141E-2</v>
      </c>
    </row>
    <row r="2598" spans="18:21" x14ac:dyDescent="0.2">
      <c r="R2598" s="49">
        <v>2596</v>
      </c>
      <c r="S2598" s="59">
        <f ca="1">Dashboard!B$8* Dashboard!$F$4+Dashboard!B$10*SQRT(Dashboard!$F$4) * _xlfn.NORM.S.INV(RAND())</f>
        <v>4.4227559182975166E-3</v>
      </c>
      <c r="T2598" s="59">
        <f ca="1">Dashboard!C$8* Dashboard!$F$4+Dashboard!C$10*SQRT(Dashboard!$F$4) * _xlfn.NORM.S.INV(RAND())</f>
        <v>6.864580617128393E-3</v>
      </c>
      <c r="U2598" s="59">
        <f ca="1">Dashboard!D$8* Dashboard!$F$4+Dashboard!D$10*SQRT(Dashboard!$F$4) * _xlfn.NORM.S.INV(RAND())</f>
        <v>-4.0469413321719681E-2</v>
      </c>
    </row>
    <row r="2599" spans="18:21" x14ac:dyDescent="0.2">
      <c r="R2599" s="49">
        <v>2597</v>
      </c>
      <c r="S2599" s="59">
        <f ca="1">Dashboard!B$8* Dashboard!$F$4+Dashboard!B$10*SQRT(Dashboard!$F$4) * _xlfn.NORM.S.INV(RAND())</f>
        <v>-2.4948294702907825E-2</v>
      </c>
      <c r="T2599" s="59">
        <f ca="1">Dashboard!C$8* Dashboard!$F$4+Dashboard!C$10*SQRT(Dashboard!$F$4) * _xlfn.NORM.S.INV(RAND())</f>
        <v>-3.3881341869940315E-3</v>
      </c>
      <c r="U2599" s="59">
        <f ca="1">Dashboard!D$8* Dashboard!$F$4+Dashboard!D$10*SQRT(Dashboard!$F$4) * _xlfn.NORM.S.INV(RAND())</f>
        <v>2.3330608481701633E-2</v>
      </c>
    </row>
    <row r="2600" spans="18:21" x14ac:dyDescent="0.2">
      <c r="R2600" s="49">
        <v>2598</v>
      </c>
      <c r="S2600" s="59">
        <f ca="1">Dashboard!B$8* Dashboard!$F$4+Dashboard!B$10*SQRT(Dashboard!$F$4) * _xlfn.NORM.S.INV(RAND())</f>
        <v>-6.3131672943160001E-3</v>
      </c>
      <c r="T2600" s="59">
        <f ca="1">Dashboard!C$8* Dashboard!$F$4+Dashboard!C$10*SQRT(Dashboard!$F$4) * _xlfn.NORM.S.INV(RAND())</f>
        <v>1.9800372309738832E-2</v>
      </c>
      <c r="U2600" s="59">
        <f ca="1">Dashboard!D$8* Dashboard!$F$4+Dashboard!D$10*SQRT(Dashboard!$F$4) * _xlfn.NORM.S.INV(RAND())</f>
        <v>7.8112387390975738E-3</v>
      </c>
    </row>
    <row r="2601" spans="18:21" x14ac:dyDescent="0.2">
      <c r="R2601" s="49">
        <v>2599</v>
      </c>
      <c r="S2601" s="59">
        <f ca="1">Dashboard!B$8* Dashboard!$F$4+Dashboard!B$10*SQRT(Dashboard!$F$4) * _xlfn.NORM.S.INV(RAND())</f>
        <v>5.3621314108335698E-2</v>
      </c>
      <c r="T2601" s="59">
        <f ca="1">Dashboard!C$8* Dashboard!$F$4+Dashboard!C$10*SQRT(Dashboard!$F$4) * _xlfn.NORM.S.INV(RAND())</f>
        <v>-2.8920776308074729E-3</v>
      </c>
      <c r="U2601" s="59">
        <f ca="1">Dashboard!D$8* Dashboard!$F$4+Dashboard!D$10*SQRT(Dashboard!$F$4) * _xlfn.NORM.S.INV(RAND())</f>
        <v>7.0462224295828255E-3</v>
      </c>
    </row>
    <row r="2602" spans="18:21" x14ac:dyDescent="0.2">
      <c r="R2602" s="49">
        <v>2600</v>
      </c>
      <c r="S2602" s="59">
        <f ca="1">Dashboard!B$8* Dashboard!$F$4+Dashboard!B$10*SQRT(Dashboard!$F$4) * _xlfn.NORM.S.INV(RAND())</f>
        <v>-2.4518769496445283E-2</v>
      </c>
      <c r="T2602" s="59">
        <f ca="1">Dashboard!C$8* Dashboard!$F$4+Dashboard!C$10*SQRT(Dashboard!$F$4) * _xlfn.NORM.S.INV(RAND())</f>
        <v>2.3281724983426422E-3</v>
      </c>
      <c r="U2602" s="59">
        <f ca="1">Dashboard!D$8* Dashboard!$F$4+Dashboard!D$10*SQRT(Dashboard!$F$4) * _xlfn.NORM.S.INV(RAND())</f>
        <v>4.7191897699673122E-2</v>
      </c>
    </row>
    <row r="2603" spans="18:21" x14ac:dyDescent="0.2">
      <c r="R2603" s="49">
        <v>2601</v>
      </c>
      <c r="S2603" s="59">
        <f ca="1">Dashboard!B$8* Dashboard!$F$4+Dashboard!B$10*SQRT(Dashboard!$F$4) * _xlfn.NORM.S.INV(RAND())</f>
        <v>-3.3117019984334535E-2</v>
      </c>
      <c r="T2603" s="59">
        <f ca="1">Dashboard!C$8* Dashboard!$F$4+Dashboard!C$10*SQRT(Dashboard!$F$4) * _xlfn.NORM.S.INV(RAND())</f>
        <v>-4.462251806983341E-2</v>
      </c>
      <c r="U2603" s="59">
        <f ca="1">Dashboard!D$8* Dashboard!$F$4+Dashboard!D$10*SQRT(Dashboard!$F$4) * _xlfn.NORM.S.INV(RAND())</f>
        <v>-3.9401462778419286E-2</v>
      </c>
    </row>
    <row r="2604" spans="18:21" x14ac:dyDescent="0.2">
      <c r="R2604" s="49">
        <v>2602</v>
      </c>
      <c r="S2604" s="59">
        <f ca="1">Dashboard!B$8* Dashboard!$F$4+Dashboard!B$10*SQRT(Dashboard!$F$4) * _xlfn.NORM.S.INV(RAND())</f>
        <v>-7.4728203745419691E-2</v>
      </c>
      <c r="T2604" s="59">
        <f ca="1">Dashboard!C$8* Dashboard!$F$4+Dashboard!C$10*SQRT(Dashboard!$F$4) * _xlfn.NORM.S.INV(RAND())</f>
        <v>3.0860774029585952E-2</v>
      </c>
      <c r="U2604" s="59">
        <f ca="1">Dashboard!D$8* Dashboard!$F$4+Dashboard!D$10*SQRT(Dashboard!$F$4) * _xlfn.NORM.S.INV(RAND())</f>
        <v>1.2832886882059635E-2</v>
      </c>
    </row>
    <row r="2605" spans="18:21" x14ac:dyDescent="0.2">
      <c r="R2605" s="49">
        <v>2603</v>
      </c>
      <c r="S2605" s="59">
        <f ca="1">Dashboard!B$8* Dashboard!$F$4+Dashboard!B$10*SQRT(Dashboard!$F$4) * _xlfn.NORM.S.INV(RAND())</f>
        <v>4.5685012631534998E-3</v>
      </c>
      <c r="T2605" s="59">
        <f ca="1">Dashboard!C$8* Dashboard!$F$4+Dashboard!C$10*SQRT(Dashboard!$F$4) * _xlfn.NORM.S.INV(RAND())</f>
        <v>3.0626357041374404E-3</v>
      </c>
      <c r="U2605" s="59">
        <f ca="1">Dashboard!D$8* Dashboard!$F$4+Dashboard!D$10*SQRT(Dashboard!$F$4) * _xlfn.NORM.S.INV(RAND())</f>
        <v>-5.4523279510232801E-2</v>
      </c>
    </row>
    <row r="2606" spans="18:21" x14ac:dyDescent="0.2">
      <c r="R2606" s="49">
        <v>2604</v>
      </c>
      <c r="S2606" s="59">
        <f ca="1">Dashboard!B$8* Dashboard!$F$4+Dashboard!B$10*SQRT(Dashboard!$F$4) * _xlfn.NORM.S.INV(RAND())</f>
        <v>5.6303353208232952E-2</v>
      </c>
      <c r="T2606" s="59">
        <f ca="1">Dashboard!C$8* Dashboard!$F$4+Dashboard!C$10*SQRT(Dashboard!$F$4) * _xlfn.NORM.S.INV(RAND())</f>
        <v>-1.5353292038319342E-2</v>
      </c>
      <c r="U2606" s="59">
        <f ca="1">Dashboard!D$8* Dashboard!$F$4+Dashboard!D$10*SQRT(Dashboard!$F$4) * _xlfn.NORM.S.INV(RAND())</f>
        <v>-1.4628385916415347E-2</v>
      </c>
    </row>
    <row r="2607" spans="18:21" x14ac:dyDescent="0.2">
      <c r="R2607" s="49">
        <v>2605</v>
      </c>
      <c r="S2607" s="59">
        <f ca="1">Dashboard!B$8* Dashboard!$F$4+Dashboard!B$10*SQRT(Dashboard!$F$4) * _xlfn.NORM.S.INV(RAND())</f>
        <v>-1.0354272509558072E-2</v>
      </c>
      <c r="T2607" s="59">
        <f ca="1">Dashboard!C$8* Dashboard!$F$4+Dashboard!C$10*SQRT(Dashboard!$F$4) * _xlfn.NORM.S.INV(RAND())</f>
        <v>-3.3943899645582525E-2</v>
      </c>
      <c r="U2607" s="59">
        <f ca="1">Dashboard!D$8* Dashboard!$F$4+Dashboard!D$10*SQRT(Dashboard!$F$4) * _xlfn.NORM.S.INV(RAND())</f>
        <v>-4.6373444504630254E-2</v>
      </c>
    </row>
    <row r="2608" spans="18:21" x14ac:dyDescent="0.2">
      <c r="R2608" s="49">
        <v>2606</v>
      </c>
      <c r="S2608" s="59">
        <f ca="1">Dashboard!B$8* Dashboard!$F$4+Dashboard!B$10*SQRT(Dashboard!$F$4) * _xlfn.NORM.S.INV(RAND())</f>
        <v>-3.6056673514597848E-2</v>
      </c>
      <c r="T2608" s="59">
        <f ca="1">Dashboard!C$8* Dashboard!$F$4+Dashboard!C$10*SQRT(Dashboard!$F$4) * _xlfn.NORM.S.INV(RAND())</f>
        <v>-7.6300261775996457E-3</v>
      </c>
      <c r="U2608" s="59">
        <f ca="1">Dashboard!D$8* Dashboard!$F$4+Dashboard!D$10*SQRT(Dashboard!$F$4) * _xlfn.NORM.S.INV(RAND())</f>
        <v>-1.9142341056216507E-2</v>
      </c>
    </row>
    <row r="2609" spans="18:21" x14ac:dyDescent="0.2">
      <c r="R2609" s="49">
        <v>2607</v>
      </c>
      <c r="S2609" s="59">
        <f ca="1">Dashboard!B$8* Dashboard!$F$4+Dashboard!B$10*SQRT(Dashboard!$F$4) * _xlfn.NORM.S.INV(RAND())</f>
        <v>3.4308388120054552E-2</v>
      </c>
      <c r="T2609" s="59">
        <f ca="1">Dashboard!C$8* Dashboard!$F$4+Dashboard!C$10*SQRT(Dashboard!$F$4) * _xlfn.NORM.S.INV(RAND())</f>
        <v>-2.19356452205474E-2</v>
      </c>
      <c r="U2609" s="59">
        <f ca="1">Dashboard!D$8* Dashboard!$F$4+Dashboard!D$10*SQRT(Dashboard!$F$4) * _xlfn.NORM.S.INV(RAND())</f>
        <v>-2.3956692626172043E-2</v>
      </c>
    </row>
    <row r="2610" spans="18:21" x14ac:dyDescent="0.2">
      <c r="R2610" s="49">
        <v>2608</v>
      </c>
      <c r="S2610" s="59">
        <f ca="1">Dashboard!B$8* Dashboard!$F$4+Dashboard!B$10*SQRT(Dashboard!$F$4) * _xlfn.NORM.S.INV(RAND())</f>
        <v>-1.3999584385387379E-2</v>
      </c>
      <c r="T2610" s="59">
        <f ca="1">Dashboard!C$8* Dashboard!$F$4+Dashboard!C$10*SQRT(Dashboard!$F$4) * _xlfn.NORM.S.INV(RAND())</f>
        <v>1.6014287577866791E-2</v>
      </c>
      <c r="U2610" s="59">
        <f ca="1">Dashboard!D$8* Dashboard!$F$4+Dashboard!D$10*SQRT(Dashboard!$F$4) * _xlfn.NORM.S.INV(RAND())</f>
        <v>4.2426936662553996E-2</v>
      </c>
    </row>
    <row r="2611" spans="18:21" x14ac:dyDescent="0.2">
      <c r="R2611" s="49">
        <v>2609</v>
      </c>
      <c r="S2611" s="59">
        <f ca="1">Dashboard!B$8* Dashboard!$F$4+Dashboard!B$10*SQRT(Dashboard!$F$4) * _xlfn.NORM.S.INV(RAND())</f>
        <v>2.9778867622848287E-2</v>
      </c>
      <c r="T2611" s="59">
        <f ca="1">Dashboard!C$8* Dashboard!$F$4+Dashboard!C$10*SQRT(Dashboard!$F$4) * _xlfn.NORM.S.INV(RAND())</f>
        <v>5.2448437175229304E-2</v>
      </c>
      <c r="U2611" s="59">
        <f ca="1">Dashboard!D$8* Dashboard!$F$4+Dashboard!D$10*SQRT(Dashboard!$F$4) * _xlfn.NORM.S.INV(RAND())</f>
        <v>-5.7646601646814954E-2</v>
      </c>
    </row>
    <row r="2612" spans="18:21" x14ac:dyDescent="0.2">
      <c r="R2612" s="49">
        <v>2610</v>
      </c>
      <c r="S2612" s="59">
        <f ca="1">Dashboard!B$8* Dashboard!$F$4+Dashboard!B$10*SQRT(Dashboard!$F$4) * _xlfn.NORM.S.INV(RAND())</f>
        <v>3.1491122634798994E-2</v>
      </c>
      <c r="T2612" s="59">
        <f ca="1">Dashboard!C$8* Dashboard!$F$4+Dashboard!C$10*SQRT(Dashboard!$F$4) * _xlfn.NORM.S.INV(RAND())</f>
        <v>2.0819530841248959E-2</v>
      </c>
      <c r="U2612" s="59">
        <f ca="1">Dashboard!D$8* Dashboard!$F$4+Dashboard!D$10*SQRT(Dashboard!$F$4) * _xlfn.NORM.S.INV(RAND())</f>
        <v>-4.1168140871650355E-2</v>
      </c>
    </row>
    <row r="2613" spans="18:21" x14ac:dyDescent="0.2">
      <c r="R2613" s="49">
        <v>2611</v>
      </c>
      <c r="S2613" s="59">
        <f ca="1">Dashboard!B$8* Dashboard!$F$4+Dashboard!B$10*SQRT(Dashboard!$F$4) * _xlfn.NORM.S.INV(RAND())</f>
        <v>-6.8347612214125332E-3</v>
      </c>
      <c r="T2613" s="59">
        <f ca="1">Dashboard!C$8* Dashboard!$F$4+Dashboard!C$10*SQRT(Dashboard!$F$4) * _xlfn.NORM.S.INV(RAND())</f>
        <v>1.2008260595793636E-2</v>
      </c>
      <c r="U2613" s="59">
        <f ca="1">Dashboard!D$8* Dashboard!$F$4+Dashboard!D$10*SQRT(Dashboard!$F$4) * _xlfn.NORM.S.INV(RAND())</f>
        <v>-3.0383071251469392E-2</v>
      </c>
    </row>
    <row r="2614" spans="18:21" x14ac:dyDescent="0.2">
      <c r="R2614" s="49">
        <v>2612</v>
      </c>
      <c r="S2614" s="59">
        <f ca="1">Dashboard!B$8* Dashboard!$F$4+Dashboard!B$10*SQRT(Dashboard!$F$4) * _xlfn.NORM.S.INV(RAND())</f>
        <v>-2.8566174616132076E-2</v>
      </c>
      <c r="T2614" s="59">
        <f ca="1">Dashboard!C$8* Dashboard!$F$4+Dashboard!C$10*SQRT(Dashboard!$F$4) * _xlfn.NORM.S.INV(RAND())</f>
        <v>1.9179494246203788E-2</v>
      </c>
      <c r="U2614" s="59">
        <f ca="1">Dashboard!D$8* Dashboard!$F$4+Dashboard!D$10*SQRT(Dashboard!$F$4) * _xlfn.NORM.S.INV(RAND())</f>
        <v>-9.4623298716090057E-3</v>
      </c>
    </row>
    <row r="2615" spans="18:21" x14ac:dyDescent="0.2">
      <c r="R2615" s="49">
        <v>2613</v>
      </c>
      <c r="S2615" s="59">
        <f ca="1">Dashboard!B$8* Dashboard!$F$4+Dashboard!B$10*SQRT(Dashboard!$F$4) * _xlfn.NORM.S.INV(RAND())</f>
        <v>-1.2048557212013472E-2</v>
      </c>
      <c r="T2615" s="59">
        <f ca="1">Dashboard!C$8* Dashboard!$F$4+Dashboard!C$10*SQRT(Dashboard!$F$4) * _xlfn.NORM.S.INV(RAND())</f>
        <v>3.4797870678794869E-2</v>
      </c>
      <c r="U2615" s="59">
        <f ca="1">Dashboard!D$8* Dashboard!$F$4+Dashboard!D$10*SQRT(Dashboard!$F$4) * _xlfn.NORM.S.INV(RAND())</f>
        <v>2.2994437354831258E-2</v>
      </c>
    </row>
    <row r="2616" spans="18:21" x14ac:dyDescent="0.2">
      <c r="R2616" s="49">
        <v>2614</v>
      </c>
      <c r="S2616" s="59">
        <f ca="1">Dashboard!B$8* Dashboard!$F$4+Dashboard!B$10*SQRT(Dashboard!$F$4) * _xlfn.NORM.S.INV(RAND())</f>
        <v>-3.5087290577392469E-3</v>
      </c>
      <c r="T2616" s="59">
        <f ca="1">Dashboard!C$8* Dashboard!$F$4+Dashboard!C$10*SQRT(Dashboard!$F$4) * _xlfn.NORM.S.INV(RAND())</f>
        <v>1.7699784036339498E-3</v>
      </c>
      <c r="U2616" s="59">
        <f ca="1">Dashboard!D$8* Dashboard!$F$4+Dashboard!D$10*SQRT(Dashboard!$F$4) * _xlfn.NORM.S.INV(RAND())</f>
        <v>-2.701780100773464E-2</v>
      </c>
    </row>
    <row r="2617" spans="18:21" x14ac:dyDescent="0.2">
      <c r="R2617" s="49">
        <v>2615</v>
      </c>
      <c r="S2617" s="59">
        <f ca="1">Dashboard!B$8* Dashboard!$F$4+Dashboard!B$10*SQRT(Dashboard!$F$4) * _xlfn.NORM.S.INV(RAND())</f>
        <v>-1.5513747543034317E-4</v>
      </c>
      <c r="T2617" s="59">
        <f ca="1">Dashboard!C$8* Dashboard!$F$4+Dashboard!C$10*SQRT(Dashboard!$F$4) * _xlfn.NORM.S.INV(RAND())</f>
        <v>-1.0336323802629211E-2</v>
      </c>
      <c r="U2617" s="59">
        <f ca="1">Dashboard!D$8* Dashboard!$F$4+Dashboard!D$10*SQRT(Dashboard!$F$4) * _xlfn.NORM.S.INV(RAND())</f>
        <v>-5.5317598191446235E-3</v>
      </c>
    </row>
    <row r="2618" spans="18:21" x14ac:dyDescent="0.2">
      <c r="R2618" s="49">
        <v>2616</v>
      </c>
      <c r="S2618" s="59">
        <f ca="1">Dashboard!B$8* Dashboard!$F$4+Dashboard!B$10*SQRT(Dashboard!$F$4) * _xlfn.NORM.S.INV(RAND())</f>
        <v>4.7684016276135811E-3</v>
      </c>
      <c r="T2618" s="59">
        <f ca="1">Dashboard!C$8* Dashboard!$F$4+Dashboard!C$10*SQRT(Dashboard!$F$4) * _xlfn.NORM.S.INV(RAND())</f>
        <v>-1.3391739261383165E-2</v>
      </c>
      <c r="U2618" s="59">
        <f ca="1">Dashboard!D$8* Dashboard!$F$4+Dashboard!D$10*SQRT(Dashboard!$F$4) * _xlfn.NORM.S.INV(RAND())</f>
        <v>-2.2318195985948513E-2</v>
      </c>
    </row>
    <row r="2619" spans="18:21" x14ac:dyDescent="0.2">
      <c r="R2619" s="49">
        <v>2617</v>
      </c>
      <c r="S2619" s="59">
        <f ca="1">Dashboard!B$8* Dashboard!$F$4+Dashboard!B$10*SQRT(Dashboard!$F$4) * _xlfn.NORM.S.INV(RAND())</f>
        <v>2.5185186129204777E-2</v>
      </c>
      <c r="T2619" s="59">
        <f ca="1">Dashboard!C$8* Dashboard!$F$4+Dashboard!C$10*SQRT(Dashboard!$F$4) * _xlfn.NORM.S.INV(RAND())</f>
        <v>3.3506478588531806E-2</v>
      </c>
      <c r="U2619" s="59">
        <f ca="1">Dashboard!D$8* Dashboard!$F$4+Dashboard!D$10*SQRT(Dashboard!$F$4) * _xlfn.NORM.S.INV(RAND())</f>
        <v>-2.3295664206458948E-2</v>
      </c>
    </row>
    <row r="2620" spans="18:21" x14ac:dyDescent="0.2">
      <c r="R2620" s="49">
        <v>2618</v>
      </c>
      <c r="S2620" s="59">
        <f ca="1">Dashboard!B$8* Dashboard!$F$4+Dashboard!B$10*SQRT(Dashboard!$F$4) * _xlfn.NORM.S.INV(RAND())</f>
        <v>1.3016956937490406E-2</v>
      </c>
      <c r="T2620" s="59">
        <f ca="1">Dashboard!C$8* Dashboard!$F$4+Dashboard!C$10*SQRT(Dashboard!$F$4) * _xlfn.NORM.S.INV(RAND())</f>
        <v>-9.4177789126619477E-3</v>
      </c>
      <c r="U2620" s="59">
        <f ca="1">Dashboard!D$8* Dashboard!$F$4+Dashboard!D$10*SQRT(Dashboard!$F$4) * _xlfn.NORM.S.INV(RAND())</f>
        <v>1.3314265298678777E-2</v>
      </c>
    </row>
    <row r="2621" spans="18:21" x14ac:dyDescent="0.2">
      <c r="R2621" s="49">
        <v>2619</v>
      </c>
      <c r="S2621" s="59">
        <f ca="1">Dashboard!B$8* Dashboard!$F$4+Dashboard!B$10*SQRT(Dashboard!$F$4) * _xlfn.NORM.S.INV(RAND())</f>
        <v>3.8670262652309266E-3</v>
      </c>
      <c r="T2621" s="59">
        <f ca="1">Dashboard!C$8* Dashboard!$F$4+Dashboard!C$10*SQRT(Dashboard!$F$4) * _xlfn.NORM.S.INV(RAND())</f>
        <v>-6.4771231419548372E-3</v>
      </c>
      <c r="U2621" s="59">
        <f ca="1">Dashboard!D$8* Dashboard!$F$4+Dashboard!D$10*SQRT(Dashboard!$F$4) * _xlfn.NORM.S.INV(RAND())</f>
        <v>5.3493603437760303E-3</v>
      </c>
    </row>
    <row r="2622" spans="18:21" x14ac:dyDescent="0.2">
      <c r="R2622" s="49">
        <v>2620</v>
      </c>
      <c r="S2622" s="59">
        <f ca="1">Dashboard!B$8* Dashboard!$F$4+Dashboard!B$10*SQRT(Dashboard!$F$4) * _xlfn.NORM.S.INV(RAND())</f>
        <v>-7.0536710806746727E-3</v>
      </c>
      <c r="T2622" s="59">
        <f ca="1">Dashboard!C$8* Dashboard!$F$4+Dashboard!C$10*SQRT(Dashboard!$F$4) * _xlfn.NORM.S.INV(RAND())</f>
        <v>5.7300697734923953E-2</v>
      </c>
      <c r="U2622" s="59">
        <f ca="1">Dashboard!D$8* Dashboard!$F$4+Dashboard!D$10*SQRT(Dashboard!$F$4) * _xlfn.NORM.S.INV(RAND())</f>
        <v>8.837803184763419E-4</v>
      </c>
    </row>
    <row r="2623" spans="18:21" x14ac:dyDescent="0.2">
      <c r="R2623" s="49">
        <v>2621</v>
      </c>
      <c r="S2623" s="59">
        <f ca="1">Dashboard!B$8* Dashboard!$F$4+Dashboard!B$10*SQRT(Dashboard!$F$4) * _xlfn.NORM.S.INV(RAND())</f>
        <v>-7.3762818088460008E-3</v>
      </c>
      <c r="T2623" s="59">
        <f ca="1">Dashboard!C$8* Dashboard!$F$4+Dashboard!C$10*SQRT(Dashboard!$F$4) * _xlfn.NORM.S.INV(RAND())</f>
        <v>-3.2044787303848854E-2</v>
      </c>
      <c r="U2623" s="59">
        <f ca="1">Dashboard!D$8* Dashboard!$F$4+Dashboard!D$10*SQRT(Dashboard!$F$4) * _xlfn.NORM.S.INV(RAND())</f>
        <v>-3.1066902971338415E-3</v>
      </c>
    </row>
    <row r="2624" spans="18:21" x14ac:dyDescent="0.2">
      <c r="R2624" s="49">
        <v>2622</v>
      </c>
      <c r="S2624" s="59">
        <f ca="1">Dashboard!B$8* Dashboard!$F$4+Dashboard!B$10*SQRT(Dashboard!$F$4) * _xlfn.NORM.S.INV(RAND())</f>
        <v>-1.5584913894778953E-2</v>
      </c>
      <c r="T2624" s="59">
        <f ca="1">Dashboard!C$8* Dashboard!$F$4+Dashboard!C$10*SQRT(Dashboard!$F$4) * _xlfn.NORM.S.INV(RAND())</f>
        <v>-5.2383629501555951E-2</v>
      </c>
      <c r="U2624" s="59">
        <f ca="1">Dashboard!D$8* Dashboard!$F$4+Dashboard!D$10*SQRT(Dashboard!$F$4) * _xlfn.NORM.S.INV(RAND())</f>
        <v>-1.9250288303947226E-2</v>
      </c>
    </row>
    <row r="2625" spans="18:21" x14ac:dyDescent="0.2">
      <c r="R2625" s="49">
        <v>2623</v>
      </c>
      <c r="S2625" s="59">
        <f ca="1">Dashboard!B$8* Dashboard!$F$4+Dashboard!B$10*SQRT(Dashboard!$F$4) * _xlfn.NORM.S.INV(RAND())</f>
        <v>-3.3066391007934459E-2</v>
      </c>
      <c r="T2625" s="59">
        <f ca="1">Dashboard!C$8* Dashboard!$F$4+Dashboard!C$10*SQRT(Dashboard!$F$4) * _xlfn.NORM.S.INV(RAND())</f>
        <v>-1.2426491250023937E-2</v>
      </c>
      <c r="U2625" s="59">
        <f ca="1">Dashboard!D$8* Dashboard!$F$4+Dashboard!D$10*SQRT(Dashboard!$F$4) * _xlfn.NORM.S.INV(RAND())</f>
        <v>-1.2555787985786902E-2</v>
      </c>
    </row>
    <row r="2626" spans="18:21" x14ac:dyDescent="0.2">
      <c r="R2626" s="49">
        <v>2624</v>
      </c>
      <c r="S2626" s="59">
        <f ca="1">Dashboard!B$8* Dashboard!$F$4+Dashboard!B$10*SQRT(Dashboard!$F$4) * _xlfn.NORM.S.INV(RAND())</f>
        <v>-5.3954200109314232E-2</v>
      </c>
      <c r="T2626" s="59">
        <f ca="1">Dashboard!C$8* Dashboard!$F$4+Dashboard!C$10*SQRT(Dashboard!$F$4) * _xlfn.NORM.S.INV(RAND())</f>
        <v>2.9861535453958189E-2</v>
      </c>
      <c r="U2626" s="59">
        <f ca="1">Dashboard!D$8* Dashboard!$F$4+Dashboard!D$10*SQRT(Dashboard!$F$4) * _xlfn.NORM.S.INV(RAND())</f>
        <v>-2.4632421549864229E-2</v>
      </c>
    </row>
    <row r="2627" spans="18:21" x14ac:dyDescent="0.2">
      <c r="R2627" s="49">
        <v>2625</v>
      </c>
      <c r="S2627" s="59">
        <f ca="1">Dashboard!B$8* Dashboard!$F$4+Dashboard!B$10*SQRT(Dashboard!$F$4) * _xlfn.NORM.S.INV(RAND())</f>
        <v>-1.5494685619211212E-3</v>
      </c>
      <c r="T2627" s="59">
        <f ca="1">Dashboard!C$8* Dashboard!$F$4+Dashboard!C$10*SQRT(Dashboard!$F$4) * _xlfn.NORM.S.INV(RAND())</f>
        <v>-1.2001906546861545E-2</v>
      </c>
      <c r="U2627" s="59">
        <f ca="1">Dashboard!D$8* Dashboard!$F$4+Dashboard!D$10*SQRT(Dashboard!$F$4) * _xlfn.NORM.S.INV(RAND())</f>
        <v>5.5058701065110582E-3</v>
      </c>
    </row>
    <row r="2628" spans="18:21" x14ac:dyDescent="0.2">
      <c r="R2628" s="49">
        <v>2626</v>
      </c>
      <c r="S2628" s="59">
        <f ca="1">Dashboard!B$8* Dashboard!$F$4+Dashboard!B$10*SQRT(Dashboard!$F$4) * _xlfn.NORM.S.INV(RAND())</f>
        <v>2.0279340793312416E-2</v>
      </c>
      <c r="T2628" s="59">
        <f ca="1">Dashboard!C$8* Dashboard!$F$4+Dashboard!C$10*SQRT(Dashboard!$F$4) * _xlfn.NORM.S.INV(RAND())</f>
        <v>-1.3371141974627299E-2</v>
      </c>
      <c r="U2628" s="59">
        <f ca="1">Dashboard!D$8* Dashboard!$F$4+Dashboard!D$10*SQRT(Dashboard!$F$4) * _xlfn.NORM.S.INV(RAND())</f>
        <v>1.6532497135320939E-2</v>
      </c>
    </row>
    <row r="2629" spans="18:21" x14ac:dyDescent="0.2">
      <c r="R2629" s="49">
        <v>2627</v>
      </c>
      <c r="S2629" s="59">
        <f ca="1">Dashboard!B$8* Dashboard!$F$4+Dashboard!B$10*SQRT(Dashboard!$F$4) * _xlfn.NORM.S.INV(RAND())</f>
        <v>1.8455648257594904E-3</v>
      </c>
      <c r="T2629" s="59">
        <f ca="1">Dashboard!C$8* Dashboard!$F$4+Dashboard!C$10*SQRT(Dashboard!$F$4) * _xlfn.NORM.S.INV(RAND())</f>
        <v>-2.6560935032421167E-2</v>
      </c>
      <c r="U2629" s="59">
        <f ca="1">Dashboard!D$8* Dashboard!$F$4+Dashboard!D$10*SQRT(Dashboard!$F$4) * _xlfn.NORM.S.INV(RAND())</f>
        <v>-6.803678095353905E-3</v>
      </c>
    </row>
    <row r="2630" spans="18:21" x14ac:dyDescent="0.2">
      <c r="R2630" s="49">
        <v>2628</v>
      </c>
      <c r="S2630" s="59">
        <f ca="1">Dashboard!B$8* Dashboard!$F$4+Dashboard!B$10*SQRT(Dashboard!$F$4) * _xlfn.NORM.S.INV(RAND())</f>
        <v>-3.3134036267696475E-2</v>
      </c>
      <c r="T2630" s="59">
        <f ca="1">Dashboard!C$8* Dashboard!$F$4+Dashboard!C$10*SQRT(Dashboard!$F$4) * _xlfn.NORM.S.INV(RAND())</f>
        <v>5.3184448419806608E-3</v>
      </c>
      <c r="U2630" s="59">
        <f ca="1">Dashboard!D$8* Dashboard!$F$4+Dashboard!D$10*SQRT(Dashboard!$F$4) * _xlfn.NORM.S.INV(RAND())</f>
        <v>-1.059906713261078E-2</v>
      </c>
    </row>
    <row r="2631" spans="18:21" x14ac:dyDescent="0.2">
      <c r="R2631" s="49">
        <v>2629</v>
      </c>
      <c r="S2631" s="59">
        <f ca="1">Dashboard!B$8* Dashboard!$F$4+Dashboard!B$10*SQRT(Dashboard!$F$4) * _xlfn.NORM.S.INV(RAND())</f>
        <v>-8.6723779417808653E-3</v>
      </c>
      <c r="T2631" s="59">
        <f ca="1">Dashboard!C$8* Dashboard!$F$4+Dashboard!C$10*SQRT(Dashboard!$F$4) * _xlfn.NORM.S.INV(RAND())</f>
        <v>2.5091637145473137E-2</v>
      </c>
      <c r="U2631" s="59">
        <f ca="1">Dashboard!D$8* Dashboard!$F$4+Dashboard!D$10*SQRT(Dashboard!$F$4) * _xlfn.NORM.S.INV(RAND())</f>
        <v>-4.6946647330009528E-3</v>
      </c>
    </row>
    <row r="2632" spans="18:21" x14ac:dyDescent="0.2">
      <c r="R2632" s="49">
        <v>2630</v>
      </c>
      <c r="S2632" s="59">
        <f ca="1">Dashboard!B$8* Dashboard!$F$4+Dashboard!B$10*SQRT(Dashboard!$F$4) * _xlfn.NORM.S.INV(RAND())</f>
        <v>3.7898453892786316E-2</v>
      </c>
      <c r="T2632" s="59">
        <f ca="1">Dashboard!C$8* Dashboard!$F$4+Dashboard!C$10*SQRT(Dashboard!$F$4) * _xlfn.NORM.S.INV(RAND())</f>
        <v>-9.276320255663063E-4</v>
      </c>
      <c r="U2632" s="59">
        <f ca="1">Dashboard!D$8* Dashboard!$F$4+Dashboard!D$10*SQRT(Dashboard!$F$4) * _xlfn.NORM.S.INV(RAND())</f>
        <v>3.9068802370375522E-2</v>
      </c>
    </row>
    <row r="2633" spans="18:21" x14ac:dyDescent="0.2">
      <c r="R2633" s="49">
        <v>2631</v>
      </c>
      <c r="S2633" s="59">
        <f ca="1">Dashboard!B$8* Dashboard!$F$4+Dashboard!B$10*SQRT(Dashboard!$F$4) * _xlfn.NORM.S.INV(RAND())</f>
        <v>-3.8545586406550598E-2</v>
      </c>
      <c r="T2633" s="59">
        <f ca="1">Dashboard!C$8* Dashboard!$F$4+Dashboard!C$10*SQRT(Dashboard!$F$4) * _xlfn.NORM.S.INV(RAND())</f>
        <v>4.7226447883462388E-4</v>
      </c>
      <c r="U2633" s="59">
        <f ca="1">Dashboard!D$8* Dashboard!$F$4+Dashboard!D$10*SQRT(Dashboard!$F$4) * _xlfn.NORM.S.INV(RAND())</f>
        <v>-2.5400603590547608E-2</v>
      </c>
    </row>
    <row r="2634" spans="18:21" x14ac:dyDescent="0.2">
      <c r="R2634" s="49">
        <v>2632</v>
      </c>
      <c r="S2634" s="59">
        <f ca="1">Dashboard!B$8* Dashboard!$F$4+Dashboard!B$10*SQRT(Dashboard!$F$4) * _xlfn.NORM.S.INV(RAND())</f>
        <v>2.6035356223803936E-2</v>
      </c>
      <c r="T2634" s="59">
        <f ca="1">Dashboard!C$8* Dashboard!$F$4+Dashboard!C$10*SQRT(Dashboard!$F$4) * _xlfn.NORM.S.INV(RAND())</f>
        <v>7.9805681172269004E-3</v>
      </c>
      <c r="U2634" s="59">
        <f ca="1">Dashboard!D$8* Dashboard!$F$4+Dashboard!D$10*SQRT(Dashboard!$F$4) * _xlfn.NORM.S.INV(RAND())</f>
        <v>-8.6207411763936689E-2</v>
      </c>
    </row>
    <row r="2635" spans="18:21" x14ac:dyDescent="0.2">
      <c r="R2635" s="49">
        <v>2633</v>
      </c>
      <c r="S2635" s="59">
        <f ca="1">Dashboard!B$8* Dashboard!$F$4+Dashboard!B$10*SQRT(Dashboard!$F$4) * _xlfn.NORM.S.INV(RAND())</f>
        <v>-4.8297487565758116E-3</v>
      </c>
      <c r="T2635" s="59">
        <f ca="1">Dashboard!C$8* Dashboard!$F$4+Dashboard!C$10*SQRT(Dashboard!$F$4) * _xlfn.NORM.S.INV(RAND())</f>
        <v>8.9896642425440453E-3</v>
      </c>
      <c r="U2635" s="59">
        <f ca="1">Dashboard!D$8* Dashboard!$F$4+Dashboard!D$10*SQRT(Dashboard!$F$4) * _xlfn.NORM.S.INV(RAND())</f>
        <v>2.4104244484236221E-2</v>
      </c>
    </row>
    <row r="2636" spans="18:21" x14ac:dyDescent="0.2">
      <c r="R2636" s="49">
        <v>2634</v>
      </c>
      <c r="S2636" s="59">
        <f ca="1">Dashboard!B$8* Dashboard!$F$4+Dashboard!B$10*SQRT(Dashboard!$F$4) * _xlfn.NORM.S.INV(RAND())</f>
        <v>7.5667337638130855E-2</v>
      </c>
      <c r="T2636" s="59">
        <f ca="1">Dashboard!C$8* Dashboard!$F$4+Dashboard!C$10*SQRT(Dashboard!$F$4) * _xlfn.NORM.S.INV(RAND())</f>
        <v>1.499816831155357E-2</v>
      </c>
      <c r="U2636" s="59">
        <f ca="1">Dashboard!D$8* Dashboard!$F$4+Dashboard!D$10*SQRT(Dashboard!$F$4) * _xlfn.NORM.S.INV(RAND())</f>
        <v>-5.900297664327387E-3</v>
      </c>
    </row>
    <row r="2637" spans="18:21" x14ac:dyDescent="0.2">
      <c r="R2637" s="49">
        <v>2635</v>
      </c>
      <c r="S2637" s="59">
        <f ca="1">Dashboard!B$8* Dashboard!$F$4+Dashboard!B$10*SQRT(Dashboard!$F$4) * _xlfn.NORM.S.INV(RAND())</f>
        <v>-1.5172640583445895E-2</v>
      </c>
      <c r="T2637" s="59">
        <f ca="1">Dashboard!C$8* Dashboard!$F$4+Dashboard!C$10*SQRT(Dashboard!$F$4) * _xlfn.NORM.S.INV(RAND())</f>
        <v>2.8974249348647386E-2</v>
      </c>
      <c r="U2637" s="59">
        <f ca="1">Dashboard!D$8* Dashboard!$F$4+Dashboard!D$10*SQRT(Dashboard!$F$4) * _xlfn.NORM.S.INV(RAND())</f>
        <v>1.9721849319873638E-2</v>
      </c>
    </row>
    <row r="2638" spans="18:21" x14ac:dyDescent="0.2">
      <c r="R2638" s="49">
        <v>2636</v>
      </c>
      <c r="S2638" s="59">
        <f ca="1">Dashboard!B$8* Dashboard!$F$4+Dashboard!B$10*SQRT(Dashboard!$F$4) * _xlfn.NORM.S.INV(RAND())</f>
        <v>-3.8048344524968525E-2</v>
      </c>
      <c r="T2638" s="59">
        <f ca="1">Dashboard!C$8* Dashboard!$F$4+Dashboard!C$10*SQRT(Dashboard!$F$4) * _xlfn.NORM.S.INV(RAND())</f>
        <v>5.946237560656124E-3</v>
      </c>
      <c r="U2638" s="59">
        <f ca="1">Dashboard!D$8* Dashboard!$F$4+Dashboard!D$10*SQRT(Dashboard!$F$4) * _xlfn.NORM.S.INV(RAND())</f>
        <v>-3.1971229781215388E-3</v>
      </c>
    </row>
    <row r="2639" spans="18:21" x14ac:dyDescent="0.2">
      <c r="R2639" s="49">
        <v>2637</v>
      </c>
      <c r="S2639" s="59">
        <f ca="1">Dashboard!B$8* Dashboard!$F$4+Dashboard!B$10*SQRT(Dashboard!$F$4) * _xlfn.NORM.S.INV(RAND())</f>
        <v>-4.1761125771685873E-3</v>
      </c>
      <c r="T2639" s="59">
        <f ca="1">Dashboard!C$8* Dashboard!$F$4+Dashboard!C$10*SQRT(Dashboard!$F$4) * _xlfn.NORM.S.INV(RAND())</f>
        <v>3.2284927590779992E-2</v>
      </c>
      <c r="U2639" s="59">
        <f ca="1">Dashboard!D$8* Dashboard!$F$4+Dashboard!D$10*SQRT(Dashboard!$F$4) * _xlfn.NORM.S.INV(RAND())</f>
        <v>2.6338918078873182E-2</v>
      </c>
    </row>
    <row r="2640" spans="18:21" x14ac:dyDescent="0.2">
      <c r="R2640" s="49">
        <v>2638</v>
      </c>
      <c r="S2640" s="59">
        <f ca="1">Dashboard!B$8* Dashboard!$F$4+Dashboard!B$10*SQRT(Dashboard!$F$4) * _xlfn.NORM.S.INV(RAND())</f>
        <v>-2.9110390957493598E-2</v>
      </c>
      <c r="T2640" s="59">
        <f ca="1">Dashboard!C$8* Dashboard!$F$4+Dashboard!C$10*SQRT(Dashboard!$F$4) * _xlfn.NORM.S.INV(RAND())</f>
        <v>-9.3445923510635832E-3</v>
      </c>
      <c r="U2640" s="59">
        <f ca="1">Dashboard!D$8* Dashboard!$F$4+Dashboard!D$10*SQRT(Dashboard!$F$4) * _xlfn.NORM.S.INV(RAND())</f>
        <v>-2.4277363371352962E-2</v>
      </c>
    </row>
    <row r="2641" spans="18:21" x14ac:dyDescent="0.2">
      <c r="R2641" s="49">
        <v>2639</v>
      </c>
      <c r="S2641" s="59">
        <f ca="1">Dashboard!B$8* Dashboard!$F$4+Dashboard!B$10*SQRT(Dashboard!$F$4) * _xlfn.NORM.S.INV(RAND())</f>
        <v>-2.742116122456377E-2</v>
      </c>
      <c r="T2641" s="59">
        <f ca="1">Dashboard!C$8* Dashboard!$F$4+Dashboard!C$10*SQRT(Dashboard!$F$4) * _xlfn.NORM.S.INV(RAND())</f>
        <v>5.7674223653719499E-2</v>
      </c>
      <c r="U2641" s="59">
        <f ca="1">Dashboard!D$8* Dashboard!$F$4+Dashboard!D$10*SQRT(Dashboard!$F$4) * _xlfn.NORM.S.INV(RAND())</f>
        <v>3.4267655691836763E-2</v>
      </c>
    </row>
    <row r="2642" spans="18:21" x14ac:dyDescent="0.2">
      <c r="R2642" s="49">
        <v>2640</v>
      </c>
      <c r="S2642" s="59">
        <f ca="1">Dashboard!B$8* Dashboard!$F$4+Dashboard!B$10*SQRT(Dashboard!$F$4) * _xlfn.NORM.S.INV(RAND())</f>
        <v>8.5377160216956911E-3</v>
      </c>
      <c r="T2642" s="59">
        <f ca="1">Dashboard!C$8* Dashboard!$F$4+Dashboard!C$10*SQRT(Dashboard!$F$4) * _xlfn.NORM.S.INV(RAND())</f>
        <v>-2.0878437034266985E-2</v>
      </c>
      <c r="U2642" s="59">
        <f ca="1">Dashboard!D$8* Dashboard!$F$4+Dashboard!D$10*SQRT(Dashboard!$F$4) * _xlfn.NORM.S.INV(RAND())</f>
        <v>-3.0558436812291943E-2</v>
      </c>
    </row>
    <row r="2643" spans="18:21" x14ac:dyDescent="0.2">
      <c r="R2643" s="49">
        <v>2641</v>
      </c>
      <c r="S2643" s="59">
        <f ca="1">Dashboard!B$8* Dashboard!$F$4+Dashboard!B$10*SQRT(Dashboard!$F$4) * _xlfn.NORM.S.INV(RAND())</f>
        <v>-6.3734375194281863E-3</v>
      </c>
      <c r="T2643" s="59">
        <f ca="1">Dashboard!C$8* Dashboard!$F$4+Dashboard!C$10*SQRT(Dashboard!$F$4) * _xlfn.NORM.S.INV(RAND())</f>
        <v>1.6239141916954219E-2</v>
      </c>
      <c r="U2643" s="59">
        <f ca="1">Dashboard!D$8* Dashboard!$F$4+Dashboard!D$10*SQRT(Dashboard!$F$4) * _xlfn.NORM.S.INV(RAND())</f>
        <v>-6.0289354036300404E-2</v>
      </c>
    </row>
    <row r="2644" spans="18:21" x14ac:dyDescent="0.2">
      <c r="R2644" s="49">
        <v>2642</v>
      </c>
      <c r="S2644" s="59">
        <f ca="1">Dashboard!B$8* Dashboard!$F$4+Dashboard!B$10*SQRT(Dashboard!$F$4) * _xlfn.NORM.S.INV(RAND())</f>
        <v>2.4123865344416781E-2</v>
      </c>
      <c r="T2644" s="59">
        <f ca="1">Dashboard!C$8* Dashboard!$F$4+Dashboard!C$10*SQRT(Dashboard!$F$4) * _xlfn.NORM.S.INV(RAND())</f>
        <v>4.5433307680781208E-2</v>
      </c>
      <c r="U2644" s="59">
        <f ca="1">Dashboard!D$8* Dashboard!$F$4+Dashboard!D$10*SQRT(Dashboard!$F$4) * _xlfn.NORM.S.INV(RAND())</f>
        <v>3.9483113535898912E-3</v>
      </c>
    </row>
    <row r="2645" spans="18:21" x14ac:dyDescent="0.2">
      <c r="R2645" s="49">
        <v>2643</v>
      </c>
      <c r="S2645" s="59">
        <f ca="1">Dashboard!B$8* Dashboard!$F$4+Dashboard!B$10*SQRT(Dashboard!$F$4) * _xlfn.NORM.S.INV(RAND())</f>
        <v>-7.7018884322613529E-2</v>
      </c>
      <c r="T2645" s="59">
        <f ca="1">Dashboard!C$8* Dashboard!$F$4+Dashboard!C$10*SQRT(Dashboard!$F$4) * _xlfn.NORM.S.INV(RAND())</f>
        <v>3.4044903077311887E-2</v>
      </c>
      <c r="U2645" s="59">
        <f ca="1">Dashboard!D$8* Dashboard!$F$4+Dashboard!D$10*SQRT(Dashboard!$F$4) * _xlfn.NORM.S.INV(RAND())</f>
        <v>1.1632386456803938E-2</v>
      </c>
    </row>
    <row r="2646" spans="18:21" x14ac:dyDescent="0.2">
      <c r="R2646" s="49">
        <v>2644</v>
      </c>
      <c r="S2646" s="59">
        <f ca="1">Dashboard!B$8* Dashboard!$F$4+Dashboard!B$10*SQRT(Dashboard!$F$4) * _xlfn.NORM.S.INV(RAND())</f>
        <v>-3.7341389827143912E-2</v>
      </c>
      <c r="T2646" s="59">
        <f ca="1">Dashboard!C$8* Dashboard!$F$4+Dashboard!C$10*SQRT(Dashboard!$F$4) * _xlfn.NORM.S.INV(RAND())</f>
        <v>3.4720924565162292E-2</v>
      </c>
      <c r="U2646" s="59">
        <f ca="1">Dashboard!D$8* Dashboard!$F$4+Dashboard!D$10*SQRT(Dashboard!$F$4) * _xlfn.NORM.S.INV(RAND())</f>
        <v>-2.2534390865641022E-2</v>
      </c>
    </row>
    <row r="2647" spans="18:21" x14ac:dyDescent="0.2">
      <c r="R2647" s="49">
        <v>2645</v>
      </c>
      <c r="S2647" s="59">
        <f ca="1">Dashboard!B$8* Dashboard!$F$4+Dashboard!B$10*SQRT(Dashboard!$F$4) * _xlfn.NORM.S.INV(RAND())</f>
        <v>1.8308668364933625E-2</v>
      </c>
      <c r="T2647" s="59">
        <f ca="1">Dashboard!C$8* Dashboard!$F$4+Dashboard!C$10*SQRT(Dashboard!$F$4) * _xlfn.NORM.S.INV(RAND())</f>
        <v>1.0301725828384824E-2</v>
      </c>
      <c r="U2647" s="59">
        <f ca="1">Dashboard!D$8* Dashboard!$F$4+Dashboard!D$10*SQRT(Dashboard!$F$4) * _xlfn.NORM.S.INV(RAND())</f>
        <v>-3.1452341109568663E-3</v>
      </c>
    </row>
    <row r="2648" spans="18:21" x14ac:dyDescent="0.2">
      <c r="R2648" s="49">
        <v>2646</v>
      </c>
      <c r="S2648" s="59">
        <f ca="1">Dashboard!B$8* Dashboard!$F$4+Dashboard!B$10*SQRT(Dashboard!$F$4) * _xlfn.NORM.S.INV(RAND())</f>
        <v>-2.3936717781180686E-2</v>
      </c>
      <c r="T2648" s="59">
        <f ca="1">Dashboard!C$8* Dashboard!$F$4+Dashboard!C$10*SQRT(Dashboard!$F$4) * _xlfn.NORM.S.INV(RAND())</f>
        <v>-9.3660290480872023E-3</v>
      </c>
      <c r="U2648" s="59">
        <f ca="1">Dashboard!D$8* Dashboard!$F$4+Dashboard!D$10*SQRT(Dashboard!$F$4) * _xlfn.NORM.S.INV(RAND())</f>
        <v>-1.399247044497077E-2</v>
      </c>
    </row>
    <row r="2649" spans="18:21" x14ac:dyDescent="0.2">
      <c r="R2649" s="49">
        <v>2647</v>
      </c>
      <c r="S2649" s="59">
        <f ca="1">Dashboard!B$8* Dashboard!$F$4+Dashboard!B$10*SQRT(Dashboard!$F$4) * _xlfn.NORM.S.INV(RAND())</f>
        <v>-7.7362620193602433E-2</v>
      </c>
      <c r="T2649" s="59">
        <f ca="1">Dashboard!C$8* Dashboard!$F$4+Dashboard!C$10*SQRT(Dashboard!$F$4) * _xlfn.NORM.S.INV(RAND())</f>
        <v>2.9968334730836186E-2</v>
      </c>
      <c r="U2649" s="59">
        <f ca="1">Dashboard!D$8* Dashboard!$F$4+Dashboard!D$10*SQRT(Dashboard!$F$4) * _xlfn.NORM.S.INV(RAND())</f>
        <v>4.275948311436348E-3</v>
      </c>
    </row>
    <row r="2650" spans="18:21" x14ac:dyDescent="0.2">
      <c r="R2650" s="49">
        <v>2648</v>
      </c>
      <c r="S2650" s="59">
        <f ca="1">Dashboard!B$8* Dashboard!$F$4+Dashboard!B$10*SQRT(Dashboard!$F$4) * _xlfn.NORM.S.INV(RAND())</f>
        <v>9.5941704853461148E-3</v>
      </c>
      <c r="T2650" s="59">
        <f ca="1">Dashboard!C$8* Dashboard!$F$4+Dashboard!C$10*SQRT(Dashboard!$F$4) * _xlfn.NORM.S.INV(RAND())</f>
        <v>-1.8570900783356055E-2</v>
      </c>
      <c r="U2650" s="59">
        <f ca="1">Dashboard!D$8* Dashboard!$F$4+Dashboard!D$10*SQRT(Dashboard!$F$4) * _xlfn.NORM.S.INV(RAND())</f>
        <v>2.4175663104728778E-2</v>
      </c>
    </row>
    <row r="2651" spans="18:21" x14ac:dyDescent="0.2">
      <c r="R2651" s="49">
        <v>2649</v>
      </c>
      <c r="S2651" s="59">
        <f ca="1">Dashboard!B$8* Dashboard!$F$4+Dashboard!B$10*SQRT(Dashboard!$F$4) * _xlfn.NORM.S.INV(RAND())</f>
        <v>1.8757244146624885E-2</v>
      </c>
      <c r="T2651" s="59">
        <f ca="1">Dashboard!C$8* Dashboard!$F$4+Dashboard!C$10*SQRT(Dashboard!$F$4) * _xlfn.NORM.S.INV(RAND())</f>
        <v>3.3652274691657783E-2</v>
      </c>
      <c r="U2651" s="59">
        <f ca="1">Dashboard!D$8* Dashboard!$F$4+Dashboard!D$10*SQRT(Dashboard!$F$4) * _xlfn.NORM.S.INV(RAND())</f>
        <v>3.0803676595519577E-2</v>
      </c>
    </row>
    <row r="2652" spans="18:21" x14ac:dyDescent="0.2">
      <c r="R2652" s="49">
        <v>2650</v>
      </c>
      <c r="S2652" s="59">
        <f ca="1">Dashboard!B$8* Dashboard!$F$4+Dashboard!B$10*SQRT(Dashboard!$F$4) * _xlfn.NORM.S.INV(RAND())</f>
        <v>-1.3523428280695119E-2</v>
      </c>
      <c r="T2652" s="59">
        <f ca="1">Dashboard!C$8* Dashboard!$F$4+Dashboard!C$10*SQRT(Dashboard!$F$4) * _xlfn.NORM.S.INV(RAND())</f>
        <v>2.0362780674625068E-2</v>
      </c>
      <c r="U2652" s="59">
        <f ca="1">Dashboard!D$8* Dashboard!$F$4+Dashboard!D$10*SQRT(Dashboard!$F$4) * _xlfn.NORM.S.INV(RAND())</f>
        <v>2.1815151394893342E-2</v>
      </c>
    </row>
    <row r="2653" spans="18:21" x14ac:dyDescent="0.2">
      <c r="R2653" s="49">
        <v>2651</v>
      </c>
      <c r="S2653" s="59">
        <f ca="1">Dashboard!B$8* Dashboard!$F$4+Dashboard!B$10*SQRT(Dashboard!$F$4) * _xlfn.NORM.S.INV(RAND())</f>
        <v>-3.0975977659488486E-2</v>
      </c>
      <c r="T2653" s="59">
        <f ca="1">Dashboard!C$8* Dashboard!$F$4+Dashboard!C$10*SQRT(Dashboard!$F$4) * _xlfn.NORM.S.INV(RAND())</f>
        <v>-7.2655398002250847E-3</v>
      </c>
      <c r="U2653" s="59">
        <f ca="1">Dashboard!D$8* Dashboard!$F$4+Dashboard!D$10*SQRT(Dashboard!$F$4) * _xlfn.NORM.S.INV(RAND())</f>
        <v>2.9968169870264232E-2</v>
      </c>
    </row>
    <row r="2654" spans="18:21" x14ac:dyDescent="0.2">
      <c r="R2654" s="49">
        <v>2652</v>
      </c>
      <c r="S2654" s="59">
        <f ca="1">Dashboard!B$8* Dashboard!$F$4+Dashboard!B$10*SQRT(Dashboard!$F$4) * _xlfn.NORM.S.INV(RAND())</f>
        <v>1.9105904972862436E-4</v>
      </c>
      <c r="T2654" s="59">
        <f ca="1">Dashboard!C$8* Dashboard!$F$4+Dashboard!C$10*SQRT(Dashboard!$F$4) * _xlfn.NORM.S.INV(RAND())</f>
        <v>4.7922690774397682E-2</v>
      </c>
      <c r="U2654" s="59">
        <f ca="1">Dashboard!D$8* Dashboard!$F$4+Dashboard!D$10*SQRT(Dashboard!$F$4) * _xlfn.NORM.S.INV(RAND())</f>
        <v>-3.1928222527965858E-2</v>
      </c>
    </row>
    <row r="2655" spans="18:21" x14ac:dyDescent="0.2">
      <c r="R2655" s="49">
        <v>2653</v>
      </c>
      <c r="S2655" s="59">
        <f ca="1">Dashboard!B$8* Dashboard!$F$4+Dashboard!B$10*SQRT(Dashboard!$F$4) * _xlfn.NORM.S.INV(RAND())</f>
        <v>6.7822706110008249E-2</v>
      </c>
      <c r="T2655" s="59">
        <f ca="1">Dashboard!C$8* Dashboard!$F$4+Dashboard!C$10*SQRT(Dashboard!$F$4) * _xlfn.NORM.S.INV(RAND())</f>
        <v>2.3396239286612535E-2</v>
      </c>
      <c r="U2655" s="59">
        <f ca="1">Dashboard!D$8* Dashboard!$F$4+Dashboard!D$10*SQRT(Dashboard!$F$4) * _xlfn.NORM.S.INV(RAND())</f>
        <v>-1.8787231317296885E-2</v>
      </c>
    </row>
    <row r="2656" spans="18:21" x14ac:dyDescent="0.2">
      <c r="R2656" s="49">
        <v>2654</v>
      </c>
      <c r="S2656" s="59">
        <f ca="1">Dashboard!B$8* Dashboard!$F$4+Dashboard!B$10*SQRT(Dashboard!$F$4) * _xlfn.NORM.S.INV(RAND())</f>
        <v>1.7385887612122106E-2</v>
      </c>
      <c r="T2656" s="59">
        <f ca="1">Dashboard!C$8* Dashboard!$F$4+Dashboard!C$10*SQRT(Dashboard!$F$4) * _xlfn.NORM.S.INV(RAND())</f>
        <v>2.4924905420204011E-2</v>
      </c>
      <c r="U2656" s="59">
        <f ca="1">Dashboard!D$8* Dashboard!$F$4+Dashboard!D$10*SQRT(Dashboard!$F$4) * _xlfn.NORM.S.INV(RAND())</f>
        <v>-7.353845587988626E-3</v>
      </c>
    </row>
    <row r="2657" spans="18:21" x14ac:dyDescent="0.2">
      <c r="R2657" s="49">
        <v>2655</v>
      </c>
      <c r="S2657" s="59">
        <f ca="1">Dashboard!B$8* Dashboard!$F$4+Dashboard!B$10*SQRT(Dashboard!$F$4) * _xlfn.NORM.S.INV(RAND())</f>
        <v>-1.4832399194300962E-2</v>
      </c>
      <c r="T2657" s="59">
        <f ca="1">Dashboard!C$8* Dashboard!$F$4+Dashboard!C$10*SQRT(Dashboard!$F$4) * _xlfn.NORM.S.INV(RAND())</f>
        <v>-3.0991244356069359E-3</v>
      </c>
      <c r="U2657" s="59">
        <f ca="1">Dashboard!D$8* Dashboard!$F$4+Dashboard!D$10*SQRT(Dashboard!$F$4) * _xlfn.NORM.S.INV(RAND())</f>
        <v>-1.9281546978656399E-2</v>
      </c>
    </row>
    <row r="2658" spans="18:21" x14ac:dyDescent="0.2">
      <c r="R2658" s="49">
        <v>2656</v>
      </c>
      <c r="S2658" s="59">
        <f ca="1">Dashboard!B$8* Dashboard!$F$4+Dashboard!B$10*SQRT(Dashboard!$F$4) * _xlfn.NORM.S.INV(RAND())</f>
        <v>-3.8486414254364945E-3</v>
      </c>
      <c r="T2658" s="59">
        <f ca="1">Dashboard!C$8* Dashboard!$F$4+Dashboard!C$10*SQRT(Dashboard!$F$4) * _xlfn.NORM.S.INV(RAND())</f>
        <v>1.2237546336940516E-2</v>
      </c>
      <c r="U2658" s="59">
        <f ca="1">Dashboard!D$8* Dashboard!$F$4+Dashboard!D$10*SQRT(Dashboard!$F$4) * _xlfn.NORM.S.INV(RAND())</f>
        <v>3.0322853173062114E-2</v>
      </c>
    </row>
    <row r="2659" spans="18:21" x14ac:dyDescent="0.2">
      <c r="R2659" s="49">
        <v>2657</v>
      </c>
      <c r="S2659" s="59">
        <f ca="1">Dashboard!B$8* Dashboard!$F$4+Dashboard!B$10*SQRT(Dashboard!$F$4) * _xlfn.NORM.S.INV(RAND())</f>
        <v>5.1688081494422139E-2</v>
      </c>
      <c r="T2659" s="59">
        <f ca="1">Dashboard!C$8* Dashboard!$F$4+Dashboard!C$10*SQRT(Dashboard!$F$4) * _xlfn.NORM.S.INV(RAND())</f>
        <v>1.1164933443453136E-3</v>
      </c>
      <c r="U2659" s="59">
        <f ca="1">Dashboard!D$8* Dashboard!$F$4+Dashboard!D$10*SQRT(Dashboard!$F$4) * _xlfn.NORM.S.INV(RAND())</f>
        <v>7.4596395999487197E-2</v>
      </c>
    </row>
    <row r="2660" spans="18:21" x14ac:dyDescent="0.2">
      <c r="R2660" s="49">
        <v>2658</v>
      </c>
      <c r="S2660" s="59">
        <f ca="1">Dashboard!B$8* Dashboard!$F$4+Dashboard!B$10*SQRT(Dashboard!$F$4) * _xlfn.NORM.S.INV(RAND())</f>
        <v>4.465924107177862E-2</v>
      </c>
      <c r="T2660" s="59">
        <f ca="1">Dashboard!C$8* Dashboard!$F$4+Dashboard!C$10*SQRT(Dashboard!$F$4) * _xlfn.NORM.S.INV(RAND())</f>
        <v>-2.6437065299017556E-2</v>
      </c>
      <c r="U2660" s="59">
        <f ca="1">Dashboard!D$8* Dashboard!$F$4+Dashboard!D$10*SQRT(Dashboard!$F$4) * _xlfn.NORM.S.INV(RAND())</f>
        <v>5.459368296132098E-3</v>
      </c>
    </row>
    <row r="2661" spans="18:21" x14ac:dyDescent="0.2">
      <c r="R2661" s="49">
        <v>2659</v>
      </c>
      <c r="S2661" s="59">
        <f ca="1">Dashboard!B$8* Dashboard!$F$4+Dashboard!B$10*SQRT(Dashboard!$F$4) * _xlfn.NORM.S.INV(RAND())</f>
        <v>7.3167178778802536E-2</v>
      </c>
      <c r="T2661" s="59">
        <f ca="1">Dashboard!C$8* Dashboard!$F$4+Dashboard!C$10*SQRT(Dashboard!$F$4) * _xlfn.NORM.S.INV(RAND())</f>
        <v>-1.2907020325345013E-2</v>
      </c>
      <c r="U2661" s="59">
        <f ca="1">Dashboard!D$8* Dashboard!$F$4+Dashboard!D$10*SQRT(Dashboard!$F$4) * _xlfn.NORM.S.INV(RAND())</f>
        <v>2.1456043890394183E-2</v>
      </c>
    </row>
    <row r="2662" spans="18:21" x14ac:dyDescent="0.2">
      <c r="R2662" s="49">
        <v>2660</v>
      </c>
      <c r="S2662" s="59">
        <f ca="1">Dashboard!B$8* Dashboard!$F$4+Dashboard!B$10*SQRT(Dashboard!$F$4) * _xlfn.NORM.S.INV(RAND())</f>
        <v>-2.1145616327673977E-2</v>
      </c>
      <c r="T2662" s="59">
        <f ca="1">Dashboard!C$8* Dashboard!$F$4+Dashboard!C$10*SQRT(Dashboard!$F$4) * _xlfn.NORM.S.INV(RAND())</f>
        <v>6.3198144877484264E-2</v>
      </c>
      <c r="U2662" s="59">
        <f ca="1">Dashboard!D$8* Dashboard!$F$4+Dashboard!D$10*SQRT(Dashboard!$F$4) * _xlfn.NORM.S.INV(RAND())</f>
        <v>2.1519799799203949E-2</v>
      </c>
    </row>
    <row r="2663" spans="18:21" x14ac:dyDescent="0.2">
      <c r="R2663" s="49">
        <v>2661</v>
      </c>
      <c r="S2663" s="59">
        <f ca="1">Dashboard!B$8* Dashboard!$F$4+Dashboard!B$10*SQRT(Dashboard!$F$4) * _xlfn.NORM.S.INV(RAND())</f>
        <v>-1.5999164719977116E-2</v>
      </c>
      <c r="T2663" s="59">
        <f ca="1">Dashboard!C$8* Dashboard!$F$4+Dashboard!C$10*SQRT(Dashboard!$F$4) * _xlfn.NORM.S.INV(RAND())</f>
        <v>-3.8575509134979535E-2</v>
      </c>
      <c r="U2663" s="59">
        <f ca="1">Dashboard!D$8* Dashboard!$F$4+Dashboard!D$10*SQRT(Dashboard!$F$4) * _xlfn.NORM.S.INV(RAND())</f>
        <v>7.9086704583864094E-4</v>
      </c>
    </row>
    <row r="2664" spans="18:21" x14ac:dyDescent="0.2">
      <c r="R2664" s="49">
        <v>2662</v>
      </c>
      <c r="S2664" s="59">
        <f ca="1">Dashboard!B$8* Dashboard!$F$4+Dashboard!B$10*SQRT(Dashboard!$F$4) * _xlfn.NORM.S.INV(RAND())</f>
        <v>-4.8876125512253409E-3</v>
      </c>
      <c r="T2664" s="59">
        <f ca="1">Dashboard!C$8* Dashboard!$F$4+Dashboard!C$10*SQRT(Dashboard!$F$4) * _xlfn.NORM.S.INV(RAND())</f>
        <v>9.5853884120284082E-3</v>
      </c>
      <c r="U2664" s="59">
        <f ca="1">Dashboard!D$8* Dashboard!$F$4+Dashboard!D$10*SQRT(Dashboard!$F$4) * _xlfn.NORM.S.INV(RAND())</f>
        <v>-1.1369341522705802E-2</v>
      </c>
    </row>
    <row r="2665" spans="18:21" x14ac:dyDescent="0.2">
      <c r="R2665" s="49">
        <v>2663</v>
      </c>
      <c r="S2665" s="59">
        <f ca="1">Dashboard!B$8* Dashboard!$F$4+Dashboard!B$10*SQRT(Dashboard!$F$4) * _xlfn.NORM.S.INV(RAND())</f>
        <v>1.879956971895802E-2</v>
      </c>
      <c r="T2665" s="59">
        <f ca="1">Dashboard!C$8* Dashboard!$F$4+Dashboard!C$10*SQRT(Dashboard!$F$4) * _xlfn.NORM.S.INV(RAND())</f>
        <v>2.0368291430733421E-2</v>
      </c>
      <c r="U2665" s="59">
        <f ca="1">Dashboard!D$8* Dashboard!$F$4+Dashboard!D$10*SQRT(Dashboard!$F$4) * _xlfn.NORM.S.INV(RAND())</f>
        <v>4.6177803932779087E-2</v>
      </c>
    </row>
    <row r="2666" spans="18:21" x14ac:dyDescent="0.2">
      <c r="R2666" s="49">
        <v>2664</v>
      </c>
      <c r="S2666" s="59">
        <f ca="1">Dashboard!B$8* Dashboard!$F$4+Dashboard!B$10*SQRT(Dashboard!$F$4) * _xlfn.NORM.S.INV(RAND())</f>
        <v>5.6913914103736696E-2</v>
      </c>
      <c r="T2666" s="59">
        <f ca="1">Dashboard!C$8* Dashboard!$F$4+Dashboard!C$10*SQRT(Dashboard!$F$4) * _xlfn.NORM.S.INV(RAND())</f>
        <v>4.3594541822777021E-2</v>
      </c>
      <c r="U2666" s="59">
        <f ca="1">Dashboard!D$8* Dashboard!$F$4+Dashboard!D$10*SQRT(Dashboard!$F$4) * _xlfn.NORM.S.INV(RAND())</f>
        <v>-1.0545413127889296E-2</v>
      </c>
    </row>
    <row r="2667" spans="18:21" x14ac:dyDescent="0.2">
      <c r="R2667" s="49">
        <v>2665</v>
      </c>
      <c r="S2667" s="59">
        <f ca="1">Dashboard!B$8* Dashboard!$F$4+Dashboard!B$10*SQRT(Dashboard!$F$4) * _xlfn.NORM.S.INV(RAND())</f>
        <v>-1.2453246457988605E-2</v>
      </c>
      <c r="T2667" s="59">
        <f ca="1">Dashboard!C$8* Dashboard!$F$4+Dashboard!C$10*SQRT(Dashboard!$F$4) * _xlfn.NORM.S.INV(RAND())</f>
        <v>-4.9437025951077032E-2</v>
      </c>
      <c r="U2667" s="59">
        <f ca="1">Dashboard!D$8* Dashboard!$F$4+Dashboard!D$10*SQRT(Dashboard!$F$4) * _xlfn.NORM.S.INV(RAND())</f>
        <v>6.94851214683138E-3</v>
      </c>
    </row>
    <row r="2668" spans="18:21" x14ac:dyDescent="0.2">
      <c r="R2668" s="49">
        <v>2666</v>
      </c>
      <c r="S2668" s="59">
        <f ca="1">Dashboard!B$8* Dashboard!$F$4+Dashboard!B$10*SQRT(Dashboard!$F$4) * _xlfn.NORM.S.INV(RAND())</f>
        <v>3.7998777142510778E-2</v>
      </c>
      <c r="T2668" s="59">
        <f ca="1">Dashboard!C$8* Dashboard!$F$4+Dashboard!C$10*SQRT(Dashboard!$F$4) * _xlfn.NORM.S.INV(RAND())</f>
        <v>-4.1342636031753546E-2</v>
      </c>
      <c r="U2668" s="59">
        <f ca="1">Dashboard!D$8* Dashboard!$F$4+Dashboard!D$10*SQRT(Dashboard!$F$4) * _xlfn.NORM.S.INV(RAND())</f>
        <v>-5.6714752159197003E-2</v>
      </c>
    </row>
    <row r="2669" spans="18:21" x14ac:dyDescent="0.2">
      <c r="R2669" s="49">
        <v>2667</v>
      </c>
      <c r="S2669" s="59">
        <f ca="1">Dashboard!B$8* Dashboard!$F$4+Dashboard!B$10*SQRT(Dashboard!$F$4) * _xlfn.NORM.S.INV(RAND())</f>
        <v>4.5481918622472722E-2</v>
      </c>
      <c r="T2669" s="59">
        <f ca="1">Dashboard!C$8* Dashboard!$F$4+Dashboard!C$10*SQRT(Dashboard!$F$4) * _xlfn.NORM.S.INV(RAND())</f>
        <v>6.4625095047635014E-2</v>
      </c>
      <c r="U2669" s="59">
        <f ca="1">Dashboard!D$8* Dashboard!$F$4+Dashboard!D$10*SQRT(Dashboard!$F$4) * _xlfn.NORM.S.INV(RAND())</f>
        <v>-2.0921506424398564E-2</v>
      </c>
    </row>
    <row r="2670" spans="18:21" x14ac:dyDescent="0.2">
      <c r="R2670" s="49">
        <v>2668</v>
      </c>
      <c r="S2670" s="59">
        <f ca="1">Dashboard!B$8* Dashboard!$F$4+Dashboard!B$10*SQRT(Dashboard!$F$4) * _xlfn.NORM.S.INV(RAND())</f>
        <v>-1.1791490159608948E-2</v>
      </c>
      <c r="T2670" s="59">
        <f ca="1">Dashboard!C$8* Dashboard!$F$4+Dashboard!C$10*SQRT(Dashboard!$F$4) * _xlfn.NORM.S.INV(RAND())</f>
        <v>-1.6091840613280745E-2</v>
      </c>
      <c r="U2670" s="59">
        <f ca="1">Dashboard!D$8* Dashboard!$F$4+Dashboard!D$10*SQRT(Dashboard!$F$4) * _xlfn.NORM.S.INV(RAND())</f>
        <v>-5.9203118391201407E-3</v>
      </c>
    </row>
    <row r="2671" spans="18:21" x14ac:dyDescent="0.2">
      <c r="R2671" s="49">
        <v>2669</v>
      </c>
      <c r="S2671" s="59">
        <f ca="1">Dashboard!B$8* Dashboard!$F$4+Dashboard!B$10*SQRT(Dashboard!$F$4) * _xlfn.NORM.S.INV(RAND())</f>
        <v>1.113953490325441E-2</v>
      </c>
      <c r="T2671" s="59">
        <f ca="1">Dashboard!C$8* Dashboard!$F$4+Dashboard!C$10*SQRT(Dashboard!$F$4) * _xlfn.NORM.S.INV(RAND())</f>
        <v>4.3162811178480021E-3</v>
      </c>
      <c r="U2671" s="59">
        <f ca="1">Dashboard!D$8* Dashboard!$F$4+Dashboard!D$10*SQRT(Dashboard!$F$4) * _xlfn.NORM.S.INV(RAND())</f>
        <v>-1.4592699119412291E-2</v>
      </c>
    </row>
    <row r="2672" spans="18:21" x14ac:dyDescent="0.2">
      <c r="R2672" s="49">
        <v>2670</v>
      </c>
      <c r="S2672" s="59">
        <f ca="1">Dashboard!B$8* Dashboard!$F$4+Dashboard!B$10*SQRT(Dashboard!$F$4) * _xlfn.NORM.S.INV(RAND())</f>
        <v>3.3727963582417225E-2</v>
      </c>
      <c r="T2672" s="59">
        <f ca="1">Dashboard!C$8* Dashboard!$F$4+Dashboard!C$10*SQRT(Dashboard!$F$4) * _xlfn.NORM.S.INV(RAND())</f>
        <v>2.3785523046988472E-2</v>
      </c>
      <c r="U2672" s="59">
        <f ca="1">Dashboard!D$8* Dashboard!$F$4+Dashboard!D$10*SQRT(Dashboard!$F$4) * _xlfn.NORM.S.INV(RAND())</f>
        <v>2.8063704346939153E-3</v>
      </c>
    </row>
    <row r="2673" spans="18:21" x14ac:dyDescent="0.2">
      <c r="R2673" s="49">
        <v>2671</v>
      </c>
      <c r="S2673" s="59">
        <f ca="1">Dashboard!B$8* Dashboard!$F$4+Dashboard!B$10*SQRT(Dashboard!$F$4) * _xlfn.NORM.S.INV(RAND())</f>
        <v>2.9366608236788647E-2</v>
      </c>
      <c r="T2673" s="59">
        <f ca="1">Dashboard!C$8* Dashboard!$F$4+Dashboard!C$10*SQRT(Dashboard!$F$4) * _xlfn.NORM.S.INV(RAND())</f>
        <v>-2.3377137560599861E-2</v>
      </c>
      <c r="U2673" s="59">
        <f ca="1">Dashboard!D$8* Dashboard!$F$4+Dashboard!D$10*SQRT(Dashboard!$F$4) * _xlfn.NORM.S.INV(RAND())</f>
        <v>5.0064216116468156E-2</v>
      </c>
    </row>
    <row r="2674" spans="18:21" x14ac:dyDescent="0.2">
      <c r="R2674" s="49">
        <v>2672</v>
      </c>
      <c r="S2674" s="59">
        <f ca="1">Dashboard!B$8* Dashboard!$F$4+Dashboard!B$10*SQRT(Dashboard!$F$4) * _xlfn.NORM.S.INV(RAND())</f>
        <v>-3.4590108969485223E-2</v>
      </c>
      <c r="T2674" s="59">
        <f ca="1">Dashboard!C$8* Dashboard!$F$4+Dashboard!C$10*SQRT(Dashboard!$F$4) * _xlfn.NORM.S.INV(RAND())</f>
        <v>-3.5225400020159982E-2</v>
      </c>
      <c r="U2674" s="59">
        <f ca="1">Dashboard!D$8* Dashboard!$F$4+Dashboard!D$10*SQRT(Dashboard!$F$4) * _xlfn.NORM.S.INV(RAND())</f>
        <v>-7.391284929728828E-2</v>
      </c>
    </row>
    <row r="2675" spans="18:21" x14ac:dyDescent="0.2">
      <c r="R2675" s="49">
        <v>2673</v>
      </c>
      <c r="S2675" s="59">
        <f ca="1">Dashboard!B$8* Dashboard!$F$4+Dashboard!B$10*SQRT(Dashboard!$F$4) * _xlfn.NORM.S.INV(RAND())</f>
        <v>-5.0410102321364145E-3</v>
      </c>
      <c r="T2675" s="59">
        <f ca="1">Dashboard!C$8* Dashboard!$F$4+Dashboard!C$10*SQRT(Dashboard!$F$4) * _xlfn.NORM.S.INV(RAND())</f>
        <v>-4.2488282566018207E-2</v>
      </c>
      <c r="U2675" s="59">
        <f ca="1">Dashboard!D$8* Dashboard!$F$4+Dashboard!D$10*SQRT(Dashboard!$F$4) * _xlfn.NORM.S.INV(RAND())</f>
        <v>2.76729920258134E-2</v>
      </c>
    </row>
    <row r="2676" spans="18:21" x14ac:dyDescent="0.2">
      <c r="R2676" s="49">
        <v>2674</v>
      </c>
      <c r="S2676" s="59">
        <f ca="1">Dashboard!B$8* Dashboard!$F$4+Dashboard!B$10*SQRT(Dashboard!$F$4) * _xlfn.NORM.S.INV(RAND())</f>
        <v>-0.10745614202278943</v>
      </c>
      <c r="T2676" s="59">
        <f ca="1">Dashboard!C$8* Dashboard!$F$4+Dashboard!C$10*SQRT(Dashboard!$F$4) * _xlfn.NORM.S.INV(RAND())</f>
        <v>7.5330361247742034E-2</v>
      </c>
      <c r="U2676" s="59">
        <f ca="1">Dashboard!D$8* Dashboard!$F$4+Dashboard!D$10*SQRT(Dashboard!$F$4) * _xlfn.NORM.S.INV(RAND())</f>
        <v>5.4671363599146802E-2</v>
      </c>
    </row>
    <row r="2677" spans="18:21" x14ac:dyDescent="0.2">
      <c r="R2677" s="49">
        <v>2675</v>
      </c>
      <c r="S2677" s="59">
        <f ca="1">Dashboard!B$8* Dashboard!$F$4+Dashboard!B$10*SQRT(Dashboard!$F$4) * _xlfn.NORM.S.INV(RAND())</f>
        <v>-5.8106344547338117E-2</v>
      </c>
      <c r="T2677" s="59">
        <f ca="1">Dashboard!C$8* Dashboard!$F$4+Dashboard!C$10*SQRT(Dashboard!$F$4) * _xlfn.NORM.S.INV(RAND())</f>
        <v>-2.4178128271530458E-3</v>
      </c>
      <c r="U2677" s="59">
        <f ca="1">Dashboard!D$8* Dashboard!$F$4+Dashboard!D$10*SQRT(Dashboard!$F$4) * _xlfn.NORM.S.INV(RAND())</f>
        <v>2.671126283422252E-3</v>
      </c>
    </row>
    <row r="2678" spans="18:21" x14ac:dyDescent="0.2">
      <c r="R2678" s="49">
        <v>2676</v>
      </c>
      <c r="S2678" s="59">
        <f ca="1">Dashboard!B$8* Dashboard!$F$4+Dashboard!B$10*SQRT(Dashboard!$F$4) * _xlfn.NORM.S.INV(RAND())</f>
        <v>1.4322184281675912E-2</v>
      </c>
      <c r="T2678" s="59">
        <f ca="1">Dashboard!C$8* Dashboard!$F$4+Dashboard!C$10*SQRT(Dashboard!$F$4) * _xlfn.NORM.S.INV(RAND())</f>
        <v>-1.3780607319253062E-2</v>
      </c>
      <c r="U2678" s="59">
        <f ca="1">Dashboard!D$8* Dashboard!$F$4+Dashboard!D$10*SQRT(Dashboard!$F$4) * _xlfn.NORM.S.INV(RAND())</f>
        <v>-1.5835582538162033E-2</v>
      </c>
    </row>
    <row r="2679" spans="18:21" x14ac:dyDescent="0.2">
      <c r="R2679" s="49">
        <v>2677</v>
      </c>
      <c r="S2679" s="59">
        <f ca="1">Dashboard!B$8* Dashboard!$F$4+Dashboard!B$10*SQRT(Dashboard!$F$4) * _xlfn.NORM.S.INV(RAND())</f>
        <v>-6.62914969152176E-3</v>
      </c>
      <c r="T2679" s="59">
        <f ca="1">Dashboard!C$8* Dashboard!$F$4+Dashboard!C$10*SQRT(Dashboard!$F$4) * _xlfn.NORM.S.INV(RAND())</f>
        <v>4.699311074872136E-2</v>
      </c>
      <c r="U2679" s="59">
        <f ca="1">Dashboard!D$8* Dashboard!$F$4+Dashboard!D$10*SQRT(Dashboard!$F$4) * _xlfn.NORM.S.INV(RAND())</f>
        <v>-1.1160747270508064E-2</v>
      </c>
    </row>
    <row r="2680" spans="18:21" x14ac:dyDescent="0.2">
      <c r="R2680" s="49">
        <v>2678</v>
      </c>
      <c r="S2680" s="59">
        <f ca="1">Dashboard!B$8* Dashboard!$F$4+Dashboard!B$10*SQRT(Dashboard!$F$4) * _xlfn.NORM.S.INV(RAND())</f>
        <v>-6.0561837093534562E-2</v>
      </c>
      <c r="T2680" s="59">
        <f ca="1">Dashboard!C$8* Dashboard!$F$4+Dashboard!C$10*SQRT(Dashboard!$F$4) * _xlfn.NORM.S.INV(RAND())</f>
        <v>3.6001749195765397E-2</v>
      </c>
      <c r="U2680" s="59">
        <f ca="1">Dashboard!D$8* Dashboard!$F$4+Dashboard!D$10*SQRT(Dashboard!$F$4) * _xlfn.NORM.S.INV(RAND())</f>
        <v>1.7520681442487174E-3</v>
      </c>
    </row>
    <row r="2681" spans="18:21" x14ac:dyDescent="0.2">
      <c r="R2681" s="49">
        <v>2679</v>
      </c>
      <c r="S2681" s="59">
        <f ca="1">Dashboard!B$8* Dashboard!$F$4+Dashboard!B$10*SQRT(Dashboard!$F$4) * _xlfn.NORM.S.INV(RAND())</f>
        <v>2.6334106339587814E-3</v>
      </c>
      <c r="T2681" s="59">
        <f ca="1">Dashboard!C$8* Dashboard!$F$4+Dashboard!C$10*SQRT(Dashboard!$F$4) * _xlfn.NORM.S.INV(RAND())</f>
        <v>3.1051984045818298E-3</v>
      </c>
      <c r="U2681" s="59">
        <f ca="1">Dashboard!D$8* Dashboard!$F$4+Dashboard!D$10*SQRT(Dashboard!$F$4) * _xlfn.NORM.S.INV(RAND())</f>
        <v>-2.0780402328563419E-2</v>
      </c>
    </row>
    <row r="2682" spans="18:21" x14ac:dyDescent="0.2">
      <c r="R2682" s="49">
        <v>2680</v>
      </c>
      <c r="S2682" s="59">
        <f ca="1">Dashboard!B$8* Dashboard!$F$4+Dashboard!B$10*SQRT(Dashboard!$F$4) * _xlfn.NORM.S.INV(RAND())</f>
        <v>2.3561505501573043E-2</v>
      </c>
      <c r="T2682" s="59">
        <f ca="1">Dashboard!C$8* Dashboard!$F$4+Dashboard!C$10*SQRT(Dashboard!$F$4) * _xlfn.NORM.S.INV(RAND())</f>
        <v>4.6574235421361507E-2</v>
      </c>
      <c r="U2682" s="59">
        <f ca="1">Dashboard!D$8* Dashboard!$F$4+Dashboard!D$10*SQRT(Dashboard!$F$4) * _xlfn.NORM.S.INV(RAND())</f>
        <v>-1.6668808445731772E-3</v>
      </c>
    </row>
    <row r="2683" spans="18:21" x14ac:dyDescent="0.2">
      <c r="R2683" s="49">
        <v>2681</v>
      </c>
      <c r="S2683" s="59">
        <f ca="1">Dashboard!B$8* Dashboard!$F$4+Dashboard!B$10*SQRT(Dashboard!$F$4) * _xlfn.NORM.S.INV(RAND())</f>
        <v>7.8870650538295992E-3</v>
      </c>
      <c r="T2683" s="59">
        <f ca="1">Dashboard!C$8* Dashboard!$F$4+Dashboard!C$10*SQRT(Dashboard!$F$4) * _xlfn.NORM.S.INV(RAND())</f>
        <v>2.4052558252344647E-2</v>
      </c>
      <c r="U2683" s="59">
        <f ca="1">Dashboard!D$8* Dashboard!$F$4+Dashboard!D$10*SQRT(Dashboard!$F$4) * _xlfn.NORM.S.INV(RAND())</f>
        <v>-2.8207509025999822E-2</v>
      </c>
    </row>
    <row r="2684" spans="18:21" x14ac:dyDescent="0.2">
      <c r="R2684" s="49">
        <v>2682</v>
      </c>
      <c r="S2684" s="59">
        <f ca="1">Dashboard!B$8* Dashboard!$F$4+Dashboard!B$10*SQRT(Dashboard!$F$4) * _xlfn.NORM.S.INV(RAND())</f>
        <v>-3.5542216298995242E-3</v>
      </c>
      <c r="T2684" s="59">
        <f ca="1">Dashboard!C$8* Dashboard!$F$4+Dashboard!C$10*SQRT(Dashboard!$F$4) * _xlfn.NORM.S.INV(RAND())</f>
        <v>4.117010900859959E-2</v>
      </c>
      <c r="U2684" s="59">
        <f ca="1">Dashboard!D$8* Dashboard!$F$4+Dashboard!D$10*SQRT(Dashboard!$F$4) * _xlfn.NORM.S.INV(RAND())</f>
        <v>4.2058949859332595E-3</v>
      </c>
    </row>
    <row r="2685" spans="18:21" x14ac:dyDescent="0.2">
      <c r="R2685" s="49">
        <v>2683</v>
      </c>
      <c r="S2685" s="59">
        <f ca="1">Dashboard!B$8* Dashboard!$F$4+Dashboard!B$10*SQRT(Dashboard!$F$4) * _xlfn.NORM.S.INV(RAND())</f>
        <v>1.2169930019719539E-2</v>
      </c>
      <c r="T2685" s="59">
        <f ca="1">Dashboard!C$8* Dashboard!$F$4+Dashboard!C$10*SQRT(Dashboard!$F$4) * _xlfn.NORM.S.INV(RAND())</f>
        <v>1.6008132727831827E-2</v>
      </c>
      <c r="U2685" s="59">
        <f ca="1">Dashboard!D$8* Dashboard!$F$4+Dashboard!D$10*SQRT(Dashboard!$F$4) * _xlfn.NORM.S.INV(RAND())</f>
        <v>-1.10947746634122E-2</v>
      </c>
    </row>
    <row r="2686" spans="18:21" x14ac:dyDescent="0.2">
      <c r="R2686" s="49">
        <v>2684</v>
      </c>
      <c r="S2686" s="59">
        <f ca="1">Dashboard!B$8* Dashboard!$F$4+Dashboard!B$10*SQRT(Dashboard!$F$4) * _xlfn.NORM.S.INV(RAND())</f>
        <v>2.445150777678716E-2</v>
      </c>
      <c r="T2686" s="59">
        <f ca="1">Dashboard!C$8* Dashboard!$F$4+Dashboard!C$10*SQRT(Dashboard!$F$4) * _xlfn.NORM.S.INV(RAND())</f>
        <v>-2.1983721597617599E-2</v>
      </c>
      <c r="U2686" s="59">
        <f ca="1">Dashboard!D$8* Dashboard!$F$4+Dashboard!D$10*SQRT(Dashboard!$F$4) * _xlfn.NORM.S.INV(RAND())</f>
        <v>-2.2510384350458356E-3</v>
      </c>
    </row>
    <row r="2687" spans="18:21" x14ac:dyDescent="0.2">
      <c r="R2687" s="49">
        <v>2685</v>
      </c>
      <c r="S2687" s="59">
        <f ca="1">Dashboard!B$8* Dashboard!$F$4+Dashboard!B$10*SQRT(Dashboard!$F$4) * _xlfn.NORM.S.INV(RAND())</f>
        <v>-2.9894895628747677E-2</v>
      </c>
      <c r="T2687" s="59">
        <f ca="1">Dashboard!C$8* Dashboard!$F$4+Dashboard!C$10*SQRT(Dashboard!$F$4) * _xlfn.NORM.S.INV(RAND())</f>
        <v>3.5498179484571318E-2</v>
      </c>
      <c r="U2687" s="59">
        <f ca="1">Dashboard!D$8* Dashboard!$F$4+Dashboard!D$10*SQRT(Dashboard!$F$4) * _xlfn.NORM.S.INV(RAND())</f>
        <v>-3.2066793170188644E-2</v>
      </c>
    </row>
    <row r="2688" spans="18:21" x14ac:dyDescent="0.2">
      <c r="R2688" s="49">
        <v>2686</v>
      </c>
      <c r="S2688" s="59">
        <f ca="1">Dashboard!B$8* Dashboard!$F$4+Dashboard!B$10*SQRT(Dashboard!$F$4) * _xlfn.NORM.S.INV(RAND())</f>
        <v>-5.1591063274450712E-3</v>
      </c>
      <c r="T2688" s="59">
        <f ca="1">Dashboard!C$8* Dashboard!$F$4+Dashboard!C$10*SQRT(Dashboard!$F$4) * _xlfn.NORM.S.INV(RAND())</f>
        <v>-5.0051082510995826E-2</v>
      </c>
      <c r="U2688" s="59">
        <f ca="1">Dashboard!D$8* Dashboard!$F$4+Dashboard!D$10*SQRT(Dashboard!$F$4) * _xlfn.NORM.S.INV(RAND())</f>
        <v>-4.8889667504494486E-2</v>
      </c>
    </row>
    <row r="2689" spans="18:21" x14ac:dyDescent="0.2">
      <c r="R2689" s="49">
        <v>2687</v>
      </c>
      <c r="S2689" s="59">
        <f ca="1">Dashboard!B$8* Dashboard!$F$4+Dashboard!B$10*SQRT(Dashboard!$F$4) * _xlfn.NORM.S.INV(RAND())</f>
        <v>1.4256140984677064E-2</v>
      </c>
      <c r="T2689" s="59">
        <f ca="1">Dashboard!C$8* Dashboard!$F$4+Dashboard!C$10*SQRT(Dashboard!$F$4) * _xlfn.NORM.S.INV(RAND())</f>
        <v>5.0140180261533877E-2</v>
      </c>
      <c r="U2689" s="59">
        <f ca="1">Dashboard!D$8* Dashboard!$F$4+Dashboard!D$10*SQRT(Dashboard!$F$4) * _xlfn.NORM.S.INV(RAND())</f>
        <v>1.2506161593486198E-2</v>
      </c>
    </row>
    <row r="2690" spans="18:21" x14ac:dyDescent="0.2">
      <c r="R2690" s="49">
        <v>2688</v>
      </c>
      <c r="S2690" s="59">
        <f ca="1">Dashboard!B$8* Dashboard!$F$4+Dashboard!B$10*SQRT(Dashboard!$F$4) * _xlfn.NORM.S.INV(RAND())</f>
        <v>-2.1592242600037129E-2</v>
      </c>
      <c r="T2690" s="59">
        <f ca="1">Dashboard!C$8* Dashboard!$F$4+Dashboard!C$10*SQRT(Dashboard!$F$4) * _xlfn.NORM.S.INV(RAND())</f>
        <v>-6.4546614782937592E-2</v>
      </c>
      <c r="U2690" s="59">
        <f ca="1">Dashboard!D$8* Dashboard!$F$4+Dashboard!D$10*SQRT(Dashboard!$F$4) * _xlfn.NORM.S.INV(RAND())</f>
        <v>-3.1714042062809401E-2</v>
      </c>
    </row>
    <row r="2691" spans="18:21" x14ac:dyDescent="0.2">
      <c r="R2691" s="49">
        <v>2689</v>
      </c>
      <c r="S2691" s="59">
        <f ca="1">Dashboard!B$8* Dashboard!$F$4+Dashboard!B$10*SQRT(Dashboard!$F$4) * _xlfn.NORM.S.INV(RAND())</f>
        <v>3.2902670711357452E-3</v>
      </c>
      <c r="T2691" s="59">
        <f ca="1">Dashboard!C$8* Dashboard!$F$4+Dashboard!C$10*SQRT(Dashboard!$F$4) * _xlfn.NORM.S.INV(RAND())</f>
        <v>-2.8742075538177498E-2</v>
      </c>
      <c r="U2691" s="59">
        <f ca="1">Dashboard!D$8* Dashboard!$F$4+Dashboard!D$10*SQRT(Dashboard!$F$4) * _xlfn.NORM.S.INV(RAND())</f>
        <v>-2.0272757951555389E-2</v>
      </c>
    </row>
    <row r="2692" spans="18:21" x14ac:dyDescent="0.2">
      <c r="R2692" s="49">
        <v>2690</v>
      </c>
      <c r="S2692" s="59">
        <f ca="1">Dashboard!B$8* Dashboard!$F$4+Dashboard!B$10*SQRT(Dashboard!$F$4) * _xlfn.NORM.S.INV(RAND())</f>
        <v>-2.354540313748963E-2</v>
      </c>
      <c r="T2692" s="59">
        <f ca="1">Dashboard!C$8* Dashboard!$F$4+Dashboard!C$10*SQRT(Dashboard!$F$4) * _xlfn.NORM.S.INV(RAND())</f>
        <v>-4.9984560250516041E-3</v>
      </c>
      <c r="U2692" s="59">
        <f ca="1">Dashboard!D$8* Dashboard!$F$4+Dashboard!D$10*SQRT(Dashboard!$F$4) * _xlfn.NORM.S.INV(RAND())</f>
        <v>1.1049896683823553E-3</v>
      </c>
    </row>
    <row r="2693" spans="18:21" x14ac:dyDescent="0.2">
      <c r="R2693" s="49">
        <v>2691</v>
      </c>
      <c r="S2693" s="59">
        <f ca="1">Dashboard!B$8* Dashboard!$F$4+Dashboard!B$10*SQRT(Dashboard!$F$4) * _xlfn.NORM.S.INV(RAND())</f>
        <v>-6.0885267083947703E-3</v>
      </c>
      <c r="T2693" s="59">
        <f ca="1">Dashboard!C$8* Dashboard!$F$4+Dashboard!C$10*SQRT(Dashboard!$F$4) * _xlfn.NORM.S.INV(RAND())</f>
        <v>-4.5080076494106155E-2</v>
      </c>
      <c r="U2693" s="59">
        <f ca="1">Dashboard!D$8* Dashboard!$F$4+Dashboard!D$10*SQRT(Dashboard!$F$4) * _xlfn.NORM.S.INV(RAND())</f>
        <v>-2.8099143579563286E-2</v>
      </c>
    </row>
    <row r="2694" spans="18:21" x14ac:dyDescent="0.2">
      <c r="R2694" s="49">
        <v>2692</v>
      </c>
      <c r="S2694" s="59">
        <f ca="1">Dashboard!B$8* Dashboard!$F$4+Dashboard!B$10*SQRT(Dashboard!$F$4) * _xlfn.NORM.S.INV(RAND())</f>
        <v>1.3395013152845072E-2</v>
      </c>
      <c r="T2694" s="59">
        <f ca="1">Dashboard!C$8* Dashboard!$F$4+Dashboard!C$10*SQRT(Dashboard!$F$4) * _xlfn.NORM.S.INV(RAND())</f>
        <v>2.4669618940569422E-2</v>
      </c>
      <c r="U2694" s="59">
        <f ca="1">Dashboard!D$8* Dashboard!$F$4+Dashboard!D$10*SQRT(Dashboard!$F$4) * _xlfn.NORM.S.INV(RAND())</f>
        <v>4.3407919038718296E-2</v>
      </c>
    </row>
    <row r="2695" spans="18:21" x14ac:dyDescent="0.2">
      <c r="R2695" s="49">
        <v>2693</v>
      </c>
      <c r="S2695" s="59">
        <f ca="1">Dashboard!B$8* Dashboard!$F$4+Dashboard!B$10*SQRT(Dashboard!$F$4) * _xlfn.NORM.S.INV(RAND())</f>
        <v>3.1906972958855679E-3</v>
      </c>
      <c r="T2695" s="59">
        <f ca="1">Dashboard!C$8* Dashboard!$F$4+Dashboard!C$10*SQRT(Dashboard!$F$4) * _xlfn.NORM.S.INV(RAND())</f>
        <v>2.8922730827745265E-2</v>
      </c>
      <c r="U2695" s="59">
        <f ca="1">Dashboard!D$8* Dashboard!$F$4+Dashboard!D$10*SQRT(Dashboard!$F$4) * _xlfn.NORM.S.INV(RAND())</f>
        <v>7.9504825100233537E-4</v>
      </c>
    </row>
    <row r="2696" spans="18:21" x14ac:dyDescent="0.2">
      <c r="R2696" s="49">
        <v>2694</v>
      </c>
      <c r="S2696" s="59">
        <f ca="1">Dashboard!B$8* Dashboard!$F$4+Dashboard!B$10*SQRT(Dashboard!$F$4) * _xlfn.NORM.S.INV(RAND())</f>
        <v>7.1922098634924214E-2</v>
      </c>
      <c r="T2696" s="59">
        <f ca="1">Dashboard!C$8* Dashboard!$F$4+Dashboard!C$10*SQRT(Dashboard!$F$4) * _xlfn.NORM.S.INV(RAND())</f>
        <v>5.8946841121717809E-2</v>
      </c>
      <c r="U2696" s="59">
        <f ca="1">Dashboard!D$8* Dashboard!$F$4+Dashboard!D$10*SQRT(Dashboard!$F$4) * _xlfn.NORM.S.INV(RAND())</f>
        <v>-3.3996051718064954E-2</v>
      </c>
    </row>
    <row r="2697" spans="18:21" x14ac:dyDescent="0.2">
      <c r="R2697" s="49">
        <v>2695</v>
      </c>
      <c r="S2697" s="59">
        <f ca="1">Dashboard!B$8* Dashboard!$F$4+Dashboard!B$10*SQRT(Dashboard!$F$4) * _xlfn.NORM.S.INV(RAND())</f>
        <v>-1.8917614989089858E-2</v>
      </c>
      <c r="T2697" s="59">
        <f ca="1">Dashboard!C$8* Dashboard!$F$4+Dashboard!C$10*SQRT(Dashboard!$F$4) * _xlfn.NORM.S.INV(RAND())</f>
        <v>-1.5124494747252044E-3</v>
      </c>
      <c r="U2697" s="59">
        <f ca="1">Dashboard!D$8* Dashboard!$F$4+Dashboard!D$10*SQRT(Dashboard!$F$4) * _xlfn.NORM.S.INV(RAND())</f>
        <v>1.2520403527590369E-3</v>
      </c>
    </row>
    <row r="2698" spans="18:21" x14ac:dyDescent="0.2">
      <c r="R2698" s="49">
        <v>2696</v>
      </c>
      <c r="S2698" s="59">
        <f ca="1">Dashboard!B$8* Dashboard!$F$4+Dashboard!B$10*SQRT(Dashboard!$F$4) * _xlfn.NORM.S.INV(RAND())</f>
        <v>3.7115084555011287E-3</v>
      </c>
      <c r="T2698" s="59">
        <f ca="1">Dashboard!C$8* Dashboard!$F$4+Dashboard!C$10*SQRT(Dashboard!$F$4) * _xlfn.NORM.S.INV(RAND())</f>
        <v>-7.5566347856119509E-3</v>
      </c>
      <c r="U2698" s="59">
        <f ca="1">Dashboard!D$8* Dashboard!$F$4+Dashboard!D$10*SQRT(Dashboard!$F$4) * _xlfn.NORM.S.INV(RAND())</f>
        <v>3.5489601109263719E-2</v>
      </c>
    </row>
    <row r="2699" spans="18:21" x14ac:dyDescent="0.2">
      <c r="R2699" s="49">
        <v>2697</v>
      </c>
      <c r="S2699" s="59">
        <f ca="1">Dashboard!B$8* Dashboard!$F$4+Dashboard!B$10*SQRT(Dashboard!$F$4) * _xlfn.NORM.S.INV(RAND())</f>
        <v>1.0198282637623185E-2</v>
      </c>
      <c r="T2699" s="59">
        <f ca="1">Dashboard!C$8* Dashboard!$F$4+Dashboard!C$10*SQRT(Dashboard!$F$4) * _xlfn.NORM.S.INV(RAND())</f>
        <v>-1.1894331534956532E-2</v>
      </c>
      <c r="U2699" s="59">
        <f ca="1">Dashboard!D$8* Dashboard!$F$4+Dashboard!D$10*SQRT(Dashboard!$F$4) * _xlfn.NORM.S.INV(RAND())</f>
        <v>1.8747337958861871E-2</v>
      </c>
    </row>
    <row r="2700" spans="18:21" x14ac:dyDescent="0.2">
      <c r="R2700" s="49">
        <v>2698</v>
      </c>
      <c r="S2700" s="59">
        <f ca="1">Dashboard!B$8* Dashboard!$F$4+Dashboard!B$10*SQRT(Dashboard!$F$4) * _xlfn.NORM.S.INV(RAND())</f>
        <v>1.0913383331013597E-2</v>
      </c>
      <c r="T2700" s="59">
        <f ca="1">Dashboard!C$8* Dashboard!$F$4+Dashboard!C$10*SQRT(Dashboard!$F$4) * _xlfn.NORM.S.INV(RAND())</f>
        <v>-3.4065291621884243E-2</v>
      </c>
      <c r="U2700" s="59">
        <f ca="1">Dashboard!D$8* Dashboard!$F$4+Dashboard!D$10*SQRT(Dashboard!$F$4) * _xlfn.NORM.S.INV(RAND())</f>
        <v>9.8534941653851994E-3</v>
      </c>
    </row>
    <row r="2701" spans="18:21" x14ac:dyDescent="0.2">
      <c r="R2701" s="49">
        <v>2699</v>
      </c>
      <c r="S2701" s="59">
        <f ca="1">Dashboard!B$8* Dashboard!$F$4+Dashboard!B$10*SQRT(Dashboard!$F$4) * _xlfn.NORM.S.INV(RAND())</f>
        <v>5.1077190878952544E-2</v>
      </c>
      <c r="T2701" s="59">
        <f ca="1">Dashboard!C$8* Dashboard!$F$4+Dashboard!C$10*SQRT(Dashboard!$F$4) * _xlfn.NORM.S.INV(RAND())</f>
        <v>-1.5938818476134719E-2</v>
      </c>
      <c r="U2701" s="59">
        <f ca="1">Dashboard!D$8* Dashboard!$F$4+Dashboard!D$10*SQRT(Dashboard!$F$4) * _xlfn.NORM.S.INV(RAND())</f>
        <v>-4.072988734145748E-2</v>
      </c>
    </row>
    <row r="2702" spans="18:21" x14ac:dyDescent="0.2">
      <c r="R2702" s="49">
        <v>2700</v>
      </c>
      <c r="S2702" s="59">
        <f ca="1">Dashboard!B$8* Dashboard!$F$4+Dashboard!B$10*SQRT(Dashboard!$F$4) * _xlfn.NORM.S.INV(RAND())</f>
        <v>6.347227321015364E-4</v>
      </c>
      <c r="T2702" s="59">
        <f ca="1">Dashboard!C$8* Dashboard!$F$4+Dashboard!C$10*SQRT(Dashboard!$F$4) * _xlfn.NORM.S.INV(RAND())</f>
        <v>-2.063595046004138E-2</v>
      </c>
      <c r="U2702" s="59">
        <f ca="1">Dashboard!D$8* Dashboard!$F$4+Dashboard!D$10*SQRT(Dashboard!$F$4) * _xlfn.NORM.S.INV(RAND())</f>
        <v>-4.962155405669276E-2</v>
      </c>
    </row>
    <row r="2703" spans="18:21" x14ac:dyDescent="0.2">
      <c r="R2703" s="49">
        <v>2701</v>
      </c>
      <c r="S2703" s="59">
        <f ca="1">Dashboard!B$8* Dashboard!$F$4+Dashboard!B$10*SQRT(Dashboard!$F$4) * _xlfn.NORM.S.INV(RAND())</f>
        <v>1.9561206384039728E-2</v>
      </c>
      <c r="T2703" s="59">
        <f ca="1">Dashboard!C$8* Dashboard!$F$4+Dashboard!C$10*SQRT(Dashboard!$F$4) * _xlfn.NORM.S.INV(RAND())</f>
        <v>-2.1420513164079318E-2</v>
      </c>
      <c r="U2703" s="59">
        <f ca="1">Dashboard!D$8* Dashboard!$F$4+Dashboard!D$10*SQRT(Dashboard!$F$4) * _xlfn.NORM.S.INV(RAND())</f>
        <v>-1.0723970762233959E-2</v>
      </c>
    </row>
    <row r="2704" spans="18:21" x14ac:dyDescent="0.2">
      <c r="R2704" s="49">
        <v>2702</v>
      </c>
      <c r="S2704" s="59">
        <f ca="1">Dashboard!B$8* Dashboard!$F$4+Dashboard!B$10*SQRT(Dashboard!$F$4) * _xlfn.NORM.S.INV(RAND())</f>
        <v>-5.1335400765727901E-2</v>
      </c>
      <c r="T2704" s="59">
        <f ca="1">Dashboard!C$8* Dashboard!$F$4+Dashboard!C$10*SQRT(Dashboard!$F$4) * _xlfn.NORM.S.INV(RAND())</f>
        <v>-1.0357623098378888E-2</v>
      </c>
      <c r="U2704" s="59">
        <f ca="1">Dashboard!D$8* Dashboard!$F$4+Dashboard!D$10*SQRT(Dashboard!$F$4) * _xlfn.NORM.S.INV(RAND())</f>
        <v>-3.0766315091658902E-2</v>
      </c>
    </row>
    <row r="2705" spans="18:21" x14ac:dyDescent="0.2">
      <c r="R2705" s="49">
        <v>2703</v>
      </c>
      <c r="S2705" s="59">
        <f ca="1">Dashboard!B$8* Dashboard!$F$4+Dashboard!B$10*SQRT(Dashboard!$F$4) * _xlfn.NORM.S.INV(RAND())</f>
        <v>4.6408160467117821E-2</v>
      </c>
      <c r="T2705" s="59">
        <f ca="1">Dashboard!C$8* Dashboard!$F$4+Dashboard!C$10*SQRT(Dashboard!$F$4) * _xlfn.NORM.S.INV(RAND())</f>
        <v>-2.1270359451612441E-2</v>
      </c>
      <c r="U2705" s="59">
        <f ca="1">Dashboard!D$8* Dashboard!$F$4+Dashboard!D$10*SQRT(Dashboard!$F$4) * _xlfn.NORM.S.INV(RAND())</f>
        <v>3.3314672158818136E-2</v>
      </c>
    </row>
    <row r="2706" spans="18:21" x14ac:dyDescent="0.2">
      <c r="R2706" s="49">
        <v>2704</v>
      </c>
      <c r="S2706" s="59">
        <f ca="1">Dashboard!B$8* Dashboard!$F$4+Dashboard!B$10*SQRT(Dashboard!$F$4) * _xlfn.NORM.S.INV(RAND())</f>
        <v>-4.3565931924138782E-2</v>
      </c>
      <c r="T2706" s="59">
        <f ca="1">Dashboard!C$8* Dashboard!$F$4+Dashboard!C$10*SQRT(Dashboard!$F$4) * _xlfn.NORM.S.INV(RAND())</f>
        <v>2.5673734875476389E-2</v>
      </c>
      <c r="U2706" s="59">
        <f ca="1">Dashboard!D$8* Dashboard!$F$4+Dashboard!D$10*SQRT(Dashboard!$F$4) * _xlfn.NORM.S.INV(RAND())</f>
        <v>3.4630192947870238E-2</v>
      </c>
    </row>
    <row r="2707" spans="18:21" x14ac:dyDescent="0.2">
      <c r="R2707" s="49">
        <v>2705</v>
      </c>
      <c r="S2707" s="59">
        <f ca="1">Dashboard!B$8* Dashboard!$F$4+Dashboard!B$10*SQRT(Dashboard!$F$4) * _xlfn.NORM.S.INV(RAND())</f>
        <v>-3.965653374580979E-2</v>
      </c>
      <c r="T2707" s="59">
        <f ca="1">Dashboard!C$8* Dashboard!$F$4+Dashboard!C$10*SQRT(Dashboard!$F$4) * _xlfn.NORM.S.INV(RAND())</f>
        <v>-2.8199026700242411E-2</v>
      </c>
      <c r="U2707" s="59">
        <f ca="1">Dashboard!D$8* Dashboard!$F$4+Dashboard!D$10*SQRT(Dashboard!$F$4) * _xlfn.NORM.S.INV(RAND())</f>
        <v>9.4468594693446241E-3</v>
      </c>
    </row>
    <row r="2708" spans="18:21" x14ac:dyDescent="0.2">
      <c r="R2708" s="49">
        <v>2706</v>
      </c>
      <c r="S2708" s="59">
        <f ca="1">Dashboard!B$8* Dashboard!$F$4+Dashboard!B$10*SQRT(Dashboard!$F$4) * _xlfn.NORM.S.INV(RAND())</f>
        <v>2.1613833864748758E-2</v>
      </c>
      <c r="T2708" s="59">
        <f ca="1">Dashboard!C$8* Dashboard!$F$4+Dashboard!C$10*SQRT(Dashboard!$F$4) * _xlfn.NORM.S.INV(RAND())</f>
        <v>2.4451432883736017E-2</v>
      </c>
      <c r="U2708" s="59">
        <f ca="1">Dashboard!D$8* Dashboard!$F$4+Dashboard!D$10*SQRT(Dashboard!$F$4) * _xlfn.NORM.S.INV(RAND())</f>
        <v>5.1882485844264884E-3</v>
      </c>
    </row>
    <row r="2709" spans="18:21" x14ac:dyDescent="0.2">
      <c r="R2709" s="49">
        <v>2707</v>
      </c>
      <c r="S2709" s="59">
        <f ca="1">Dashboard!B$8* Dashboard!$F$4+Dashboard!B$10*SQRT(Dashboard!$F$4) * _xlfn.NORM.S.INV(RAND())</f>
        <v>3.2023261032463231E-2</v>
      </c>
      <c r="T2709" s="59">
        <f ca="1">Dashboard!C$8* Dashboard!$F$4+Dashboard!C$10*SQRT(Dashboard!$F$4) * _xlfn.NORM.S.INV(RAND())</f>
        <v>6.121933279190659E-2</v>
      </c>
      <c r="U2709" s="59">
        <f ca="1">Dashboard!D$8* Dashboard!$F$4+Dashboard!D$10*SQRT(Dashboard!$F$4) * _xlfn.NORM.S.INV(RAND())</f>
        <v>2.5977185429546037E-2</v>
      </c>
    </row>
    <row r="2710" spans="18:21" x14ac:dyDescent="0.2">
      <c r="R2710" s="49">
        <v>2708</v>
      </c>
      <c r="S2710" s="59">
        <f ca="1">Dashboard!B$8* Dashboard!$F$4+Dashboard!B$10*SQRT(Dashboard!$F$4) * _xlfn.NORM.S.INV(RAND())</f>
        <v>2.4076008102026744E-2</v>
      </c>
      <c r="T2710" s="59">
        <f ca="1">Dashboard!C$8* Dashboard!$F$4+Dashboard!C$10*SQRT(Dashboard!$F$4) * _xlfn.NORM.S.INV(RAND())</f>
        <v>-4.0222411186480317E-2</v>
      </c>
      <c r="U2710" s="59">
        <f ca="1">Dashboard!D$8* Dashboard!$F$4+Dashboard!D$10*SQRT(Dashboard!$F$4) * _xlfn.NORM.S.INV(RAND())</f>
        <v>-2.5492360650037928E-2</v>
      </c>
    </row>
    <row r="2711" spans="18:21" x14ac:dyDescent="0.2">
      <c r="R2711" s="49">
        <v>2709</v>
      </c>
      <c r="S2711" s="59">
        <f ca="1">Dashboard!B$8* Dashboard!$F$4+Dashboard!B$10*SQRT(Dashboard!$F$4) * _xlfn.NORM.S.INV(RAND())</f>
        <v>-3.3742836429399625E-2</v>
      </c>
      <c r="T2711" s="59">
        <f ca="1">Dashboard!C$8* Dashboard!$F$4+Dashboard!C$10*SQRT(Dashboard!$F$4) * _xlfn.NORM.S.INV(RAND())</f>
        <v>9.7763306858150816E-3</v>
      </c>
      <c r="U2711" s="59">
        <f ca="1">Dashboard!D$8* Dashboard!$F$4+Dashboard!D$10*SQRT(Dashboard!$F$4) * _xlfn.NORM.S.INV(RAND())</f>
        <v>-1.4238934517578522E-2</v>
      </c>
    </row>
    <row r="2712" spans="18:21" x14ac:dyDescent="0.2">
      <c r="R2712" s="49">
        <v>2710</v>
      </c>
      <c r="S2712" s="59">
        <f ca="1">Dashboard!B$8* Dashboard!$F$4+Dashboard!B$10*SQRT(Dashboard!$F$4) * _xlfn.NORM.S.INV(RAND())</f>
        <v>6.6300107522805879E-2</v>
      </c>
      <c r="T2712" s="59">
        <f ca="1">Dashboard!C$8* Dashboard!$F$4+Dashboard!C$10*SQRT(Dashboard!$F$4) * _xlfn.NORM.S.INV(RAND())</f>
        <v>7.3700483064117655E-3</v>
      </c>
      <c r="U2712" s="59">
        <f ca="1">Dashboard!D$8* Dashboard!$F$4+Dashboard!D$10*SQRT(Dashboard!$F$4) * _xlfn.NORM.S.INV(RAND())</f>
        <v>-2.9874368783964843E-2</v>
      </c>
    </row>
    <row r="2713" spans="18:21" x14ac:dyDescent="0.2">
      <c r="R2713" s="49">
        <v>2711</v>
      </c>
      <c r="S2713" s="59">
        <f ca="1">Dashboard!B$8* Dashboard!$F$4+Dashboard!B$10*SQRT(Dashboard!$F$4) * _xlfn.NORM.S.INV(RAND())</f>
        <v>-5.1957448319859406E-2</v>
      </c>
      <c r="T2713" s="59">
        <f ca="1">Dashboard!C$8* Dashboard!$F$4+Dashboard!C$10*SQRT(Dashboard!$F$4) * _xlfn.NORM.S.INV(RAND())</f>
        <v>-8.4581692095278098E-3</v>
      </c>
      <c r="U2713" s="59">
        <f ca="1">Dashboard!D$8* Dashboard!$F$4+Dashboard!D$10*SQRT(Dashboard!$F$4) * _xlfn.NORM.S.INV(RAND())</f>
        <v>5.1708437541857423E-2</v>
      </c>
    </row>
    <row r="2714" spans="18:21" x14ac:dyDescent="0.2">
      <c r="R2714" s="49">
        <v>2712</v>
      </c>
      <c r="S2714" s="59">
        <f ca="1">Dashboard!B$8* Dashboard!$F$4+Dashboard!B$10*SQRT(Dashboard!$F$4) * _xlfn.NORM.S.INV(RAND())</f>
        <v>2.1863812574882999E-2</v>
      </c>
      <c r="T2714" s="59">
        <f ca="1">Dashboard!C$8* Dashboard!$F$4+Dashboard!C$10*SQRT(Dashboard!$F$4) * _xlfn.NORM.S.INV(RAND())</f>
        <v>1.541682607868711E-2</v>
      </c>
      <c r="U2714" s="59">
        <f ca="1">Dashboard!D$8* Dashboard!$F$4+Dashboard!D$10*SQRT(Dashboard!$F$4) * _xlfn.NORM.S.INV(RAND())</f>
        <v>-2.1188460395694025E-2</v>
      </c>
    </row>
    <row r="2715" spans="18:21" x14ac:dyDescent="0.2">
      <c r="R2715" s="49">
        <v>2713</v>
      </c>
      <c r="S2715" s="59">
        <f ca="1">Dashboard!B$8* Dashboard!$F$4+Dashboard!B$10*SQRT(Dashboard!$F$4) * _xlfn.NORM.S.INV(RAND())</f>
        <v>6.6764520526795042E-3</v>
      </c>
      <c r="T2715" s="59">
        <f ca="1">Dashboard!C$8* Dashboard!$F$4+Dashboard!C$10*SQRT(Dashboard!$F$4) * _xlfn.NORM.S.INV(RAND())</f>
        <v>-1.4786934009301065E-2</v>
      </c>
      <c r="U2715" s="59">
        <f ca="1">Dashboard!D$8* Dashboard!$F$4+Dashboard!D$10*SQRT(Dashboard!$F$4) * _xlfn.NORM.S.INV(RAND())</f>
        <v>2.1483828283890755E-2</v>
      </c>
    </row>
    <row r="2716" spans="18:21" x14ac:dyDescent="0.2">
      <c r="R2716" s="49">
        <v>2714</v>
      </c>
      <c r="S2716" s="59">
        <f ca="1">Dashboard!B$8* Dashboard!$F$4+Dashboard!B$10*SQRT(Dashboard!$F$4) * _xlfn.NORM.S.INV(RAND())</f>
        <v>-4.2274276654289157E-2</v>
      </c>
      <c r="T2716" s="59">
        <f ca="1">Dashboard!C$8* Dashboard!$F$4+Dashboard!C$10*SQRT(Dashboard!$F$4) * _xlfn.NORM.S.INV(RAND())</f>
        <v>-4.9320217007963784E-3</v>
      </c>
      <c r="U2716" s="59">
        <f ca="1">Dashboard!D$8* Dashboard!$F$4+Dashboard!D$10*SQRT(Dashboard!$F$4) * _xlfn.NORM.S.INV(RAND())</f>
        <v>1.0543757125312922E-2</v>
      </c>
    </row>
    <row r="2717" spans="18:21" x14ac:dyDescent="0.2">
      <c r="R2717" s="49">
        <v>2715</v>
      </c>
      <c r="S2717" s="59">
        <f ca="1">Dashboard!B$8* Dashboard!$F$4+Dashboard!B$10*SQRT(Dashboard!$F$4) * _xlfn.NORM.S.INV(RAND())</f>
        <v>-8.2092258363160725E-3</v>
      </c>
      <c r="T2717" s="59">
        <f ca="1">Dashboard!C$8* Dashboard!$F$4+Dashboard!C$10*SQRT(Dashboard!$F$4) * _xlfn.NORM.S.INV(RAND())</f>
        <v>-1.8814421222060267E-2</v>
      </c>
      <c r="U2717" s="59">
        <f ca="1">Dashboard!D$8* Dashboard!$F$4+Dashboard!D$10*SQRT(Dashboard!$F$4) * _xlfn.NORM.S.INV(RAND())</f>
        <v>2.6656484683335067E-2</v>
      </c>
    </row>
    <row r="2718" spans="18:21" x14ac:dyDescent="0.2">
      <c r="R2718" s="49">
        <v>2716</v>
      </c>
      <c r="S2718" s="59">
        <f ca="1">Dashboard!B$8* Dashboard!$F$4+Dashboard!B$10*SQRT(Dashboard!$F$4) * _xlfn.NORM.S.INV(RAND())</f>
        <v>7.3444892997129429E-3</v>
      </c>
      <c r="T2718" s="59">
        <f ca="1">Dashboard!C$8* Dashboard!$F$4+Dashboard!C$10*SQRT(Dashboard!$F$4) * _xlfn.NORM.S.INV(RAND())</f>
        <v>4.2473514517688132E-2</v>
      </c>
      <c r="U2718" s="59">
        <f ca="1">Dashboard!D$8* Dashboard!$F$4+Dashboard!D$10*SQRT(Dashboard!$F$4) * _xlfn.NORM.S.INV(RAND())</f>
        <v>-6.1724344672892388E-2</v>
      </c>
    </row>
    <row r="2719" spans="18:21" x14ac:dyDescent="0.2">
      <c r="R2719" s="49">
        <v>2717</v>
      </c>
      <c r="S2719" s="59">
        <f ca="1">Dashboard!B$8* Dashboard!$F$4+Dashboard!B$10*SQRT(Dashboard!$F$4) * _xlfn.NORM.S.INV(RAND())</f>
        <v>8.4471320787842114E-3</v>
      </c>
      <c r="T2719" s="59">
        <f ca="1">Dashboard!C$8* Dashboard!$F$4+Dashboard!C$10*SQRT(Dashboard!$F$4) * _xlfn.NORM.S.INV(RAND())</f>
        <v>-1.7101409139964309E-2</v>
      </c>
      <c r="U2719" s="59">
        <f ca="1">Dashboard!D$8* Dashboard!$F$4+Dashboard!D$10*SQRT(Dashboard!$F$4) * _xlfn.NORM.S.INV(RAND())</f>
        <v>-6.2292330396745955E-4</v>
      </c>
    </row>
    <row r="2720" spans="18:21" x14ac:dyDescent="0.2">
      <c r="R2720" s="49">
        <v>2718</v>
      </c>
      <c r="S2720" s="59">
        <f ca="1">Dashboard!B$8* Dashboard!$F$4+Dashboard!B$10*SQRT(Dashboard!$F$4) * _xlfn.NORM.S.INV(RAND())</f>
        <v>1.4200035414242961E-2</v>
      </c>
      <c r="T2720" s="59">
        <f ca="1">Dashboard!C$8* Dashboard!$F$4+Dashboard!C$10*SQRT(Dashboard!$F$4) * _xlfn.NORM.S.INV(RAND())</f>
        <v>2.2662289883043633E-2</v>
      </c>
      <c r="U2720" s="59">
        <f ca="1">Dashboard!D$8* Dashboard!$F$4+Dashboard!D$10*SQRT(Dashboard!$F$4) * _xlfn.NORM.S.INV(RAND())</f>
        <v>-1.9034790238767561E-2</v>
      </c>
    </row>
    <row r="2721" spans="18:21" x14ac:dyDescent="0.2">
      <c r="R2721" s="49">
        <v>2719</v>
      </c>
      <c r="S2721" s="59">
        <f ca="1">Dashboard!B$8* Dashboard!$F$4+Dashboard!B$10*SQRT(Dashboard!$F$4) * _xlfn.NORM.S.INV(RAND())</f>
        <v>5.3993480538723812E-2</v>
      </c>
      <c r="T2721" s="59">
        <f ca="1">Dashboard!C$8* Dashboard!$F$4+Dashboard!C$10*SQRT(Dashboard!$F$4) * _xlfn.NORM.S.INV(RAND())</f>
        <v>-1.4097869645867733E-2</v>
      </c>
      <c r="U2721" s="59">
        <f ca="1">Dashboard!D$8* Dashboard!$F$4+Dashboard!D$10*SQRT(Dashboard!$F$4) * _xlfn.NORM.S.INV(RAND())</f>
        <v>-1.3577703475837711E-2</v>
      </c>
    </row>
    <row r="2722" spans="18:21" x14ac:dyDescent="0.2">
      <c r="R2722" s="49">
        <v>2720</v>
      </c>
      <c r="S2722" s="59">
        <f ca="1">Dashboard!B$8* Dashboard!$F$4+Dashboard!B$10*SQRT(Dashboard!$F$4) * _xlfn.NORM.S.INV(RAND())</f>
        <v>2.2743507783005209E-3</v>
      </c>
      <c r="T2722" s="59">
        <f ca="1">Dashboard!C$8* Dashboard!$F$4+Dashboard!C$10*SQRT(Dashboard!$F$4) * _xlfn.NORM.S.INV(RAND())</f>
        <v>3.4461819347174792E-3</v>
      </c>
      <c r="U2722" s="59">
        <f ca="1">Dashboard!D$8* Dashboard!$F$4+Dashboard!D$10*SQRT(Dashboard!$F$4) * _xlfn.NORM.S.INV(RAND())</f>
        <v>-3.4050531279694742E-2</v>
      </c>
    </row>
    <row r="2723" spans="18:21" x14ac:dyDescent="0.2">
      <c r="R2723" s="49">
        <v>2721</v>
      </c>
      <c r="S2723" s="59">
        <f ca="1">Dashboard!B$8* Dashboard!$F$4+Dashboard!B$10*SQRT(Dashboard!$F$4) * _xlfn.NORM.S.INV(RAND())</f>
        <v>2.1777939023148556E-3</v>
      </c>
      <c r="T2723" s="59">
        <f ca="1">Dashboard!C$8* Dashboard!$F$4+Dashboard!C$10*SQRT(Dashboard!$F$4) * _xlfn.NORM.S.INV(RAND())</f>
        <v>-6.1347397946218364E-3</v>
      </c>
      <c r="U2723" s="59">
        <f ca="1">Dashboard!D$8* Dashboard!$F$4+Dashboard!D$10*SQRT(Dashboard!$F$4) * _xlfn.NORM.S.INV(RAND())</f>
        <v>2.7098905473648873E-3</v>
      </c>
    </row>
    <row r="2724" spans="18:21" x14ac:dyDescent="0.2">
      <c r="R2724" s="49">
        <v>2722</v>
      </c>
      <c r="S2724" s="59">
        <f ca="1">Dashboard!B$8* Dashboard!$F$4+Dashboard!B$10*SQRT(Dashboard!$F$4) * _xlfn.NORM.S.INV(RAND())</f>
        <v>-6.3792272726115234E-2</v>
      </c>
      <c r="T2724" s="59">
        <f ca="1">Dashboard!C$8* Dashboard!$F$4+Dashboard!C$10*SQRT(Dashboard!$F$4) * _xlfn.NORM.S.INV(RAND())</f>
        <v>2.5861988153024745E-2</v>
      </c>
      <c r="U2724" s="59">
        <f ca="1">Dashboard!D$8* Dashboard!$F$4+Dashboard!D$10*SQRT(Dashboard!$F$4) * _xlfn.NORM.S.INV(RAND())</f>
        <v>-6.7147540048709247E-3</v>
      </c>
    </row>
    <row r="2725" spans="18:21" x14ac:dyDescent="0.2">
      <c r="R2725" s="49">
        <v>2723</v>
      </c>
      <c r="S2725" s="59">
        <f ca="1">Dashboard!B$8* Dashboard!$F$4+Dashboard!B$10*SQRT(Dashboard!$F$4) * _xlfn.NORM.S.INV(RAND())</f>
        <v>1.561670570811517E-2</v>
      </c>
      <c r="T2725" s="59">
        <f ca="1">Dashboard!C$8* Dashboard!$F$4+Dashboard!C$10*SQRT(Dashboard!$F$4) * _xlfn.NORM.S.INV(RAND())</f>
        <v>2.0527673398815682E-3</v>
      </c>
      <c r="U2725" s="59">
        <f ca="1">Dashboard!D$8* Dashboard!$F$4+Dashboard!D$10*SQRT(Dashboard!$F$4) * _xlfn.NORM.S.INV(RAND())</f>
        <v>-2.5899973767584652E-2</v>
      </c>
    </row>
    <row r="2726" spans="18:21" x14ac:dyDescent="0.2">
      <c r="R2726" s="49">
        <v>2724</v>
      </c>
      <c r="S2726" s="59">
        <f ca="1">Dashboard!B$8* Dashboard!$F$4+Dashboard!B$10*SQRT(Dashboard!$F$4) * _xlfn.NORM.S.INV(RAND())</f>
        <v>-2.6728446878131855E-2</v>
      </c>
      <c r="T2726" s="59">
        <f ca="1">Dashboard!C$8* Dashboard!$F$4+Dashboard!C$10*SQRT(Dashboard!$F$4) * _xlfn.NORM.S.INV(RAND())</f>
        <v>-5.8108165629320391E-2</v>
      </c>
      <c r="U2726" s="59">
        <f ca="1">Dashboard!D$8* Dashboard!$F$4+Dashboard!D$10*SQRT(Dashboard!$F$4) * _xlfn.NORM.S.INV(RAND())</f>
        <v>-3.004313675345234E-2</v>
      </c>
    </row>
    <row r="2727" spans="18:21" x14ac:dyDescent="0.2">
      <c r="R2727" s="49">
        <v>2725</v>
      </c>
      <c r="S2727" s="59">
        <f ca="1">Dashboard!B$8* Dashboard!$F$4+Dashboard!B$10*SQRT(Dashboard!$F$4) * _xlfn.NORM.S.INV(RAND())</f>
        <v>5.2957711428387885E-2</v>
      </c>
      <c r="T2727" s="59">
        <f ca="1">Dashboard!C$8* Dashboard!$F$4+Dashboard!C$10*SQRT(Dashboard!$F$4) * _xlfn.NORM.S.INV(RAND())</f>
        <v>-9.2319268635991297E-2</v>
      </c>
      <c r="U2727" s="59">
        <f ca="1">Dashboard!D$8* Dashboard!$F$4+Dashboard!D$10*SQRT(Dashboard!$F$4) * _xlfn.NORM.S.INV(RAND())</f>
        <v>-1.3268419496638893E-2</v>
      </c>
    </row>
    <row r="2728" spans="18:21" x14ac:dyDescent="0.2">
      <c r="R2728" s="49">
        <v>2726</v>
      </c>
      <c r="S2728" s="59">
        <f ca="1">Dashboard!B$8* Dashboard!$F$4+Dashboard!B$10*SQRT(Dashboard!$F$4) * _xlfn.NORM.S.INV(RAND())</f>
        <v>1.7426704237066791E-2</v>
      </c>
      <c r="T2728" s="59">
        <f ca="1">Dashboard!C$8* Dashboard!$F$4+Dashboard!C$10*SQRT(Dashboard!$F$4) * _xlfn.NORM.S.INV(RAND())</f>
        <v>5.3015838101772355E-3</v>
      </c>
      <c r="U2728" s="59">
        <f ca="1">Dashboard!D$8* Dashboard!$F$4+Dashboard!D$10*SQRT(Dashboard!$F$4) * _xlfn.NORM.S.INV(RAND())</f>
        <v>1.7157041135995692E-2</v>
      </c>
    </row>
    <row r="2729" spans="18:21" x14ac:dyDescent="0.2">
      <c r="R2729" s="49">
        <v>2727</v>
      </c>
      <c r="S2729" s="59">
        <f ca="1">Dashboard!B$8* Dashboard!$F$4+Dashboard!B$10*SQRT(Dashboard!$F$4) * _xlfn.NORM.S.INV(RAND())</f>
        <v>3.2667857473126859E-2</v>
      </c>
      <c r="T2729" s="59">
        <f ca="1">Dashboard!C$8* Dashboard!$F$4+Dashboard!C$10*SQRT(Dashboard!$F$4) * _xlfn.NORM.S.INV(RAND())</f>
        <v>8.5786201203636864E-3</v>
      </c>
      <c r="U2729" s="59">
        <f ca="1">Dashboard!D$8* Dashboard!$F$4+Dashboard!D$10*SQRT(Dashboard!$F$4) * _xlfn.NORM.S.INV(RAND())</f>
        <v>4.1949794544986221E-2</v>
      </c>
    </row>
    <row r="2730" spans="18:21" x14ac:dyDescent="0.2">
      <c r="R2730" s="49">
        <v>2728</v>
      </c>
      <c r="S2730" s="59">
        <f ca="1">Dashboard!B$8* Dashboard!$F$4+Dashboard!B$10*SQRT(Dashboard!$F$4) * _xlfn.NORM.S.INV(RAND())</f>
        <v>5.9743635938284453E-2</v>
      </c>
      <c r="T2730" s="59">
        <f ca="1">Dashboard!C$8* Dashboard!$F$4+Dashboard!C$10*SQRT(Dashboard!$F$4) * _xlfn.NORM.S.INV(RAND())</f>
        <v>7.6598809395313598E-3</v>
      </c>
      <c r="U2730" s="59">
        <f ca="1">Dashboard!D$8* Dashboard!$F$4+Dashboard!D$10*SQRT(Dashboard!$F$4) * _xlfn.NORM.S.INV(RAND())</f>
        <v>5.8717466791487023E-3</v>
      </c>
    </row>
    <row r="2731" spans="18:21" x14ac:dyDescent="0.2">
      <c r="R2731" s="49">
        <v>2729</v>
      </c>
      <c r="S2731" s="59">
        <f ca="1">Dashboard!B$8* Dashboard!$F$4+Dashboard!B$10*SQRT(Dashboard!$F$4) * _xlfn.NORM.S.INV(RAND())</f>
        <v>-5.9200286588842445E-2</v>
      </c>
      <c r="T2731" s="59">
        <f ca="1">Dashboard!C$8* Dashboard!$F$4+Dashboard!C$10*SQRT(Dashboard!$F$4) * _xlfn.NORM.S.INV(RAND())</f>
        <v>9.8024509075240948E-3</v>
      </c>
      <c r="U2731" s="59">
        <f ca="1">Dashboard!D$8* Dashboard!$F$4+Dashboard!D$10*SQRT(Dashboard!$F$4) * _xlfn.NORM.S.INV(RAND())</f>
        <v>5.8416386446002631E-2</v>
      </c>
    </row>
    <row r="2732" spans="18:21" x14ac:dyDescent="0.2">
      <c r="R2732" s="49">
        <v>2730</v>
      </c>
      <c r="S2732" s="59">
        <f ca="1">Dashboard!B$8* Dashboard!$F$4+Dashboard!B$10*SQRT(Dashboard!$F$4) * _xlfn.NORM.S.INV(RAND())</f>
        <v>-2.8405355311105503E-2</v>
      </c>
      <c r="T2732" s="59">
        <f ca="1">Dashboard!C$8* Dashboard!$F$4+Dashboard!C$10*SQRT(Dashboard!$F$4) * _xlfn.NORM.S.INV(RAND())</f>
        <v>4.4395899108842979E-2</v>
      </c>
      <c r="U2732" s="59">
        <f ca="1">Dashboard!D$8* Dashboard!$F$4+Dashboard!D$10*SQRT(Dashboard!$F$4) * _xlfn.NORM.S.INV(RAND())</f>
        <v>2.2352015574828882E-2</v>
      </c>
    </row>
    <row r="2733" spans="18:21" x14ac:dyDescent="0.2">
      <c r="R2733" s="49">
        <v>2731</v>
      </c>
      <c r="S2733" s="59">
        <f ca="1">Dashboard!B$8* Dashboard!$F$4+Dashboard!B$10*SQRT(Dashboard!$F$4) * _xlfn.NORM.S.INV(RAND())</f>
        <v>-7.5668167504226672E-3</v>
      </c>
      <c r="T2733" s="59">
        <f ca="1">Dashboard!C$8* Dashboard!$F$4+Dashboard!C$10*SQRT(Dashboard!$F$4) * _xlfn.NORM.S.INV(RAND())</f>
        <v>3.5651882962104059E-2</v>
      </c>
      <c r="U2733" s="59">
        <f ca="1">Dashboard!D$8* Dashboard!$F$4+Dashboard!D$10*SQRT(Dashboard!$F$4) * _xlfn.NORM.S.INV(RAND())</f>
        <v>-1.3086486937852202E-2</v>
      </c>
    </row>
    <row r="2734" spans="18:21" x14ac:dyDescent="0.2">
      <c r="R2734" s="49">
        <v>2732</v>
      </c>
      <c r="S2734" s="59">
        <f ca="1">Dashboard!B$8* Dashboard!$F$4+Dashboard!B$10*SQRT(Dashboard!$F$4) * _xlfn.NORM.S.INV(RAND())</f>
        <v>-1.1215852623650716E-2</v>
      </c>
      <c r="T2734" s="59">
        <f ca="1">Dashboard!C$8* Dashboard!$F$4+Dashboard!C$10*SQRT(Dashboard!$F$4) * _xlfn.NORM.S.INV(RAND())</f>
        <v>6.9254470428815232E-2</v>
      </c>
      <c r="U2734" s="59">
        <f ca="1">Dashboard!D$8* Dashboard!$F$4+Dashboard!D$10*SQRT(Dashboard!$F$4) * _xlfn.NORM.S.INV(RAND())</f>
        <v>-1.1168691018828033E-2</v>
      </c>
    </row>
    <row r="2735" spans="18:21" x14ac:dyDescent="0.2">
      <c r="R2735" s="49">
        <v>2733</v>
      </c>
      <c r="S2735" s="59">
        <f ca="1">Dashboard!B$8* Dashboard!$F$4+Dashboard!B$10*SQRT(Dashboard!$F$4) * _xlfn.NORM.S.INV(RAND())</f>
        <v>1.5221553381284695E-2</v>
      </c>
      <c r="T2735" s="59">
        <f ca="1">Dashboard!C$8* Dashboard!$F$4+Dashboard!C$10*SQRT(Dashboard!$F$4) * _xlfn.NORM.S.INV(RAND())</f>
        <v>1.2493684511168651E-2</v>
      </c>
      <c r="U2735" s="59">
        <f ca="1">Dashboard!D$8* Dashboard!$F$4+Dashboard!D$10*SQRT(Dashboard!$F$4) * _xlfn.NORM.S.INV(RAND())</f>
        <v>2.5465411908746668E-2</v>
      </c>
    </row>
    <row r="2736" spans="18:21" x14ac:dyDescent="0.2">
      <c r="R2736" s="49">
        <v>2734</v>
      </c>
      <c r="S2736" s="59">
        <f ca="1">Dashboard!B$8* Dashboard!$F$4+Dashboard!B$10*SQRT(Dashboard!$F$4) * _xlfn.NORM.S.INV(RAND())</f>
        <v>-4.6455212581269091E-2</v>
      </c>
      <c r="T2736" s="59">
        <f ca="1">Dashboard!C$8* Dashboard!$F$4+Dashboard!C$10*SQRT(Dashboard!$F$4) * _xlfn.NORM.S.INV(RAND())</f>
        <v>-7.9148999686194411E-3</v>
      </c>
      <c r="U2736" s="59">
        <f ca="1">Dashboard!D$8* Dashboard!$F$4+Dashboard!D$10*SQRT(Dashboard!$F$4) * _xlfn.NORM.S.INV(RAND())</f>
        <v>1.5965920960024111E-3</v>
      </c>
    </row>
    <row r="2737" spans="18:21" x14ac:dyDescent="0.2">
      <c r="R2737" s="49">
        <v>2735</v>
      </c>
      <c r="S2737" s="59">
        <f ca="1">Dashboard!B$8* Dashboard!$F$4+Dashboard!B$10*SQRT(Dashboard!$F$4) * _xlfn.NORM.S.INV(RAND())</f>
        <v>3.5884663700105008E-3</v>
      </c>
      <c r="T2737" s="59">
        <f ca="1">Dashboard!C$8* Dashboard!$F$4+Dashboard!C$10*SQRT(Dashboard!$F$4) * _xlfn.NORM.S.INV(RAND())</f>
        <v>-2.3851643102845491E-2</v>
      </c>
      <c r="U2737" s="59">
        <f ca="1">Dashboard!D$8* Dashboard!$F$4+Dashboard!D$10*SQRT(Dashboard!$F$4) * _xlfn.NORM.S.INV(RAND())</f>
        <v>-6.1899065050029192E-2</v>
      </c>
    </row>
    <row r="2738" spans="18:21" x14ac:dyDescent="0.2">
      <c r="R2738" s="49">
        <v>2736</v>
      </c>
      <c r="S2738" s="59">
        <f ca="1">Dashboard!B$8* Dashboard!$F$4+Dashboard!B$10*SQRT(Dashboard!$F$4) * _xlfn.NORM.S.INV(RAND())</f>
        <v>-3.9418738530387847E-2</v>
      </c>
      <c r="T2738" s="59">
        <f ca="1">Dashboard!C$8* Dashboard!$F$4+Dashboard!C$10*SQRT(Dashboard!$F$4) * _xlfn.NORM.S.INV(RAND())</f>
        <v>2.9499787288574549E-2</v>
      </c>
      <c r="U2738" s="59">
        <f ca="1">Dashboard!D$8* Dashboard!$F$4+Dashboard!D$10*SQRT(Dashboard!$F$4) * _xlfn.NORM.S.INV(RAND())</f>
        <v>-1.5727976520592084E-2</v>
      </c>
    </row>
    <row r="2739" spans="18:21" x14ac:dyDescent="0.2">
      <c r="R2739" s="49">
        <v>2737</v>
      </c>
      <c r="S2739" s="59">
        <f ca="1">Dashboard!B$8* Dashboard!$F$4+Dashboard!B$10*SQRT(Dashboard!$F$4) * _xlfn.NORM.S.INV(RAND())</f>
        <v>-4.503404174494529E-2</v>
      </c>
      <c r="T2739" s="59">
        <f ca="1">Dashboard!C$8* Dashboard!$F$4+Dashboard!C$10*SQRT(Dashboard!$F$4) * _xlfn.NORM.S.INV(RAND())</f>
        <v>-2.477818143559549E-2</v>
      </c>
      <c r="U2739" s="59">
        <f ca="1">Dashboard!D$8* Dashboard!$F$4+Dashboard!D$10*SQRT(Dashboard!$F$4) * _xlfn.NORM.S.INV(RAND())</f>
        <v>-8.9009721408055582E-3</v>
      </c>
    </row>
    <row r="2740" spans="18:21" x14ac:dyDescent="0.2">
      <c r="R2740" s="49">
        <v>2738</v>
      </c>
      <c r="S2740" s="59">
        <f ca="1">Dashboard!B$8* Dashboard!$F$4+Dashboard!B$10*SQRT(Dashboard!$F$4) * _xlfn.NORM.S.INV(RAND())</f>
        <v>-1.1146183227242663E-2</v>
      </c>
      <c r="T2740" s="59">
        <f ca="1">Dashboard!C$8* Dashboard!$F$4+Dashboard!C$10*SQRT(Dashboard!$F$4) * _xlfn.NORM.S.INV(RAND())</f>
        <v>-4.242091144732979E-2</v>
      </c>
      <c r="U2740" s="59">
        <f ca="1">Dashboard!D$8* Dashboard!$F$4+Dashboard!D$10*SQRT(Dashboard!$F$4) * _xlfn.NORM.S.INV(RAND())</f>
        <v>3.4527572117119307E-2</v>
      </c>
    </row>
    <row r="2741" spans="18:21" x14ac:dyDescent="0.2">
      <c r="R2741" s="49">
        <v>2739</v>
      </c>
      <c r="S2741" s="59">
        <f ca="1">Dashboard!B$8* Dashboard!$F$4+Dashboard!B$10*SQRT(Dashboard!$F$4) * _xlfn.NORM.S.INV(RAND())</f>
        <v>-7.6064300472944123E-3</v>
      </c>
      <c r="T2741" s="59">
        <f ca="1">Dashboard!C$8* Dashboard!$F$4+Dashboard!C$10*SQRT(Dashboard!$F$4) * _xlfn.NORM.S.INV(RAND())</f>
        <v>-2.902478670685164E-2</v>
      </c>
      <c r="U2741" s="59">
        <f ca="1">Dashboard!D$8* Dashboard!$F$4+Dashboard!D$10*SQRT(Dashboard!$F$4) * _xlfn.NORM.S.INV(RAND())</f>
        <v>1.6929000503348949E-2</v>
      </c>
    </row>
    <row r="2742" spans="18:21" x14ac:dyDescent="0.2">
      <c r="R2742" s="49">
        <v>2740</v>
      </c>
      <c r="S2742" s="59">
        <f ca="1">Dashboard!B$8* Dashboard!$F$4+Dashboard!B$10*SQRT(Dashboard!$F$4) * _xlfn.NORM.S.INV(RAND())</f>
        <v>1.1415713745431322E-2</v>
      </c>
      <c r="T2742" s="59">
        <f ca="1">Dashboard!C$8* Dashboard!$F$4+Dashboard!C$10*SQRT(Dashboard!$F$4) * _xlfn.NORM.S.INV(RAND())</f>
        <v>6.9747813798878098E-3</v>
      </c>
      <c r="U2742" s="59">
        <f ca="1">Dashboard!D$8* Dashboard!$F$4+Dashboard!D$10*SQRT(Dashboard!$F$4) * _xlfn.NORM.S.INV(RAND())</f>
        <v>3.848312987303865E-3</v>
      </c>
    </row>
    <row r="2743" spans="18:21" x14ac:dyDescent="0.2">
      <c r="R2743" s="49">
        <v>2741</v>
      </c>
      <c r="S2743" s="59">
        <f ca="1">Dashboard!B$8* Dashboard!$F$4+Dashboard!B$10*SQRT(Dashboard!$F$4) * _xlfn.NORM.S.INV(RAND())</f>
        <v>1.9995973438337956E-2</v>
      </c>
      <c r="T2743" s="59">
        <f ca="1">Dashboard!C$8* Dashboard!$F$4+Dashboard!C$10*SQRT(Dashboard!$F$4) * _xlfn.NORM.S.INV(RAND())</f>
        <v>3.2373830061782224E-2</v>
      </c>
      <c r="U2743" s="59">
        <f ca="1">Dashboard!D$8* Dashboard!$F$4+Dashboard!D$10*SQRT(Dashboard!$F$4) * _xlfn.NORM.S.INV(RAND())</f>
        <v>-1.465169922878724E-2</v>
      </c>
    </row>
    <row r="2744" spans="18:21" x14ac:dyDescent="0.2">
      <c r="R2744" s="49">
        <v>2742</v>
      </c>
      <c r="S2744" s="59">
        <f ca="1">Dashboard!B$8* Dashboard!$F$4+Dashboard!B$10*SQRT(Dashboard!$F$4) * _xlfn.NORM.S.INV(RAND())</f>
        <v>1.5271691760519972E-2</v>
      </c>
      <c r="T2744" s="59">
        <f ca="1">Dashboard!C$8* Dashboard!$F$4+Dashboard!C$10*SQRT(Dashboard!$F$4) * _xlfn.NORM.S.INV(RAND())</f>
        <v>-6.3971218995173898E-2</v>
      </c>
      <c r="U2744" s="59">
        <f ca="1">Dashboard!D$8* Dashboard!$F$4+Dashboard!D$10*SQRT(Dashboard!$F$4) * _xlfn.NORM.S.INV(RAND())</f>
        <v>-2.8374547456798294E-2</v>
      </c>
    </row>
    <row r="2745" spans="18:21" x14ac:dyDescent="0.2">
      <c r="R2745" s="49">
        <v>2743</v>
      </c>
      <c r="S2745" s="59">
        <f ca="1">Dashboard!B$8* Dashboard!$F$4+Dashboard!B$10*SQRT(Dashboard!$F$4) * _xlfn.NORM.S.INV(RAND())</f>
        <v>7.6300474159038661E-3</v>
      </c>
      <c r="T2745" s="59">
        <f ca="1">Dashboard!C$8* Dashboard!$F$4+Dashboard!C$10*SQRT(Dashboard!$F$4) * _xlfn.NORM.S.INV(RAND())</f>
        <v>-5.2279681713061866E-3</v>
      </c>
      <c r="U2745" s="59">
        <f ca="1">Dashboard!D$8* Dashboard!$F$4+Dashboard!D$10*SQRT(Dashboard!$F$4) * _xlfn.NORM.S.INV(RAND())</f>
        <v>2.4311926565304103E-2</v>
      </c>
    </row>
    <row r="2746" spans="18:21" x14ac:dyDescent="0.2">
      <c r="R2746" s="49">
        <v>2744</v>
      </c>
      <c r="S2746" s="59">
        <f ca="1">Dashboard!B$8* Dashboard!$F$4+Dashboard!B$10*SQRT(Dashboard!$F$4) * _xlfn.NORM.S.INV(RAND())</f>
        <v>6.0999348544170783E-3</v>
      </c>
      <c r="T2746" s="59">
        <f ca="1">Dashboard!C$8* Dashboard!$F$4+Dashboard!C$10*SQRT(Dashboard!$F$4) * _xlfn.NORM.S.INV(RAND())</f>
        <v>1.6826128561407781E-2</v>
      </c>
      <c r="U2746" s="59">
        <f ca="1">Dashboard!D$8* Dashboard!$F$4+Dashboard!D$10*SQRT(Dashboard!$F$4) * _xlfn.NORM.S.INV(RAND())</f>
        <v>-6.7459064921714515E-3</v>
      </c>
    </row>
    <row r="2747" spans="18:21" x14ac:dyDescent="0.2">
      <c r="R2747" s="49">
        <v>2745</v>
      </c>
      <c r="S2747" s="59">
        <f ca="1">Dashboard!B$8* Dashboard!$F$4+Dashboard!B$10*SQRT(Dashboard!$F$4) * _xlfn.NORM.S.INV(RAND())</f>
        <v>9.0213737781370245E-3</v>
      </c>
      <c r="T2747" s="59">
        <f ca="1">Dashboard!C$8* Dashboard!$F$4+Dashboard!C$10*SQRT(Dashboard!$F$4) * _xlfn.NORM.S.INV(RAND())</f>
        <v>3.2734039294441575E-2</v>
      </c>
      <c r="U2747" s="59">
        <f ca="1">Dashboard!D$8* Dashboard!$F$4+Dashboard!D$10*SQRT(Dashboard!$F$4) * _xlfn.NORM.S.INV(RAND())</f>
        <v>-4.2807446428238499E-2</v>
      </c>
    </row>
    <row r="2748" spans="18:21" x14ac:dyDescent="0.2">
      <c r="R2748" s="49">
        <v>2746</v>
      </c>
      <c r="S2748" s="59">
        <f ca="1">Dashboard!B$8* Dashboard!$F$4+Dashboard!B$10*SQRT(Dashboard!$F$4) * _xlfn.NORM.S.INV(RAND())</f>
        <v>-0.11179908170598947</v>
      </c>
      <c r="T2748" s="59">
        <f ca="1">Dashboard!C$8* Dashboard!$F$4+Dashboard!C$10*SQRT(Dashboard!$F$4) * _xlfn.NORM.S.INV(RAND())</f>
        <v>-5.5303759053745927E-3</v>
      </c>
      <c r="U2748" s="59">
        <f ca="1">Dashboard!D$8* Dashboard!$F$4+Dashboard!D$10*SQRT(Dashboard!$F$4) * _xlfn.NORM.S.INV(RAND())</f>
        <v>3.6963563575477039E-2</v>
      </c>
    </row>
    <row r="2749" spans="18:21" x14ac:dyDescent="0.2">
      <c r="R2749" s="49">
        <v>2747</v>
      </c>
      <c r="S2749" s="59">
        <f ca="1">Dashboard!B$8* Dashboard!$F$4+Dashboard!B$10*SQRT(Dashboard!$F$4) * _xlfn.NORM.S.INV(RAND())</f>
        <v>-2.7042517713328801E-2</v>
      </c>
      <c r="T2749" s="59">
        <f ca="1">Dashboard!C$8* Dashboard!$F$4+Dashboard!C$10*SQRT(Dashboard!$F$4) * _xlfn.NORM.S.INV(RAND())</f>
        <v>-5.4947500882403508E-2</v>
      </c>
      <c r="U2749" s="59">
        <f ca="1">Dashboard!D$8* Dashboard!$F$4+Dashboard!D$10*SQRT(Dashboard!$F$4) * _xlfn.NORM.S.INV(RAND())</f>
        <v>-1.0937438578508638E-2</v>
      </c>
    </row>
    <row r="2750" spans="18:21" x14ac:dyDescent="0.2">
      <c r="R2750" s="49">
        <v>2748</v>
      </c>
      <c r="S2750" s="59">
        <f ca="1">Dashboard!B$8* Dashboard!$F$4+Dashboard!B$10*SQRT(Dashboard!$F$4) * _xlfn.NORM.S.INV(RAND())</f>
        <v>-2.8037424305050996E-3</v>
      </c>
      <c r="T2750" s="59">
        <f ca="1">Dashboard!C$8* Dashboard!$F$4+Dashboard!C$10*SQRT(Dashboard!$F$4) * _xlfn.NORM.S.INV(RAND())</f>
        <v>-3.1391009665401575E-3</v>
      </c>
      <c r="U2750" s="59">
        <f ca="1">Dashboard!D$8* Dashboard!$F$4+Dashboard!D$10*SQRT(Dashboard!$F$4) * _xlfn.NORM.S.INV(RAND())</f>
        <v>1.9955968721308597E-2</v>
      </c>
    </row>
    <row r="2751" spans="18:21" x14ac:dyDescent="0.2">
      <c r="R2751" s="49">
        <v>2749</v>
      </c>
      <c r="S2751" s="59">
        <f ca="1">Dashboard!B$8* Dashboard!$F$4+Dashboard!B$10*SQRT(Dashboard!$F$4) * _xlfn.NORM.S.INV(RAND())</f>
        <v>-6.2887141409094613E-2</v>
      </c>
      <c r="T2751" s="59">
        <f ca="1">Dashboard!C$8* Dashboard!$F$4+Dashboard!C$10*SQRT(Dashboard!$F$4) * _xlfn.NORM.S.INV(RAND())</f>
        <v>4.2992455673315985E-2</v>
      </c>
      <c r="U2751" s="59">
        <f ca="1">Dashboard!D$8* Dashboard!$F$4+Dashboard!D$10*SQRT(Dashboard!$F$4) * _xlfn.NORM.S.INV(RAND())</f>
        <v>3.87575531708566E-2</v>
      </c>
    </row>
    <row r="2752" spans="18:21" x14ac:dyDescent="0.2">
      <c r="R2752" s="49">
        <v>2750</v>
      </c>
      <c r="S2752" s="59">
        <f ca="1">Dashboard!B$8* Dashboard!$F$4+Dashboard!B$10*SQRT(Dashboard!$F$4) * _xlfn.NORM.S.INV(RAND())</f>
        <v>3.5886990477425017E-3</v>
      </c>
      <c r="T2752" s="59">
        <f ca="1">Dashboard!C$8* Dashboard!$F$4+Dashboard!C$10*SQRT(Dashboard!$F$4) * _xlfn.NORM.S.INV(RAND())</f>
        <v>1.4995537450948525E-2</v>
      </c>
      <c r="U2752" s="59">
        <f ca="1">Dashboard!D$8* Dashboard!$F$4+Dashboard!D$10*SQRT(Dashboard!$F$4) * _xlfn.NORM.S.INV(RAND())</f>
        <v>-2.9808787673639894E-3</v>
      </c>
    </row>
    <row r="2753" spans="18:21" x14ac:dyDescent="0.2">
      <c r="R2753" s="49">
        <v>2751</v>
      </c>
      <c r="S2753" s="59">
        <f ca="1">Dashboard!B$8* Dashboard!$F$4+Dashboard!B$10*SQRT(Dashboard!$F$4) * _xlfn.NORM.S.INV(RAND())</f>
        <v>-5.3150497828359809E-2</v>
      </c>
      <c r="T2753" s="59">
        <f ca="1">Dashboard!C$8* Dashboard!$F$4+Dashboard!C$10*SQRT(Dashboard!$F$4) * _xlfn.NORM.S.INV(RAND())</f>
        <v>1.3275367702535776E-2</v>
      </c>
      <c r="U2753" s="59">
        <f ca="1">Dashboard!D$8* Dashboard!$F$4+Dashboard!D$10*SQRT(Dashboard!$F$4) * _xlfn.NORM.S.INV(RAND())</f>
        <v>-1.4451220585258603E-2</v>
      </c>
    </row>
    <row r="2754" spans="18:21" x14ac:dyDescent="0.2">
      <c r="R2754" s="49">
        <v>2752</v>
      </c>
      <c r="S2754" s="59">
        <f ca="1">Dashboard!B$8* Dashboard!$F$4+Dashboard!B$10*SQRT(Dashboard!$F$4) * _xlfn.NORM.S.INV(RAND())</f>
        <v>-1.6099934015939954E-2</v>
      </c>
      <c r="T2754" s="59">
        <f ca="1">Dashboard!C$8* Dashboard!$F$4+Dashboard!C$10*SQRT(Dashboard!$F$4) * _xlfn.NORM.S.INV(RAND())</f>
        <v>-7.4086492736872437E-3</v>
      </c>
      <c r="U2754" s="59">
        <f ca="1">Dashboard!D$8* Dashboard!$F$4+Dashboard!D$10*SQRT(Dashboard!$F$4) * _xlfn.NORM.S.INV(RAND())</f>
        <v>-1.2267305159171515E-2</v>
      </c>
    </row>
    <row r="2755" spans="18:21" x14ac:dyDescent="0.2">
      <c r="R2755" s="49">
        <v>2753</v>
      </c>
      <c r="S2755" s="59">
        <f ca="1">Dashboard!B$8* Dashboard!$F$4+Dashboard!B$10*SQRT(Dashboard!$F$4) * _xlfn.NORM.S.INV(RAND())</f>
        <v>-3.0761910481282842E-3</v>
      </c>
      <c r="T2755" s="59">
        <f ca="1">Dashboard!C$8* Dashboard!$F$4+Dashboard!C$10*SQRT(Dashboard!$F$4) * _xlfn.NORM.S.INV(RAND())</f>
        <v>3.3904122934915303E-3</v>
      </c>
      <c r="U2755" s="59">
        <f ca="1">Dashboard!D$8* Dashboard!$F$4+Dashboard!D$10*SQRT(Dashboard!$F$4) * _xlfn.NORM.S.INV(RAND())</f>
        <v>2.0047564669871832E-2</v>
      </c>
    </row>
    <row r="2756" spans="18:21" x14ac:dyDescent="0.2">
      <c r="R2756" s="49">
        <v>2754</v>
      </c>
      <c r="S2756" s="59">
        <f ca="1">Dashboard!B$8* Dashboard!$F$4+Dashboard!B$10*SQRT(Dashboard!$F$4) * _xlfn.NORM.S.INV(RAND())</f>
        <v>3.2661791402142492E-4</v>
      </c>
      <c r="T2756" s="59">
        <f ca="1">Dashboard!C$8* Dashboard!$F$4+Dashboard!C$10*SQRT(Dashboard!$F$4) * _xlfn.NORM.S.INV(RAND())</f>
        <v>3.8939134545654924E-2</v>
      </c>
      <c r="U2756" s="59">
        <f ca="1">Dashboard!D$8* Dashboard!$F$4+Dashboard!D$10*SQRT(Dashboard!$F$4) * _xlfn.NORM.S.INV(RAND())</f>
        <v>-5.1115304805486775E-2</v>
      </c>
    </row>
    <row r="2757" spans="18:21" x14ac:dyDescent="0.2">
      <c r="R2757" s="49">
        <v>2755</v>
      </c>
      <c r="S2757" s="59">
        <f ca="1">Dashboard!B$8* Dashboard!$F$4+Dashboard!B$10*SQRT(Dashboard!$F$4) * _xlfn.NORM.S.INV(RAND())</f>
        <v>-2.9722832676265735E-2</v>
      </c>
      <c r="T2757" s="59">
        <f ca="1">Dashboard!C$8* Dashboard!$F$4+Dashboard!C$10*SQRT(Dashboard!$F$4) * _xlfn.NORM.S.INV(RAND())</f>
        <v>1.0707666077563155E-2</v>
      </c>
      <c r="U2757" s="59">
        <f ca="1">Dashboard!D$8* Dashboard!$F$4+Dashboard!D$10*SQRT(Dashboard!$F$4) * _xlfn.NORM.S.INV(RAND())</f>
        <v>-0.12498125999455896</v>
      </c>
    </row>
    <row r="2758" spans="18:21" x14ac:dyDescent="0.2">
      <c r="R2758" s="49">
        <v>2756</v>
      </c>
      <c r="S2758" s="59">
        <f ca="1">Dashboard!B$8* Dashboard!$F$4+Dashboard!B$10*SQRT(Dashboard!$F$4) * _xlfn.NORM.S.INV(RAND())</f>
        <v>3.6708162663038189E-2</v>
      </c>
      <c r="T2758" s="59">
        <f ca="1">Dashboard!C$8* Dashboard!$F$4+Dashboard!C$10*SQRT(Dashboard!$F$4) * _xlfn.NORM.S.INV(RAND())</f>
        <v>-5.3983102734747818E-3</v>
      </c>
      <c r="U2758" s="59">
        <f ca="1">Dashboard!D$8* Dashboard!$F$4+Dashboard!D$10*SQRT(Dashboard!$F$4) * _xlfn.NORM.S.INV(RAND())</f>
        <v>4.7450225000587945E-3</v>
      </c>
    </row>
    <row r="2759" spans="18:21" x14ac:dyDescent="0.2">
      <c r="R2759" s="49">
        <v>2757</v>
      </c>
      <c r="S2759" s="59">
        <f ca="1">Dashboard!B$8* Dashboard!$F$4+Dashboard!B$10*SQRT(Dashboard!$F$4) * _xlfn.NORM.S.INV(RAND())</f>
        <v>1.5871707192680433E-3</v>
      </c>
      <c r="T2759" s="59">
        <f ca="1">Dashboard!C$8* Dashboard!$F$4+Dashboard!C$10*SQRT(Dashboard!$F$4) * _xlfn.NORM.S.INV(RAND())</f>
        <v>1.327807984623517E-2</v>
      </c>
      <c r="U2759" s="59">
        <f ca="1">Dashboard!D$8* Dashboard!$F$4+Dashboard!D$10*SQRT(Dashboard!$F$4) * _xlfn.NORM.S.INV(RAND())</f>
        <v>-2.6457903611291651E-2</v>
      </c>
    </row>
    <row r="2760" spans="18:21" x14ac:dyDescent="0.2">
      <c r="R2760" s="49">
        <v>2758</v>
      </c>
      <c r="S2760" s="59">
        <f ca="1">Dashboard!B$8* Dashboard!$F$4+Dashboard!B$10*SQRT(Dashboard!$F$4) * _xlfn.NORM.S.INV(RAND())</f>
        <v>-1.720709545217532E-2</v>
      </c>
      <c r="T2760" s="59">
        <f ca="1">Dashboard!C$8* Dashboard!$F$4+Dashboard!C$10*SQRT(Dashboard!$F$4) * _xlfn.NORM.S.INV(RAND())</f>
        <v>-8.9666216933365524E-3</v>
      </c>
      <c r="U2760" s="59">
        <f ca="1">Dashboard!D$8* Dashboard!$F$4+Dashboard!D$10*SQRT(Dashboard!$F$4) * _xlfn.NORM.S.INV(RAND())</f>
        <v>-3.3726105442842972E-3</v>
      </c>
    </row>
    <row r="2761" spans="18:21" x14ac:dyDescent="0.2">
      <c r="R2761" s="49">
        <v>2759</v>
      </c>
      <c r="S2761" s="59">
        <f ca="1">Dashboard!B$8* Dashboard!$F$4+Dashboard!B$10*SQRT(Dashboard!$F$4) * _xlfn.NORM.S.INV(RAND())</f>
        <v>-1.2639440780718061E-2</v>
      </c>
      <c r="T2761" s="59">
        <f ca="1">Dashboard!C$8* Dashboard!$F$4+Dashboard!C$10*SQRT(Dashboard!$F$4) * _xlfn.NORM.S.INV(RAND())</f>
        <v>-2.0701790626379609E-2</v>
      </c>
      <c r="U2761" s="59">
        <f ca="1">Dashboard!D$8* Dashboard!$F$4+Dashboard!D$10*SQRT(Dashboard!$F$4) * _xlfn.NORM.S.INV(RAND())</f>
        <v>4.357217471284041E-2</v>
      </c>
    </row>
    <row r="2762" spans="18:21" x14ac:dyDescent="0.2">
      <c r="R2762" s="49">
        <v>2760</v>
      </c>
      <c r="S2762" s="59">
        <f ca="1">Dashboard!B$8* Dashboard!$F$4+Dashboard!B$10*SQRT(Dashboard!$F$4) * _xlfn.NORM.S.INV(RAND())</f>
        <v>-3.4685895513289447E-2</v>
      </c>
      <c r="T2762" s="59">
        <f ca="1">Dashboard!C$8* Dashboard!$F$4+Dashboard!C$10*SQRT(Dashboard!$F$4) * _xlfn.NORM.S.INV(RAND())</f>
        <v>-1.7382768102616544E-2</v>
      </c>
      <c r="U2762" s="59">
        <f ca="1">Dashboard!D$8* Dashboard!$F$4+Dashboard!D$10*SQRT(Dashboard!$F$4) * _xlfn.NORM.S.INV(RAND())</f>
        <v>-2.9721223842297469E-2</v>
      </c>
    </row>
    <row r="2763" spans="18:21" x14ac:dyDescent="0.2">
      <c r="R2763" s="49">
        <v>2761</v>
      </c>
      <c r="S2763" s="59">
        <f ca="1">Dashboard!B$8* Dashboard!$F$4+Dashboard!B$10*SQRT(Dashboard!$F$4) * _xlfn.NORM.S.INV(RAND())</f>
        <v>-4.3128807024007766E-2</v>
      </c>
      <c r="T2763" s="59">
        <f ca="1">Dashboard!C$8* Dashboard!$F$4+Dashboard!C$10*SQRT(Dashboard!$F$4) * _xlfn.NORM.S.INV(RAND())</f>
        <v>3.1932012649369811E-2</v>
      </c>
      <c r="U2763" s="59">
        <f ca="1">Dashboard!D$8* Dashboard!$F$4+Dashboard!D$10*SQRT(Dashboard!$F$4) * _xlfn.NORM.S.INV(RAND())</f>
        <v>-1.7543254348943677E-2</v>
      </c>
    </row>
    <row r="2764" spans="18:21" x14ac:dyDescent="0.2">
      <c r="R2764" s="49">
        <v>2762</v>
      </c>
      <c r="S2764" s="59">
        <f ca="1">Dashboard!B$8* Dashboard!$F$4+Dashboard!B$10*SQRT(Dashboard!$F$4) * _xlfn.NORM.S.INV(RAND())</f>
        <v>0.10687910350457863</v>
      </c>
      <c r="T2764" s="59">
        <f ca="1">Dashboard!C$8* Dashboard!$F$4+Dashboard!C$10*SQRT(Dashboard!$F$4) * _xlfn.NORM.S.INV(RAND())</f>
        <v>-3.7424679947833548E-3</v>
      </c>
      <c r="U2764" s="59">
        <f ca="1">Dashboard!D$8* Dashboard!$F$4+Dashboard!D$10*SQRT(Dashboard!$F$4) * _xlfn.NORM.S.INV(RAND())</f>
        <v>1.1021858291504765E-2</v>
      </c>
    </row>
    <row r="2765" spans="18:21" x14ac:dyDescent="0.2">
      <c r="R2765" s="49">
        <v>2763</v>
      </c>
      <c r="S2765" s="59">
        <f ca="1">Dashboard!B$8* Dashboard!$F$4+Dashboard!B$10*SQRT(Dashboard!$F$4) * _xlfn.NORM.S.INV(RAND())</f>
        <v>9.6916375655546894E-3</v>
      </c>
      <c r="T2765" s="59">
        <f ca="1">Dashboard!C$8* Dashboard!$F$4+Dashboard!C$10*SQRT(Dashboard!$F$4) * _xlfn.NORM.S.INV(RAND())</f>
        <v>-2.4840475017734859E-2</v>
      </c>
      <c r="U2765" s="59">
        <f ca="1">Dashboard!D$8* Dashboard!$F$4+Dashboard!D$10*SQRT(Dashboard!$F$4) * _xlfn.NORM.S.INV(RAND())</f>
        <v>2.8491807785797161E-2</v>
      </c>
    </row>
    <row r="2766" spans="18:21" x14ac:dyDescent="0.2">
      <c r="R2766" s="49">
        <v>2764</v>
      </c>
      <c r="S2766" s="59">
        <f ca="1">Dashboard!B$8* Dashboard!$F$4+Dashboard!B$10*SQRT(Dashboard!$F$4) * _xlfn.NORM.S.INV(RAND())</f>
        <v>-3.8858732835664253E-2</v>
      </c>
      <c r="T2766" s="59">
        <f ca="1">Dashboard!C$8* Dashboard!$F$4+Dashboard!C$10*SQRT(Dashboard!$F$4) * _xlfn.NORM.S.INV(RAND())</f>
        <v>7.3603890362112429E-2</v>
      </c>
      <c r="U2766" s="59">
        <f ca="1">Dashboard!D$8* Dashboard!$F$4+Dashboard!D$10*SQRT(Dashboard!$F$4) * _xlfn.NORM.S.INV(RAND())</f>
        <v>3.7922638057376057E-2</v>
      </c>
    </row>
    <row r="2767" spans="18:21" x14ac:dyDescent="0.2">
      <c r="R2767" s="49">
        <v>2765</v>
      </c>
      <c r="S2767" s="59">
        <f ca="1">Dashboard!B$8* Dashboard!$F$4+Dashboard!B$10*SQRT(Dashboard!$F$4) * _xlfn.NORM.S.INV(RAND())</f>
        <v>9.802349824980473E-3</v>
      </c>
      <c r="T2767" s="59">
        <f ca="1">Dashboard!C$8* Dashboard!$F$4+Dashboard!C$10*SQRT(Dashboard!$F$4) * _xlfn.NORM.S.INV(RAND())</f>
        <v>-4.4291485218336119E-5</v>
      </c>
      <c r="U2767" s="59">
        <f ca="1">Dashboard!D$8* Dashboard!$F$4+Dashboard!D$10*SQRT(Dashboard!$F$4) * _xlfn.NORM.S.INV(RAND())</f>
        <v>1.5373196184119394E-2</v>
      </c>
    </row>
    <row r="2768" spans="18:21" x14ac:dyDescent="0.2">
      <c r="R2768" s="49">
        <v>2766</v>
      </c>
      <c r="S2768" s="59">
        <f ca="1">Dashboard!B$8* Dashboard!$F$4+Dashboard!B$10*SQRT(Dashboard!$F$4) * _xlfn.NORM.S.INV(RAND())</f>
        <v>-4.2515041818511979E-3</v>
      </c>
      <c r="T2768" s="59">
        <f ca="1">Dashboard!C$8* Dashboard!$F$4+Dashboard!C$10*SQRT(Dashboard!$F$4) * _xlfn.NORM.S.INV(RAND())</f>
        <v>3.3497067729902685E-2</v>
      </c>
      <c r="U2768" s="59">
        <f ca="1">Dashboard!D$8* Dashboard!$F$4+Dashboard!D$10*SQRT(Dashboard!$F$4) * _xlfn.NORM.S.INV(RAND())</f>
        <v>3.5207473526338733E-2</v>
      </c>
    </row>
    <row r="2769" spans="18:21" x14ac:dyDescent="0.2">
      <c r="R2769" s="49">
        <v>2767</v>
      </c>
      <c r="S2769" s="59">
        <f ca="1">Dashboard!B$8* Dashboard!$F$4+Dashboard!B$10*SQRT(Dashboard!$F$4) * _xlfn.NORM.S.INV(RAND())</f>
        <v>-7.6307056853674005E-2</v>
      </c>
      <c r="T2769" s="59">
        <f ca="1">Dashboard!C$8* Dashboard!$F$4+Dashboard!C$10*SQRT(Dashboard!$F$4) * _xlfn.NORM.S.INV(RAND())</f>
        <v>5.8660711303013077E-2</v>
      </c>
      <c r="U2769" s="59">
        <f ca="1">Dashboard!D$8* Dashboard!$F$4+Dashboard!D$10*SQRT(Dashboard!$F$4) * _xlfn.NORM.S.INV(RAND())</f>
        <v>-3.4216249165331822E-2</v>
      </c>
    </row>
    <row r="2770" spans="18:21" x14ac:dyDescent="0.2">
      <c r="R2770" s="49">
        <v>2768</v>
      </c>
      <c r="S2770" s="59">
        <f ca="1">Dashboard!B$8* Dashboard!$F$4+Dashboard!B$10*SQRT(Dashboard!$F$4) * _xlfn.NORM.S.INV(RAND())</f>
        <v>1.4791958912019001E-2</v>
      </c>
      <c r="T2770" s="59">
        <f ca="1">Dashboard!C$8* Dashboard!$F$4+Dashboard!C$10*SQRT(Dashboard!$F$4) * _xlfn.NORM.S.INV(RAND())</f>
        <v>2.9246379266889225E-2</v>
      </c>
      <c r="U2770" s="59">
        <f ca="1">Dashboard!D$8* Dashboard!$F$4+Dashboard!D$10*SQRT(Dashboard!$F$4) * _xlfn.NORM.S.INV(RAND())</f>
        <v>2.5144269425357298E-2</v>
      </c>
    </row>
    <row r="2771" spans="18:21" x14ac:dyDescent="0.2">
      <c r="R2771" s="49">
        <v>2769</v>
      </c>
      <c r="S2771" s="59">
        <f ca="1">Dashboard!B$8* Dashboard!$F$4+Dashboard!B$10*SQRT(Dashboard!$F$4) * _xlfn.NORM.S.INV(RAND())</f>
        <v>7.7604632085090663E-3</v>
      </c>
      <c r="T2771" s="59">
        <f ca="1">Dashboard!C$8* Dashboard!$F$4+Dashboard!C$10*SQRT(Dashboard!$F$4) * _xlfn.NORM.S.INV(RAND())</f>
        <v>-6.2268679498536711E-3</v>
      </c>
      <c r="U2771" s="59">
        <f ca="1">Dashboard!D$8* Dashboard!$F$4+Dashboard!D$10*SQRT(Dashboard!$F$4) * _xlfn.NORM.S.INV(RAND())</f>
        <v>3.7853349567754539E-2</v>
      </c>
    </row>
    <row r="2772" spans="18:21" x14ac:dyDescent="0.2">
      <c r="R2772" s="49">
        <v>2770</v>
      </c>
      <c r="S2772" s="59">
        <f ca="1">Dashboard!B$8* Dashboard!$F$4+Dashboard!B$10*SQRT(Dashboard!$F$4) * _xlfn.NORM.S.INV(RAND())</f>
        <v>4.7747567689365458E-2</v>
      </c>
      <c r="T2772" s="59">
        <f ca="1">Dashboard!C$8* Dashboard!$F$4+Dashboard!C$10*SQRT(Dashboard!$F$4) * _xlfn.NORM.S.INV(RAND())</f>
        <v>5.9553359983961725E-2</v>
      </c>
      <c r="U2772" s="59">
        <f ca="1">Dashboard!D$8* Dashboard!$F$4+Dashboard!D$10*SQRT(Dashboard!$F$4) * _xlfn.NORM.S.INV(RAND())</f>
        <v>7.2253951410464305E-3</v>
      </c>
    </row>
    <row r="2773" spans="18:21" x14ac:dyDescent="0.2">
      <c r="R2773" s="49">
        <v>2771</v>
      </c>
      <c r="S2773" s="59">
        <f ca="1">Dashboard!B$8* Dashboard!$F$4+Dashboard!B$10*SQRT(Dashboard!$F$4) * _xlfn.NORM.S.INV(RAND())</f>
        <v>4.5470773496453551E-2</v>
      </c>
      <c r="T2773" s="59">
        <f ca="1">Dashboard!C$8* Dashboard!$F$4+Dashboard!C$10*SQRT(Dashboard!$F$4) * _xlfn.NORM.S.INV(RAND())</f>
        <v>2.0006354719489118E-2</v>
      </c>
      <c r="U2773" s="59">
        <f ca="1">Dashboard!D$8* Dashboard!$F$4+Dashboard!D$10*SQRT(Dashboard!$F$4) * _xlfn.NORM.S.INV(RAND())</f>
        <v>-7.468580079263322E-2</v>
      </c>
    </row>
    <row r="2774" spans="18:21" x14ac:dyDescent="0.2">
      <c r="R2774" s="49">
        <v>2772</v>
      </c>
      <c r="S2774" s="59">
        <f ca="1">Dashboard!B$8* Dashboard!$F$4+Dashboard!B$10*SQRT(Dashboard!$F$4) * _xlfn.NORM.S.INV(RAND())</f>
        <v>-2.7184703902287592E-3</v>
      </c>
      <c r="T2774" s="59">
        <f ca="1">Dashboard!C$8* Dashboard!$F$4+Dashboard!C$10*SQRT(Dashboard!$F$4) * _xlfn.NORM.S.INV(RAND())</f>
        <v>8.0289480474381968E-3</v>
      </c>
      <c r="U2774" s="59">
        <f ca="1">Dashboard!D$8* Dashboard!$F$4+Dashboard!D$10*SQRT(Dashboard!$F$4) * _xlfn.NORM.S.INV(RAND())</f>
        <v>-5.2427751668700662E-3</v>
      </c>
    </row>
    <row r="2775" spans="18:21" x14ac:dyDescent="0.2">
      <c r="R2775" s="49">
        <v>2773</v>
      </c>
      <c r="S2775" s="59">
        <f ca="1">Dashboard!B$8* Dashboard!$F$4+Dashboard!B$10*SQRT(Dashboard!$F$4) * _xlfn.NORM.S.INV(RAND())</f>
        <v>-3.2074421417268087E-2</v>
      </c>
      <c r="T2775" s="59">
        <f ca="1">Dashboard!C$8* Dashboard!$F$4+Dashboard!C$10*SQRT(Dashboard!$F$4) * _xlfn.NORM.S.INV(RAND())</f>
        <v>-6.0959046548198946E-3</v>
      </c>
      <c r="U2775" s="59">
        <f ca="1">Dashboard!D$8* Dashboard!$F$4+Dashboard!D$10*SQRT(Dashboard!$F$4) * _xlfn.NORM.S.INV(RAND())</f>
        <v>5.0006080442046774E-3</v>
      </c>
    </row>
    <row r="2776" spans="18:21" x14ac:dyDescent="0.2">
      <c r="R2776" s="49">
        <v>2774</v>
      </c>
      <c r="S2776" s="59">
        <f ca="1">Dashboard!B$8* Dashboard!$F$4+Dashboard!B$10*SQRT(Dashboard!$F$4) * _xlfn.NORM.S.INV(RAND())</f>
        <v>2.3868694168169426E-2</v>
      </c>
      <c r="T2776" s="59">
        <f ca="1">Dashboard!C$8* Dashboard!$F$4+Dashboard!C$10*SQRT(Dashboard!$F$4) * _xlfn.NORM.S.INV(RAND())</f>
        <v>2.0306125304706E-3</v>
      </c>
      <c r="U2776" s="59">
        <f ca="1">Dashboard!D$8* Dashboard!$F$4+Dashboard!D$10*SQRT(Dashboard!$F$4) * _xlfn.NORM.S.INV(RAND())</f>
        <v>1.6319191466010206E-2</v>
      </c>
    </row>
    <row r="2777" spans="18:21" x14ac:dyDescent="0.2">
      <c r="R2777" s="49">
        <v>2775</v>
      </c>
      <c r="S2777" s="59">
        <f ca="1">Dashboard!B$8* Dashboard!$F$4+Dashboard!B$10*SQRT(Dashboard!$F$4) * _xlfn.NORM.S.INV(RAND())</f>
        <v>2.9073168236360761E-2</v>
      </c>
      <c r="T2777" s="59">
        <f ca="1">Dashboard!C$8* Dashboard!$F$4+Dashboard!C$10*SQRT(Dashboard!$F$4) * _xlfn.NORM.S.INV(RAND())</f>
        <v>-6.5525504539225538E-2</v>
      </c>
      <c r="U2777" s="59">
        <f ca="1">Dashboard!D$8* Dashboard!$F$4+Dashboard!D$10*SQRT(Dashboard!$F$4) * _xlfn.NORM.S.INV(RAND())</f>
        <v>7.3707676960059051E-3</v>
      </c>
    </row>
    <row r="2778" spans="18:21" x14ac:dyDescent="0.2">
      <c r="R2778" s="49">
        <v>2776</v>
      </c>
      <c r="S2778" s="59">
        <f ca="1">Dashboard!B$8* Dashboard!$F$4+Dashboard!B$10*SQRT(Dashboard!$F$4) * _xlfn.NORM.S.INV(RAND())</f>
        <v>-6.2887413594095401E-2</v>
      </c>
      <c r="T2778" s="59">
        <f ca="1">Dashboard!C$8* Dashboard!$F$4+Dashboard!C$10*SQRT(Dashboard!$F$4) * _xlfn.NORM.S.INV(RAND())</f>
        <v>2.6099284638598582E-3</v>
      </c>
      <c r="U2778" s="59">
        <f ca="1">Dashboard!D$8* Dashboard!$F$4+Dashboard!D$10*SQRT(Dashboard!$F$4) * _xlfn.NORM.S.INV(RAND())</f>
        <v>-6.2888134586947253E-3</v>
      </c>
    </row>
    <row r="2779" spans="18:21" x14ac:dyDescent="0.2">
      <c r="R2779" s="49">
        <v>2777</v>
      </c>
      <c r="S2779" s="59">
        <f ca="1">Dashboard!B$8* Dashboard!$F$4+Dashboard!B$10*SQRT(Dashboard!$F$4) * _xlfn.NORM.S.INV(RAND())</f>
        <v>3.8655069588316875E-2</v>
      </c>
      <c r="T2779" s="59">
        <f ca="1">Dashboard!C$8* Dashboard!$F$4+Dashboard!C$10*SQRT(Dashboard!$F$4) * _xlfn.NORM.S.INV(RAND())</f>
        <v>2.5271585842201866E-2</v>
      </c>
      <c r="U2779" s="59">
        <f ca="1">Dashboard!D$8* Dashboard!$F$4+Dashboard!D$10*SQRT(Dashboard!$F$4) * _xlfn.NORM.S.INV(RAND())</f>
        <v>-1.8108678598384418E-2</v>
      </c>
    </row>
    <row r="2780" spans="18:21" x14ac:dyDescent="0.2">
      <c r="R2780" s="49">
        <v>2778</v>
      </c>
      <c r="S2780" s="59">
        <f ca="1">Dashboard!B$8* Dashboard!$F$4+Dashboard!B$10*SQRT(Dashboard!$F$4) * _xlfn.NORM.S.INV(RAND())</f>
        <v>-8.6156693946046331E-3</v>
      </c>
      <c r="T2780" s="59">
        <f ca="1">Dashboard!C$8* Dashboard!$F$4+Dashboard!C$10*SQRT(Dashboard!$F$4) * _xlfn.NORM.S.INV(RAND())</f>
        <v>-2.3814497097164222E-2</v>
      </c>
      <c r="U2780" s="59">
        <f ca="1">Dashboard!D$8* Dashboard!$F$4+Dashboard!D$10*SQRT(Dashboard!$F$4) * _xlfn.NORM.S.INV(RAND())</f>
        <v>1.7278436927904765E-2</v>
      </c>
    </row>
    <row r="2781" spans="18:21" x14ac:dyDescent="0.2">
      <c r="R2781" s="49">
        <v>2779</v>
      </c>
      <c r="S2781" s="59">
        <f ca="1">Dashboard!B$8* Dashboard!$F$4+Dashboard!B$10*SQRT(Dashboard!$F$4) * _xlfn.NORM.S.INV(RAND())</f>
        <v>1.4868092319769382E-2</v>
      </c>
      <c r="T2781" s="59">
        <f ca="1">Dashboard!C$8* Dashboard!$F$4+Dashboard!C$10*SQRT(Dashboard!$F$4) * _xlfn.NORM.S.INV(RAND())</f>
        <v>-8.4044093706131043E-3</v>
      </c>
      <c r="U2781" s="59">
        <f ca="1">Dashboard!D$8* Dashboard!$F$4+Dashboard!D$10*SQRT(Dashboard!$F$4) * _xlfn.NORM.S.INV(RAND())</f>
        <v>1.6260697531272888E-2</v>
      </c>
    </row>
    <row r="2782" spans="18:21" x14ac:dyDescent="0.2">
      <c r="R2782" s="49">
        <v>2780</v>
      </c>
      <c r="S2782" s="59">
        <f ca="1">Dashboard!B$8* Dashboard!$F$4+Dashboard!B$10*SQRT(Dashboard!$F$4) * _xlfn.NORM.S.INV(RAND())</f>
        <v>-4.3894714427323657E-2</v>
      </c>
      <c r="T2782" s="59">
        <f ca="1">Dashboard!C$8* Dashboard!$F$4+Dashboard!C$10*SQRT(Dashboard!$F$4) * _xlfn.NORM.S.INV(RAND())</f>
        <v>-4.2319300394863622E-4</v>
      </c>
      <c r="U2782" s="59">
        <f ca="1">Dashboard!D$8* Dashboard!$F$4+Dashboard!D$10*SQRT(Dashboard!$F$4) * _xlfn.NORM.S.INV(RAND())</f>
        <v>5.0670431367463145E-2</v>
      </c>
    </row>
    <row r="2783" spans="18:21" x14ac:dyDescent="0.2">
      <c r="R2783" s="49">
        <v>2781</v>
      </c>
      <c r="S2783" s="59">
        <f ca="1">Dashboard!B$8* Dashboard!$F$4+Dashboard!B$10*SQRT(Dashboard!$F$4) * _xlfn.NORM.S.INV(RAND())</f>
        <v>1.7943540418872937E-2</v>
      </c>
      <c r="T2783" s="59">
        <f ca="1">Dashboard!C$8* Dashboard!$F$4+Dashboard!C$10*SQRT(Dashboard!$F$4) * _xlfn.NORM.S.INV(RAND())</f>
        <v>9.3315946730762045E-3</v>
      </c>
      <c r="U2783" s="59">
        <f ca="1">Dashboard!D$8* Dashboard!$F$4+Dashboard!D$10*SQRT(Dashboard!$F$4) * _xlfn.NORM.S.INV(RAND())</f>
        <v>2.8974665293674262E-2</v>
      </c>
    </row>
    <row r="2784" spans="18:21" x14ac:dyDescent="0.2">
      <c r="R2784" s="49">
        <v>2782</v>
      </c>
      <c r="S2784" s="59">
        <f ca="1">Dashboard!B$8* Dashboard!$F$4+Dashboard!B$10*SQRT(Dashboard!$F$4) * _xlfn.NORM.S.INV(RAND())</f>
        <v>-1.8113835264493828E-2</v>
      </c>
      <c r="T2784" s="59">
        <f ca="1">Dashboard!C$8* Dashboard!$F$4+Dashboard!C$10*SQRT(Dashboard!$F$4) * _xlfn.NORM.S.INV(RAND())</f>
        <v>-2.3670593945874188E-2</v>
      </c>
      <c r="U2784" s="59">
        <f ca="1">Dashboard!D$8* Dashboard!$F$4+Dashboard!D$10*SQRT(Dashboard!$F$4) * _xlfn.NORM.S.INV(RAND())</f>
        <v>-3.8198922978205027E-3</v>
      </c>
    </row>
    <row r="2785" spans="18:21" x14ac:dyDescent="0.2">
      <c r="R2785" s="49">
        <v>2783</v>
      </c>
      <c r="S2785" s="59">
        <f ca="1">Dashboard!B$8* Dashboard!$F$4+Dashboard!B$10*SQRT(Dashboard!$F$4) * _xlfn.NORM.S.INV(RAND())</f>
        <v>-2.8536540708317036E-2</v>
      </c>
      <c r="T2785" s="59">
        <f ca="1">Dashboard!C$8* Dashboard!$F$4+Dashboard!C$10*SQRT(Dashboard!$F$4) * _xlfn.NORM.S.INV(RAND())</f>
        <v>-7.682997532700477E-3</v>
      </c>
      <c r="U2785" s="59">
        <f ca="1">Dashboard!D$8* Dashboard!$F$4+Dashboard!D$10*SQRT(Dashboard!$F$4) * _xlfn.NORM.S.INV(RAND())</f>
        <v>-8.7476379453703072E-3</v>
      </c>
    </row>
    <row r="2786" spans="18:21" x14ac:dyDescent="0.2">
      <c r="R2786" s="49">
        <v>2784</v>
      </c>
      <c r="S2786" s="59">
        <f ca="1">Dashboard!B$8* Dashboard!$F$4+Dashboard!B$10*SQRT(Dashboard!$F$4) * _xlfn.NORM.S.INV(RAND())</f>
        <v>-1.419430174414349E-3</v>
      </c>
      <c r="T2786" s="59">
        <f ca="1">Dashboard!C$8* Dashboard!$F$4+Dashboard!C$10*SQRT(Dashboard!$F$4) * _xlfn.NORM.S.INV(RAND())</f>
        <v>7.4676803418770874E-4</v>
      </c>
      <c r="U2786" s="59">
        <f ca="1">Dashboard!D$8* Dashboard!$F$4+Dashboard!D$10*SQRT(Dashboard!$F$4) * _xlfn.NORM.S.INV(RAND())</f>
        <v>4.0177656177684852E-2</v>
      </c>
    </row>
    <row r="2787" spans="18:21" x14ac:dyDescent="0.2">
      <c r="R2787" s="49">
        <v>2785</v>
      </c>
      <c r="S2787" s="59">
        <f ca="1">Dashboard!B$8* Dashboard!$F$4+Dashboard!B$10*SQRT(Dashboard!$F$4) * _xlfn.NORM.S.INV(RAND())</f>
        <v>-1.7691110048997361E-2</v>
      </c>
      <c r="T2787" s="59">
        <f ca="1">Dashboard!C$8* Dashboard!$F$4+Dashboard!C$10*SQRT(Dashboard!$F$4) * _xlfn.NORM.S.INV(RAND())</f>
        <v>2.0046926006572451E-2</v>
      </c>
      <c r="U2787" s="59">
        <f ca="1">Dashboard!D$8* Dashboard!$F$4+Dashboard!D$10*SQRT(Dashboard!$F$4) * _xlfn.NORM.S.INV(RAND())</f>
        <v>2.1174061530125639E-2</v>
      </c>
    </row>
    <row r="2788" spans="18:21" x14ac:dyDescent="0.2">
      <c r="R2788" s="49">
        <v>2786</v>
      </c>
      <c r="S2788" s="59">
        <f ca="1">Dashboard!B$8* Dashboard!$F$4+Dashboard!B$10*SQRT(Dashboard!$F$4) * _xlfn.NORM.S.INV(RAND())</f>
        <v>-3.3837350670845909E-2</v>
      </c>
      <c r="T2788" s="59">
        <f ca="1">Dashboard!C$8* Dashboard!$F$4+Dashboard!C$10*SQRT(Dashboard!$F$4) * _xlfn.NORM.S.INV(RAND())</f>
        <v>-2.2597938012993242E-3</v>
      </c>
      <c r="U2788" s="59">
        <f ca="1">Dashboard!D$8* Dashboard!$F$4+Dashboard!D$10*SQRT(Dashboard!$F$4) * _xlfn.NORM.S.INV(RAND())</f>
        <v>-5.8270590529636741E-2</v>
      </c>
    </row>
    <row r="2789" spans="18:21" x14ac:dyDescent="0.2">
      <c r="R2789" s="49">
        <v>2787</v>
      </c>
      <c r="S2789" s="59">
        <f ca="1">Dashboard!B$8* Dashboard!$F$4+Dashboard!B$10*SQRT(Dashboard!$F$4) * _xlfn.NORM.S.INV(RAND())</f>
        <v>-3.3715308468987425E-2</v>
      </c>
      <c r="T2789" s="59">
        <f ca="1">Dashboard!C$8* Dashboard!$F$4+Dashboard!C$10*SQRT(Dashboard!$F$4) * _xlfn.NORM.S.INV(RAND())</f>
        <v>-8.0071056282034966E-3</v>
      </c>
      <c r="U2789" s="59">
        <f ca="1">Dashboard!D$8* Dashboard!$F$4+Dashboard!D$10*SQRT(Dashboard!$F$4) * _xlfn.NORM.S.INV(RAND())</f>
        <v>9.2112402268847524E-2</v>
      </c>
    </row>
    <row r="2790" spans="18:21" x14ac:dyDescent="0.2">
      <c r="R2790" s="49">
        <v>2788</v>
      </c>
      <c r="S2790" s="59">
        <f ca="1">Dashboard!B$8* Dashboard!$F$4+Dashboard!B$10*SQRT(Dashboard!$F$4) * _xlfn.NORM.S.INV(RAND())</f>
        <v>5.7194416847507513E-3</v>
      </c>
      <c r="T2790" s="59">
        <f ca="1">Dashboard!C$8* Dashboard!$F$4+Dashboard!C$10*SQRT(Dashboard!$F$4) * _xlfn.NORM.S.INV(RAND())</f>
        <v>2.688875448812025E-2</v>
      </c>
      <c r="U2790" s="59">
        <f ca="1">Dashboard!D$8* Dashboard!$F$4+Dashboard!D$10*SQRT(Dashboard!$F$4) * _xlfn.NORM.S.INV(RAND())</f>
        <v>-2.050639360579554E-2</v>
      </c>
    </row>
    <row r="2791" spans="18:21" x14ac:dyDescent="0.2">
      <c r="R2791" s="49">
        <v>2789</v>
      </c>
      <c r="S2791" s="59">
        <f ca="1">Dashboard!B$8* Dashboard!$F$4+Dashboard!B$10*SQRT(Dashboard!$F$4) * _xlfn.NORM.S.INV(RAND())</f>
        <v>-2.8189125202991425E-2</v>
      </c>
      <c r="T2791" s="59">
        <f ca="1">Dashboard!C$8* Dashboard!$F$4+Dashboard!C$10*SQRT(Dashboard!$F$4) * _xlfn.NORM.S.INV(RAND())</f>
        <v>4.352356074027168E-2</v>
      </c>
      <c r="U2791" s="59">
        <f ca="1">Dashboard!D$8* Dashboard!$F$4+Dashboard!D$10*SQRT(Dashboard!$F$4) * _xlfn.NORM.S.INV(RAND())</f>
        <v>-8.3852318833054877E-3</v>
      </c>
    </row>
    <row r="2792" spans="18:21" x14ac:dyDescent="0.2">
      <c r="R2792" s="49">
        <v>2790</v>
      </c>
      <c r="S2792" s="59">
        <f ca="1">Dashboard!B$8* Dashboard!$F$4+Dashboard!B$10*SQRT(Dashboard!$F$4) * _xlfn.NORM.S.INV(RAND())</f>
        <v>2.618516477555298E-2</v>
      </c>
      <c r="T2792" s="59">
        <f ca="1">Dashboard!C$8* Dashboard!$F$4+Dashboard!C$10*SQRT(Dashboard!$F$4) * _xlfn.NORM.S.INV(RAND())</f>
        <v>2.6087113016753951E-2</v>
      </c>
      <c r="U2792" s="59">
        <f ca="1">Dashboard!D$8* Dashboard!$F$4+Dashboard!D$10*SQRT(Dashboard!$F$4) * _xlfn.NORM.S.INV(RAND())</f>
        <v>-4.6789825816127961E-3</v>
      </c>
    </row>
    <row r="2793" spans="18:21" x14ac:dyDescent="0.2">
      <c r="R2793" s="49">
        <v>2791</v>
      </c>
      <c r="S2793" s="59">
        <f ca="1">Dashboard!B$8* Dashboard!$F$4+Dashboard!B$10*SQRT(Dashboard!$F$4) * _xlfn.NORM.S.INV(RAND())</f>
        <v>9.9088566091661869E-3</v>
      </c>
      <c r="T2793" s="59">
        <f ca="1">Dashboard!C$8* Dashboard!$F$4+Dashboard!C$10*SQRT(Dashboard!$F$4) * _xlfn.NORM.S.INV(RAND())</f>
        <v>-2.3187813981163739E-3</v>
      </c>
      <c r="U2793" s="59">
        <f ca="1">Dashboard!D$8* Dashboard!$F$4+Dashboard!D$10*SQRT(Dashboard!$F$4) * _xlfn.NORM.S.INV(RAND())</f>
        <v>-2.3157952060586739E-2</v>
      </c>
    </row>
    <row r="2794" spans="18:21" x14ac:dyDescent="0.2">
      <c r="R2794" s="49">
        <v>2792</v>
      </c>
      <c r="S2794" s="59">
        <f ca="1">Dashboard!B$8* Dashboard!$F$4+Dashboard!B$10*SQRT(Dashboard!$F$4) * _xlfn.NORM.S.INV(RAND())</f>
        <v>-9.7363258608147533E-3</v>
      </c>
      <c r="T2794" s="59">
        <f ca="1">Dashboard!C$8* Dashboard!$F$4+Dashboard!C$10*SQRT(Dashboard!$F$4) * _xlfn.NORM.S.INV(RAND())</f>
        <v>-4.1579667133307324E-2</v>
      </c>
      <c r="U2794" s="59">
        <f ca="1">Dashboard!D$8* Dashboard!$F$4+Dashboard!D$10*SQRT(Dashboard!$F$4) * _xlfn.NORM.S.INV(RAND())</f>
        <v>-3.0041038757897071E-2</v>
      </c>
    </row>
    <row r="2795" spans="18:21" x14ac:dyDescent="0.2">
      <c r="R2795" s="49">
        <v>2793</v>
      </c>
      <c r="S2795" s="59">
        <f ca="1">Dashboard!B$8* Dashboard!$F$4+Dashboard!B$10*SQRT(Dashboard!$F$4) * _xlfn.NORM.S.INV(RAND())</f>
        <v>-6.8426843539249715E-2</v>
      </c>
      <c r="T2795" s="59">
        <f ca="1">Dashboard!C$8* Dashboard!$F$4+Dashboard!C$10*SQRT(Dashboard!$F$4) * _xlfn.NORM.S.INV(RAND())</f>
        <v>-3.3264116801712739E-3</v>
      </c>
      <c r="U2795" s="59">
        <f ca="1">Dashboard!D$8* Dashboard!$F$4+Dashboard!D$10*SQRT(Dashboard!$F$4) * _xlfn.NORM.S.INV(RAND())</f>
        <v>2.1556931018854558E-2</v>
      </c>
    </row>
    <row r="2796" spans="18:21" x14ac:dyDescent="0.2">
      <c r="R2796" s="49">
        <v>2794</v>
      </c>
      <c r="S2796" s="59">
        <f ca="1">Dashboard!B$8* Dashboard!$F$4+Dashboard!B$10*SQRT(Dashboard!$F$4) * _xlfn.NORM.S.INV(RAND())</f>
        <v>6.9536734441032505E-2</v>
      </c>
      <c r="T2796" s="59">
        <f ca="1">Dashboard!C$8* Dashboard!$F$4+Dashboard!C$10*SQRT(Dashboard!$F$4) * _xlfn.NORM.S.INV(RAND())</f>
        <v>4.1808032555517615E-3</v>
      </c>
      <c r="U2796" s="59">
        <f ca="1">Dashboard!D$8* Dashboard!$F$4+Dashboard!D$10*SQRT(Dashboard!$F$4) * _xlfn.NORM.S.INV(RAND())</f>
        <v>5.7584863513888335E-2</v>
      </c>
    </row>
    <row r="2797" spans="18:21" x14ac:dyDescent="0.2">
      <c r="R2797" s="49">
        <v>2795</v>
      </c>
      <c r="S2797" s="59">
        <f ca="1">Dashboard!B$8* Dashboard!$F$4+Dashboard!B$10*SQRT(Dashboard!$F$4) * _xlfn.NORM.S.INV(RAND())</f>
        <v>5.4975543931342578E-4</v>
      </c>
      <c r="T2797" s="59">
        <f ca="1">Dashboard!C$8* Dashboard!$F$4+Dashboard!C$10*SQRT(Dashboard!$F$4) * _xlfn.NORM.S.INV(RAND())</f>
        <v>-1.3636159191729856E-2</v>
      </c>
      <c r="U2797" s="59">
        <f ca="1">Dashboard!D$8* Dashboard!$F$4+Dashboard!D$10*SQRT(Dashboard!$F$4) * _xlfn.NORM.S.INV(RAND())</f>
        <v>2.8947940695374291E-2</v>
      </c>
    </row>
    <row r="2798" spans="18:21" x14ac:dyDescent="0.2">
      <c r="R2798" s="49">
        <v>2796</v>
      </c>
      <c r="S2798" s="59">
        <f ca="1">Dashboard!B$8* Dashboard!$F$4+Dashboard!B$10*SQRT(Dashboard!$F$4) * _xlfn.NORM.S.INV(RAND())</f>
        <v>-1.9009263018357689E-2</v>
      </c>
      <c r="T2798" s="59">
        <f ca="1">Dashboard!C$8* Dashboard!$F$4+Dashboard!C$10*SQRT(Dashboard!$F$4) * _xlfn.NORM.S.INV(RAND())</f>
        <v>2.1073583666593697E-2</v>
      </c>
      <c r="U2798" s="59">
        <f ca="1">Dashboard!D$8* Dashboard!$F$4+Dashboard!D$10*SQRT(Dashboard!$F$4) * _xlfn.NORM.S.INV(RAND())</f>
        <v>-3.5986907353596075E-2</v>
      </c>
    </row>
    <row r="2799" spans="18:21" x14ac:dyDescent="0.2">
      <c r="R2799" s="49">
        <v>2797</v>
      </c>
      <c r="S2799" s="59">
        <f ca="1">Dashboard!B$8* Dashboard!$F$4+Dashboard!B$10*SQRT(Dashboard!$F$4) * _xlfn.NORM.S.INV(RAND())</f>
        <v>-8.6104886770537223E-2</v>
      </c>
      <c r="T2799" s="59">
        <f ca="1">Dashboard!C$8* Dashboard!$F$4+Dashboard!C$10*SQRT(Dashboard!$F$4) * _xlfn.NORM.S.INV(RAND())</f>
        <v>-5.1179185803992146E-2</v>
      </c>
      <c r="U2799" s="59">
        <f ca="1">Dashboard!D$8* Dashboard!$F$4+Dashboard!D$10*SQRT(Dashboard!$F$4) * _xlfn.NORM.S.INV(RAND())</f>
        <v>-3.4611056312719692E-2</v>
      </c>
    </row>
    <row r="2800" spans="18:21" x14ac:dyDescent="0.2">
      <c r="R2800" s="49">
        <v>2798</v>
      </c>
      <c r="S2800" s="59">
        <f ca="1">Dashboard!B$8* Dashboard!$F$4+Dashboard!B$10*SQRT(Dashboard!$F$4) * _xlfn.NORM.S.INV(RAND())</f>
        <v>3.2945787335093908E-2</v>
      </c>
      <c r="T2800" s="59">
        <f ca="1">Dashboard!C$8* Dashboard!$F$4+Dashboard!C$10*SQRT(Dashboard!$F$4) * _xlfn.NORM.S.INV(RAND())</f>
        <v>3.9677301282063496E-2</v>
      </c>
      <c r="U2800" s="59">
        <f ca="1">Dashboard!D$8* Dashboard!$F$4+Dashboard!D$10*SQRT(Dashboard!$F$4) * _xlfn.NORM.S.INV(RAND())</f>
        <v>-2.7129457983548551E-2</v>
      </c>
    </row>
    <row r="2801" spans="18:21" x14ac:dyDescent="0.2">
      <c r="R2801" s="49">
        <v>2799</v>
      </c>
      <c r="S2801" s="59">
        <f ca="1">Dashboard!B$8* Dashboard!$F$4+Dashboard!B$10*SQRT(Dashboard!$F$4) * _xlfn.NORM.S.INV(RAND())</f>
        <v>-2.8765386574231305E-2</v>
      </c>
      <c r="T2801" s="59">
        <f ca="1">Dashboard!C$8* Dashboard!$F$4+Dashboard!C$10*SQRT(Dashboard!$F$4) * _xlfn.NORM.S.INV(RAND())</f>
        <v>1.6249566943559387E-2</v>
      </c>
      <c r="U2801" s="59">
        <f ca="1">Dashboard!D$8* Dashboard!$F$4+Dashboard!D$10*SQRT(Dashboard!$F$4) * _xlfn.NORM.S.INV(RAND())</f>
        <v>-2.9795981697458094E-2</v>
      </c>
    </row>
    <row r="2802" spans="18:21" x14ac:dyDescent="0.2">
      <c r="R2802" s="49">
        <v>2800</v>
      </c>
      <c r="S2802" s="59">
        <f ca="1">Dashboard!B$8* Dashboard!$F$4+Dashboard!B$10*SQRT(Dashboard!$F$4) * _xlfn.NORM.S.INV(RAND())</f>
        <v>3.0566980558263832E-2</v>
      </c>
      <c r="T2802" s="59">
        <f ca="1">Dashboard!C$8* Dashboard!$F$4+Dashboard!C$10*SQRT(Dashboard!$F$4) * _xlfn.NORM.S.INV(RAND())</f>
        <v>3.5876618800354511E-2</v>
      </c>
      <c r="U2802" s="59">
        <f ca="1">Dashboard!D$8* Dashboard!$F$4+Dashboard!D$10*SQRT(Dashboard!$F$4) * _xlfn.NORM.S.INV(RAND())</f>
        <v>5.0340377123841977E-2</v>
      </c>
    </row>
    <row r="2803" spans="18:21" x14ac:dyDescent="0.2">
      <c r="R2803" s="49">
        <v>2801</v>
      </c>
      <c r="S2803" s="59">
        <f ca="1">Dashboard!B$8* Dashboard!$F$4+Dashboard!B$10*SQRT(Dashboard!$F$4) * _xlfn.NORM.S.INV(RAND())</f>
        <v>2.6947476987221705E-2</v>
      </c>
      <c r="T2803" s="59">
        <f ca="1">Dashboard!C$8* Dashboard!$F$4+Dashboard!C$10*SQRT(Dashboard!$F$4) * _xlfn.NORM.S.INV(RAND())</f>
        <v>4.9271494931887511E-2</v>
      </c>
      <c r="U2803" s="59">
        <f ca="1">Dashboard!D$8* Dashboard!$F$4+Dashboard!D$10*SQRT(Dashboard!$F$4) * _xlfn.NORM.S.INV(RAND())</f>
        <v>1.5131099813429793E-2</v>
      </c>
    </row>
    <row r="2804" spans="18:21" x14ac:dyDescent="0.2">
      <c r="R2804" s="49">
        <v>2802</v>
      </c>
      <c r="S2804" s="59">
        <f ca="1">Dashboard!B$8* Dashboard!$F$4+Dashboard!B$10*SQRT(Dashboard!$F$4) * _xlfn.NORM.S.INV(RAND())</f>
        <v>-4.2891269365807193E-2</v>
      </c>
      <c r="T2804" s="59">
        <f ca="1">Dashboard!C$8* Dashboard!$F$4+Dashboard!C$10*SQRT(Dashboard!$F$4) * _xlfn.NORM.S.INV(RAND())</f>
        <v>3.9500072391630101E-2</v>
      </c>
      <c r="U2804" s="59">
        <f ca="1">Dashboard!D$8* Dashboard!$F$4+Dashboard!D$10*SQRT(Dashboard!$F$4) * _xlfn.NORM.S.INV(RAND())</f>
        <v>1.4312298197085767E-2</v>
      </c>
    </row>
    <row r="2805" spans="18:21" x14ac:dyDescent="0.2">
      <c r="R2805" s="49">
        <v>2803</v>
      </c>
      <c r="S2805" s="59">
        <f ca="1">Dashboard!B$8* Dashboard!$F$4+Dashboard!B$10*SQRT(Dashboard!$F$4) * _xlfn.NORM.S.INV(RAND())</f>
        <v>1.0863582232140864E-2</v>
      </c>
      <c r="T2805" s="59">
        <f ca="1">Dashboard!C$8* Dashboard!$F$4+Dashboard!C$10*SQRT(Dashboard!$F$4) * _xlfn.NORM.S.INV(RAND())</f>
        <v>6.3395758943276224E-5</v>
      </c>
      <c r="U2805" s="59">
        <f ca="1">Dashboard!D$8* Dashboard!$F$4+Dashboard!D$10*SQRT(Dashboard!$F$4) * _xlfn.NORM.S.INV(RAND())</f>
        <v>-3.7291392967627963E-2</v>
      </c>
    </row>
    <row r="2806" spans="18:21" x14ac:dyDescent="0.2">
      <c r="R2806" s="49">
        <v>2804</v>
      </c>
      <c r="S2806" s="59">
        <f ca="1">Dashboard!B$8* Dashboard!$F$4+Dashboard!B$10*SQRT(Dashboard!$F$4) * _xlfn.NORM.S.INV(RAND())</f>
        <v>3.1453852437222922E-2</v>
      </c>
      <c r="T2806" s="59">
        <f ca="1">Dashboard!C$8* Dashboard!$F$4+Dashboard!C$10*SQRT(Dashboard!$F$4) * _xlfn.NORM.S.INV(RAND())</f>
        <v>-2.1387206696531255E-2</v>
      </c>
      <c r="U2806" s="59">
        <f ca="1">Dashboard!D$8* Dashboard!$F$4+Dashboard!D$10*SQRT(Dashboard!$F$4) * _xlfn.NORM.S.INV(RAND())</f>
        <v>4.615981863800616E-3</v>
      </c>
    </row>
    <row r="2807" spans="18:21" x14ac:dyDescent="0.2">
      <c r="R2807" s="49">
        <v>2805</v>
      </c>
      <c r="S2807" s="59">
        <f ca="1">Dashboard!B$8* Dashboard!$F$4+Dashboard!B$10*SQRT(Dashboard!$F$4) * _xlfn.NORM.S.INV(RAND())</f>
        <v>-3.4175665620703568E-4</v>
      </c>
      <c r="T2807" s="59">
        <f ca="1">Dashboard!C$8* Dashboard!$F$4+Dashboard!C$10*SQRT(Dashboard!$F$4) * _xlfn.NORM.S.INV(RAND())</f>
        <v>-5.7394224185200196E-2</v>
      </c>
      <c r="U2807" s="59">
        <f ca="1">Dashboard!D$8* Dashboard!$F$4+Dashboard!D$10*SQRT(Dashboard!$F$4) * _xlfn.NORM.S.INV(RAND())</f>
        <v>2.1437550544219641E-3</v>
      </c>
    </row>
    <row r="2808" spans="18:21" x14ac:dyDescent="0.2">
      <c r="R2808" s="49">
        <v>2806</v>
      </c>
      <c r="S2808" s="59">
        <f ca="1">Dashboard!B$8* Dashboard!$F$4+Dashboard!B$10*SQRT(Dashboard!$F$4) * _xlfn.NORM.S.INV(RAND())</f>
        <v>-1.3736419998188285E-2</v>
      </c>
      <c r="T2808" s="59">
        <f ca="1">Dashboard!C$8* Dashboard!$F$4+Dashboard!C$10*SQRT(Dashboard!$F$4) * _xlfn.NORM.S.INV(RAND())</f>
        <v>5.2371210766547237E-2</v>
      </c>
      <c r="U2808" s="59">
        <f ca="1">Dashboard!D$8* Dashboard!$F$4+Dashboard!D$10*SQRT(Dashboard!$F$4) * _xlfn.NORM.S.INV(RAND())</f>
        <v>1.4602257707403643E-2</v>
      </c>
    </row>
    <row r="2809" spans="18:21" x14ac:dyDescent="0.2">
      <c r="R2809" s="49">
        <v>2807</v>
      </c>
      <c r="S2809" s="59">
        <f ca="1">Dashboard!B$8* Dashboard!$F$4+Dashboard!B$10*SQRT(Dashboard!$F$4) * _xlfn.NORM.S.INV(RAND())</f>
        <v>2.6313093586525713E-2</v>
      </c>
      <c r="T2809" s="59">
        <f ca="1">Dashboard!C$8* Dashboard!$F$4+Dashboard!C$10*SQRT(Dashboard!$F$4) * _xlfn.NORM.S.INV(RAND())</f>
        <v>9.7609885420186226E-3</v>
      </c>
      <c r="U2809" s="59">
        <f ca="1">Dashboard!D$8* Dashboard!$F$4+Dashboard!D$10*SQRT(Dashboard!$F$4) * _xlfn.NORM.S.INV(RAND())</f>
        <v>5.9640643031967991E-2</v>
      </c>
    </row>
    <row r="2810" spans="18:21" x14ac:dyDescent="0.2">
      <c r="R2810" s="49">
        <v>2808</v>
      </c>
      <c r="S2810" s="59">
        <f ca="1">Dashboard!B$8* Dashboard!$F$4+Dashboard!B$10*SQRT(Dashboard!$F$4) * _xlfn.NORM.S.INV(RAND())</f>
        <v>2.0644767355019501E-3</v>
      </c>
      <c r="T2810" s="59">
        <f ca="1">Dashboard!C$8* Dashboard!$F$4+Dashboard!C$10*SQRT(Dashboard!$F$4) * _xlfn.NORM.S.INV(RAND())</f>
        <v>-1.6012846549936153E-2</v>
      </c>
      <c r="U2810" s="59">
        <f ca="1">Dashboard!D$8* Dashboard!$F$4+Dashboard!D$10*SQRT(Dashboard!$F$4) * _xlfn.NORM.S.INV(RAND())</f>
        <v>1.7100080460104937E-2</v>
      </c>
    </row>
    <row r="2811" spans="18:21" x14ac:dyDescent="0.2">
      <c r="R2811" s="49">
        <v>2809</v>
      </c>
      <c r="S2811" s="59">
        <f ca="1">Dashboard!B$8* Dashboard!$F$4+Dashboard!B$10*SQRT(Dashboard!$F$4) * _xlfn.NORM.S.INV(RAND())</f>
        <v>-2.0311237087973756E-2</v>
      </c>
      <c r="T2811" s="59">
        <f ca="1">Dashboard!C$8* Dashboard!$F$4+Dashboard!C$10*SQRT(Dashboard!$F$4) * _xlfn.NORM.S.INV(RAND())</f>
        <v>8.9158499134058076E-3</v>
      </c>
      <c r="U2811" s="59">
        <f ca="1">Dashboard!D$8* Dashboard!$F$4+Dashboard!D$10*SQRT(Dashboard!$F$4) * _xlfn.NORM.S.INV(RAND())</f>
        <v>1.4148051004825796E-2</v>
      </c>
    </row>
    <row r="2812" spans="18:21" x14ac:dyDescent="0.2">
      <c r="R2812" s="49">
        <v>2810</v>
      </c>
      <c r="S2812" s="59">
        <f ca="1">Dashboard!B$8* Dashboard!$F$4+Dashboard!B$10*SQRT(Dashboard!$F$4) * _xlfn.NORM.S.INV(RAND())</f>
        <v>1.1109438331648852E-2</v>
      </c>
      <c r="T2812" s="59">
        <f ca="1">Dashboard!C$8* Dashboard!$F$4+Dashboard!C$10*SQRT(Dashboard!$F$4) * _xlfn.NORM.S.INV(RAND())</f>
        <v>-6.8541431434918356E-3</v>
      </c>
      <c r="U2812" s="59">
        <f ca="1">Dashboard!D$8* Dashboard!$F$4+Dashboard!D$10*SQRT(Dashboard!$F$4) * _xlfn.NORM.S.INV(RAND())</f>
        <v>-6.1204478482984768E-3</v>
      </c>
    </row>
    <row r="2813" spans="18:21" x14ac:dyDescent="0.2">
      <c r="R2813" s="49">
        <v>2811</v>
      </c>
      <c r="S2813" s="59">
        <f ca="1">Dashboard!B$8* Dashboard!$F$4+Dashboard!B$10*SQRT(Dashboard!$F$4) * _xlfn.NORM.S.INV(RAND())</f>
        <v>-2.3167226279143327E-3</v>
      </c>
      <c r="T2813" s="59">
        <f ca="1">Dashboard!C$8* Dashboard!$F$4+Dashboard!C$10*SQRT(Dashboard!$F$4) * _xlfn.NORM.S.INV(RAND())</f>
        <v>-4.424189759261174E-2</v>
      </c>
      <c r="U2813" s="59">
        <f ca="1">Dashboard!D$8* Dashboard!$F$4+Dashboard!D$10*SQRT(Dashboard!$F$4) * _xlfn.NORM.S.INV(RAND())</f>
        <v>-1.8560049038041978E-2</v>
      </c>
    </row>
    <row r="2814" spans="18:21" x14ac:dyDescent="0.2">
      <c r="R2814" s="49">
        <v>2812</v>
      </c>
      <c r="S2814" s="59">
        <f ca="1">Dashboard!B$8* Dashboard!$F$4+Dashboard!B$10*SQRT(Dashboard!$F$4) * _xlfn.NORM.S.INV(RAND())</f>
        <v>1.3475236739217064E-4</v>
      </c>
      <c r="T2814" s="59">
        <f ca="1">Dashboard!C$8* Dashboard!$F$4+Dashboard!C$10*SQRT(Dashboard!$F$4) * _xlfn.NORM.S.INV(RAND())</f>
        <v>-3.2428036789900715E-2</v>
      </c>
      <c r="U2814" s="59">
        <f ca="1">Dashboard!D$8* Dashboard!$F$4+Dashboard!D$10*SQRT(Dashboard!$F$4) * _xlfn.NORM.S.INV(RAND())</f>
        <v>-3.557272653029081E-2</v>
      </c>
    </row>
    <row r="2815" spans="18:21" x14ac:dyDescent="0.2">
      <c r="R2815" s="49">
        <v>2813</v>
      </c>
      <c r="S2815" s="59">
        <f ca="1">Dashboard!B$8* Dashboard!$F$4+Dashboard!B$10*SQRT(Dashboard!$F$4) * _xlfn.NORM.S.INV(RAND())</f>
        <v>-3.7698757654256142E-2</v>
      </c>
      <c r="T2815" s="59">
        <f ca="1">Dashboard!C$8* Dashboard!$F$4+Dashboard!C$10*SQRT(Dashboard!$F$4) * _xlfn.NORM.S.INV(RAND())</f>
        <v>2.7815059844008866E-2</v>
      </c>
      <c r="U2815" s="59">
        <f ca="1">Dashboard!D$8* Dashboard!$F$4+Dashboard!D$10*SQRT(Dashboard!$F$4) * _xlfn.NORM.S.INV(RAND())</f>
        <v>-7.1810609486161296E-3</v>
      </c>
    </row>
    <row r="2816" spans="18:21" x14ac:dyDescent="0.2">
      <c r="R2816" s="49">
        <v>2814</v>
      </c>
      <c r="S2816" s="59">
        <f ca="1">Dashboard!B$8* Dashboard!$F$4+Dashboard!B$10*SQRT(Dashboard!$F$4) * _xlfn.NORM.S.INV(RAND())</f>
        <v>-3.0733987847714438E-2</v>
      </c>
      <c r="T2816" s="59">
        <f ca="1">Dashboard!C$8* Dashboard!$F$4+Dashboard!C$10*SQRT(Dashboard!$F$4) * _xlfn.NORM.S.INV(RAND())</f>
        <v>1.3733826333532321E-3</v>
      </c>
      <c r="U2816" s="59">
        <f ca="1">Dashboard!D$8* Dashboard!$F$4+Dashboard!D$10*SQRT(Dashboard!$F$4) * _xlfn.NORM.S.INV(RAND())</f>
        <v>-3.0278431583969496E-2</v>
      </c>
    </row>
    <row r="2817" spans="18:21" x14ac:dyDescent="0.2">
      <c r="R2817" s="49">
        <v>2815</v>
      </c>
      <c r="S2817" s="59">
        <f ca="1">Dashboard!B$8* Dashboard!$F$4+Dashboard!B$10*SQRT(Dashboard!$F$4) * _xlfn.NORM.S.INV(RAND())</f>
        <v>9.9898128446443191E-2</v>
      </c>
      <c r="T2817" s="59">
        <f ca="1">Dashboard!C$8* Dashboard!$F$4+Dashboard!C$10*SQRT(Dashboard!$F$4) * _xlfn.NORM.S.INV(RAND())</f>
        <v>-3.8988408802426093E-2</v>
      </c>
      <c r="U2817" s="59">
        <f ca="1">Dashboard!D$8* Dashboard!$F$4+Dashboard!D$10*SQRT(Dashboard!$F$4) * _xlfn.NORM.S.INV(RAND())</f>
        <v>8.4922712710638643E-4</v>
      </c>
    </row>
    <row r="2818" spans="18:21" x14ac:dyDescent="0.2">
      <c r="R2818" s="49">
        <v>2816</v>
      </c>
      <c r="S2818" s="59">
        <f ca="1">Dashboard!B$8* Dashboard!$F$4+Dashboard!B$10*SQRT(Dashboard!$F$4) * _xlfn.NORM.S.INV(RAND())</f>
        <v>6.2447986259420732E-2</v>
      </c>
      <c r="T2818" s="59">
        <f ca="1">Dashboard!C$8* Dashboard!$F$4+Dashboard!C$10*SQRT(Dashboard!$F$4) * _xlfn.NORM.S.INV(RAND())</f>
        <v>-4.9167939535680161E-2</v>
      </c>
      <c r="U2818" s="59">
        <f ca="1">Dashboard!D$8* Dashboard!$F$4+Dashboard!D$10*SQRT(Dashboard!$F$4) * _xlfn.NORM.S.INV(RAND())</f>
        <v>1.3429685797067691E-3</v>
      </c>
    </row>
    <row r="2819" spans="18:21" x14ac:dyDescent="0.2">
      <c r="R2819" s="49">
        <v>2817</v>
      </c>
      <c r="S2819" s="59">
        <f ca="1">Dashboard!B$8* Dashboard!$F$4+Dashboard!B$10*SQRT(Dashboard!$F$4) * _xlfn.NORM.S.INV(RAND())</f>
        <v>-4.2074514362969148E-2</v>
      </c>
      <c r="T2819" s="59">
        <f ca="1">Dashboard!C$8* Dashboard!$F$4+Dashboard!C$10*SQRT(Dashboard!$F$4) * _xlfn.NORM.S.INV(RAND())</f>
        <v>2.6407856546150948E-2</v>
      </c>
      <c r="U2819" s="59">
        <f ca="1">Dashboard!D$8* Dashboard!$F$4+Dashboard!D$10*SQRT(Dashboard!$F$4) * _xlfn.NORM.S.INV(RAND())</f>
        <v>1.628685360931199E-2</v>
      </c>
    </row>
    <row r="2820" spans="18:21" x14ac:dyDescent="0.2">
      <c r="R2820" s="49">
        <v>2818</v>
      </c>
      <c r="S2820" s="59">
        <f ca="1">Dashboard!B$8* Dashboard!$F$4+Dashboard!B$10*SQRT(Dashboard!$F$4) * _xlfn.NORM.S.INV(RAND())</f>
        <v>4.951052701407449E-2</v>
      </c>
      <c r="T2820" s="59">
        <f ca="1">Dashboard!C$8* Dashboard!$F$4+Dashboard!C$10*SQRT(Dashboard!$F$4) * _xlfn.NORM.S.INV(RAND())</f>
        <v>2.8182917297701296E-2</v>
      </c>
      <c r="U2820" s="59">
        <f ca="1">Dashboard!D$8* Dashboard!$F$4+Dashboard!D$10*SQRT(Dashboard!$F$4) * _xlfn.NORM.S.INV(RAND())</f>
        <v>5.9039598457096776E-2</v>
      </c>
    </row>
    <row r="2821" spans="18:21" x14ac:dyDescent="0.2">
      <c r="R2821" s="49">
        <v>2819</v>
      </c>
      <c r="S2821" s="59">
        <f ca="1">Dashboard!B$8* Dashboard!$F$4+Dashboard!B$10*SQRT(Dashboard!$F$4) * _xlfn.NORM.S.INV(RAND())</f>
        <v>-3.0908072806522982E-2</v>
      </c>
      <c r="T2821" s="59">
        <f ca="1">Dashboard!C$8* Dashboard!$F$4+Dashboard!C$10*SQRT(Dashboard!$F$4) * _xlfn.NORM.S.INV(RAND())</f>
        <v>-3.3995231322484429E-2</v>
      </c>
      <c r="U2821" s="59">
        <f ca="1">Dashboard!D$8* Dashboard!$F$4+Dashboard!D$10*SQRT(Dashboard!$F$4) * _xlfn.NORM.S.INV(RAND())</f>
        <v>-2.5610629875192071E-2</v>
      </c>
    </row>
    <row r="2822" spans="18:21" x14ac:dyDescent="0.2">
      <c r="R2822" s="49">
        <v>2820</v>
      </c>
      <c r="S2822" s="59">
        <f ca="1">Dashboard!B$8* Dashboard!$F$4+Dashboard!B$10*SQRT(Dashboard!$F$4) * _xlfn.NORM.S.INV(RAND())</f>
        <v>-5.7576568286665146E-3</v>
      </c>
      <c r="T2822" s="59">
        <f ca="1">Dashboard!C$8* Dashboard!$F$4+Dashboard!C$10*SQRT(Dashboard!$F$4) * _xlfn.NORM.S.INV(RAND())</f>
        <v>3.4508696195256982E-3</v>
      </c>
      <c r="U2822" s="59">
        <f ca="1">Dashboard!D$8* Dashboard!$F$4+Dashboard!D$10*SQRT(Dashboard!$F$4) * _xlfn.NORM.S.INV(RAND())</f>
        <v>2.8256287563452387E-2</v>
      </c>
    </row>
    <row r="2823" spans="18:21" x14ac:dyDescent="0.2">
      <c r="R2823" s="49">
        <v>2821</v>
      </c>
      <c r="S2823" s="59">
        <f ca="1">Dashboard!B$8* Dashboard!$F$4+Dashboard!B$10*SQRT(Dashboard!$F$4) * _xlfn.NORM.S.INV(RAND())</f>
        <v>5.9586198998595533E-2</v>
      </c>
      <c r="T2823" s="59">
        <f ca="1">Dashboard!C$8* Dashboard!$F$4+Dashboard!C$10*SQRT(Dashboard!$F$4) * _xlfn.NORM.S.INV(RAND())</f>
        <v>3.3699627135723109E-2</v>
      </c>
      <c r="U2823" s="59">
        <f ca="1">Dashboard!D$8* Dashboard!$F$4+Dashboard!D$10*SQRT(Dashboard!$F$4) * _xlfn.NORM.S.INV(RAND())</f>
        <v>-3.7568304066618811E-2</v>
      </c>
    </row>
    <row r="2824" spans="18:21" x14ac:dyDescent="0.2">
      <c r="R2824" s="49">
        <v>2822</v>
      </c>
      <c r="S2824" s="59">
        <f ca="1">Dashboard!B$8* Dashboard!$F$4+Dashboard!B$10*SQRT(Dashboard!$F$4) * _xlfn.NORM.S.INV(RAND())</f>
        <v>-6.4691168613595168E-2</v>
      </c>
      <c r="T2824" s="59">
        <f ca="1">Dashboard!C$8* Dashboard!$F$4+Dashboard!C$10*SQRT(Dashboard!$F$4) * _xlfn.NORM.S.INV(RAND())</f>
        <v>8.0617706104651687E-2</v>
      </c>
      <c r="U2824" s="59">
        <f ca="1">Dashboard!D$8* Dashboard!$F$4+Dashboard!D$10*SQRT(Dashboard!$F$4) * _xlfn.NORM.S.INV(RAND())</f>
        <v>-1.9201833992777671E-2</v>
      </c>
    </row>
    <row r="2825" spans="18:21" x14ac:dyDescent="0.2">
      <c r="R2825" s="49">
        <v>2823</v>
      </c>
      <c r="S2825" s="59">
        <f ca="1">Dashboard!B$8* Dashboard!$F$4+Dashboard!B$10*SQRT(Dashboard!$F$4) * _xlfn.NORM.S.INV(RAND())</f>
        <v>-2.0938614060058952E-2</v>
      </c>
      <c r="T2825" s="59">
        <f ca="1">Dashboard!C$8* Dashboard!$F$4+Dashboard!C$10*SQRT(Dashboard!$F$4) * _xlfn.NORM.S.INV(RAND())</f>
        <v>-1.6903193624067447E-2</v>
      </c>
      <c r="U2825" s="59">
        <f ca="1">Dashboard!D$8* Dashboard!$F$4+Dashboard!D$10*SQRT(Dashboard!$F$4) * _xlfn.NORM.S.INV(RAND())</f>
        <v>-2.2136340363122033E-2</v>
      </c>
    </row>
    <row r="2826" spans="18:21" x14ac:dyDescent="0.2">
      <c r="R2826" s="49">
        <v>2824</v>
      </c>
      <c r="S2826" s="59">
        <f ca="1">Dashboard!B$8* Dashboard!$F$4+Dashboard!B$10*SQRT(Dashboard!$F$4) * _xlfn.NORM.S.INV(RAND())</f>
        <v>-8.0257054117278959E-3</v>
      </c>
      <c r="T2826" s="59">
        <f ca="1">Dashboard!C$8* Dashboard!$F$4+Dashboard!C$10*SQRT(Dashboard!$F$4) * _xlfn.NORM.S.INV(RAND())</f>
        <v>6.9242579125299505E-3</v>
      </c>
      <c r="U2826" s="59">
        <f ca="1">Dashboard!D$8* Dashboard!$F$4+Dashboard!D$10*SQRT(Dashboard!$F$4) * _xlfn.NORM.S.INV(RAND())</f>
        <v>-1.8857189798863753E-2</v>
      </c>
    </row>
    <row r="2827" spans="18:21" x14ac:dyDescent="0.2">
      <c r="R2827" s="49">
        <v>2825</v>
      </c>
      <c r="S2827" s="59">
        <f ca="1">Dashboard!B$8* Dashboard!$F$4+Dashboard!B$10*SQRT(Dashboard!$F$4) * _xlfn.NORM.S.INV(RAND())</f>
        <v>-3.5740028198943674E-2</v>
      </c>
      <c r="T2827" s="59">
        <f ca="1">Dashboard!C$8* Dashboard!$F$4+Dashboard!C$10*SQRT(Dashboard!$F$4) * _xlfn.NORM.S.INV(RAND())</f>
        <v>8.2874449187701369E-4</v>
      </c>
      <c r="U2827" s="59">
        <f ca="1">Dashboard!D$8* Dashboard!$F$4+Dashboard!D$10*SQRT(Dashboard!$F$4) * _xlfn.NORM.S.INV(RAND())</f>
        <v>1.5307542250524435E-2</v>
      </c>
    </row>
    <row r="2828" spans="18:21" x14ac:dyDescent="0.2">
      <c r="R2828" s="49">
        <v>2826</v>
      </c>
      <c r="S2828" s="59">
        <f ca="1">Dashboard!B$8* Dashboard!$F$4+Dashboard!B$10*SQRT(Dashboard!$F$4) * _xlfn.NORM.S.INV(RAND())</f>
        <v>-4.2300139036659759E-2</v>
      </c>
      <c r="T2828" s="59">
        <f ca="1">Dashboard!C$8* Dashboard!$F$4+Dashboard!C$10*SQRT(Dashboard!$F$4) * _xlfn.NORM.S.INV(RAND())</f>
        <v>4.6173715539962242E-3</v>
      </c>
      <c r="U2828" s="59">
        <f ca="1">Dashboard!D$8* Dashboard!$F$4+Dashboard!D$10*SQRT(Dashboard!$F$4) * _xlfn.NORM.S.INV(RAND())</f>
        <v>-2.1662274057662349E-2</v>
      </c>
    </row>
    <row r="2829" spans="18:21" x14ac:dyDescent="0.2">
      <c r="R2829" s="49">
        <v>2827</v>
      </c>
      <c r="S2829" s="59">
        <f ca="1">Dashboard!B$8* Dashboard!$F$4+Dashboard!B$10*SQRT(Dashboard!$F$4) * _xlfn.NORM.S.INV(RAND())</f>
        <v>-1.6151401192837353E-2</v>
      </c>
      <c r="T2829" s="59">
        <f ca="1">Dashboard!C$8* Dashboard!$F$4+Dashboard!C$10*SQRT(Dashboard!$F$4) * _xlfn.NORM.S.INV(RAND())</f>
        <v>1.897293050004125E-2</v>
      </c>
      <c r="U2829" s="59">
        <f ca="1">Dashboard!D$8* Dashboard!$F$4+Dashboard!D$10*SQRT(Dashboard!$F$4) * _xlfn.NORM.S.INV(RAND())</f>
        <v>3.8847919546222175E-3</v>
      </c>
    </row>
    <row r="2830" spans="18:21" x14ac:dyDescent="0.2">
      <c r="R2830" s="49">
        <v>2828</v>
      </c>
      <c r="S2830" s="59">
        <f ca="1">Dashboard!B$8* Dashboard!$F$4+Dashboard!B$10*SQRT(Dashboard!$F$4) * _xlfn.NORM.S.INV(RAND())</f>
        <v>2.1074758869603666E-2</v>
      </c>
      <c r="T2830" s="59">
        <f ca="1">Dashboard!C$8* Dashboard!$F$4+Dashboard!C$10*SQRT(Dashboard!$F$4) * _xlfn.NORM.S.INV(RAND())</f>
        <v>-1.0304669808525718E-2</v>
      </c>
      <c r="U2830" s="59">
        <f ca="1">Dashboard!D$8* Dashboard!$F$4+Dashboard!D$10*SQRT(Dashboard!$F$4) * _xlfn.NORM.S.INV(RAND())</f>
        <v>-1.4988099450500326E-2</v>
      </c>
    </row>
    <row r="2831" spans="18:21" x14ac:dyDescent="0.2">
      <c r="R2831" s="49">
        <v>2829</v>
      </c>
      <c r="S2831" s="59">
        <f ca="1">Dashboard!B$8* Dashboard!$F$4+Dashboard!B$10*SQRT(Dashboard!$F$4) * _xlfn.NORM.S.INV(RAND())</f>
        <v>-4.2914184077743757E-2</v>
      </c>
      <c r="T2831" s="59">
        <f ca="1">Dashboard!C$8* Dashboard!$F$4+Dashboard!C$10*SQRT(Dashboard!$F$4) * _xlfn.NORM.S.INV(RAND())</f>
        <v>7.5304781445260607E-2</v>
      </c>
      <c r="U2831" s="59">
        <f ca="1">Dashboard!D$8* Dashboard!$F$4+Dashboard!D$10*SQRT(Dashboard!$F$4) * _xlfn.NORM.S.INV(RAND())</f>
        <v>-2.7122070596979821E-2</v>
      </c>
    </row>
    <row r="2832" spans="18:21" x14ac:dyDescent="0.2">
      <c r="R2832" s="49">
        <v>2830</v>
      </c>
      <c r="S2832" s="59">
        <f ca="1">Dashboard!B$8* Dashboard!$F$4+Dashboard!B$10*SQRT(Dashboard!$F$4) * _xlfn.NORM.S.INV(RAND())</f>
        <v>-3.7532487905680034E-2</v>
      </c>
      <c r="T2832" s="59">
        <f ca="1">Dashboard!C$8* Dashboard!$F$4+Dashboard!C$10*SQRT(Dashboard!$F$4) * _xlfn.NORM.S.INV(RAND())</f>
        <v>2.427210561634216E-2</v>
      </c>
      <c r="U2832" s="59">
        <f ca="1">Dashboard!D$8* Dashboard!$F$4+Dashboard!D$10*SQRT(Dashboard!$F$4) * _xlfn.NORM.S.INV(RAND())</f>
        <v>4.9450333326869177E-2</v>
      </c>
    </row>
    <row r="2833" spans="18:21" x14ac:dyDescent="0.2">
      <c r="R2833" s="49">
        <v>2831</v>
      </c>
      <c r="S2833" s="59">
        <f ca="1">Dashboard!B$8* Dashboard!$F$4+Dashboard!B$10*SQRT(Dashboard!$F$4) * _xlfn.NORM.S.INV(RAND())</f>
        <v>-2.6238043278068481E-2</v>
      </c>
      <c r="T2833" s="59">
        <f ca="1">Dashboard!C$8* Dashboard!$F$4+Dashboard!C$10*SQRT(Dashboard!$F$4) * _xlfn.NORM.S.INV(RAND())</f>
        <v>-2.367222474229351E-2</v>
      </c>
      <c r="U2833" s="59">
        <f ca="1">Dashboard!D$8* Dashboard!$F$4+Dashboard!D$10*SQRT(Dashboard!$F$4) * _xlfn.NORM.S.INV(RAND())</f>
        <v>3.7171254689148295E-2</v>
      </c>
    </row>
    <row r="2834" spans="18:21" x14ac:dyDescent="0.2">
      <c r="R2834" s="49">
        <v>2832</v>
      </c>
      <c r="S2834" s="59">
        <f ca="1">Dashboard!B$8* Dashboard!$F$4+Dashboard!B$10*SQRT(Dashboard!$F$4) * _xlfn.NORM.S.INV(RAND())</f>
        <v>-3.0202250814880614E-2</v>
      </c>
      <c r="T2834" s="59">
        <f ca="1">Dashboard!C$8* Dashboard!$F$4+Dashboard!C$10*SQRT(Dashboard!$F$4) * _xlfn.NORM.S.INV(RAND())</f>
        <v>4.3159295652141862E-2</v>
      </c>
      <c r="U2834" s="59">
        <f ca="1">Dashboard!D$8* Dashboard!$F$4+Dashboard!D$10*SQRT(Dashboard!$F$4) * _xlfn.NORM.S.INV(RAND())</f>
        <v>-2.2171481116035865E-2</v>
      </c>
    </row>
    <row r="2835" spans="18:21" x14ac:dyDescent="0.2">
      <c r="R2835" s="49">
        <v>2833</v>
      </c>
      <c r="S2835" s="59">
        <f ca="1">Dashboard!B$8* Dashboard!$F$4+Dashboard!B$10*SQRT(Dashboard!$F$4) * _xlfn.NORM.S.INV(RAND())</f>
        <v>-2.2658853574466627E-2</v>
      </c>
      <c r="T2835" s="59">
        <f ca="1">Dashboard!C$8* Dashboard!$F$4+Dashboard!C$10*SQRT(Dashboard!$F$4) * _xlfn.NORM.S.INV(RAND())</f>
        <v>-1.1748593187871654E-2</v>
      </c>
      <c r="U2835" s="59">
        <f ca="1">Dashboard!D$8* Dashboard!$F$4+Dashboard!D$10*SQRT(Dashboard!$F$4) * _xlfn.NORM.S.INV(RAND())</f>
        <v>1.3441124080518921E-3</v>
      </c>
    </row>
    <row r="2836" spans="18:21" x14ac:dyDescent="0.2">
      <c r="R2836" s="49">
        <v>2834</v>
      </c>
      <c r="S2836" s="59">
        <f ca="1">Dashboard!B$8* Dashboard!$F$4+Dashboard!B$10*SQRT(Dashboard!$F$4) * _xlfn.NORM.S.INV(RAND())</f>
        <v>2.8151903059781401E-2</v>
      </c>
      <c r="T2836" s="59">
        <f ca="1">Dashboard!C$8* Dashboard!$F$4+Dashboard!C$10*SQRT(Dashboard!$F$4) * _xlfn.NORM.S.INV(RAND())</f>
        <v>8.4955722282377653E-3</v>
      </c>
      <c r="U2836" s="59">
        <f ca="1">Dashboard!D$8* Dashboard!$F$4+Dashboard!D$10*SQRT(Dashboard!$F$4) * _xlfn.NORM.S.INV(RAND())</f>
        <v>2.2682513988164364E-2</v>
      </c>
    </row>
    <row r="2837" spans="18:21" x14ac:dyDescent="0.2">
      <c r="R2837" s="49">
        <v>2835</v>
      </c>
      <c r="S2837" s="59">
        <f ca="1">Dashboard!B$8* Dashboard!$F$4+Dashboard!B$10*SQRT(Dashboard!$F$4) * _xlfn.NORM.S.INV(RAND())</f>
        <v>-7.5094109586888932E-3</v>
      </c>
      <c r="T2837" s="59">
        <f ca="1">Dashboard!C$8* Dashboard!$F$4+Dashboard!C$10*SQRT(Dashboard!$F$4) * _xlfn.NORM.S.INV(RAND())</f>
        <v>-7.5300003578927304E-3</v>
      </c>
      <c r="U2837" s="59">
        <f ca="1">Dashboard!D$8* Dashboard!$F$4+Dashboard!D$10*SQRT(Dashboard!$F$4) * _xlfn.NORM.S.INV(RAND())</f>
        <v>2.2146940632199238E-2</v>
      </c>
    </row>
    <row r="2838" spans="18:21" x14ac:dyDescent="0.2">
      <c r="R2838" s="49">
        <v>2836</v>
      </c>
      <c r="S2838" s="59">
        <f ca="1">Dashboard!B$8* Dashboard!$F$4+Dashboard!B$10*SQRT(Dashboard!$F$4) * _xlfn.NORM.S.INV(RAND())</f>
        <v>-3.428947347796675E-2</v>
      </c>
      <c r="T2838" s="59">
        <f ca="1">Dashboard!C$8* Dashboard!$F$4+Dashboard!C$10*SQRT(Dashboard!$F$4) * _xlfn.NORM.S.INV(RAND())</f>
        <v>5.0601061633345594E-4</v>
      </c>
      <c r="U2838" s="59">
        <f ca="1">Dashboard!D$8* Dashboard!$F$4+Dashboard!D$10*SQRT(Dashboard!$F$4) * _xlfn.NORM.S.INV(RAND())</f>
        <v>5.2896657551163913E-2</v>
      </c>
    </row>
    <row r="2839" spans="18:21" x14ac:dyDescent="0.2">
      <c r="R2839" s="49">
        <v>2837</v>
      </c>
      <c r="S2839" s="59">
        <f ca="1">Dashboard!B$8* Dashboard!$F$4+Dashboard!B$10*SQRT(Dashboard!$F$4) * _xlfn.NORM.S.INV(RAND())</f>
        <v>-1.853186773762052E-3</v>
      </c>
      <c r="T2839" s="59">
        <f ca="1">Dashboard!C$8* Dashboard!$F$4+Dashboard!C$10*SQRT(Dashboard!$F$4) * _xlfn.NORM.S.INV(RAND())</f>
        <v>2.7683600242129441E-2</v>
      </c>
      <c r="U2839" s="59">
        <f ca="1">Dashboard!D$8* Dashboard!$F$4+Dashboard!D$10*SQRT(Dashboard!$F$4) * _xlfn.NORM.S.INV(RAND())</f>
        <v>2.8324899245204326E-2</v>
      </c>
    </row>
    <row r="2840" spans="18:21" x14ac:dyDescent="0.2">
      <c r="R2840" s="49">
        <v>2838</v>
      </c>
      <c r="S2840" s="59">
        <f ca="1">Dashboard!B$8* Dashboard!$F$4+Dashboard!B$10*SQRT(Dashboard!$F$4) * _xlfn.NORM.S.INV(RAND())</f>
        <v>-6.9967590500253168E-2</v>
      </c>
      <c r="T2840" s="59">
        <f ca="1">Dashboard!C$8* Dashboard!$F$4+Dashboard!C$10*SQRT(Dashboard!$F$4) * _xlfn.NORM.S.INV(RAND())</f>
        <v>-4.576805576401023E-3</v>
      </c>
      <c r="U2840" s="59">
        <f ca="1">Dashboard!D$8* Dashboard!$F$4+Dashboard!D$10*SQRT(Dashboard!$F$4) * _xlfn.NORM.S.INV(RAND())</f>
        <v>4.1794487033932036E-2</v>
      </c>
    </row>
    <row r="2841" spans="18:21" x14ac:dyDescent="0.2">
      <c r="R2841" s="49">
        <v>2839</v>
      </c>
      <c r="S2841" s="59">
        <f ca="1">Dashboard!B$8* Dashboard!$F$4+Dashboard!B$10*SQRT(Dashboard!$F$4) * _xlfn.NORM.S.INV(RAND())</f>
        <v>5.4107371034228715E-3</v>
      </c>
      <c r="T2841" s="59">
        <f ca="1">Dashboard!C$8* Dashboard!$F$4+Dashboard!C$10*SQRT(Dashboard!$F$4) * _xlfn.NORM.S.INV(RAND())</f>
        <v>5.1946626533044819E-2</v>
      </c>
      <c r="U2841" s="59">
        <f ca="1">Dashboard!D$8* Dashboard!$F$4+Dashboard!D$10*SQRT(Dashboard!$F$4) * _xlfn.NORM.S.INV(RAND())</f>
        <v>5.3162889279849109E-3</v>
      </c>
    </row>
    <row r="2842" spans="18:21" x14ac:dyDescent="0.2">
      <c r="R2842" s="49">
        <v>2840</v>
      </c>
      <c r="S2842" s="59">
        <f ca="1">Dashboard!B$8* Dashboard!$F$4+Dashboard!B$10*SQRT(Dashboard!$F$4) * _xlfn.NORM.S.INV(RAND())</f>
        <v>-5.6273281675475097E-3</v>
      </c>
      <c r="T2842" s="59">
        <f ca="1">Dashboard!C$8* Dashboard!$F$4+Dashboard!C$10*SQRT(Dashboard!$F$4) * _xlfn.NORM.S.INV(RAND())</f>
        <v>-1.8338063770130128E-2</v>
      </c>
      <c r="U2842" s="59">
        <f ca="1">Dashboard!D$8* Dashboard!$F$4+Dashboard!D$10*SQRT(Dashboard!$F$4) * _xlfn.NORM.S.INV(RAND())</f>
        <v>-3.3186460186402839E-2</v>
      </c>
    </row>
    <row r="2843" spans="18:21" x14ac:dyDescent="0.2">
      <c r="R2843" s="49">
        <v>2841</v>
      </c>
      <c r="S2843" s="59">
        <f ca="1">Dashboard!B$8* Dashboard!$F$4+Dashboard!B$10*SQRT(Dashboard!$F$4) * _xlfn.NORM.S.INV(RAND())</f>
        <v>3.5052243440852435E-2</v>
      </c>
      <c r="T2843" s="59">
        <f ca="1">Dashboard!C$8* Dashboard!$F$4+Dashboard!C$10*SQRT(Dashboard!$F$4) * _xlfn.NORM.S.INV(RAND())</f>
        <v>3.1716153191138105E-3</v>
      </c>
      <c r="U2843" s="59">
        <f ca="1">Dashboard!D$8* Dashboard!$F$4+Dashboard!D$10*SQRT(Dashboard!$F$4) * _xlfn.NORM.S.INV(RAND())</f>
        <v>-1.1731260646726803E-2</v>
      </c>
    </row>
    <row r="2844" spans="18:21" x14ac:dyDescent="0.2">
      <c r="R2844" s="49">
        <v>2842</v>
      </c>
      <c r="S2844" s="59">
        <f ca="1">Dashboard!B$8* Dashboard!$F$4+Dashboard!B$10*SQRT(Dashboard!$F$4) * _xlfn.NORM.S.INV(RAND())</f>
        <v>3.5362353478353585E-2</v>
      </c>
      <c r="T2844" s="59">
        <f ca="1">Dashboard!C$8* Dashboard!$F$4+Dashboard!C$10*SQRT(Dashboard!$F$4) * _xlfn.NORM.S.INV(RAND())</f>
        <v>-5.0043220161484138E-2</v>
      </c>
      <c r="U2844" s="59">
        <f ca="1">Dashboard!D$8* Dashboard!$F$4+Dashboard!D$10*SQRT(Dashboard!$F$4) * _xlfn.NORM.S.INV(RAND())</f>
        <v>7.9102859985229357E-3</v>
      </c>
    </row>
    <row r="2845" spans="18:21" x14ac:dyDescent="0.2">
      <c r="R2845" s="49">
        <v>2843</v>
      </c>
      <c r="S2845" s="59">
        <f ca="1">Dashboard!B$8* Dashboard!$F$4+Dashboard!B$10*SQRT(Dashboard!$F$4) * _xlfn.NORM.S.INV(RAND())</f>
        <v>-4.492490267327303E-2</v>
      </c>
      <c r="T2845" s="59">
        <f ca="1">Dashboard!C$8* Dashboard!$F$4+Dashboard!C$10*SQRT(Dashboard!$F$4) * _xlfn.NORM.S.INV(RAND())</f>
        <v>-4.2175908820646146E-2</v>
      </c>
      <c r="U2845" s="59">
        <f ca="1">Dashboard!D$8* Dashboard!$F$4+Dashboard!D$10*SQRT(Dashboard!$F$4) * _xlfn.NORM.S.INV(RAND())</f>
        <v>-2.6031227026698099E-2</v>
      </c>
    </row>
    <row r="2846" spans="18:21" x14ac:dyDescent="0.2">
      <c r="R2846" s="49">
        <v>2844</v>
      </c>
      <c r="S2846" s="59">
        <f ca="1">Dashboard!B$8* Dashboard!$F$4+Dashboard!B$10*SQRT(Dashboard!$F$4) * _xlfn.NORM.S.INV(RAND())</f>
        <v>-1.3807794200790698E-2</v>
      </c>
      <c r="T2846" s="59">
        <f ca="1">Dashboard!C$8* Dashboard!$F$4+Dashboard!C$10*SQRT(Dashboard!$F$4) * _xlfn.NORM.S.INV(RAND())</f>
        <v>-2.5196776245943284E-2</v>
      </c>
      <c r="U2846" s="59">
        <f ca="1">Dashboard!D$8* Dashboard!$F$4+Dashboard!D$10*SQRT(Dashboard!$F$4) * _xlfn.NORM.S.INV(RAND())</f>
        <v>-2.1136855452458071E-2</v>
      </c>
    </row>
    <row r="2847" spans="18:21" x14ac:dyDescent="0.2">
      <c r="R2847" s="49">
        <v>2845</v>
      </c>
      <c r="S2847" s="59">
        <f ca="1">Dashboard!B$8* Dashboard!$F$4+Dashboard!B$10*SQRT(Dashboard!$F$4) * _xlfn.NORM.S.INV(RAND())</f>
        <v>4.8476397848454984E-3</v>
      </c>
      <c r="T2847" s="59">
        <f ca="1">Dashboard!C$8* Dashboard!$F$4+Dashboard!C$10*SQRT(Dashboard!$F$4) * _xlfn.NORM.S.INV(RAND())</f>
        <v>6.066281533861748E-3</v>
      </c>
      <c r="U2847" s="59">
        <f ca="1">Dashboard!D$8* Dashboard!$F$4+Dashboard!D$10*SQRT(Dashboard!$F$4) * _xlfn.NORM.S.INV(RAND())</f>
        <v>6.7992204799934928E-3</v>
      </c>
    </row>
    <row r="2848" spans="18:21" x14ac:dyDescent="0.2">
      <c r="R2848" s="49">
        <v>2846</v>
      </c>
      <c r="S2848" s="59">
        <f ca="1">Dashboard!B$8* Dashboard!$F$4+Dashboard!B$10*SQRT(Dashboard!$F$4) * _xlfn.NORM.S.INV(RAND())</f>
        <v>2.6592656475219641E-2</v>
      </c>
      <c r="T2848" s="59">
        <f ca="1">Dashboard!C$8* Dashboard!$F$4+Dashboard!C$10*SQRT(Dashboard!$F$4) * _xlfn.NORM.S.INV(RAND())</f>
        <v>-1.9022662260527987E-2</v>
      </c>
      <c r="U2848" s="59">
        <f ca="1">Dashboard!D$8* Dashboard!$F$4+Dashboard!D$10*SQRT(Dashboard!$F$4) * _xlfn.NORM.S.INV(RAND())</f>
        <v>-1.4500762910567398E-2</v>
      </c>
    </row>
    <row r="2849" spans="18:21" x14ac:dyDescent="0.2">
      <c r="R2849" s="49">
        <v>2847</v>
      </c>
      <c r="S2849" s="59">
        <f ca="1">Dashboard!B$8* Dashboard!$F$4+Dashboard!B$10*SQRT(Dashboard!$F$4) * _xlfn.NORM.S.INV(RAND())</f>
        <v>1.0448735760638582E-2</v>
      </c>
      <c r="T2849" s="59">
        <f ca="1">Dashboard!C$8* Dashboard!$F$4+Dashboard!C$10*SQRT(Dashboard!$F$4) * _xlfn.NORM.S.INV(RAND())</f>
        <v>-3.9311184855188613E-2</v>
      </c>
      <c r="U2849" s="59">
        <f ca="1">Dashboard!D$8* Dashboard!$F$4+Dashboard!D$10*SQRT(Dashboard!$F$4) * _xlfn.NORM.S.INV(RAND())</f>
        <v>-3.4484614774208229E-2</v>
      </c>
    </row>
    <row r="2850" spans="18:21" x14ac:dyDescent="0.2">
      <c r="R2850" s="49">
        <v>2848</v>
      </c>
      <c r="S2850" s="59">
        <f ca="1">Dashboard!B$8* Dashboard!$F$4+Dashboard!B$10*SQRT(Dashboard!$F$4) * _xlfn.NORM.S.INV(RAND())</f>
        <v>1.552227857458059E-2</v>
      </c>
      <c r="T2850" s="59">
        <f ca="1">Dashboard!C$8* Dashboard!$F$4+Dashboard!C$10*SQRT(Dashboard!$F$4) * _xlfn.NORM.S.INV(RAND())</f>
        <v>-1.524308236328395E-2</v>
      </c>
      <c r="U2850" s="59">
        <f ca="1">Dashboard!D$8* Dashboard!$F$4+Dashboard!D$10*SQRT(Dashboard!$F$4) * _xlfn.NORM.S.INV(RAND())</f>
        <v>-4.4773474728761975E-2</v>
      </c>
    </row>
    <row r="2851" spans="18:21" x14ac:dyDescent="0.2">
      <c r="R2851" s="49">
        <v>2849</v>
      </c>
      <c r="S2851" s="59">
        <f ca="1">Dashboard!B$8* Dashboard!$F$4+Dashboard!B$10*SQRT(Dashboard!$F$4) * _xlfn.NORM.S.INV(RAND())</f>
        <v>2.2602256637229576E-2</v>
      </c>
      <c r="T2851" s="59">
        <f ca="1">Dashboard!C$8* Dashboard!$F$4+Dashboard!C$10*SQRT(Dashboard!$F$4) * _xlfn.NORM.S.INV(RAND())</f>
        <v>-1.1016870976579007E-2</v>
      </c>
      <c r="U2851" s="59">
        <f ca="1">Dashboard!D$8* Dashboard!$F$4+Dashboard!D$10*SQRT(Dashboard!$F$4) * _xlfn.NORM.S.INV(RAND())</f>
        <v>-2.0158169088545431E-2</v>
      </c>
    </row>
    <row r="2852" spans="18:21" x14ac:dyDescent="0.2">
      <c r="R2852" s="49">
        <v>2850</v>
      </c>
      <c r="S2852" s="59">
        <f ca="1">Dashboard!B$8* Dashboard!$F$4+Dashboard!B$10*SQRT(Dashboard!$F$4) * _xlfn.NORM.S.INV(RAND())</f>
        <v>-4.0788287019577117E-2</v>
      </c>
      <c r="T2852" s="59">
        <f ca="1">Dashboard!C$8* Dashboard!$F$4+Dashboard!C$10*SQRT(Dashboard!$F$4) * _xlfn.NORM.S.INV(RAND())</f>
        <v>1.181168214370926E-2</v>
      </c>
      <c r="U2852" s="59">
        <f ca="1">Dashboard!D$8* Dashboard!$F$4+Dashboard!D$10*SQRT(Dashboard!$F$4) * _xlfn.NORM.S.INV(RAND())</f>
        <v>-3.0530791143784909E-2</v>
      </c>
    </row>
    <row r="2853" spans="18:21" x14ac:dyDescent="0.2">
      <c r="R2853" s="49">
        <v>2851</v>
      </c>
      <c r="S2853" s="59">
        <f ca="1">Dashboard!B$8* Dashboard!$F$4+Dashboard!B$10*SQRT(Dashboard!$F$4) * _xlfn.NORM.S.INV(RAND())</f>
        <v>7.3575042065103843E-3</v>
      </c>
      <c r="T2853" s="59">
        <f ca="1">Dashboard!C$8* Dashboard!$F$4+Dashboard!C$10*SQRT(Dashboard!$F$4) * _xlfn.NORM.S.INV(RAND())</f>
        <v>-3.3564594774560634E-2</v>
      </c>
      <c r="U2853" s="59">
        <f ca="1">Dashboard!D$8* Dashboard!$F$4+Dashboard!D$10*SQRT(Dashboard!$F$4) * _xlfn.NORM.S.INV(RAND())</f>
        <v>1.4017067177555943E-2</v>
      </c>
    </row>
    <row r="2854" spans="18:21" x14ac:dyDescent="0.2">
      <c r="R2854" s="49">
        <v>2852</v>
      </c>
      <c r="S2854" s="59">
        <f ca="1">Dashboard!B$8* Dashboard!$F$4+Dashboard!B$10*SQRT(Dashboard!$F$4) * _xlfn.NORM.S.INV(RAND())</f>
        <v>4.2574251752306058E-2</v>
      </c>
      <c r="T2854" s="59">
        <f ca="1">Dashboard!C$8* Dashboard!$F$4+Dashboard!C$10*SQRT(Dashboard!$F$4) * _xlfn.NORM.S.INV(RAND())</f>
        <v>-3.8481700945028029E-2</v>
      </c>
      <c r="U2854" s="59">
        <f ca="1">Dashboard!D$8* Dashboard!$F$4+Dashboard!D$10*SQRT(Dashboard!$F$4) * _xlfn.NORM.S.INV(RAND())</f>
        <v>2.4275123695200154E-2</v>
      </c>
    </row>
    <row r="2855" spans="18:21" x14ac:dyDescent="0.2">
      <c r="R2855" s="49">
        <v>2853</v>
      </c>
      <c r="S2855" s="59">
        <f ca="1">Dashboard!B$8* Dashboard!$F$4+Dashboard!B$10*SQRT(Dashboard!$F$4) * _xlfn.NORM.S.INV(RAND())</f>
        <v>7.910550906124067E-3</v>
      </c>
      <c r="T2855" s="59">
        <f ca="1">Dashboard!C$8* Dashboard!$F$4+Dashboard!C$10*SQRT(Dashboard!$F$4) * _xlfn.NORM.S.INV(RAND())</f>
        <v>4.4232417403288024E-2</v>
      </c>
      <c r="U2855" s="59">
        <f ca="1">Dashboard!D$8* Dashboard!$F$4+Dashboard!D$10*SQRT(Dashboard!$F$4) * _xlfn.NORM.S.INV(RAND())</f>
        <v>-3.4099357391692738E-3</v>
      </c>
    </row>
    <row r="2856" spans="18:21" x14ac:dyDescent="0.2">
      <c r="R2856" s="49">
        <v>2854</v>
      </c>
      <c r="S2856" s="59">
        <f ca="1">Dashboard!B$8* Dashboard!$F$4+Dashboard!B$10*SQRT(Dashboard!$F$4) * _xlfn.NORM.S.INV(RAND())</f>
        <v>-1.2180881138636097E-2</v>
      </c>
      <c r="T2856" s="59">
        <f ca="1">Dashboard!C$8* Dashboard!$F$4+Dashboard!C$10*SQRT(Dashboard!$F$4) * _xlfn.NORM.S.INV(RAND())</f>
        <v>3.5416288899535318E-2</v>
      </c>
      <c r="U2856" s="59">
        <f ca="1">Dashboard!D$8* Dashboard!$F$4+Dashboard!D$10*SQRT(Dashboard!$F$4) * _xlfn.NORM.S.INV(RAND())</f>
        <v>1.7009272940615251E-2</v>
      </c>
    </row>
    <row r="2857" spans="18:21" x14ac:dyDescent="0.2">
      <c r="R2857" s="49">
        <v>2855</v>
      </c>
      <c r="S2857" s="59">
        <f ca="1">Dashboard!B$8* Dashboard!$F$4+Dashboard!B$10*SQRT(Dashboard!$F$4) * _xlfn.NORM.S.INV(RAND())</f>
        <v>3.8354605890956479E-3</v>
      </c>
      <c r="T2857" s="59">
        <f ca="1">Dashboard!C$8* Dashboard!$F$4+Dashboard!C$10*SQRT(Dashboard!$F$4) * _xlfn.NORM.S.INV(RAND())</f>
        <v>-2.5120113506567732E-2</v>
      </c>
      <c r="U2857" s="59">
        <f ca="1">Dashboard!D$8* Dashboard!$F$4+Dashboard!D$10*SQRT(Dashboard!$F$4) * _xlfn.NORM.S.INV(RAND())</f>
        <v>1.9412026232761153E-2</v>
      </c>
    </row>
    <row r="2858" spans="18:21" x14ac:dyDescent="0.2">
      <c r="R2858" s="49">
        <v>2856</v>
      </c>
      <c r="S2858" s="59">
        <f ca="1">Dashboard!B$8* Dashboard!$F$4+Dashboard!B$10*SQRT(Dashboard!$F$4) * _xlfn.NORM.S.INV(RAND())</f>
        <v>1.57875992595016E-2</v>
      </c>
      <c r="T2858" s="59">
        <f ca="1">Dashboard!C$8* Dashboard!$F$4+Dashboard!C$10*SQRT(Dashboard!$F$4) * _xlfn.NORM.S.INV(RAND())</f>
        <v>-5.6133997964472195E-2</v>
      </c>
      <c r="U2858" s="59">
        <f ca="1">Dashboard!D$8* Dashboard!$F$4+Dashboard!D$10*SQRT(Dashboard!$F$4) * _xlfn.NORM.S.INV(RAND())</f>
        <v>2.6140215218932505E-2</v>
      </c>
    </row>
    <row r="2859" spans="18:21" x14ac:dyDescent="0.2">
      <c r="R2859" s="49">
        <v>2857</v>
      </c>
      <c r="S2859" s="59">
        <f ca="1">Dashboard!B$8* Dashboard!$F$4+Dashboard!B$10*SQRT(Dashboard!$F$4) * _xlfn.NORM.S.INV(RAND())</f>
        <v>-2.7497344103716743E-2</v>
      </c>
      <c r="T2859" s="59">
        <f ca="1">Dashboard!C$8* Dashboard!$F$4+Dashboard!C$10*SQRT(Dashboard!$F$4) * _xlfn.NORM.S.INV(RAND())</f>
        <v>1.973939165906495E-2</v>
      </c>
      <c r="U2859" s="59">
        <f ca="1">Dashboard!D$8* Dashboard!$F$4+Dashboard!D$10*SQRT(Dashboard!$F$4) * _xlfn.NORM.S.INV(RAND())</f>
        <v>2.1088888373143381E-2</v>
      </c>
    </row>
    <row r="2860" spans="18:21" x14ac:dyDescent="0.2">
      <c r="R2860" s="49">
        <v>2858</v>
      </c>
      <c r="S2860" s="59">
        <f ca="1">Dashboard!B$8* Dashboard!$F$4+Dashboard!B$10*SQRT(Dashboard!$F$4) * _xlfn.NORM.S.INV(RAND())</f>
        <v>-1.1978881548862142E-2</v>
      </c>
      <c r="T2860" s="59">
        <f ca="1">Dashboard!C$8* Dashboard!$F$4+Dashboard!C$10*SQRT(Dashboard!$F$4) * _xlfn.NORM.S.INV(RAND())</f>
        <v>4.9708462143741826E-2</v>
      </c>
      <c r="U2860" s="59">
        <f ca="1">Dashboard!D$8* Dashboard!$F$4+Dashboard!D$10*SQRT(Dashboard!$F$4) * _xlfn.NORM.S.INV(RAND())</f>
        <v>-1.9849096933959233E-2</v>
      </c>
    </row>
    <row r="2861" spans="18:21" x14ac:dyDescent="0.2">
      <c r="R2861" s="49">
        <v>2859</v>
      </c>
      <c r="S2861" s="59">
        <f ca="1">Dashboard!B$8* Dashboard!$F$4+Dashboard!B$10*SQRT(Dashboard!$F$4) * _xlfn.NORM.S.INV(RAND())</f>
        <v>-3.6601539310323485E-2</v>
      </c>
      <c r="T2861" s="59">
        <f ca="1">Dashboard!C$8* Dashboard!$F$4+Dashboard!C$10*SQRT(Dashboard!$F$4) * _xlfn.NORM.S.INV(RAND())</f>
        <v>-2.5331245231396127E-2</v>
      </c>
      <c r="U2861" s="59">
        <f ca="1">Dashboard!D$8* Dashboard!$F$4+Dashboard!D$10*SQRT(Dashboard!$F$4) * _xlfn.NORM.S.INV(RAND())</f>
        <v>1.3723714705989928E-2</v>
      </c>
    </row>
    <row r="2862" spans="18:21" x14ac:dyDescent="0.2">
      <c r="R2862" s="49">
        <v>2860</v>
      </c>
      <c r="S2862" s="59">
        <f ca="1">Dashboard!B$8* Dashboard!$F$4+Dashboard!B$10*SQRT(Dashboard!$F$4) * _xlfn.NORM.S.INV(RAND())</f>
        <v>-2.4780673950598228E-2</v>
      </c>
      <c r="T2862" s="59">
        <f ca="1">Dashboard!C$8* Dashboard!$F$4+Dashboard!C$10*SQRT(Dashboard!$F$4) * _xlfn.NORM.S.INV(RAND())</f>
        <v>2.7301620989274345E-2</v>
      </c>
      <c r="U2862" s="59">
        <f ca="1">Dashboard!D$8* Dashboard!$F$4+Dashboard!D$10*SQRT(Dashboard!$F$4) * _xlfn.NORM.S.INV(RAND())</f>
        <v>3.8212065188011284E-2</v>
      </c>
    </row>
    <row r="2863" spans="18:21" x14ac:dyDescent="0.2">
      <c r="R2863" s="49">
        <v>2861</v>
      </c>
      <c r="S2863" s="59">
        <f ca="1">Dashboard!B$8* Dashboard!$F$4+Dashboard!B$10*SQRT(Dashboard!$F$4) * _xlfn.NORM.S.INV(RAND())</f>
        <v>5.0269183896242027E-2</v>
      </c>
      <c r="T2863" s="59">
        <f ca="1">Dashboard!C$8* Dashboard!$F$4+Dashboard!C$10*SQRT(Dashboard!$F$4) * _xlfn.NORM.S.INV(RAND())</f>
        <v>2.4340936480824287E-2</v>
      </c>
      <c r="U2863" s="59">
        <f ca="1">Dashboard!D$8* Dashboard!$F$4+Dashboard!D$10*SQRT(Dashboard!$F$4) * _xlfn.NORM.S.INV(RAND())</f>
        <v>-8.2401847299119063E-3</v>
      </c>
    </row>
    <row r="2864" spans="18:21" x14ac:dyDescent="0.2">
      <c r="R2864" s="49">
        <v>2862</v>
      </c>
      <c r="S2864" s="59">
        <f ca="1">Dashboard!B$8* Dashboard!$F$4+Dashboard!B$10*SQRT(Dashboard!$F$4) * _xlfn.NORM.S.INV(RAND())</f>
        <v>-3.5614140192428825E-2</v>
      </c>
      <c r="T2864" s="59">
        <f ca="1">Dashboard!C$8* Dashboard!$F$4+Dashboard!C$10*SQRT(Dashboard!$F$4) * _xlfn.NORM.S.INV(RAND())</f>
        <v>-8.5502954287755908E-6</v>
      </c>
      <c r="U2864" s="59">
        <f ca="1">Dashboard!D$8* Dashboard!$F$4+Dashboard!D$10*SQRT(Dashboard!$F$4) * _xlfn.NORM.S.INV(RAND())</f>
        <v>4.2692825842559963E-2</v>
      </c>
    </row>
    <row r="2865" spans="18:21" x14ac:dyDescent="0.2">
      <c r="R2865" s="49">
        <v>2863</v>
      </c>
      <c r="S2865" s="59">
        <f ca="1">Dashboard!B$8* Dashboard!$F$4+Dashboard!B$10*SQRT(Dashboard!$F$4) * _xlfn.NORM.S.INV(RAND())</f>
        <v>-1.5337736662592925E-3</v>
      </c>
      <c r="T2865" s="59">
        <f ca="1">Dashboard!C$8* Dashboard!$F$4+Dashboard!C$10*SQRT(Dashboard!$F$4) * _xlfn.NORM.S.INV(RAND())</f>
        <v>2.2785825234070103E-2</v>
      </c>
      <c r="U2865" s="59">
        <f ca="1">Dashboard!D$8* Dashboard!$F$4+Dashboard!D$10*SQRT(Dashboard!$F$4) * _xlfn.NORM.S.INV(RAND())</f>
        <v>2.1867732227266731E-2</v>
      </c>
    </row>
    <row r="2866" spans="18:21" x14ac:dyDescent="0.2">
      <c r="R2866" s="49">
        <v>2864</v>
      </c>
      <c r="S2866" s="59">
        <f ca="1">Dashboard!B$8* Dashboard!$F$4+Dashboard!B$10*SQRT(Dashboard!$F$4) * _xlfn.NORM.S.INV(RAND())</f>
        <v>-7.6121025195918568E-2</v>
      </c>
      <c r="T2866" s="59">
        <f ca="1">Dashboard!C$8* Dashboard!$F$4+Dashboard!C$10*SQRT(Dashboard!$F$4) * _xlfn.NORM.S.INV(RAND())</f>
        <v>6.4444881663618617E-3</v>
      </c>
      <c r="U2866" s="59">
        <f ca="1">Dashboard!D$8* Dashboard!$F$4+Dashboard!D$10*SQRT(Dashboard!$F$4) * _xlfn.NORM.S.INV(RAND())</f>
        <v>3.0479712321305062E-2</v>
      </c>
    </row>
    <row r="2867" spans="18:21" x14ac:dyDescent="0.2">
      <c r="R2867" s="49">
        <v>2865</v>
      </c>
      <c r="S2867" s="59">
        <f ca="1">Dashboard!B$8* Dashboard!$F$4+Dashboard!B$10*SQRT(Dashboard!$F$4) * _xlfn.NORM.S.INV(RAND())</f>
        <v>-2.8972729485941276E-2</v>
      </c>
      <c r="T2867" s="59">
        <f ca="1">Dashboard!C$8* Dashboard!$F$4+Dashboard!C$10*SQRT(Dashboard!$F$4) * _xlfn.NORM.S.INV(RAND())</f>
        <v>-1.0428252871279832E-2</v>
      </c>
      <c r="U2867" s="59">
        <f ca="1">Dashboard!D$8* Dashboard!$F$4+Dashboard!D$10*SQRT(Dashboard!$F$4) * _xlfn.NORM.S.INV(RAND())</f>
        <v>2.9057531051640204E-2</v>
      </c>
    </row>
    <row r="2868" spans="18:21" x14ac:dyDescent="0.2">
      <c r="R2868" s="49">
        <v>2866</v>
      </c>
      <c r="S2868" s="59">
        <f ca="1">Dashboard!B$8* Dashboard!$F$4+Dashboard!B$10*SQRT(Dashboard!$F$4) * _xlfn.NORM.S.INV(RAND())</f>
        <v>5.9294199002549758E-2</v>
      </c>
      <c r="T2868" s="59">
        <f ca="1">Dashboard!C$8* Dashboard!$F$4+Dashboard!C$10*SQRT(Dashboard!$F$4) * _xlfn.NORM.S.INV(RAND())</f>
        <v>2.2120758696317491E-2</v>
      </c>
      <c r="U2868" s="59">
        <f ca="1">Dashboard!D$8* Dashboard!$F$4+Dashboard!D$10*SQRT(Dashboard!$F$4) * _xlfn.NORM.S.INV(RAND())</f>
        <v>-4.7695822884576328E-2</v>
      </c>
    </row>
    <row r="2869" spans="18:21" x14ac:dyDescent="0.2">
      <c r="R2869" s="49">
        <v>2867</v>
      </c>
      <c r="S2869" s="59">
        <f ca="1">Dashboard!B$8* Dashboard!$F$4+Dashboard!B$10*SQRT(Dashboard!$F$4) * _xlfn.NORM.S.INV(RAND())</f>
        <v>8.1770948592997886E-3</v>
      </c>
      <c r="T2869" s="59">
        <f ca="1">Dashboard!C$8* Dashboard!$F$4+Dashboard!C$10*SQRT(Dashboard!$F$4) * _xlfn.NORM.S.INV(RAND())</f>
        <v>1.0168679710700755E-2</v>
      </c>
      <c r="U2869" s="59">
        <f ca="1">Dashboard!D$8* Dashboard!$F$4+Dashboard!D$10*SQRT(Dashboard!$F$4) * _xlfn.NORM.S.INV(RAND())</f>
        <v>9.8135157366507283E-3</v>
      </c>
    </row>
    <row r="2870" spans="18:21" x14ac:dyDescent="0.2">
      <c r="R2870" s="49">
        <v>2868</v>
      </c>
      <c r="S2870" s="59">
        <f ca="1">Dashboard!B$8* Dashboard!$F$4+Dashboard!B$10*SQRT(Dashboard!$F$4) * _xlfn.NORM.S.INV(RAND())</f>
        <v>1.3630657195700443E-3</v>
      </c>
      <c r="T2870" s="59">
        <f ca="1">Dashboard!C$8* Dashboard!$F$4+Dashboard!C$10*SQRT(Dashboard!$F$4) * _xlfn.NORM.S.INV(RAND())</f>
        <v>-3.1552432283136055E-2</v>
      </c>
      <c r="U2870" s="59">
        <f ca="1">Dashboard!D$8* Dashboard!$F$4+Dashboard!D$10*SQRT(Dashboard!$F$4) * _xlfn.NORM.S.INV(RAND())</f>
        <v>-1.5407458851899673E-2</v>
      </c>
    </row>
    <row r="2871" spans="18:21" x14ac:dyDescent="0.2">
      <c r="R2871" s="49">
        <v>2869</v>
      </c>
      <c r="S2871" s="59">
        <f ca="1">Dashboard!B$8* Dashboard!$F$4+Dashboard!B$10*SQRT(Dashboard!$F$4) * _xlfn.NORM.S.INV(RAND())</f>
        <v>-5.9301206030094332E-2</v>
      </c>
      <c r="T2871" s="59">
        <f ca="1">Dashboard!C$8* Dashboard!$F$4+Dashboard!C$10*SQRT(Dashboard!$F$4) * _xlfn.NORM.S.INV(RAND())</f>
        <v>2.4532556155427566E-3</v>
      </c>
      <c r="U2871" s="59">
        <f ca="1">Dashboard!D$8* Dashboard!$F$4+Dashboard!D$10*SQRT(Dashboard!$F$4) * _xlfn.NORM.S.INV(RAND())</f>
        <v>4.3051276645207311E-2</v>
      </c>
    </row>
    <row r="2872" spans="18:21" x14ac:dyDescent="0.2">
      <c r="R2872" s="49">
        <v>2870</v>
      </c>
      <c r="S2872" s="59">
        <f ca="1">Dashboard!B$8* Dashboard!$F$4+Dashboard!B$10*SQRT(Dashboard!$F$4) * _xlfn.NORM.S.INV(RAND())</f>
        <v>1.8499164079416965E-2</v>
      </c>
      <c r="T2872" s="59">
        <f ca="1">Dashboard!C$8* Dashboard!$F$4+Dashboard!C$10*SQRT(Dashboard!$F$4) * _xlfn.NORM.S.INV(RAND())</f>
        <v>-8.5614017752039685E-4</v>
      </c>
      <c r="U2872" s="59">
        <f ca="1">Dashboard!D$8* Dashboard!$F$4+Dashboard!D$10*SQRT(Dashboard!$F$4) * _xlfn.NORM.S.INV(RAND())</f>
        <v>-3.1194459368793125E-2</v>
      </c>
    </row>
    <row r="2873" spans="18:21" x14ac:dyDescent="0.2">
      <c r="R2873" s="49">
        <v>2871</v>
      </c>
      <c r="S2873" s="59">
        <f ca="1">Dashboard!B$8* Dashboard!$F$4+Dashboard!B$10*SQRT(Dashboard!$F$4) * _xlfn.NORM.S.INV(RAND())</f>
        <v>3.8847066988718836E-2</v>
      </c>
      <c r="T2873" s="59">
        <f ca="1">Dashboard!C$8* Dashboard!$F$4+Dashboard!C$10*SQRT(Dashboard!$F$4) * _xlfn.NORM.S.INV(RAND())</f>
        <v>3.2537710417123778E-3</v>
      </c>
      <c r="U2873" s="59">
        <f ca="1">Dashboard!D$8* Dashboard!$F$4+Dashboard!D$10*SQRT(Dashboard!$F$4) * _xlfn.NORM.S.INV(RAND())</f>
        <v>-5.4190635394308725E-2</v>
      </c>
    </row>
    <row r="2874" spans="18:21" x14ac:dyDescent="0.2">
      <c r="R2874" s="49">
        <v>2872</v>
      </c>
      <c r="S2874" s="59">
        <f ca="1">Dashboard!B$8* Dashboard!$F$4+Dashboard!B$10*SQRT(Dashboard!$F$4) * _xlfn.NORM.S.INV(RAND())</f>
        <v>-1.5412669018643808E-3</v>
      </c>
      <c r="T2874" s="59">
        <f ca="1">Dashboard!C$8* Dashboard!$F$4+Dashboard!C$10*SQRT(Dashboard!$F$4) * _xlfn.NORM.S.INV(RAND())</f>
        <v>1.8952034970652589E-2</v>
      </c>
      <c r="U2874" s="59">
        <f ca="1">Dashboard!D$8* Dashboard!$F$4+Dashboard!D$10*SQRT(Dashboard!$F$4) * _xlfn.NORM.S.INV(RAND())</f>
        <v>-1.0772335612695937E-3</v>
      </c>
    </row>
    <row r="2875" spans="18:21" x14ac:dyDescent="0.2">
      <c r="R2875" s="49">
        <v>2873</v>
      </c>
      <c r="S2875" s="59">
        <f ca="1">Dashboard!B$8* Dashboard!$F$4+Dashboard!B$10*SQRT(Dashboard!$F$4) * _xlfn.NORM.S.INV(RAND())</f>
        <v>-3.4337877401264226E-4</v>
      </c>
      <c r="T2875" s="59">
        <f ca="1">Dashboard!C$8* Dashboard!$F$4+Dashboard!C$10*SQRT(Dashboard!$F$4) * _xlfn.NORM.S.INV(RAND())</f>
        <v>-1.309891496307088E-2</v>
      </c>
      <c r="U2875" s="59">
        <f ca="1">Dashboard!D$8* Dashboard!$F$4+Dashboard!D$10*SQRT(Dashboard!$F$4) * _xlfn.NORM.S.INV(RAND())</f>
        <v>5.076239794726373E-3</v>
      </c>
    </row>
    <row r="2876" spans="18:21" x14ac:dyDescent="0.2">
      <c r="R2876" s="49">
        <v>2874</v>
      </c>
      <c r="S2876" s="59">
        <f ca="1">Dashboard!B$8* Dashboard!$F$4+Dashboard!B$10*SQRT(Dashboard!$F$4) * _xlfn.NORM.S.INV(RAND())</f>
        <v>-2.115845310010156E-2</v>
      </c>
      <c r="T2876" s="59">
        <f ca="1">Dashboard!C$8* Dashboard!$F$4+Dashboard!C$10*SQRT(Dashboard!$F$4) * _xlfn.NORM.S.INV(RAND())</f>
        <v>5.8990841852522374E-2</v>
      </c>
      <c r="U2876" s="59">
        <f ca="1">Dashboard!D$8* Dashboard!$F$4+Dashboard!D$10*SQRT(Dashboard!$F$4) * _xlfn.NORM.S.INV(RAND())</f>
        <v>-3.2693917306999051E-3</v>
      </c>
    </row>
    <row r="2877" spans="18:21" x14ac:dyDescent="0.2">
      <c r="R2877" s="49">
        <v>2875</v>
      </c>
      <c r="S2877" s="59">
        <f ca="1">Dashboard!B$8* Dashboard!$F$4+Dashboard!B$10*SQRT(Dashboard!$F$4) * _xlfn.NORM.S.INV(RAND())</f>
        <v>-2.2826236563288929E-2</v>
      </c>
      <c r="T2877" s="59">
        <f ca="1">Dashboard!C$8* Dashboard!$F$4+Dashboard!C$10*SQRT(Dashboard!$F$4) * _xlfn.NORM.S.INV(RAND())</f>
        <v>4.6720178422180181E-2</v>
      </c>
      <c r="U2877" s="59">
        <f ca="1">Dashboard!D$8* Dashboard!$F$4+Dashboard!D$10*SQRT(Dashboard!$F$4) * _xlfn.NORM.S.INV(RAND())</f>
        <v>-1.6527233211472304E-2</v>
      </c>
    </row>
    <row r="2878" spans="18:21" x14ac:dyDescent="0.2">
      <c r="R2878" s="49">
        <v>2876</v>
      </c>
      <c r="S2878" s="59">
        <f ca="1">Dashboard!B$8* Dashboard!$F$4+Dashboard!B$10*SQRT(Dashboard!$F$4) * _xlfn.NORM.S.INV(RAND())</f>
        <v>-2.7291711890709301E-2</v>
      </c>
      <c r="T2878" s="59">
        <f ca="1">Dashboard!C$8* Dashboard!$F$4+Dashboard!C$10*SQRT(Dashboard!$F$4) * _xlfn.NORM.S.INV(RAND())</f>
        <v>5.0607396088477814E-2</v>
      </c>
      <c r="U2878" s="59">
        <f ca="1">Dashboard!D$8* Dashboard!$F$4+Dashboard!D$10*SQRT(Dashboard!$F$4) * _xlfn.NORM.S.INV(RAND())</f>
        <v>-1.5220962723384603E-2</v>
      </c>
    </row>
    <row r="2879" spans="18:21" x14ac:dyDescent="0.2">
      <c r="R2879" s="49">
        <v>2877</v>
      </c>
      <c r="S2879" s="59">
        <f ca="1">Dashboard!B$8* Dashboard!$F$4+Dashboard!B$10*SQRT(Dashboard!$F$4) * _xlfn.NORM.S.INV(RAND())</f>
        <v>5.6583461399122487E-2</v>
      </c>
      <c r="T2879" s="59">
        <f ca="1">Dashboard!C$8* Dashboard!$F$4+Dashboard!C$10*SQRT(Dashboard!$F$4) * _xlfn.NORM.S.INV(RAND())</f>
        <v>-1.2216353110740003E-2</v>
      </c>
      <c r="U2879" s="59">
        <f ca="1">Dashboard!D$8* Dashboard!$F$4+Dashboard!D$10*SQRT(Dashboard!$F$4) * _xlfn.NORM.S.INV(RAND())</f>
        <v>-3.703368686564297E-2</v>
      </c>
    </row>
    <row r="2880" spans="18:21" x14ac:dyDescent="0.2">
      <c r="R2880" s="49">
        <v>2878</v>
      </c>
      <c r="S2880" s="59">
        <f ca="1">Dashboard!B$8* Dashboard!$F$4+Dashboard!B$10*SQRT(Dashboard!$F$4) * _xlfn.NORM.S.INV(RAND())</f>
        <v>-2.8726930389936067E-2</v>
      </c>
      <c r="T2880" s="59">
        <f ca="1">Dashboard!C$8* Dashboard!$F$4+Dashboard!C$10*SQRT(Dashboard!$F$4) * _xlfn.NORM.S.INV(RAND())</f>
        <v>-2.7615920792424354E-2</v>
      </c>
      <c r="U2880" s="59">
        <f ca="1">Dashboard!D$8* Dashboard!$F$4+Dashboard!D$10*SQRT(Dashboard!$F$4) * _xlfn.NORM.S.INV(RAND())</f>
        <v>-1.1904505378872828E-2</v>
      </c>
    </row>
    <row r="2881" spans="18:21" x14ac:dyDescent="0.2">
      <c r="R2881" s="49">
        <v>2879</v>
      </c>
      <c r="S2881" s="59">
        <f ca="1">Dashboard!B$8* Dashboard!$F$4+Dashboard!B$10*SQRT(Dashboard!$F$4) * _xlfn.NORM.S.INV(RAND())</f>
        <v>3.8530356379135204E-2</v>
      </c>
      <c r="T2881" s="59">
        <f ca="1">Dashboard!C$8* Dashboard!$F$4+Dashboard!C$10*SQRT(Dashboard!$F$4) * _xlfn.NORM.S.INV(RAND())</f>
        <v>3.2899888344986208E-2</v>
      </c>
      <c r="U2881" s="59">
        <f ca="1">Dashboard!D$8* Dashboard!$F$4+Dashboard!D$10*SQRT(Dashboard!$F$4) * _xlfn.NORM.S.INV(RAND())</f>
        <v>3.9454941413305574E-3</v>
      </c>
    </row>
    <row r="2882" spans="18:21" x14ac:dyDescent="0.2">
      <c r="R2882" s="49">
        <v>2880</v>
      </c>
      <c r="S2882" s="59">
        <f ca="1">Dashboard!B$8* Dashboard!$F$4+Dashboard!B$10*SQRT(Dashboard!$F$4) * _xlfn.NORM.S.INV(RAND())</f>
        <v>-9.7156844847521391E-4</v>
      </c>
      <c r="T2882" s="59">
        <f ca="1">Dashboard!C$8* Dashboard!$F$4+Dashboard!C$10*SQRT(Dashboard!$F$4) * _xlfn.NORM.S.INV(RAND())</f>
        <v>3.5455508298078246E-2</v>
      </c>
      <c r="U2882" s="59">
        <f ca="1">Dashboard!D$8* Dashboard!$F$4+Dashboard!D$10*SQRT(Dashboard!$F$4) * _xlfn.NORM.S.INV(RAND())</f>
        <v>-3.6348878850912536E-2</v>
      </c>
    </row>
    <row r="2883" spans="18:21" x14ac:dyDescent="0.2">
      <c r="R2883" s="49">
        <v>2881</v>
      </c>
      <c r="S2883" s="59">
        <f ca="1">Dashboard!B$8* Dashboard!$F$4+Dashboard!B$10*SQRT(Dashboard!$F$4) * _xlfn.NORM.S.INV(RAND())</f>
        <v>-4.6921324343118159E-2</v>
      </c>
      <c r="T2883" s="59">
        <f ca="1">Dashboard!C$8* Dashboard!$F$4+Dashboard!C$10*SQRT(Dashboard!$F$4) * _xlfn.NORM.S.INV(RAND())</f>
        <v>-4.5701244616178057E-3</v>
      </c>
      <c r="U2883" s="59">
        <f ca="1">Dashboard!D$8* Dashboard!$F$4+Dashboard!D$10*SQRT(Dashboard!$F$4) * _xlfn.NORM.S.INV(RAND())</f>
        <v>6.4462652953781469E-3</v>
      </c>
    </row>
    <row r="2884" spans="18:21" x14ac:dyDescent="0.2">
      <c r="R2884" s="49">
        <v>2882</v>
      </c>
      <c r="S2884" s="59">
        <f ca="1">Dashboard!B$8* Dashboard!$F$4+Dashboard!B$10*SQRT(Dashboard!$F$4) * _xlfn.NORM.S.INV(RAND())</f>
        <v>-2.8040103709079799E-2</v>
      </c>
      <c r="T2884" s="59">
        <f ca="1">Dashboard!C$8* Dashboard!$F$4+Dashboard!C$10*SQRT(Dashboard!$F$4) * _xlfn.NORM.S.INV(RAND())</f>
        <v>6.8447874597031583E-2</v>
      </c>
      <c r="U2884" s="59">
        <f ca="1">Dashboard!D$8* Dashboard!$F$4+Dashboard!D$10*SQRT(Dashboard!$F$4) * _xlfn.NORM.S.INV(RAND())</f>
        <v>1.2133347662703665E-2</v>
      </c>
    </row>
    <row r="2885" spans="18:21" x14ac:dyDescent="0.2">
      <c r="R2885" s="49">
        <v>2883</v>
      </c>
      <c r="S2885" s="59">
        <f ca="1">Dashboard!B$8* Dashboard!$F$4+Dashboard!B$10*SQRT(Dashboard!$F$4) * _xlfn.NORM.S.INV(RAND())</f>
        <v>-4.4476360174031594E-2</v>
      </c>
      <c r="T2885" s="59">
        <f ca="1">Dashboard!C$8* Dashboard!$F$4+Dashboard!C$10*SQRT(Dashboard!$F$4) * _xlfn.NORM.S.INV(RAND())</f>
        <v>5.271339639712041E-3</v>
      </c>
      <c r="U2885" s="59">
        <f ca="1">Dashboard!D$8* Dashboard!$F$4+Dashboard!D$10*SQRT(Dashboard!$F$4) * _xlfn.NORM.S.INV(RAND())</f>
        <v>6.8945964776887428E-2</v>
      </c>
    </row>
    <row r="2886" spans="18:21" x14ac:dyDescent="0.2">
      <c r="R2886" s="49">
        <v>2884</v>
      </c>
      <c r="S2886" s="59">
        <f ca="1">Dashboard!B$8* Dashboard!$F$4+Dashboard!B$10*SQRT(Dashboard!$F$4) * _xlfn.NORM.S.INV(RAND())</f>
        <v>-1.3236929899209566E-2</v>
      </c>
      <c r="T2886" s="59">
        <f ca="1">Dashboard!C$8* Dashboard!$F$4+Dashboard!C$10*SQRT(Dashboard!$F$4) * _xlfn.NORM.S.INV(RAND())</f>
        <v>1.5765645419244106E-2</v>
      </c>
      <c r="U2886" s="59">
        <f ca="1">Dashboard!D$8* Dashboard!$F$4+Dashboard!D$10*SQRT(Dashboard!$F$4) * _xlfn.NORM.S.INV(RAND())</f>
        <v>-6.3134932922061845E-3</v>
      </c>
    </row>
    <row r="2887" spans="18:21" x14ac:dyDescent="0.2">
      <c r="R2887" s="49">
        <v>2885</v>
      </c>
      <c r="S2887" s="59">
        <f ca="1">Dashboard!B$8* Dashboard!$F$4+Dashboard!B$10*SQRT(Dashboard!$F$4) * _xlfn.NORM.S.INV(RAND())</f>
        <v>3.8004225259766385E-2</v>
      </c>
      <c r="T2887" s="59">
        <f ca="1">Dashboard!C$8* Dashboard!$F$4+Dashboard!C$10*SQRT(Dashboard!$F$4) * _xlfn.NORM.S.INV(RAND())</f>
        <v>-3.2182788100054413E-2</v>
      </c>
      <c r="U2887" s="59">
        <f ca="1">Dashboard!D$8* Dashboard!$F$4+Dashboard!D$10*SQRT(Dashboard!$F$4) * _xlfn.NORM.S.INV(RAND())</f>
        <v>1.6692816201438448E-2</v>
      </c>
    </row>
    <row r="2888" spans="18:21" x14ac:dyDescent="0.2">
      <c r="R2888" s="49">
        <v>2886</v>
      </c>
      <c r="S2888" s="59">
        <f ca="1">Dashboard!B$8* Dashboard!$F$4+Dashboard!B$10*SQRT(Dashboard!$F$4) * _xlfn.NORM.S.INV(RAND())</f>
        <v>-1.4877672393433553E-2</v>
      </c>
      <c r="T2888" s="59">
        <f ca="1">Dashboard!C$8* Dashboard!$F$4+Dashboard!C$10*SQRT(Dashboard!$F$4) * _xlfn.NORM.S.INV(RAND())</f>
        <v>-7.4362489779921026E-3</v>
      </c>
      <c r="U2888" s="59">
        <f ca="1">Dashboard!D$8* Dashboard!$F$4+Dashboard!D$10*SQRT(Dashboard!$F$4) * _xlfn.NORM.S.INV(RAND())</f>
        <v>-2.2451977349423006E-2</v>
      </c>
    </row>
    <row r="2889" spans="18:21" x14ac:dyDescent="0.2">
      <c r="R2889" s="49">
        <v>2887</v>
      </c>
      <c r="S2889" s="59">
        <f ca="1">Dashboard!B$8* Dashboard!$F$4+Dashboard!B$10*SQRT(Dashboard!$F$4) * _xlfn.NORM.S.INV(RAND())</f>
        <v>-2.741944723676345E-3</v>
      </c>
      <c r="T2889" s="59">
        <f ca="1">Dashboard!C$8* Dashboard!$F$4+Dashboard!C$10*SQRT(Dashboard!$F$4) * _xlfn.NORM.S.INV(RAND())</f>
        <v>4.9283845728885266E-3</v>
      </c>
      <c r="U2889" s="59">
        <f ca="1">Dashboard!D$8* Dashboard!$F$4+Dashboard!D$10*SQRT(Dashboard!$F$4) * _xlfn.NORM.S.INV(RAND())</f>
        <v>-1.6501382243887554E-2</v>
      </c>
    </row>
    <row r="2890" spans="18:21" x14ac:dyDescent="0.2">
      <c r="R2890" s="49">
        <v>2888</v>
      </c>
      <c r="S2890" s="59">
        <f ca="1">Dashboard!B$8* Dashboard!$F$4+Dashboard!B$10*SQRT(Dashboard!$F$4) * _xlfn.NORM.S.INV(RAND())</f>
        <v>3.2315364291962568E-3</v>
      </c>
      <c r="T2890" s="59">
        <f ca="1">Dashboard!C$8* Dashboard!$F$4+Dashboard!C$10*SQRT(Dashboard!$F$4) * _xlfn.NORM.S.INV(RAND())</f>
        <v>-9.7301245139798133E-3</v>
      </c>
      <c r="U2890" s="59">
        <f ca="1">Dashboard!D$8* Dashboard!$F$4+Dashboard!D$10*SQRT(Dashboard!$F$4) * _xlfn.NORM.S.INV(RAND())</f>
        <v>2.7248066960765E-2</v>
      </c>
    </row>
    <row r="2891" spans="18:21" x14ac:dyDescent="0.2">
      <c r="R2891" s="49">
        <v>2889</v>
      </c>
      <c r="S2891" s="59">
        <f ca="1">Dashboard!B$8* Dashboard!$F$4+Dashboard!B$10*SQRT(Dashboard!$F$4) * _xlfn.NORM.S.INV(RAND())</f>
        <v>-2.4003839661042699E-2</v>
      </c>
      <c r="T2891" s="59">
        <f ca="1">Dashboard!C$8* Dashboard!$F$4+Dashboard!C$10*SQRT(Dashboard!$F$4) * _xlfn.NORM.S.INV(RAND())</f>
        <v>-9.5667486317869248E-3</v>
      </c>
      <c r="U2891" s="59">
        <f ca="1">Dashboard!D$8* Dashboard!$F$4+Dashboard!D$10*SQRT(Dashboard!$F$4) * _xlfn.NORM.S.INV(RAND())</f>
        <v>3.178149278376465E-3</v>
      </c>
    </row>
    <row r="2892" spans="18:21" x14ac:dyDescent="0.2">
      <c r="R2892" s="49">
        <v>2890</v>
      </c>
      <c r="S2892" s="59">
        <f ca="1">Dashboard!B$8* Dashboard!$F$4+Dashboard!B$10*SQRT(Dashboard!$F$4) * _xlfn.NORM.S.INV(RAND())</f>
        <v>-1.6628215211702161E-2</v>
      </c>
      <c r="T2892" s="59">
        <f ca="1">Dashboard!C$8* Dashboard!$F$4+Dashboard!C$10*SQRT(Dashboard!$F$4) * _xlfn.NORM.S.INV(RAND())</f>
        <v>-5.4845745399903389E-2</v>
      </c>
      <c r="U2892" s="59">
        <f ca="1">Dashboard!D$8* Dashboard!$F$4+Dashboard!D$10*SQRT(Dashboard!$F$4) * _xlfn.NORM.S.INV(RAND())</f>
        <v>-2.2540414750768087E-3</v>
      </c>
    </row>
    <row r="2893" spans="18:21" x14ac:dyDescent="0.2">
      <c r="R2893" s="49">
        <v>2891</v>
      </c>
      <c r="S2893" s="59">
        <f ca="1">Dashboard!B$8* Dashboard!$F$4+Dashboard!B$10*SQRT(Dashboard!$F$4) * _xlfn.NORM.S.INV(RAND())</f>
        <v>-2.9460983373204176E-3</v>
      </c>
      <c r="T2893" s="59">
        <f ca="1">Dashboard!C$8* Dashboard!$F$4+Dashboard!C$10*SQRT(Dashboard!$F$4) * _xlfn.NORM.S.INV(RAND())</f>
        <v>-7.2221969272138501E-3</v>
      </c>
      <c r="U2893" s="59">
        <f ca="1">Dashboard!D$8* Dashboard!$F$4+Dashboard!D$10*SQRT(Dashboard!$F$4) * _xlfn.NORM.S.INV(RAND())</f>
        <v>2.6541688122227011E-2</v>
      </c>
    </row>
    <row r="2894" spans="18:21" x14ac:dyDescent="0.2">
      <c r="R2894" s="49">
        <v>2892</v>
      </c>
      <c r="S2894" s="59">
        <f ca="1">Dashboard!B$8* Dashboard!$F$4+Dashboard!B$10*SQRT(Dashboard!$F$4) * _xlfn.NORM.S.INV(RAND())</f>
        <v>4.4769779820121564E-2</v>
      </c>
      <c r="T2894" s="59">
        <f ca="1">Dashboard!C$8* Dashboard!$F$4+Dashboard!C$10*SQRT(Dashboard!$F$4) * _xlfn.NORM.S.INV(RAND())</f>
        <v>3.7258749676349873E-2</v>
      </c>
      <c r="U2894" s="59">
        <f ca="1">Dashboard!D$8* Dashboard!$F$4+Dashboard!D$10*SQRT(Dashboard!$F$4) * _xlfn.NORM.S.INV(RAND())</f>
        <v>-1.5527178306420423E-2</v>
      </c>
    </row>
    <row r="2895" spans="18:21" x14ac:dyDescent="0.2">
      <c r="R2895" s="49">
        <v>2893</v>
      </c>
      <c r="S2895" s="59">
        <f ca="1">Dashboard!B$8* Dashboard!$F$4+Dashboard!B$10*SQRT(Dashboard!$F$4) * _xlfn.NORM.S.INV(RAND())</f>
        <v>4.790207222701336E-3</v>
      </c>
      <c r="T2895" s="59">
        <f ca="1">Dashboard!C$8* Dashboard!$F$4+Dashboard!C$10*SQRT(Dashboard!$F$4) * _xlfn.NORM.S.INV(RAND())</f>
        <v>3.2033290569981457E-2</v>
      </c>
      <c r="U2895" s="59">
        <f ca="1">Dashboard!D$8* Dashboard!$F$4+Dashboard!D$10*SQRT(Dashboard!$F$4) * _xlfn.NORM.S.INV(RAND())</f>
        <v>-2.2185149275395933E-2</v>
      </c>
    </row>
    <row r="2896" spans="18:21" x14ac:dyDescent="0.2">
      <c r="R2896" s="49">
        <v>2894</v>
      </c>
      <c r="S2896" s="59">
        <f ca="1">Dashboard!B$8* Dashboard!$F$4+Dashboard!B$10*SQRT(Dashboard!$F$4) * _xlfn.NORM.S.INV(RAND())</f>
        <v>-3.8763328401732315E-3</v>
      </c>
      <c r="T2896" s="59">
        <f ca="1">Dashboard!C$8* Dashboard!$F$4+Dashboard!C$10*SQRT(Dashboard!$F$4) * _xlfn.NORM.S.INV(RAND())</f>
        <v>-2.0847149227333717E-2</v>
      </c>
      <c r="U2896" s="59">
        <f ca="1">Dashboard!D$8* Dashboard!$F$4+Dashboard!D$10*SQRT(Dashboard!$F$4) * _xlfn.NORM.S.INV(RAND())</f>
        <v>-3.0324058845912938E-2</v>
      </c>
    </row>
    <row r="2897" spans="18:21" x14ac:dyDescent="0.2">
      <c r="R2897" s="49">
        <v>2895</v>
      </c>
      <c r="S2897" s="59">
        <f ca="1">Dashboard!B$8* Dashboard!$F$4+Dashboard!B$10*SQRT(Dashboard!$F$4) * _xlfn.NORM.S.INV(RAND())</f>
        <v>-1.2312030671096567E-2</v>
      </c>
      <c r="T2897" s="59">
        <f ca="1">Dashboard!C$8* Dashboard!$F$4+Dashboard!C$10*SQRT(Dashboard!$F$4) * _xlfn.NORM.S.INV(RAND())</f>
        <v>3.7844046115255589E-2</v>
      </c>
      <c r="U2897" s="59">
        <f ca="1">Dashboard!D$8* Dashboard!$F$4+Dashboard!D$10*SQRT(Dashboard!$F$4) * _xlfn.NORM.S.INV(RAND())</f>
        <v>3.064658451767811E-2</v>
      </c>
    </row>
    <row r="2898" spans="18:21" x14ac:dyDescent="0.2">
      <c r="R2898" s="49">
        <v>2896</v>
      </c>
      <c r="S2898" s="59">
        <f ca="1">Dashboard!B$8* Dashboard!$F$4+Dashboard!B$10*SQRT(Dashboard!$F$4) * _xlfn.NORM.S.INV(RAND())</f>
        <v>-8.6051636141139365E-2</v>
      </c>
      <c r="T2898" s="59">
        <f ca="1">Dashboard!C$8* Dashboard!$F$4+Dashboard!C$10*SQRT(Dashboard!$F$4) * _xlfn.NORM.S.INV(RAND())</f>
        <v>-6.5406877304030097E-3</v>
      </c>
      <c r="U2898" s="59">
        <f ca="1">Dashboard!D$8* Dashboard!$F$4+Dashboard!D$10*SQRT(Dashboard!$F$4) * _xlfn.NORM.S.INV(RAND())</f>
        <v>-1.0243521699438702E-2</v>
      </c>
    </row>
    <row r="2899" spans="18:21" x14ac:dyDescent="0.2">
      <c r="R2899" s="49">
        <v>2897</v>
      </c>
      <c r="S2899" s="59">
        <f ca="1">Dashboard!B$8* Dashboard!$F$4+Dashboard!B$10*SQRT(Dashboard!$F$4) * _xlfn.NORM.S.INV(RAND())</f>
        <v>7.6525415805688141E-3</v>
      </c>
      <c r="T2899" s="59">
        <f ca="1">Dashboard!C$8* Dashboard!$F$4+Dashboard!C$10*SQRT(Dashboard!$F$4) * _xlfn.NORM.S.INV(RAND())</f>
        <v>4.4498510845015223E-2</v>
      </c>
      <c r="U2899" s="59">
        <f ca="1">Dashboard!D$8* Dashboard!$F$4+Dashboard!D$10*SQRT(Dashboard!$F$4) * _xlfn.NORM.S.INV(RAND())</f>
        <v>1.7825129856071539E-2</v>
      </c>
    </row>
    <row r="2900" spans="18:21" x14ac:dyDescent="0.2">
      <c r="R2900" s="49">
        <v>2898</v>
      </c>
      <c r="S2900" s="59">
        <f ca="1">Dashboard!B$8* Dashboard!$F$4+Dashboard!B$10*SQRT(Dashboard!$F$4) * _xlfn.NORM.S.INV(RAND())</f>
        <v>-2.5276227672086073E-2</v>
      </c>
      <c r="T2900" s="59">
        <f ca="1">Dashboard!C$8* Dashboard!$F$4+Dashboard!C$10*SQRT(Dashboard!$F$4) * _xlfn.NORM.S.INV(RAND())</f>
        <v>7.4071250143517026E-3</v>
      </c>
      <c r="U2900" s="59">
        <f ca="1">Dashboard!D$8* Dashboard!$F$4+Dashboard!D$10*SQRT(Dashboard!$F$4) * _xlfn.NORM.S.INV(RAND())</f>
        <v>2.5081974106544287E-2</v>
      </c>
    </row>
    <row r="2901" spans="18:21" x14ac:dyDescent="0.2">
      <c r="R2901" s="49">
        <v>2899</v>
      </c>
      <c r="S2901" s="59">
        <f ca="1">Dashboard!B$8* Dashboard!$F$4+Dashboard!B$10*SQRT(Dashboard!$F$4) * _xlfn.NORM.S.INV(RAND())</f>
        <v>-2.7671742916938497E-2</v>
      </c>
      <c r="T2901" s="59">
        <f ca="1">Dashboard!C$8* Dashboard!$F$4+Dashboard!C$10*SQRT(Dashboard!$F$4) * _xlfn.NORM.S.INV(RAND())</f>
        <v>1.7279168398472444E-2</v>
      </c>
      <c r="U2901" s="59">
        <f ca="1">Dashboard!D$8* Dashboard!$F$4+Dashboard!D$10*SQRT(Dashboard!$F$4) * _xlfn.NORM.S.INV(RAND())</f>
        <v>1.9827864375312077E-2</v>
      </c>
    </row>
    <row r="2902" spans="18:21" x14ac:dyDescent="0.2">
      <c r="R2902" s="49">
        <v>2900</v>
      </c>
      <c r="S2902" s="59">
        <f ca="1">Dashboard!B$8* Dashboard!$F$4+Dashboard!B$10*SQRT(Dashboard!$F$4) * _xlfn.NORM.S.INV(RAND())</f>
        <v>-9.5450243707154159E-3</v>
      </c>
      <c r="T2902" s="59">
        <f ca="1">Dashboard!C$8* Dashboard!$F$4+Dashboard!C$10*SQRT(Dashboard!$F$4) * _xlfn.NORM.S.INV(RAND())</f>
        <v>-6.8248515951733271E-2</v>
      </c>
      <c r="U2902" s="59">
        <f ca="1">Dashboard!D$8* Dashboard!$F$4+Dashboard!D$10*SQRT(Dashboard!$F$4) * _xlfn.NORM.S.INV(RAND())</f>
        <v>5.2501757780466805E-2</v>
      </c>
    </row>
    <row r="2903" spans="18:21" x14ac:dyDescent="0.2">
      <c r="R2903" s="49">
        <v>2901</v>
      </c>
      <c r="S2903" s="59">
        <f ca="1">Dashboard!B$8* Dashboard!$F$4+Dashboard!B$10*SQRT(Dashboard!$F$4) * _xlfn.NORM.S.INV(RAND())</f>
        <v>-3.0743432634726897E-2</v>
      </c>
      <c r="T2903" s="59">
        <f ca="1">Dashboard!C$8* Dashboard!$F$4+Dashboard!C$10*SQRT(Dashboard!$F$4) * _xlfn.NORM.S.INV(RAND())</f>
        <v>-1.1624967843935019E-2</v>
      </c>
      <c r="U2903" s="59">
        <f ca="1">Dashboard!D$8* Dashboard!$F$4+Dashboard!D$10*SQRT(Dashboard!$F$4) * _xlfn.NORM.S.INV(RAND())</f>
        <v>-3.164185687868451E-2</v>
      </c>
    </row>
    <row r="2904" spans="18:21" x14ac:dyDescent="0.2">
      <c r="R2904" s="49">
        <v>2902</v>
      </c>
      <c r="S2904" s="59">
        <f ca="1">Dashboard!B$8* Dashboard!$F$4+Dashboard!B$10*SQRT(Dashboard!$F$4) * _xlfn.NORM.S.INV(RAND())</f>
        <v>-1.5201678822542241E-2</v>
      </c>
      <c r="T2904" s="59">
        <f ca="1">Dashboard!C$8* Dashboard!$F$4+Dashboard!C$10*SQRT(Dashboard!$F$4) * _xlfn.NORM.S.INV(RAND())</f>
        <v>1.5274658645127635E-2</v>
      </c>
      <c r="U2904" s="59">
        <f ca="1">Dashboard!D$8* Dashboard!$F$4+Dashboard!D$10*SQRT(Dashboard!$F$4) * _xlfn.NORM.S.INV(RAND())</f>
        <v>3.0660823565591914E-2</v>
      </c>
    </row>
    <row r="2905" spans="18:21" x14ac:dyDescent="0.2">
      <c r="R2905" s="49">
        <v>2903</v>
      </c>
      <c r="S2905" s="59">
        <f ca="1">Dashboard!B$8* Dashboard!$F$4+Dashboard!B$10*SQRT(Dashboard!$F$4) * _xlfn.NORM.S.INV(RAND())</f>
        <v>3.2358976304742465E-2</v>
      </c>
      <c r="T2905" s="59">
        <f ca="1">Dashboard!C$8* Dashboard!$F$4+Dashboard!C$10*SQRT(Dashboard!$F$4) * _xlfn.NORM.S.INV(RAND())</f>
        <v>5.5501561462170173E-3</v>
      </c>
      <c r="U2905" s="59">
        <f ca="1">Dashboard!D$8* Dashboard!$F$4+Dashboard!D$10*SQRT(Dashboard!$F$4) * _xlfn.NORM.S.INV(RAND())</f>
        <v>2.9096554167903983E-2</v>
      </c>
    </row>
    <row r="2906" spans="18:21" x14ac:dyDescent="0.2">
      <c r="R2906" s="49">
        <v>2904</v>
      </c>
      <c r="S2906" s="59">
        <f ca="1">Dashboard!B$8* Dashboard!$F$4+Dashboard!B$10*SQRT(Dashboard!$F$4) * _xlfn.NORM.S.INV(RAND())</f>
        <v>-2.8623355715160934E-2</v>
      </c>
      <c r="T2906" s="59">
        <f ca="1">Dashboard!C$8* Dashboard!$F$4+Dashboard!C$10*SQRT(Dashboard!$F$4) * _xlfn.NORM.S.INV(RAND())</f>
        <v>1.3975843725773842E-2</v>
      </c>
      <c r="U2906" s="59">
        <f ca="1">Dashboard!D$8* Dashboard!$F$4+Dashboard!D$10*SQRT(Dashboard!$F$4) * _xlfn.NORM.S.INV(RAND())</f>
        <v>-6.7652123075183871E-3</v>
      </c>
    </row>
    <row r="2907" spans="18:21" x14ac:dyDescent="0.2">
      <c r="R2907" s="49">
        <v>2905</v>
      </c>
      <c r="S2907" s="59">
        <f ca="1">Dashboard!B$8* Dashboard!$F$4+Dashboard!B$10*SQRT(Dashboard!$F$4) * _xlfn.NORM.S.INV(RAND())</f>
        <v>-2.363279136740716E-2</v>
      </c>
      <c r="T2907" s="59">
        <f ca="1">Dashboard!C$8* Dashboard!$F$4+Dashboard!C$10*SQRT(Dashboard!$F$4) * _xlfn.NORM.S.INV(RAND())</f>
        <v>3.2560229377071634E-2</v>
      </c>
      <c r="U2907" s="59">
        <f ca="1">Dashboard!D$8* Dashboard!$F$4+Dashboard!D$10*SQRT(Dashboard!$F$4) * _xlfn.NORM.S.INV(RAND())</f>
        <v>5.1859713522599046E-3</v>
      </c>
    </row>
    <row r="2908" spans="18:21" x14ac:dyDescent="0.2">
      <c r="R2908" s="49">
        <v>2906</v>
      </c>
      <c r="S2908" s="59">
        <f ca="1">Dashboard!B$8* Dashboard!$F$4+Dashboard!B$10*SQRT(Dashboard!$F$4) * _xlfn.NORM.S.INV(RAND())</f>
        <v>4.2922453190781064E-2</v>
      </c>
      <c r="T2908" s="59">
        <f ca="1">Dashboard!C$8* Dashboard!$F$4+Dashboard!C$10*SQRT(Dashboard!$F$4) * _xlfn.NORM.S.INV(RAND())</f>
        <v>-3.3405290608926767E-2</v>
      </c>
      <c r="U2908" s="59">
        <f ca="1">Dashboard!D$8* Dashboard!$F$4+Dashboard!D$10*SQRT(Dashboard!$F$4) * _xlfn.NORM.S.INV(RAND())</f>
        <v>2.9469695686304632E-2</v>
      </c>
    </row>
    <row r="2909" spans="18:21" x14ac:dyDescent="0.2">
      <c r="R2909" s="49">
        <v>2907</v>
      </c>
      <c r="S2909" s="59">
        <f ca="1">Dashboard!B$8* Dashboard!$F$4+Dashboard!B$10*SQRT(Dashboard!$F$4) * _xlfn.NORM.S.INV(RAND())</f>
        <v>-5.9616806607628518E-2</v>
      </c>
      <c r="T2909" s="59">
        <f ca="1">Dashboard!C$8* Dashboard!$F$4+Dashboard!C$10*SQRT(Dashboard!$F$4) * _xlfn.NORM.S.INV(RAND())</f>
        <v>3.253496735531048E-2</v>
      </c>
      <c r="U2909" s="59">
        <f ca="1">Dashboard!D$8* Dashboard!$F$4+Dashboard!D$10*SQRT(Dashboard!$F$4) * _xlfn.NORM.S.INV(RAND())</f>
        <v>6.391072529247295E-2</v>
      </c>
    </row>
    <row r="2910" spans="18:21" x14ac:dyDescent="0.2">
      <c r="R2910" s="49">
        <v>2908</v>
      </c>
      <c r="S2910" s="59">
        <f ca="1">Dashboard!B$8* Dashboard!$F$4+Dashboard!B$10*SQRT(Dashboard!$F$4) * _xlfn.NORM.S.INV(RAND())</f>
        <v>-5.7143386993970424E-2</v>
      </c>
      <c r="T2910" s="59">
        <f ca="1">Dashboard!C$8* Dashboard!$F$4+Dashboard!C$10*SQRT(Dashboard!$F$4) * _xlfn.NORM.S.INV(RAND())</f>
        <v>1.2542011363912843E-2</v>
      </c>
      <c r="U2910" s="59">
        <f ca="1">Dashboard!D$8* Dashboard!$F$4+Dashboard!D$10*SQRT(Dashboard!$F$4) * _xlfn.NORM.S.INV(RAND())</f>
        <v>1.2687877968265093E-2</v>
      </c>
    </row>
    <row r="2911" spans="18:21" x14ac:dyDescent="0.2">
      <c r="R2911" s="49">
        <v>2909</v>
      </c>
      <c r="S2911" s="59">
        <f ca="1">Dashboard!B$8* Dashboard!$F$4+Dashboard!B$10*SQRT(Dashboard!$F$4) * _xlfn.NORM.S.INV(RAND())</f>
        <v>2.2965675567443323E-3</v>
      </c>
      <c r="T2911" s="59">
        <f ca="1">Dashboard!C$8* Dashboard!$F$4+Dashboard!C$10*SQRT(Dashboard!$F$4) * _xlfn.NORM.S.INV(RAND())</f>
        <v>-5.8611225953438692E-2</v>
      </c>
      <c r="U2911" s="59">
        <f ca="1">Dashboard!D$8* Dashboard!$F$4+Dashboard!D$10*SQRT(Dashboard!$F$4) * _xlfn.NORM.S.INV(RAND())</f>
        <v>-4.2397133365881731E-3</v>
      </c>
    </row>
    <row r="2912" spans="18:21" x14ac:dyDescent="0.2">
      <c r="R2912" s="49">
        <v>2910</v>
      </c>
      <c r="S2912" s="59">
        <f ca="1">Dashboard!B$8* Dashboard!$F$4+Dashboard!B$10*SQRT(Dashboard!$F$4) * _xlfn.NORM.S.INV(RAND())</f>
        <v>3.4219155080285994E-2</v>
      </c>
      <c r="T2912" s="59">
        <f ca="1">Dashboard!C$8* Dashboard!$F$4+Dashboard!C$10*SQRT(Dashboard!$F$4) * _xlfn.NORM.S.INV(RAND())</f>
        <v>-2.6287204885504442E-2</v>
      </c>
      <c r="U2912" s="59">
        <f ca="1">Dashboard!D$8* Dashboard!$F$4+Dashboard!D$10*SQRT(Dashboard!$F$4) * _xlfn.NORM.S.INV(RAND())</f>
        <v>3.9436864958322194E-2</v>
      </c>
    </row>
    <row r="2913" spans="18:21" x14ac:dyDescent="0.2">
      <c r="R2913" s="49">
        <v>2911</v>
      </c>
      <c r="S2913" s="59">
        <f ca="1">Dashboard!B$8* Dashboard!$F$4+Dashboard!B$10*SQRT(Dashboard!$F$4) * _xlfn.NORM.S.INV(RAND())</f>
        <v>5.1062463432159262E-2</v>
      </c>
      <c r="T2913" s="59">
        <f ca="1">Dashboard!C$8* Dashboard!$F$4+Dashboard!C$10*SQRT(Dashboard!$F$4) * _xlfn.NORM.S.INV(RAND())</f>
        <v>5.2569922237277328E-2</v>
      </c>
      <c r="U2913" s="59">
        <f ca="1">Dashboard!D$8* Dashboard!$F$4+Dashboard!D$10*SQRT(Dashboard!$F$4) * _xlfn.NORM.S.INV(RAND())</f>
        <v>-2.7334600750116997E-2</v>
      </c>
    </row>
    <row r="2914" spans="18:21" x14ac:dyDescent="0.2">
      <c r="R2914" s="49">
        <v>2912</v>
      </c>
      <c r="S2914" s="59">
        <f ca="1">Dashboard!B$8* Dashboard!$F$4+Dashboard!B$10*SQRT(Dashboard!$F$4) * _xlfn.NORM.S.INV(RAND())</f>
        <v>2.7244063818343343E-2</v>
      </c>
      <c r="T2914" s="59">
        <f ca="1">Dashboard!C$8* Dashboard!$F$4+Dashboard!C$10*SQRT(Dashboard!$F$4) * _xlfn.NORM.S.INV(RAND())</f>
        <v>4.9040995032186563E-2</v>
      </c>
      <c r="U2914" s="59">
        <f ca="1">Dashboard!D$8* Dashboard!$F$4+Dashboard!D$10*SQRT(Dashboard!$F$4) * _xlfn.NORM.S.INV(RAND())</f>
        <v>5.8163753991574946E-2</v>
      </c>
    </row>
    <row r="2915" spans="18:21" x14ac:dyDescent="0.2">
      <c r="R2915" s="49">
        <v>2913</v>
      </c>
      <c r="S2915" s="59">
        <f ca="1">Dashboard!B$8* Dashboard!$F$4+Dashboard!B$10*SQRT(Dashboard!$F$4) * _xlfn.NORM.S.INV(RAND())</f>
        <v>3.1941611042785423E-2</v>
      </c>
      <c r="T2915" s="59">
        <f ca="1">Dashboard!C$8* Dashboard!$F$4+Dashboard!C$10*SQRT(Dashboard!$F$4) * _xlfn.NORM.S.INV(RAND())</f>
        <v>-1.7145355049844199E-2</v>
      </c>
      <c r="U2915" s="59">
        <f ca="1">Dashboard!D$8* Dashboard!$F$4+Dashboard!D$10*SQRT(Dashboard!$F$4) * _xlfn.NORM.S.INV(RAND())</f>
        <v>-1.6556998459927339E-2</v>
      </c>
    </row>
    <row r="2916" spans="18:21" x14ac:dyDescent="0.2">
      <c r="R2916" s="49">
        <v>2914</v>
      </c>
      <c r="S2916" s="59">
        <f ca="1">Dashboard!B$8* Dashboard!$F$4+Dashboard!B$10*SQRT(Dashboard!$F$4) * _xlfn.NORM.S.INV(RAND())</f>
        <v>1.0890629535574254E-2</v>
      </c>
      <c r="T2916" s="59">
        <f ca="1">Dashboard!C$8* Dashboard!$F$4+Dashboard!C$10*SQRT(Dashboard!$F$4) * _xlfn.NORM.S.INV(RAND())</f>
        <v>-1.1564319724978227E-2</v>
      </c>
      <c r="U2916" s="59">
        <f ca="1">Dashboard!D$8* Dashboard!$F$4+Dashboard!D$10*SQRT(Dashboard!$F$4) * _xlfn.NORM.S.INV(RAND())</f>
        <v>-2.1666771895929957E-2</v>
      </c>
    </row>
    <row r="2917" spans="18:21" x14ac:dyDescent="0.2">
      <c r="R2917" s="49">
        <v>2915</v>
      </c>
      <c r="S2917" s="59">
        <f ca="1">Dashboard!B$8* Dashboard!$F$4+Dashboard!B$10*SQRT(Dashboard!$F$4) * _xlfn.NORM.S.INV(RAND())</f>
        <v>-2.3846693093030995E-2</v>
      </c>
      <c r="T2917" s="59">
        <f ca="1">Dashboard!C$8* Dashboard!$F$4+Dashboard!C$10*SQRT(Dashboard!$F$4) * _xlfn.NORM.S.INV(RAND())</f>
        <v>6.8342637523941402E-2</v>
      </c>
      <c r="U2917" s="59">
        <f ca="1">Dashboard!D$8* Dashboard!$F$4+Dashboard!D$10*SQRT(Dashboard!$F$4) * _xlfn.NORM.S.INV(RAND())</f>
        <v>-1.8449368474087142E-2</v>
      </c>
    </row>
    <row r="2918" spans="18:21" x14ac:dyDescent="0.2">
      <c r="R2918" s="49">
        <v>2916</v>
      </c>
      <c r="S2918" s="59">
        <f ca="1">Dashboard!B$8* Dashboard!$F$4+Dashboard!B$10*SQRT(Dashboard!$F$4) * _xlfn.NORM.S.INV(RAND())</f>
        <v>7.9056491028761926E-3</v>
      </c>
      <c r="T2918" s="59">
        <f ca="1">Dashboard!C$8* Dashboard!$F$4+Dashboard!C$10*SQRT(Dashboard!$F$4) * _xlfn.NORM.S.INV(RAND())</f>
        <v>1.0095670559803736E-2</v>
      </c>
      <c r="U2918" s="59">
        <f ca="1">Dashboard!D$8* Dashboard!$F$4+Dashboard!D$10*SQRT(Dashboard!$F$4) * _xlfn.NORM.S.INV(RAND())</f>
        <v>-1.3858668367101709E-2</v>
      </c>
    </row>
    <row r="2919" spans="18:21" x14ac:dyDescent="0.2">
      <c r="R2919" s="49">
        <v>2917</v>
      </c>
      <c r="S2919" s="59">
        <f ca="1">Dashboard!B$8* Dashboard!$F$4+Dashboard!B$10*SQRT(Dashboard!$F$4) * _xlfn.NORM.S.INV(RAND())</f>
        <v>1.9777967285333674E-2</v>
      </c>
      <c r="T2919" s="59">
        <f ca="1">Dashboard!C$8* Dashboard!$F$4+Dashboard!C$10*SQRT(Dashboard!$F$4) * _xlfn.NORM.S.INV(RAND())</f>
        <v>-5.797275132384659E-3</v>
      </c>
      <c r="U2919" s="59">
        <f ca="1">Dashboard!D$8* Dashboard!$F$4+Dashboard!D$10*SQRT(Dashboard!$F$4) * _xlfn.NORM.S.INV(RAND())</f>
        <v>1.0509940655558783E-2</v>
      </c>
    </row>
    <row r="2920" spans="18:21" x14ac:dyDescent="0.2">
      <c r="R2920" s="49">
        <v>2918</v>
      </c>
      <c r="S2920" s="59">
        <f ca="1">Dashboard!B$8* Dashboard!$F$4+Dashboard!B$10*SQRT(Dashboard!$F$4) * _xlfn.NORM.S.INV(RAND())</f>
        <v>1.0267109816546683E-2</v>
      </c>
      <c r="T2920" s="59">
        <f ca="1">Dashboard!C$8* Dashboard!$F$4+Dashboard!C$10*SQRT(Dashboard!$F$4) * _xlfn.NORM.S.INV(RAND())</f>
        <v>-1.91601075786689E-2</v>
      </c>
      <c r="U2920" s="59">
        <f ca="1">Dashboard!D$8* Dashboard!$F$4+Dashboard!D$10*SQRT(Dashboard!$F$4) * _xlfn.NORM.S.INV(RAND())</f>
        <v>-8.4497300253095729E-3</v>
      </c>
    </row>
    <row r="2921" spans="18:21" x14ac:dyDescent="0.2">
      <c r="R2921" s="49">
        <v>2919</v>
      </c>
      <c r="S2921" s="59">
        <f ca="1">Dashboard!B$8* Dashboard!$F$4+Dashboard!B$10*SQRT(Dashboard!$F$4) * _xlfn.NORM.S.INV(RAND())</f>
        <v>-1.8990289013100972E-2</v>
      </c>
      <c r="T2921" s="59">
        <f ca="1">Dashboard!C$8* Dashboard!$F$4+Dashboard!C$10*SQRT(Dashboard!$F$4) * _xlfn.NORM.S.INV(RAND())</f>
        <v>-4.7144537344241025E-2</v>
      </c>
      <c r="U2921" s="59">
        <f ca="1">Dashboard!D$8* Dashboard!$F$4+Dashboard!D$10*SQRT(Dashboard!$F$4) * _xlfn.NORM.S.INV(RAND())</f>
        <v>-1.0961527599255274E-2</v>
      </c>
    </row>
    <row r="2922" spans="18:21" x14ac:dyDescent="0.2">
      <c r="R2922" s="49">
        <v>2920</v>
      </c>
      <c r="S2922" s="59">
        <f ca="1">Dashboard!B$8* Dashboard!$F$4+Dashboard!B$10*SQRT(Dashboard!$F$4) * _xlfn.NORM.S.INV(RAND())</f>
        <v>-1.4013203841727854E-2</v>
      </c>
      <c r="T2922" s="59">
        <f ca="1">Dashboard!C$8* Dashboard!$F$4+Dashboard!C$10*SQRT(Dashboard!$F$4) * _xlfn.NORM.S.INV(RAND())</f>
        <v>8.604212309897703E-3</v>
      </c>
      <c r="U2922" s="59">
        <f ca="1">Dashboard!D$8* Dashboard!$F$4+Dashboard!D$10*SQRT(Dashboard!$F$4) * _xlfn.NORM.S.INV(RAND())</f>
        <v>3.3032301435526851E-2</v>
      </c>
    </row>
    <row r="2923" spans="18:21" x14ac:dyDescent="0.2">
      <c r="R2923" s="49">
        <v>2921</v>
      </c>
      <c r="S2923" s="59">
        <f ca="1">Dashboard!B$8* Dashboard!$F$4+Dashboard!B$10*SQRT(Dashboard!$F$4) * _xlfn.NORM.S.INV(RAND())</f>
        <v>-1.9473291807495449E-2</v>
      </c>
      <c r="T2923" s="59">
        <f ca="1">Dashboard!C$8* Dashboard!$F$4+Dashboard!C$10*SQRT(Dashboard!$F$4) * _xlfn.NORM.S.INV(RAND())</f>
        <v>-3.2616603934467791E-3</v>
      </c>
      <c r="U2923" s="59">
        <f ca="1">Dashboard!D$8* Dashboard!$F$4+Dashboard!D$10*SQRT(Dashboard!$F$4) * _xlfn.NORM.S.INV(RAND())</f>
        <v>-4.7710602931462204E-2</v>
      </c>
    </row>
    <row r="2924" spans="18:21" x14ac:dyDescent="0.2">
      <c r="R2924" s="49">
        <v>2922</v>
      </c>
      <c r="S2924" s="59">
        <f ca="1">Dashboard!B$8* Dashboard!$F$4+Dashboard!B$10*SQRT(Dashboard!$F$4) * _xlfn.NORM.S.INV(RAND())</f>
        <v>3.6376541143187169E-2</v>
      </c>
      <c r="T2924" s="59">
        <f ca="1">Dashboard!C$8* Dashboard!$F$4+Dashboard!C$10*SQRT(Dashboard!$F$4) * _xlfn.NORM.S.INV(RAND())</f>
        <v>1.3710675057718766E-2</v>
      </c>
      <c r="U2924" s="59">
        <f ca="1">Dashboard!D$8* Dashboard!$F$4+Dashboard!D$10*SQRT(Dashboard!$F$4) * _xlfn.NORM.S.INV(RAND())</f>
        <v>6.3883894042346026E-2</v>
      </c>
    </row>
    <row r="2925" spans="18:21" x14ac:dyDescent="0.2">
      <c r="R2925" s="49">
        <v>2923</v>
      </c>
      <c r="S2925" s="59">
        <f ca="1">Dashboard!B$8* Dashboard!$F$4+Dashboard!B$10*SQRT(Dashboard!$F$4) * _xlfn.NORM.S.INV(RAND())</f>
        <v>-2.6465991087332816E-2</v>
      </c>
      <c r="T2925" s="59">
        <f ca="1">Dashboard!C$8* Dashboard!$F$4+Dashboard!C$10*SQRT(Dashboard!$F$4) * _xlfn.NORM.S.INV(RAND())</f>
        <v>-1.2995414815752598E-2</v>
      </c>
      <c r="U2925" s="59">
        <f ca="1">Dashboard!D$8* Dashboard!$F$4+Dashboard!D$10*SQRT(Dashboard!$F$4) * _xlfn.NORM.S.INV(RAND())</f>
        <v>4.9959885729360186E-2</v>
      </c>
    </row>
    <row r="2926" spans="18:21" x14ac:dyDescent="0.2">
      <c r="R2926" s="49">
        <v>2924</v>
      </c>
      <c r="S2926" s="59">
        <f ca="1">Dashboard!B$8* Dashboard!$F$4+Dashboard!B$10*SQRT(Dashboard!$F$4) * _xlfn.NORM.S.INV(RAND())</f>
        <v>-2.9696302004323903E-3</v>
      </c>
      <c r="T2926" s="59">
        <f ca="1">Dashboard!C$8* Dashboard!$F$4+Dashboard!C$10*SQRT(Dashboard!$F$4) * _xlfn.NORM.S.INV(RAND())</f>
        <v>-6.5693845369147125E-3</v>
      </c>
      <c r="U2926" s="59">
        <f ca="1">Dashboard!D$8* Dashboard!$F$4+Dashboard!D$10*SQRT(Dashboard!$F$4) * _xlfn.NORM.S.INV(RAND())</f>
        <v>1.0431169157504361E-2</v>
      </c>
    </row>
    <row r="2927" spans="18:21" x14ac:dyDescent="0.2">
      <c r="R2927" s="49">
        <v>2925</v>
      </c>
      <c r="S2927" s="59">
        <f ca="1">Dashboard!B$8* Dashboard!$F$4+Dashboard!B$10*SQRT(Dashboard!$F$4) * _xlfn.NORM.S.INV(RAND())</f>
        <v>-3.1608797708816819E-2</v>
      </c>
      <c r="T2927" s="59">
        <f ca="1">Dashboard!C$8* Dashboard!$F$4+Dashboard!C$10*SQRT(Dashboard!$F$4) * _xlfn.NORM.S.INV(RAND())</f>
        <v>-6.9316935123964795E-3</v>
      </c>
      <c r="U2927" s="59">
        <f ca="1">Dashboard!D$8* Dashboard!$F$4+Dashboard!D$10*SQRT(Dashboard!$F$4) * _xlfn.NORM.S.INV(RAND())</f>
        <v>-4.7484560390201318E-2</v>
      </c>
    </row>
    <row r="2928" spans="18:21" x14ac:dyDescent="0.2">
      <c r="R2928" s="49">
        <v>2926</v>
      </c>
      <c r="S2928" s="59">
        <f ca="1">Dashboard!B$8* Dashboard!$F$4+Dashboard!B$10*SQRT(Dashboard!$F$4) * _xlfn.NORM.S.INV(RAND())</f>
        <v>2.5015201239205198E-2</v>
      </c>
      <c r="T2928" s="59">
        <f ca="1">Dashboard!C$8* Dashboard!$F$4+Dashboard!C$10*SQRT(Dashboard!$F$4) * _xlfn.NORM.S.INV(RAND())</f>
        <v>-5.3385882241485487E-4</v>
      </c>
      <c r="U2928" s="59">
        <f ca="1">Dashboard!D$8* Dashboard!$F$4+Dashboard!D$10*SQRT(Dashboard!$F$4) * _xlfn.NORM.S.INV(RAND())</f>
        <v>4.5609514057796507E-4</v>
      </c>
    </row>
    <row r="2929" spans="18:21" x14ac:dyDescent="0.2">
      <c r="R2929" s="49">
        <v>2927</v>
      </c>
      <c r="S2929" s="59">
        <f ca="1">Dashboard!B$8* Dashboard!$F$4+Dashboard!B$10*SQRT(Dashboard!$F$4) * _xlfn.NORM.S.INV(RAND())</f>
        <v>-3.3373478793221091E-3</v>
      </c>
      <c r="T2929" s="59">
        <f ca="1">Dashboard!C$8* Dashboard!$F$4+Dashboard!C$10*SQRT(Dashboard!$F$4) * _xlfn.NORM.S.INV(RAND())</f>
        <v>5.8725110943875485E-3</v>
      </c>
      <c r="U2929" s="59">
        <f ca="1">Dashboard!D$8* Dashboard!$F$4+Dashboard!D$10*SQRT(Dashboard!$F$4) * _xlfn.NORM.S.INV(RAND())</f>
        <v>5.7874639134814103E-2</v>
      </c>
    </row>
    <row r="2930" spans="18:21" x14ac:dyDescent="0.2">
      <c r="R2930" s="49">
        <v>2928</v>
      </c>
      <c r="S2930" s="59">
        <f ca="1">Dashboard!B$8* Dashboard!$F$4+Dashboard!B$10*SQRT(Dashboard!$F$4) * _xlfn.NORM.S.INV(RAND())</f>
        <v>-2.8795834605869548E-2</v>
      </c>
      <c r="T2930" s="59">
        <f ca="1">Dashboard!C$8* Dashboard!$F$4+Dashboard!C$10*SQRT(Dashboard!$F$4) * _xlfn.NORM.S.INV(RAND())</f>
        <v>1.7677858554893237E-2</v>
      </c>
      <c r="U2930" s="59">
        <f ca="1">Dashboard!D$8* Dashboard!$F$4+Dashboard!D$10*SQRT(Dashboard!$F$4) * _xlfn.NORM.S.INV(RAND())</f>
        <v>-7.5082742955432703E-4</v>
      </c>
    </row>
    <row r="2931" spans="18:21" x14ac:dyDescent="0.2">
      <c r="R2931" s="49">
        <v>2929</v>
      </c>
      <c r="S2931" s="59">
        <f ca="1">Dashboard!B$8* Dashboard!$F$4+Dashboard!B$10*SQRT(Dashboard!$F$4) * _xlfn.NORM.S.INV(RAND())</f>
        <v>4.2137981263468294E-2</v>
      </c>
      <c r="T2931" s="59">
        <f ca="1">Dashboard!C$8* Dashboard!$F$4+Dashboard!C$10*SQRT(Dashboard!$F$4) * _xlfn.NORM.S.INV(RAND())</f>
        <v>6.7238898867463519E-3</v>
      </c>
      <c r="U2931" s="59">
        <f ca="1">Dashboard!D$8* Dashboard!$F$4+Dashboard!D$10*SQRT(Dashboard!$F$4) * _xlfn.NORM.S.INV(RAND())</f>
        <v>4.6808670696796492E-2</v>
      </c>
    </row>
    <row r="2932" spans="18:21" x14ac:dyDescent="0.2">
      <c r="R2932" s="49">
        <v>2930</v>
      </c>
      <c r="S2932" s="59">
        <f ca="1">Dashboard!B$8* Dashboard!$F$4+Dashboard!B$10*SQRT(Dashboard!$F$4) * _xlfn.NORM.S.INV(RAND())</f>
        <v>-1.8779991484292193E-2</v>
      </c>
      <c r="T2932" s="59">
        <f ca="1">Dashboard!C$8* Dashboard!$F$4+Dashboard!C$10*SQRT(Dashboard!$F$4) * _xlfn.NORM.S.INV(RAND())</f>
        <v>1.667973615970219E-2</v>
      </c>
      <c r="U2932" s="59">
        <f ca="1">Dashboard!D$8* Dashboard!$F$4+Dashboard!D$10*SQRT(Dashboard!$F$4) * _xlfn.NORM.S.INV(RAND())</f>
        <v>3.5513231386482706E-2</v>
      </c>
    </row>
    <row r="2933" spans="18:21" x14ac:dyDescent="0.2">
      <c r="R2933" s="49">
        <v>2931</v>
      </c>
      <c r="S2933" s="59">
        <f ca="1">Dashboard!B$8* Dashboard!$F$4+Dashboard!B$10*SQRT(Dashboard!$F$4) * _xlfn.NORM.S.INV(RAND())</f>
        <v>-4.5086792112895803E-4</v>
      </c>
      <c r="T2933" s="59">
        <f ca="1">Dashboard!C$8* Dashboard!$F$4+Dashboard!C$10*SQRT(Dashboard!$F$4) * _xlfn.NORM.S.INV(RAND())</f>
        <v>-6.1002412323635472E-2</v>
      </c>
      <c r="U2933" s="59">
        <f ca="1">Dashboard!D$8* Dashboard!$F$4+Dashboard!D$10*SQRT(Dashboard!$F$4) * _xlfn.NORM.S.INV(RAND())</f>
        <v>2.8865747728898199E-2</v>
      </c>
    </row>
    <row r="2934" spans="18:21" x14ac:dyDescent="0.2">
      <c r="R2934" s="49">
        <v>2932</v>
      </c>
      <c r="S2934" s="59">
        <f ca="1">Dashboard!B$8* Dashboard!$F$4+Dashboard!B$10*SQRT(Dashboard!$F$4) * _xlfn.NORM.S.INV(RAND())</f>
        <v>-9.9540397205311382E-2</v>
      </c>
      <c r="T2934" s="59">
        <f ca="1">Dashboard!C$8* Dashboard!$F$4+Dashboard!C$10*SQRT(Dashboard!$F$4) * _xlfn.NORM.S.INV(RAND())</f>
        <v>6.2304294165221943E-2</v>
      </c>
      <c r="U2934" s="59">
        <f ca="1">Dashboard!D$8* Dashboard!$F$4+Dashboard!D$10*SQRT(Dashboard!$F$4) * _xlfn.NORM.S.INV(RAND())</f>
        <v>-2.8510109093335723E-2</v>
      </c>
    </row>
    <row r="2935" spans="18:21" x14ac:dyDescent="0.2">
      <c r="R2935" s="49">
        <v>2933</v>
      </c>
      <c r="S2935" s="59">
        <f ca="1">Dashboard!B$8* Dashboard!$F$4+Dashboard!B$10*SQRT(Dashboard!$F$4) * _xlfn.NORM.S.INV(RAND())</f>
        <v>3.5672539158676735E-2</v>
      </c>
      <c r="T2935" s="59">
        <f ca="1">Dashboard!C$8* Dashboard!$F$4+Dashboard!C$10*SQRT(Dashboard!$F$4) * _xlfn.NORM.S.INV(RAND())</f>
        <v>-1.4029480271963171E-2</v>
      </c>
      <c r="U2935" s="59">
        <f ca="1">Dashboard!D$8* Dashboard!$F$4+Dashboard!D$10*SQRT(Dashboard!$F$4) * _xlfn.NORM.S.INV(RAND())</f>
        <v>9.780046093799212E-3</v>
      </c>
    </row>
    <row r="2936" spans="18:21" x14ac:dyDescent="0.2">
      <c r="R2936" s="49">
        <v>2934</v>
      </c>
      <c r="S2936" s="59">
        <f ca="1">Dashboard!B$8* Dashboard!$F$4+Dashboard!B$10*SQRT(Dashboard!$F$4) * _xlfn.NORM.S.INV(RAND())</f>
        <v>-4.5751503356643512E-2</v>
      </c>
      <c r="T2936" s="59">
        <f ca="1">Dashboard!C$8* Dashboard!$F$4+Dashboard!C$10*SQRT(Dashboard!$F$4) * _xlfn.NORM.S.INV(RAND())</f>
        <v>2.3488714966786454E-2</v>
      </c>
      <c r="U2936" s="59">
        <f ca="1">Dashboard!D$8* Dashboard!$F$4+Dashboard!D$10*SQRT(Dashboard!$F$4) * _xlfn.NORM.S.INV(RAND())</f>
        <v>-1.5734552842057093E-2</v>
      </c>
    </row>
    <row r="2937" spans="18:21" x14ac:dyDescent="0.2">
      <c r="R2937" s="49">
        <v>2935</v>
      </c>
      <c r="S2937" s="59">
        <f ca="1">Dashboard!B$8* Dashboard!$F$4+Dashboard!B$10*SQRT(Dashboard!$F$4) * _xlfn.NORM.S.INV(RAND())</f>
        <v>-2.256211369626307E-2</v>
      </c>
      <c r="T2937" s="59">
        <f ca="1">Dashboard!C$8* Dashboard!$F$4+Dashboard!C$10*SQRT(Dashboard!$F$4) * _xlfn.NORM.S.INV(RAND())</f>
        <v>2.0969761094017901E-2</v>
      </c>
      <c r="U2937" s="59">
        <f ca="1">Dashboard!D$8* Dashboard!$F$4+Dashboard!D$10*SQRT(Dashboard!$F$4) * _xlfn.NORM.S.INV(RAND())</f>
        <v>-3.1420714537630047E-2</v>
      </c>
    </row>
    <row r="2938" spans="18:21" x14ac:dyDescent="0.2">
      <c r="R2938" s="49">
        <v>2936</v>
      </c>
      <c r="S2938" s="59">
        <f ca="1">Dashboard!B$8* Dashboard!$F$4+Dashboard!B$10*SQRT(Dashboard!$F$4) * _xlfn.NORM.S.INV(RAND())</f>
        <v>-9.8862834508588373E-3</v>
      </c>
      <c r="T2938" s="59">
        <f ca="1">Dashboard!C$8* Dashboard!$F$4+Dashboard!C$10*SQRT(Dashboard!$F$4) * _xlfn.NORM.S.INV(RAND())</f>
        <v>0.11376339212630811</v>
      </c>
      <c r="U2938" s="59">
        <f ca="1">Dashboard!D$8* Dashboard!$F$4+Dashboard!D$10*SQRT(Dashboard!$F$4) * _xlfn.NORM.S.INV(RAND())</f>
        <v>-6.9625815046576384E-3</v>
      </c>
    </row>
    <row r="2939" spans="18:21" x14ac:dyDescent="0.2">
      <c r="R2939" s="49">
        <v>2937</v>
      </c>
      <c r="S2939" s="59">
        <f ca="1">Dashboard!B$8* Dashboard!$F$4+Dashboard!B$10*SQRT(Dashboard!$F$4) * _xlfn.NORM.S.INV(RAND())</f>
        <v>-1.3961731264355218E-2</v>
      </c>
      <c r="T2939" s="59">
        <f ca="1">Dashboard!C$8* Dashboard!$F$4+Dashboard!C$10*SQRT(Dashboard!$F$4) * _xlfn.NORM.S.INV(RAND())</f>
        <v>4.4872895779332371E-3</v>
      </c>
      <c r="U2939" s="59">
        <f ca="1">Dashboard!D$8* Dashboard!$F$4+Dashboard!D$10*SQRT(Dashboard!$F$4) * _xlfn.NORM.S.INV(RAND())</f>
        <v>3.7659454786332178E-3</v>
      </c>
    </row>
    <row r="2940" spans="18:21" x14ac:dyDescent="0.2">
      <c r="R2940" s="49">
        <v>2938</v>
      </c>
      <c r="S2940" s="59">
        <f ca="1">Dashboard!B$8* Dashboard!$F$4+Dashboard!B$10*SQRT(Dashboard!$F$4) * _xlfn.NORM.S.INV(RAND())</f>
        <v>1.6667393906171181E-3</v>
      </c>
      <c r="T2940" s="59">
        <f ca="1">Dashboard!C$8* Dashboard!$F$4+Dashboard!C$10*SQRT(Dashboard!$F$4) * _xlfn.NORM.S.INV(RAND())</f>
        <v>3.4681298536052806E-2</v>
      </c>
      <c r="U2940" s="59">
        <f ca="1">Dashboard!D$8* Dashboard!$F$4+Dashboard!D$10*SQRT(Dashboard!$F$4) * _xlfn.NORM.S.INV(RAND())</f>
        <v>-6.7232968945637826E-3</v>
      </c>
    </row>
    <row r="2941" spans="18:21" x14ac:dyDescent="0.2">
      <c r="R2941" s="49">
        <v>2939</v>
      </c>
      <c r="S2941" s="59">
        <f ca="1">Dashboard!B$8* Dashboard!$F$4+Dashboard!B$10*SQRT(Dashboard!$F$4) * _xlfn.NORM.S.INV(RAND())</f>
        <v>-6.118835316992588E-2</v>
      </c>
      <c r="T2941" s="59">
        <f ca="1">Dashboard!C$8* Dashboard!$F$4+Dashboard!C$10*SQRT(Dashboard!$F$4) * _xlfn.NORM.S.INV(RAND())</f>
        <v>5.7315899534677361E-2</v>
      </c>
      <c r="U2941" s="59">
        <f ca="1">Dashboard!D$8* Dashboard!$F$4+Dashboard!D$10*SQRT(Dashboard!$F$4) * _xlfn.NORM.S.INV(RAND())</f>
        <v>-1.7052531008111264E-2</v>
      </c>
    </row>
    <row r="2942" spans="18:21" x14ac:dyDescent="0.2">
      <c r="R2942" s="49">
        <v>2940</v>
      </c>
      <c r="S2942" s="59">
        <f ca="1">Dashboard!B$8* Dashboard!$F$4+Dashboard!B$10*SQRT(Dashboard!$F$4) * _xlfn.NORM.S.INV(RAND())</f>
        <v>1.952795989354955E-3</v>
      </c>
      <c r="T2942" s="59">
        <f ca="1">Dashboard!C$8* Dashboard!$F$4+Dashboard!C$10*SQRT(Dashboard!$F$4) * _xlfn.NORM.S.INV(RAND())</f>
        <v>-8.7510293912611524E-3</v>
      </c>
      <c r="U2942" s="59">
        <f ca="1">Dashboard!D$8* Dashboard!$F$4+Dashboard!D$10*SQRT(Dashboard!$F$4) * _xlfn.NORM.S.INV(RAND())</f>
        <v>1.4419528904211594E-3</v>
      </c>
    </row>
    <row r="2943" spans="18:21" x14ac:dyDescent="0.2">
      <c r="R2943" s="49">
        <v>2941</v>
      </c>
      <c r="S2943" s="59">
        <f ca="1">Dashboard!B$8* Dashboard!$F$4+Dashboard!B$10*SQRT(Dashboard!$F$4) * _xlfn.NORM.S.INV(RAND())</f>
        <v>-1.7353243324482456E-2</v>
      </c>
      <c r="T2943" s="59">
        <f ca="1">Dashboard!C$8* Dashboard!$F$4+Dashboard!C$10*SQRT(Dashboard!$F$4) * _xlfn.NORM.S.INV(RAND())</f>
        <v>2.1468226646768968E-2</v>
      </c>
      <c r="U2943" s="59">
        <f ca="1">Dashboard!D$8* Dashboard!$F$4+Dashboard!D$10*SQRT(Dashboard!$F$4) * _xlfn.NORM.S.INV(RAND())</f>
        <v>1.2357487084168447E-2</v>
      </c>
    </row>
    <row r="2944" spans="18:21" x14ac:dyDescent="0.2">
      <c r="R2944" s="49">
        <v>2942</v>
      </c>
      <c r="S2944" s="59">
        <f ca="1">Dashboard!B$8* Dashboard!$F$4+Dashboard!B$10*SQRT(Dashboard!$F$4) * _xlfn.NORM.S.INV(RAND())</f>
        <v>3.9556799722042353E-2</v>
      </c>
      <c r="T2944" s="59">
        <f ca="1">Dashboard!C$8* Dashboard!$F$4+Dashboard!C$10*SQRT(Dashboard!$F$4) * _xlfn.NORM.S.INV(RAND())</f>
        <v>2.8427198351856808E-2</v>
      </c>
      <c r="U2944" s="59">
        <f ca="1">Dashboard!D$8* Dashboard!$F$4+Dashboard!D$10*SQRT(Dashboard!$F$4) * _xlfn.NORM.S.INV(RAND())</f>
        <v>-3.0847356458193184E-2</v>
      </c>
    </row>
    <row r="2945" spans="18:21" x14ac:dyDescent="0.2">
      <c r="R2945" s="49">
        <v>2943</v>
      </c>
      <c r="S2945" s="59">
        <f ca="1">Dashboard!B$8* Dashboard!$F$4+Dashboard!B$10*SQRT(Dashboard!$F$4) * _xlfn.NORM.S.INV(RAND())</f>
        <v>1.4698464842253655E-2</v>
      </c>
      <c r="T2945" s="59">
        <f ca="1">Dashboard!C$8* Dashboard!$F$4+Dashboard!C$10*SQRT(Dashboard!$F$4) * _xlfn.NORM.S.INV(RAND())</f>
        <v>5.4779581975913094E-3</v>
      </c>
      <c r="U2945" s="59">
        <f ca="1">Dashboard!D$8* Dashboard!$F$4+Dashboard!D$10*SQRT(Dashboard!$F$4) * _xlfn.NORM.S.INV(RAND())</f>
        <v>8.2870072045888293E-3</v>
      </c>
    </row>
    <row r="2946" spans="18:21" x14ac:dyDescent="0.2">
      <c r="R2946" s="49">
        <v>2944</v>
      </c>
      <c r="S2946" s="59">
        <f ca="1">Dashboard!B$8* Dashboard!$F$4+Dashboard!B$10*SQRT(Dashboard!$F$4) * _xlfn.NORM.S.INV(RAND())</f>
        <v>2.4926247157857954E-2</v>
      </c>
      <c r="T2946" s="59">
        <f ca="1">Dashboard!C$8* Dashboard!$F$4+Dashboard!C$10*SQRT(Dashboard!$F$4) * _xlfn.NORM.S.INV(RAND())</f>
        <v>6.2590745206829002E-2</v>
      </c>
      <c r="U2946" s="59">
        <f ca="1">Dashboard!D$8* Dashboard!$F$4+Dashboard!D$10*SQRT(Dashboard!$F$4) * _xlfn.NORM.S.INV(RAND())</f>
        <v>-5.2434694987021212E-2</v>
      </c>
    </row>
    <row r="2947" spans="18:21" x14ac:dyDescent="0.2">
      <c r="R2947" s="49">
        <v>2945</v>
      </c>
      <c r="S2947" s="59">
        <f ca="1">Dashboard!B$8* Dashboard!$F$4+Dashboard!B$10*SQRT(Dashboard!$F$4) * _xlfn.NORM.S.INV(RAND())</f>
        <v>-1.980803586907897E-2</v>
      </c>
      <c r="T2947" s="59">
        <f ca="1">Dashboard!C$8* Dashboard!$F$4+Dashboard!C$10*SQRT(Dashboard!$F$4) * _xlfn.NORM.S.INV(RAND())</f>
        <v>-4.8696407233299301E-2</v>
      </c>
      <c r="U2947" s="59">
        <f ca="1">Dashboard!D$8* Dashboard!$F$4+Dashboard!D$10*SQRT(Dashboard!$F$4) * _xlfn.NORM.S.INV(RAND())</f>
        <v>9.6837855297830344E-2</v>
      </c>
    </row>
    <row r="2948" spans="18:21" x14ac:dyDescent="0.2">
      <c r="R2948" s="49">
        <v>2946</v>
      </c>
      <c r="S2948" s="59">
        <f ca="1">Dashboard!B$8* Dashboard!$F$4+Dashboard!B$10*SQRT(Dashboard!$F$4) * _xlfn.NORM.S.INV(RAND())</f>
        <v>-2.5801020374482654E-2</v>
      </c>
      <c r="T2948" s="59">
        <f ca="1">Dashboard!C$8* Dashboard!$F$4+Dashboard!C$10*SQRT(Dashboard!$F$4) * _xlfn.NORM.S.INV(RAND())</f>
        <v>-8.5079143605875013E-2</v>
      </c>
      <c r="U2948" s="59">
        <f ca="1">Dashboard!D$8* Dashboard!$F$4+Dashboard!D$10*SQRT(Dashboard!$F$4) * _xlfn.NORM.S.INV(RAND())</f>
        <v>2.8501287494132121E-2</v>
      </c>
    </row>
    <row r="2949" spans="18:21" x14ac:dyDescent="0.2">
      <c r="R2949" s="49">
        <v>2947</v>
      </c>
      <c r="S2949" s="59">
        <f ca="1">Dashboard!B$8* Dashboard!$F$4+Dashboard!B$10*SQRT(Dashboard!$F$4) * _xlfn.NORM.S.INV(RAND())</f>
        <v>6.0688853228081218E-3</v>
      </c>
      <c r="T2949" s="59">
        <f ca="1">Dashboard!C$8* Dashboard!$F$4+Dashboard!C$10*SQRT(Dashboard!$F$4) * _xlfn.NORM.S.INV(RAND())</f>
        <v>-3.0012286447183716E-2</v>
      </c>
      <c r="U2949" s="59">
        <f ca="1">Dashboard!D$8* Dashboard!$F$4+Dashboard!D$10*SQRT(Dashboard!$F$4) * _xlfn.NORM.S.INV(RAND())</f>
        <v>-2.8590860167540366E-2</v>
      </c>
    </row>
    <row r="2950" spans="18:21" x14ac:dyDescent="0.2">
      <c r="R2950" s="49">
        <v>2948</v>
      </c>
      <c r="S2950" s="59">
        <f ca="1">Dashboard!B$8* Dashboard!$F$4+Dashboard!B$10*SQRT(Dashboard!$F$4) * _xlfn.NORM.S.INV(RAND())</f>
        <v>2.5732659430999102E-2</v>
      </c>
      <c r="T2950" s="59">
        <f ca="1">Dashboard!C$8* Dashboard!$F$4+Dashboard!C$10*SQRT(Dashboard!$F$4) * _xlfn.NORM.S.INV(RAND())</f>
        <v>1.760544950957892E-3</v>
      </c>
      <c r="U2950" s="59">
        <f ca="1">Dashboard!D$8* Dashboard!$F$4+Dashboard!D$10*SQRT(Dashboard!$F$4) * _xlfn.NORM.S.INV(RAND())</f>
        <v>7.5802517453927395E-2</v>
      </c>
    </row>
    <row r="2951" spans="18:21" x14ac:dyDescent="0.2">
      <c r="R2951" s="49">
        <v>2949</v>
      </c>
      <c r="S2951" s="59">
        <f ca="1">Dashboard!B$8* Dashboard!$F$4+Dashboard!B$10*SQRT(Dashboard!$F$4) * _xlfn.NORM.S.INV(RAND())</f>
        <v>3.7333984769444217E-2</v>
      </c>
      <c r="T2951" s="59">
        <f ca="1">Dashboard!C$8* Dashboard!$F$4+Dashboard!C$10*SQRT(Dashboard!$F$4) * _xlfn.NORM.S.INV(RAND())</f>
        <v>1.7292548045233797E-3</v>
      </c>
      <c r="U2951" s="59">
        <f ca="1">Dashboard!D$8* Dashboard!$F$4+Dashboard!D$10*SQRT(Dashboard!$F$4) * _xlfn.NORM.S.INV(RAND())</f>
        <v>-1.0821824097897628E-2</v>
      </c>
    </row>
    <row r="2952" spans="18:21" x14ac:dyDescent="0.2">
      <c r="R2952" s="49">
        <v>2950</v>
      </c>
      <c r="S2952" s="59">
        <f ca="1">Dashboard!B$8* Dashboard!$F$4+Dashboard!B$10*SQRT(Dashboard!$F$4) * _xlfn.NORM.S.INV(RAND())</f>
        <v>-2.2605947091759414E-2</v>
      </c>
      <c r="T2952" s="59">
        <f ca="1">Dashboard!C$8* Dashboard!$F$4+Dashboard!C$10*SQRT(Dashboard!$F$4) * _xlfn.NORM.S.INV(RAND())</f>
        <v>3.7423022635784771E-3</v>
      </c>
      <c r="U2952" s="59">
        <f ca="1">Dashboard!D$8* Dashboard!$F$4+Dashboard!D$10*SQRT(Dashboard!$F$4) * _xlfn.NORM.S.INV(RAND())</f>
        <v>-2.6723211391328227E-2</v>
      </c>
    </row>
    <row r="2953" spans="18:21" x14ac:dyDescent="0.2">
      <c r="R2953" s="49">
        <v>2951</v>
      </c>
      <c r="S2953" s="59">
        <f ca="1">Dashboard!B$8* Dashboard!$F$4+Dashboard!B$10*SQRT(Dashboard!$F$4) * _xlfn.NORM.S.INV(RAND())</f>
        <v>-9.3201633361481087E-3</v>
      </c>
      <c r="T2953" s="59">
        <f ca="1">Dashboard!C$8* Dashboard!$F$4+Dashboard!C$10*SQRT(Dashboard!$F$4) * _xlfn.NORM.S.INV(RAND())</f>
        <v>-2.2278828545351567E-2</v>
      </c>
      <c r="U2953" s="59">
        <f ca="1">Dashboard!D$8* Dashboard!$F$4+Dashboard!D$10*SQRT(Dashboard!$F$4) * _xlfn.NORM.S.INV(RAND())</f>
        <v>-1.0259173165323453E-2</v>
      </c>
    </row>
    <row r="2954" spans="18:21" x14ac:dyDescent="0.2">
      <c r="R2954" s="49">
        <v>2952</v>
      </c>
      <c r="S2954" s="59">
        <f ca="1">Dashboard!B$8* Dashboard!$F$4+Dashboard!B$10*SQRT(Dashboard!$F$4) * _xlfn.NORM.S.INV(RAND())</f>
        <v>-3.1541461258340765E-2</v>
      </c>
      <c r="T2954" s="59">
        <f ca="1">Dashboard!C$8* Dashboard!$F$4+Dashboard!C$10*SQRT(Dashboard!$F$4) * _xlfn.NORM.S.INV(RAND())</f>
        <v>9.7033562056810276E-3</v>
      </c>
      <c r="U2954" s="59">
        <f ca="1">Dashboard!D$8* Dashboard!$F$4+Dashboard!D$10*SQRT(Dashboard!$F$4) * _xlfn.NORM.S.INV(RAND())</f>
        <v>5.2699667411785216E-2</v>
      </c>
    </row>
    <row r="2955" spans="18:21" x14ac:dyDescent="0.2">
      <c r="R2955" s="49">
        <v>2953</v>
      </c>
      <c r="S2955" s="59">
        <f ca="1">Dashboard!B$8* Dashboard!$F$4+Dashboard!B$10*SQRT(Dashboard!$F$4) * _xlfn.NORM.S.INV(RAND())</f>
        <v>-2.8996310328635366E-2</v>
      </c>
      <c r="T2955" s="59">
        <f ca="1">Dashboard!C$8* Dashboard!$F$4+Dashboard!C$10*SQRT(Dashboard!$F$4) * _xlfn.NORM.S.INV(RAND())</f>
        <v>3.4175551695169358E-2</v>
      </c>
      <c r="U2955" s="59">
        <f ca="1">Dashboard!D$8* Dashboard!$F$4+Dashboard!D$10*SQRT(Dashboard!$F$4) * _xlfn.NORM.S.INV(RAND())</f>
        <v>7.3624531519405631E-3</v>
      </c>
    </row>
    <row r="2956" spans="18:21" x14ac:dyDescent="0.2">
      <c r="R2956" s="49">
        <v>2954</v>
      </c>
      <c r="S2956" s="59">
        <f ca="1">Dashboard!B$8* Dashboard!$F$4+Dashboard!B$10*SQRT(Dashboard!$F$4) * _xlfn.NORM.S.INV(RAND())</f>
        <v>-8.8785226067942674E-3</v>
      </c>
      <c r="T2956" s="59">
        <f ca="1">Dashboard!C$8* Dashboard!$F$4+Dashboard!C$10*SQRT(Dashboard!$F$4) * _xlfn.NORM.S.INV(RAND())</f>
        <v>2.3589518507983617E-2</v>
      </c>
      <c r="U2956" s="59">
        <f ca="1">Dashboard!D$8* Dashboard!$F$4+Dashboard!D$10*SQRT(Dashboard!$F$4) * _xlfn.NORM.S.INV(RAND())</f>
        <v>1.2889783907117622E-2</v>
      </c>
    </row>
    <row r="2957" spans="18:21" x14ac:dyDescent="0.2">
      <c r="R2957" s="49">
        <v>2955</v>
      </c>
      <c r="S2957" s="59">
        <f ca="1">Dashboard!B$8* Dashboard!$F$4+Dashboard!B$10*SQRT(Dashboard!$F$4) * _xlfn.NORM.S.INV(RAND())</f>
        <v>-3.7041048142106937E-2</v>
      </c>
      <c r="T2957" s="59">
        <f ca="1">Dashboard!C$8* Dashboard!$F$4+Dashboard!C$10*SQRT(Dashboard!$F$4) * _xlfn.NORM.S.INV(RAND())</f>
        <v>9.0747206292865132E-3</v>
      </c>
      <c r="U2957" s="59">
        <f ca="1">Dashboard!D$8* Dashboard!$F$4+Dashboard!D$10*SQRT(Dashboard!$F$4) * _xlfn.NORM.S.INV(RAND())</f>
        <v>7.0185489882001045E-2</v>
      </c>
    </row>
    <row r="2958" spans="18:21" x14ac:dyDescent="0.2">
      <c r="R2958" s="49">
        <v>2956</v>
      </c>
      <c r="S2958" s="59">
        <f ca="1">Dashboard!B$8* Dashboard!$F$4+Dashboard!B$10*SQRT(Dashboard!$F$4) * _xlfn.NORM.S.INV(RAND())</f>
        <v>-1.0055560710036673E-2</v>
      </c>
      <c r="T2958" s="59">
        <f ca="1">Dashboard!C$8* Dashboard!$F$4+Dashboard!C$10*SQRT(Dashboard!$F$4) * _xlfn.NORM.S.INV(RAND())</f>
        <v>6.0680419138207972E-2</v>
      </c>
      <c r="U2958" s="59">
        <f ca="1">Dashboard!D$8* Dashboard!$F$4+Dashboard!D$10*SQRT(Dashboard!$F$4) * _xlfn.NORM.S.INV(RAND())</f>
        <v>-7.706184582478027E-4</v>
      </c>
    </row>
    <row r="2959" spans="18:21" x14ac:dyDescent="0.2">
      <c r="R2959" s="49">
        <v>2957</v>
      </c>
      <c r="S2959" s="59">
        <f ca="1">Dashboard!B$8* Dashboard!$F$4+Dashboard!B$10*SQRT(Dashboard!$F$4) * _xlfn.NORM.S.INV(RAND())</f>
        <v>3.2359261577760215E-3</v>
      </c>
      <c r="T2959" s="59">
        <f ca="1">Dashboard!C$8* Dashboard!$F$4+Dashboard!C$10*SQRT(Dashboard!$F$4) * _xlfn.NORM.S.INV(RAND())</f>
        <v>-4.0523111428249575E-2</v>
      </c>
      <c r="U2959" s="59">
        <f ca="1">Dashboard!D$8* Dashboard!$F$4+Dashboard!D$10*SQRT(Dashboard!$F$4) * _xlfn.NORM.S.INV(RAND())</f>
        <v>-1.7379960441956381E-2</v>
      </c>
    </row>
    <row r="2960" spans="18:21" x14ac:dyDescent="0.2">
      <c r="R2960" s="49">
        <v>2958</v>
      </c>
      <c r="S2960" s="59">
        <f ca="1">Dashboard!B$8* Dashboard!$F$4+Dashboard!B$10*SQRT(Dashboard!$F$4) * _xlfn.NORM.S.INV(RAND())</f>
        <v>-4.5766803437797363E-2</v>
      </c>
      <c r="T2960" s="59">
        <f ca="1">Dashboard!C$8* Dashboard!$F$4+Dashboard!C$10*SQRT(Dashboard!$F$4) * _xlfn.NORM.S.INV(RAND())</f>
        <v>3.1826020923428212E-2</v>
      </c>
      <c r="U2960" s="59">
        <f ca="1">Dashboard!D$8* Dashboard!$F$4+Dashboard!D$10*SQRT(Dashboard!$F$4) * _xlfn.NORM.S.INV(RAND())</f>
        <v>-5.1214808790294816E-2</v>
      </c>
    </row>
    <row r="2961" spans="18:21" x14ac:dyDescent="0.2">
      <c r="R2961" s="49">
        <v>2959</v>
      </c>
      <c r="S2961" s="59">
        <f ca="1">Dashboard!B$8* Dashboard!$F$4+Dashboard!B$10*SQRT(Dashboard!$F$4) * _xlfn.NORM.S.INV(RAND())</f>
        <v>2.8075082022151851E-2</v>
      </c>
      <c r="T2961" s="59">
        <f ca="1">Dashboard!C$8* Dashboard!$F$4+Dashboard!C$10*SQRT(Dashboard!$F$4) * _xlfn.NORM.S.INV(RAND())</f>
        <v>4.313222775437691E-2</v>
      </c>
      <c r="U2961" s="59">
        <f ca="1">Dashboard!D$8* Dashboard!$F$4+Dashboard!D$10*SQRT(Dashboard!$F$4) * _xlfn.NORM.S.INV(RAND())</f>
        <v>-4.0547689786651582E-2</v>
      </c>
    </row>
    <row r="2962" spans="18:21" x14ac:dyDescent="0.2">
      <c r="R2962" s="49">
        <v>2960</v>
      </c>
      <c r="S2962" s="59">
        <f ca="1">Dashboard!B$8* Dashboard!$F$4+Dashboard!B$10*SQRT(Dashboard!$F$4) * _xlfn.NORM.S.INV(RAND())</f>
        <v>-2.8076317787632137E-2</v>
      </c>
      <c r="T2962" s="59">
        <f ca="1">Dashboard!C$8* Dashboard!$F$4+Dashboard!C$10*SQRT(Dashboard!$F$4) * _xlfn.NORM.S.INV(RAND())</f>
        <v>-2.6104061510804331E-2</v>
      </c>
      <c r="U2962" s="59">
        <f ca="1">Dashboard!D$8* Dashboard!$F$4+Dashboard!D$10*SQRT(Dashboard!$F$4) * _xlfn.NORM.S.INV(RAND())</f>
        <v>3.3009765874752448E-2</v>
      </c>
    </row>
    <row r="2963" spans="18:21" x14ac:dyDescent="0.2">
      <c r="R2963" s="49">
        <v>2961</v>
      </c>
      <c r="S2963" s="59">
        <f ca="1">Dashboard!B$8* Dashboard!$F$4+Dashboard!B$10*SQRT(Dashboard!$F$4) * _xlfn.NORM.S.INV(RAND())</f>
        <v>2.746121104181809E-2</v>
      </c>
      <c r="T2963" s="59">
        <f ca="1">Dashboard!C$8* Dashboard!$F$4+Dashboard!C$10*SQRT(Dashboard!$F$4) * _xlfn.NORM.S.INV(RAND())</f>
        <v>5.5016845495995587E-2</v>
      </c>
      <c r="U2963" s="59">
        <f ca="1">Dashboard!D$8* Dashboard!$F$4+Dashboard!D$10*SQRT(Dashboard!$F$4) * _xlfn.NORM.S.INV(RAND())</f>
        <v>-7.673046717939812E-3</v>
      </c>
    </row>
    <row r="2964" spans="18:21" x14ac:dyDescent="0.2">
      <c r="R2964" s="49">
        <v>2962</v>
      </c>
      <c r="S2964" s="59">
        <f ca="1">Dashboard!B$8* Dashboard!$F$4+Dashboard!B$10*SQRT(Dashboard!$F$4) * _xlfn.NORM.S.INV(RAND())</f>
        <v>2.0811880371242812E-2</v>
      </c>
      <c r="T2964" s="59">
        <f ca="1">Dashboard!C$8* Dashboard!$F$4+Dashboard!C$10*SQRT(Dashboard!$F$4) * _xlfn.NORM.S.INV(RAND())</f>
        <v>7.2659469030123228E-2</v>
      </c>
      <c r="U2964" s="59">
        <f ca="1">Dashboard!D$8* Dashboard!$F$4+Dashboard!D$10*SQRT(Dashboard!$F$4) * _xlfn.NORM.S.INV(RAND())</f>
        <v>-8.3862397115052906E-4</v>
      </c>
    </row>
    <row r="2965" spans="18:21" x14ac:dyDescent="0.2">
      <c r="R2965" s="49">
        <v>2963</v>
      </c>
      <c r="S2965" s="59">
        <f ca="1">Dashboard!B$8* Dashboard!$F$4+Dashboard!B$10*SQRT(Dashboard!$F$4) * _xlfn.NORM.S.INV(RAND())</f>
        <v>-2.6751648468011487E-2</v>
      </c>
      <c r="T2965" s="59">
        <f ca="1">Dashboard!C$8* Dashboard!$F$4+Dashboard!C$10*SQRT(Dashboard!$F$4) * _xlfn.NORM.S.INV(RAND())</f>
        <v>1.5129946973926098E-2</v>
      </c>
      <c r="U2965" s="59">
        <f ca="1">Dashboard!D$8* Dashboard!$F$4+Dashboard!D$10*SQRT(Dashboard!$F$4) * _xlfn.NORM.S.INV(RAND())</f>
        <v>3.1732738940205694E-2</v>
      </c>
    </row>
    <row r="2966" spans="18:21" x14ac:dyDescent="0.2">
      <c r="R2966" s="49">
        <v>2964</v>
      </c>
      <c r="S2966" s="59">
        <f ca="1">Dashboard!B$8* Dashboard!$F$4+Dashboard!B$10*SQRT(Dashboard!$F$4) * _xlfn.NORM.S.INV(RAND())</f>
        <v>2.6426144745717597E-2</v>
      </c>
      <c r="T2966" s="59">
        <f ca="1">Dashboard!C$8* Dashboard!$F$4+Dashboard!C$10*SQRT(Dashboard!$F$4) * _xlfn.NORM.S.INV(RAND())</f>
        <v>1.5227530276511633E-2</v>
      </c>
      <c r="U2966" s="59">
        <f ca="1">Dashboard!D$8* Dashboard!$F$4+Dashboard!D$10*SQRT(Dashboard!$F$4) * _xlfn.NORM.S.INV(RAND())</f>
        <v>1.8712158543821418E-2</v>
      </c>
    </row>
    <row r="2967" spans="18:21" x14ac:dyDescent="0.2">
      <c r="R2967" s="49">
        <v>2965</v>
      </c>
      <c r="S2967" s="59">
        <f ca="1">Dashboard!B$8* Dashboard!$F$4+Dashboard!B$10*SQRT(Dashboard!$F$4) * _xlfn.NORM.S.INV(RAND())</f>
        <v>7.8186608139485976E-3</v>
      </c>
      <c r="T2967" s="59">
        <f ca="1">Dashboard!C$8* Dashboard!$F$4+Dashboard!C$10*SQRT(Dashboard!$F$4) * _xlfn.NORM.S.INV(RAND())</f>
        <v>3.2725980630221259E-2</v>
      </c>
      <c r="U2967" s="59">
        <f ca="1">Dashboard!D$8* Dashboard!$F$4+Dashboard!D$10*SQRT(Dashboard!$F$4) * _xlfn.NORM.S.INV(RAND())</f>
        <v>1.8939913958150867E-2</v>
      </c>
    </row>
    <row r="2968" spans="18:21" x14ac:dyDescent="0.2">
      <c r="R2968" s="49">
        <v>2966</v>
      </c>
      <c r="S2968" s="59">
        <f ca="1">Dashboard!B$8* Dashboard!$F$4+Dashboard!B$10*SQRT(Dashboard!$F$4) * _xlfn.NORM.S.INV(RAND())</f>
        <v>1.6351180540562088E-2</v>
      </c>
      <c r="T2968" s="59">
        <f ca="1">Dashboard!C$8* Dashboard!$F$4+Dashboard!C$10*SQRT(Dashboard!$F$4) * _xlfn.NORM.S.INV(RAND())</f>
        <v>7.6535339327454932E-2</v>
      </c>
      <c r="U2968" s="59">
        <f ca="1">Dashboard!D$8* Dashboard!$F$4+Dashboard!D$10*SQRT(Dashboard!$F$4) * _xlfn.NORM.S.INV(RAND())</f>
        <v>-1.8883901873885736E-2</v>
      </c>
    </row>
    <row r="2969" spans="18:21" x14ac:dyDescent="0.2">
      <c r="R2969" s="49">
        <v>2967</v>
      </c>
      <c r="S2969" s="59">
        <f ca="1">Dashboard!B$8* Dashboard!$F$4+Dashboard!B$10*SQRT(Dashboard!$F$4) * _xlfn.NORM.S.INV(RAND())</f>
        <v>-1.3421487368956399E-2</v>
      </c>
      <c r="T2969" s="59">
        <f ca="1">Dashboard!C$8* Dashboard!$F$4+Dashboard!C$10*SQRT(Dashboard!$F$4) * _xlfn.NORM.S.INV(RAND())</f>
        <v>3.3563478322856631E-2</v>
      </c>
      <c r="U2969" s="59">
        <f ca="1">Dashboard!D$8* Dashboard!$F$4+Dashboard!D$10*SQRT(Dashboard!$F$4) * _xlfn.NORM.S.INV(RAND())</f>
        <v>2.4696526344695376E-2</v>
      </c>
    </row>
    <row r="2970" spans="18:21" x14ac:dyDescent="0.2">
      <c r="R2970" s="49">
        <v>2968</v>
      </c>
      <c r="S2970" s="59">
        <f ca="1">Dashboard!B$8* Dashboard!$F$4+Dashboard!B$10*SQRT(Dashboard!$F$4) * _xlfn.NORM.S.INV(RAND())</f>
        <v>1.1578578062762164E-2</v>
      </c>
      <c r="T2970" s="59">
        <f ca="1">Dashboard!C$8* Dashboard!$F$4+Dashboard!C$10*SQRT(Dashboard!$F$4) * _xlfn.NORM.S.INV(RAND())</f>
        <v>2.7071216164567057E-2</v>
      </c>
      <c r="U2970" s="59">
        <f ca="1">Dashboard!D$8* Dashboard!$F$4+Dashboard!D$10*SQRT(Dashboard!$F$4) * _xlfn.NORM.S.INV(RAND())</f>
        <v>1.3172541161950945E-2</v>
      </c>
    </row>
    <row r="2971" spans="18:21" x14ac:dyDescent="0.2">
      <c r="R2971" s="49">
        <v>2969</v>
      </c>
      <c r="S2971" s="59">
        <f ca="1">Dashboard!B$8* Dashboard!$F$4+Dashboard!B$10*SQRT(Dashboard!$F$4) * _xlfn.NORM.S.INV(RAND())</f>
        <v>1.5878412509173307E-3</v>
      </c>
      <c r="T2971" s="59">
        <f ca="1">Dashboard!C$8* Dashboard!$F$4+Dashboard!C$10*SQRT(Dashboard!$F$4) * _xlfn.NORM.S.INV(RAND())</f>
        <v>-3.477614481949106E-2</v>
      </c>
      <c r="U2971" s="59">
        <f ca="1">Dashboard!D$8* Dashboard!$F$4+Dashboard!D$10*SQRT(Dashboard!$F$4) * _xlfn.NORM.S.INV(RAND())</f>
        <v>3.0797337049293067E-2</v>
      </c>
    </row>
    <row r="2972" spans="18:21" x14ac:dyDescent="0.2">
      <c r="R2972" s="49">
        <v>2970</v>
      </c>
      <c r="S2972" s="59">
        <f ca="1">Dashboard!B$8* Dashboard!$F$4+Dashboard!B$10*SQRT(Dashboard!$F$4) * _xlfn.NORM.S.INV(RAND())</f>
        <v>9.1749950207908187E-3</v>
      </c>
      <c r="T2972" s="59">
        <f ca="1">Dashboard!C$8* Dashboard!$F$4+Dashboard!C$10*SQRT(Dashboard!$F$4) * _xlfn.NORM.S.INV(RAND())</f>
        <v>-1.9051926331095967E-2</v>
      </c>
      <c r="U2972" s="59">
        <f ca="1">Dashboard!D$8* Dashboard!$F$4+Dashboard!D$10*SQRT(Dashboard!$F$4) * _xlfn.NORM.S.INV(RAND())</f>
        <v>2.2357676537286174E-2</v>
      </c>
    </row>
    <row r="2973" spans="18:21" x14ac:dyDescent="0.2">
      <c r="R2973" s="49">
        <v>2971</v>
      </c>
      <c r="S2973" s="59">
        <f ca="1">Dashboard!B$8* Dashboard!$F$4+Dashboard!B$10*SQRT(Dashboard!$F$4) * _xlfn.NORM.S.INV(RAND())</f>
        <v>-2.1975192061373883E-2</v>
      </c>
      <c r="T2973" s="59">
        <f ca="1">Dashboard!C$8* Dashboard!$F$4+Dashboard!C$10*SQRT(Dashboard!$F$4) * _xlfn.NORM.S.INV(RAND())</f>
        <v>-3.9646878773627152E-2</v>
      </c>
      <c r="U2973" s="59">
        <f ca="1">Dashboard!D$8* Dashboard!$F$4+Dashboard!D$10*SQRT(Dashboard!$F$4) * _xlfn.NORM.S.INV(RAND())</f>
        <v>7.6105354270543255E-2</v>
      </c>
    </row>
    <row r="2974" spans="18:21" x14ac:dyDescent="0.2">
      <c r="R2974" s="49">
        <v>2972</v>
      </c>
      <c r="S2974" s="59">
        <f ca="1">Dashboard!B$8* Dashboard!$F$4+Dashboard!B$10*SQRT(Dashboard!$F$4) * _xlfn.NORM.S.INV(RAND())</f>
        <v>-1.3247950952685958E-2</v>
      </c>
      <c r="T2974" s="59">
        <f ca="1">Dashboard!C$8* Dashboard!$F$4+Dashboard!C$10*SQRT(Dashboard!$F$4) * _xlfn.NORM.S.INV(RAND())</f>
        <v>-1.3889388483792647E-2</v>
      </c>
      <c r="U2974" s="59">
        <f ca="1">Dashboard!D$8* Dashboard!$F$4+Dashboard!D$10*SQRT(Dashboard!$F$4) * _xlfn.NORM.S.INV(RAND())</f>
        <v>4.3279818272790871E-2</v>
      </c>
    </row>
    <row r="2975" spans="18:21" x14ac:dyDescent="0.2">
      <c r="R2975" s="49">
        <v>2973</v>
      </c>
      <c r="S2975" s="59">
        <f ca="1">Dashboard!B$8* Dashboard!$F$4+Dashboard!B$10*SQRT(Dashboard!$F$4) * _xlfn.NORM.S.INV(RAND())</f>
        <v>-3.3718588675879582E-2</v>
      </c>
      <c r="T2975" s="59">
        <f ca="1">Dashboard!C$8* Dashboard!$F$4+Dashboard!C$10*SQRT(Dashboard!$F$4) * _xlfn.NORM.S.INV(RAND())</f>
        <v>3.9027489177827134E-2</v>
      </c>
      <c r="U2975" s="59">
        <f ca="1">Dashboard!D$8* Dashboard!$F$4+Dashboard!D$10*SQRT(Dashboard!$F$4) * _xlfn.NORM.S.INV(RAND())</f>
        <v>1.1988444277099355E-2</v>
      </c>
    </row>
    <row r="2976" spans="18:21" x14ac:dyDescent="0.2">
      <c r="R2976" s="49">
        <v>2974</v>
      </c>
      <c r="S2976" s="59">
        <f ca="1">Dashboard!B$8* Dashboard!$F$4+Dashboard!B$10*SQRT(Dashboard!$F$4) * _xlfn.NORM.S.INV(RAND())</f>
        <v>2.4818456188647683E-2</v>
      </c>
      <c r="T2976" s="59">
        <f ca="1">Dashboard!C$8* Dashboard!$F$4+Dashboard!C$10*SQRT(Dashboard!$F$4) * _xlfn.NORM.S.INV(RAND())</f>
        <v>-7.5668352980845588E-3</v>
      </c>
      <c r="U2976" s="59">
        <f ca="1">Dashboard!D$8* Dashboard!$F$4+Dashboard!D$10*SQRT(Dashboard!$F$4) * _xlfn.NORM.S.INV(RAND())</f>
        <v>2.5259853621979614E-3</v>
      </c>
    </row>
    <row r="2977" spans="18:21" x14ac:dyDescent="0.2">
      <c r="R2977" s="49">
        <v>2975</v>
      </c>
      <c r="S2977" s="59">
        <f ca="1">Dashboard!B$8* Dashboard!$F$4+Dashboard!B$10*SQRT(Dashboard!$F$4) * _xlfn.NORM.S.INV(RAND())</f>
        <v>-1.0776468164965813E-2</v>
      </c>
      <c r="T2977" s="59">
        <f ca="1">Dashboard!C$8* Dashboard!$F$4+Dashboard!C$10*SQRT(Dashboard!$F$4) * _xlfn.NORM.S.INV(RAND())</f>
        <v>-1.4020808707469145E-2</v>
      </c>
      <c r="U2977" s="59">
        <f ca="1">Dashboard!D$8* Dashboard!$F$4+Dashboard!D$10*SQRT(Dashboard!$F$4) * _xlfn.NORM.S.INV(RAND())</f>
        <v>3.3658537128095217E-2</v>
      </c>
    </row>
    <row r="2978" spans="18:21" x14ac:dyDescent="0.2">
      <c r="R2978" s="49">
        <v>2976</v>
      </c>
      <c r="S2978" s="59">
        <f ca="1">Dashboard!B$8* Dashboard!$F$4+Dashboard!B$10*SQRT(Dashboard!$F$4) * _xlfn.NORM.S.INV(RAND())</f>
        <v>3.4090504436268661E-2</v>
      </c>
      <c r="T2978" s="59">
        <f ca="1">Dashboard!C$8* Dashboard!$F$4+Dashboard!C$10*SQRT(Dashboard!$F$4) * _xlfn.NORM.S.INV(RAND())</f>
        <v>2.7227031103732095E-2</v>
      </c>
      <c r="U2978" s="59">
        <f ca="1">Dashboard!D$8* Dashboard!$F$4+Dashboard!D$10*SQRT(Dashboard!$F$4) * _xlfn.NORM.S.INV(RAND())</f>
        <v>-9.5356516790964818E-4</v>
      </c>
    </row>
    <row r="2979" spans="18:21" x14ac:dyDescent="0.2">
      <c r="R2979" s="49">
        <v>2977</v>
      </c>
      <c r="S2979" s="59">
        <f ca="1">Dashboard!B$8* Dashboard!$F$4+Dashboard!B$10*SQRT(Dashboard!$F$4) * _xlfn.NORM.S.INV(RAND())</f>
        <v>-1.9486091292698765E-2</v>
      </c>
      <c r="T2979" s="59">
        <f ca="1">Dashboard!C$8* Dashboard!$F$4+Dashboard!C$10*SQRT(Dashboard!$F$4) * _xlfn.NORM.S.INV(RAND())</f>
        <v>7.863326074290411E-2</v>
      </c>
      <c r="U2979" s="59">
        <f ca="1">Dashboard!D$8* Dashboard!$F$4+Dashboard!D$10*SQRT(Dashboard!$F$4) * _xlfn.NORM.S.INV(RAND())</f>
        <v>6.4912127737345421E-2</v>
      </c>
    </row>
    <row r="2980" spans="18:21" x14ac:dyDescent="0.2">
      <c r="R2980" s="49">
        <v>2978</v>
      </c>
      <c r="S2980" s="59">
        <f ca="1">Dashboard!B$8* Dashboard!$F$4+Dashboard!B$10*SQRT(Dashboard!$F$4) * _xlfn.NORM.S.INV(RAND())</f>
        <v>2.1942709151398232E-3</v>
      </c>
      <c r="T2980" s="59">
        <f ca="1">Dashboard!C$8* Dashboard!$F$4+Dashboard!C$10*SQRT(Dashboard!$F$4) * _xlfn.NORM.S.INV(RAND())</f>
        <v>-1.1546989858545634E-2</v>
      </c>
      <c r="U2980" s="59">
        <f ca="1">Dashboard!D$8* Dashboard!$F$4+Dashboard!D$10*SQRT(Dashboard!$F$4) * _xlfn.NORM.S.INV(RAND())</f>
        <v>3.456601595872353E-2</v>
      </c>
    </row>
    <row r="2981" spans="18:21" x14ac:dyDescent="0.2">
      <c r="R2981" s="49">
        <v>2979</v>
      </c>
      <c r="S2981" s="59">
        <f ca="1">Dashboard!B$8* Dashboard!$F$4+Dashboard!B$10*SQRT(Dashboard!$F$4) * _xlfn.NORM.S.INV(RAND())</f>
        <v>-2.9043981964797884E-2</v>
      </c>
      <c r="T2981" s="59">
        <f ca="1">Dashboard!C$8* Dashboard!$F$4+Dashboard!C$10*SQRT(Dashboard!$F$4) * _xlfn.NORM.S.INV(RAND())</f>
        <v>1.9620384760836589E-2</v>
      </c>
      <c r="U2981" s="59">
        <f ca="1">Dashboard!D$8* Dashboard!$F$4+Dashboard!D$10*SQRT(Dashboard!$F$4) * _xlfn.NORM.S.INV(RAND())</f>
        <v>-7.9589906061964515E-3</v>
      </c>
    </row>
    <row r="2982" spans="18:21" x14ac:dyDescent="0.2">
      <c r="R2982" s="49">
        <v>2980</v>
      </c>
      <c r="S2982" s="59">
        <f ca="1">Dashboard!B$8* Dashboard!$F$4+Dashboard!B$10*SQRT(Dashboard!$F$4) * _xlfn.NORM.S.INV(RAND())</f>
        <v>-1.0557517956084235E-2</v>
      </c>
      <c r="T2982" s="59">
        <f ca="1">Dashboard!C$8* Dashboard!$F$4+Dashboard!C$10*SQRT(Dashboard!$F$4) * _xlfn.NORM.S.INV(RAND())</f>
        <v>5.0632744436822627E-2</v>
      </c>
      <c r="U2982" s="59">
        <f ca="1">Dashboard!D$8* Dashboard!$F$4+Dashboard!D$10*SQRT(Dashboard!$F$4) * _xlfn.NORM.S.INV(RAND())</f>
        <v>9.2205801754485454E-3</v>
      </c>
    </row>
    <row r="2983" spans="18:21" x14ac:dyDescent="0.2">
      <c r="R2983" s="49">
        <v>2981</v>
      </c>
      <c r="S2983" s="59">
        <f ca="1">Dashboard!B$8* Dashboard!$F$4+Dashboard!B$10*SQRT(Dashboard!$F$4) * _xlfn.NORM.S.INV(RAND())</f>
        <v>1.9359831736619891E-2</v>
      </c>
      <c r="T2983" s="59">
        <f ca="1">Dashboard!C$8* Dashboard!$F$4+Dashboard!C$10*SQRT(Dashboard!$F$4) * _xlfn.NORM.S.INV(RAND())</f>
        <v>-2.4011030559732041E-2</v>
      </c>
      <c r="U2983" s="59">
        <f ca="1">Dashboard!D$8* Dashboard!$F$4+Dashboard!D$10*SQRT(Dashboard!$F$4) * _xlfn.NORM.S.INV(RAND())</f>
        <v>1.2078272755747837E-2</v>
      </c>
    </row>
    <row r="2984" spans="18:21" x14ac:dyDescent="0.2">
      <c r="R2984" s="49">
        <v>2982</v>
      </c>
      <c r="S2984" s="59">
        <f ca="1">Dashboard!B$8* Dashboard!$F$4+Dashboard!B$10*SQRT(Dashboard!$F$4) * _xlfn.NORM.S.INV(RAND())</f>
        <v>-8.0955536550719798E-2</v>
      </c>
      <c r="T2984" s="59">
        <f ca="1">Dashboard!C$8* Dashboard!$F$4+Dashboard!C$10*SQRT(Dashboard!$F$4) * _xlfn.NORM.S.INV(RAND())</f>
        <v>-4.2602323127283225E-3</v>
      </c>
      <c r="U2984" s="59">
        <f ca="1">Dashboard!D$8* Dashboard!$F$4+Dashboard!D$10*SQRT(Dashboard!$F$4) * _xlfn.NORM.S.INV(RAND())</f>
        <v>2.2587079175498594E-2</v>
      </c>
    </row>
    <row r="2985" spans="18:21" x14ac:dyDescent="0.2">
      <c r="R2985" s="49">
        <v>2983</v>
      </c>
      <c r="S2985" s="59">
        <f ca="1">Dashboard!B$8* Dashboard!$F$4+Dashboard!B$10*SQRT(Dashboard!$F$4) * _xlfn.NORM.S.INV(RAND())</f>
        <v>-5.0378910412600904E-2</v>
      </c>
      <c r="T2985" s="59">
        <f ca="1">Dashboard!C$8* Dashboard!$F$4+Dashboard!C$10*SQRT(Dashboard!$F$4) * _xlfn.NORM.S.INV(RAND())</f>
        <v>1.6951513150564874E-2</v>
      </c>
      <c r="U2985" s="59">
        <f ca="1">Dashboard!D$8* Dashboard!$F$4+Dashboard!D$10*SQRT(Dashboard!$F$4) * _xlfn.NORM.S.INV(RAND())</f>
        <v>-4.4646331664089142E-2</v>
      </c>
    </row>
    <row r="2986" spans="18:21" x14ac:dyDescent="0.2">
      <c r="R2986" s="49">
        <v>2984</v>
      </c>
      <c r="S2986" s="59">
        <f ca="1">Dashboard!B$8* Dashboard!$F$4+Dashboard!B$10*SQRT(Dashboard!$F$4) * _xlfn.NORM.S.INV(RAND())</f>
        <v>-1.9783803691326984E-2</v>
      </c>
      <c r="T2986" s="59">
        <f ca="1">Dashboard!C$8* Dashboard!$F$4+Dashboard!C$10*SQRT(Dashboard!$F$4) * _xlfn.NORM.S.INV(RAND())</f>
        <v>2.7279808517453225E-2</v>
      </c>
      <c r="U2986" s="59">
        <f ca="1">Dashboard!D$8* Dashboard!$F$4+Dashboard!D$10*SQRT(Dashboard!$F$4) * _xlfn.NORM.S.INV(RAND())</f>
        <v>6.8934835219703009E-3</v>
      </c>
    </row>
    <row r="2987" spans="18:21" x14ac:dyDescent="0.2">
      <c r="R2987" s="49">
        <v>2985</v>
      </c>
      <c r="S2987" s="59">
        <f ca="1">Dashboard!B$8* Dashboard!$F$4+Dashboard!B$10*SQRT(Dashboard!$F$4) * _xlfn.NORM.S.INV(RAND())</f>
        <v>-1.258012434985268E-2</v>
      </c>
      <c r="T2987" s="59">
        <f ca="1">Dashboard!C$8* Dashboard!$F$4+Dashboard!C$10*SQRT(Dashboard!$F$4) * _xlfn.NORM.S.INV(RAND())</f>
        <v>3.053117264999286E-2</v>
      </c>
      <c r="U2987" s="59">
        <f ca="1">Dashboard!D$8* Dashboard!$F$4+Dashboard!D$10*SQRT(Dashboard!$F$4) * _xlfn.NORM.S.INV(RAND())</f>
        <v>3.4836144507875616E-2</v>
      </c>
    </row>
    <row r="2988" spans="18:21" x14ac:dyDescent="0.2">
      <c r="R2988" s="49">
        <v>2986</v>
      </c>
      <c r="S2988" s="59">
        <f ca="1">Dashboard!B$8* Dashboard!$F$4+Dashboard!B$10*SQRT(Dashboard!$F$4) * _xlfn.NORM.S.INV(RAND())</f>
        <v>-1.7682152973022947E-2</v>
      </c>
      <c r="T2988" s="59">
        <f ca="1">Dashboard!C$8* Dashboard!$F$4+Dashboard!C$10*SQRT(Dashboard!$F$4) * _xlfn.NORM.S.INV(RAND())</f>
        <v>-3.4878097510374663E-2</v>
      </c>
      <c r="U2988" s="59">
        <f ca="1">Dashboard!D$8* Dashboard!$F$4+Dashboard!D$10*SQRT(Dashboard!$F$4) * _xlfn.NORM.S.INV(RAND())</f>
        <v>-7.6460045939853893E-2</v>
      </c>
    </row>
    <row r="2989" spans="18:21" x14ac:dyDescent="0.2">
      <c r="R2989" s="49">
        <v>2987</v>
      </c>
      <c r="S2989" s="59">
        <f ca="1">Dashboard!B$8* Dashboard!$F$4+Dashboard!B$10*SQRT(Dashboard!$F$4) * _xlfn.NORM.S.INV(RAND())</f>
        <v>7.7243167844343638E-2</v>
      </c>
      <c r="T2989" s="59">
        <f ca="1">Dashboard!C$8* Dashboard!$F$4+Dashboard!C$10*SQRT(Dashboard!$F$4) * _xlfn.NORM.S.INV(RAND())</f>
        <v>1.3811131713243573E-2</v>
      </c>
      <c r="U2989" s="59">
        <f ca="1">Dashboard!D$8* Dashboard!$F$4+Dashboard!D$10*SQRT(Dashboard!$F$4) * _xlfn.NORM.S.INV(RAND())</f>
        <v>-3.5905244831967324E-2</v>
      </c>
    </row>
    <row r="2990" spans="18:21" x14ac:dyDescent="0.2">
      <c r="R2990" s="49">
        <v>2988</v>
      </c>
      <c r="S2990" s="59">
        <f ca="1">Dashboard!B$8* Dashboard!$F$4+Dashboard!B$10*SQRT(Dashboard!$F$4) * _xlfn.NORM.S.INV(RAND())</f>
        <v>5.6849400760359218E-3</v>
      </c>
      <c r="T2990" s="59">
        <f ca="1">Dashboard!C$8* Dashboard!$F$4+Dashboard!C$10*SQRT(Dashboard!$F$4) * _xlfn.NORM.S.INV(RAND())</f>
        <v>2.8955030756032108E-2</v>
      </c>
      <c r="U2990" s="59">
        <f ca="1">Dashboard!D$8* Dashboard!$F$4+Dashboard!D$10*SQRT(Dashboard!$F$4) * _xlfn.NORM.S.INV(RAND())</f>
        <v>7.1491803277962248E-3</v>
      </c>
    </row>
    <row r="2991" spans="18:21" x14ac:dyDescent="0.2">
      <c r="R2991" s="49">
        <v>2989</v>
      </c>
      <c r="S2991" s="59">
        <f ca="1">Dashboard!B$8* Dashboard!$F$4+Dashboard!B$10*SQRT(Dashboard!$F$4) * _xlfn.NORM.S.INV(RAND())</f>
        <v>1.9660170019557201E-2</v>
      </c>
      <c r="T2991" s="59">
        <f ca="1">Dashboard!C$8* Dashboard!$F$4+Dashboard!C$10*SQRT(Dashboard!$F$4) * _xlfn.NORM.S.INV(RAND())</f>
        <v>-1.6139297059378888E-2</v>
      </c>
      <c r="U2991" s="59">
        <f ca="1">Dashboard!D$8* Dashboard!$F$4+Dashboard!D$10*SQRT(Dashboard!$F$4) * _xlfn.NORM.S.INV(RAND())</f>
        <v>1.4336702213293072E-2</v>
      </c>
    </row>
    <row r="2992" spans="18:21" x14ac:dyDescent="0.2">
      <c r="R2992" s="49">
        <v>2990</v>
      </c>
      <c r="S2992" s="59">
        <f ca="1">Dashboard!B$8* Dashboard!$F$4+Dashboard!B$10*SQRT(Dashboard!$F$4) * _xlfn.NORM.S.INV(RAND())</f>
        <v>4.7374108132549844E-2</v>
      </c>
      <c r="T2992" s="59">
        <f ca="1">Dashboard!C$8* Dashboard!$F$4+Dashboard!C$10*SQRT(Dashboard!$F$4) * _xlfn.NORM.S.INV(RAND())</f>
        <v>-4.7395210310854141E-2</v>
      </c>
      <c r="U2992" s="59">
        <f ca="1">Dashboard!D$8* Dashboard!$F$4+Dashboard!D$10*SQRT(Dashboard!$F$4) * _xlfn.NORM.S.INV(RAND())</f>
        <v>4.7228676807753098E-3</v>
      </c>
    </row>
    <row r="2993" spans="18:21" x14ac:dyDescent="0.2">
      <c r="R2993" s="49">
        <v>2991</v>
      </c>
      <c r="S2993" s="59">
        <f ca="1">Dashboard!B$8* Dashboard!$F$4+Dashboard!B$10*SQRT(Dashboard!$F$4) * _xlfn.NORM.S.INV(RAND())</f>
        <v>-4.9393499442566768E-2</v>
      </c>
      <c r="T2993" s="59">
        <f ca="1">Dashboard!C$8* Dashboard!$F$4+Dashboard!C$10*SQRT(Dashboard!$F$4) * _xlfn.NORM.S.INV(RAND())</f>
        <v>-2.0535735431169672E-2</v>
      </c>
      <c r="U2993" s="59">
        <f ca="1">Dashboard!D$8* Dashboard!$F$4+Dashboard!D$10*SQRT(Dashboard!$F$4) * _xlfn.NORM.S.INV(RAND())</f>
        <v>-1.8464558861820155E-3</v>
      </c>
    </row>
    <row r="2994" spans="18:21" x14ac:dyDescent="0.2">
      <c r="R2994" s="49">
        <v>2992</v>
      </c>
      <c r="S2994" s="59">
        <f ca="1">Dashboard!B$8* Dashboard!$F$4+Dashboard!B$10*SQRT(Dashboard!$F$4) * _xlfn.NORM.S.INV(RAND())</f>
        <v>-2.7483358713372652E-2</v>
      </c>
      <c r="T2994" s="59">
        <f ca="1">Dashboard!C$8* Dashboard!$F$4+Dashboard!C$10*SQRT(Dashboard!$F$4) * _xlfn.NORM.S.INV(RAND())</f>
        <v>-4.9749608181046234E-2</v>
      </c>
      <c r="U2994" s="59">
        <f ca="1">Dashboard!D$8* Dashboard!$F$4+Dashboard!D$10*SQRT(Dashboard!$F$4) * _xlfn.NORM.S.INV(RAND())</f>
        <v>2.7586761947953654E-2</v>
      </c>
    </row>
    <row r="2995" spans="18:21" x14ac:dyDescent="0.2">
      <c r="R2995" s="49">
        <v>2993</v>
      </c>
      <c r="S2995" s="59">
        <f ca="1">Dashboard!B$8* Dashboard!$F$4+Dashboard!B$10*SQRT(Dashboard!$F$4) * _xlfn.NORM.S.INV(RAND())</f>
        <v>-2.7263605798128386E-2</v>
      </c>
      <c r="T2995" s="59">
        <f ca="1">Dashboard!C$8* Dashboard!$F$4+Dashboard!C$10*SQRT(Dashboard!$F$4) * _xlfn.NORM.S.INV(RAND())</f>
        <v>1.8295633871257627E-2</v>
      </c>
      <c r="U2995" s="59">
        <f ca="1">Dashboard!D$8* Dashboard!$F$4+Dashboard!D$10*SQRT(Dashboard!$F$4) * _xlfn.NORM.S.INV(RAND())</f>
        <v>-3.7330884787998273E-4</v>
      </c>
    </row>
    <row r="2996" spans="18:21" x14ac:dyDescent="0.2">
      <c r="R2996" s="49">
        <v>2994</v>
      </c>
      <c r="S2996" s="59">
        <f ca="1">Dashboard!B$8* Dashboard!$F$4+Dashboard!B$10*SQRT(Dashboard!$F$4) * _xlfn.NORM.S.INV(RAND())</f>
        <v>-1.9359543238803931E-2</v>
      </c>
      <c r="T2996" s="59">
        <f ca="1">Dashboard!C$8* Dashboard!$F$4+Dashboard!C$10*SQRT(Dashboard!$F$4) * _xlfn.NORM.S.INV(RAND())</f>
        <v>2.6907836560578473E-2</v>
      </c>
      <c r="U2996" s="59">
        <f ca="1">Dashboard!D$8* Dashboard!$F$4+Dashboard!D$10*SQRT(Dashboard!$F$4) * _xlfn.NORM.S.INV(RAND())</f>
        <v>-2.0211537300633717E-2</v>
      </c>
    </row>
    <row r="2997" spans="18:21" x14ac:dyDescent="0.2">
      <c r="R2997" s="49">
        <v>2995</v>
      </c>
      <c r="S2997" s="59">
        <f ca="1">Dashboard!B$8* Dashboard!$F$4+Dashboard!B$10*SQRT(Dashboard!$F$4) * _xlfn.NORM.S.INV(RAND())</f>
        <v>1.0582189387030578E-2</v>
      </c>
      <c r="T2997" s="59">
        <f ca="1">Dashboard!C$8* Dashboard!$F$4+Dashboard!C$10*SQRT(Dashboard!$F$4) * _xlfn.NORM.S.INV(RAND())</f>
        <v>-1.4375221612140811E-2</v>
      </c>
      <c r="U2997" s="59">
        <f ca="1">Dashboard!D$8* Dashboard!$F$4+Dashboard!D$10*SQRT(Dashboard!$F$4) * _xlfn.NORM.S.INV(RAND())</f>
        <v>1.4263624981652963E-2</v>
      </c>
    </row>
    <row r="2998" spans="18:21" x14ac:dyDescent="0.2">
      <c r="R2998" s="49">
        <v>2996</v>
      </c>
      <c r="S2998" s="59">
        <f ca="1">Dashboard!B$8* Dashboard!$F$4+Dashboard!B$10*SQRT(Dashboard!$F$4) * _xlfn.NORM.S.INV(RAND())</f>
        <v>3.7553812743174847E-2</v>
      </c>
      <c r="T2998" s="59">
        <f ca="1">Dashboard!C$8* Dashboard!$F$4+Dashboard!C$10*SQRT(Dashboard!$F$4) * _xlfn.NORM.S.INV(RAND())</f>
        <v>-4.3826205979169676E-2</v>
      </c>
      <c r="U2998" s="59">
        <f ca="1">Dashboard!D$8* Dashboard!$F$4+Dashboard!D$10*SQRT(Dashboard!$F$4) * _xlfn.NORM.S.INV(RAND())</f>
        <v>-1.6957257070773241E-2</v>
      </c>
    </row>
    <row r="2999" spans="18:21" x14ac:dyDescent="0.2">
      <c r="R2999" s="49">
        <v>2997</v>
      </c>
      <c r="S2999" s="59">
        <f ca="1">Dashboard!B$8* Dashboard!$F$4+Dashboard!B$10*SQRT(Dashboard!$F$4) * _xlfn.NORM.S.INV(RAND())</f>
        <v>-1.8395997218931599E-2</v>
      </c>
      <c r="T2999" s="59">
        <f ca="1">Dashboard!C$8* Dashboard!$F$4+Dashboard!C$10*SQRT(Dashboard!$F$4) * _xlfn.NORM.S.INV(RAND())</f>
        <v>7.9704467586184727E-3</v>
      </c>
      <c r="U2999" s="59">
        <f ca="1">Dashboard!D$8* Dashboard!$F$4+Dashboard!D$10*SQRT(Dashboard!$F$4) * _xlfn.NORM.S.INV(RAND())</f>
        <v>6.5681769956132494E-2</v>
      </c>
    </row>
    <row r="3000" spans="18:21" x14ac:dyDescent="0.2">
      <c r="R3000" s="49">
        <v>2998</v>
      </c>
      <c r="S3000" s="59">
        <f ca="1">Dashboard!B$8* Dashboard!$F$4+Dashboard!B$10*SQRT(Dashboard!$F$4) * _xlfn.NORM.S.INV(RAND())</f>
        <v>3.238395727396394E-2</v>
      </c>
      <c r="T3000" s="59">
        <f ca="1">Dashboard!C$8* Dashboard!$F$4+Dashboard!C$10*SQRT(Dashboard!$F$4) * _xlfn.NORM.S.INV(RAND())</f>
        <v>-6.6368689980808152E-2</v>
      </c>
      <c r="U3000" s="59">
        <f ca="1">Dashboard!D$8* Dashboard!$F$4+Dashboard!D$10*SQRT(Dashboard!$F$4) * _xlfn.NORM.S.INV(RAND())</f>
        <v>-1.436999057436446E-2</v>
      </c>
    </row>
    <row r="3001" spans="18:21" x14ac:dyDescent="0.2">
      <c r="R3001" s="49">
        <v>2999</v>
      </c>
      <c r="S3001" s="59">
        <f ca="1">Dashboard!B$8* Dashboard!$F$4+Dashboard!B$10*SQRT(Dashboard!$F$4) * _xlfn.NORM.S.INV(RAND())</f>
        <v>4.8537943408029117E-2</v>
      </c>
      <c r="T3001" s="59">
        <f ca="1">Dashboard!C$8* Dashboard!$F$4+Dashboard!C$10*SQRT(Dashboard!$F$4) * _xlfn.NORM.S.INV(RAND())</f>
        <v>1.4153286693844771E-2</v>
      </c>
      <c r="U3001" s="59">
        <f ca="1">Dashboard!D$8* Dashboard!$F$4+Dashboard!D$10*SQRT(Dashboard!$F$4) * _xlfn.NORM.S.INV(RAND())</f>
        <v>7.1540270571607825E-3</v>
      </c>
    </row>
    <row r="3002" spans="18:21" x14ac:dyDescent="0.2">
      <c r="R3002" s="49">
        <v>3000</v>
      </c>
      <c r="S3002" s="59">
        <f ca="1">Dashboard!B$8* Dashboard!$F$4+Dashboard!B$10*SQRT(Dashboard!$F$4) * _xlfn.NORM.S.INV(RAND())</f>
        <v>-9.3058372670876098E-3</v>
      </c>
      <c r="T3002" s="59">
        <f ca="1">Dashboard!C$8* Dashboard!$F$4+Dashboard!C$10*SQRT(Dashboard!$F$4) * _xlfn.NORM.S.INV(RAND())</f>
        <v>1.6871385490611474E-2</v>
      </c>
      <c r="U3002" s="59">
        <f ca="1">Dashboard!D$8* Dashboard!$F$4+Dashboard!D$10*SQRT(Dashboard!$F$4) * _xlfn.NORM.S.INV(RAND())</f>
        <v>-1.0558832011791993E-2</v>
      </c>
    </row>
    <row r="3003" spans="18:21" x14ac:dyDescent="0.2">
      <c r="R3003" s="49">
        <v>3001</v>
      </c>
      <c r="S3003" s="59">
        <f ca="1">Dashboard!B$8* Dashboard!$F$4+Dashboard!B$10*SQRT(Dashboard!$F$4) * _xlfn.NORM.S.INV(RAND())</f>
        <v>-3.4775505210907854E-3</v>
      </c>
      <c r="T3003" s="59">
        <f ca="1">Dashboard!C$8* Dashboard!$F$4+Dashboard!C$10*SQRT(Dashboard!$F$4) * _xlfn.NORM.S.INV(RAND())</f>
        <v>8.6183682422248317E-3</v>
      </c>
      <c r="U3003" s="59">
        <f ca="1">Dashboard!D$8* Dashboard!$F$4+Dashboard!D$10*SQRT(Dashboard!$F$4) * _xlfn.NORM.S.INV(RAND())</f>
        <v>3.8878008652892043E-3</v>
      </c>
    </row>
    <row r="3004" spans="18:21" x14ac:dyDescent="0.2">
      <c r="R3004" s="49">
        <v>3002</v>
      </c>
      <c r="S3004" s="59">
        <f ca="1">Dashboard!B$8* Dashboard!$F$4+Dashboard!B$10*SQRT(Dashboard!$F$4) * _xlfn.NORM.S.INV(RAND())</f>
        <v>-4.1353789522315339E-2</v>
      </c>
      <c r="T3004" s="59">
        <f ca="1">Dashboard!C$8* Dashboard!$F$4+Dashboard!C$10*SQRT(Dashboard!$F$4) * _xlfn.NORM.S.INV(RAND())</f>
        <v>1.5543940989562372E-2</v>
      </c>
      <c r="U3004" s="59">
        <f ca="1">Dashboard!D$8* Dashboard!$F$4+Dashboard!D$10*SQRT(Dashboard!$F$4) * _xlfn.NORM.S.INV(RAND())</f>
        <v>3.6216239374942866E-2</v>
      </c>
    </row>
    <row r="3005" spans="18:21" x14ac:dyDescent="0.2">
      <c r="R3005" s="49">
        <v>3003</v>
      </c>
      <c r="S3005" s="59">
        <f ca="1">Dashboard!B$8* Dashboard!$F$4+Dashboard!B$10*SQRT(Dashboard!$F$4) * _xlfn.NORM.S.INV(RAND())</f>
        <v>2.8882821152787209E-2</v>
      </c>
      <c r="T3005" s="59">
        <f ca="1">Dashboard!C$8* Dashboard!$F$4+Dashboard!C$10*SQRT(Dashboard!$F$4) * _xlfn.NORM.S.INV(RAND())</f>
        <v>-1.774048363848622E-2</v>
      </c>
      <c r="U3005" s="59">
        <f ca="1">Dashboard!D$8* Dashboard!$F$4+Dashboard!D$10*SQRT(Dashboard!$F$4) * _xlfn.NORM.S.INV(RAND())</f>
        <v>1.3270962299261566E-2</v>
      </c>
    </row>
    <row r="3006" spans="18:21" x14ac:dyDescent="0.2">
      <c r="R3006" s="49">
        <v>3004</v>
      </c>
      <c r="S3006" s="59">
        <f ca="1">Dashboard!B$8* Dashboard!$F$4+Dashboard!B$10*SQRT(Dashboard!$F$4) * _xlfn.NORM.S.INV(RAND())</f>
        <v>1.3960716018682583E-2</v>
      </c>
      <c r="T3006" s="59">
        <f ca="1">Dashboard!C$8* Dashboard!$F$4+Dashboard!C$10*SQRT(Dashboard!$F$4) * _xlfn.NORM.S.INV(RAND())</f>
        <v>1.4533638647429247E-2</v>
      </c>
      <c r="U3006" s="59">
        <f ca="1">Dashboard!D$8* Dashboard!$F$4+Dashboard!D$10*SQRT(Dashboard!$F$4) * _xlfn.NORM.S.INV(RAND())</f>
        <v>1.2449697018957612E-2</v>
      </c>
    </row>
    <row r="3007" spans="18:21" x14ac:dyDescent="0.2">
      <c r="R3007" s="49">
        <v>3005</v>
      </c>
      <c r="S3007" s="59">
        <f ca="1">Dashboard!B$8* Dashboard!$F$4+Dashboard!B$10*SQRT(Dashboard!$F$4) * _xlfn.NORM.S.INV(RAND())</f>
        <v>-4.1394307059477317E-2</v>
      </c>
      <c r="T3007" s="59">
        <f ca="1">Dashboard!C$8* Dashboard!$F$4+Dashboard!C$10*SQRT(Dashboard!$F$4) * _xlfn.NORM.S.INV(RAND())</f>
        <v>6.5986213749871705E-3</v>
      </c>
      <c r="U3007" s="59">
        <f ca="1">Dashboard!D$8* Dashboard!$F$4+Dashboard!D$10*SQRT(Dashboard!$F$4) * _xlfn.NORM.S.INV(RAND())</f>
        <v>2.5224385477196545E-2</v>
      </c>
    </row>
    <row r="3008" spans="18:21" x14ac:dyDescent="0.2">
      <c r="R3008" s="49">
        <v>3006</v>
      </c>
      <c r="S3008" s="59">
        <f ca="1">Dashboard!B$8* Dashboard!$F$4+Dashboard!B$10*SQRT(Dashboard!$F$4) * _xlfn.NORM.S.INV(RAND())</f>
        <v>2.1111147820924395E-2</v>
      </c>
      <c r="T3008" s="59">
        <f ca="1">Dashboard!C$8* Dashboard!$F$4+Dashboard!C$10*SQRT(Dashboard!$F$4) * _xlfn.NORM.S.INV(RAND())</f>
        <v>3.698205373925418E-4</v>
      </c>
      <c r="U3008" s="59">
        <f ca="1">Dashboard!D$8* Dashboard!$F$4+Dashboard!D$10*SQRT(Dashboard!$F$4) * _xlfn.NORM.S.INV(RAND())</f>
        <v>7.7870978771885082E-3</v>
      </c>
    </row>
    <row r="3009" spans="18:21" x14ac:dyDescent="0.2">
      <c r="R3009" s="49">
        <v>3007</v>
      </c>
      <c r="S3009" s="59">
        <f ca="1">Dashboard!B$8* Dashboard!$F$4+Dashboard!B$10*SQRT(Dashboard!$F$4) * _xlfn.NORM.S.INV(RAND())</f>
        <v>5.2414390579986411E-3</v>
      </c>
      <c r="T3009" s="59">
        <f ca="1">Dashboard!C$8* Dashboard!$F$4+Dashboard!C$10*SQRT(Dashboard!$F$4) * _xlfn.NORM.S.INV(RAND())</f>
        <v>2.6074947412388964E-2</v>
      </c>
      <c r="U3009" s="59">
        <f ca="1">Dashboard!D$8* Dashboard!$F$4+Dashboard!D$10*SQRT(Dashboard!$F$4) * _xlfn.NORM.S.INV(RAND())</f>
        <v>-2.1055619242886441E-2</v>
      </c>
    </row>
    <row r="3010" spans="18:21" x14ac:dyDescent="0.2">
      <c r="R3010" s="49">
        <v>3008</v>
      </c>
      <c r="S3010" s="59">
        <f ca="1">Dashboard!B$8* Dashboard!$F$4+Dashboard!B$10*SQRT(Dashboard!$F$4) * _xlfn.NORM.S.INV(RAND())</f>
        <v>6.1932374240678875E-3</v>
      </c>
      <c r="T3010" s="59">
        <f ca="1">Dashboard!C$8* Dashboard!$F$4+Dashboard!C$10*SQRT(Dashboard!$F$4) * _xlfn.NORM.S.INV(RAND())</f>
        <v>5.5591072199140099E-2</v>
      </c>
      <c r="U3010" s="59">
        <f ca="1">Dashboard!D$8* Dashboard!$F$4+Dashboard!D$10*SQRT(Dashboard!$F$4) * _xlfn.NORM.S.INV(RAND())</f>
        <v>-3.2057343192916456E-2</v>
      </c>
    </row>
    <row r="3011" spans="18:21" x14ac:dyDescent="0.2">
      <c r="R3011" s="49">
        <v>3009</v>
      </c>
      <c r="S3011" s="59">
        <f ca="1">Dashboard!B$8* Dashboard!$F$4+Dashboard!B$10*SQRT(Dashboard!$F$4) * _xlfn.NORM.S.INV(RAND())</f>
        <v>-5.9647733939612087E-3</v>
      </c>
      <c r="T3011" s="59">
        <f ca="1">Dashboard!C$8* Dashboard!$F$4+Dashboard!C$10*SQRT(Dashboard!$F$4) * _xlfn.NORM.S.INV(RAND())</f>
        <v>-1.2664121116738113E-2</v>
      </c>
      <c r="U3011" s="59">
        <f ca="1">Dashboard!D$8* Dashboard!$F$4+Dashboard!D$10*SQRT(Dashboard!$F$4) * _xlfn.NORM.S.INV(RAND())</f>
        <v>-5.8491347395694754E-2</v>
      </c>
    </row>
    <row r="3012" spans="18:21" x14ac:dyDescent="0.2">
      <c r="R3012" s="49">
        <v>3010</v>
      </c>
      <c r="S3012" s="59">
        <f ca="1">Dashboard!B$8* Dashboard!$F$4+Dashboard!B$10*SQRT(Dashboard!$F$4) * _xlfn.NORM.S.INV(RAND())</f>
        <v>-1.0422658415565776E-2</v>
      </c>
      <c r="T3012" s="59">
        <f ca="1">Dashboard!C$8* Dashboard!$F$4+Dashboard!C$10*SQRT(Dashboard!$F$4) * _xlfn.NORM.S.INV(RAND())</f>
        <v>2.7850965288937372E-2</v>
      </c>
      <c r="U3012" s="59">
        <f ca="1">Dashboard!D$8* Dashboard!$F$4+Dashboard!D$10*SQRT(Dashboard!$F$4) * _xlfn.NORM.S.INV(RAND())</f>
        <v>1.1684636110941548E-2</v>
      </c>
    </row>
    <row r="3013" spans="18:21" x14ac:dyDescent="0.2">
      <c r="R3013" s="49">
        <v>3011</v>
      </c>
      <c r="S3013" s="59">
        <f ca="1">Dashboard!B$8* Dashboard!$F$4+Dashboard!B$10*SQRT(Dashboard!$F$4) * _xlfn.NORM.S.INV(RAND())</f>
        <v>-2.3347155541302171E-2</v>
      </c>
      <c r="T3013" s="59">
        <f ca="1">Dashboard!C$8* Dashboard!$F$4+Dashboard!C$10*SQRT(Dashboard!$F$4) * _xlfn.NORM.S.INV(RAND())</f>
        <v>4.2911903470563867E-2</v>
      </c>
      <c r="U3013" s="59">
        <f ca="1">Dashboard!D$8* Dashboard!$F$4+Dashboard!D$10*SQRT(Dashboard!$F$4) * _xlfn.NORM.S.INV(RAND())</f>
        <v>-3.7378939483664976E-2</v>
      </c>
    </row>
    <row r="3014" spans="18:21" x14ac:dyDescent="0.2">
      <c r="R3014" s="49">
        <v>3012</v>
      </c>
      <c r="S3014" s="59">
        <f ca="1">Dashboard!B$8* Dashboard!$F$4+Dashboard!B$10*SQRT(Dashboard!$F$4) * _xlfn.NORM.S.INV(RAND())</f>
        <v>-9.4077505094736225E-3</v>
      </c>
      <c r="T3014" s="59">
        <f ca="1">Dashboard!C$8* Dashboard!$F$4+Dashboard!C$10*SQRT(Dashboard!$F$4) * _xlfn.NORM.S.INV(RAND())</f>
        <v>1.2207755959522355E-2</v>
      </c>
      <c r="U3014" s="59">
        <f ca="1">Dashboard!D$8* Dashboard!$F$4+Dashboard!D$10*SQRT(Dashboard!$F$4) * _xlfn.NORM.S.INV(RAND())</f>
        <v>5.5537108285215749E-2</v>
      </c>
    </row>
    <row r="3015" spans="18:21" x14ac:dyDescent="0.2">
      <c r="R3015" s="49">
        <v>3013</v>
      </c>
      <c r="S3015" s="59">
        <f ca="1">Dashboard!B$8* Dashboard!$F$4+Dashboard!B$10*SQRT(Dashboard!$F$4) * _xlfn.NORM.S.INV(RAND())</f>
        <v>-1.3118643668761304E-2</v>
      </c>
      <c r="T3015" s="59">
        <f ca="1">Dashboard!C$8* Dashboard!$F$4+Dashboard!C$10*SQRT(Dashboard!$F$4) * _xlfn.NORM.S.INV(RAND())</f>
        <v>3.6535807869671817E-2</v>
      </c>
      <c r="U3015" s="59">
        <f ca="1">Dashboard!D$8* Dashboard!$F$4+Dashboard!D$10*SQRT(Dashboard!$F$4) * _xlfn.NORM.S.INV(RAND())</f>
        <v>-7.118482656338126E-3</v>
      </c>
    </row>
    <row r="3016" spans="18:21" x14ac:dyDescent="0.2">
      <c r="R3016" s="49">
        <v>3014</v>
      </c>
      <c r="S3016" s="59">
        <f ca="1">Dashboard!B$8* Dashboard!$F$4+Dashboard!B$10*SQRT(Dashboard!$F$4) * _xlfn.NORM.S.INV(RAND())</f>
        <v>-3.0368084675840165E-2</v>
      </c>
      <c r="T3016" s="59">
        <f ca="1">Dashboard!C$8* Dashboard!$F$4+Dashboard!C$10*SQRT(Dashboard!$F$4) * _xlfn.NORM.S.INV(RAND())</f>
        <v>-4.6624371459962469E-2</v>
      </c>
      <c r="U3016" s="59">
        <f ca="1">Dashboard!D$8* Dashboard!$F$4+Dashboard!D$10*SQRT(Dashboard!$F$4) * _xlfn.NORM.S.INV(RAND())</f>
        <v>2.0472259021060292E-2</v>
      </c>
    </row>
    <row r="3017" spans="18:21" x14ac:dyDescent="0.2">
      <c r="R3017" s="49">
        <v>3015</v>
      </c>
      <c r="S3017" s="59">
        <f ca="1">Dashboard!B$8* Dashboard!$F$4+Dashboard!B$10*SQRT(Dashboard!$F$4) * _xlfn.NORM.S.INV(RAND())</f>
        <v>-1.5973070504703368E-2</v>
      </c>
      <c r="T3017" s="59">
        <f ca="1">Dashboard!C$8* Dashboard!$F$4+Dashboard!C$10*SQRT(Dashboard!$F$4) * _xlfn.NORM.S.INV(RAND())</f>
        <v>-2.0704491772022882E-2</v>
      </c>
      <c r="U3017" s="59">
        <f ca="1">Dashboard!D$8* Dashboard!$F$4+Dashboard!D$10*SQRT(Dashboard!$F$4) * _xlfn.NORM.S.INV(RAND())</f>
        <v>1.9363335082380643E-2</v>
      </c>
    </row>
    <row r="3018" spans="18:21" x14ac:dyDescent="0.2">
      <c r="R3018" s="49">
        <v>3016</v>
      </c>
      <c r="S3018" s="59">
        <f ca="1">Dashboard!B$8* Dashboard!$F$4+Dashboard!B$10*SQRT(Dashboard!$F$4) * _xlfn.NORM.S.INV(RAND())</f>
        <v>2.2720015657183262E-2</v>
      </c>
      <c r="T3018" s="59">
        <f ca="1">Dashboard!C$8* Dashboard!$F$4+Dashboard!C$10*SQRT(Dashboard!$F$4) * _xlfn.NORM.S.INV(RAND())</f>
        <v>-5.4203582402303829E-2</v>
      </c>
      <c r="U3018" s="59">
        <f ca="1">Dashboard!D$8* Dashboard!$F$4+Dashboard!D$10*SQRT(Dashboard!$F$4) * _xlfn.NORM.S.INV(RAND())</f>
        <v>-1.6086080190919748E-2</v>
      </c>
    </row>
    <row r="3019" spans="18:21" x14ac:dyDescent="0.2">
      <c r="R3019" s="49">
        <v>3017</v>
      </c>
      <c r="S3019" s="59">
        <f ca="1">Dashboard!B$8* Dashboard!$F$4+Dashboard!B$10*SQRT(Dashboard!$F$4) * _xlfn.NORM.S.INV(RAND())</f>
        <v>4.0458289318819826E-2</v>
      </c>
      <c r="T3019" s="59">
        <f ca="1">Dashboard!C$8* Dashboard!$F$4+Dashboard!C$10*SQRT(Dashboard!$F$4) * _xlfn.NORM.S.INV(RAND())</f>
        <v>2.0458179422467627E-2</v>
      </c>
      <c r="U3019" s="59">
        <f ca="1">Dashboard!D$8* Dashboard!$F$4+Dashboard!D$10*SQRT(Dashboard!$F$4) * _xlfn.NORM.S.INV(RAND())</f>
        <v>-4.3456210848453351E-2</v>
      </c>
    </row>
    <row r="3020" spans="18:21" x14ac:dyDescent="0.2">
      <c r="R3020" s="49">
        <v>3018</v>
      </c>
      <c r="S3020" s="59">
        <f ca="1">Dashboard!B$8* Dashboard!$F$4+Dashboard!B$10*SQRT(Dashboard!$F$4) * _xlfn.NORM.S.INV(RAND())</f>
        <v>-1.58491209599027E-2</v>
      </c>
      <c r="T3020" s="59">
        <f ca="1">Dashboard!C$8* Dashboard!$F$4+Dashboard!C$10*SQRT(Dashboard!$F$4) * _xlfn.NORM.S.INV(RAND())</f>
        <v>1.5191529022930077E-2</v>
      </c>
      <c r="U3020" s="59">
        <f ca="1">Dashboard!D$8* Dashboard!$F$4+Dashboard!D$10*SQRT(Dashboard!$F$4) * _xlfn.NORM.S.INV(RAND())</f>
        <v>3.0272942766481487E-3</v>
      </c>
    </row>
    <row r="3021" spans="18:21" x14ac:dyDescent="0.2">
      <c r="R3021" s="49">
        <v>3019</v>
      </c>
      <c r="S3021" s="59">
        <f ca="1">Dashboard!B$8* Dashboard!$F$4+Dashboard!B$10*SQRT(Dashboard!$F$4) * _xlfn.NORM.S.INV(RAND())</f>
        <v>-6.616731354700231E-2</v>
      </c>
      <c r="T3021" s="59">
        <f ca="1">Dashboard!C$8* Dashboard!$F$4+Dashboard!C$10*SQRT(Dashboard!$F$4) * _xlfn.NORM.S.INV(RAND())</f>
        <v>6.1418790530110436E-2</v>
      </c>
      <c r="U3021" s="59">
        <f ca="1">Dashboard!D$8* Dashboard!$F$4+Dashboard!D$10*SQRT(Dashboard!$F$4) * _xlfn.NORM.S.INV(RAND())</f>
        <v>3.3971699802641399E-2</v>
      </c>
    </row>
    <row r="3022" spans="18:21" x14ac:dyDescent="0.2">
      <c r="R3022" s="49">
        <v>3020</v>
      </c>
      <c r="S3022" s="59">
        <f ca="1">Dashboard!B$8* Dashboard!$F$4+Dashboard!B$10*SQRT(Dashboard!$F$4) * _xlfn.NORM.S.INV(RAND())</f>
        <v>-7.8391512897896427E-3</v>
      </c>
      <c r="T3022" s="59">
        <f ca="1">Dashboard!C$8* Dashboard!$F$4+Dashboard!C$10*SQRT(Dashboard!$F$4) * _xlfn.NORM.S.INV(RAND())</f>
        <v>3.2447444087859253E-2</v>
      </c>
      <c r="U3022" s="59">
        <f ca="1">Dashboard!D$8* Dashboard!$F$4+Dashboard!D$10*SQRT(Dashboard!$F$4) * _xlfn.NORM.S.INV(RAND())</f>
        <v>-9.6872856103529859E-4</v>
      </c>
    </row>
    <row r="3023" spans="18:21" x14ac:dyDescent="0.2">
      <c r="R3023" s="49">
        <v>3021</v>
      </c>
      <c r="S3023" s="59">
        <f ca="1">Dashboard!B$8* Dashboard!$F$4+Dashboard!B$10*SQRT(Dashboard!$F$4) * _xlfn.NORM.S.INV(RAND())</f>
        <v>-5.1210691524083921E-3</v>
      </c>
      <c r="T3023" s="59">
        <f ca="1">Dashboard!C$8* Dashboard!$F$4+Dashboard!C$10*SQRT(Dashboard!$F$4) * _xlfn.NORM.S.INV(RAND())</f>
        <v>1.1445034515701192E-2</v>
      </c>
      <c r="U3023" s="59">
        <f ca="1">Dashboard!D$8* Dashboard!$F$4+Dashboard!D$10*SQRT(Dashboard!$F$4) * _xlfn.NORM.S.INV(RAND())</f>
        <v>-2.8629752202501538E-2</v>
      </c>
    </row>
    <row r="3024" spans="18:21" x14ac:dyDescent="0.2">
      <c r="R3024" s="49">
        <v>3022</v>
      </c>
      <c r="S3024" s="59">
        <f ca="1">Dashboard!B$8* Dashboard!$F$4+Dashboard!B$10*SQRT(Dashboard!$F$4) * _xlfn.NORM.S.INV(RAND())</f>
        <v>3.2021416739556954E-2</v>
      </c>
      <c r="T3024" s="59">
        <f ca="1">Dashboard!C$8* Dashboard!$F$4+Dashboard!C$10*SQRT(Dashboard!$F$4) * _xlfn.NORM.S.INV(RAND())</f>
        <v>5.7814120015042807E-3</v>
      </c>
      <c r="U3024" s="59">
        <f ca="1">Dashboard!D$8* Dashboard!$F$4+Dashboard!D$10*SQRT(Dashboard!$F$4) * _xlfn.NORM.S.INV(RAND())</f>
        <v>2.437834567413936E-3</v>
      </c>
    </row>
    <row r="3025" spans="18:21" x14ac:dyDescent="0.2">
      <c r="R3025" s="49">
        <v>3023</v>
      </c>
      <c r="S3025" s="59">
        <f ca="1">Dashboard!B$8* Dashboard!$F$4+Dashboard!B$10*SQRT(Dashboard!$F$4) * _xlfn.NORM.S.INV(RAND())</f>
        <v>-1.6949200931862474E-2</v>
      </c>
      <c r="T3025" s="59">
        <f ca="1">Dashboard!C$8* Dashboard!$F$4+Dashboard!C$10*SQRT(Dashboard!$F$4) * _xlfn.NORM.S.INV(RAND())</f>
        <v>8.1982750727178158E-3</v>
      </c>
      <c r="U3025" s="59">
        <f ca="1">Dashboard!D$8* Dashboard!$F$4+Dashboard!D$10*SQRT(Dashboard!$F$4) * _xlfn.NORM.S.INV(RAND())</f>
        <v>-2.5019217785179959E-2</v>
      </c>
    </row>
    <row r="3026" spans="18:21" x14ac:dyDescent="0.2">
      <c r="R3026" s="49">
        <v>3024</v>
      </c>
      <c r="S3026" s="59">
        <f ca="1">Dashboard!B$8* Dashboard!$F$4+Dashboard!B$10*SQRT(Dashboard!$F$4) * _xlfn.NORM.S.INV(RAND())</f>
        <v>2.5928661877342843E-2</v>
      </c>
      <c r="T3026" s="59">
        <f ca="1">Dashboard!C$8* Dashboard!$F$4+Dashboard!C$10*SQRT(Dashboard!$F$4) * _xlfn.NORM.S.INV(RAND())</f>
        <v>1.5161559855778557E-2</v>
      </c>
      <c r="U3026" s="59">
        <f ca="1">Dashboard!D$8* Dashboard!$F$4+Dashboard!D$10*SQRT(Dashboard!$F$4) * _xlfn.NORM.S.INV(RAND())</f>
        <v>1.1592154807431844E-2</v>
      </c>
    </row>
    <row r="3027" spans="18:21" x14ac:dyDescent="0.2">
      <c r="R3027" s="49">
        <v>3025</v>
      </c>
      <c r="S3027" s="59">
        <f ca="1">Dashboard!B$8* Dashboard!$F$4+Dashboard!B$10*SQRT(Dashboard!$F$4) * _xlfn.NORM.S.INV(RAND())</f>
        <v>9.5439327214005137E-5</v>
      </c>
      <c r="T3027" s="59">
        <f ca="1">Dashboard!C$8* Dashboard!$F$4+Dashboard!C$10*SQRT(Dashboard!$F$4) * _xlfn.NORM.S.INV(RAND())</f>
        <v>6.2084122918192888E-2</v>
      </c>
      <c r="U3027" s="59">
        <f ca="1">Dashboard!D$8* Dashboard!$F$4+Dashboard!D$10*SQRT(Dashboard!$F$4) * _xlfn.NORM.S.INV(RAND())</f>
        <v>3.9062188267621527E-2</v>
      </c>
    </row>
    <row r="3028" spans="18:21" x14ac:dyDescent="0.2">
      <c r="R3028" s="49">
        <v>3026</v>
      </c>
      <c r="S3028" s="59">
        <f ca="1">Dashboard!B$8* Dashboard!$F$4+Dashboard!B$10*SQRT(Dashboard!$F$4) * _xlfn.NORM.S.INV(RAND())</f>
        <v>3.7406847659421448E-2</v>
      </c>
      <c r="T3028" s="59">
        <f ca="1">Dashboard!C$8* Dashboard!$F$4+Dashboard!C$10*SQRT(Dashboard!$F$4) * _xlfn.NORM.S.INV(RAND())</f>
        <v>-1.982417843724292E-2</v>
      </c>
      <c r="U3028" s="59">
        <f ca="1">Dashboard!D$8* Dashboard!$F$4+Dashboard!D$10*SQRT(Dashboard!$F$4) * _xlfn.NORM.S.INV(RAND())</f>
        <v>3.438983380639115E-2</v>
      </c>
    </row>
    <row r="3029" spans="18:21" x14ac:dyDescent="0.2">
      <c r="R3029" s="49">
        <v>3027</v>
      </c>
      <c r="S3029" s="59">
        <f ca="1">Dashboard!B$8* Dashboard!$F$4+Dashboard!B$10*SQRT(Dashboard!$F$4) * _xlfn.NORM.S.INV(RAND())</f>
        <v>2.5699970509550578E-2</v>
      </c>
      <c r="T3029" s="59">
        <f ca="1">Dashboard!C$8* Dashboard!$F$4+Dashboard!C$10*SQRT(Dashboard!$F$4) * _xlfn.NORM.S.INV(RAND())</f>
        <v>6.3470091833888492E-2</v>
      </c>
      <c r="U3029" s="59">
        <f ca="1">Dashboard!D$8* Dashboard!$F$4+Dashboard!D$10*SQRT(Dashboard!$F$4) * _xlfn.NORM.S.INV(RAND())</f>
        <v>-7.8653918107179123E-3</v>
      </c>
    </row>
    <row r="3030" spans="18:21" x14ac:dyDescent="0.2">
      <c r="R3030" s="49">
        <v>3028</v>
      </c>
      <c r="S3030" s="59">
        <f ca="1">Dashboard!B$8* Dashboard!$F$4+Dashboard!B$10*SQRT(Dashboard!$F$4) * _xlfn.NORM.S.INV(RAND())</f>
        <v>2.7023909879145144E-2</v>
      </c>
      <c r="T3030" s="59">
        <f ca="1">Dashboard!C$8* Dashboard!$F$4+Dashboard!C$10*SQRT(Dashboard!$F$4) * _xlfn.NORM.S.INV(RAND())</f>
        <v>4.3036672030368128E-3</v>
      </c>
      <c r="U3030" s="59">
        <f ca="1">Dashboard!D$8* Dashboard!$F$4+Dashboard!D$10*SQRT(Dashboard!$F$4) * _xlfn.NORM.S.INV(RAND())</f>
        <v>4.5397575826283763E-3</v>
      </c>
    </row>
    <row r="3031" spans="18:21" x14ac:dyDescent="0.2">
      <c r="R3031" s="49">
        <v>3029</v>
      </c>
      <c r="S3031" s="59">
        <f ca="1">Dashboard!B$8* Dashboard!$F$4+Dashboard!B$10*SQRT(Dashboard!$F$4) * _xlfn.NORM.S.INV(RAND())</f>
        <v>1.0959975183351801E-2</v>
      </c>
      <c r="T3031" s="59">
        <f ca="1">Dashboard!C$8* Dashboard!$F$4+Dashboard!C$10*SQRT(Dashboard!$F$4) * _xlfn.NORM.S.INV(RAND())</f>
        <v>-1.5221178102205642E-2</v>
      </c>
      <c r="U3031" s="59">
        <f ca="1">Dashboard!D$8* Dashboard!$F$4+Dashboard!D$10*SQRT(Dashboard!$F$4) * _xlfn.NORM.S.INV(RAND())</f>
        <v>-1.9416023966055792E-2</v>
      </c>
    </row>
    <row r="3032" spans="18:21" x14ac:dyDescent="0.2">
      <c r="R3032" s="49">
        <v>3030</v>
      </c>
      <c r="S3032" s="59">
        <f ca="1">Dashboard!B$8* Dashboard!$F$4+Dashboard!B$10*SQRT(Dashboard!$F$4) * _xlfn.NORM.S.INV(RAND())</f>
        <v>3.0628925046614977E-2</v>
      </c>
      <c r="T3032" s="59">
        <f ca="1">Dashboard!C$8* Dashboard!$F$4+Dashboard!C$10*SQRT(Dashboard!$F$4) * _xlfn.NORM.S.INV(RAND())</f>
        <v>-4.643883375505635E-2</v>
      </c>
      <c r="U3032" s="59">
        <f ca="1">Dashboard!D$8* Dashboard!$F$4+Dashboard!D$10*SQRT(Dashboard!$F$4) * _xlfn.NORM.S.INV(RAND())</f>
        <v>-6.2574169154406126E-2</v>
      </c>
    </row>
    <row r="3033" spans="18:21" x14ac:dyDescent="0.2">
      <c r="R3033" s="49">
        <v>3031</v>
      </c>
      <c r="S3033" s="59">
        <f ca="1">Dashboard!B$8* Dashboard!$F$4+Dashboard!B$10*SQRT(Dashboard!$F$4) * _xlfn.NORM.S.INV(RAND())</f>
        <v>8.759325093003794E-3</v>
      </c>
      <c r="T3033" s="59">
        <f ca="1">Dashboard!C$8* Dashboard!$F$4+Dashboard!C$10*SQRT(Dashboard!$F$4) * _xlfn.NORM.S.INV(RAND())</f>
        <v>2.5722503971000909E-2</v>
      </c>
      <c r="U3033" s="59">
        <f ca="1">Dashboard!D$8* Dashboard!$F$4+Dashboard!D$10*SQRT(Dashboard!$F$4) * _xlfn.NORM.S.INV(RAND())</f>
        <v>-7.0076558794249571E-3</v>
      </c>
    </row>
    <row r="3034" spans="18:21" x14ac:dyDescent="0.2">
      <c r="R3034" s="49">
        <v>3032</v>
      </c>
      <c r="S3034" s="59">
        <f ca="1">Dashboard!B$8* Dashboard!$F$4+Dashboard!B$10*SQRT(Dashboard!$F$4) * _xlfn.NORM.S.INV(RAND())</f>
        <v>5.3268698918038281E-2</v>
      </c>
      <c r="T3034" s="59">
        <f ca="1">Dashboard!C$8* Dashboard!$F$4+Dashboard!C$10*SQRT(Dashboard!$F$4) * _xlfn.NORM.S.INV(RAND())</f>
        <v>-1.7876693932584644E-2</v>
      </c>
      <c r="U3034" s="59">
        <f ca="1">Dashboard!D$8* Dashboard!$F$4+Dashboard!D$10*SQRT(Dashboard!$F$4) * _xlfn.NORM.S.INV(RAND())</f>
        <v>4.4091032477298751E-2</v>
      </c>
    </row>
    <row r="3035" spans="18:21" x14ac:dyDescent="0.2">
      <c r="R3035" s="49">
        <v>3033</v>
      </c>
      <c r="S3035" s="59">
        <f ca="1">Dashboard!B$8* Dashboard!$F$4+Dashboard!B$10*SQRT(Dashboard!$F$4) * _xlfn.NORM.S.INV(RAND())</f>
        <v>-2.2219860947669305E-2</v>
      </c>
      <c r="T3035" s="59">
        <f ca="1">Dashboard!C$8* Dashboard!$F$4+Dashboard!C$10*SQRT(Dashboard!$F$4) * _xlfn.NORM.S.INV(RAND())</f>
        <v>6.5587491592821345E-2</v>
      </c>
      <c r="U3035" s="59">
        <f ca="1">Dashboard!D$8* Dashboard!$F$4+Dashboard!D$10*SQRT(Dashboard!$F$4) * _xlfn.NORM.S.INV(RAND())</f>
        <v>-6.1023499466818544E-2</v>
      </c>
    </row>
    <row r="3036" spans="18:21" x14ac:dyDescent="0.2">
      <c r="R3036" s="49">
        <v>3034</v>
      </c>
      <c r="S3036" s="59">
        <f ca="1">Dashboard!B$8* Dashboard!$F$4+Dashboard!B$10*SQRT(Dashboard!$F$4) * _xlfn.NORM.S.INV(RAND())</f>
        <v>7.4255686631007456E-2</v>
      </c>
      <c r="T3036" s="59">
        <f ca="1">Dashboard!C$8* Dashboard!$F$4+Dashboard!C$10*SQRT(Dashboard!$F$4) * _xlfn.NORM.S.INV(RAND())</f>
        <v>-3.6321659463597229E-2</v>
      </c>
      <c r="U3036" s="59">
        <f ca="1">Dashboard!D$8* Dashboard!$F$4+Dashboard!D$10*SQRT(Dashboard!$F$4) * _xlfn.NORM.S.INV(RAND())</f>
        <v>3.6332434147412031E-2</v>
      </c>
    </row>
    <row r="3037" spans="18:21" x14ac:dyDescent="0.2">
      <c r="R3037" s="49">
        <v>3035</v>
      </c>
      <c r="S3037" s="59">
        <f ca="1">Dashboard!B$8* Dashboard!$F$4+Dashboard!B$10*SQRT(Dashboard!$F$4) * _xlfn.NORM.S.INV(RAND())</f>
        <v>-1.2309147615994618E-2</v>
      </c>
      <c r="T3037" s="59">
        <f ca="1">Dashboard!C$8* Dashboard!$F$4+Dashboard!C$10*SQRT(Dashboard!$F$4) * _xlfn.NORM.S.INV(RAND())</f>
        <v>5.1021882830449474E-3</v>
      </c>
      <c r="U3037" s="59">
        <f ca="1">Dashboard!D$8* Dashboard!$F$4+Dashboard!D$10*SQRT(Dashboard!$F$4) * _xlfn.NORM.S.INV(RAND())</f>
        <v>3.997265246771909E-2</v>
      </c>
    </row>
    <row r="3038" spans="18:21" x14ac:dyDescent="0.2">
      <c r="R3038" s="49">
        <v>3036</v>
      </c>
      <c r="S3038" s="59">
        <f ca="1">Dashboard!B$8* Dashboard!$F$4+Dashboard!B$10*SQRT(Dashboard!$F$4) * _xlfn.NORM.S.INV(RAND())</f>
        <v>-1.36598544225354E-2</v>
      </c>
      <c r="T3038" s="59">
        <f ca="1">Dashboard!C$8* Dashboard!$F$4+Dashboard!C$10*SQRT(Dashboard!$F$4) * _xlfn.NORM.S.INV(RAND())</f>
        <v>-3.5318954524529163E-2</v>
      </c>
      <c r="U3038" s="59">
        <f ca="1">Dashboard!D$8* Dashboard!$F$4+Dashboard!D$10*SQRT(Dashboard!$F$4) * _xlfn.NORM.S.INV(RAND())</f>
        <v>4.0312913906946725E-2</v>
      </c>
    </row>
    <row r="3039" spans="18:21" x14ac:dyDescent="0.2">
      <c r="R3039" s="49">
        <v>3037</v>
      </c>
      <c r="S3039" s="59">
        <f ca="1">Dashboard!B$8* Dashboard!$F$4+Dashboard!B$10*SQRT(Dashboard!$F$4) * _xlfn.NORM.S.INV(RAND())</f>
        <v>2.5186675159915781E-2</v>
      </c>
      <c r="T3039" s="59">
        <f ca="1">Dashboard!C$8* Dashboard!$F$4+Dashboard!C$10*SQRT(Dashboard!$F$4) * _xlfn.NORM.S.INV(RAND())</f>
        <v>3.1959993026551413E-2</v>
      </c>
      <c r="U3039" s="59">
        <f ca="1">Dashboard!D$8* Dashboard!$F$4+Dashboard!D$10*SQRT(Dashboard!$F$4) * _xlfn.NORM.S.INV(RAND())</f>
        <v>-2.579928892041897E-2</v>
      </c>
    </row>
    <row r="3040" spans="18:21" x14ac:dyDescent="0.2">
      <c r="R3040" s="49">
        <v>3038</v>
      </c>
      <c r="S3040" s="59">
        <f ca="1">Dashboard!B$8* Dashboard!$F$4+Dashboard!B$10*SQRT(Dashboard!$F$4) * _xlfn.NORM.S.INV(RAND())</f>
        <v>2.7003088351017161E-2</v>
      </c>
      <c r="T3040" s="59">
        <f ca="1">Dashboard!C$8* Dashboard!$F$4+Dashboard!C$10*SQRT(Dashboard!$F$4) * _xlfn.NORM.S.INV(RAND())</f>
        <v>-2.0733626924038601E-2</v>
      </c>
      <c r="U3040" s="59">
        <f ca="1">Dashboard!D$8* Dashboard!$F$4+Dashboard!D$10*SQRT(Dashboard!$F$4) * _xlfn.NORM.S.INV(RAND())</f>
        <v>3.7904332445350145E-2</v>
      </c>
    </row>
    <row r="3041" spans="18:21" x14ac:dyDescent="0.2">
      <c r="R3041" s="49">
        <v>3039</v>
      </c>
      <c r="S3041" s="59">
        <f ca="1">Dashboard!B$8* Dashboard!$F$4+Dashboard!B$10*SQRT(Dashboard!$F$4) * _xlfn.NORM.S.INV(RAND())</f>
        <v>1.3024683427750363E-2</v>
      </c>
      <c r="T3041" s="59">
        <f ca="1">Dashboard!C$8* Dashboard!$F$4+Dashboard!C$10*SQRT(Dashboard!$F$4) * _xlfn.NORM.S.INV(RAND())</f>
        <v>-9.1439369990925501E-6</v>
      </c>
      <c r="U3041" s="59">
        <f ca="1">Dashboard!D$8* Dashboard!$F$4+Dashboard!D$10*SQRT(Dashboard!$F$4) * _xlfn.NORM.S.INV(RAND())</f>
        <v>-1.4672743335571579E-2</v>
      </c>
    </row>
    <row r="3042" spans="18:21" x14ac:dyDescent="0.2">
      <c r="R3042" s="49">
        <v>3040</v>
      </c>
      <c r="S3042" s="59">
        <f ca="1">Dashboard!B$8* Dashboard!$F$4+Dashboard!B$10*SQRT(Dashboard!$F$4) * _xlfn.NORM.S.INV(RAND())</f>
        <v>2.9870043388037807E-3</v>
      </c>
      <c r="T3042" s="59">
        <f ca="1">Dashboard!C$8* Dashboard!$F$4+Dashboard!C$10*SQRT(Dashboard!$F$4) * _xlfn.NORM.S.INV(RAND())</f>
        <v>-1.3003972502049557E-2</v>
      </c>
      <c r="U3042" s="59">
        <f ca="1">Dashboard!D$8* Dashboard!$F$4+Dashboard!D$10*SQRT(Dashboard!$F$4) * _xlfn.NORM.S.INV(RAND())</f>
        <v>2.2346385403763979E-3</v>
      </c>
    </row>
    <row r="3043" spans="18:21" x14ac:dyDescent="0.2">
      <c r="R3043" s="49">
        <v>3041</v>
      </c>
      <c r="S3043" s="59">
        <f ca="1">Dashboard!B$8* Dashboard!$F$4+Dashboard!B$10*SQRT(Dashboard!$F$4) * _xlfn.NORM.S.INV(RAND())</f>
        <v>-4.88839233648573E-3</v>
      </c>
      <c r="T3043" s="59">
        <f ca="1">Dashboard!C$8* Dashboard!$F$4+Dashboard!C$10*SQRT(Dashboard!$F$4) * _xlfn.NORM.S.INV(RAND())</f>
        <v>-1.9235201134683074E-2</v>
      </c>
      <c r="U3043" s="59">
        <f ca="1">Dashboard!D$8* Dashboard!$F$4+Dashboard!D$10*SQRT(Dashboard!$F$4) * _xlfn.NORM.S.INV(RAND())</f>
        <v>-6.0084139010796747E-2</v>
      </c>
    </row>
    <row r="3044" spans="18:21" x14ac:dyDescent="0.2">
      <c r="R3044" s="49">
        <v>3042</v>
      </c>
      <c r="S3044" s="59">
        <f ca="1">Dashboard!B$8* Dashboard!$F$4+Dashboard!B$10*SQRT(Dashboard!$F$4) * _xlfn.NORM.S.INV(RAND())</f>
        <v>-1.6964460882229325E-2</v>
      </c>
      <c r="T3044" s="59">
        <f ca="1">Dashboard!C$8* Dashboard!$F$4+Dashboard!C$10*SQRT(Dashboard!$F$4) * _xlfn.NORM.S.INV(RAND())</f>
        <v>2.6021990553686383E-2</v>
      </c>
      <c r="U3044" s="59">
        <f ca="1">Dashboard!D$8* Dashboard!$F$4+Dashboard!D$10*SQRT(Dashboard!$F$4) * _xlfn.NORM.S.INV(RAND())</f>
        <v>3.5115515658675829E-2</v>
      </c>
    </row>
    <row r="3045" spans="18:21" x14ac:dyDescent="0.2">
      <c r="R3045" s="49">
        <v>3043</v>
      </c>
      <c r="S3045" s="59">
        <f ca="1">Dashboard!B$8* Dashboard!$F$4+Dashboard!B$10*SQRT(Dashboard!$F$4) * _xlfn.NORM.S.INV(RAND())</f>
        <v>-4.0188447096519392E-2</v>
      </c>
      <c r="T3045" s="59">
        <f ca="1">Dashboard!C$8* Dashboard!$F$4+Dashboard!C$10*SQRT(Dashboard!$F$4) * _xlfn.NORM.S.INV(RAND())</f>
        <v>-1.4516094315060336E-2</v>
      </c>
      <c r="U3045" s="59">
        <f ca="1">Dashboard!D$8* Dashboard!$F$4+Dashboard!D$10*SQRT(Dashboard!$F$4) * _xlfn.NORM.S.INV(RAND())</f>
        <v>-6.1851700118141385E-3</v>
      </c>
    </row>
    <row r="3046" spans="18:21" x14ac:dyDescent="0.2">
      <c r="R3046" s="49">
        <v>3044</v>
      </c>
      <c r="S3046" s="59">
        <f ca="1">Dashboard!B$8* Dashboard!$F$4+Dashboard!B$10*SQRT(Dashboard!$F$4) * _xlfn.NORM.S.INV(RAND())</f>
        <v>-3.957315559373499E-2</v>
      </c>
      <c r="T3046" s="59">
        <f ca="1">Dashboard!C$8* Dashboard!$F$4+Dashboard!C$10*SQRT(Dashboard!$F$4) * _xlfn.NORM.S.INV(RAND())</f>
        <v>4.0449876189647349E-2</v>
      </c>
      <c r="U3046" s="59">
        <f ca="1">Dashboard!D$8* Dashboard!$F$4+Dashboard!D$10*SQRT(Dashboard!$F$4) * _xlfn.NORM.S.INV(RAND())</f>
        <v>3.5826907287476589E-2</v>
      </c>
    </row>
    <row r="3047" spans="18:21" x14ac:dyDescent="0.2">
      <c r="R3047" s="49">
        <v>3045</v>
      </c>
      <c r="S3047" s="59">
        <f ca="1">Dashboard!B$8* Dashboard!$F$4+Dashboard!B$10*SQRT(Dashboard!$F$4) * _xlfn.NORM.S.INV(RAND())</f>
        <v>-4.5805229585412596E-2</v>
      </c>
      <c r="T3047" s="59">
        <f ca="1">Dashboard!C$8* Dashboard!$F$4+Dashboard!C$10*SQRT(Dashboard!$F$4) * _xlfn.NORM.S.INV(RAND())</f>
        <v>3.4316279495186272E-2</v>
      </c>
      <c r="U3047" s="59">
        <f ca="1">Dashboard!D$8* Dashboard!$F$4+Dashboard!D$10*SQRT(Dashboard!$F$4) * _xlfn.NORM.S.INV(RAND())</f>
        <v>3.0863359216254382E-2</v>
      </c>
    </row>
    <row r="3048" spans="18:21" x14ac:dyDescent="0.2">
      <c r="R3048" s="49">
        <v>3046</v>
      </c>
      <c r="S3048" s="59">
        <f ca="1">Dashboard!B$8* Dashboard!$F$4+Dashboard!B$10*SQRT(Dashboard!$F$4) * _xlfn.NORM.S.INV(RAND())</f>
        <v>-4.5381877303048296E-2</v>
      </c>
      <c r="T3048" s="59">
        <f ca="1">Dashboard!C$8* Dashboard!$F$4+Dashboard!C$10*SQRT(Dashboard!$F$4) * _xlfn.NORM.S.INV(RAND())</f>
        <v>3.490712502868102E-2</v>
      </c>
      <c r="U3048" s="59">
        <f ca="1">Dashboard!D$8* Dashboard!$F$4+Dashboard!D$10*SQRT(Dashboard!$F$4) * _xlfn.NORM.S.INV(RAND())</f>
        <v>1.5420430423523184E-2</v>
      </c>
    </row>
    <row r="3049" spans="18:21" x14ac:dyDescent="0.2">
      <c r="R3049" s="49">
        <v>3047</v>
      </c>
      <c r="S3049" s="59">
        <f ca="1">Dashboard!B$8* Dashboard!$F$4+Dashboard!B$10*SQRT(Dashboard!$F$4) * _xlfn.NORM.S.INV(RAND())</f>
        <v>3.330050629637904E-2</v>
      </c>
      <c r="T3049" s="59">
        <f ca="1">Dashboard!C$8* Dashboard!$F$4+Dashboard!C$10*SQRT(Dashboard!$F$4) * _xlfn.NORM.S.INV(RAND())</f>
        <v>3.9903602063742244E-2</v>
      </c>
      <c r="U3049" s="59">
        <f ca="1">Dashboard!D$8* Dashboard!$F$4+Dashboard!D$10*SQRT(Dashboard!$F$4) * _xlfn.NORM.S.INV(RAND())</f>
        <v>-1.6304217260166443E-2</v>
      </c>
    </row>
    <row r="3050" spans="18:21" x14ac:dyDescent="0.2">
      <c r="R3050" s="49">
        <v>3048</v>
      </c>
      <c r="S3050" s="59">
        <f ca="1">Dashboard!B$8* Dashboard!$F$4+Dashboard!B$10*SQRT(Dashboard!$F$4) * _xlfn.NORM.S.INV(RAND())</f>
        <v>-1.3235496235080271E-2</v>
      </c>
      <c r="T3050" s="59">
        <f ca="1">Dashboard!C$8* Dashboard!$F$4+Dashboard!C$10*SQRT(Dashboard!$F$4) * _xlfn.NORM.S.INV(RAND())</f>
        <v>-6.6494719304789687E-2</v>
      </c>
      <c r="U3050" s="59">
        <f ca="1">Dashboard!D$8* Dashboard!$F$4+Dashboard!D$10*SQRT(Dashboard!$F$4) * _xlfn.NORM.S.INV(RAND())</f>
        <v>4.3526356799523026E-2</v>
      </c>
    </row>
    <row r="3051" spans="18:21" x14ac:dyDescent="0.2">
      <c r="R3051" s="49">
        <v>3049</v>
      </c>
      <c r="S3051" s="59">
        <f ca="1">Dashboard!B$8* Dashboard!$F$4+Dashboard!B$10*SQRT(Dashboard!$F$4) * _xlfn.NORM.S.INV(RAND())</f>
        <v>2.9790131222433236E-2</v>
      </c>
      <c r="T3051" s="59">
        <f ca="1">Dashboard!C$8* Dashboard!$F$4+Dashboard!C$10*SQRT(Dashboard!$F$4) * _xlfn.NORM.S.INV(RAND())</f>
        <v>8.1437576799197831E-2</v>
      </c>
      <c r="U3051" s="59">
        <f ca="1">Dashboard!D$8* Dashboard!$F$4+Dashboard!D$10*SQRT(Dashboard!$F$4) * _xlfn.NORM.S.INV(RAND())</f>
        <v>9.0319726778545809E-4</v>
      </c>
    </row>
    <row r="3052" spans="18:21" x14ac:dyDescent="0.2">
      <c r="R3052" s="49">
        <v>3050</v>
      </c>
      <c r="S3052" s="59">
        <f ca="1">Dashboard!B$8* Dashboard!$F$4+Dashboard!B$10*SQRT(Dashboard!$F$4) * _xlfn.NORM.S.INV(RAND())</f>
        <v>6.7768108138024433E-2</v>
      </c>
      <c r="T3052" s="59">
        <f ca="1">Dashboard!C$8* Dashboard!$F$4+Dashboard!C$10*SQRT(Dashboard!$F$4) * _xlfn.NORM.S.INV(RAND())</f>
        <v>7.0153561923538277E-3</v>
      </c>
      <c r="U3052" s="59">
        <f ca="1">Dashboard!D$8* Dashboard!$F$4+Dashboard!D$10*SQRT(Dashboard!$F$4) * _xlfn.NORM.S.INV(RAND())</f>
        <v>-1.6919315790261909E-2</v>
      </c>
    </row>
    <row r="3053" spans="18:21" x14ac:dyDescent="0.2">
      <c r="R3053" s="49">
        <v>3051</v>
      </c>
      <c r="S3053" s="59">
        <f ca="1">Dashboard!B$8* Dashboard!$F$4+Dashboard!B$10*SQRT(Dashboard!$F$4) * _xlfn.NORM.S.INV(RAND())</f>
        <v>-3.4785285517400108E-2</v>
      </c>
      <c r="T3053" s="59">
        <f ca="1">Dashboard!C$8* Dashboard!$F$4+Dashboard!C$10*SQRT(Dashboard!$F$4) * _xlfn.NORM.S.INV(RAND())</f>
        <v>4.9391208995517279E-2</v>
      </c>
      <c r="U3053" s="59">
        <f ca="1">Dashboard!D$8* Dashboard!$F$4+Dashboard!D$10*SQRT(Dashboard!$F$4) * _xlfn.NORM.S.INV(RAND())</f>
        <v>-4.6920064784055547E-2</v>
      </c>
    </row>
    <row r="3054" spans="18:21" x14ac:dyDescent="0.2">
      <c r="R3054" s="49">
        <v>3052</v>
      </c>
      <c r="S3054" s="59">
        <f ca="1">Dashboard!B$8* Dashboard!$F$4+Dashboard!B$10*SQRT(Dashboard!$F$4) * _xlfn.NORM.S.INV(RAND())</f>
        <v>-2.5714284324451192E-2</v>
      </c>
      <c r="T3054" s="59">
        <f ca="1">Dashboard!C$8* Dashboard!$F$4+Dashboard!C$10*SQRT(Dashboard!$F$4) * _xlfn.NORM.S.INV(RAND())</f>
        <v>-4.2366911858856833E-2</v>
      </c>
      <c r="U3054" s="59">
        <f ca="1">Dashboard!D$8* Dashboard!$F$4+Dashboard!D$10*SQRT(Dashboard!$F$4) * _xlfn.NORM.S.INV(RAND())</f>
        <v>2.5527198467568814E-2</v>
      </c>
    </row>
    <row r="3055" spans="18:21" x14ac:dyDescent="0.2">
      <c r="R3055" s="49">
        <v>3053</v>
      </c>
      <c r="S3055" s="59">
        <f ca="1">Dashboard!B$8* Dashboard!$F$4+Dashboard!B$10*SQRT(Dashboard!$F$4) * _xlfn.NORM.S.INV(RAND())</f>
        <v>-1.6765837113063477E-3</v>
      </c>
      <c r="T3055" s="59">
        <f ca="1">Dashboard!C$8* Dashboard!$F$4+Dashboard!C$10*SQRT(Dashboard!$F$4) * _xlfn.NORM.S.INV(RAND())</f>
        <v>-2.4821288038031585E-2</v>
      </c>
      <c r="U3055" s="59">
        <f ca="1">Dashboard!D$8* Dashboard!$F$4+Dashboard!D$10*SQRT(Dashboard!$F$4) * _xlfn.NORM.S.INV(RAND())</f>
        <v>-1.8806682941526501E-2</v>
      </c>
    </row>
    <row r="3056" spans="18:21" x14ac:dyDescent="0.2">
      <c r="R3056" s="49">
        <v>3054</v>
      </c>
      <c r="S3056" s="59">
        <f ca="1">Dashboard!B$8* Dashboard!$F$4+Dashboard!B$10*SQRT(Dashboard!$F$4) * _xlfn.NORM.S.INV(RAND())</f>
        <v>5.7661237358963127E-2</v>
      </c>
      <c r="T3056" s="59">
        <f ca="1">Dashboard!C$8* Dashboard!$F$4+Dashboard!C$10*SQRT(Dashboard!$F$4) * _xlfn.NORM.S.INV(RAND())</f>
        <v>3.8584561795348034E-2</v>
      </c>
      <c r="U3056" s="59">
        <f ca="1">Dashboard!D$8* Dashboard!$F$4+Dashboard!D$10*SQRT(Dashboard!$F$4) * _xlfn.NORM.S.INV(RAND())</f>
        <v>-1.8724115152732423E-2</v>
      </c>
    </row>
    <row r="3057" spans="18:21" x14ac:dyDescent="0.2">
      <c r="R3057" s="49">
        <v>3055</v>
      </c>
      <c r="S3057" s="59">
        <f ca="1">Dashboard!B$8* Dashboard!$F$4+Dashboard!B$10*SQRT(Dashboard!$F$4) * _xlfn.NORM.S.INV(RAND())</f>
        <v>1.6627625740421911E-2</v>
      </c>
      <c r="T3057" s="59">
        <f ca="1">Dashboard!C$8* Dashboard!$F$4+Dashboard!C$10*SQRT(Dashboard!$F$4) * _xlfn.NORM.S.INV(RAND())</f>
        <v>3.5008815594292052E-2</v>
      </c>
      <c r="U3057" s="59">
        <f ca="1">Dashboard!D$8* Dashboard!$F$4+Dashboard!D$10*SQRT(Dashboard!$F$4) * _xlfn.NORM.S.INV(RAND())</f>
        <v>4.8954224304661481E-2</v>
      </c>
    </row>
    <row r="3058" spans="18:21" x14ac:dyDescent="0.2">
      <c r="R3058" s="49">
        <v>3056</v>
      </c>
      <c r="S3058" s="59">
        <f ca="1">Dashboard!B$8* Dashboard!$F$4+Dashboard!B$10*SQRT(Dashboard!$F$4) * _xlfn.NORM.S.INV(RAND())</f>
        <v>-3.4534838633445364E-2</v>
      </c>
      <c r="T3058" s="59">
        <f ca="1">Dashboard!C$8* Dashboard!$F$4+Dashboard!C$10*SQRT(Dashboard!$F$4) * _xlfn.NORM.S.INV(RAND())</f>
        <v>-2.1932252183108625E-2</v>
      </c>
      <c r="U3058" s="59">
        <f ca="1">Dashboard!D$8* Dashboard!$F$4+Dashboard!D$10*SQRT(Dashboard!$F$4) * _xlfn.NORM.S.INV(RAND())</f>
        <v>4.6647104779928638E-4</v>
      </c>
    </row>
    <row r="3059" spans="18:21" x14ac:dyDescent="0.2">
      <c r="R3059" s="49">
        <v>3057</v>
      </c>
      <c r="S3059" s="59">
        <f ca="1">Dashboard!B$8* Dashboard!$F$4+Dashboard!B$10*SQRT(Dashboard!$F$4) * _xlfn.NORM.S.INV(RAND())</f>
        <v>5.6695129270038416E-3</v>
      </c>
      <c r="T3059" s="59">
        <f ca="1">Dashboard!C$8* Dashboard!$F$4+Dashboard!C$10*SQRT(Dashboard!$F$4) * _xlfn.NORM.S.INV(RAND())</f>
        <v>3.0833588018000485E-2</v>
      </c>
      <c r="U3059" s="59">
        <f ca="1">Dashboard!D$8* Dashboard!$F$4+Dashboard!D$10*SQRT(Dashboard!$F$4) * _xlfn.NORM.S.INV(RAND())</f>
        <v>2.9071649309242362E-2</v>
      </c>
    </row>
    <row r="3060" spans="18:21" x14ac:dyDescent="0.2">
      <c r="R3060" s="49">
        <v>3058</v>
      </c>
      <c r="S3060" s="59">
        <f ca="1">Dashboard!B$8* Dashboard!$F$4+Dashboard!B$10*SQRT(Dashboard!$F$4) * _xlfn.NORM.S.INV(RAND())</f>
        <v>-1.0015130607467122E-2</v>
      </c>
      <c r="T3060" s="59">
        <f ca="1">Dashboard!C$8* Dashboard!$F$4+Dashboard!C$10*SQRT(Dashboard!$F$4) * _xlfn.NORM.S.INV(RAND())</f>
        <v>2.1458350152452413E-4</v>
      </c>
      <c r="U3060" s="59">
        <f ca="1">Dashboard!D$8* Dashboard!$F$4+Dashboard!D$10*SQRT(Dashboard!$F$4) * _xlfn.NORM.S.INV(RAND())</f>
        <v>-5.0622641168220552E-2</v>
      </c>
    </row>
    <row r="3061" spans="18:21" x14ac:dyDescent="0.2">
      <c r="R3061" s="49">
        <v>3059</v>
      </c>
      <c r="S3061" s="59">
        <f ca="1">Dashboard!B$8* Dashboard!$F$4+Dashboard!B$10*SQRT(Dashboard!$F$4) * _xlfn.NORM.S.INV(RAND())</f>
        <v>-2.0779928607358132E-2</v>
      </c>
      <c r="T3061" s="59">
        <f ca="1">Dashboard!C$8* Dashboard!$F$4+Dashboard!C$10*SQRT(Dashboard!$F$4) * _xlfn.NORM.S.INV(RAND())</f>
        <v>1.1523795372207039E-2</v>
      </c>
      <c r="U3061" s="59">
        <f ca="1">Dashboard!D$8* Dashboard!$F$4+Dashboard!D$10*SQRT(Dashboard!$F$4) * _xlfn.NORM.S.INV(RAND())</f>
        <v>-5.2317153850894357E-3</v>
      </c>
    </row>
    <row r="3062" spans="18:21" x14ac:dyDescent="0.2">
      <c r="R3062" s="49">
        <v>3060</v>
      </c>
      <c r="S3062" s="59">
        <f ca="1">Dashboard!B$8* Dashboard!$F$4+Dashboard!B$10*SQRT(Dashboard!$F$4) * _xlfn.NORM.S.INV(RAND())</f>
        <v>9.6343090490912282E-3</v>
      </c>
      <c r="T3062" s="59">
        <f ca="1">Dashboard!C$8* Dashboard!$F$4+Dashboard!C$10*SQRT(Dashboard!$F$4) * _xlfn.NORM.S.INV(RAND())</f>
        <v>-2.7060100011026943E-2</v>
      </c>
      <c r="U3062" s="59">
        <f ca="1">Dashboard!D$8* Dashboard!$F$4+Dashboard!D$10*SQRT(Dashboard!$F$4) * _xlfn.NORM.S.INV(RAND())</f>
        <v>-5.3120001682716078E-2</v>
      </c>
    </row>
    <row r="3063" spans="18:21" x14ac:dyDescent="0.2">
      <c r="R3063" s="49">
        <v>3061</v>
      </c>
      <c r="S3063" s="59">
        <f ca="1">Dashboard!B$8* Dashboard!$F$4+Dashboard!B$10*SQRT(Dashboard!$F$4) * _xlfn.NORM.S.INV(RAND())</f>
        <v>1.2029301053163256E-2</v>
      </c>
      <c r="T3063" s="59">
        <f ca="1">Dashboard!C$8* Dashboard!$F$4+Dashboard!C$10*SQRT(Dashboard!$F$4) * _xlfn.NORM.S.INV(RAND())</f>
        <v>-6.6583990698040454E-2</v>
      </c>
      <c r="U3063" s="59">
        <f ca="1">Dashboard!D$8* Dashboard!$F$4+Dashboard!D$10*SQRT(Dashboard!$F$4) * _xlfn.NORM.S.INV(RAND())</f>
        <v>-5.778841672831872E-2</v>
      </c>
    </row>
    <row r="3064" spans="18:21" x14ac:dyDescent="0.2">
      <c r="R3064" s="49">
        <v>3062</v>
      </c>
      <c r="S3064" s="59">
        <f ca="1">Dashboard!B$8* Dashboard!$F$4+Dashboard!B$10*SQRT(Dashboard!$F$4) * _xlfn.NORM.S.INV(RAND())</f>
        <v>-3.8117341828787087E-2</v>
      </c>
      <c r="T3064" s="59">
        <f ca="1">Dashboard!C$8* Dashboard!$F$4+Dashboard!C$10*SQRT(Dashboard!$F$4) * _xlfn.NORM.S.INV(RAND())</f>
        <v>-2.8414545887521719E-2</v>
      </c>
      <c r="U3064" s="59">
        <f ca="1">Dashboard!D$8* Dashboard!$F$4+Dashboard!D$10*SQRT(Dashboard!$F$4) * _xlfn.NORM.S.INV(RAND())</f>
        <v>1.621181366634865E-3</v>
      </c>
    </row>
    <row r="3065" spans="18:21" x14ac:dyDescent="0.2">
      <c r="R3065" s="49">
        <v>3063</v>
      </c>
      <c r="S3065" s="59">
        <f ca="1">Dashboard!B$8* Dashboard!$F$4+Dashboard!B$10*SQRT(Dashboard!$F$4) * _xlfn.NORM.S.INV(RAND())</f>
        <v>-1.873232288467544E-2</v>
      </c>
      <c r="T3065" s="59">
        <f ca="1">Dashboard!C$8* Dashboard!$F$4+Dashboard!C$10*SQRT(Dashboard!$F$4) * _xlfn.NORM.S.INV(RAND())</f>
        <v>-3.5319163025119456E-2</v>
      </c>
      <c r="U3065" s="59">
        <f ca="1">Dashboard!D$8* Dashboard!$F$4+Dashboard!D$10*SQRT(Dashboard!$F$4) * _xlfn.NORM.S.INV(RAND())</f>
        <v>-1.6210741831562604E-2</v>
      </c>
    </row>
    <row r="3066" spans="18:21" x14ac:dyDescent="0.2">
      <c r="R3066" s="49">
        <v>3064</v>
      </c>
      <c r="S3066" s="59">
        <f ca="1">Dashboard!B$8* Dashboard!$F$4+Dashboard!B$10*SQRT(Dashboard!$F$4) * _xlfn.NORM.S.INV(RAND())</f>
        <v>3.1159965677299284E-4</v>
      </c>
      <c r="T3066" s="59">
        <f ca="1">Dashboard!C$8* Dashboard!$F$4+Dashboard!C$10*SQRT(Dashboard!$F$4) * _xlfn.NORM.S.INV(RAND())</f>
        <v>-7.1196815326460272E-2</v>
      </c>
      <c r="U3066" s="59">
        <f ca="1">Dashboard!D$8* Dashboard!$F$4+Dashboard!D$10*SQRT(Dashboard!$F$4) * _xlfn.NORM.S.INV(RAND())</f>
        <v>1.4581962630067039E-2</v>
      </c>
    </row>
    <row r="3067" spans="18:21" x14ac:dyDescent="0.2">
      <c r="R3067" s="49">
        <v>3065</v>
      </c>
      <c r="S3067" s="59">
        <f ca="1">Dashboard!B$8* Dashboard!$F$4+Dashboard!B$10*SQRT(Dashboard!$F$4) * _xlfn.NORM.S.INV(RAND())</f>
        <v>4.0481935911054187E-2</v>
      </c>
      <c r="T3067" s="59">
        <f ca="1">Dashboard!C$8* Dashboard!$F$4+Dashboard!C$10*SQRT(Dashboard!$F$4) * _xlfn.NORM.S.INV(RAND())</f>
        <v>4.2369537046388052E-2</v>
      </c>
      <c r="U3067" s="59">
        <f ca="1">Dashboard!D$8* Dashboard!$F$4+Dashboard!D$10*SQRT(Dashboard!$F$4) * _xlfn.NORM.S.INV(RAND())</f>
        <v>-4.7523399592111611E-2</v>
      </c>
    </row>
    <row r="3068" spans="18:21" x14ac:dyDescent="0.2">
      <c r="R3068" s="49">
        <v>3066</v>
      </c>
      <c r="S3068" s="59">
        <f ca="1">Dashboard!B$8* Dashboard!$F$4+Dashboard!B$10*SQRT(Dashboard!$F$4) * _xlfn.NORM.S.INV(RAND())</f>
        <v>-7.1779412170123709E-3</v>
      </c>
      <c r="T3068" s="59">
        <f ca="1">Dashboard!C$8* Dashboard!$F$4+Dashboard!C$10*SQRT(Dashboard!$F$4) * _xlfn.NORM.S.INV(RAND())</f>
        <v>4.4613834839426466E-3</v>
      </c>
      <c r="U3068" s="59">
        <f ca="1">Dashboard!D$8* Dashboard!$F$4+Dashboard!D$10*SQRT(Dashboard!$F$4) * _xlfn.NORM.S.INV(RAND())</f>
        <v>6.4474783286314809E-3</v>
      </c>
    </row>
    <row r="3069" spans="18:21" x14ac:dyDescent="0.2">
      <c r="R3069" s="49">
        <v>3067</v>
      </c>
      <c r="S3069" s="59">
        <f ca="1">Dashboard!B$8* Dashboard!$F$4+Dashboard!B$10*SQRT(Dashboard!$F$4) * _xlfn.NORM.S.INV(RAND())</f>
        <v>-4.3919517222387502E-2</v>
      </c>
      <c r="T3069" s="59">
        <f ca="1">Dashboard!C$8* Dashboard!$F$4+Dashboard!C$10*SQRT(Dashboard!$F$4) * _xlfn.NORM.S.INV(RAND())</f>
        <v>-1.4293519976150273E-2</v>
      </c>
      <c r="U3069" s="59">
        <f ca="1">Dashboard!D$8* Dashboard!$F$4+Dashboard!D$10*SQRT(Dashboard!$F$4) * _xlfn.NORM.S.INV(RAND())</f>
        <v>3.3913293579547182E-3</v>
      </c>
    </row>
    <row r="3070" spans="18:21" x14ac:dyDescent="0.2">
      <c r="R3070" s="49">
        <v>3068</v>
      </c>
      <c r="S3070" s="59">
        <f ca="1">Dashboard!B$8* Dashboard!$F$4+Dashboard!B$10*SQRT(Dashboard!$F$4) * _xlfn.NORM.S.INV(RAND())</f>
        <v>4.2400727937409344E-2</v>
      </c>
      <c r="T3070" s="59">
        <f ca="1">Dashboard!C$8* Dashboard!$F$4+Dashboard!C$10*SQRT(Dashboard!$F$4) * _xlfn.NORM.S.INV(RAND())</f>
        <v>2.0876184225938323E-2</v>
      </c>
      <c r="U3070" s="59">
        <f ca="1">Dashboard!D$8* Dashboard!$F$4+Dashboard!D$10*SQRT(Dashboard!$F$4) * _xlfn.NORM.S.INV(RAND())</f>
        <v>2.2027571673929883E-2</v>
      </c>
    </row>
    <row r="3071" spans="18:21" x14ac:dyDescent="0.2">
      <c r="R3071" s="49">
        <v>3069</v>
      </c>
      <c r="S3071" s="59">
        <f ca="1">Dashboard!B$8* Dashboard!$F$4+Dashboard!B$10*SQRT(Dashboard!$F$4) * _xlfn.NORM.S.INV(RAND())</f>
        <v>-2.2831142850858618E-2</v>
      </c>
      <c r="T3071" s="59">
        <f ca="1">Dashboard!C$8* Dashboard!$F$4+Dashboard!C$10*SQRT(Dashboard!$F$4) * _xlfn.NORM.S.INV(RAND())</f>
        <v>3.5347976088327744E-2</v>
      </c>
      <c r="U3071" s="59">
        <f ca="1">Dashboard!D$8* Dashboard!$F$4+Dashboard!D$10*SQRT(Dashboard!$F$4) * _xlfn.NORM.S.INV(RAND())</f>
        <v>2.0240863446993017E-2</v>
      </c>
    </row>
    <row r="3072" spans="18:21" x14ac:dyDescent="0.2">
      <c r="R3072" s="49">
        <v>3070</v>
      </c>
      <c r="S3072" s="59">
        <f ca="1">Dashboard!B$8* Dashboard!$F$4+Dashboard!B$10*SQRT(Dashboard!$F$4) * _xlfn.NORM.S.INV(RAND())</f>
        <v>6.2578812709036275E-3</v>
      </c>
      <c r="T3072" s="59">
        <f ca="1">Dashboard!C$8* Dashboard!$F$4+Dashboard!C$10*SQRT(Dashboard!$F$4) * _xlfn.NORM.S.INV(RAND())</f>
        <v>-1.7590739810247384E-2</v>
      </c>
      <c r="U3072" s="59">
        <f ca="1">Dashboard!D$8* Dashboard!$F$4+Dashboard!D$10*SQRT(Dashboard!$F$4) * _xlfn.NORM.S.INV(RAND())</f>
        <v>-2.0187269730052946E-3</v>
      </c>
    </row>
    <row r="3073" spans="18:21" x14ac:dyDescent="0.2">
      <c r="R3073" s="49">
        <v>3071</v>
      </c>
      <c r="S3073" s="59">
        <f ca="1">Dashboard!B$8* Dashboard!$F$4+Dashboard!B$10*SQRT(Dashboard!$F$4) * _xlfn.NORM.S.INV(RAND())</f>
        <v>3.9318053420367656E-2</v>
      </c>
      <c r="T3073" s="59">
        <f ca="1">Dashboard!C$8* Dashboard!$F$4+Dashboard!C$10*SQRT(Dashboard!$F$4) * _xlfn.NORM.S.INV(RAND())</f>
        <v>1.622725169974373E-2</v>
      </c>
      <c r="U3073" s="59">
        <f ca="1">Dashboard!D$8* Dashboard!$F$4+Dashboard!D$10*SQRT(Dashboard!$F$4) * _xlfn.NORM.S.INV(RAND())</f>
        <v>-3.7056175219623663E-2</v>
      </c>
    </row>
    <row r="3074" spans="18:21" x14ac:dyDescent="0.2">
      <c r="R3074" s="49">
        <v>3072</v>
      </c>
      <c r="S3074" s="59">
        <f ca="1">Dashboard!B$8* Dashboard!$F$4+Dashboard!B$10*SQRT(Dashboard!$F$4) * _xlfn.NORM.S.INV(RAND())</f>
        <v>-7.2424537980549158E-3</v>
      </c>
      <c r="T3074" s="59">
        <f ca="1">Dashboard!C$8* Dashboard!$F$4+Dashboard!C$10*SQRT(Dashboard!$F$4) * _xlfn.NORM.S.INV(RAND())</f>
        <v>-2.622789676100238E-2</v>
      </c>
      <c r="U3074" s="59">
        <f ca="1">Dashboard!D$8* Dashboard!$F$4+Dashboard!D$10*SQRT(Dashboard!$F$4) * _xlfn.NORM.S.INV(RAND())</f>
        <v>-7.4844169279691198E-3</v>
      </c>
    </row>
    <row r="3075" spans="18:21" x14ac:dyDescent="0.2">
      <c r="R3075" s="49">
        <v>3073</v>
      </c>
      <c r="S3075" s="59">
        <f ca="1">Dashboard!B$8* Dashboard!$F$4+Dashboard!B$10*SQRT(Dashboard!$F$4) * _xlfn.NORM.S.INV(RAND())</f>
        <v>3.9853909796450704E-2</v>
      </c>
      <c r="T3075" s="59">
        <f ca="1">Dashboard!C$8* Dashboard!$F$4+Dashboard!C$10*SQRT(Dashboard!$F$4) * _xlfn.NORM.S.INV(RAND())</f>
        <v>3.6468406960210087E-2</v>
      </c>
      <c r="U3075" s="59">
        <f ca="1">Dashboard!D$8* Dashboard!$F$4+Dashboard!D$10*SQRT(Dashboard!$F$4) * _xlfn.NORM.S.INV(RAND())</f>
        <v>1.7387475943084825E-2</v>
      </c>
    </row>
    <row r="3076" spans="18:21" x14ac:dyDescent="0.2">
      <c r="R3076" s="49">
        <v>3074</v>
      </c>
      <c r="S3076" s="59">
        <f ca="1">Dashboard!B$8* Dashboard!$F$4+Dashboard!B$10*SQRT(Dashboard!$F$4) * _xlfn.NORM.S.INV(RAND())</f>
        <v>4.0947681790175321E-2</v>
      </c>
      <c r="T3076" s="59">
        <f ca="1">Dashboard!C$8* Dashboard!$F$4+Dashboard!C$10*SQRT(Dashboard!$F$4) * _xlfn.NORM.S.INV(RAND())</f>
        <v>-3.3803285122122183E-2</v>
      </c>
      <c r="U3076" s="59">
        <f ca="1">Dashboard!D$8* Dashboard!$F$4+Dashboard!D$10*SQRT(Dashboard!$F$4) * _xlfn.NORM.S.INV(RAND())</f>
        <v>-2.1035080442604426E-2</v>
      </c>
    </row>
    <row r="3077" spans="18:21" x14ac:dyDescent="0.2">
      <c r="R3077" s="49">
        <v>3075</v>
      </c>
      <c r="S3077" s="59">
        <f ca="1">Dashboard!B$8* Dashboard!$F$4+Dashboard!B$10*SQRT(Dashboard!$F$4) * _xlfn.NORM.S.INV(RAND())</f>
        <v>3.3251242730195925E-2</v>
      </c>
      <c r="T3077" s="59">
        <f ca="1">Dashboard!C$8* Dashboard!$F$4+Dashboard!C$10*SQRT(Dashboard!$F$4) * _xlfn.NORM.S.INV(RAND())</f>
        <v>-1.3527240127313076E-2</v>
      </c>
      <c r="U3077" s="59">
        <f ca="1">Dashboard!D$8* Dashboard!$F$4+Dashboard!D$10*SQRT(Dashboard!$F$4) * _xlfn.NORM.S.INV(RAND())</f>
        <v>4.0797850880978398E-2</v>
      </c>
    </row>
    <row r="3078" spans="18:21" x14ac:dyDescent="0.2">
      <c r="R3078" s="49">
        <v>3076</v>
      </c>
      <c r="S3078" s="59">
        <f ca="1">Dashboard!B$8* Dashboard!$F$4+Dashboard!B$10*SQRT(Dashboard!$F$4) * _xlfn.NORM.S.INV(RAND())</f>
        <v>-1.6292433315969856E-2</v>
      </c>
      <c r="T3078" s="59">
        <f ca="1">Dashboard!C$8* Dashboard!$F$4+Dashboard!C$10*SQRT(Dashboard!$F$4) * _xlfn.NORM.S.INV(RAND())</f>
        <v>1.7808556488469577E-2</v>
      </c>
      <c r="U3078" s="59">
        <f ca="1">Dashboard!D$8* Dashboard!$F$4+Dashboard!D$10*SQRT(Dashboard!$F$4) * _xlfn.NORM.S.INV(RAND())</f>
        <v>-3.8866964393648541E-2</v>
      </c>
    </row>
    <row r="3079" spans="18:21" x14ac:dyDescent="0.2">
      <c r="R3079" s="49">
        <v>3077</v>
      </c>
      <c r="S3079" s="59">
        <f ca="1">Dashboard!B$8* Dashboard!$F$4+Dashboard!B$10*SQRT(Dashboard!$F$4) * _xlfn.NORM.S.INV(RAND())</f>
        <v>-1.707521183727298E-2</v>
      </c>
      <c r="T3079" s="59">
        <f ca="1">Dashboard!C$8* Dashboard!$F$4+Dashboard!C$10*SQRT(Dashboard!$F$4) * _xlfn.NORM.S.INV(RAND())</f>
        <v>1.2231674097561981E-2</v>
      </c>
      <c r="U3079" s="59">
        <f ca="1">Dashboard!D$8* Dashboard!$F$4+Dashboard!D$10*SQRT(Dashboard!$F$4) * _xlfn.NORM.S.INV(RAND())</f>
        <v>-2.8165077997817083E-2</v>
      </c>
    </row>
    <row r="3080" spans="18:21" x14ac:dyDescent="0.2">
      <c r="R3080" s="49">
        <v>3078</v>
      </c>
      <c r="S3080" s="59">
        <f ca="1">Dashboard!B$8* Dashboard!$F$4+Dashboard!B$10*SQRT(Dashboard!$F$4) * _xlfn.NORM.S.INV(RAND())</f>
        <v>-1.3174665044603202E-2</v>
      </c>
      <c r="T3080" s="59">
        <f ca="1">Dashboard!C$8* Dashboard!$F$4+Dashboard!C$10*SQRT(Dashboard!$F$4) * _xlfn.NORM.S.INV(RAND())</f>
        <v>2.1845529925574862E-2</v>
      </c>
      <c r="U3080" s="59">
        <f ca="1">Dashboard!D$8* Dashboard!$F$4+Dashboard!D$10*SQRT(Dashboard!$F$4) * _xlfn.NORM.S.INV(RAND())</f>
        <v>-3.9302152197643991E-2</v>
      </c>
    </row>
    <row r="3081" spans="18:21" x14ac:dyDescent="0.2">
      <c r="R3081" s="49">
        <v>3079</v>
      </c>
      <c r="S3081" s="59">
        <f ca="1">Dashboard!B$8* Dashboard!$F$4+Dashboard!B$10*SQRT(Dashboard!$F$4) * _xlfn.NORM.S.INV(RAND())</f>
        <v>5.4016449012952196E-3</v>
      </c>
      <c r="T3081" s="59">
        <f ca="1">Dashboard!C$8* Dashboard!$F$4+Dashboard!C$10*SQRT(Dashboard!$F$4) * _xlfn.NORM.S.INV(RAND())</f>
        <v>2.874440923167472E-2</v>
      </c>
      <c r="U3081" s="59">
        <f ca="1">Dashboard!D$8* Dashboard!$F$4+Dashboard!D$10*SQRT(Dashboard!$F$4) * _xlfn.NORM.S.INV(RAND())</f>
        <v>1.1728274993047704E-4</v>
      </c>
    </row>
    <row r="3082" spans="18:21" x14ac:dyDescent="0.2">
      <c r="R3082" s="49">
        <v>3080</v>
      </c>
      <c r="S3082" s="59">
        <f ca="1">Dashboard!B$8* Dashboard!$F$4+Dashboard!B$10*SQRT(Dashboard!$F$4) * _xlfn.NORM.S.INV(RAND())</f>
        <v>3.7728359423694798E-2</v>
      </c>
      <c r="T3082" s="59">
        <f ca="1">Dashboard!C$8* Dashboard!$F$4+Dashboard!C$10*SQRT(Dashboard!$F$4) * _xlfn.NORM.S.INV(RAND())</f>
        <v>7.768048084218839E-3</v>
      </c>
      <c r="U3082" s="59">
        <f ca="1">Dashboard!D$8* Dashboard!$F$4+Dashboard!D$10*SQRT(Dashboard!$F$4) * _xlfn.NORM.S.INV(RAND())</f>
        <v>-1.1905257515094246E-2</v>
      </c>
    </row>
    <row r="3083" spans="18:21" x14ac:dyDescent="0.2">
      <c r="R3083" s="49">
        <v>3081</v>
      </c>
      <c r="S3083" s="59">
        <f ca="1">Dashboard!B$8* Dashboard!$F$4+Dashboard!B$10*SQRT(Dashboard!$F$4) * _xlfn.NORM.S.INV(RAND())</f>
        <v>-6.6073689195273816E-2</v>
      </c>
      <c r="T3083" s="59">
        <f ca="1">Dashboard!C$8* Dashboard!$F$4+Dashboard!C$10*SQRT(Dashboard!$F$4) * _xlfn.NORM.S.INV(RAND())</f>
        <v>-6.0268714681647228E-3</v>
      </c>
      <c r="U3083" s="59">
        <f ca="1">Dashboard!D$8* Dashboard!$F$4+Dashboard!D$10*SQRT(Dashboard!$F$4) * _xlfn.NORM.S.INV(RAND())</f>
        <v>4.3410908887396051E-2</v>
      </c>
    </row>
    <row r="3084" spans="18:21" x14ac:dyDescent="0.2">
      <c r="R3084" s="49">
        <v>3082</v>
      </c>
      <c r="S3084" s="59">
        <f ca="1">Dashboard!B$8* Dashboard!$F$4+Dashboard!B$10*SQRT(Dashboard!$F$4) * _xlfn.NORM.S.INV(RAND())</f>
        <v>1.8298524807366906E-2</v>
      </c>
      <c r="T3084" s="59">
        <f ca="1">Dashboard!C$8* Dashboard!$F$4+Dashboard!C$10*SQRT(Dashboard!$F$4) * _xlfn.NORM.S.INV(RAND())</f>
        <v>2.2241676455699782E-2</v>
      </c>
      <c r="U3084" s="59">
        <f ca="1">Dashboard!D$8* Dashboard!$F$4+Dashboard!D$10*SQRT(Dashboard!$F$4) * _xlfn.NORM.S.INV(RAND())</f>
        <v>2.982814718853535E-2</v>
      </c>
    </row>
    <row r="3085" spans="18:21" x14ac:dyDescent="0.2">
      <c r="R3085" s="49">
        <v>3083</v>
      </c>
      <c r="S3085" s="59">
        <f ca="1">Dashboard!B$8* Dashboard!$F$4+Dashboard!B$10*SQRT(Dashboard!$F$4) * _xlfn.NORM.S.INV(RAND())</f>
        <v>6.7297562594774273E-3</v>
      </c>
      <c r="T3085" s="59">
        <f ca="1">Dashboard!C$8* Dashboard!$F$4+Dashboard!C$10*SQRT(Dashboard!$F$4) * _xlfn.NORM.S.INV(RAND())</f>
        <v>5.4952471474574514E-2</v>
      </c>
      <c r="U3085" s="59">
        <f ca="1">Dashboard!D$8* Dashboard!$F$4+Dashboard!D$10*SQRT(Dashboard!$F$4) * _xlfn.NORM.S.INV(RAND())</f>
        <v>3.7639844908592138E-2</v>
      </c>
    </row>
    <row r="3086" spans="18:21" x14ac:dyDescent="0.2">
      <c r="R3086" s="49">
        <v>3084</v>
      </c>
      <c r="S3086" s="59">
        <f ca="1">Dashboard!B$8* Dashboard!$F$4+Dashboard!B$10*SQRT(Dashboard!$F$4) * _xlfn.NORM.S.INV(RAND())</f>
        <v>2.6537507800409359E-2</v>
      </c>
      <c r="T3086" s="59">
        <f ca="1">Dashboard!C$8* Dashboard!$F$4+Dashboard!C$10*SQRT(Dashboard!$F$4) * _xlfn.NORM.S.INV(RAND())</f>
        <v>-1.2402753383755549E-3</v>
      </c>
      <c r="U3086" s="59">
        <f ca="1">Dashboard!D$8* Dashboard!$F$4+Dashboard!D$10*SQRT(Dashboard!$F$4) * _xlfn.NORM.S.INV(RAND())</f>
        <v>-5.3576267756019855E-2</v>
      </c>
    </row>
    <row r="3087" spans="18:21" x14ac:dyDescent="0.2">
      <c r="R3087" s="49">
        <v>3085</v>
      </c>
      <c r="S3087" s="59">
        <f ca="1">Dashboard!B$8* Dashboard!$F$4+Dashboard!B$10*SQRT(Dashboard!$F$4) * _xlfn.NORM.S.INV(RAND())</f>
        <v>-6.046264252267705E-4</v>
      </c>
      <c r="T3087" s="59">
        <f ca="1">Dashboard!C$8* Dashboard!$F$4+Dashboard!C$10*SQRT(Dashboard!$F$4) * _xlfn.NORM.S.INV(RAND())</f>
        <v>9.6777069060987441E-3</v>
      </c>
      <c r="U3087" s="59">
        <f ca="1">Dashboard!D$8* Dashboard!$F$4+Dashboard!D$10*SQRT(Dashboard!$F$4) * _xlfn.NORM.S.INV(RAND())</f>
        <v>6.0178051177486131E-3</v>
      </c>
    </row>
    <row r="3088" spans="18:21" x14ac:dyDescent="0.2">
      <c r="R3088" s="49">
        <v>3086</v>
      </c>
      <c r="S3088" s="59">
        <f ca="1">Dashboard!B$8* Dashboard!$F$4+Dashboard!B$10*SQRT(Dashboard!$F$4) * _xlfn.NORM.S.INV(RAND())</f>
        <v>-3.2713952167013068E-2</v>
      </c>
      <c r="T3088" s="59">
        <f ca="1">Dashboard!C$8* Dashboard!$F$4+Dashboard!C$10*SQRT(Dashboard!$F$4) * _xlfn.NORM.S.INV(RAND())</f>
        <v>-1.0680358538542746E-2</v>
      </c>
      <c r="U3088" s="59">
        <f ca="1">Dashboard!D$8* Dashboard!$F$4+Dashboard!D$10*SQRT(Dashboard!$F$4) * _xlfn.NORM.S.INV(RAND())</f>
        <v>-7.357779876700405E-3</v>
      </c>
    </row>
    <row r="3089" spans="18:21" x14ac:dyDescent="0.2">
      <c r="R3089" s="49">
        <v>3087</v>
      </c>
      <c r="S3089" s="59">
        <f ca="1">Dashboard!B$8* Dashboard!$F$4+Dashboard!B$10*SQRT(Dashboard!$F$4) * _xlfn.NORM.S.INV(RAND())</f>
        <v>-1.2669275680253504E-2</v>
      </c>
      <c r="T3089" s="59">
        <f ca="1">Dashboard!C$8* Dashboard!$F$4+Dashboard!C$10*SQRT(Dashboard!$F$4) * _xlfn.NORM.S.INV(RAND())</f>
        <v>7.2917067600551291E-2</v>
      </c>
      <c r="U3089" s="59">
        <f ca="1">Dashboard!D$8* Dashboard!$F$4+Dashboard!D$10*SQRT(Dashboard!$F$4) * _xlfn.NORM.S.INV(RAND())</f>
        <v>-8.4037675348198233E-3</v>
      </c>
    </row>
    <row r="3090" spans="18:21" x14ac:dyDescent="0.2">
      <c r="R3090" s="49">
        <v>3088</v>
      </c>
      <c r="S3090" s="59">
        <f ca="1">Dashboard!B$8* Dashboard!$F$4+Dashboard!B$10*SQRT(Dashboard!$F$4) * _xlfn.NORM.S.INV(RAND())</f>
        <v>3.1669098415462921E-2</v>
      </c>
      <c r="T3090" s="59">
        <f ca="1">Dashboard!C$8* Dashboard!$F$4+Dashboard!C$10*SQRT(Dashboard!$F$4) * _xlfn.NORM.S.INV(RAND())</f>
        <v>2.2773076485018143E-2</v>
      </c>
      <c r="U3090" s="59">
        <f ca="1">Dashboard!D$8* Dashboard!$F$4+Dashboard!D$10*SQRT(Dashboard!$F$4) * _xlfn.NORM.S.INV(RAND())</f>
        <v>2.7201360778034599E-2</v>
      </c>
    </row>
    <row r="3091" spans="18:21" x14ac:dyDescent="0.2">
      <c r="R3091" s="49">
        <v>3089</v>
      </c>
      <c r="S3091" s="59">
        <f ca="1">Dashboard!B$8* Dashboard!$F$4+Dashboard!B$10*SQRT(Dashboard!$F$4) * _xlfn.NORM.S.INV(RAND())</f>
        <v>-4.2207069048621135E-2</v>
      </c>
      <c r="T3091" s="59">
        <f ca="1">Dashboard!C$8* Dashboard!$F$4+Dashboard!C$10*SQRT(Dashboard!$F$4) * _xlfn.NORM.S.INV(RAND())</f>
        <v>7.4627194393826323E-3</v>
      </c>
      <c r="U3091" s="59">
        <f ca="1">Dashboard!D$8* Dashboard!$F$4+Dashboard!D$10*SQRT(Dashboard!$F$4) * _xlfn.NORM.S.INV(RAND())</f>
        <v>1.4391245435782653E-2</v>
      </c>
    </row>
    <row r="3092" spans="18:21" x14ac:dyDescent="0.2">
      <c r="R3092" s="49">
        <v>3090</v>
      </c>
      <c r="S3092" s="59">
        <f ca="1">Dashboard!B$8* Dashboard!$F$4+Dashboard!B$10*SQRT(Dashboard!$F$4) * _xlfn.NORM.S.INV(RAND())</f>
        <v>-3.8024371681639045E-2</v>
      </c>
      <c r="T3092" s="59">
        <f ca="1">Dashboard!C$8* Dashboard!$F$4+Dashboard!C$10*SQRT(Dashboard!$F$4) * _xlfn.NORM.S.INV(RAND())</f>
        <v>2.7215429450372201E-2</v>
      </c>
      <c r="U3092" s="59">
        <f ca="1">Dashboard!D$8* Dashboard!$F$4+Dashboard!D$10*SQRT(Dashboard!$F$4) * _xlfn.NORM.S.INV(RAND())</f>
        <v>-4.955972954188357E-2</v>
      </c>
    </row>
    <row r="3093" spans="18:21" x14ac:dyDescent="0.2">
      <c r="R3093" s="49">
        <v>3091</v>
      </c>
      <c r="S3093" s="59">
        <f ca="1">Dashboard!B$8* Dashboard!$F$4+Dashboard!B$10*SQRT(Dashboard!$F$4) * _xlfn.NORM.S.INV(RAND())</f>
        <v>-5.4943015713329151E-2</v>
      </c>
      <c r="T3093" s="59">
        <f ca="1">Dashboard!C$8* Dashboard!$F$4+Dashboard!C$10*SQRT(Dashboard!$F$4) * _xlfn.NORM.S.INV(RAND())</f>
        <v>-2.870677868418486E-2</v>
      </c>
      <c r="U3093" s="59">
        <f ca="1">Dashboard!D$8* Dashboard!$F$4+Dashboard!D$10*SQRT(Dashboard!$F$4) * _xlfn.NORM.S.INV(RAND())</f>
        <v>2.0982960929447906E-2</v>
      </c>
    </row>
    <row r="3094" spans="18:21" x14ac:dyDescent="0.2">
      <c r="R3094" s="49">
        <v>3092</v>
      </c>
      <c r="S3094" s="59">
        <f ca="1">Dashboard!B$8* Dashboard!$F$4+Dashboard!B$10*SQRT(Dashboard!$F$4) * _xlfn.NORM.S.INV(RAND())</f>
        <v>2.6163246903095844E-3</v>
      </c>
      <c r="T3094" s="59">
        <f ca="1">Dashboard!C$8* Dashboard!$F$4+Dashboard!C$10*SQRT(Dashboard!$F$4) * _xlfn.NORM.S.INV(RAND())</f>
        <v>-8.6693151689496567E-3</v>
      </c>
      <c r="U3094" s="59">
        <f ca="1">Dashboard!D$8* Dashboard!$F$4+Dashboard!D$10*SQRT(Dashboard!$F$4) * _xlfn.NORM.S.INV(RAND())</f>
        <v>-7.0610694065922647E-3</v>
      </c>
    </row>
    <row r="3095" spans="18:21" x14ac:dyDescent="0.2">
      <c r="R3095" s="49">
        <v>3093</v>
      </c>
      <c r="S3095" s="59">
        <f ca="1">Dashboard!B$8* Dashboard!$F$4+Dashboard!B$10*SQRT(Dashboard!$F$4) * _xlfn.NORM.S.INV(RAND())</f>
        <v>4.6102144640388538E-3</v>
      </c>
      <c r="T3095" s="59">
        <f ca="1">Dashboard!C$8* Dashboard!$F$4+Dashboard!C$10*SQRT(Dashboard!$F$4) * _xlfn.NORM.S.INV(RAND())</f>
        <v>-5.2371279094966201E-2</v>
      </c>
      <c r="U3095" s="59">
        <f ca="1">Dashboard!D$8* Dashboard!$F$4+Dashboard!D$10*SQRT(Dashboard!$F$4) * _xlfn.NORM.S.INV(RAND())</f>
        <v>4.0611951911214576E-2</v>
      </c>
    </row>
    <row r="3096" spans="18:21" x14ac:dyDescent="0.2">
      <c r="R3096" s="49">
        <v>3094</v>
      </c>
      <c r="S3096" s="59">
        <f ca="1">Dashboard!B$8* Dashboard!$F$4+Dashboard!B$10*SQRT(Dashboard!$F$4) * _xlfn.NORM.S.INV(RAND())</f>
        <v>1.8034497328623299E-2</v>
      </c>
      <c r="T3096" s="59">
        <f ca="1">Dashboard!C$8* Dashboard!$F$4+Dashboard!C$10*SQRT(Dashboard!$F$4) * _xlfn.NORM.S.INV(RAND())</f>
        <v>-1.3804253445900531E-2</v>
      </c>
      <c r="U3096" s="59">
        <f ca="1">Dashboard!D$8* Dashboard!$F$4+Dashboard!D$10*SQRT(Dashboard!$F$4) * _xlfn.NORM.S.INV(RAND())</f>
        <v>4.0023172674464064E-2</v>
      </c>
    </row>
    <row r="3097" spans="18:21" x14ac:dyDescent="0.2">
      <c r="R3097" s="49">
        <v>3095</v>
      </c>
      <c r="S3097" s="59">
        <f ca="1">Dashboard!B$8* Dashboard!$F$4+Dashboard!B$10*SQRT(Dashboard!$F$4) * _xlfn.NORM.S.INV(RAND())</f>
        <v>-6.3404635053333413E-3</v>
      </c>
      <c r="T3097" s="59">
        <f ca="1">Dashboard!C$8* Dashboard!$F$4+Dashboard!C$10*SQRT(Dashboard!$F$4) * _xlfn.NORM.S.INV(RAND())</f>
        <v>-9.8100832029319254E-3</v>
      </c>
      <c r="U3097" s="59">
        <f ca="1">Dashboard!D$8* Dashboard!$F$4+Dashboard!D$10*SQRT(Dashboard!$F$4) * _xlfn.NORM.S.INV(RAND())</f>
        <v>3.4642928217922225E-2</v>
      </c>
    </row>
    <row r="3098" spans="18:21" x14ac:dyDescent="0.2">
      <c r="R3098" s="49">
        <v>3096</v>
      </c>
      <c r="S3098" s="59">
        <f ca="1">Dashboard!B$8* Dashboard!$F$4+Dashboard!B$10*SQRT(Dashboard!$F$4) * _xlfn.NORM.S.INV(RAND())</f>
        <v>-5.0313449060827568E-2</v>
      </c>
      <c r="T3098" s="59">
        <f ca="1">Dashboard!C$8* Dashboard!$F$4+Dashboard!C$10*SQRT(Dashboard!$F$4) * _xlfn.NORM.S.INV(RAND())</f>
        <v>5.7503407879863237E-2</v>
      </c>
      <c r="U3098" s="59">
        <f ca="1">Dashboard!D$8* Dashboard!$F$4+Dashboard!D$10*SQRT(Dashboard!$F$4) * _xlfn.NORM.S.INV(RAND())</f>
        <v>4.8167319464739559E-2</v>
      </c>
    </row>
    <row r="3099" spans="18:21" x14ac:dyDescent="0.2">
      <c r="R3099" s="49">
        <v>3097</v>
      </c>
      <c r="S3099" s="59">
        <f ca="1">Dashboard!B$8* Dashboard!$F$4+Dashboard!B$10*SQRT(Dashboard!$F$4) * _xlfn.NORM.S.INV(RAND())</f>
        <v>6.8406845816758044E-2</v>
      </c>
      <c r="T3099" s="59">
        <f ca="1">Dashboard!C$8* Dashboard!$F$4+Dashboard!C$10*SQRT(Dashboard!$F$4) * _xlfn.NORM.S.INV(RAND())</f>
        <v>8.1299003801872452E-3</v>
      </c>
      <c r="U3099" s="59">
        <f ca="1">Dashboard!D$8* Dashboard!$F$4+Dashboard!D$10*SQRT(Dashboard!$F$4) * _xlfn.NORM.S.INV(RAND())</f>
        <v>-6.4552185191470685E-2</v>
      </c>
    </row>
    <row r="3100" spans="18:21" x14ac:dyDescent="0.2">
      <c r="R3100" s="49">
        <v>3098</v>
      </c>
      <c r="S3100" s="59">
        <f ca="1">Dashboard!B$8* Dashboard!$F$4+Dashboard!B$10*SQRT(Dashboard!$F$4) * _xlfn.NORM.S.INV(RAND())</f>
        <v>6.5687313240539849E-2</v>
      </c>
      <c r="T3100" s="59">
        <f ca="1">Dashboard!C$8* Dashboard!$F$4+Dashboard!C$10*SQRT(Dashboard!$F$4) * _xlfn.NORM.S.INV(RAND())</f>
        <v>-3.4303867297987442E-2</v>
      </c>
      <c r="U3100" s="59">
        <f ca="1">Dashboard!D$8* Dashboard!$F$4+Dashboard!D$10*SQRT(Dashboard!$F$4) * _xlfn.NORM.S.INV(RAND())</f>
        <v>-5.3665887608112063E-2</v>
      </c>
    </row>
    <row r="3101" spans="18:21" x14ac:dyDescent="0.2">
      <c r="R3101" s="49">
        <v>3099</v>
      </c>
      <c r="S3101" s="59">
        <f ca="1">Dashboard!B$8* Dashboard!$F$4+Dashboard!B$10*SQRT(Dashboard!$F$4) * _xlfn.NORM.S.INV(RAND())</f>
        <v>2.3534505666832238E-3</v>
      </c>
      <c r="T3101" s="59">
        <f ca="1">Dashboard!C$8* Dashboard!$F$4+Dashboard!C$10*SQRT(Dashboard!$F$4) * _xlfn.NORM.S.INV(RAND())</f>
        <v>8.1519659976904378E-3</v>
      </c>
      <c r="U3101" s="59">
        <f ca="1">Dashboard!D$8* Dashboard!$F$4+Dashboard!D$10*SQRT(Dashboard!$F$4) * _xlfn.NORM.S.INV(RAND())</f>
        <v>4.917488393726873E-2</v>
      </c>
    </row>
    <row r="3102" spans="18:21" x14ac:dyDescent="0.2">
      <c r="R3102" s="49">
        <v>3100</v>
      </c>
      <c r="S3102" s="59">
        <f ca="1">Dashboard!B$8* Dashboard!$F$4+Dashboard!B$10*SQRT(Dashboard!$F$4) * _xlfn.NORM.S.INV(RAND())</f>
        <v>-2.110036089363216E-2</v>
      </c>
      <c r="T3102" s="59">
        <f ca="1">Dashboard!C$8* Dashboard!$F$4+Dashboard!C$10*SQRT(Dashboard!$F$4) * _xlfn.NORM.S.INV(RAND())</f>
        <v>4.7033740792881362E-2</v>
      </c>
      <c r="U3102" s="59">
        <f ca="1">Dashboard!D$8* Dashboard!$F$4+Dashboard!D$10*SQRT(Dashboard!$F$4) * _xlfn.NORM.S.INV(RAND())</f>
        <v>2.4299759487227006E-2</v>
      </c>
    </row>
    <row r="3103" spans="18:21" x14ac:dyDescent="0.2">
      <c r="R3103" s="49">
        <v>3101</v>
      </c>
      <c r="S3103" s="59">
        <f ca="1">Dashboard!B$8* Dashboard!$F$4+Dashboard!B$10*SQRT(Dashboard!$F$4) * _xlfn.NORM.S.INV(RAND())</f>
        <v>-1.2635360584413072E-2</v>
      </c>
      <c r="T3103" s="59">
        <f ca="1">Dashboard!C$8* Dashboard!$F$4+Dashboard!C$10*SQRT(Dashboard!$F$4) * _xlfn.NORM.S.INV(RAND())</f>
        <v>1.7571070046214415E-2</v>
      </c>
      <c r="U3103" s="59">
        <f ca="1">Dashboard!D$8* Dashboard!$F$4+Dashboard!D$10*SQRT(Dashboard!$F$4) * _xlfn.NORM.S.INV(RAND())</f>
        <v>-3.7337262594620321E-2</v>
      </c>
    </row>
    <row r="3104" spans="18:21" x14ac:dyDescent="0.2">
      <c r="R3104" s="49">
        <v>3102</v>
      </c>
      <c r="S3104" s="59">
        <f ca="1">Dashboard!B$8* Dashboard!$F$4+Dashboard!B$10*SQRT(Dashboard!$F$4) * _xlfn.NORM.S.INV(RAND())</f>
        <v>-1.272550274839709E-3</v>
      </c>
      <c r="T3104" s="59">
        <f ca="1">Dashboard!C$8* Dashboard!$F$4+Dashboard!C$10*SQRT(Dashboard!$F$4) * _xlfn.NORM.S.INV(RAND())</f>
        <v>-6.4880611095351287E-2</v>
      </c>
      <c r="U3104" s="59">
        <f ca="1">Dashboard!D$8* Dashboard!$F$4+Dashboard!D$10*SQRT(Dashboard!$F$4) * _xlfn.NORM.S.INV(RAND())</f>
        <v>-1.7465835812309698E-2</v>
      </c>
    </row>
    <row r="3105" spans="18:21" x14ac:dyDescent="0.2">
      <c r="R3105" s="49">
        <v>3103</v>
      </c>
      <c r="S3105" s="59">
        <f ca="1">Dashboard!B$8* Dashboard!$F$4+Dashboard!B$10*SQRT(Dashboard!$F$4) * _xlfn.NORM.S.INV(RAND())</f>
        <v>2.6254204009121762E-2</v>
      </c>
      <c r="T3105" s="59">
        <f ca="1">Dashboard!C$8* Dashboard!$F$4+Dashboard!C$10*SQRT(Dashboard!$F$4) * _xlfn.NORM.S.INV(RAND())</f>
        <v>8.4426423504460349E-2</v>
      </c>
      <c r="U3105" s="59">
        <f ca="1">Dashboard!D$8* Dashboard!$F$4+Dashboard!D$10*SQRT(Dashboard!$F$4) * _xlfn.NORM.S.INV(RAND())</f>
        <v>1.1400923981879923E-2</v>
      </c>
    </row>
    <row r="3106" spans="18:21" x14ac:dyDescent="0.2">
      <c r="R3106" s="49">
        <v>3104</v>
      </c>
      <c r="S3106" s="59">
        <f ca="1">Dashboard!B$8* Dashboard!$F$4+Dashboard!B$10*SQRT(Dashboard!$F$4) * _xlfn.NORM.S.INV(RAND())</f>
        <v>-4.3585398321669411E-3</v>
      </c>
      <c r="T3106" s="59">
        <f ca="1">Dashboard!C$8* Dashboard!$F$4+Dashboard!C$10*SQRT(Dashboard!$F$4) * _xlfn.NORM.S.INV(RAND())</f>
        <v>-8.6863198041959563E-2</v>
      </c>
      <c r="U3106" s="59">
        <f ca="1">Dashboard!D$8* Dashboard!$F$4+Dashboard!D$10*SQRT(Dashboard!$F$4) * _xlfn.NORM.S.INV(RAND())</f>
        <v>5.9309963312164697E-2</v>
      </c>
    </row>
    <row r="3107" spans="18:21" x14ac:dyDescent="0.2">
      <c r="R3107" s="49">
        <v>3105</v>
      </c>
      <c r="S3107" s="59">
        <f ca="1">Dashboard!B$8* Dashboard!$F$4+Dashboard!B$10*SQRT(Dashboard!$F$4) * _xlfn.NORM.S.INV(RAND())</f>
        <v>-5.1526951545470712E-2</v>
      </c>
      <c r="T3107" s="59">
        <f ca="1">Dashboard!C$8* Dashboard!$F$4+Dashboard!C$10*SQRT(Dashboard!$F$4) * _xlfn.NORM.S.INV(RAND())</f>
        <v>2.4086257874886548E-2</v>
      </c>
      <c r="U3107" s="59">
        <f ca="1">Dashboard!D$8* Dashboard!$F$4+Dashboard!D$10*SQRT(Dashboard!$F$4) * _xlfn.NORM.S.INV(RAND())</f>
        <v>9.5833479507659667E-3</v>
      </c>
    </row>
    <row r="3108" spans="18:21" x14ac:dyDescent="0.2">
      <c r="R3108" s="49">
        <v>3106</v>
      </c>
      <c r="S3108" s="59">
        <f ca="1">Dashboard!B$8* Dashboard!$F$4+Dashboard!B$10*SQRT(Dashboard!$F$4) * _xlfn.NORM.S.INV(RAND())</f>
        <v>2.7985255588357551E-2</v>
      </c>
      <c r="T3108" s="59">
        <f ca="1">Dashboard!C$8* Dashboard!$F$4+Dashboard!C$10*SQRT(Dashboard!$F$4) * _xlfn.NORM.S.INV(RAND())</f>
        <v>1.829445641593597E-2</v>
      </c>
      <c r="U3108" s="59">
        <f ca="1">Dashboard!D$8* Dashboard!$F$4+Dashboard!D$10*SQRT(Dashboard!$F$4) * _xlfn.NORM.S.INV(RAND())</f>
        <v>2.3815786042031002E-2</v>
      </c>
    </row>
    <row r="3109" spans="18:21" x14ac:dyDescent="0.2">
      <c r="R3109" s="49">
        <v>3107</v>
      </c>
      <c r="S3109" s="59">
        <f ca="1">Dashboard!B$8* Dashboard!$F$4+Dashboard!B$10*SQRT(Dashboard!$F$4) * _xlfn.NORM.S.INV(RAND())</f>
        <v>-2.449639961066892E-2</v>
      </c>
      <c r="T3109" s="59">
        <f ca="1">Dashboard!C$8* Dashboard!$F$4+Dashboard!C$10*SQRT(Dashboard!$F$4) * _xlfn.NORM.S.INV(RAND())</f>
        <v>-4.4376395026929361E-2</v>
      </c>
      <c r="U3109" s="59">
        <f ca="1">Dashboard!D$8* Dashboard!$F$4+Dashboard!D$10*SQRT(Dashboard!$F$4) * _xlfn.NORM.S.INV(RAND())</f>
        <v>-1.9610406021328321E-3</v>
      </c>
    </row>
    <row r="3110" spans="18:21" x14ac:dyDescent="0.2">
      <c r="R3110" s="49">
        <v>3108</v>
      </c>
      <c r="S3110" s="59">
        <f ca="1">Dashboard!B$8* Dashboard!$F$4+Dashboard!B$10*SQRT(Dashboard!$F$4) * _xlfn.NORM.S.INV(RAND())</f>
        <v>-3.3539556601081558E-2</v>
      </c>
      <c r="T3110" s="59">
        <f ca="1">Dashboard!C$8* Dashboard!$F$4+Dashboard!C$10*SQRT(Dashboard!$F$4) * _xlfn.NORM.S.INV(RAND())</f>
        <v>-1.8855063243397963E-2</v>
      </c>
      <c r="U3110" s="59">
        <f ca="1">Dashboard!D$8* Dashboard!$F$4+Dashboard!D$10*SQRT(Dashboard!$F$4) * _xlfn.NORM.S.INV(RAND())</f>
        <v>-4.7128705156801272E-3</v>
      </c>
    </row>
    <row r="3111" spans="18:21" x14ac:dyDescent="0.2">
      <c r="R3111" s="49">
        <v>3109</v>
      </c>
      <c r="S3111" s="59">
        <f ca="1">Dashboard!B$8* Dashboard!$F$4+Dashboard!B$10*SQRT(Dashboard!$F$4) * _xlfn.NORM.S.INV(RAND())</f>
        <v>2.9891504398746216E-2</v>
      </c>
      <c r="T3111" s="59">
        <f ca="1">Dashboard!C$8* Dashboard!$F$4+Dashboard!C$10*SQRT(Dashboard!$F$4) * _xlfn.NORM.S.INV(RAND())</f>
        <v>5.3882015128052614E-3</v>
      </c>
      <c r="U3111" s="59">
        <f ca="1">Dashboard!D$8* Dashboard!$F$4+Dashboard!D$10*SQRT(Dashboard!$F$4) * _xlfn.NORM.S.INV(RAND())</f>
        <v>1.7616709810418681E-2</v>
      </c>
    </row>
    <row r="3112" spans="18:21" x14ac:dyDescent="0.2">
      <c r="R3112" s="49">
        <v>3110</v>
      </c>
      <c r="S3112" s="59">
        <f ca="1">Dashboard!B$8* Dashboard!$F$4+Dashboard!B$10*SQRT(Dashboard!$F$4) * _xlfn.NORM.S.INV(RAND())</f>
        <v>-3.636474566451673E-2</v>
      </c>
      <c r="T3112" s="59">
        <f ca="1">Dashboard!C$8* Dashboard!$F$4+Dashboard!C$10*SQRT(Dashboard!$F$4) * _xlfn.NORM.S.INV(RAND())</f>
        <v>1.1800367123690125E-2</v>
      </c>
      <c r="U3112" s="59">
        <f ca="1">Dashboard!D$8* Dashboard!$F$4+Dashboard!D$10*SQRT(Dashboard!$F$4) * _xlfn.NORM.S.INV(RAND())</f>
        <v>3.0810705707652753E-2</v>
      </c>
    </row>
    <row r="3113" spans="18:21" x14ac:dyDescent="0.2">
      <c r="R3113" s="49">
        <v>3111</v>
      </c>
      <c r="S3113" s="59">
        <f ca="1">Dashboard!B$8* Dashboard!$F$4+Dashboard!B$10*SQRT(Dashboard!$F$4) * _xlfn.NORM.S.INV(RAND())</f>
        <v>-2.4369589036740427E-2</v>
      </c>
      <c r="T3113" s="59">
        <f ca="1">Dashboard!C$8* Dashboard!$F$4+Dashboard!C$10*SQRT(Dashboard!$F$4) * _xlfn.NORM.S.INV(RAND())</f>
        <v>3.5204400034884842E-2</v>
      </c>
      <c r="U3113" s="59">
        <f ca="1">Dashboard!D$8* Dashboard!$F$4+Dashboard!D$10*SQRT(Dashboard!$F$4) * _xlfn.NORM.S.INV(RAND())</f>
        <v>1.8388207615023392E-4</v>
      </c>
    </row>
    <row r="3114" spans="18:21" x14ac:dyDescent="0.2">
      <c r="R3114" s="49">
        <v>3112</v>
      </c>
      <c r="S3114" s="59">
        <f ca="1">Dashboard!B$8* Dashboard!$F$4+Dashboard!B$10*SQRT(Dashboard!$F$4) * _xlfn.NORM.S.INV(RAND())</f>
        <v>-2.8712420215113596E-2</v>
      </c>
      <c r="T3114" s="59">
        <f ca="1">Dashboard!C$8* Dashboard!$F$4+Dashboard!C$10*SQRT(Dashboard!$F$4) * _xlfn.NORM.S.INV(RAND())</f>
        <v>5.0944638022303819E-2</v>
      </c>
      <c r="U3114" s="59">
        <f ca="1">Dashboard!D$8* Dashboard!$F$4+Dashboard!D$10*SQRT(Dashboard!$F$4) * _xlfn.NORM.S.INV(RAND())</f>
        <v>-6.8345381850671357E-4</v>
      </c>
    </row>
    <row r="3115" spans="18:21" x14ac:dyDescent="0.2">
      <c r="R3115" s="49">
        <v>3113</v>
      </c>
      <c r="S3115" s="59">
        <f ca="1">Dashboard!B$8* Dashboard!$F$4+Dashboard!B$10*SQRT(Dashboard!$F$4) * _xlfn.NORM.S.INV(RAND())</f>
        <v>-4.4930294853467001E-2</v>
      </c>
      <c r="T3115" s="59">
        <f ca="1">Dashboard!C$8* Dashboard!$F$4+Dashboard!C$10*SQRT(Dashboard!$F$4) * _xlfn.NORM.S.INV(RAND())</f>
        <v>7.5757218106911745E-2</v>
      </c>
      <c r="U3115" s="59">
        <f ca="1">Dashboard!D$8* Dashboard!$F$4+Dashboard!D$10*SQRT(Dashboard!$F$4) * _xlfn.NORM.S.INV(RAND())</f>
        <v>-2.3169493495652779E-2</v>
      </c>
    </row>
    <row r="3116" spans="18:21" x14ac:dyDescent="0.2">
      <c r="R3116" s="49">
        <v>3114</v>
      </c>
      <c r="S3116" s="59">
        <f ca="1">Dashboard!B$8* Dashboard!$F$4+Dashboard!B$10*SQRT(Dashboard!$F$4) * _xlfn.NORM.S.INV(RAND())</f>
        <v>2.4701492553808178E-2</v>
      </c>
      <c r="T3116" s="59">
        <f ca="1">Dashboard!C$8* Dashboard!$F$4+Dashboard!C$10*SQRT(Dashboard!$F$4) * _xlfn.NORM.S.INV(RAND())</f>
        <v>1.5564229547040658E-2</v>
      </c>
      <c r="U3116" s="59">
        <f ca="1">Dashboard!D$8* Dashboard!$F$4+Dashboard!D$10*SQRT(Dashboard!$F$4) * _xlfn.NORM.S.INV(RAND())</f>
        <v>2.5460746245111576E-2</v>
      </c>
    </row>
    <row r="3117" spans="18:21" x14ac:dyDescent="0.2">
      <c r="R3117" s="49">
        <v>3115</v>
      </c>
      <c r="S3117" s="59">
        <f ca="1">Dashboard!B$8* Dashboard!$F$4+Dashboard!B$10*SQRT(Dashboard!$F$4) * _xlfn.NORM.S.INV(RAND())</f>
        <v>-2.7365450116367727E-2</v>
      </c>
      <c r="T3117" s="59">
        <f ca="1">Dashboard!C$8* Dashboard!$F$4+Dashboard!C$10*SQRT(Dashboard!$F$4) * _xlfn.NORM.S.INV(RAND())</f>
        <v>2.9630686011442194E-2</v>
      </c>
      <c r="U3117" s="59">
        <f ca="1">Dashboard!D$8* Dashboard!$F$4+Dashboard!D$10*SQRT(Dashboard!$F$4) * _xlfn.NORM.S.INV(RAND())</f>
        <v>1.3925368740023848E-2</v>
      </c>
    </row>
    <row r="3118" spans="18:21" x14ac:dyDescent="0.2">
      <c r="R3118" s="49">
        <v>3116</v>
      </c>
      <c r="S3118" s="59">
        <f ca="1">Dashboard!B$8* Dashboard!$F$4+Dashboard!B$10*SQRT(Dashboard!$F$4) * _xlfn.NORM.S.INV(RAND())</f>
        <v>8.232258467566804E-3</v>
      </c>
      <c r="T3118" s="59">
        <f ca="1">Dashboard!C$8* Dashboard!$F$4+Dashboard!C$10*SQRT(Dashboard!$F$4) * _xlfn.NORM.S.INV(RAND())</f>
        <v>-3.2721231239283957E-2</v>
      </c>
      <c r="U3118" s="59">
        <f ca="1">Dashboard!D$8* Dashboard!$F$4+Dashboard!D$10*SQRT(Dashboard!$F$4) * _xlfn.NORM.S.INV(RAND())</f>
        <v>-2.2053078570285267E-2</v>
      </c>
    </row>
    <row r="3119" spans="18:21" x14ac:dyDescent="0.2">
      <c r="R3119" s="49">
        <v>3117</v>
      </c>
      <c r="S3119" s="59">
        <f ca="1">Dashboard!B$8* Dashboard!$F$4+Dashboard!B$10*SQRT(Dashboard!$F$4) * _xlfn.NORM.S.INV(RAND())</f>
        <v>2.2583520033148542E-2</v>
      </c>
      <c r="T3119" s="59">
        <f ca="1">Dashboard!C$8* Dashboard!$F$4+Dashboard!C$10*SQRT(Dashboard!$F$4) * _xlfn.NORM.S.INV(RAND())</f>
        <v>4.9656534049703407E-3</v>
      </c>
      <c r="U3119" s="59">
        <f ca="1">Dashboard!D$8* Dashboard!$F$4+Dashboard!D$10*SQRT(Dashboard!$F$4) * _xlfn.NORM.S.INV(RAND())</f>
        <v>-1.1167445586227356E-2</v>
      </c>
    </row>
    <row r="3120" spans="18:21" x14ac:dyDescent="0.2">
      <c r="R3120" s="49">
        <v>3118</v>
      </c>
      <c r="S3120" s="59">
        <f ca="1">Dashboard!B$8* Dashboard!$F$4+Dashboard!B$10*SQRT(Dashboard!$F$4) * _xlfn.NORM.S.INV(RAND())</f>
        <v>-2.1522928991976553E-2</v>
      </c>
      <c r="T3120" s="59">
        <f ca="1">Dashboard!C$8* Dashboard!$F$4+Dashboard!C$10*SQRT(Dashboard!$F$4) * _xlfn.NORM.S.INV(RAND())</f>
        <v>7.4600396586997006E-3</v>
      </c>
      <c r="U3120" s="59">
        <f ca="1">Dashboard!D$8* Dashboard!$F$4+Dashboard!D$10*SQRT(Dashboard!$F$4) * _xlfn.NORM.S.INV(RAND())</f>
        <v>-2.2874238506893869E-2</v>
      </c>
    </row>
    <row r="3121" spans="18:21" x14ac:dyDescent="0.2">
      <c r="R3121" s="49">
        <v>3119</v>
      </c>
      <c r="S3121" s="59">
        <f ca="1">Dashboard!B$8* Dashboard!$F$4+Dashboard!B$10*SQRT(Dashboard!$F$4) * _xlfn.NORM.S.INV(RAND())</f>
        <v>-1.1924407714716201E-2</v>
      </c>
      <c r="T3121" s="59">
        <f ca="1">Dashboard!C$8* Dashboard!$F$4+Dashboard!C$10*SQRT(Dashboard!$F$4) * _xlfn.NORM.S.INV(RAND())</f>
        <v>1.750640358775268E-2</v>
      </c>
      <c r="U3121" s="59">
        <f ca="1">Dashboard!D$8* Dashboard!$F$4+Dashboard!D$10*SQRT(Dashboard!$F$4) * _xlfn.NORM.S.INV(RAND())</f>
        <v>-8.4053066313874818E-3</v>
      </c>
    </row>
    <row r="3122" spans="18:21" x14ac:dyDescent="0.2">
      <c r="R3122" s="49">
        <v>3120</v>
      </c>
      <c r="S3122" s="59">
        <f ca="1">Dashboard!B$8* Dashboard!$F$4+Dashboard!B$10*SQRT(Dashboard!$F$4) * _xlfn.NORM.S.INV(RAND())</f>
        <v>-4.0739254750641975E-2</v>
      </c>
      <c r="T3122" s="59">
        <f ca="1">Dashboard!C$8* Dashboard!$F$4+Dashboard!C$10*SQRT(Dashboard!$F$4) * _xlfn.NORM.S.INV(RAND())</f>
        <v>6.8432486106645415E-2</v>
      </c>
      <c r="U3122" s="59">
        <f ca="1">Dashboard!D$8* Dashboard!$F$4+Dashboard!D$10*SQRT(Dashboard!$F$4) * _xlfn.NORM.S.INV(RAND())</f>
        <v>7.9337482972479691E-4</v>
      </c>
    </row>
    <row r="3123" spans="18:21" x14ac:dyDescent="0.2">
      <c r="R3123" s="49">
        <v>3121</v>
      </c>
      <c r="S3123" s="59">
        <f ca="1">Dashboard!B$8* Dashboard!$F$4+Dashboard!B$10*SQRT(Dashboard!$F$4) * _xlfn.NORM.S.INV(RAND())</f>
        <v>2.3032422345335479E-2</v>
      </c>
      <c r="T3123" s="59">
        <f ca="1">Dashboard!C$8* Dashboard!$F$4+Dashboard!C$10*SQRT(Dashboard!$F$4) * _xlfn.NORM.S.INV(RAND())</f>
        <v>5.1365087371005529E-2</v>
      </c>
      <c r="U3123" s="59">
        <f ca="1">Dashboard!D$8* Dashboard!$F$4+Dashboard!D$10*SQRT(Dashboard!$F$4) * _xlfn.NORM.S.INV(RAND())</f>
        <v>3.9216701406289776E-3</v>
      </c>
    </row>
    <row r="3124" spans="18:21" x14ac:dyDescent="0.2">
      <c r="R3124" s="49">
        <v>3122</v>
      </c>
      <c r="S3124" s="59">
        <f ca="1">Dashboard!B$8* Dashboard!$F$4+Dashboard!B$10*SQRT(Dashboard!$F$4) * _xlfn.NORM.S.INV(RAND())</f>
        <v>-7.7194663114773885E-3</v>
      </c>
      <c r="T3124" s="59">
        <f ca="1">Dashboard!C$8* Dashboard!$F$4+Dashboard!C$10*SQRT(Dashboard!$F$4) * _xlfn.NORM.S.INV(RAND())</f>
        <v>-1.7962163277354476E-2</v>
      </c>
      <c r="U3124" s="59">
        <f ca="1">Dashboard!D$8* Dashboard!$F$4+Dashboard!D$10*SQRT(Dashboard!$F$4) * _xlfn.NORM.S.INV(RAND())</f>
        <v>2.2490362788953611E-2</v>
      </c>
    </row>
    <row r="3125" spans="18:21" x14ac:dyDescent="0.2">
      <c r="R3125" s="49">
        <v>3123</v>
      </c>
      <c r="S3125" s="59">
        <f ca="1">Dashboard!B$8* Dashboard!$F$4+Dashboard!B$10*SQRT(Dashboard!$F$4) * _xlfn.NORM.S.INV(RAND())</f>
        <v>-9.3240023323837018E-3</v>
      </c>
      <c r="T3125" s="59">
        <f ca="1">Dashboard!C$8* Dashboard!$F$4+Dashboard!C$10*SQRT(Dashboard!$F$4) * _xlfn.NORM.S.INV(RAND())</f>
        <v>-8.5100278582410059E-3</v>
      </c>
      <c r="U3125" s="59">
        <f ca="1">Dashboard!D$8* Dashboard!$F$4+Dashboard!D$10*SQRT(Dashboard!$F$4) * _xlfn.NORM.S.INV(RAND())</f>
        <v>2.3027312020180914E-2</v>
      </c>
    </row>
    <row r="3126" spans="18:21" x14ac:dyDescent="0.2">
      <c r="R3126" s="49">
        <v>3124</v>
      </c>
      <c r="S3126" s="59">
        <f ca="1">Dashboard!B$8* Dashboard!$F$4+Dashboard!B$10*SQRT(Dashboard!$F$4) * _xlfn.NORM.S.INV(RAND())</f>
        <v>3.0599465138894232E-3</v>
      </c>
      <c r="T3126" s="59">
        <f ca="1">Dashboard!C$8* Dashboard!$F$4+Dashboard!C$10*SQRT(Dashboard!$F$4) * _xlfn.NORM.S.INV(RAND())</f>
        <v>-5.4780418293096473E-3</v>
      </c>
      <c r="U3126" s="59">
        <f ca="1">Dashboard!D$8* Dashboard!$F$4+Dashboard!D$10*SQRT(Dashboard!$F$4) * _xlfn.NORM.S.INV(RAND())</f>
        <v>-6.8495707765428631E-3</v>
      </c>
    </row>
    <row r="3127" spans="18:21" x14ac:dyDescent="0.2">
      <c r="R3127" s="49">
        <v>3125</v>
      </c>
      <c r="S3127" s="59">
        <f ca="1">Dashboard!B$8* Dashboard!$F$4+Dashboard!B$10*SQRT(Dashboard!$F$4) * _xlfn.NORM.S.INV(RAND())</f>
        <v>-2.4775548572288093E-2</v>
      </c>
      <c r="T3127" s="59">
        <f ca="1">Dashboard!C$8* Dashboard!$F$4+Dashboard!C$10*SQRT(Dashboard!$F$4) * _xlfn.NORM.S.INV(RAND())</f>
        <v>-3.1158607335033724E-2</v>
      </c>
      <c r="U3127" s="59">
        <f ca="1">Dashboard!D$8* Dashboard!$F$4+Dashboard!D$10*SQRT(Dashboard!$F$4) * _xlfn.NORM.S.INV(RAND())</f>
        <v>-1.8490641901811451E-2</v>
      </c>
    </row>
    <row r="3128" spans="18:21" x14ac:dyDescent="0.2">
      <c r="R3128" s="49">
        <v>3126</v>
      </c>
      <c r="S3128" s="59">
        <f ca="1">Dashboard!B$8* Dashboard!$F$4+Dashboard!B$10*SQRT(Dashboard!$F$4) * _xlfn.NORM.S.INV(RAND())</f>
        <v>6.1880280860364938E-3</v>
      </c>
      <c r="T3128" s="59">
        <f ca="1">Dashboard!C$8* Dashboard!$F$4+Dashboard!C$10*SQRT(Dashboard!$F$4) * _xlfn.NORM.S.INV(RAND())</f>
        <v>-1.5618914977950107E-2</v>
      </c>
      <c r="U3128" s="59">
        <f ca="1">Dashboard!D$8* Dashboard!$F$4+Dashboard!D$10*SQRT(Dashboard!$F$4) * _xlfn.NORM.S.INV(RAND())</f>
        <v>-4.3167170279049379E-2</v>
      </c>
    </row>
    <row r="3129" spans="18:21" x14ac:dyDescent="0.2">
      <c r="R3129" s="49">
        <v>3127</v>
      </c>
      <c r="S3129" s="59">
        <f ca="1">Dashboard!B$8* Dashboard!$F$4+Dashboard!B$10*SQRT(Dashboard!$F$4) * _xlfn.NORM.S.INV(RAND())</f>
        <v>-6.1025409481198136E-3</v>
      </c>
      <c r="T3129" s="59">
        <f ca="1">Dashboard!C$8* Dashboard!$F$4+Dashboard!C$10*SQRT(Dashboard!$F$4) * _xlfn.NORM.S.INV(RAND())</f>
        <v>-4.7827014399505909E-2</v>
      </c>
      <c r="U3129" s="59">
        <f ca="1">Dashboard!D$8* Dashboard!$F$4+Dashboard!D$10*SQRT(Dashboard!$F$4) * _xlfn.NORM.S.INV(RAND())</f>
        <v>-6.2473741020870168E-3</v>
      </c>
    </row>
    <row r="3130" spans="18:21" x14ac:dyDescent="0.2">
      <c r="R3130" s="49">
        <v>3128</v>
      </c>
      <c r="S3130" s="59">
        <f ca="1">Dashboard!B$8* Dashboard!$F$4+Dashboard!B$10*SQRT(Dashboard!$F$4) * _xlfn.NORM.S.INV(RAND())</f>
        <v>-1.7524328969018697E-2</v>
      </c>
      <c r="T3130" s="59">
        <f ca="1">Dashboard!C$8* Dashboard!$F$4+Dashboard!C$10*SQRT(Dashboard!$F$4) * _xlfn.NORM.S.INV(RAND())</f>
        <v>2.9854333931316548E-2</v>
      </c>
      <c r="U3130" s="59">
        <f ca="1">Dashboard!D$8* Dashboard!$F$4+Dashboard!D$10*SQRT(Dashboard!$F$4) * _xlfn.NORM.S.INV(RAND())</f>
        <v>4.5842526127917976E-2</v>
      </c>
    </row>
    <row r="3131" spans="18:21" x14ac:dyDescent="0.2">
      <c r="R3131" s="49">
        <v>3129</v>
      </c>
      <c r="S3131" s="59">
        <f ca="1">Dashboard!B$8* Dashboard!$F$4+Dashboard!B$10*SQRT(Dashboard!$F$4) * _xlfn.NORM.S.INV(RAND())</f>
        <v>-1.015359544148214E-2</v>
      </c>
      <c r="T3131" s="59">
        <f ca="1">Dashboard!C$8* Dashboard!$F$4+Dashboard!C$10*SQRT(Dashboard!$F$4) * _xlfn.NORM.S.INV(RAND())</f>
        <v>-4.3800088586546607E-4</v>
      </c>
      <c r="U3131" s="59">
        <f ca="1">Dashboard!D$8* Dashboard!$F$4+Dashboard!D$10*SQRT(Dashboard!$F$4) * _xlfn.NORM.S.INV(RAND())</f>
        <v>6.3416424032194968E-2</v>
      </c>
    </row>
    <row r="3132" spans="18:21" x14ac:dyDescent="0.2">
      <c r="R3132" s="49">
        <v>3130</v>
      </c>
      <c r="S3132" s="59">
        <f ca="1">Dashboard!B$8* Dashboard!$F$4+Dashboard!B$10*SQRT(Dashboard!$F$4) * _xlfn.NORM.S.INV(RAND())</f>
        <v>2.6037329252625939E-2</v>
      </c>
      <c r="T3132" s="59">
        <f ca="1">Dashboard!C$8* Dashboard!$F$4+Dashboard!C$10*SQRT(Dashboard!$F$4) * _xlfn.NORM.S.INV(RAND())</f>
        <v>1.7457054504419818E-2</v>
      </c>
      <c r="U3132" s="59">
        <f ca="1">Dashboard!D$8* Dashboard!$F$4+Dashboard!D$10*SQRT(Dashboard!$F$4) * _xlfn.NORM.S.INV(RAND())</f>
        <v>-3.9240151927937512E-2</v>
      </c>
    </row>
    <row r="3133" spans="18:21" x14ac:dyDescent="0.2">
      <c r="R3133" s="49">
        <v>3131</v>
      </c>
      <c r="S3133" s="59">
        <f ca="1">Dashboard!B$8* Dashboard!$F$4+Dashboard!B$10*SQRT(Dashboard!$F$4) * _xlfn.NORM.S.INV(RAND())</f>
        <v>-1.7655860688367657E-2</v>
      </c>
      <c r="T3133" s="59">
        <f ca="1">Dashboard!C$8* Dashboard!$F$4+Dashboard!C$10*SQRT(Dashboard!$F$4) * _xlfn.NORM.S.INV(RAND())</f>
        <v>-8.3359950657803557E-4</v>
      </c>
      <c r="U3133" s="59">
        <f ca="1">Dashboard!D$8* Dashboard!$F$4+Dashboard!D$10*SQRT(Dashboard!$F$4) * _xlfn.NORM.S.INV(RAND())</f>
        <v>-5.024532932087987E-2</v>
      </c>
    </row>
    <row r="3134" spans="18:21" x14ac:dyDescent="0.2">
      <c r="R3134" s="49">
        <v>3132</v>
      </c>
      <c r="S3134" s="59">
        <f ca="1">Dashboard!B$8* Dashboard!$F$4+Dashboard!B$10*SQRT(Dashboard!$F$4) * _xlfn.NORM.S.INV(RAND())</f>
        <v>4.7388398429062603E-3</v>
      </c>
      <c r="T3134" s="59">
        <f ca="1">Dashboard!C$8* Dashboard!$F$4+Dashboard!C$10*SQRT(Dashboard!$F$4) * _xlfn.NORM.S.INV(RAND())</f>
        <v>6.8948159432953701E-3</v>
      </c>
      <c r="U3134" s="59">
        <f ca="1">Dashboard!D$8* Dashboard!$F$4+Dashboard!D$10*SQRT(Dashboard!$F$4) * _xlfn.NORM.S.INV(RAND())</f>
        <v>3.7040247192297288E-2</v>
      </c>
    </row>
    <row r="3135" spans="18:21" x14ac:dyDescent="0.2">
      <c r="R3135" s="49">
        <v>3133</v>
      </c>
      <c r="S3135" s="59">
        <f ca="1">Dashboard!B$8* Dashboard!$F$4+Dashboard!B$10*SQRT(Dashboard!$F$4) * _xlfn.NORM.S.INV(RAND())</f>
        <v>5.4638051150500348E-2</v>
      </c>
      <c r="T3135" s="59">
        <f ca="1">Dashboard!C$8* Dashboard!$F$4+Dashboard!C$10*SQRT(Dashboard!$F$4) * _xlfn.NORM.S.INV(RAND())</f>
        <v>-2.8257534915929434E-2</v>
      </c>
      <c r="U3135" s="59">
        <f ca="1">Dashboard!D$8* Dashboard!$F$4+Dashboard!D$10*SQRT(Dashboard!$F$4) * _xlfn.NORM.S.INV(RAND())</f>
        <v>2.6651458839459501E-2</v>
      </c>
    </row>
    <row r="3136" spans="18:21" x14ac:dyDescent="0.2">
      <c r="R3136" s="49">
        <v>3134</v>
      </c>
      <c r="S3136" s="59">
        <f ca="1">Dashboard!B$8* Dashboard!$F$4+Dashboard!B$10*SQRT(Dashboard!$F$4) * _xlfn.NORM.S.INV(RAND())</f>
        <v>-5.4983296073315938E-2</v>
      </c>
      <c r="T3136" s="59">
        <f ca="1">Dashboard!C$8* Dashboard!$F$4+Dashboard!C$10*SQRT(Dashboard!$F$4) * _xlfn.NORM.S.INV(RAND())</f>
        <v>5.342299782519962E-3</v>
      </c>
      <c r="U3136" s="59">
        <f ca="1">Dashboard!D$8* Dashboard!$F$4+Dashboard!D$10*SQRT(Dashboard!$F$4) * _xlfn.NORM.S.INV(RAND())</f>
        <v>2.6869958594799688E-2</v>
      </c>
    </row>
    <row r="3137" spans="18:21" x14ac:dyDescent="0.2">
      <c r="R3137" s="49">
        <v>3135</v>
      </c>
      <c r="S3137" s="59">
        <f ca="1">Dashboard!B$8* Dashboard!$F$4+Dashboard!B$10*SQRT(Dashboard!$F$4) * _xlfn.NORM.S.INV(RAND())</f>
        <v>-8.9561622483645756E-3</v>
      </c>
      <c r="T3137" s="59">
        <f ca="1">Dashboard!C$8* Dashboard!$F$4+Dashboard!C$10*SQRT(Dashboard!$F$4) * _xlfn.NORM.S.INV(RAND())</f>
        <v>5.7636238103439194E-3</v>
      </c>
      <c r="U3137" s="59">
        <f ca="1">Dashboard!D$8* Dashboard!$F$4+Dashboard!D$10*SQRT(Dashboard!$F$4) * _xlfn.NORM.S.INV(RAND())</f>
        <v>1.8845790262269409E-2</v>
      </c>
    </row>
    <row r="3138" spans="18:21" x14ac:dyDescent="0.2">
      <c r="R3138" s="49">
        <v>3136</v>
      </c>
      <c r="S3138" s="59">
        <f ca="1">Dashboard!B$8* Dashboard!$F$4+Dashboard!B$10*SQRT(Dashboard!$F$4) * _xlfn.NORM.S.INV(RAND())</f>
        <v>-4.5369888614583097E-2</v>
      </c>
      <c r="T3138" s="59">
        <f ca="1">Dashboard!C$8* Dashboard!$F$4+Dashboard!C$10*SQRT(Dashboard!$F$4) * _xlfn.NORM.S.INV(RAND())</f>
        <v>2.1582890007913361E-2</v>
      </c>
      <c r="U3138" s="59">
        <f ca="1">Dashboard!D$8* Dashboard!$F$4+Dashboard!D$10*SQRT(Dashboard!$F$4) * _xlfn.NORM.S.INV(RAND())</f>
        <v>6.9854044698937731E-2</v>
      </c>
    </row>
    <row r="3139" spans="18:21" x14ac:dyDescent="0.2">
      <c r="R3139" s="49">
        <v>3137</v>
      </c>
      <c r="S3139" s="59">
        <f ca="1">Dashboard!B$8* Dashboard!$F$4+Dashboard!B$10*SQRT(Dashboard!$F$4) * _xlfn.NORM.S.INV(RAND())</f>
        <v>8.918810241031614E-3</v>
      </c>
      <c r="T3139" s="59">
        <f ca="1">Dashboard!C$8* Dashboard!$F$4+Dashboard!C$10*SQRT(Dashboard!$F$4) * _xlfn.NORM.S.INV(RAND())</f>
        <v>-3.2668124309720645E-3</v>
      </c>
      <c r="U3139" s="59">
        <f ca="1">Dashboard!D$8* Dashboard!$F$4+Dashboard!D$10*SQRT(Dashboard!$F$4) * _xlfn.NORM.S.INV(RAND())</f>
        <v>6.8312422047490218E-2</v>
      </c>
    </row>
    <row r="3140" spans="18:21" x14ac:dyDescent="0.2">
      <c r="R3140" s="49">
        <v>3138</v>
      </c>
      <c r="S3140" s="59">
        <f ca="1">Dashboard!B$8* Dashboard!$F$4+Dashboard!B$10*SQRT(Dashboard!$F$4) * _xlfn.NORM.S.INV(RAND())</f>
        <v>-9.0662335528261025E-3</v>
      </c>
      <c r="T3140" s="59">
        <f ca="1">Dashboard!C$8* Dashboard!$F$4+Dashboard!C$10*SQRT(Dashboard!$F$4) * _xlfn.NORM.S.INV(RAND())</f>
        <v>2.8585797405277089E-2</v>
      </c>
      <c r="U3140" s="59">
        <f ca="1">Dashboard!D$8* Dashboard!$F$4+Dashboard!D$10*SQRT(Dashboard!$F$4) * _xlfn.NORM.S.INV(RAND())</f>
        <v>1.2327330974991038E-2</v>
      </c>
    </row>
    <row r="3141" spans="18:21" x14ac:dyDescent="0.2">
      <c r="R3141" s="49">
        <v>3139</v>
      </c>
      <c r="S3141" s="59">
        <f ca="1">Dashboard!B$8* Dashboard!$F$4+Dashboard!B$10*SQRT(Dashboard!$F$4) * _xlfn.NORM.S.INV(RAND())</f>
        <v>2.0540341731513125E-2</v>
      </c>
      <c r="T3141" s="59">
        <f ca="1">Dashboard!C$8* Dashboard!$F$4+Dashboard!C$10*SQRT(Dashboard!$F$4) * _xlfn.NORM.S.INV(RAND())</f>
        <v>4.5355025937658271E-2</v>
      </c>
      <c r="U3141" s="59">
        <f ca="1">Dashboard!D$8* Dashboard!$F$4+Dashboard!D$10*SQRT(Dashboard!$F$4) * _xlfn.NORM.S.INV(RAND())</f>
        <v>3.4668362895103666E-2</v>
      </c>
    </row>
    <row r="3142" spans="18:21" x14ac:dyDescent="0.2">
      <c r="R3142" s="49">
        <v>3140</v>
      </c>
      <c r="S3142" s="59">
        <f ca="1">Dashboard!B$8* Dashboard!$F$4+Dashboard!B$10*SQRT(Dashboard!$F$4) * _xlfn.NORM.S.INV(RAND())</f>
        <v>2.475707394166983E-2</v>
      </c>
      <c r="T3142" s="59">
        <f ca="1">Dashboard!C$8* Dashboard!$F$4+Dashboard!C$10*SQRT(Dashboard!$F$4) * _xlfn.NORM.S.INV(RAND())</f>
        <v>4.9282004906481417E-3</v>
      </c>
      <c r="U3142" s="59">
        <f ca="1">Dashboard!D$8* Dashboard!$F$4+Dashboard!D$10*SQRT(Dashboard!$F$4) * _xlfn.NORM.S.INV(RAND())</f>
        <v>5.1049449188606691E-3</v>
      </c>
    </row>
    <row r="3143" spans="18:21" x14ac:dyDescent="0.2">
      <c r="R3143" s="49">
        <v>3141</v>
      </c>
      <c r="S3143" s="59">
        <f ca="1">Dashboard!B$8* Dashboard!$F$4+Dashboard!B$10*SQRT(Dashboard!$F$4) * _xlfn.NORM.S.INV(RAND())</f>
        <v>6.0128402321181721E-3</v>
      </c>
      <c r="T3143" s="59">
        <f ca="1">Dashboard!C$8* Dashboard!$F$4+Dashboard!C$10*SQRT(Dashboard!$F$4) * _xlfn.NORM.S.INV(RAND())</f>
        <v>8.1934126022675559E-3</v>
      </c>
      <c r="U3143" s="59">
        <f ca="1">Dashboard!D$8* Dashboard!$F$4+Dashboard!D$10*SQRT(Dashboard!$F$4) * _xlfn.NORM.S.INV(RAND())</f>
        <v>2.8437144299722137E-2</v>
      </c>
    </row>
    <row r="3144" spans="18:21" x14ac:dyDescent="0.2">
      <c r="R3144" s="49">
        <v>3142</v>
      </c>
      <c r="S3144" s="59">
        <f ca="1">Dashboard!B$8* Dashboard!$F$4+Dashboard!B$10*SQRT(Dashboard!$F$4) * _xlfn.NORM.S.INV(RAND())</f>
        <v>8.9516519580554767E-3</v>
      </c>
      <c r="T3144" s="59">
        <f ca="1">Dashboard!C$8* Dashboard!$F$4+Dashboard!C$10*SQRT(Dashboard!$F$4) * _xlfn.NORM.S.INV(RAND())</f>
        <v>1.8757921368916957E-3</v>
      </c>
      <c r="U3144" s="59">
        <f ca="1">Dashboard!D$8* Dashboard!$F$4+Dashboard!D$10*SQRT(Dashboard!$F$4) * _xlfn.NORM.S.INV(RAND())</f>
        <v>1.8403294912130032E-2</v>
      </c>
    </row>
    <row r="3145" spans="18:21" x14ac:dyDescent="0.2">
      <c r="R3145" s="49">
        <v>3143</v>
      </c>
      <c r="S3145" s="59">
        <f ca="1">Dashboard!B$8* Dashboard!$F$4+Dashboard!B$10*SQRT(Dashboard!$F$4) * _xlfn.NORM.S.INV(RAND())</f>
        <v>-1.8127643665105369E-2</v>
      </c>
      <c r="T3145" s="59">
        <f ca="1">Dashboard!C$8* Dashboard!$F$4+Dashboard!C$10*SQRT(Dashboard!$F$4) * _xlfn.NORM.S.INV(RAND())</f>
        <v>-3.3052715186196145E-2</v>
      </c>
      <c r="U3145" s="59">
        <f ca="1">Dashboard!D$8* Dashboard!$F$4+Dashboard!D$10*SQRT(Dashboard!$F$4) * _xlfn.NORM.S.INV(RAND())</f>
        <v>1.691245664382791E-2</v>
      </c>
    </row>
    <row r="3146" spans="18:21" x14ac:dyDescent="0.2">
      <c r="R3146" s="49">
        <v>3144</v>
      </c>
      <c r="S3146" s="59">
        <f ca="1">Dashboard!B$8* Dashboard!$F$4+Dashboard!B$10*SQRT(Dashboard!$F$4) * _xlfn.NORM.S.INV(RAND())</f>
        <v>-1.7492602257221324E-2</v>
      </c>
      <c r="T3146" s="59">
        <f ca="1">Dashboard!C$8* Dashboard!$F$4+Dashboard!C$10*SQRT(Dashboard!$F$4) * _xlfn.NORM.S.INV(RAND())</f>
        <v>2.813743170317605E-2</v>
      </c>
      <c r="U3146" s="59">
        <f ca="1">Dashboard!D$8* Dashboard!$F$4+Dashboard!D$10*SQRT(Dashboard!$F$4) * _xlfn.NORM.S.INV(RAND())</f>
        <v>1.9964436462786204E-2</v>
      </c>
    </row>
    <row r="3147" spans="18:21" x14ac:dyDescent="0.2">
      <c r="R3147" s="49">
        <v>3145</v>
      </c>
      <c r="S3147" s="59">
        <f ca="1">Dashboard!B$8* Dashboard!$F$4+Dashboard!B$10*SQRT(Dashboard!$F$4) * _xlfn.NORM.S.INV(RAND())</f>
        <v>1.7604716811570831E-2</v>
      </c>
      <c r="T3147" s="59">
        <f ca="1">Dashboard!C$8* Dashboard!$F$4+Dashboard!C$10*SQRT(Dashboard!$F$4) * _xlfn.NORM.S.INV(RAND())</f>
        <v>-2.6661568748225291E-2</v>
      </c>
      <c r="U3147" s="59">
        <f ca="1">Dashboard!D$8* Dashboard!$F$4+Dashboard!D$10*SQRT(Dashboard!$F$4) * _xlfn.NORM.S.INV(RAND())</f>
        <v>-3.0001182293378753E-2</v>
      </c>
    </row>
    <row r="3148" spans="18:21" x14ac:dyDescent="0.2">
      <c r="R3148" s="49">
        <v>3146</v>
      </c>
      <c r="S3148" s="59">
        <f ca="1">Dashboard!B$8* Dashboard!$F$4+Dashboard!B$10*SQRT(Dashboard!$F$4) * _xlfn.NORM.S.INV(RAND())</f>
        <v>-4.3523333326410452E-2</v>
      </c>
      <c r="T3148" s="59">
        <f ca="1">Dashboard!C$8* Dashboard!$F$4+Dashboard!C$10*SQRT(Dashboard!$F$4) * _xlfn.NORM.S.INV(RAND())</f>
        <v>1.8101339396176495E-2</v>
      </c>
      <c r="U3148" s="59">
        <f ca="1">Dashboard!D$8* Dashboard!$F$4+Dashboard!D$10*SQRT(Dashboard!$F$4) * _xlfn.NORM.S.INV(RAND())</f>
        <v>-1.6795171876310067E-2</v>
      </c>
    </row>
    <row r="3149" spans="18:21" x14ac:dyDescent="0.2">
      <c r="R3149" s="49">
        <v>3147</v>
      </c>
      <c r="S3149" s="59">
        <f ca="1">Dashboard!B$8* Dashboard!$F$4+Dashboard!B$10*SQRT(Dashboard!$F$4) * _xlfn.NORM.S.INV(RAND())</f>
        <v>-7.3056834516827254E-3</v>
      </c>
      <c r="T3149" s="59">
        <f ca="1">Dashboard!C$8* Dashboard!$F$4+Dashboard!C$10*SQRT(Dashboard!$F$4) * _xlfn.NORM.S.INV(RAND())</f>
        <v>3.9619625922714216E-2</v>
      </c>
      <c r="U3149" s="59">
        <f ca="1">Dashboard!D$8* Dashboard!$F$4+Dashboard!D$10*SQRT(Dashboard!$F$4) * _xlfn.NORM.S.INV(RAND())</f>
        <v>-3.5449613239142939E-2</v>
      </c>
    </row>
    <row r="3150" spans="18:21" x14ac:dyDescent="0.2">
      <c r="R3150" s="49">
        <v>3148</v>
      </c>
      <c r="S3150" s="59">
        <f ca="1">Dashboard!B$8* Dashboard!$F$4+Dashboard!B$10*SQRT(Dashboard!$F$4) * _xlfn.NORM.S.INV(RAND())</f>
        <v>4.5685510575074827E-2</v>
      </c>
      <c r="T3150" s="59">
        <f ca="1">Dashboard!C$8* Dashboard!$F$4+Dashboard!C$10*SQRT(Dashboard!$F$4) * _xlfn.NORM.S.INV(RAND())</f>
        <v>-4.7020752824298998E-3</v>
      </c>
      <c r="U3150" s="59">
        <f ca="1">Dashboard!D$8* Dashboard!$F$4+Dashboard!D$10*SQRT(Dashboard!$F$4) * _xlfn.NORM.S.INV(RAND())</f>
        <v>-1.551933779763956E-2</v>
      </c>
    </row>
    <row r="3151" spans="18:21" x14ac:dyDescent="0.2">
      <c r="R3151" s="49">
        <v>3149</v>
      </c>
      <c r="S3151" s="59">
        <f ca="1">Dashboard!B$8* Dashboard!$F$4+Dashboard!B$10*SQRT(Dashboard!$F$4) * _xlfn.NORM.S.INV(RAND())</f>
        <v>3.296917910210443E-2</v>
      </c>
      <c r="T3151" s="59">
        <f ca="1">Dashboard!C$8* Dashboard!$F$4+Dashboard!C$10*SQRT(Dashboard!$F$4) * _xlfn.NORM.S.INV(RAND())</f>
        <v>3.2515802613305438E-2</v>
      </c>
      <c r="U3151" s="59">
        <f ca="1">Dashboard!D$8* Dashboard!$F$4+Dashboard!D$10*SQRT(Dashboard!$F$4) * _xlfn.NORM.S.INV(RAND())</f>
        <v>-5.2989806462402277E-2</v>
      </c>
    </row>
    <row r="3152" spans="18:21" x14ac:dyDescent="0.2">
      <c r="R3152" s="49">
        <v>3150</v>
      </c>
      <c r="S3152" s="59">
        <f ca="1">Dashboard!B$8* Dashboard!$F$4+Dashboard!B$10*SQRT(Dashboard!$F$4) * _xlfn.NORM.S.INV(RAND())</f>
        <v>-5.115380327208284E-2</v>
      </c>
      <c r="T3152" s="59">
        <f ca="1">Dashboard!C$8* Dashboard!$F$4+Dashboard!C$10*SQRT(Dashboard!$F$4) * _xlfn.NORM.S.INV(RAND())</f>
        <v>2.5029472803924341E-2</v>
      </c>
      <c r="U3152" s="59">
        <f ca="1">Dashboard!D$8* Dashboard!$F$4+Dashboard!D$10*SQRT(Dashboard!$F$4) * _xlfn.NORM.S.INV(RAND())</f>
        <v>-1.1652452557797106E-2</v>
      </c>
    </row>
    <row r="3153" spans="18:21" x14ac:dyDescent="0.2">
      <c r="R3153" s="49">
        <v>3151</v>
      </c>
      <c r="S3153" s="59">
        <f ca="1">Dashboard!B$8* Dashboard!$F$4+Dashboard!B$10*SQRT(Dashboard!$F$4) * _xlfn.NORM.S.INV(RAND())</f>
        <v>-1.5840766533028423E-2</v>
      </c>
      <c r="T3153" s="59">
        <f ca="1">Dashboard!C$8* Dashboard!$F$4+Dashboard!C$10*SQRT(Dashboard!$F$4) * _xlfn.NORM.S.INV(RAND())</f>
        <v>2.1541615787872306E-2</v>
      </c>
      <c r="U3153" s="59">
        <f ca="1">Dashboard!D$8* Dashboard!$F$4+Dashboard!D$10*SQRT(Dashboard!$F$4) * _xlfn.NORM.S.INV(RAND())</f>
        <v>-6.427524726001653E-2</v>
      </c>
    </row>
    <row r="3154" spans="18:21" x14ac:dyDescent="0.2">
      <c r="R3154" s="49">
        <v>3152</v>
      </c>
      <c r="S3154" s="59">
        <f ca="1">Dashboard!B$8* Dashboard!$F$4+Dashboard!B$10*SQRT(Dashboard!$F$4) * _xlfn.NORM.S.INV(RAND())</f>
        <v>3.8539848634064185E-2</v>
      </c>
      <c r="T3154" s="59">
        <f ca="1">Dashboard!C$8* Dashboard!$F$4+Dashboard!C$10*SQRT(Dashboard!$F$4) * _xlfn.NORM.S.INV(RAND())</f>
        <v>-3.1506642568514785E-3</v>
      </c>
      <c r="U3154" s="59">
        <f ca="1">Dashboard!D$8* Dashboard!$F$4+Dashboard!D$10*SQRT(Dashboard!$F$4) * _xlfn.NORM.S.INV(RAND())</f>
        <v>-4.8524351673822743E-3</v>
      </c>
    </row>
    <row r="3155" spans="18:21" x14ac:dyDescent="0.2">
      <c r="R3155" s="49">
        <v>3153</v>
      </c>
      <c r="S3155" s="59">
        <f ca="1">Dashboard!B$8* Dashboard!$F$4+Dashboard!B$10*SQRT(Dashboard!$F$4) * _xlfn.NORM.S.INV(RAND())</f>
        <v>2.1157716995049328E-2</v>
      </c>
      <c r="T3155" s="59">
        <f ca="1">Dashboard!C$8* Dashboard!$F$4+Dashboard!C$10*SQRT(Dashboard!$F$4) * _xlfn.NORM.S.INV(RAND())</f>
        <v>2.0839688362987115E-2</v>
      </c>
      <c r="U3155" s="59">
        <f ca="1">Dashboard!D$8* Dashboard!$F$4+Dashboard!D$10*SQRT(Dashboard!$F$4) * _xlfn.NORM.S.INV(RAND())</f>
        <v>-3.6964001862399521E-3</v>
      </c>
    </row>
    <row r="3156" spans="18:21" x14ac:dyDescent="0.2">
      <c r="R3156" s="49">
        <v>3154</v>
      </c>
      <c r="S3156" s="59">
        <f ca="1">Dashboard!B$8* Dashboard!$F$4+Dashboard!B$10*SQRT(Dashboard!$F$4) * _xlfn.NORM.S.INV(RAND())</f>
        <v>-3.7865817783715006E-2</v>
      </c>
      <c r="T3156" s="59">
        <f ca="1">Dashboard!C$8* Dashboard!$F$4+Dashboard!C$10*SQRT(Dashboard!$F$4) * _xlfn.NORM.S.INV(RAND())</f>
        <v>-1.3520096116619338E-2</v>
      </c>
      <c r="U3156" s="59">
        <f ca="1">Dashboard!D$8* Dashboard!$F$4+Dashboard!D$10*SQRT(Dashboard!$F$4) * _xlfn.NORM.S.INV(RAND())</f>
        <v>-9.1971489369813749E-3</v>
      </c>
    </row>
    <row r="3157" spans="18:21" x14ac:dyDescent="0.2">
      <c r="R3157" s="49">
        <v>3155</v>
      </c>
      <c r="S3157" s="59">
        <f ca="1">Dashboard!B$8* Dashboard!$F$4+Dashboard!B$10*SQRT(Dashboard!$F$4) * _xlfn.NORM.S.INV(RAND())</f>
        <v>-7.4420756881588432E-2</v>
      </c>
      <c r="T3157" s="59">
        <f ca="1">Dashboard!C$8* Dashboard!$F$4+Dashboard!C$10*SQRT(Dashboard!$F$4) * _xlfn.NORM.S.INV(RAND())</f>
        <v>1.1110721520217692E-2</v>
      </c>
      <c r="U3157" s="59">
        <f ca="1">Dashboard!D$8* Dashboard!$F$4+Dashboard!D$10*SQRT(Dashboard!$F$4) * _xlfn.NORM.S.INV(RAND())</f>
        <v>6.2520017074243025E-5</v>
      </c>
    </row>
    <row r="3158" spans="18:21" x14ac:dyDescent="0.2">
      <c r="R3158" s="49">
        <v>3156</v>
      </c>
      <c r="S3158" s="59">
        <f ca="1">Dashboard!B$8* Dashboard!$F$4+Dashboard!B$10*SQRT(Dashboard!$F$4) * _xlfn.NORM.S.INV(RAND())</f>
        <v>5.7013229228427224E-3</v>
      </c>
      <c r="T3158" s="59">
        <f ca="1">Dashboard!C$8* Dashboard!$F$4+Dashboard!C$10*SQRT(Dashboard!$F$4) * _xlfn.NORM.S.INV(RAND())</f>
        <v>-2.6289083643131284E-3</v>
      </c>
      <c r="U3158" s="59">
        <f ca="1">Dashboard!D$8* Dashboard!$F$4+Dashboard!D$10*SQRT(Dashboard!$F$4) * _xlfn.NORM.S.INV(RAND())</f>
        <v>-3.3821511186831306E-2</v>
      </c>
    </row>
    <row r="3159" spans="18:21" x14ac:dyDescent="0.2">
      <c r="R3159" s="49">
        <v>3157</v>
      </c>
      <c r="S3159" s="59">
        <f ca="1">Dashboard!B$8* Dashboard!$F$4+Dashboard!B$10*SQRT(Dashboard!$F$4) * _xlfn.NORM.S.INV(RAND())</f>
        <v>1.3606543562481171E-3</v>
      </c>
      <c r="T3159" s="59">
        <f ca="1">Dashboard!C$8* Dashboard!$F$4+Dashboard!C$10*SQRT(Dashboard!$F$4) * _xlfn.NORM.S.INV(RAND())</f>
        <v>1.381406959745542E-2</v>
      </c>
      <c r="U3159" s="59">
        <f ca="1">Dashboard!D$8* Dashboard!$F$4+Dashboard!D$10*SQRT(Dashboard!$F$4) * _xlfn.NORM.S.INV(RAND())</f>
        <v>-6.6057421476968775E-2</v>
      </c>
    </row>
    <row r="3160" spans="18:21" x14ac:dyDescent="0.2">
      <c r="R3160" s="49">
        <v>3158</v>
      </c>
      <c r="S3160" s="59">
        <f ca="1">Dashboard!B$8* Dashboard!$F$4+Dashboard!B$10*SQRT(Dashboard!$F$4) * _xlfn.NORM.S.INV(RAND())</f>
        <v>-4.2077077226106499E-3</v>
      </c>
      <c r="T3160" s="59">
        <f ca="1">Dashboard!C$8* Dashboard!$F$4+Dashboard!C$10*SQRT(Dashboard!$F$4) * _xlfn.NORM.S.INV(RAND())</f>
        <v>-2.8905411749537927E-3</v>
      </c>
      <c r="U3160" s="59">
        <f ca="1">Dashboard!D$8* Dashboard!$F$4+Dashboard!D$10*SQRT(Dashboard!$F$4) * _xlfn.NORM.S.INV(RAND())</f>
        <v>-1.9353756713312163E-2</v>
      </c>
    </row>
    <row r="3161" spans="18:21" x14ac:dyDescent="0.2">
      <c r="R3161" s="49">
        <v>3159</v>
      </c>
      <c r="S3161" s="59">
        <f ca="1">Dashboard!B$8* Dashboard!$F$4+Dashboard!B$10*SQRT(Dashboard!$F$4) * _xlfn.NORM.S.INV(RAND())</f>
        <v>-4.350772209941673E-2</v>
      </c>
      <c r="T3161" s="59">
        <f ca="1">Dashboard!C$8* Dashboard!$F$4+Dashboard!C$10*SQRT(Dashboard!$F$4) * _xlfn.NORM.S.INV(RAND())</f>
        <v>-2.5155911267020419E-2</v>
      </c>
      <c r="U3161" s="59">
        <f ca="1">Dashboard!D$8* Dashboard!$F$4+Dashboard!D$10*SQRT(Dashboard!$F$4) * _xlfn.NORM.S.INV(RAND())</f>
        <v>-1.0095530812555417E-2</v>
      </c>
    </row>
    <row r="3162" spans="18:21" x14ac:dyDescent="0.2">
      <c r="R3162" s="49">
        <v>3160</v>
      </c>
      <c r="S3162" s="59">
        <f ca="1">Dashboard!B$8* Dashboard!$F$4+Dashboard!B$10*SQRT(Dashboard!$F$4) * _xlfn.NORM.S.INV(RAND())</f>
        <v>3.894263254061426E-2</v>
      </c>
      <c r="T3162" s="59">
        <f ca="1">Dashboard!C$8* Dashboard!$F$4+Dashboard!C$10*SQRT(Dashboard!$F$4) * _xlfn.NORM.S.INV(RAND())</f>
        <v>4.0043356851108117E-2</v>
      </c>
      <c r="U3162" s="59">
        <f ca="1">Dashboard!D$8* Dashboard!$F$4+Dashboard!D$10*SQRT(Dashboard!$F$4) * _xlfn.NORM.S.INV(RAND())</f>
        <v>2.238716642011988E-2</v>
      </c>
    </row>
    <row r="3163" spans="18:21" x14ac:dyDescent="0.2">
      <c r="R3163" s="49">
        <v>3161</v>
      </c>
      <c r="S3163" s="59">
        <f ca="1">Dashboard!B$8* Dashboard!$F$4+Dashboard!B$10*SQRT(Dashboard!$F$4) * _xlfn.NORM.S.INV(RAND())</f>
        <v>-1.9155469171151955E-2</v>
      </c>
      <c r="T3163" s="59">
        <f ca="1">Dashboard!C$8* Dashboard!$F$4+Dashboard!C$10*SQRT(Dashboard!$F$4) * _xlfn.NORM.S.INV(RAND())</f>
        <v>-1.0327378833617944E-2</v>
      </c>
      <c r="U3163" s="59">
        <f ca="1">Dashboard!D$8* Dashboard!$F$4+Dashboard!D$10*SQRT(Dashboard!$F$4) * _xlfn.NORM.S.INV(RAND())</f>
        <v>1.9279827349615739E-2</v>
      </c>
    </row>
    <row r="3164" spans="18:21" x14ac:dyDescent="0.2">
      <c r="R3164" s="49">
        <v>3162</v>
      </c>
      <c r="S3164" s="59">
        <f ca="1">Dashboard!B$8* Dashboard!$F$4+Dashboard!B$10*SQRT(Dashboard!$F$4) * _xlfn.NORM.S.INV(RAND())</f>
        <v>2.2254248364054013E-2</v>
      </c>
      <c r="T3164" s="59">
        <f ca="1">Dashboard!C$8* Dashboard!$F$4+Dashboard!C$10*SQRT(Dashboard!$F$4) * _xlfn.NORM.S.INV(RAND())</f>
        <v>4.5815581298245173E-2</v>
      </c>
      <c r="U3164" s="59">
        <f ca="1">Dashboard!D$8* Dashboard!$F$4+Dashboard!D$10*SQRT(Dashboard!$F$4) * _xlfn.NORM.S.INV(RAND())</f>
        <v>-9.1355216693095008E-3</v>
      </c>
    </row>
    <row r="3165" spans="18:21" x14ac:dyDescent="0.2">
      <c r="R3165" s="49">
        <v>3163</v>
      </c>
      <c r="S3165" s="59">
        <f ca="1">Dashboard!B$8* Dashboard!$F$4+Dashboard!B$10*SQRT(Dashboard!$F$4) * _xlfn.NORM.S.INV(RAND())</f>
        <v>4.2055694554723098E-2</v>
      </c>
      <c r="T3165" s="59">
        <f ca="1">Dashboard!C$8* Dashboard!$F$4+Dashboard!C$10*SQRT(Dashboard!$F$4) * _xlfn.NORM.S.INV(RAND())</f>
        <v>-3.6106789766216854E-2</v>
      </c>
      <c r="U3165" s="59">
        <f ca="1">Dashboard!D$8* Dashboard!$F$4+Dashboard!D$10*SQRT(Dashboard!$F$4) * _xlfn.NORM.S.INV(RAND())</f>
        <v>1.3874263510219817E-2</v>
      </c>
    </row>
    <row r="3166" spans="18:21" x14ac:dyDescent="0.2">
      <c r="R3166" s="49">
        <v>3164</v>
      </c>
      <c r="S3166" s="59">
        <f ca="1">Dashboard!B$8* Dashboard!$F$4+Dashboard!B$10*SQRT(Dashboard!$F$4) * _xlfn.NORM.S.INV(RAND())</f>
        <v>-4.7922261211129488E-3</v>
      </c>
      <c r="T3166" s="59">
        <f ca="1">Dashboard!C$8* Dashboard!$F$4+Dashboard!C$10*SQRT(Dashboard!$F$4) * _xlfn.NORM.S.INV(RAND())</f>
        <v>-3.680667362053789E-2</v>
      </c>
      <c r="U3166" s="59">
        <f ca="1">Dashboard!D$8* Dashboard!$F$4+Dashboard!D$10*SQRT(Dashboard!$F$4) * _xlfn.NORM.S.INV(RAND())</f>
        <v>4.8951600175481655E-2</v>
      </c>
    </row>
    <row r="3167" spans="18:21" x14ac:dyDescent="0.2">
      <c r="R3167" s="49">
        <v>3165</v>
      </c>
      <c r="S3167" s="59">
        <f ca="1">Dashboard!B$8* Dashboard!$F$4+Dashboard!B$10*SQRT(Dashboard!$F$4) * _xlfn.NORM.S.INV(RAND())</f>
        <v>1.7219876252113332E-2</v>
      </c>
      <c r="T3167" s="59">
        <f ca="1">Dashboard!C$8* Dashboard!$F$4+Dashboard!C$10*SQRT(Dashboard!$F$4) * _xlfn.NORM.S.INV(RAND())</f>
        <v>1.4318289340907269E-2</v>
      </c>
      <c r="U3167" s="59">
        <f ca="1">Dashboard!D$8* Dashboard!$F$4+Dashboard!D$10*SQRT(Dashboard!$F$4) * _xlfn.NORM.S.INV(RAND())</f>
        <v>-5.6019891640299701E-3</v>
      </c>
    </row>
    <row r="3168" spans="18:21" x14ac:dyDescent="0.2">
      <c r="R3168" s="49">
        <v>3166</v>
      </c>
      <c r="S3168" s="59">
        <f ca="1">Dashboard!B$8* Dashboard!$F$4+Dashboard!B$10*SQRT(Dashboard!$F$4) * _xlfn.NORM.S.INV(RAND())</f>
        <v>-4.4791647892917869E-2</v>
      </c>
      <c r="T3168" s="59">
        <f ca="1">Dashboard!C$8* Dashboard!$F$4+Dashboard!C$10*SQRT(Dashboard!$F$4) * _xlfn.NORM.S.INV(RAND())</f>
        <v>-3.7413946679892042E-2</v>
      </c>
      <c r="U3168" s="59">
        <f ca="1">Dashboard!D$8* Dashboard!$F$4+Dashboard!D$10*SQRT(Dashboard!$F$4) * _xlfn.NORM.S.INV(RAND())</f>
        <v>2.3911272046663702E-4</v>
      </c>
    </row>
    <row r="3169" spans="18:21" x14ac:dyDescent="0.2">
      <c r="R3169" s="49">
        <v>3167</v>
      </c>
      <c r="S3169" s="59">
        <f ca="1">Dashboard!B$8* Dashboard!$F$4+Dashboard!B$10*SQRT(Dashboard!$F$4) * _xlfn.NORM.S.INV(RAND())</f>
        <v>2.1701942506797682E-2</v>
      </c>
      <c r="T3169" s="59">
        <f ca="1">Dashboard!C$8* Dashboard!$F$4+Dashboard!C$10*SQRT(Dashboard!$F$4) * _xlfn.NORM.S.INV(RAND())</f>
        <v>5.6985616183137262E-3</v>
      </c>
      <c r="U3169" s="59">
        <f ca="1">Dashboard!D$8* Dashboard!$F$4+Dashboard!D$10*SQRT(Dashboard!$F$4) * _xlfn.NORM.S.INV(RAND())</f>
        <v>-1.3475974310986405E-2</v>
      </c>
    </row>
    <row r="3170" spans="18:21" x14ac:dyDescent="0.2">
      <c r="R3170" s="49">
        <v>3168</v>
      </c>
      <c r="S3170" s="59">
        <f ca="1">Dashboard!B$8* Dashboard!$F$4+Dashboard!B$10*SQRT(Dashboard!$F$4) * _xlfn.NORM.S.INV(RAND())</f>
        <v>2.4861928238850334E-2</v>
      </c>
      <c r="T3170" s="59">
        <f ca="1">Dashboard!C$8* Dashboard!$F$4+Dashboard!C$10*SQRT(Dashboard!$F$4) * _xlfn.NORM.S.INV(RAND())</f>
        <v>-1.3997089013752934E-2</v>
      </c>
      <c r="U3170" s="59">
        <f ca="1">Dashboard!D$8* Dashboard!$F$4+Dashboard!D$10*SQRT(Dashboard!$F$4) * _xlfn.NORM.S.INV(RAND())</f>
        <v>-5.390275451021613E-2</v>
      </c>
    </row>
    <row r="3171" spans="18:21" x14ac:dyDescent="0.2">
      <c r="R3171" s="49">
        <v>3169</v>
      </c>
      <c r="S3171" s="59">
        <f ca="1">Dashboard!B$8* Dashboard!$F$4+Dashboard!B$10*SQRT(Dashboard!$F$4) * _xlfn.NORM.S.INV(RAND())</f>
        <v>2.5935973525649199E-2</v>
      </c>
      <c r="T3171" s="59">
        <f ca="1">Dashboard!C$8* Dashboard!$F$4+Dashboard!C$10*SQRT(Dashboard!$F$4) * _xlfn.NORM.S.INV(RAND())</f>
        <v>3.3672647541368707E-2</v>
      </c>
      <c r="U3171" s="59">
        <f ca="1">Dashboard!D$8* Dashboard!$F$4+Dashboard!D$10*SQRT(Dashboard!$F$4) * _xlfn.NORM.S.INV(RAND())</f>
        <v>-4.5262603097220638E-3</v>
      </c>
    </row>
    <row r="3172" spans="18:21" x14ac:dyDescent="0.2">
      <c r="R3172" s="49">
        <v>3170</v>
      </c>
      <c r="S3172" s="59">
        <f ca="1">Dashboard!B$8* Dashboard!$F$4+Dashboard!B$10*SQRT(Dashboard!$F$4) * _xlfn.NORM.S.INV(RAND())</f>
        <v>-2.9367226805669458E-2</v>
      </c>
      <c r="T3172" s="59">
        <f ca="1">Dashboard!C$8* Dashboard!$F$4+Dashboard!C$10*SQRT(Dashboard!$F$4) * _xlfn.NORM.S.INV(RAND())</f>
        <v>3.8074329122093083E-2</v>
      </c>
      <c r="U3172" s="59">
        <f ca="1">Dashboard!D$8* Dashboard!$F$4+Dashboard!D$10*SQRT(Dashboard!$F$4) * _xlfn.NORM.S.INV(RAND())</f>
        <v>-3.4012141330896681E-2</v>
      </c>
    </row>
    <row r="3173" spans="18:21" x14ac:dyDescent="0.2">
      <c r="R3173" s="49">
        <v>3171</v>
      </c>
      <c r="S3173" s="59">
        <f ca="1">Dashboard!B$8* Dashboard!$F$4+Dashboard!B$10*SQRT(Dashboard!$F$4) * _xlfn.NORM.S.INV(RAND())</f>
        <v>-1.7278992470248215E-2</v>
      </c>
      <c r="T3173" s="59">
        <f ca="1">Dashboard!C$8* Dashboard!$F$4+Dashboard!C$10*SQRT(Dashboard!$F$4) * _xlfn.NORM.S.INV(RAND())</f>
        <v>4.4146845798068282E-2</v>
      </c>
      <c r="U3173" s="59">
        <f ca="1">Dashboard!D$8* Dashboard!$F$4+Dashboard!D$10*SQRT(Dashboard!$F$4) * _xlfn.NORM.S.INV(RAND())</f>
        <v>1.8036762216222593E-2</v>
      </c>
    </row>
    <row r="3174" spans="18:21" x14ac:dyDescent="0.2">
      <c r="R3174" s="49">
        <v>3172</v>
      </c>
      <c r="S3174" s="59">
        <f ca="1">Dashboard!B$8* Dashboard!$F$4+Dashboard!B$10*SQRT(Dashboard!$F$4) * _xlfn.NORM.S.INV(RAND())</f>
        <v>1.262764786843259E-2</v>
      </c>
      <c r="T3174" s="59">
        <f ca="1">Dashboard!C$8* Dashboard!$F$4+Dashboard!C$10*SQRT(Dashboard!$F$4) * _xlfn.NORM.S.INV(RAND())</f>
        <v>5.6198853133348554E-2</v>
      </c>
      <c r="U3174" s="59">
        <f ca="1">Dashboard!D$8* Dashboard!$F$4+Dashboard!D$10*SQRT(Dashboard!$F$4) * _xlfn.NORM.S.INV(RAND())</f>
        <v>4.23056559429233E-2</v>
      </c>
    </row>
    <row r="3175" spans="18:21" x14ac:dyDescent="0.2">
      <c r="R3175" s="49">
        <v>3173</v>
      </c>
      <c r="S3175" s="59">
        <f ca="1">Dashboard!B$8* Dashboard!$F$4+Dashboard!B$10*SQRT(Dashboard!$F$4) * _xlfn.NORM.S.INV(RAND())</f>
        <v>-1.6940850158171226E-2</v>
      </c>
      <c r="T3175" s="59">
        <f ca="1">Dashboard!C$8* Dashboard!$F$4+Dashboard!C$10*SQRT(Dashboard!$F$4) * _xlfn.NORM.S.INV(RAND())</f>
        <v>4.4075090733102E-2</v>
      </c>
      <c r="U3175" s="59">
        <f ca="1">Dashboard!D$8* Dashboard!$F$4+Dashboard!D$10*SQRT(Dashboard!$F$4) * _xlfn.NORM.S.INV(RAND())</f>
        <v>4.9929021099552724E-2</v>
      </c>
    </row>
    <row r="3176" spans="18:21" x14ac:dyDescent="0.2">
      <c r="R3176" s="49">
        <v>3174</v>
      </c>
      <c r="S3176" s="59">
        <f ca="1">Dashboard!B$8* Dashboard!$F$4+Dashboard!B$10*SQRT(Dashboard!$F$4) * _xlfn.NORM.S.INV(RAND())</f>
        <v>2.6220157891464098E-3</v>
      </c>
      <c r="T3176" s="59">
        <f ca="1">Dashboard!C$8* Dashboard!$F$4+Dashboard!C$10*SQRT(Dashboard!$F$4) * _xlfn.NORM.S.INV(RAND())</f>
        <v>-4.6430431845780752E-2</v>
      </c>
      <c r="U3176" s="59">
        <f ca="1">Dashboard!D$8* Dashboard!$F$4+Dashboard!D$10*SQRT(Dashboard!$F$4) * _xlfn.NORM.S.INV(RAND())</f>
        <v>6.1041155807941228E-2</v>
      </c>
    </row>
    <row r="3177" spans="18:21" x14ac:dyDescent="0.2">
      <c r="R3177" s="49">
        <v>3175</v>
      </c>
      <c r="S3177" s="59">
        <f ca="1">Dashboard!B$8* Dashboard!$F$4+Dashboard!B$10*SQRT(Dashboard!$F$4) * _xlfn.NORM.S.INV(RAND())</f>
        <v>-2.4961719723289817E-2</v>
      </c>
      <c r="T3177" s="59">
        <f ca="1">Dashboard!C$8* Dashboard!$F$4+Dashboard!C$10*SQRT(Dashboard!$F$4) * _xlfn.NORM.S.INV(RAND())</f>
        <v>-1.6025221183777565E-2</v>
      </c>
      <c r="U3177" s="59">
        <f ca="1">Dashboard!D$8* Dashboard!$F$4+Dashboard!D$10*SQRT(Dashboard!$F$4) * _xlfn.NORM.S.INV(RAND())</f>
        <v>-7.7400859064557228E-3</v>
      </c>
    </row>
    <row r="3178" spans="18:21" x14ac:dyDescent="0.2">
      <c r="R3178" s="49">
        <v>3176</v>
      </c>
      <c r="S3178" s="59">
        <f ca="1">Dashboard!B$8* Dashboard!$F$4+Dashboard!B$10*SQRT(Dashboard!$F$4) * _xlfn.NORM.S.INV(RAND())</f>
        <v>2.397611852180194E-2</v>
      </c>
      <c r="T3178" s="59">
        <f ca="1">Dashboard!C$8* Dashboard!$F$4+Dashboard!C$10*SQRT(Dashboard!$F$4) * _xlfn.NORM.S.INV(RAND())</f>
        <v>-4.2939733703234395E-2</v>
      </c>
      <c r="U3178" s="59">
        <f ca="1">Dashboard!D$8* Dashboard!$F$4+Dashboard!D$10*SQRT(Dashboard!$F$4) * _xlfn.NORM.S.INV(RAND())</f>
        <v>1.8629897323642168E-3</v>
      </c>
    </row>
    <row r="3179" spans="18:21" x14ac:dyDescent="0.2">
      <c r="R3179" s="49">
        <v>3177</v>
      </c>
      <c r="S3179" s="59">
        <f ca="1">Dashboard!B$8* Dashboard!$F$4+Dashboard!B$10*SQRT(Dashboard!$F$4) * _xlfn.NORM.S.INV(RAND())</f>
        <v>-1.9681784048232696E-2</v>
      </c>
      <c r="T3179" s="59">
        <f ca="1">Dashboard!C$8* Dashboard!$F$4+Dashboard!C$10*SQRT(Dashboard!$F$4) * _xlfn.NORM.S.INV(RAND())</f>
        <v>-1.0352534730203033E-2</v>
      </c>
      <c r="U3179" s="59">
        <f ca="1">Dashboard!D$8* Dashboard!$F$4+Dashboard!D$10*SQRT(Dashboard!$F$4) * _xlfn.NORM.S.INV(RAND())</f>
        <v>1.0312483515693723E-2</v>
      </c>
    </row>
    <row r="3180" spans="18:21" x14ac:dyDescent="0.2">
      <c r="R3180" s="49">
        <v>3178</v>
      </c>
      <c r="S3180" s="59">
        <f ca="1">Dashboard!B$8* Dashboard!$F$4+Dashboard!B$10*SQRT(Dashboard!$F$4) * _xlfn.NORM.S.INV(RAND())</f>
        <v>-4.7309591287741926E-2</v>
      </c>
      <c r="T3180" s="59">
        <f ca="1">Dashboard!C$8* Dashboard!$F$4+Dashboard!C$10*SQRT(Dashboard!$F$4) * _xlfn.NORM.S.INV(RAND())</f>
        <v>4.4267515088933306E-2</v>
      </c>
      <c r="U3180" s="59">
        <f ca="1">Dashboard!D$8* Dashboard!$F$4+Dashboard!D$10*SQRT(Dashboard!$F$4) * _xlfn.NORM.S.INV(RAND())</f>
        <v>-4.1568126908460748E-2</v>
      </c>
    </row>
    <row r="3181" spans="18:21" x14ac:dyDescent="0.2">
      <c r="R3181" s="49">
        <v>3179</v>
      </c>
      <c r="S3181" s="59">
        <f ca="1">Dashboard!B$8* Dashboard!$F$4+Dashboard!B$10*SQRT(Dashboard!$F$4) * _xlfn.NORM.S.INV(RAND())</f>
        <v>-3.6991835297180198E-2</v>
      </c>
      <c r="T3181" s="59">
        <f ca="1">Dashboard!C$8* Dashboard!$F$4+Dashboard!C$10*SQRT(Dashboard!$F$4) * _xlfn.NORM.S.INV(RAND())</f>
        <v>1.6708338913451967E-2</v>
      </c>
      <c r="U3181" s="59">
        <f ca="1">Dashboard!D$8* Dashboard!$F$4+Dashboard!D$10*SQRT(Dashboard!$F$4) * _xlfn.NORM.S.INV(RAND())</f>
        <v>2.4411291274925164E-2</v>
      </c>
    </row>
    <row r="3182" spans="18:21" x14ac:dyDescent="0.2">
      <c r="R3182" s="49">
        <v>3180</v>
      </c>
      <c r="S3182" s="59">
        <f ca="1">Dashboard!B$8* Dashboard!$F$4+Dashboard!B$10*SQRT(Dashboard!$F$4) * _xlfn.NORM.S.INV(RAND())</f>
        <v>6.3853386017817898E-2</v>
      </c>
      <c r="T3182" s="59">
        <f ca="1">Dashboard!C$8* Dashboard!$F$4+Dashboard!C$10*SQRT(Dashboard!$F$4) * _xlfn.NORM.S.INV(RAND())</f>
        <v>2.7749964014487077E-2</v>
      </c>
      <c r="U3182" s="59">
        <f ca="1">Dashboard!D$8* Dashboard!$F$4+Dashboard!D$10*SQRT(Dashboard!$F$4) * _xlfn.NORM.S.INV(RAND())</f>
        <v>-2.3239609830380918E-2</v>
      </c>
    </row>
    <row r="3183" spans="18:21" x14ac:dyDescent="0.2">
      <c r="R3183" s="49">
        <v>3181</v>
      </c>
      <c r="S3183" s="59">
        <f ca="1">Dashboard!B$8* Dashboard!$F$4+Dashboard!B$10*SQRT(Dashboard!$F$4) * _xlfn.NORM.S.INV(RAND())</f>
        <v>-2.1119455027799751E-2</v>
      </c>
      <c r="T3183" s="59">
        <f ca="1">Dashboard!C$8* Dashboard!$F$4+Dashboard!C$10*SQRT(Dashboard!$F$4) * _xlfn.NORM.S.INV(RAND())</f>
        <v>3.6485456773869489E-2</v>
      </c>
      <c r="U3183" s="59">
        <f ca="1">Dashboard!D$8* Dashboard!$F$4+Dashboard!D$10*SQRT(Dashboard!$F$4) * _xlfn.NORM.S.INV(RAND())</f>
        <v>3.6474852909408516E-2</v>
      </c>
    </row>
    <row r="3184" spans="18:21" x14ac:dyDescent="0.2">
      <c r="R3184" s="49">
        <v>3182</v>
      </c>
      <c r="S3184" s="59">
        <f ca="1">Dashboard!B$8* Dashboard!$F$4+Dashboard!B$10*SQRT(Dashboard!$F$4) * _xlfn.NORM.S.INV(RAND())</f>
        <v>-2.877836124558552E-2</v>
      </c>
      <c r="T3184" s="59">
        <f ca="1">Dashboard!C$8* Dashboard!$F$4+Dashboard!C$10*SQRT(Dashboard!$F$4) * _xlfn.NORM.S.INV(RAND())</f>
        <v>7.9770189626582489E-3</v>
      </c>
      <c r="U3184" s="59">
        <f ca="1">Dashboard!D$8* Dashboard!$F$4+Dashboard!D$10*SQRT(Dashboard!$F$4) * _xlfn.NORM.S.INV(RAND())</f>
        <v>5.2558125414583177E-2</v>
      </c>
    </row>
    <row r="3185" spans="18:21" x14ac:dyDescent="0.2">
      <c r="R3185" s="49">
        <v>3183</v>
      </c>
      <c r="S3185" s="59">
        <f ca="1">Dashboard!B$8* Dashboard!$F$4+Dashboard!B$10*SQRT(Dashboard!$F$4) * _xlfn.NORM.S.INV(RAND())</f>
        <v>-6.8814236473428037E-3</v>
      </c>
      <c r="T3185" s="59">
        <f ca="1">Dashboard!C$8* Dashboard!$F$4+Dashboard!C$10*SQRT(Dashboard!$F$4) * _xlfn.NORM.S.INV(RAND())</f>
        <v>4.1646575233078489E-3</v>
      </c>
      <c r="U3185" s="59">
        <f ca="1">Dashboard!D$8* Dashboard!$F$4+Dashboard!D$10*SQRT(Dashboard!$F$4) * _xlfn.NORM.S.INV(RAND())</f>
        <v>-6.1387571766032739E-2</v>
      </c>
    </row>
    <row r="3186" spans="18:21" x14ac:dyDescent="0.2">
      <c r="R3186" s="49">
        <v>3184</v>
      </c>
      <c r="S3186" s="59">
        <f ca="1">Dashboard!B$8* Dashboard!$F$4+Dashboard!B$10*SQRT(Dashboard!$F$4) * _xlfn.NORM.S.INV(RAND())</f>
        <v>-3.1281387404599004E-3</v>
      </c>
      <c r="T3186" s="59">
        <f ca="1">Dashboard!C$8* Dashboard!$F$4+Dashboard!C$10*SQRT(Dashboard!$F$4) * _xlfn.NORM.S.INV(RAND())</f>
        <v>5.8187580358214593E-2</v>
      </c>
      <c r="U3186" s="59">
        <f ca="1">Dashboard!D$8* Dashboard!$F$4+Dashboard!D$10*SQRT(Dashboard!$F$4) * _xlfn.NORM.S.INV(RAND())</f>
        <v>1.2476244798119302E-2</v>
      </c>
    </row>
    <row r="3187" spans="18:21" x14ac:dyDescent="0.2">
      <c r="R3187" s="49">
        <v>3185</v>
      </c>
      <c r="S3187" s="59">
        <f ca="1">Dashboard!B$8* Dashboard!$F$4+Dashboard!B$10*SQRT(Dashboard!$F$4) * _xlfn.NORM.S.INV(RAND())</f>
        <v>5.8353178145848179E-2</v>
      </c>
      <c r="T3187" s="59">
        <f ca="1">Dashboard!C$8* Dashboard!$F$4+Dashboard!C$10*SQRT(Dashboard!$F$4) * _xlfn.NORM.S.INV(RAND())</f>
        <v>4.0099108662482882E-2</v>
      </c>
      <c r="U3187" s="59">
        <f ca="1">Dashboard!D$8* Dashboard!$F$4+Dashboard!D$10*SQRT(Dashboard!$F$4) * _xlfn.NORM.S.INV(RAND())</f>
        <v>-2.8863849531138089E-2</v>
      </c>
    </row>
    <row r="3188" spans="18:21" x14ac:dyDescent="0.2">
      <c r="R3188" s="49">
        <v>3186</v>
      </c>
      <c r="S3188" s="59">
        <f ca="1">Dashboard!B$8* Dashboard!$F$4+Dashboard!B$10*SQRT(Dashboard!$F$4) * _xlfn.NORM.S.INV(RAND())</f>
        <v>4.3760527494895264E-2</v>
      </c>
      <c r="T3188" s="59">
        <f ca="1">Dashboard!C$8* Dashboard!$F$4+Dashboard!C$10*SQRT(Dashboard!$F$4) * _xlfn.NORM.S.INV(RAND())</f>
        <v>3.0244709885367458E-2</v>
      </c>
      <c r="U3188" s="59">
        <f ca="1">Dashboard!D$8* Dashboard!$F$4+Dashboard!D$10*SQRT(Dashboard!$F$4) * _xlfn.NORM.S.INV(RAND())</f>
        <v>-3.3988626230302826E-3</v>
      </c>
    </row>
    <row r="3189" spans="18:21" x14ac:dyDescent="0.2">
      <c r="R3189" s="49">
        <v>3187</v>
      </c>
      <c r="S3189" s="59">
        <f ca="1">Dashboard!B$8* Dashboard!$F$4+Dashboard!B$10*SQRT(Dashboard!$F$4) * _xlfn.NORM.S.INV(RAND())</f>
        <v>-3.1245832927166324E-3</v>
      </c>
      <c r="T3189" s="59">
        <f ca="1">Dashboard!C$8* Dashboard!$F$4+Dashboard!C$10*SQRT(Dashboard!$F$4) * _xlfn.NORM.S.INV(RAND())</f>
        <v>1.8945053170005409E-2</v>
      </c>
      <c r="U3189" s="59">
        <f ca="1">Dashboard!D$8* Dashboard!$F$4+Dashboard!D$10*SQRT(Dashboard!$F$4) * _xlfn.NORM.S.INV(RAND())</f>
        <v>-5.699524191418736E-2</v>
      </c>
    </row>
    <row r="3190" spans="18:21" x14ac:dyDescent="0.2">
      <c r="R3190" s="49">
        <v>3188</v>
      </c>
      <c r="S3190" s="59">
        <f ca="1">Dashboard!B$8* Dashboard!$F$4+Dashboard!B$10*SQRT(Dashboard!$F$4) * _xlfn.NORM.S.INV(RAND())</f>
        <v>-6.0781936032927759E-4</v>
      </c>
      <c r="T3190" s="59">
        <f ca="1">Dashboard!C$8* Dashboard!$F$4+Dashboard!C$10*SQRT(Dashboard!$F$4) * _xlfn.NORM.S.INV(RAND())</f>
        <v>-5.1728857441151993E-2</v>
      </c>
      <c r="U3190" s="59">
        <f ca="1">Dashboard!D$8* Dashboard!$F$4+Dashboard!D$10*SQRT(Dashboard!$F$4) * _xlfn.NORM.S.INV(RAND())</f>
        <v>-2.1854406986862394E-2</v>
      </c>
    </row>
    <row r="3191" spans="18:21" x14ac:dyDescent="0.2">
      <c r="R3191" s="49">
        <v>3189</v>
      </c>
      <c r="S3191" s="59">
        <f ca="1">Dashboard!B$8* Dashboard!$F$4+Dashboard!B$10*SQRT(Dashboard!$F$4) * _xlfn.NORM.S.INV(RAND())</f>
        <v>-3.597291935824478E-2</v>
      </c>
      <c r="T3191" s="59">
        <f ca="1">Dashboard!C$8* Dashboard!$F$4+Dashboard!C$10*SQRT(Dashboard!$F$4) * _xlfn.NORM.S.INV(RAND())</f>
        <v>1.7264748817701157E-4</v>
      </c>
      <c r="U3191" s="59">
        <f ca="1">Dashboard!D$8* Dashboard!$F$4+Dashboard!D$10*SQRT(Dashboard!$F$4) * _xlfn.NORM.S.INV(RAND())</f>
        <v>-1.0262428763557506E-2</v>
      </c>
    </row>
    <row r="3192" spans="18:21" x14ac:dyDescent="0.2">
      <c r="R3192" s="49">
        <v>3190</v>
      </c>
      <c r="S3192" s="59">
        <f ca="1">Dashboard!B$8* Dashboard!$F$4+Dashboard!B$10*SQRT(Dashboard!$F$4) * _xlfn.NORM.S.INV(RAND())</f>
        <v>-2.9105114758582039E-2</v>
      </c>
      <c r="T3192" s="59">
        <f ca="1">Dashboard!C$8* Dashboard!$F$4+Dashboard!C$10*SQRT(Dashboard!$F$4) * _xlfn.NORM.S.INV(RAND())</f>
        <v>6.4348655002557043E-2</v>
      </c>
      <c r="U3192" s="59">
        <f ca="1">Dashboard!D$8* Dashboard!$F$4+Dashboard!D$10*SQRT(Dashboard!$F$4) * _xlfn.NORM.S.INV(RAND())</f>
        <v>-4.7305319357651785E-3</v>
      </c>
    </row>
    <row r="3193" spans="18:21" x14ac:dyDescent="0.2">
      <c r="R3193" s="49">
        <v>3191</v>
      </c>
      <c r="S3193" s="59">
        <f ca="1">Dashboard!B$8* Dashboard!$F$4+Dashboard!B$10*SQRT(Dashboard!$F$4) * _xlfn.NORM.S.INV(RAND())</f>
        <v>-2.0616404384316174E-2</v>
      </c>
      <c r="T3193" s="59">
        <f ca="1">Dashboard!C$8* Dashboard!$F$4+Dashboard!C$10*SQRT(Dashboard!$F$4) * _xlfn.NORM.S.INV(RAND())</f>
        <v>4.134860666450655E-2</v>
      </c>
      <c r="U3193" s="59">
        <f ca="1">Dashboard!D$8* Dashboard!$F$4+Dashboard!D$10*SQRT(Dashboard!$F$4) * _xlfn.NORM.S.INV(RAND())</f>
        <v>-2.7977951425067107E-2</v>
      </c>
    </row>
    <row r="3194" spans="18:21" x14ac:dyDescent="0.2">
      <c r="R3194" s="49">
        <v>3192</v>
      </c>
      <c r="S3194" s="59">
        <f ca="1">Dashboard!B$8* Dashboard!$F$4+Dashboard!B$10*SQRT(Dashboard!$F$4) * _xlfn.NORM.S.INV(RAND())</f>
        <v>-7.123510702182477E-2</v>
      </c>
      <c r="T3194" s="59">
        <f ca="1">Dashboard!C$8* Dashboard!$F$4+Dashboard!C$10*SQRT(Dashboard!$F$4) * _xlfn.NORM.S.INV(RAND())</f>
        <v>-2.1489321013411132E-2</v>
      </c>
      <c r="U3194" s="59">
        <f ca="1">Dashboard!D$8* Dashboard!$F$4+Dashboard!D$10*SQRT(Dashboard!$F$4) * _xlfn.NORM.S.INV(RAND())</f>
        <v>-3.1152855165165309E-2</v>
      </c>
    </row>
    <row r="3195" spans="18:21" x14ac:dyDescent="0.2">
      <c r="R3195" s="49">
        <v>3193</v>
      </c>
      <c r="S3195" s="59">
        <f ca="1">Dashboard!B$8* Dashboard!$F$4+Dashboard!B$10*SQRT(Dashboard!$F$4) * _xlfn.NORM.S.INV(RAND())</f>
        <v>-1.5035721250316497E-2</v>
      </c>
      <c r="T3195" s="59">
        <f ca="1">Dashboard!C$8* Dashboard!$F$4+Dashboard!C$10*SQRT(Dashboard!$F$4) * _xlfn.NORM.S.INV(RAND())</f>
        <v>1.5507335181707421E-2</v>
      </c>
      <c r="U3195" s="59">
        <f ca="1">Dashboard!D$8* Dashboard!$F$4+Dashboard!D$10*SQRT(Dashboard!$F$4) * _xlfn.NORM.S.INV(RAND())</f>
        <v>-1.2011597060769987E-2</v>
      </c>
    </row>
    <row r="3196" spans="18:21" x14ac:dyDescent="0.2">
      <c r="R3196" s="49">
        <v>3194</v>
      </c>
      <c r="S3196" s="59">
        <f ca="1">Dashboard!B$8* Dashboard!$F$4+Dashboard!B$10*SQRT(Dashboard!$F$4) * _xlfn.NORM.S.INV(RAND())</f>
        <v>-2.0563743362074248E-2</v>
      </c>
      <c r="T3196" s="59">
        <f ca="1">Dashboard!C$8* Dashboard!$F$4+Dashboard!C$10*SQRT(Dashboard!$F$4) * _xlfn.NORM.S.INV(RAND())</f>
        <v>2.9606992776578861E-3</v>
      </c>
      <c r="U3196" s="59">
        <f ca="1">Dashboard!D$8* Dashboard!$F$4+Dashboard!D$10*SQRT(Dashboard!$F$4) * _xlfn.NORM.S.INV(RAND())</f>
        <v>-7.9755675971144666E-3</v>
      </c>
    </row>
    <row r="3197" spans="18:21" x14ac:dyDescent="0.2">
      <c r="R3197" s="49">
        <v>3195</v>
      </c>
      <c r="S3197" s="59">
        <f ca="1">Dashboard!B$8* Dashboard!$F$4+Dashboard!B$10*SQRT(Dashboard!$F$4) * _xlfn.NORM.S.INV(RAND())</f>
        <v>-2.3870198649382494E-2</v>
      </c>
      <c r="T3197" s="59">
        <f ca="1">Dashboard!C$8* Dashboard!$F$4+Dashboard!C$10*SQRT(Dashboard!$F$4) * _xlfn.NORM.S.INV(RAND())</f>
        <v>4.3591126228039005E-3</v>
      </c>
      <c r="U3197" s="59">
        <f ca="1">Dashboard!D$8* Dashboard!$F$4+Dashboard!D$10*SQRT(Dashboard!$F$4) * _xlfn.NORM.S.INV(RAND())</f>
        <v>5.9531403008464288E-2</v>
      </c>
    </row>
    <row r="3198" spans="18:21" x14ac:dyDescent="0.2">
      <c r="R3198" s="49">
        <v>3196</v>
      </c>
      <c r="S3198" s="59">
        <f ca="1">Dashboard!B$8* Dashboard!$F$4+Dashboard!B$10*SQRT(Dashboard!$F$4) * _xlfn.NORM.S.INV(RAND())</f>
        <v>-4.4276581660070612E-2</v>
      </c>
      <c r="T3198" s="59">
        <f ca="1">Dashboard!C$8* Dashboard!$F$4+Dashboard!C$10*SQRT(Dashboard!$F$4) * _xlfn.NORM.S.INV(RAND())</f>
        <v>1.9182043835268135E-2</v>
      </c>
      <c r="U3198" s="59">
        <f ca="1">Dashboard!D$8* Dashboard!$F$4+Dashboard!D$10*SQRT(Dashboard!$F$4) * _xlfn.NORM.S.INV(RAND())</f>
        <v>2.2727709046598293E-2</v>
      </c>
    </row>
    <row r="3199" spans="18:21" x14ac:dyDescent="0.2">
      <c r="R3199" s="49">
        <v>3197</v>
      </c>
      <c r="S3199" s="59">
        <f ca="1">Dashboard!B$8* Dashboard!$F$4+Dashboard!B$10*SQRT(Dashboard!$F$4) * _xlfn.NORM.S.INV(RAND())</f>
        <v>1.1905541698883517E-2</v>
      </c>
      <c r="T3199" s="59">
        <f ca="1">Dashboard!C$8* Dashboard!$F$4+Dashboard!C$10*SQRT(Dashboard!$F$4) * _xlfn.NORM.S.INV(RAND())</f>
        <v>-1.7182283808742094E-2</v>
      </c>
      <c r="U3199" s="59">
        <f ca="1">Dashboard!D$8* Dashboard!$F$4+Dashboard!D$10*SQRT(Dashboard!$F$4) * _xlfn.NORM.S.INV(RAND())</f>
        <v>-2.7874423960171715E-2</v>
      </c>
    </row>
    <row r="3200" spans="18:21" x14ac:dyDescent="0.2">
      <c r="R3200" s="49">
        <v>3198</v>
      </c>
      <c r="S3200" s="59">
        <f ca="1">Dashboard!B$8* Dashboard!$F$4+Dashboard!B$10*SQRT(Dashboard!$F$4) * _xlfn.NORM.S.INV(RAND())</f>
        <v>5.4346057239842253E-3</v>
      </c>
      <c r="T3200" s="59">
        <f ca="1">Dashboard!C$8* Dashboard!$F$4+Dashboard!C$10*SQRT(Dashboard!$F$4) * _xlfn.NORM.S.INV(RAND())</f>
        <v>5.8870334684449823E-3</v>
      </c>
      <c r="U3200" s="59">
        <f ca="1">Dashboard!D$8* Dashboard!$F$4+Dashboard!D$10*SQRT(Dashboard!$F$4) * _xlfn.NORM.S.INV(RAND())</f>
        <v>2.078168656143561E-2</v>
      </c>
    </row>
    <row r="3201" spans="18:21" x14ac:dyDescent="0.2">
      <c r="R3201" s="49">
        <v>3199</v>
      </c>
      <c r="S3201" s="59">
        <f ca="1">Dashboard!B$8* Dashboard!$F$4+Dashboard!B$10*SQRT(Dashboard!$F$4) * _xlfn.NORM.S.INV(RAND())</f>
        <v>-5.7767154016591139E-2</v>
      </c>
      <c r="T3201" s="59">
        <f ca="1">Dashboard!C$8* Dashboard!$F$4+Dashboard!C$10*SQRT(Dashboard!$F$4) * _xlfn.NORM.S.INV(RAND())</f>
        <v>-3.5323275844728039E-2</v>
      </c>
      <c r="U3201" s="59">
        <f ca="1">Dashboard!D$8* Dashboard!$F$4+Dashboard!D$10*SQRT(Dashboard!$F$4) * _xlfn.NORM.S.INV(RAND())</f>
        <v>-9.4468050608962247E-3</v>
      </c>
    </row>
    <row r="3202" spans="18:21" x14ac:dyDescent="0.2">
      <c r="R3202" s="49">
        <v>3200</v>
      </c>
      <c r="S3202" s="59">
        <f ca="1">Dashboard!B$8* Dashboard!$F$4+Dashboard!B$10*SQRT(Dashboard!$F$4) * _xlfn.NORM.S.INV(RAND())</f>
        <v>1.088718026879327E-2</v>
      </c>
      <c r="T3202" s="59">
        <f ca="1">Dashboard!C$8* Dashboard!$F$4+Dashboard!C$10*SQRT(Dashboard!$F$4) * _xlfn.NORM.S.INV(RAND())</f>
        <v>4.5446655307074903E-2</v>
      </c>
      <c r="U3202" s="59">
        <f ca="1">Dashboard!D$8* Dashboard!$F$4+Dashboard!D$10*SQRT(Dashboard!$F$4) * _xlfn.NORM.S.INV(RAND())</f>
        <v>3.7011632457382183E-2</v>
      </c>
    </row>
    <row r="3203" spans="18:21" x14ac:dyDescent="0.2">
      <c r="R3203" s="49">
        <v>3201</v>
      </c>
      <c r="S3203" s="59">
        <f ca="1">Dashboard!B$8* Dashboard!$F$4+Dashboard!B$10*SQRT(Dashboard!$F$4) * _xlfn.NORM.S.INV(RAND())</f>
        <v>-7.793480706459692E-2</v>
      </c>
      <c r="T3203" s="59">
        <f ca="1">Dashboard!C$8* Dashboard!$F$4+Dashboard!C$10*SQRT(Dashboard!$F$4) * _xlfn.NORM.S.INV(RAND())</f>
        <v>1.9044544567099371E-2</v>
      </c>
      <c r="U3203" s="59">
        <f ca="1">Dashboard!D$8* Dashboard!$F$4+Dashboard!D$10*SQRT(Dashboard!$F$4) * _xlfn.NORM.S.INV(RAND())</f>
        <v>-8.5469367347321308E-4</v>
      </c>
    </row>
    <row r="3204" spans="18:21" x14ac:dyDescent="0.2">
      <c r="R3204" s="49">
        <v>3202</v>
      </c>
      <c r="S3204" s="59">
        <f ca="1">Dashboard!B$8* Dashboard!$F$4+Dashboard!B$10*SQRT(Dashboard!$F$4) * _xlfn.NORM.S.INV(RAND())</f>
        <v>1.3705066057296782E-2</v>
      </c>
      <c r="T3204" s="59">
        <f ca="1">Dashboard!C$8* Dashboard!$F$4+Dashboard!C$10*SQRT(Dashboard!$F$4) * _xlfn.NORM.S.INV(RAND())</f>
        <v>-2.4401892415687972E-2</v>
      </c>
      <c r="U3204" s="59">
        <f ca="1">Dashboard!D$8* Dashboard!$F$4+Dashboard!D$10*SQRT(Dashboard!$F$4) * _xlfn.NORM.S.INV(RAND())</f>
        <v>7.8317515186545929E-3</v>
      </c>
    </row>
    <row r="3205" spans="18:21" x14ac:dyDescent="0.2">
      <c r="R3205" s="49">
        <v>3203</v>
      </c>
      <c r="S3205" s="59">
        <f ca="1">Dashboard!B$8* Dashboard!$F$4+Dashboard!B$10*SQRT(Dashboard!$F$4) * _xlfn.NORM.S.INV(RAND())</f>
        <v>-3.2153588117748337E-3</v>
      </c>
      <c r="T3205" s="59">
        <f ca="1">Dashboard!C$8* Dashboard!$F$4+Dashboard!C$10*SQRT(Dashboard!$F$4) * _xlfn.NORM.S.INV(RAND())</f>
        <v>3.2200966307705234E-2</v>
      </c>
      <c r="U3205" s="59">
        <f ca="1">Dashboard!D$8* Dashboard!$F$4+Dashboard!D$10*SQRT(Dashboard!$F$4) * _xlfn.NORM.S.INV(RAND())</f>
        <v>2.9826927700524246E-2</v>
      </c>
    </row>
    <row r="3206" spans="18:21" x14ac:dyDescent="0.2">
      <c r="R3206" s="49">
        <v>3204</v>
      </c>
      <c r="S3206" s="59">
        <f ca="1">Dashboard!B$8* Dashboard!$F$4+Dashboard!B$10*SQRT(Dashboard!$F$4) * _xlfn.NORM.S.INV(RAND())</f>
        <v>4.065214528014062E-2</v>
      </c>
      <c r="T3206" s="59">
        <f ca="1">Dashboard!C$8* Dashboard!$F$4+Dashboard!C$10*SQRT(Dashboard!$F$4) * _xlfn.NORM.S.INV(RAND())</f>
        <v>5.1993666709397736E-2</v>
      </c>
      <c r="U3206" s="59">
        <f ca="1">Dashboard!D$8* Dashboard!$F$4+Dashboard!D$10*SQRT(Dashboard!$F$4) * _xlfn.NORM.S.INV(RAND())</f>
        <v>7.6903143927523801E-2</v>
      </c>
    </row>
    <row r="3207" spans="18:21" x14ac:dyDescent="0.2">
      <c r="R3207" s="49">
        <v>3205</v>
      </c>
      <c r="S3207" s="59">
        <f ca="1">Dashboard!B$8* Dashboard!$F$4+Dashboard!B$10*SQRT(Dashboard!$F$4) * _xlfn.NORM.S.INV(RAND())</f>
        <v>-2.2632202786228441E-2</v>
      </c>
      <c r="T3207" s="59">
        <f ca="1">Dashboard!C$8* Dashboard!$F$4+Dashboard!C$10*SQRT(Dashboard!$F$4) * _xlfn.NORM.S.INV(RAND())</f>
        <v>-1.8362912142047043E-2</v>
      </c>
      <c r="U3207" s="59">
        <f ca="1">Dashboard!D$8* Dashboard!$F$4+Dashboard!D$10*SQRT(Dashboard!$F$4) * _xlfn.NORM.S.INV(RAND())</f>
        <v>-9.0903900742125582E-3</v>
      </c>
    </row>
    <row r="3208" spans="18:21" x14ac:dyDescent="0.2">
      <c r="R3208" s="49">
        <v>3206</v>
      </c>
      <c r="S3208" s="59">
        <f ca="1">Dashboard!B$8* Dashboard!$F$4+Dashboard!B$10*SQRT(Dashboard!$F$4) * _xlfn.NORM.S.INV(RAND())</f>
        <v>-1.4253175887965621E-2</v>
      </c>
      <c r="T3208" s="59">
        <f ca="1">Dashboard!C$8* Dashboard!$F$4+Dashboard!C$10*SQRT(Dashboard!$F$4) * _xlfn.NORM.S.INV(RAND())</f>
        <v>5.9209179795510061E-2</v>
      </c>
      <c r="U3208" s="59">
        <f ca="1">Dashboard!D$8* Dashboard!$F$4+Dashboard!D$10*SQRT(Dashboard!$F$4) * _xlfn.NORM.S.INV(RAND())</f>
        <v>5.8462226847364934E-2</v>
      </c>
    </row>
    <row r="3209" spans="18:21" x14ac:dyDescent="0.2">
      <c r="R3209" s="49">
        <v>3207</v>
      </c>
      <c r="S3209" s="59">
        <f ca="1">Dashboard!B$8* Dashboard!$F$4+Dashboard!B$10*SQRT(Dashboard!$F$4) * _xlfn.NORM.S.INV(RAND())</f>
        <v>1.894940555682784E-3</v>
      </c>
      <c r="T3209" s="59">
        <f ca="1">Dashboard!C$8* Dashboard!$F$4+Dashboard!C$10*SQRT(Dashboard!$F$4) * _xlfn.NORM.S.INV(RAND())</f>
        <v>-3.2448547775805733E-2</v>
      </c>
      <c r="U3209" s="59">
        <f ca="1">Dashboard!D$8* Dashboard!$F$4+Dashboard!D$10*SQRT(Dashboard!$F$4) * _xlfn.NORM.S.INV(RAND())</f>
        <v>-1.9677679079476176E-2</v>
      </c>
    </row>
    <row r="3210" spans="18:21" x14ac:dyDescent="0.2">
      <c r="R3210" s="49">
        <v>3208</v>
      </c>
      <c r="S3210" s="59">
        <f ca="1">Dashboard!B$8* Dashboard!$F$4+Dashboard!B$10*SQRT(Dashboard!$F$4) * _xlfn.NORM.S.INV(RAND())</f>
        <v>-1.6384938027281096E-2</v>
      </c>
      <c r="T3210" s="59">
        <f ca="1">Dashboard!C$8* Dashboard!$F$4+Dashboard!C$10*SQRT(Dashboard!$F$4) * _xlfn.NORM.S.INV(RAND())</f>
        <v>2.0762832530982243E-2</v>
      </c>
      <c r="U3210" s="59">
        <f ca="1">Dashboard!D$8* Dashboard!$F$4+Dashboard!D$10*SQRT(Dashboard!$F$4) * _xlfn.NORM.S.INV(RAND())</f>
        <v>-9.669008993463242E-3</v>
      </c>
    </row>
    <row r="3211" spans="18:21" x14ac:dyDescent="0.2">
      <c r="R3211" s="49">
        <v>3209</v>
      </c>
      <c r="S3211" s="59">
        <f ca="1">Dashboard!B$8* Dashboard!$F$4+Dashboard!B$10*SQRT(Dashboard!$F$4) * _xlfn.NORM.S.INV(RAND())</f>
        <v>1.7784156790618101E-2</v>
      </c>
      <c r="T3211" s="59">
        <f ca="1">Dashboard!C$8* Dashboard!$F$4+Dashboard!C$10*SQRT(Dashboard!$F$4) * _xlfn.NORM.S.INV(RAND())</f>
        <v>-3.5453915427806444E-3</v>
      </c>
      <c r="U3211" s="59">
        <f ca="1">Dashboard!D$8* Dashboard!$F$4+Dashboard!D$10*SQRT(Dashboard!$F$4) * _xlfn.NORM.S.INV(RAND())</f>
        <v>-3.3149054011734909E-2</v>
      </c>
    </row>
    <row r="3212" spans="18:21" x14ac:dyDescent="0.2">
      <c r="R3212" s="49">
        <v>3210</v>
      </c>
      <c r="S3212" s="59">
        <f ca="1">Dashboard!B$8* Dashboard!$F$4+Dashboard!B$10*SQRT(Dashboard!$F$4) * _xlfn.NORM.S.INV(RAND())</f>
        <v>2.1135004571515063E-2</v>
      </c>
      <c r="T3212" s="59">
        <f ca="1">Dashboard!C$8* Dashboard!$F$4+Dashboard!C$10*SQRT(Dashboard!$F$4) * _xlfn.NORM.S.INV(RAND())</f>
        <v>2.4007704471033436E-2</v>
      </c>
      <c r="U3212" s="59">
        <f ca="1">Dashboard!D$8* Dashboard!$F$4+Dashboard!D$10*SQRT(Dashboard!$F$4) * _xlfn.NORM.S.INV(RAND())</f>
        <v>-2.5753296821638152E-2</v>
      </c>
    </row>
    <row r="3213" spans="18:21" x14ac:dyDescent="0.2">
      <c r="R3213" s="49">
        <v>3211</v>
      </c>
      <c r="S3213" s="59">
        <f ca="1">Dashboard!B$8* Dashboard!$F$4+Dashboard!B$10*SQRT(Dashboard!$F$4) * _xlfn.NORM.S.INV(RAND())</f>
        <v>1.7108136575819569E-2</v>
      </c>
      <c r="T3213" s="59">
        <f ca="1">Dashboard!C$8* Dashboard!$F$4+Dashboard!C$10*SQRT(Dashboard!$F$4) * _xlfn.NORM.S.INV(RAND())</f>
        <v>4.2140629188057589E-2</v>
      </c>
      <c r="U3213" s="59">
        <f ca="1">Dashboard!D$8* Dashboard!$F$4+Dashboard!D$10*SQRT(Dashboard!$F$4) * _xlfn.NORM.S.INV(RAND())</f>
        <v>-2.5899844560341792E-3</v>
      </c>
    </row>
    <row r="3214" spans="18:21" x14ac:dyDescent="0.2">
      <c r="R3214" s="49">
        <v>3212</v>
      </c>
      <c r="S3214" s="59">
        <f ca="1">Dashboard!B$8* Dashboard!$F$4+Dashboard!B$10*SQRT(Dashboard!$F$4) * _xlfn.NORM.S.INV(RAND())</f>
        <v>6.2991299395275344E-3</v>
      </c>
      <c r="T3214" s="59">
        <f ca="1">Dashboard!C$8* Dashboard!$F$4+Dashboard!C$10*SQRT(Dashboard!$F$4) * _xlfn.NORM.S.INV(RAND())</f>
        <v>4.075567985713998E-2</v>
      </c>
      <c r="U3214" s="59">
        <f ca="1">Dashboard!D$8* Dashboard!$F$4+Dashboard!D$10*SQRT(Dashboard!$F$4) * _xlfn.NORM.S.INV(RAND())</f>
        <v>-3.3175862365076449E-2</v>
      </c>
    </row>
    <row r="3215" spans="18:21" x14ac:dyDescent="0.2">
      <c r="R3215" s="49">
        <v>3213</v>
      </c>
      <c r="S3215" s="59">
        <f ca="1">Dashboard!B$8* Dashboard!$F$4+Dashboard!B$10*SQRT(Dashboard!$F$4) * _xlfn.NORM.S.INV(RAND())</f>
        <v>-9.8319736287009341E-3</v>
      </c>
      <c r="T3215" s="59">
        <f ca="1">Dashboard!C$8* Dashboard!$F$4+Dashboard!C$10*SQRT(Dashboard!$F$4) * _xlfn.NORM.S.INV(RAND())</f>
        <v>6.7442930001110034E-3</v>
      </c>
      <c r="U3215" s="59">
        <f ca="1">Dashboard!D$8* Dashboard!$F$4+Dashboard!D$10*SQRT(Dashboard!$F$4) * _xlfn.NORM.S.INV(RAND())</f>
        <v>-3.4905165825606904E-2</v>
      </c>
    </row>
    <row r="3216" spans="18:21" x14ac:dyDescent="0.2">
      <c r="R3216" s="49">
        <v>3214</v>
      </c>
      <c r="S3216" s="59">
        <f ca="1">Dashboard!B$8* Dashboard!$F$4+Dashboard!B$10*SQRT(Dashboard!$F$4) * _xlfn.NORM.S.INV(RAND())</f>
        <v>2.3389198337533503E-3</v>
      </c>
      <c r="T3216" s="59">
        <f ca="1">Dashboard!C$8* Dashboard!$F$4+Dashboard!C$10*SQRT(Dashboard!$F$4) * _xlfn.NORM.S.INV(RAND())</f>
        <v>-2.6487473977631067E-2</v>
      </c>
      <c r="U3216" s="59">
        <f ca="1">Dashboard!D$8* Dashboard!$F$4+Dashboard!D$10*SQRT(Dashboard!$F$4) * _xlfn.NORM.S.INV(RAND())</f>
        <v>-1.9357723826475659E-2</v>
      </c>
    </row>
    <row r="3217" spans="18:21" x14ac:dyDescent="0.2">
      <c r="R3217" s="49">
        <v>3215</v>
      </c>
      <c r="S3217" s="59">
        <f ca="1">Dashboard!B$8* Dashboard!$F$4+Dashboard!B$10*SQRT(Dashboard!$F$4) * _xlfn.NORM.S.INV(RAND())</f>
        <v>-2.4995031507640354E-2</v>
      </c>
      <c r="T3217" s="59">
        <f ca="1">Dashboard!C$8* Dashboard!$F$4+Dashboard!C$10*SQRT(Dashboard!$F$4) * _xlfn.NORM.S.INV(RAND())</f>
        <v>-2.9676313414622457E-3</v>
      </c>
      <c r="U3217" s="59">
        <f ca="1">Dashboard!D$8* Dashboard!$F$4+Dashboard!D$10*SQRT(Dashboard!$F$4) * _xlfn.NORM.S.INV(RAND())</f>
        <v>-5.5201106187299218E-2</v>
      </c>
    </row>
    <row r="3218" spans="18:21" x14ac:dyDescent="0.2">
      <c r="R3218" s="49">
        <v>3216</v>
      </c>
      <c r="S3218" s="59">
        <f ca="1">Dashboard!B$8* Dashboard!$F$4+Dashboard!B$10*SQRT(Dashboard!$F$4) * _xlfn.NORM.S.INV(RAND())</f>
        <v>-1.0831087154139815E-2</v>
      </c>
      <c r="T3218" s="59">
        <f ca="1">Dashboard!C$8* Dashboard!$F$4+Dashboard!C$10*SQRT(Dashboard!$F$4) * _xlfn.NORM.S.INV(RAND())</f>
        <v>2.91647613760328E-2</v>
      </c>
      <c r="U3218" s="59">
        <f ca="1">Dashboard!D$8* Dashboard!$F$4+Dashboard!D$10*SQRT(Dashboard!$F$4) * _xlfn.NORM.S.INV(RAND())</f>
        <v>-2.7524989872272042E-2</v>
      </c>
    </row>
    <row r="3219" spans="18:21" x14ac:dyDescent="0.2">
      <c r="R3219" s="49">
        <v>3217</v>
      </c>
      <c r="S3219" s="59">
        <f ca="1">Dashboard!B$8* Dashboard!$F$4+Dashboard!B$10*SQRT(Dashboard!$F$4) * _xlfn.NORM.S.INV(RAND())</f>
        <v>-1.2969345789159951E-2</v>
      </c>
      <c r="T3219" s="59">
        <f ca="1">Dashboard!C$8* Dashboard!$F$4+Dashboard!C$10*SQRT(Dashboard!$F$4) * _xlfn.NORM.S.INV(RAND())</f>
        <v>6.0514053913509527E-3</v>
      </c>
      <c r="U3219" s="59">
        <f ca="1">Dashboard!D$8* Dashboard!$F$4+Dashboard!D$10*SQRT(Dashboard!$F$4) * _xlfn.NORM.S.INV(RAND())</f>
        <v>-1.0831627669268941E-2</v>
      </c>
    </row>
    <row r="3220" spans="18:21" x14ac:dyDescent="0.2">
      <c r="R3220" s="49">
        <v>3218</v>
      </c>
      <c r="S3220" s="59">
        <f ca="1">Dashboard!B$8* Dashboard!$F$4+Dashboard!B$10*SQRT(Dashboard!$F$4) * _xlfn.NORM.S.INV(RAND())</f>
        <v>-3.6223613456263223E-2</v>
      </c>
      <c r="T3220" s="59">
        <f ca="1">Dashboard!C$8* Dashboard!$F$4+Dashboard!C$10*SQRT(Dashboard!$F$4) * _xlfn.NORM.S.INV(RAND())</f>
        <v>-2.8844638987932606E-3</v>
      </c>
      <c r="U3220" s="59">
        <f ca="1">Dashboard!D$8* Dashboard!$F$4+Dashboard!D$10*SQRT(Dashboard!$F$4) * _xlfn.NORM.S.INV(RAND())</f>
        <v>1.7828579783897656E-2</v>
      </c>
    </row>
    <row r="3221" spans="18:21" x14ac:dyDescent="0.2">
      <c r="R3221" s="49">
        <v>3219</v>
      </c>
      <c r="S3221" s="59">
        <f ca="1">Dashboard!B$8* Dashboard!$F$4+Dashboard!B$10*SQRT(Dashboard!$F$4) * _xlfn.NORM.S.INV(RAND())</f>
        <v>1.231820372880754E-2</v>
      </c>
      <c r="T3221" s="59">
        <f ca="1">Dashboard!C$8* Dashboard!$F$4+Dashboard!C$10*SQRT(Dashboard!$F$4) * _xlfn.NORM.S.INV(RAND())</f>
        <v>-2.244919852016912E-2</v>
      </c>
      <c r="U3221" s="59">
        <f ca="1">Dashboard!D$8* Dashboard!$F$4+Dashboard!D$10*SQRT(Dashboard!$F$4) * _xlfn.NORM.S.INV(RAND())</f>
        <v>3.0383815422669713E-2</v>
      </c>
    </row>
    <row r="3222" spans="18:21" x14ac:dyDescent="0.2">
      <c r="R3222" s="49">
        <v>3220</v>
      </c>
      <c r="S3222" s="59">
        <f ca="1">Dashboard!B$8* Dashboard!$F$4+Dashboard!B$10*SQRT(Dashboard!$F$4) * _xlfn.NORM.S.INV(RAND())</f>
        <v>-1.4531514916351129E-2</v>
      </c>
      <c r="T3222" s="59">
        <f ca="1">Dashboard!C$8* Dashboard!$F$4+Dashboard!C$10*SQRT(Dashboard!$F$4) * _xlfn.NORM.S.INV(RAND())</f>
        <v>-1.3752357056406178E-2</v>
      </c>
      <c r="U3222" s="59">
        <f ca="1">Dashboard!D$8* Dashboard!$F$4+Dashboard!D$10*SQRT(Dashboard!$F$4) * _xlfn.NORM.S.INV(RAND())</f>
        <v>8.5352046066893804E-3</v>
      </c>
    </row>
    <row r="3223" spans="18:21" x14ac:dyDescent="0.2">
      <c r="R3223" s="49">
        <v>3221</v>
      </c>
      <c r="S3223" s="59">
        <f ca="1">Dashboard!B$8* Dashboard!$F$4+Dashboard!B$10*SQRT(Dashboard!$F$4) * _xlfn.NORM.S.INV(RAND())</f>
        <v>2.7800384511704615E-3</v>
      </c>
      <c r="T3223" s="59">
        <f ca="1">Dashboard!C$8* Dashboard!$F$4+Dashboard!C$10*SQRT(Dashboard!$F$4) * _xlfn.NORM.S.INV(RAND())</f>
        <v>-8.5953219049243485E-4</v>
      </c>
      <c r="U3223" s="59">
        <f ca="1">Dashboard!D$8* Dashboard!$F$4+Dashboard!D$10*SQRT(Dashboard!$F$4) * _xlfn.NORM.S.INV(RAND())</f>
        <v>5.5741516416883503E-3</v>
      </c>
    </row>
    <row r="3224" spans="18:21" x14ac:dyDescent="0.2">
      <c r="R3224" s="49">
        <v>3222</v>
      </c>
      <c r="S3224" s="59">
        <f ca="1">Dashboard!B$8* Dashboard!$F$4+Dashboard!B$10*SQRT(Dashboard!$F$4) * _xlfn.NORM.S.INV(RAND())</f>
        <v>8.1696138570573271E-3</v>
      </c>
      <c r="T3224" s="59">
        <f ca="1">Dashboard!C$8* Dashboard!$F$4+Dashboard!C$10*SQRT(Dashboard!$F$4) * _xlfn.NORM.S.INV(RAND())</f>
        <v>-7.0002281781796792E-3</v>
      </c>
      <c r="U3224" s="59">
        <f ca="1">Dashboard!D$8* Dashboard!$F$4+Dashboard!D$10*SQRT(Dashboard!$F$4) * _xlfn.NORM.S.INV(RAND())</f>
        <v>8.862970265222727E-3</v>
      </c>
    </row>
    <row r="3225" spans="18:21" x14ac:dyDescent="0.2">
      <c r="R3225" s="49">
        <v>3223</v>
      </c>
      <c r="S3225" s="59">
        <f ca="1">Dashboard!B$8* Dashboard!$F$4+Dashboard!B$10*SQRT(Dashboard!$F$4) * _xlfn.NORM.S.INV(RAND())</f>
        <v>-1.5728935629679225E-2</v>
      </c>
      <c r="T3225" s="59">
        <f ca="1">Dashboard!C$8* Dashboard!$F$4+Dashboard!C$10*SQRT(Dashboard!$F$4) * _xlfn.NORM.S.INV(RAND())</f>
        <v>-1.2316343663015653E-2</v>
      </c>
      <c r="U3225" s="59">
        <f ca="1">Dashboard!D$8* Dashboard!$F$4+Dashboard!D$10*SQRT(Dashboard!$F$4) * _xlfn.NORM.S.INV(RAND())</f>
        <v>2.1581244773770714E-2</v>
      </c>
    </row>
    <row r="3226" spans="18:21" x14ac:dyDescent="0.2">
      <c r="R3226" s="49">
        <v>3224</v>
      </c>
      <c r="S3226" s="59">
        <f ca="1">Dashboard!B$8* Dashboard!$F$4+Dashboard!B$10*SQRT(Dashboard!$F$4) * _xlfn.NORM.S.INV(RAND())</f>
        <v>1.3460057508499103E-2</v>
      </c>
      <c r="T3226" s="59">
        <f ca="1">Dashboard!C$8* Dashboard!$F$4+Dashboard!C$10*SQRT(Dashboard!$F$4) * _xlfn.NORM.S.INV(RAND())</f>
        <v>1.204960014242476E-2</v>
      </c>
      <c r="U3226" s="59">
        <f ca="1">Dashboard!D$8* Dashboard!$F$4+Dashboard!D$10*SQRT(Dashboard!$F$4) * _xlfn.NORM.S.INV(RAND())</f>
        <v>-1.5543094296120052E-2</v>
      </c>
    </row>
    <row r="3227" spans="18:21" x14ac:dyDescent="0.2">
      <c r="R3227" s="49">
        <v>3225</v>
      </c>
      <c r="S3227" s="59">
        <f ca="1">Dashboard!B$8* Dashboard!$F$4+Dashboard!B$10*SQRT(Dashboard!$F$4) * _xlfn.NORM.S.INV(RAND())</f>
        <v>1.5288837076454351E-2</v>
      </c>
      <c r="T3227" s="59">
        <f ca="1">Dashboard!C$8* Dashboard!$F$4+Dashboard!C$10*SQRT(Dashboard!$F$4) * _xlfn.NORM.S.INV(RAND())</f>
        <v>-3.292958338942443E-3</v>
      </c>
      <c r="U3227" s="59">
        <f ca="1">Dashboard!D$8* Dashboard!$F$4+Dashboard!D$10*SQRT(Dashboard!$F$4) * _xlfn.NORM.S.INV(RAND())</f>
        <v>2.9879372624025523E-2</v>
      </c>
    </row>
    <row r="3228" spans="18:21" x14ac:dyDescent="0.2">
      <c r="R3228" s="49">
        <v>3226</v>
      </c>
      <c r="S3228" s="59">
        <f ca="1">Dashboard!B$8* Dashboard!$F$4+Dashboard!B$10*SQRT(Dashboard!$F$4) * _xlfn.NORM.S.INV(RAND())</f>
        <v>-2.1274140268012068E-2</v>
      </c>
      <c r="T3228" s="59">
        <f ca="1">Dashboard!C$8* Dashboard!$F$4+Dashboard!C$10*SQRT(Dashboard!$F$4) * _xlfn.NORM.S.INV(RAND())</f>
        <v>1.9454319926718242E-2</v>
      </c>
      <c r="U3228" s="59">
        <f ca="1">Dashboard!D$8* Dashboard!$F$4+Dashboard!D$10*SQRT(Dashboard!$F$4) * _xlfn.NORM.S.INV(RAND())</f>
        <v>5.8632052920680041E-3</v>
      </c>
    </row>
    <row r="3229" spans="18:21" x14ac:dyDescent="0.2">
      <c r="R3229" s="49">
        <v>3227</v>
      </c>
      <c r="S3229" s="59">
        <f ca="1">Dashboard!B$8* Dashboard!$F$4+Dashboard!B$10*SQRT(Dashboard!$F$4) * _xlfn.NORM.S.INV(RAND())</f>
        <v>-2.4864684158280768E-2</v>
      </c>
      <c r="T3229" s="59">
        <f ca="1">Dashboard!C$8* Dashboard!$F$4+Dashboard!C$10*SQRT(Dashboard!$F$4) * _xlfn.NORM.S.INV(RAND())</f>
        <v>-4.0047815610153574E-2</v>
      </c>
      <c r="U3229" s="59">
        <f ca="1">Dashboard!D$8* Dashboard!$F$4+Dashboard!D$10*SQRT(Dashboard!$F$4) * _xlfn.NORM.S.INV(RAND())</f>
        <v>-1.9351181517649082E-2</v>
      </c>
    </row>
    <row r="3230" spans="18:21" x14ac:dyDescent="0.2">
      <c r="R3230" s="49">
        <v>3228</v>
      </c>
      <c r="S3230" s="59">
        <f ca="1">Dashboard!B$8* Dashboard!$F$4+Dashboard!B$10*SQRT(Dashboard!$F$4) * _xlfn.NORM.S.INV(RAND())</f>
        <v>-2.6854569059676592E-2</v>
      </c>
      <c r="T3230" s="59">
        <f ca="1">Dashboard!C$8* Dashboard!$F$4+Dashboard!C$10*SQRT(Dashboard!$F$4) * _xlfn.NORM.S.INV(RAND())</f>
        <v>2.2592629095566294E-2</v>
      </c>
      <c r="U3230" s="59">
        <f ca="1">Dashboard!D$8* Dashboard!$F$4+Dashboard!D$10*SQRT(Dashboard!$F$4) * _xlfn.NORM.S.INV(RAND())</f>
        <v>3.8112233253482855E-3</v>
      </c>
    </row>
    <row r="3231" spans="18:21" x14ac:dyDescent="0.2">
      <c r="R3231" s="49">
        <v>3229</v>
      </c>
      <c r="S3231" s="59">
        <f ca="1">Dashboard!B$8* Dashboard!$F$4+Dashboard!B$10*SQRT(Dashboard!$F$4) * _xlfn.NORM.S.INV(RAND())</f>
        <v>1.0125476923402932E-2</v>
      </c>
      <c r="T3231" s="59">
        <f ca="1">Dashboard!C$8* Dashboard!$F$4+Dashboard!C$10*SQRT(Dashboard!$F$4) * _xlfn.NORM.S.INV(RAND())</f>
        <v>2.3474099854967231E-2</v>
      </c>
      <c r="U3231" s="59">
        <f ca="1">Dashboard!D$8* Dashboard!$F$4+Dashboard!D$10*SQRT(Dashboard!$F$4) * _xlfn.NORM.S.INV(RAND())</f>
        <v>-3.4007269144283647E-2</v>
      </c>
    </row>
    <row r="3232" spans="18:21" x14ac:dyDescent="0.2">
      <c r="R3232" s="49">
        <v>3230</v>
      </c>
      <c r="S3232" s="59">
        <f ca="1">Dashboard!B$8* Dashboard!$F$4+Dashboard!B$10*SQRT(Dashboard!$F$4) * _xlfn.NORM.S.INV(RAND())</f>
        <v>-5.1178665165211292E-3</v>
      </c>
      <c r="T3232" s="59">
        <f ca="1">Dashboard!C$8* Dashboard!$F$4+Dashboard!C$10*SQRT(Dashboard!$F$4) * _xlfn.NORM.S.INV(RAND())</f>
        <v>-7.883559758927669E-3</v>
      </c>
      <c r="U3232" s="59">
        <f ca="1">Dashboard!D$8* Dashboard!$F$4+Dashboard!D$10*SQRT(Dashboard!$F$4) * _xlfn.NORM.S.INV(RAND())</f>
        <v>-2.5332481658779625E-3</v>
      </c>
    </row>
    <row r="3233" spans="18:21" x14ac:dyDescent="0.2">
      <c r="R3233" s="49">
        <v>3231</v>
      </c>
      <c r="S3233" s="59">
        <f ca="1">Dashboard!B$8* Dashboard!$F$4+Dashboard!B$10*SQRT(Dashboard!$F$4) * _xlfn.NORM.S.INV(RAND())</f>
        <v>3.840207674326452E-2</v>
      </c>
      <c r="T3233" s="59">
        <f ca="1">Dashboard!C$8* Dashboard!$F$4+Dashboard!C$10*SQRT(Dashboard!$F$4) * _xlfn.NORM.S.INV(RAND())</f>
        <v>-1.0176695643110186E-3</v>
      </c>
      <c r="U3233" s="59">
        <f ca="1">Dashboard!D$8* Dashboard!$F$4+Dashboard!D$10*SQRT(Dashboard!$F$4) * _xlfn.NORM.S.INV(RAND())</f>
        <v>-1.5140122031652799E-2</v>
      </c>
    </row>
    <row r="3234" spans="18:21" x14ac:dyDescent="0.2">
      <c r="R3234" s="49">
        <v>3232</v>
      </c>
      <c r="S3234" s="59">
        <f ca="1">Dashboard!B$8* Dashboard!$F$4+Dashboard!B$10*SQRT(Dashboard!$F$4) * _xlfn.NORM.S.INV(RAND())</f>
        <v>-1.2313263391778585E-2</v>
      </c>
      <c r="T3234" s="59">
        <f ca="1">Dashboard!C$8* Dashboard!$F$4+Dashboard!C$10*SQRT(Dashboard!$F$4) * _xlfn.NORM.S.INV(RAND())</f>
        <v>6.0880031531556807E-3</v>
      </c>
      <c r="U3234" s="59">
        <f ca="1">Dashboard!D$8* Dashboard!$F$4+Dashboard!D$10*SQRT(Dashboard!$F$4) * _xlfn.NORM.S.INV(RAND())</f>
        <v>-4.70839669233609E-2</v>
      </c>
    </row>
    <row r="3235" spans="18:21" x14ac:dyDescent="0.2">
      <c r="R3235" s="49">
        <v>3233</v>
      </c>
      <c r="S3235" s="59">
        <f ca="1">Dashboard!B$8* Dashboard!$F$4+Dashboard!B$10*SQRT(Dashboard!$F$4) * _xlfn.NORM.S.INV(RAND())</f>
        <v>-9.2799241917751766E-4</v>
      </c>
      <c r="T3235" s="59">
        <f ca="1">Dashboard!C$8* Dashboard!$F$4+Dashboard!C$10*SQRT(Dashboard!$F$4) * _xlfn.NORM.S.INV(RAND())</f>
        <v>-2.4040319006832702E-2</v>
      </c>
      <c r="U3235" s="59">
        <f ca="1">Dashboard!D$8* Dashboard!$F$4+Dashboard!D$10*SQRT(Dashboard!$F$4) * _xlfn.NORM.S.INV(RAND())</f>
        <v>4.8048430333746074E-3</v>
      </c>
    </row>
    <row r="3236" spans="18:21" x14ac:dyDescent="0.2">
      <c r="R3236" s="49">
        <v>3234</v>
      </c>
      <c r="S3236" s="59">
        <f ca="1">Dashboard!B$8* Dashboard!$F$4+Dashboard!B$10*SQRT(Dashboard!$F$4) * _xlfn.NORM.S.INV(RAND())</f>
        <v>-5.0295988575112971E-2</v>
      </c>
      <c r="T3236" s="59">
        <f ca="1">Dashboard!C$8* Dashboard!$F$4+Dashboard!C$10*SQRT(Dashboard!$F$4) * _xlfn.NORM.S.INV(RAND())</f>
        <v>-3.7688833329605027E-3</v>
      </c>
      <c r="U3236" s="59">
        <f ca="1">Dashboard!D$8* Dashboard!$F$4+Dashboard!D$10*SQRT(Dashboard!$F$4) * _xlfn.NORM.S.INV(RAND())</f>
        <v>2.3250336167680477E-2</v>
      </c>
    </row>
    <row r="3237" spans="18:21" x14ac:dyDescent="0.2">
      <c r="R3237" s="49">
        <v>3235</v>
      </c>
      <c r="S3237" s="59">
        <f ca="1">Dashboard!B$8* Dashboard!$F$4+Dashboard!B$10*SQRT(Dashboard!$F$4) * _xlfn.NORM.S.INV(RAND())</f>
        <v>-1.1052965257166522E-2</v>
      </c>
      <c r="T3237" s="59">
        <f ca="1">Dashboard!C$8* Dashboard!$F$4+Dashboard!C$10*SQRT(Dashboard!$F$4) * _xlfn.NORM.S.INV(RAND())</f>
        <v>-5.6012857374874271E-3</v>
      </c>
      <c r="U3237" s="59">
        <f ca="1">Dashboard!D$8* Dashboard!$F$4+Dashboard!D$10*SQRT(Dashboard!$F$4) * _xlfn.NORM.S.INV(RAND())</f>
        <v>-2.7716536286013484E-2</v>
      </c>
    </row>
    <row r="3238" spans="18:21" x14ac:dyDescent="0.2">
      <c r="R3238" s="49">
        <v>3236</v>
      </c>
      <c r="S3238" s="59">
        <f ca="1">Dashboard!B$8* Dashboard!$F$4+Dashboard!B$10*SQRT(Dashboard!$F$4) * _xlfn.NORM.S.INV(RAND())</f>
        <v>1.2878918280085775E-2</v>
      </c>
      <c r="T3238" s="59">
        <f ca="1">Dashboard!C$8* Dashboard!$F$4+Dashboard!C$10*SQRT(Dashboard!$F$4) * _xlfn.NORM.S.INV(RAND())</f>
        <v>5.9505092163639431E-2</v>
      </c>
      <c r="U3238" s="59">
        <f ca="1">Dashboard!D$8* Dashboard!$F$4+Dashboard!D$10*SQRT(Dashboard!$F$4) * _xlfn.NORM.S.INV(RAND())</f>
        <v>-3.5813478999766973E-2</v>
      </c>
    </row>
    <row r="3239" spans="18:21" x14ac:dyDescent="0.2">
      <c r="R3239" s="49">
        <v>3237</v>
      </c>
      <c r="S3239" s="59">
        <f ca="1">Dashboard!B$8* Dashboard!$F$4+Dashboard!B$10*SQRT(Dashboard!$F$4) * _xlfn.NORM.S.INV(RAND())</f>
        <v>-5.056192052764525E-2</v>
      </c>
      <c r="T3239" s="59">
        <f ca="1">Dashboard!C$8* Dashboard!$F$4+Dashboard!C$10*SQRT(Dashboard!$F$4) * _xlfn.NORM.S.INV(RAND())</f>
        <v>6.7731575055402199E-2</v>
      </c>
      <c r="U3239" s="59">
        <f ca="1">Dashboard!D$8* Dashboard!$F$4+Dashboard!D$10*SQRT(Dashboard!$F$4) * _xlfn.NORM.S.INV(RAND())</f>
        <v>-1.5165153577413116E-2</v>
      </c>
    </row>
    <row r="3240" spans="18:21" x14ac:dyDescent="0.2">
      <c r="R3240" s="49">
        <v>3238</v>
      </c>
      <c r="S3240" s="59">
        <f ca="1">Dashboard!B$8* Dashboard!$F$4+Dashboard!B$10*SQRT(Dashboard!$F$4) * _xlfn.NORM.S.INV(RAND())</f>
        <v>9.8413357963443165E-3</v>
      </c>
      <c r="T3240" s="59">
        <f ca="1">Dashboard!C$8* Dashboard!$F$4+Dashboard!C$10*SQRT(Dashboard!$F$4) * _xlfn.NORM.S.INV(RAND())</f>
        <v>2.2229700527394779E-2</v>
      </c>
      <c r="U3240" s="59">
        <f ca="1">Dashboard!D$8* Dashboard!$F$4+Dashboard!D$10*SQRT(Dashboard!$F$4) * _xlfn.NORM.S.INV(RAND())</f>
        <v>1.5428910546635076E-2</v>
      </c>
    </row>
    <row r="3241" spans="18:21" x14ac:dyDescent="0.2">
      <c r="R3241" s="49">
        <v>3239</v>
      </c>
      <c r="S3241" s="59">
        <f ca="1">Dashboard!B$8* Dashboard!$F$4+Dashboard!B$10*SQRT(Dashboard!$F$4) * _xlfn.NORM.S.INV(RAND())</f>
        <v>8.1662614281322599E-2</v>
      </c>
      <c r="T3241" s="59">
        <f ca="1">Dashboard!C$8* Dashboard!$F$4+Dashboard!C$10*SQRT(Dashboard!$F$4) * _xlfn.NORM.S.INV(RAND())</f>
        <v>6.5153133012249217E-2</v>
      </c>
      <c r="U3241" s="59">
        <f ca="1">Dashboard!D$8* Dashboard!$F$4+Dashboard!D$10*SQRT(Dashboard!$F$4) * _xlfn.NORM.S.INV(RAND())</f>
        <v>7.1910343427720166E-2</v>
      </c>
    </row>
    <row r="3242" spans="18:21" x14ac:dyDescent="0.2">
      <c r="R3242" s="49">
        <v>3240</v>
      </c>
      <c r="S3242" s="59">
        <f ca="1">Dashboard!B$8* Dashboard!$F$4+Dashboard!B$10*SQRT(Dashboard!$F$4) * _xlfn.NORM.S.INV(RAND())</f>
        <v>3.743072249067779E-2</v>
      </c>
      <c r="T3242" s="59">
        <f ca="1">Dashboard!C$8* Dashboard!$F$4+Dashboard!C$10*SQRT(Dashboard!$F$4) * _xlfn.NORM.S.INV(RAND())</f>
        <v>9.0431935168781633E-3</v>
      </c>
      <c r="U3242" s="59">
        <f ca="1">Dashboard!D$8* Dashboard!$F$4+Dashboard!D$10*SQRT(Dashboard!$F$4) * _xlfn.NORM.S.INV(RAND())</f>
        <v>5.961164348243899E-2</v>
      </c>
    </row>
    <row r="3243" spans="18:21" x14ac:dyDescent="0.2">
      <c r="R3243" s="49">
        <v>3241</v>
      </c>
      <c r="S3243" s="59">
        <f ca="1">Dashboard!B$8* Dashboard!$F$4+Dashboard!B$10*SQRT(Dashboard!$F$4) * _xlfn.NORM.S.INV(RAND())</f>
        <v>-7.5560442271713612E-3</v>
      </c>
      <c r="T3243" s="59">
        <f ca="1">Dashboard!C$8* Dashboard!$F$4+Dashboard!C$10*SQRT(Dashboard!$F$4) * _xlfn.NORM.S.INV(RAND())</f>
        <v>3.9699280696332766E-2</v>
      </c>
      <c r="U3243" s="59">
        <f ca="1">Dashboard!D$8* Dashboard!$F$4+Dashboard!D$10*SQRT(Dashboard!$F$4) * _xlfn.NORM.S.INV(RAND())</f>
        <v>-1.2512118618147915E-3</v>
      </c>
    </row>
    <row r="3244" spans="18:21" x14ac:dyDescent="0.2">
      <c r="R3244" s="49">
        <v>3242</v>
      </c>
      <c r="S3244" s="59">
        <f ca="1">Dashboard!B$8* Dashboard!$F$4+Dashboard!B$10*SQRT(Dashboard!$F$4) * _xlfn.NORM.S.INV(RAND())</f>
        <v>-8.4951773263816886E-3</v>
      </c>
      <c r="T3244" s="59">
        <f ca="1">Dashboard!C$8* Dashboard!$F$4+Dashboard!C$10*SQRT(Dashboard!$F$4) * _xlfn.NORM.S.INV(RAND())</f>
        <v>5.7805869574774293E-2</v>
      </c>
      <c r="U3244" s="59">
        <f ca="1">Dashboard!D$8* Dashboard!$F$4+Dashboard!D$10*SQRT(Dashboard!$F$4) * _xlfn.NORM.S.INV(RAND())</f>
        <v>-8.9225983118003515E-3</v>
      </c>
    </row>
    <row r="3245" spans="18:21" x14ac:dyDescent="0.2">
      <c r="R3245" s="49">
        <v>3243</v>
      </c>
      <c r="S3245" s="59">
        <f ca="1">Dashboard!B$8* Dashboard!$F$4+Dashboard!B$10*SQRT(Dashboard!$F$4) * _xlfn.NORM.S.INV(RAND())</f>
        <v>-2.7512706940010463E-2</v>
      </c>
      <c r="T3245" s="59">
        <f ca="1">Dashboard!C$8* Dashboard!$F$4+Dashboard!C$10*SQRT(Dashboard!$F$4) * _xlfn.NORM.S.INV(RAND())</f>
        <v>4.6592721305461826E-2</v>
      </c>
      <c r="U3245" s="59">
        <f ca="1">Dashboard!D$8* Dashboard!$F$4+Dashboard!D$10*SQRT(Dashboard!$F$4) * _xlfn.NORM.S.INV(RAND())</f>
        <v>4.4056210819269281E-3</v>
      </c>
    </row>
    <row r="3246" spans="18:21" x14ac:dyDescent="0.2">
      <c r="R3246" s="49">
        <v>3244</v>
      </c>
      <c r="S3246" s="59">
        <f ca="1">Dashboard!B$8* Dashboard!$F$4+Dashboard!B$10*SQRT(Dashboard!$F$4) * _xlfn.NORM.S.INV(RAND())</f>
        <v>-4.1136612036478976E-2</v>
      </c>
      <c r="T3246" s="59">
        <f ca="1">Dashboard!C$8* Dashboard!$F$4+Dashboard!C$10*SQRT(Dashboard!$F$4) * _xlfn.NORM.S.INV(RAND())</f>
        <v>-3.6529919334500241E-2</v>
      </c>
      <c r="U3246" s="59">
        <f ca="1">Dashboard!D$8* Dashboard!$F$4+Dashboard!D$10*SQRT(Dashboard!$F$4) * _xlfn.NORM.S.INV(RAND())</f>
        <v>1.2272332328365238E-2</v>
      </c>
    </row>
    <row r="3247" spans="18:21" x14ac:dyDescent="0.2">
      <c r="R3247" s="49">
        <v>3245</v>
      </c>
      <c r="S3247" s="59">
        <f ca="1">Dashboard!B$8* Dashboard!$F$4+Dashboard!B$10*SQRT(Dashboard!$F$4) * _xlfn.NORM.S.INV(RAND())</f>
        <v>-1.5450508839749952E-2</v>
      </c>
      <c r="T3247" s="59">
        <f ca="1">Dashboard!C$8* Dashboard!$F$4+Dashboard!C$10*SQRT(Dashboard!$F$4) * _xlfn.NORM.S.INV(RAND())</f>
        <v>4.3681920288111221E-2</v>
      </c>
      <c r="U3247" s="59">
        <f ca="1">Dashboard!D$8* Dashboard!$F$4+Dashboard!D$10*SQRT(Dashboard!$F$4) * _xlfn.NORM.S.INV(RAND())</f>
        <v>-2.2579643929540962E-2</v>
      </c>
    </row>
    <row r="3248" spans="18:21" x14ac:dyDescent="0.2">
      <c r="R3248" s="49">
        <v>3246</v>
      </c>
      <c r="S3248" s="59">
        <f ca="1">Dashboard!B$8* Dashboard!$F$4+Dashboard!B$10*SQRT(Dashboard!$F$4) * _xlfn.NORM.S.INV(RAND())</f>
        <v>-9.4351858182220756E-3</v>
      </c>
      <c r="T3248" s="59">
        <f ca="1">Dashboard!C$8* Dashboard!$F$4+Dashboard!C$10*SQRT(Dashboard!$F$4) * _xlfn.NORM.S.INV(RAND())</f>
        <v>4.7261433781057134E-2</v>
      </c>
      <c r="U3248" s="59">
        <f ca="1">Dashboard!D$8* Dashboard!$F$4+Dashboard!D$10*SQRT(Dashboard!$F$4) * _xlfn.NORM.S.INV(RAND())</f>
        <v>-7.7152287988097789E-3</v>
      </c>
    </row>
    <row r="3249" spans="18:21" x14ac:dyDescent="0.2">
      <c r="R3249" s="49">
        <v>3247</v>
      </c>
      <c r="S3249" s="59">
        <f ca="1">Dashboard!B$8* Dashboard!$F$4+Dashboard!B$10*SQRT(Dashboard!$F$4) * _xlfn.NORM.S.INV(RAND())</f>
        <v>-4.1134403001186384E-2</v>
      </c>
      <c r="T3249" s="59">
        <f ca="1">Dashboard!C$8* Dashboard!$F$4+Dashboard!C$10*SQRT(Dashboard!$F$4) * _xlfn.NORM.S.INV(RAND())</f>
        <v>-4.5023311105354971E-2</v>
      </c>
      <c r="U3249" s="59">
        <f ca="1">Dashboard!D$8* Dashboard!$F$4+Dashboard!D$10*SQRT(Dashboard!$F$4) * _xlfn.NORM.S.INV(RAND())</f>
        <v>3.4751137043853384E-3</v>
      </c>
    </row>
    <row r="3250" spans="18:21" x14ac:dyDescent="0.2">
      <c r="R3250" s="49">
        <v>3248</v>
      </c>
      <c r="S3250" s="59">
        <f ca="1">Dashboard!B$8* Dashboard!$F$4+Dashboard!B$10*SQRT(Dashboard!$F$4) * _xlfn.NORM.S.INV(RAND())</f>
        <v>7.3186048375964985E-3</v>
      </c>
      <c r="T3250" s="59">
        <f ca="1">Dashboard!C$8* Dashboard!$F$4+Dashboard!C$10*SQRT(Dashboard!$F$4) * _xlfn.NORM.S.INV(RAND())</f>
        <v>-5.64288558003703E-3</v>
      </c>
      <c r="U3250" s="59">
        <f ca="1">Dashboard!D$8* Dashboard!$F$4+Dashboard!D$10*SQRT(Dashboard!$F$4) * _xlfn.NORM.S.INV(RAND())</f>
        <v>-1.9450481270119484E-2</v>
      </c>
    </row>
    <row r="3251" spans="18:21" x14ac:dyDescent="0.2">
      <c r="R3251" s="49">
        <v>3249</v>
      </c>
      <c r="S3251" s="59">
        <f ca="1">Dashboard!B$8* Dashboard!$F$4+Dashboard!B$10*SQRT(Dashboard!$F$4) * _xlfn.NORM.S.INV(RAND())</f>
        <v>1.3750555320689016E-2</v>
      </c>
      <c r="T3251" s="59">
        <f ca="1">Dashboard!C$8* Dashboard!$F$4+Dashboard!C$10*SQRT(Dashboard!$F$4) * _xlfn.NORM.S.INV(RAND())</f>
        <v>-2.6977072043609721E-2</v>
      </c>
      <c r="U3251" s="59">
        <f ca="1">Dashboard!D$8* Dashboard!$F$4+Dashboard!D$10*SQRT(Dashboard!$F$4) * _xlfn.NORM.S.INV(RAND())</f>
        <v>-1.2505005252639794E-2</v>
      </c>
    </row>
    <row r="3252" spans="18:21" x14ac:dyDescent="0.2">
      <c r="R3252" s="49">
        <v>3250</v>
      </c>
      <c r="S3252" s="59">
        <f ca="1">Dashboard!B$8* Dashboard!$F$4+Dashboard!B$10*SQRT(Dashboard!$F$4) * _xlfn.NORM.S.INV(RAND())</f>
        <v>-5.312254078467437E-2</v>
      </c>
      <c r="T3252" s="59">
        <f ca="1">Dashboard!C$8* Dashboard!$F$4+Dashboard!C$10*SQRT(Dashboard!$F$4) * _xlfn.NORM.S.INV(RAND())</f>
        <v>4.9942274331950386E-2</v>
      </c>
      <c r="U3252" s="59">
        <f ca="1">Dashboard!D$8* Dashboard!$F$4+Dashboard!D$10*SQRT(Dashboard!$F$4) * _xlfn.NORM.S.INV(RAND())</f>
        <v>2.5622768505996761E-4</v>
      </c>
    </row>
    <row r="3253" spans="18:21" x14ac:dyDescent="0.2">
      <c r="R3253" s="49">
        <v>3251</v>
      </c>
      <c r="S3253" s="59">
        <f ca="1">Dashboard!B$8* Dashboard!$F$4+Dashboard!B$10*SQRT(Dashboard!$F$4) * _xlfn.NORM.S.INV(RAND())</f>
        <v>-5.2111163523743597E-3</v>
      </c>
      <c r="T3253" s="59">
        <f ca="1">Dashboard!C$8* Dashboard!$F$4+Dashboard!C$10*SQRT(Dashboard!$F$4) * _xlfn.NORM.S.INV(RAND())</f>
        <v>1.3226647949947067E-2</v>
      </c>
      <c r="U3253" s="59">
        <f ca="1">Dashboard!D$8* Dashboard!$F$4+Dashboard!D$10*SQRT(Dashboard!$F$4) * _xlfn.NORM.S.INV(RAND())</f>
        <v>7.252497862344949E-2</v>
      </c>
    </row>
    <row r="3254" spans="18:21" x14ac:dyDescent="0.2">
      <c r="R3254" s="49">
        <v>3252</v>
      </c>
      <c r="S3254" s="59">
        <f ca="1">Dashboard!B$8* Dashboard!$F$4+Dashboard!B$10*SQRT(Dashboard!$F$4) * _xlfn.NORM.S.INV(RAND())</f>
        <v>-4.1756161075769682E-3</v>
      </c>
      <c r="T3254" s="59">
        <f ca="1">Dashboard!C$8* Dashboard!$F$4+Dashboard!C$10*SQRT(Dashboard!$F$4) * _xlfn.NORM.S.INV(RAND())</f>
        <v>6.1141170094398834E-3</v>
      </c>
      <c r="U3254" s="59">
        <f ca="1">Dashboard!D$8* Dashboard!$F$4+Dashboard!D$10*SQRT(Dashboard!$F$4) * _xlfn.NORM.S.INV(RAND())</f>
        <v>2.8762932477721274E-2</v>
      </c>
    </row>
    <row r="3255" spans="18:21" x14ac:dyDescent="0.2">
      <c r="R3255" s="49">
        <v>3253</v>
      </c>
      <c r="S3255" s="59">
        <f ca="1">Dashboard!B$8* Dashboard!$F$4+Dashboard!B$10*SQRT(Dashboard!$F$4) * _xlfn.NORM.S.INV(RAND())</f>
        <v>1.9565332216312598E-2</v>
      </c>
      <c r="T3255" s="59">
        <f ca="1">Dashboard!C$8* Dashboard!$F$4+Dashboard!C$10*SQRT(Dashboard!$F$4) * _xlfn.NORM.S.INV(RAND())</f>
        <v>6.5513047872611339E-3</v>
      </c>
      <c r="U3255" s="59">
        <f ca="1">Dashboard!D$8* Dashboard!$F$4+Dashboard!D$10*SQRT(Dashboard!$F$4) * _xlfn.NORM.S.INV(RAND())</f>
        <v>6.5103029265477369E-3</v>
      </c>
    </row>
    <row r="3256" spans="18:21" x14ac:dyDescent="0.2">
      <c r="R3256" s="49">
        <v>3254</v>
      </c>
      <c r="S3256" s="59">
        <f ca="1">Dashboard!B$8* Dashboard!$F$4+Dashboard!B$10*SQRT(Dashboard!$F$4) * _xlfn.NORM.S.INV(RAND())</f>
        <v>1.0103280276590519E-2</v>
      </c>
      <c r="T3256" s="59">
        <f ca="1">Dashboard!C$8* Dashboard!$F$4+Dashboard!C$10*SQRT(Dashboard!$F$4) * _xlfn.NORM.S.INV(RAND())</f>
        <v>-9.1417537762707016E-2</v>
      </c>
      <c r="U3256" s="59">
        <f ca="1">Dashboard!D$8* Dashboard!$F$4+Dashboard!D$10*SQRT(Dashboard!$F$4) * _xlfn.NORM.S.INV(RAND())</f>
        <v>1.9859569230156825E-2</v>
      </c>
    </row>
    <row r="3257" spans="18:21" x14ac:dyDescent="0.2">
      <c r="R3257" s="49">
        <v>3255</v>
      </c>
      <c r="S3257" s="59">
        <f ca="1">Dashboard!B$8* Dashboard!$F$4+Dashboard!B$10*SQRT(Dashboard!$F$4) * _xlfn.NORM.S.INV(RAND())</f>
        <v>-2.0074441108980906E-2</v>
      </c>
      <c r="T3257" s="59">
        <f ca="1">Dashboard!C$8* Dashboard!$F$4+Dashboard!C$10*SQRT(Dashboard!$F$4) * _xlfn.NORM.S.INV(RAND())</f>
        <v>-6.5659419335943837E-3</v>
      </c>
      <c r="U3257" s="59">
        <f ca="1">Dashboard!D$8* Dashboard!$F$4+Dashboard!D$10*SQRT(Dashboard!$F$4) * _xlfn.NORM.S.INV(RAND())</f>
        <v>-1.9170209145408585E-2</v>
      </c>
    </row>
    <row r="3258" spans="18:21" x14ac:dyDescent="0.2">
      <c r="R3258" s="49">
        <v>3256</v>
      </c>
      <c r="S3258" s="59">
        <f ca="1">Dashboard!B$8* Dashboard!$F$4+Dashboard!B$10*SQRT(Dashboard!$F$4) * _xlfn.NORM.S.INV(RAND())</f>
        <v>-1.2907039816503511E-2</v>
      </c>
      <c r="T3258" s="59">
        <f ca="1">Dashboard!C$8* Dashboard!$F$4+Dashboard!C$10*SQRT(Dashboard!$F$4) * _xlfn.NORM.S.INV(RAND())</f>
        <v>-2.2591829679903013E-2</v>
      </c>
      <c r="U3258" s="59">
        <f ca="1">Dashboard!D$8* Dashboard!$F$4+Dashboard!D$10*SQRT(Dashboard!$F$4) * _xlfn.NORM.S.INV(RAND())</f>
        <v>3.0570581064867479E-2</v>
      </c>
    </row>
    <row r="3259" spans="18:21" x14ac:dyDescent="0.2">
      <c r="R3259" s="49">
        <v>3257</v>
      </c>
      <c r="S3259" s="59">
        <f ca="1">Dashboard!B$8* Dashboard!$F$4+Dashboard!B$10*SQRT(Dashboard!$F$4) * _xlfn.NORM.S.INV(RAND())</f>
        <v>4.8096210947449133E-3</v>
      </c>
      <c r="T3259" s="59">
        <f ca="1">Dashboard!C$8* Dashboard!$F$4+Dashboard!C$10*SQRT(Dashboard!$F$4) * _xlfn.NORM.S.INV(RAND())</f>
        <v>-8.7048511771595748E-5</v>
      </c>
      <c r="U3259" s="59">
        <f ca="1">Dashboard!D$8* Dashboard!$F$4+Dashboard!D$10*SQRT(Dashboard!$F$4) * _xlfn.NORM.S.INV(RAND())</f>
        <v>-4.051754332675131E-2</v>
      </c>
    </row>
    <row r="3260" spans="18:21" x14ac:dyDescent="0.2">
      <c r="R3260" s="49">
        <v>3258</v>
      </c>
      <c r="S3260" s="59">
        <f ca="1">Dashboard!B$8* Dashboard!$F$4+Dashboard!B$10*SQRT(Dashboard!$F$4) * _xlfn.NORM.S.INV(RAND())</f>
        <v>1.4432135000472005E-2</v>
      </c>
      <c r="T3260" s="59">
        <f ca="1">Dashboard!C$8* Dashboard!$F$4+Dashboard!C$10*SQRT(Dashboard!$F$4) * _xlfn.NORM.S.INV(RAND())</f>
        <v>-1.4056892888574507E-2</v>
      </c>
      <c r="U3260" s="59">
        <f ca="1">Dashboard!D$8* Dashboard!$F$4+Dashboard!D$10*SQRT(Dashboard!$F$4) * _xlfn.NORM.S.INV(RAND())</f>
        <v>-1.2586315695752397E-2</v>
      </c>
    </row>
    <row r="3261" spans="18:21" x14ac:dyDescent="0.2">
      <c r="R3261" s="49">
        <v>3259</v>
      </c>
      <c r="S3261" s="59">
        <f ca="1">Dashboard!B$8* Dashboard!$F$4+Dashboard!B$10*SQRT(Dashboard!$F$4) * _xlfn.NORM.S.INV(RAND())</f>
        <v>-1.3508260652316689E-3</v>
      </c>
      <c r="T3261" s="59">
        <f ca="1">Dashboard!C$8* Dashboard!$F$4+Dashboard!C$10*SQRT(Dashboard!$F$4) * _xlfn.NORM.S.INV(RAND())</f>
        <v>6.4026250392524922E-2</v>
      </c>
      <c r="U3261" s="59">
        <f ca="1">Dashboard!D$8* Dashboard!$F$4+Dashboard!D$10*SQRT(Dashboard!$F$4) * _xlfn.NORM.S.INV(RAND())</f>
        <v>-1.1988517466752309E-2</v>
      </c>
    </row>
    <row r="3262" spans="18:21" x14ac:dyDescent="0.2">
      <c r="R3262" s="49">
        <v>3260</v>
      </c>
      <c r="S3262" s="59">
        <f ca="1">Dashboard!B$8* Dashboard!$F$4+Dashboard!B$10*SQRT(Dashboard!$F$4) * _xlfn.NORM.S.INV(RAND())</f>
        <v>6.074494585089335E-2</v>
      </c>
      <c r="T3262" s="59">
        <f ca="1">Dashboard!C$8* Dashboard!$F$4+Dashboard!C$10*SQRT(Dashboard!$F$4) * _xlfn.NORM.S.INV(RAND())</f>
        <v>3.3644038538416084E-2</v>
      </c>
      <c r="U3262" s="59">
        <f ca="1">Dashboard!D$8* Dashboard!$F$4+Dashboard!D$10*SQRT(Dashboard!$F$4) * _xlfn.NORM.S.INV(RAND())</f>
        <v>-6.2055011362278862E-3</v>
      </c>
    </row>
    <row r="3263" spans="18:21" x14ac:dyDescent="0.2">
      <c r="R3263" s="49">
        <v>3261</v>
      </c>
      <c r="S3263" s="59">
        <f ca="1">Dashboard!B$8* Dashboard!$F$4+Dashboard!B$10*SQRT(Dashboard!$F$4) * _xlfn.NORM.S.INV(RAND())</f>
        <v>-1.3868272416545434E-3</v>
      </c>
      <c r="T3263" s="59">
        <f ca="1">Dashboard!C$8* Dashboard!$F$4+Dashboard!C$10*SQRT(Dashboard!$F$4) * _xlfn.NORM.S.INV(RAND())</f>
        <v>-5.4997497510064055E-3</v>
      </c>
      <c r="U3263" s="59">
        <f ca="1">Dashboard!D$8* Dashboard!$F$4+Dashboard!D$10*SQRT(Dashboard!$F$4) * _xlfn.NORM.S.INV(RAND())</f>
        <v>-8.8371668491078106E-3</v>
      </c>
    </row>
    <row r="3264" spans="18:21" x14ac:dyDescent="0.2">
      <c r="R3264" s="49">
        <v>3262</v>
      </c>
      <c r="S3264" s="59">
        <f ca="1">Dashboard!B$8* Dashboard!$F$4+Dashboard!B$10*SQRT(Dashboard!$F$4) * _xlfn.NORM.S.INV(RAND())</f>
        <v>2.4519349457622575E-2</v>
      </c>
      <c r="T3264" s="59">
        <f ca="1">Dashboard!C$8* Dashboard!$F$4+Dashboard!C$10*SQRT(Dashboard!$F$4) * _xlfn.NORM.S.INV(RAND())</f>
        <v>-1.3385006831478554E-2</v>
      </c>
      <c r="U3264" s="59">
        <f ca="1">Dashboard!D$8* Dashboard!$F$4+Dashboard!D$10*SQRT(Dashboard!$F$4) * _xlfn.NORM.S.INV(RAND())</f>
        <v>1.5774524925515294E-2</v>
      </c>
    </row>
    <row r="3265" spans="18:21" x14ac:dyDescent="0.2">
      <c r="R3265" s="49">
        <v>3263</v>
      </c>
      <c r="S3265" s="59">
        <f ca="1">Dashboard!B$8* Dashboard!$F$4+Dashboard!B$10*SQRT(Dashboard!$F$4) * _xlfn.NORM.S.INV(RAND())</f>
        <v>-3.9135427906425496E-3</v>
      </c>
      <c r="T3265" s="59">
        <f ca="1">Dashboard!C$8* Dashboard!$F$4+Dashboard!C$10*SQRT(Dashboard!$F$4) * _xlfn.NORM.S.INV(RAND())</f>
        <v>-1.7381384255410061E-2</v>
      </c>
      <c r="U3265" s="59">
        <f ca="1">Dashboard!D$8* Dashboard!$F$4+Dashboard!D$10*SQRT(Dashboard!$F$4) * _xlfn.NORM.S.INV(RAND())</f>
        <v>2.4083782582552957E-3</v>
      </c>
    </row>
    <row r="3266" spans="18:21" x14ac:dyDescent="0.2">
      <c r="R3266" s="49">
        <v>3264</v>
      </c>
      <c r="S3266" s="59">
        <f ca="1">Dashboard!B$8* Dashboard!$F$4+Dashboard!B$10*SQRT(Dashboard!$F$4) * _xlfn.NORM.S.INV(RAND())</f>
        <v>-2.8202217844622235E-2</v>
      </c>
      <c r="T3266" s="59">
        <f ca="1">Dashboard!C$8* Dashboard!$F$4+Dashboard!C$10*SQRT(Dashboard!$F$4) * _xlfn.NORM.S.INV(RAND())</f>
        <v>1.0124248904000818E-2</v>
      </c>
      <c r="U3266" s="59">
        <f ca="1">Dashboard!D$8* Dashboard!$F$4+Dashboard!D$10*SQRT(Dashboard!$F$4) * _xlfn.NORM.S.INV(RAND())</f>
        <v>1.7838545467111777E-2</v>
      </c>
    </row>
    <row r="3267" spans="18:21" x14ac:dyDescent="0.2">
      <c r="R3267" s="49">
        <v>3265</v>
      </c>
      <c r="S3267" s="59">
        <f ca="1">Dashboard!B$8* Dashboard!$F$4+Dashboard!B$10*SQRT(Dashboard!$F$4) * _xlfn.NORM.S.INV(RAND())</f>
        <v>1.8361323359004256E-2</v>
      </c>
      <c r="T3267" s="59">
        <f ca="1">Dashboard!C$8* Dashboard!$F$4+Dashboard!C$10*SQRT(Dashboard!$F$4) * _xlfn.NORM.S.INV(RAND())</f>
        <v>1.5437541386434789E-2</v>
      </c>
      <c r="U3267" s="59">
        <f ca="1">Dashboard!D$8* Dashboard!$F$4+Dashboard!D$10*SQRT(Dashboard!$F$4) * _xlfn.NORM.S.INV(RAND())</f>
        <v>-3.8800305015559727E-2</v>
      </c>
    </row>
    <row r="3268" spans="18:21" x14ac:dyDescent="0.2">
      <c r="R3268" s="49">
        <v>3266</v>
      </c>
      <c r="S3268" s="59">
        <f ca="1">Dashboard!B$8* Dashboard!$F$4+Dashboard!B$10*SQRT(Dashboard!$F$4) * _xlfn.NORM.S.INV(RAND())</f>
        <v>-1.7792785169679998E-2</v>
      </c>
      <c r="T3268" s="59">
        <f ca="1">Dashboard!C$8* Dashboard!$F$4+Dashboard!C$10*SQRT(Dashboard!$F$4) * _xlfn.NORM.S.INV(RAND())</f>
        <v>-6.9737780045697239E-3</v>
      </c>
      <c r="U3268" s="59">
        <f ca="1">Dashboard!D$8* Dashboard!$F$4+Dashboard!D$10*SQRT(Dashboard!$F$4) * _xlfn.NORM.S.INV(RAND())</f>
        <v>-4.1368781056863951E-2</v>
      </c>
    </row>
    <row r="3269" spans="18:21" x14ac:dyDescent="0.2">
      <c r="R3269" s="49">
        <v>3267</v>
      </c>
      <c r="S3269" s="59">
        <f ca="1">Dashboard!B$8* Dashboard!$F$4+Dashboard!B$10*SQRT(Dashboard!$F$4) * _xlfn.NORM.S.INV(RAND())</f>
        <v>3.9944116416568261E-2</v>
      </c>
      <c r="T3269" s="59">
        <f ca="1">Dashboard!C$8* Dashboard!$F$4+Dashboard!C$10*SQRT(Dashboard!$F$4) * _xlfn.NORM.S.INV(RAND())</f>
        <v>-7.4974081291915842E-3</v>
      </c>
      <c r="U3269" s="59">
        <f ca="1">Dashboard!D$8* Dashboard!$F$4+Dashboard!D$10*SQRT(Dashboard!$F$4) * _xlfn.NORM.S.INV(RAND())</f>
        <v>1.3068808826077803E-2</v>
      </c>
    </row>
    <row r="3270" spans="18:21" x14ac:dyDescent="0.2">
      <c r="R3270" s="49">
        <v>3268</v>
      </c>
      <c r="S3270" s="59">
        <f ca="1">Dashboard!B$8* Dashboard!$F$4+Dashboard!B$10*SQRT(Dashboard!$F$4) * _xlfn.NORM.S.INV(RAND())</f>
        <v>2.9165970053459854E-2</v>
      </c>
      <c r="T3270" s="59">
        <f ca="1">Dashboard!C$8* Dashboard!$F$4+Dashboard!C$10*SQRT(Dashboard!$F$4) * _xlfn.NORM.S.INV(RAND())</f>
        <v>9.0959460864983299E-3</v>
      </c>
      <c r="U3270" s="59">
        <f ca="1">Dashboard!D$8* Dashboard!$F$4+Dashboard!D$10*SQRT(Dashboard!$F$4) * _xlfn.NORM.S.INV(RAND())</f>
        <v>-3.4486145176447144E-2</v>
      </c>
    </row>
    <row r="3271" spans="18:21" x14ac:dyDescent="0.2">
      <c r="R3271" s="49">
        <v>3269</v>
      </c>
      <c r="S3271" s="59">
        <f ca="1">Dashboard!B$8* Dashboard!$F$4+Dashboard!B$10*SQRT(Dashboard!$F$4) * _xlfn.NORM.S.INV(RAND())</f>
        <v>-5.6913188819933999E-2</v>
      </c>
      <c r="T3271" s="59">
        <f ca="1">Dashboard!C$8* Dashboard!$F$4+Dashboard!C$10*SQRT(Dashboard!$F$4) * _xlfn.NORM.S.INV(RAND())</f>
        <v>-4.2926493496378134E-3</v>
      </c>
      <c r="U3271" s="59">
        <f ca="1">Dashboard!D$8* Dashboard!$F$4+Dashboard!D$10*SQRT(Dashboard!$F$4) * _xlfn.NORM.S.INV(RAND())</f>
        <v>3.6993950992774867E-2</v>
      </c>
    </row>
    <row r="3272" spans="18:21" x14ac:dyDescent="0.2">
      <c r="R3272" s="49">
        <v>3270</v>
      </c>
      <c r="S3272" s="59">
        <f ca="1">Dashboard!B$8* Dashboard!$F$4+Dashboard!B$10*SQRT(Dashboard!$F$4) * _xlfn.NORM.S.INV(RAND())</f>
        <v>-4.6330323938833448E-2</v>
      </c>
      <c r="T3272" s="59">
        <f ca="1">Dashboard!C$8* Dashboard!$F$4+Dashboard!C$10*SQRT(Dashboard!$F$4) * _xlfn.NORM.S.INV(RAND())</f>
        <v>7.4980026880301694E-3</v>
      </c>
      <c r="U3272" s="59">
        <f ca="1">Dashboard!D$8* Dashboard!$F$4+Dashboard!D$10*SQRT(Dashboard!$F$4) * _xlfn.NORM.S.INV(RAND())</f>
        <v>-1.1825134576690806E-2</v>
      </c>
    </row>
    <row r="3273" spans="18:21" x14ac:dyDescent="0.2">
      <c r="R3273" s="49">
        <v>3271</v>
      </c>
      <c r="S3273" s="59">
        <f ca="1">Dashboard!B$8* Dashboard!$F$4+Dashboard!B$10*SQRT(Dashboard!$F$4) * _xlfn.NORM.S.INV(RAND())</f>
        <v>-3.111050161802722E-3</v>
      </c>
      <c r="T3273" s="59">
        <f ca="1">Dashboard!C$8* Dashboard!$F$4+Dashboard!C$10*SQRT(Dashboard!$F$4) * _xlfn.NORM.S.INV(RAND())</f>
        <v>1.6988947324911862E-2</v>
      </c>
      <c r="U3273" s="59">
        <f ca="1">Dashboard!D$8* Dashboard!$F$4+Dashboard!D$10*SQRT(Dashboard!$F$4) * _xlfn.NORM.S.INV(RAND())</f>
        <v>-9.9337023018901613E-3</v>
      </c>
    </row>
    <row r="3274" spans="18:21" x14ac:dyDescent="0.2">
      <c r="R3274" s="49">
        <v>3272</v>
      </c>
      <c r="S3274" s="59">
        <f ca="1">Dashboard!B$8* Dashboard!$F$4+Dashboard!B$10*SQRT(Dashboard!$F$4) * _xlfn.NORM.S.INV(RAND())</f>
        <v>2.7303364137755984E-2</v>
      </c>
      <c r="T3274" s="59">
        <f ca="1">Dashboard!C$8* Dashboard!$F$4+Dashboard!C$10*SQRT(Dashboard!$F$4) * _xlfn.NORM.S.INV(RAND())</f>
        <v>-5.7785518784860901E-3</v>
      </c>
      <c r="U3274" s="59">
        <f ca="1">Dashboard!D$8* Dashboard!$F$4+Dashboard!D$10*SQRT(Dashboard!$F$4) * _xlfn.NORM.S.INV(RAND())</f>
        <v>-2.9991850139438499E-2</v>
      </c>
    </row>
    <row r="3275" spans="18:21" x14ac:dyDescent="0.2">
      <c r="R3275" s="49">
        <v>3273</v>
      </c>
      <c r="S3275" s="59">
        <f ca="1">Dashboard!B$8* Dashboard!$F$4+Dashboard!B$10*SQRT(Dashboard!$F$4) * _xlfn.NORM.S.INV(RAND())</f>
        <v>5.0597479124007208E-2</v>
      </c>
      <c r="T3275" s="59">
        <f ca="1">Dashboard!C$8* Dashboard!$F$4+Dashboard!C$10*SQRT(Dashboard!$F$4) * _xlfn.NORM.S.INV(RAND())</f>
        <v>-3.625948773269428E-2</v>
      </c>
      <c r="U3275" s="59">
        <f ca="1">Dashboard!D$8* Dashboard!$F$4+Dashboard!D$10*SQRT(Dashboard!$F$4) * _xlfn.NORM.S.INV(RAND())</f>
        <v>4.7453212505117141E-4</v>
      </c>
    </row>
    <row r="3276" spans="18:21" x14ac:dyDescent="0.2">
      <c r="R3276" s="49">
        <v>3274</v>
      </c>
      <c r="S3276" s="59">
        <f ca="1">Dashboard!B$8* Dashboard!$F$4+Dashboard!B$10*SQRT(Dashboard!$F$4) * _xlfn.NORM.S.INV(RAND())</f>
        <v>2.8024634028591532E-2</v>
      </c>
      <c r="T3276" s="59">
        <f ca="1">Dashboard!C$8* Dashboard!$F$4+Dashboard!C$10*SQRT(Dashboard!$F$4) * _xlfn.NORM.S.INV(RAND())</f>
        <v>-3.3836191178772894E-2</v>
      </c>
      <c r="U3276" s="59">
        <f ca="1">Dashboard!D$8* Dashboard!$F$4+Dashboard!D$10*SQRT(Dashboard!$F$4) * _xlfn.NORM.S.INV(RAND())</f>
        <v>1.5963440925496016E-2</v>
      </c>
    </row>
    <row r="3277" spans="18:21" x14ac:dyDescent="0.2">
      <c r="R3277" s="49">
        <v>3275</v>
      </c>
      <c r="S3277" s="59">
        <f ca="1">Dashboard!B$8* Dashboard!$F$4+Dashboard!B$10*SQRT(Dashboard!$F$4) * _xlfn.NORM.S.INV(RAND())</f>
        <v>4.368792388312015E-2</v>
      </c>
      <c r="T3277" s="59">
        <f ca="1">Dashboard!C$8* Dashboard!$F$4+Dashboard!C$10*SQRT(Dashboard!$F$4) * _xlfn.NORM.S.INV(RAND())</f>
        <v>7.5839332683947672E-2</v>
      </c>
      <c r="U3277" s="59">
        <f ca="1">Dashboard!D$8* Dashboard!$F$4+Dashboard!D$10*SQRT(Dashboard!$F$4) * _xlfn.NORM.S.INV(RAND())</f>
        <v>-3.0287807237377423E-2</v>
      </c>
    </row>
    <row r="3278" spans="18:21" x14ac:dyDescent="0.2">
      <c r="R3278" s="49">
        <v>3276</v>
      </c>
      <c r="S3278" s="59">
        <f ca="1">Dashboard!B$8* Dashboard!$F$4+Dashboard!B$10*SQRT(Dashboard!$F$4) * _xlfn.NORM.S.INV(RAND())</f>
        <v>-3.81563720624453E-2</v>
      </c>
      <c r="T3278" s="59">
        <f ca="1">Dashboard!C$8* Dashboard!$F$4+Dashboard!C$10*SQRT(Dashboard!$F$4) * _xlfn.NORM.S.INV(RAND())</f>
        <v>1.3083970251152665E-2</v>
      </c>
      <c r="U3278" s="59">
        <f ca="1">Dashboard!D$8* Dashboard!$F$4+Dashboard!D$10*SQRT(Dashboard!$F$4) * _xlfn.NORM.S.INV(RAND())</f>
        <v>-1.8452805401491992E-2</v>
      </c>
    </row>
    <row r="3279" spans="18:21" x14ac:dyDescent="0.2">
      <c r="R3279" s="49">
        <v>3277</v>
      </c>
      <c r="S3279" s="59">
        <f ca="1">Dashboard!B$8* Dashboard!$F$4+Dashboard!B$10*SQRT(Dashboard!$F$4) * _xlfn.NORM.S.INV(RAND())</f>
        <v>-1.9805382575265894E-2</v>
      </c>
      <c r="T3279" s="59">
        <f ca="1">Dashboard!C$8* Dashboard!$F$4+Dashboard!C$10*SQRT(Dashboard!$F$4) * _xlfn.NORM.S.INV(RAND())</f>
        <v>2.6083022279108668E-2</v>
      </c>
      <c r="U3279" s="59">
        <f ca="1">Dashboard!D$8* Dashboard!$F$4+Dashboard!D$10*SQRT(Dashboard!$F$4) * _xlfn.NORM.S.INV(RAND())</f>
        <v>-3.6791412356641989E-2</v>
      </c>
    </row>
    <row r="3280" spans="18:21" x14ac:dyDescent="0.2">
      <c r="R3280" s="49">
        <v>3278</v>
      </c>
      <c r="S3280" s="59">
        <f ca="1">Dashboard!B$8* Dashboard!$F$4+Dashboard!B$10*SQRT(Dashboard!$F$4) * _xlfn.NORM.S.INV(RAND())</f>
        <v>-1.9459699881453591E-2</v>
      </c>
      <c r="T3280" s="59">
        <f ca="1">Dashboard!C$8* Dashboard!$F$4+Dashboard!C$10*SQRT(Dashboard!$F$4) * _xlfn.NORM.S.INV(RAND())</f>
        <v>-4.8675162624240501E-2</v>
      </c>
      <c r="U3280" s="59">
        <f ca="1">Dashboard!D$8* Dashboard!$F$4+Dashboard!D$10*SQRT(Dashboard!$F$4) * _xlfn.NORM.S.INV(RAND())</f>
        <v>-2.3854092229412996E-2</v>
      </c>
    </row>
    <row r="3281" spans="18:21" x14ac:dyDescent="0.2">
      <c r="R3281" s="49">
        <v>3279</v>
      </c>
      <c r="S3281" s="59">
        <f ca="1">Dashboard!B$8* Dashboard!$F$4+Dashboard!B$10*SQRT(Dashboard!$F$4) * _xlfn.NORM.S.INV(RAND())</f>
        <v>-9.4357766062792975E-3</v>
      </c>
      <c r="T3281" s="59">
        <f ca="1">Dashboard!C$8* Dashboard!$F$4+Dashboard!C$10*SQRT(Dashboard!$F$4) * _xlfn.NORM.S.INV(RAND())</f>
        <v>-2.5284737993275477E-2</v>
      </c>
      <c r="U3281" s="59">
        <f ca="1">Dashboard!D$8* Dashboard!$F$4+Dashboard!D$10*SQRT(Dashboard!$F$4) * _xlfn.NORM.S.INV(RAND())</f>
        <v>1.2333017464620047E-2</v>
      </c>
    </row>
    <row r="3282" spans="18:21" x14ac:dyDescent="0.2">
      <c r="R3282" s="49">
        <v>3280</v>
      </c>
      <c r="S3282" s="59">
        <f ca="1">Dashboard!B$8* Dashboard!$F$4+Dashboard!B$10*SQRT(Dashboard!$F$4) * _xlfn.NORM.S.INV(RAND())</f>
        <v>1.3048657969122907E-2</v>
      </c>
      <c r="T3282" s="59">
        <f ca="1">Dashboard!C$8* Dashboard!$F$4+Dashboard!C$10*SQRT(Dashboard!$F$4) * _xlfn.NORM.S.INV(RAND())</f>
        <v>-2.5852353576296384E-2</v>
      </c>
      <c r="U3282" s="59">
        <f ca="1">Dashboard!D$8* Dashboard!$F$4+Dashboard!D$10*SQRT(Dashboard!$F$4) * _xlfn.NORM.S.INV(RAND())</f>
        <v>4.8148878138192771E-3</v>
      </c>
    </row>
    <row r="3283" spans="18:21" x14ac:dyDescent="0.2">
      <c r="R3283" s="49">
        <v>3281</v>
      </c>
      <c r="S3283" s="59">
        <f ca="1">Dashboard!B$8* Dashboard!$F$4+Dashboard!B$10*SQRT(Dashboard!$F$4) * _xlfn.NORM.S.INV(RAND())</f>
        <v>-4.079605578979293E-2</v>
      </c>
      <c r="T3283" s="59">
        <f ca="1">Dashboard!C$8* Dashboard!$F$4+Dashboard!C$10*SQRT(Dashboard!$F$4) * _xlfn.NORM.S.INV(RAND())</f>
        <v>-4.0339437509780002E-2</v>
      </c>
      <c r="U3283" s="59">
        <f ca="1">Dashboard!D$8* Dashboard!$F$4+Dashboard!D$10*SQRT(Dashboard!$F$4) * _xlfn.NORM.S.INV(RAND())</f>
        <v>-1.9029185253954424E-2</v>
      </c>
    </row>
    <row r="3284" spans="18:21" x14ac:dyDescent="0.2">
      <c r="R3284" s="49">
        <v>3282</v>
      </c>
      <c r="S3284" s="59">
        <f ca="1">Dashboard!B$8* Dashboard!$F$4+Dashboard!B$10*SQRT(Dashboard!$F$4) * _xlfn.NORM.S.INV(RAND())</f>
        <v>-2.7366556024618717E-2</v>
      </c>
      <c r="T3284" s="59">
        <f ca="1">Dashboard!C$8* Dashboard!$F$4+Dashboard!C$10*SQRT(Dashboard!$F$4) * _xlfn.NORM.S.INV(RAND())</f>
        <v>2.9570488465250972E-2</v>
      </c>
      <c r="U3284" s="59">
        <f ca="1">Dashboard!D$8* Dashboard!$F$4+Dashboard!D$10*SQRT(Dashboard!$F$4) * _xlfn.NORM.S.INV(RAND())</f>
        <v>8.0674691103640242E-2</v>
      </c>
    </row>
    <row r="3285" spans="18:21" x14ac:dyDescent="0.2">
      <c r="R3285" s="49">
        <v>3283</v>
      </c>
      <c r="S3285" s="59">
        <f ca="1">Dashboard!B$8* Dashboard!$F$4+Dashboard!B$10*SQRT(Dashboard!$F$4) * _xlfn.NORM.S.INV(RAND())</f>
        <v>7.1805790776253656E-3</v>
      </c>
      <c r="T3285" s="59">
        <f ca="1">Dashboard!C$8* Dashboard!$F$4+Dashboard!C$10*SQRT(Dashboard!$F$4) * _xlfn.NORM.S.INV(RAND())</f>
        <v>8.2150271747948103E-2</v>
      </c>
      <c r="U3285" s="59">
        <f ca="1">Dashboard!D$8* Dashboard!$F$4+Dashboard!D$10*SQRT(Dashboard!$F$4) * _xlfn.NORM.S.INV(RAND())</f>
        <v>-1.9038219373838525E-2</v>
      </c>
    </row>
    <row r="3286" spans="18:21" x14ac:dyDescent="0.2">
      <c r="R3286" s="49">
        <v>3284</v>
      </c>
      <c r="S3286" s="59">
        <f ca="1">Dashboard!B$8* Dashboard!$F$4+Dashboard!B$10*SQRT(Dashboard!$F$4) * _xlfn.NORM.S.INV(RAND())</f>
        <v>-1.6035222410104091E-2</v>
      </c>
      <c r="T3286" s="59">
        <f ca="1">Dashboard!C$8* Dashboard!$F$4+Dashboard!C$10*SQRT(Dashboard!$F$4) * _xlfn.NORM.S.INV(RAND())</f>
        <v>3.1526941194060146E-2</v>
      </c>
      <c r="U3286" s="59">
        <f ca="1">Dashboard!D$8* Dashboard!$F$4+Dashboard!D$10*SQRT(Dashboard!$F$4) * _xlfn.NORM.S.INV(RAND())</f>
        <v>3.2122453374299462E-2</v>
      </c>
    </row>
    <row r="3287" spans="18:21" x14ac:dyDescent="0.2">
      <c r="R3287" s="49">
        <v>3285</v>
      </c>
      <c r="S3287" s="59">
        <f ca="1">Dashboard!B$8* Dashboard!$F$4+Dashboard!B$10*SQRT(Dashboard!$F$4) * _xlfn.NORM.S.INV(RAND())</f>
        <v>2.6667696895549108E-3</v>
      </c>
      <c r="T3287" s="59">
        <f ca="1">Dashboard!C$8* Dashboard!$F$4+Dashboard!C$10*SQRT(Dashboard!$F$4) * _xlfn.NORM.S.INV(RAND())</f>
        <v>-2.1763947993820629E-2</v>
      </c>
      <c r="U3287" s="59">
        <f ca="1">Dashboard!D$8* Dashboard!$F$4+Dashboard!D$10*SQRT(Dashboard!$F$4) * _xlfn.NORM.S.INV(RAND())</f>
        <v>-2.6944688707647955E-3</v>
      </c>
    </row>
    <row r="3288" spans="18:21" x14ac:dyDescent="0.2">
      <c r="R3288" s="49">
        <v>3286</v>
      </c>
      <c r="S3288" s="59">
        <f ca="1">Dashboard!B$8* Dashboard!$F$4+Dashboard!B$10*SQRT(Dashboard!$F$4) * _xlfn.NORM.S.INV(RAND())</f>
        <v>-4.063415357331461E-2</v>
      </c>
      <c r="T3288" s="59">
        <f ca="1">Dashboard!C$8* Dashboard!$F$4+Dashboard!C$10*SQRT(Dashboard!$F$4) * _xlfn.NORM.S.INV(RAND())</f>
        <v>1.8047676283603969E-2</v>
      </c>
      <c r="U3288" s="59">
        <f ca="1">Dashboard!D$8* Dashboard!$F$4+Dashboard!D$10*SQRT(Dashboard!$F$4) * _xlfn.NORM.S.INV(RAND())</f>
        <v>-4.593157136300422E-3</v>
      </c>
    </row>
    <row r="3289" spans="18:21" x14ac:dyDescent="0.2">
      <c r="R3289" s="49">
        <v>3287</v>
      </c>
      <c r="S3289" s="59">
        <f ca="1">Dashboard!B$8* Dashboard!$F$4+Dashboard!B$10*SQRT(Dashboard!$F$4) * _xlfn.NORM.S.INV(RAND())</f>
        <v>-5.5926053675565281E-2</v>
      </c>
      <c r="T3289" s="59">
        <f ca="1">Dashboard!C$8* Dashboard!$F$4+Dashboard!C$10*SQRT(Dashboard!$F$4) * _xlfn.NORM.S.INV(RAND())</f>
        <v>1.639559264133186E-2</v>
      </c>
      <c r="U3289" s="59">
        <f ca="1">Dashboard!D$8* Dashboard!$F$4+Dashboard!D$10*SQRT(Dashboard!$F$4) * _xlfn.NORM.S.INV(RAND())</f>
        <v>5.9493149787216662E-2</v>
      </c>
    </row>
    <row r="3290" spans="18:21" x14ac:dyDescent="0.2">
      <c r="R3290" s="49">
        <v>3288</v>
      </c>
      <c r="S3290" s="59">
        <f ca="1">Dashboard!B$8* Dashboard!$F$4+Dashboard!B$10*SQRT(Dashboard!$F$4) * _xlfn.NORM.S.INV(RAND())</f>
        <v>-1.7540178298248187E-2</v>
      </c>
      <c r="T3290" s="59">
        <f ca="1">Dashboard!C$8* Dashboard!$F$4+Dashboard!C$10*SQRT(Dashboard!$F$4) * _xlfn.NORM.S.INV(RAND())</f>
        <v>4.7882076053576986E-2</v>
      </c>
      <c r="U3290" s="59">
        <f ca="1">Dashboard!D$8* Dashboard!$F$4+Dashboard!D$10*SQRT(Dashboard!$F$4) * _xlfn.NORM.S.INV(RAND())</f>
        <v>7.1863881600860866E-2</v>
      </c>
    </row>
    <row r="3291" spans="18:21" x14ac:dyDescent="0.2">
      <c r="R3291" s="49">
        <v>3289</v>
      </c>
      <c r="S3291" s="59">
        <f ca="1">Dashboard!B$8* Dashboard!$F$4+Dashboard!B$10*SQRT(Dashboard!$F$4) * _xlfn.NORM.S.INV(RAND())</f>
        <v>-1.6034672190687698E-2</v>
      </c>
      <c r="T3291" s="59">
        <f ca="1">Dashboard!C$8* Dashboard!$F$4+Dashboard!C$10*SQRT(Dashboard!$F$4) * _xlfn.NORM.S.INV(RAND())</f>
        <v>-7.9288352408998092E-2</v>
      </c>
      <c r="U3291" s="59">
        <f ca="1">Dashboard!D$8* Dashboard!$F$4+Dashboard!D$10*SQRT(Dashboard!$F$4) * _xlfn.NORM.S.INV(RAND())</f>
        <v>1.6173595924155681E-2</v>
      </c>
    </row>
    <row r="3292" spans="18:21" x14ac:dyDescent="0.2">
      <c r="R3292" s="49">
        <v>3290</v>
      </c>
      <c r="S3292" s="59">
        <f ca="1">Dashboard!B$8* Dashboard!$F$4+Dashboard!B$10*SQRT(Dashboard!$F$4) * _xlfn.NORM.S.INV(RAND())</f>
        <v>3.8813781620206933E-2</v>
      </c>
      <c r="T3292" s="59">
        <f ca="1">Dashboard!C$8* Dashboard!$F$4+Dashboard!C$10*SQRT(Dashboard!$F$4) * _xlfn.NORM.S.INV(RAND())</f>
        <v>-4.883563862490308E-3</v>
      </c>
      <c r="U3292" s="59">
        <f ca="1">Dashboard!D$8* Dashboard!$F$4+Dashboard!D$10*SQRT(Dashboard!$F$4) * _xlfn.NORM.S.INV(RAND())</f>
        <v>6.3967565384048367E-2</v>
      </c>
    </row>
    <row r="3293" spans="18:21" x14ac:dyDescent="0.2">
      <c r="R3293" s="49">
        <v>3291</v>
      </c>
      <c r="S3293" s="59">
        <f ca="1">Dashboard!B$8* Dashboard!$F$4+Dashboard!B$10*SQRT(Dashboard!$F$4) * _xlfn.NORM.S.INV(RAND())</f>
        <v>1.1038002153456619E-2</v>
      </c>
      <c r="T3293" s="59">
        <f ca="1">Dashboard!C$8* Dashboard!$F$4+Dashboard!C$10*SQRT(Dashboard!$F$4) * _xlfn.NORM.S.INV(RAND())</f>
        <v>-2.6529700625731612E-2</v>
      </c>
      <c r="U3293" s="59">
        <f ca="1">Dashboard!D$8* Dashboard!$F$4+Dashboard!D$10*SQRT(Dashboard!$F$4) * _xlfn.NORM.S.INV(RAND())</f>
        <v>9.3583218047445533E-3</v>
      </c>
    </row>
    <row r="3294" spans="18:21" x14ac:dyDescent="0.2">
      <c r="R3294" s="49">
        <v>3292</v>
      </c>
      <c r="S3294" s="59">
        <f ca="1">Dashboard!B$8* Dashboard!$F$4+Dashboard!B$10*SQRT(Dashboard!$F$4) * _xlfn.NORM.S.INV(RAND())</f>
        <v>4.3141215734322377E-2</v>
      </c>
      <c r="T3294" s="59">
        <f ca="1">Dashboard!C$8* Dashboard!$F$4+Dashboard!C$10*SQRT(Dashboard!$F$4) * _xlfn.NORM.S.INV(RAND())</f>
        <v>3.9982885053209552E-3</v>
      </c>
      <c r="U3294" s="59">
        <f ca="1">Dashboard!D$8* Dashboard!$F$4+Dashboard!D$10*SQRT(Dashboard!$F$4) * _xlfn.NORM.S.INV(RAND())</f>
        <v>-4.1205337858083814E-2</v>
      </c>
    </row>
    <row r="3295" spans="18:21" x14ac:dyDescent="0.2">
      <c r="R3295" s="49">
        <v>3293</v>
      </c>
      <c r="S3295" s="59">
        <f ca="1">Dashboard!B$8* Dashboard!$F$4+Dashboard!B$10*SQRT(Dashboard!$F$4) * _xlfn.NORM.S.INV(RAND())</f>
        <v>1.0872947404580151E-2</v>
      </c>
      <c r="T3295" s="59">
        <f ca="1">Dashboard!C$8* Dashboard!$F$4+Dashboard!C$10*SQRT(Dashboard!$F$4) * _xlfn.NORM.S.INV(RAND())</f>
        <v>-9.913115960595964E-3</v>
      </c>
      <c r="U3295" s="59">
        <f ca="1">Dashboard!D$8* Dashboard!$F$4+Dashboard!D$10*SQRT(Dashboard!$F$4) * _xlfn.NORM.S.INV(RAND())</f>
        <v>-1.4795046687033079E-2</v>
      </c>
    </row>
    <row r="3296" spans="18:21" x14ac:dyDescent="0.2">
      <c r="R3296" s="49">
        <v>3294</v>
      </c>
      <c r="S3296" s="59">
        <f ca="1">Dashboard!B$8* Dashboard!$F$4+Dashboard!B$10*SQRT(Dashboard!$F$4) * _xlfn.NORM.S.INV(RAND())</f>
        <v>1.2866533647520087E-2</v>
      </c>
      <c r="T3296" s="59">
        <f ca="1">Dashboard!C$8* Dashboard!$F$4+Dashboard!C$10*SQRT(Dashboard!$F$4) * _xlfn.NORM.S.INV(RAND())</f>
        <v>-3.3721439752166876E-2</v>
      </c>
      <c r="U3296" s="59">
        <f ca="1">Dashboard!D$8* Dashboard!$F$4+Dashboard!D$10*SQRT(Dashboard!$F$4) * _xlfn.NORM.S.INV(RAND())</f>
        <v>2.9081936892294533E-2</v>
      </c>
    </row>
    <row r="3297" spans="18:21" x14ac:dyDescent="0.2">
      <c r="R3297" s="49">
        <v>3295</v>
      </c>
      <c r="S3297" s="59">
        <f ca="1">Dashboard!B$8* Dashboard!$F$4+Dashboard!B$10*SQRT(Dashboard!$F$4) * _xlfn.NORM.S.INV(RAND())</f>
        <v>-1.4986339241067235E-2</v>
      </c>
      <c r="T3297" s="59">
        <f ca="1">Dashboard!C$8* Dashboard!$F$4+Dashboard!C$10*SQRT(Dashboard!$F$4) * _xlfn.NORM.S.INV(RAND())</f>
        <v>5.7730381850221148E-2</v>
      </c>
      <c r="U3297" s="59">
        <f ca="1">Dashboard!D$8* Dashboard!$F$4+Dashboard!D$10*SQRT(Dashboard!$F$4) * _xlfn.NORM.S.INV(RAND())</f>
        <v>-2.5609735011560181E-2</v>
      </c>
    </row>
    <row r="3298" spans="18:21" x14ac:dyDescent="0.2">
      <c r="R3298" s="49">
        <v>3296</v>
      </c>
      <c r="S3298" s="59">
        <f ca="1">Dashboard!B$8* Dashboard!$F$4+Dashboard!B$10*SQRT(Dashboard!$F$4) * _xlfn.NORM.S.INV(RAND())</f>
        <v>-9.4476309544278422E-2</v>
      </c>
      <c r="T3298" s="59">
        <f ca="1">Dashboard!C$8* Dashboard!$F$4+Dashboard!C$10*SQRT(Dashboard!$F$4) * _xlfn.NORM.S.INV(RAND())</f>
        <v>-1.038737518252399E-2</v>
      </c>
      <c r="U3298" s="59">
        <f ca="1">Dashboard!D$8* Dashboard!$F$4+Dashboard!D$10*SQRT(Dashboard!$F$4) * _xlfn.NORM.S.INV(RAND())</f>
        <v>-1.7233454060958459E-2</v>
      </c>
    </row>
    <row r="3299" spans="18:21" x14ac:dyDescent="0.2">
      <c r="R3299" s="49">
        <v>3297</v>
      </c>
      <c r="S3299" s="59">
        <f ca="1">Dashboard!B$8* Dashboard!$F$4+Dashboard!B$10*SQRT(Dashboard!$F$4) * _xlfn.NORM.S.INV(RAND())</f>
        <v>-2.6951244788751315E-3</v>
      </c>
      <c r="T3299" s="59">
        <f ca="1">Dashboard!C$8* Dashboard!$F$4+Dashboard!C$10*SQRT(Dashboard!$F$4) * _xlfn.NORM.S.INV(RAND())</f>
        <v>-4.0208385335546819E-2</v>
      </c>
      <c r="U3299" s="59">
        <f ca="1">Dashboard!D$8* Dashboard!$F$4+Dashboard!D$10*SQRT(Dashboard!$F$4) * _xlfn.NORM.S.INV(RAND())</f>
        <v>2.4234394565065875E-2</v>
      </c>
    </row>
    <row r="3300" spans="18:21" x14ac:dyDescent="0.2">
      <c r="R3300" s="49">
        <v>3298</v>
      </c>
      <c r="S3300" s="59">
        <f ca="1">Dashboard!B$8* Dashboard!$F$4+Dashboard!B$10*SQRT(Dashboard!$F$4) * _xlfn.NORM.S.INV(RAND())</f>
        <v>-1.7376816600364844E-2</v>
      </c>
      <c r="T3300" s="59">
        <f ca="1">Dashboard!C$8* Dashboard!$F$4+Dashboard!C$10*SQRT(Dashboard!$F$4) * _xlfn.NORM.S.INV(RAND())</f>
        <v>1.6777762300241486E-2</v>
      </c>
      <c r="U3300" s="59">
        <f ca="1">Dashboard!D$8* Dashboard!$F$4+Dashboard!D$10*SQRT(Dashboard!$F$4) * _xlfn.NORM.S.INV(RAND())</f>
        <v>-1.0826636047318374E-2</v>
      </c>
    </row>
    <row r="3301" spans="18:21" x14ac:dyDescent="0.2">
      <c r="R3301" s="49">
        <v>3299</v>
      </c>
      <c r="S3301" s="59">
        <f ca="1">Dashboard!B$8* Dashboard!$F$4+Dashboard!B$10*SQRT(Dashboard!$F$4) * _xlfn.NORM.S.INV(RAND())</f>
        <v>1.7141805818632276E-2</v>
      </c>
      <c r="T3301" s="59">
        <f ca="1">Dashboard!C$8* Dashboard!$F$4+Dashboard!C$10*SQRT(Dashboard!$F$4) * _xlfn.NORM.S.INV(RAND())</f>
        <v>-1.9901205156760974E-2</v>
      </c>
      <c r="U3301" s="59">
        <f ca="1">Dashboard!D$8* Dashboard!$F$4+Dashboard!D$10*SQRT(Dashboard!$F$4) * _xlfn.NORM.S.INV(RAND())</f>
        <v>2.1052157069350517E-2</v>
      </c>
    </row>
    <row r="3302" spans="18:21" x14ac:dyDescent="0.2">
      <c r="R3302" s="49">
        <v>3300</v>
      </c>
      <c r="S3302" s="59">
        <f ca="1">Dashboard!B$8* Dashboard!$F$4+Dashboard!B$10*SQRT(Dashboard!$F$4) * _xlfn.NORM.S.INV(RAND())</f>
        <v>-6.8078727426451385E-4</v>
      </c>
      <c r="T3302" s="59">
        <f ca="1">Dashboard!C$8* Dashboard!$F$4+Dashboard!C$10*SQRT(Dashboard!$F$4) * _xlfn.NORM.S.INV(RAND())</f>
        <v>-2.2100090391636552E-2</v>
      </c>
      <c r="U3302" s="59">
        <f ca="1">Dashboard!D$8* Dashboard!$F$4+Dashboard!D$10*SQRT(Dashboard!$F$4) * _xlfn.NORM.S.INV(RAND())</f>
        <v>-4.6222639617756849E-3</v>
      </c>
    </row>
    <row r="3303" spans="18:21" x14ac:dyDescent="0.2">
      <c r="R3303" s="49">
        <v>3301</v>
      </c>
      <c r="S3303" s="59">
        <f ca="1">Dashboard!B$8* Dashboard!$F$4+Dashboard!B$10*SQRT(Dashboard!$F$4) * _xlfn.NORM.S.INV(RAND())</f>
        <v>-1.6430441915861446E-2</v>
      </c>
      <c r="T3303" s="59">
        <f ca="1">Dashboard!C$8* Dashboard!$F$4+Dashboard!C$10*SQRT(Dashboard!$F$4) * _xlfn.NORM.S.INV(RAND())</f>
        <v>-1.2993379890345238E-2</v>
      </c>
      <c r="U3303" s="59">
        <f ca="1">Dashboard!D$8* Dashboard!$F$4+Dashboard!D$10*SQRT(Dashboard!$F$4) * _xlfn.NORM.S.INV(RAND())</f>
        <v>7.135232285875695E-2</v>
      </c>
    </row>
    <row r="3304" spans="18:21" x14ac:dyDescent="0.2">
      <c r="R3304" s="49">
        <v>3302</v>
      </c>
      <c r="S3304" s="59">
        <f ca="1">Dashboard!B$8* Dashboard!$F$4+Dashboard!B$10*SQRT(Dashboard!$F$4) * _xlfn.NORM.S.INV(RAND())</f>
        <v>3.1620242330713942E-2</v>
      </c>
      <c r="T3304" s="59">
        <f ca="1">Dashboard!C$8* Dashboard!$F$4+Dashboard!C$10*SQRT(Dashboard!$F$4) * _xlfn.NORM.S.INV(RAND())</f>
        <v>-1.8322582931889472E-2</v>
      </c>
      <c r="U3304" s="59">
        <f ca="1">Dashboard!D$8* Dashboard!$F$4+Dashboard!D$10*SQRT(Dashboard!$F$4) * _xlfn.NORM.S.INV(RAND())</f>
        <v>-1.8570062831233858E-2</v>
      </c>
    </row>
    <row r="3305" spans="18:21" x14ac:dyDescent="0.2">
      <c r="R3305" s="49">
        <v>3303</v>
      </c>
      <c r="S3305" s="59">
        <f ca="1">Dashboard!B$8* Dashboard!$F$4+Dashboard!B$10*SQRT(Dashboard!$F$4) * _xlfn.NORM.S.INV(RAND())</f>
        <v>2.3293973736178654E-3</v>
      </c>
      <c r="T3305" s="59">
        <f ca="1">Dashboard!C$8* Dashboard!$F$4+Dashboard!C$10*SQRT(Dashboard!$F$4) * _xlfn.NORM.S.INV(RAND())</f>
        <v>-1.0438540405989738E-2</v>
      </c>
      <c r="U3305" s="59">
        <f ca="1">Dashboard!D$8* Dashboard!$F$4+Dashboard!D$10*SQRT(Dashboard!$F$4) * _xlfn.NORM.S.INV(RAND())</f>
        <v>-2.0521057592537122E-2</v>
      </c>
    </row>
    <row r="3306" spans="18:21" x14ac:dyDescent="0.2">
      <c r="R3306" s="49">
        <v>3304</v>
      </c>
      <c r="S3306" s="59">
        <f ca="1">Dashboard!B$8* Dashboard!$F$4+Dashboard!B$10*SQRT(Dashboard!$F$4) * _xlfn.NORM.S.INV(RAND())</f>
        <v>3.5111014383883855E-3</v>
      </c>
      <c r="T3306" s="59">
        <f ca="1">Dashboard!C$8* Dashboard!$F$4+Dashboard!C$10*SQRT(Dashboard!$F$4) * _xlfn.NORM.S.INV(RAND())</f>
        <v>-1.3717000498661321E-2</v>
      </c>
      <c r="U3306" s="59">
        <f ca="1">Dashboard!D$8* Dashboard!$F$4+Dashboard!D$10*SQRT(Dashboard!$F$4) * _xlfn.NORM.S.INV(RAND())</f>
        <v>-1.1785388560137491E-2</v>
      </c>
    </row>
    <row r="3307" spans="18:21" x14ac:dyDescent="0.2">
      <c r="R3307" s="49">
        <v>3305</v>
      </c>
      <c r="S3307" s="59">
        <f ca="1">Dashboard!B$8* Dashboard!$F$4+Dashboard!B$10*SQRT(Dashboard!$F$4) * _xlfn.NORM.S.INV(RAND())</f>
        <v>3.4420003310676427E-2</v>
      </c>
      <c r="T3307" s="59">
        <f ca="1">Dashboard!C$8* Dashboard!$F$4+Dashboard!C$10*SQRT(Dashboard!$F$4) * _xlfn.NORM.S.INV(RAND())</f>
        <v>-4.4029762419519794E-2</v>
      </c>
      <c r="U3307" s="59">
        <f ca="1">Dashboard!D$8* Dashboard!$F$4+Dashboard!D$10*SQRT(Dashboard!$F$4) * _xlfn.NORM.S.INV(RAND())</f>
        <v>3.4828762464792169E-2</v>
      </c>
    </row>
    <row r="3308" spans="18:21" x14ac:dyDescent="0.2">
      <c r="R3308" s="49">
        <v>3306</v>
      </c>
      <c r="S3308" s="59">
        <f ca="1">Dashboard!B$8* Dashboard!$F$4+Dashboard!B$10*SQRT(Dashboard!$F$4) * _xlfn.NORM.S.INV(RAND())</f>
        <v>-3.8014255205482399E-2</v>
      </c>
      <c r="T3308" s="59">
        <f ca="1">Dashboard!C$8* Dashboard!$F$4+Dashboard!C$10*SQRT(Dashboard!$F$4) * _xlfn.NORM.S.INV(RAND())</f>
        <v>-4.284174496654327E-2</v>
      </c>
      <c r="U3308" s="59">
        <f ca="1">Dashboard!D$8* Dashboard!$F$4+Dashboard!D$10*SQRT(Dashboard!$F$4) * _xlfn.NORM.S.INV(RAND())</f>
        <v>-7.1740946097655798E-3</v>
      </c>
    </row>
    <row r="3309" spans="18:21" x14ac:dyDescent="0.2">
      <c r="R3309" s="49">
        <v>3307</v>
      </c>
      <c r="S3309" s="59">
        <f ca="1">Dashboard!B$8* Dashboard!$F$4+Dashboard!B$10*SQRT(Dashboard!$F$4) * _xlfn.NORM.S.INV(RAND())</f>
        <v>-8.5076800162447019E-3</v>
      </c>
      <c r="T3309" s="59">
        <f ca="1">Dashboard!C$8* Dashboard!$F$4+Dashboard!C$10*SQRT(Dashboard!$F$4) * _xlfn.NORM.S.INV(RAND())</f>
        <v>3.4157952478984177E-2</v>
      </c>
      <c r="U3309" s="59">
        <f ca="1">Dashboard!D$8* Dashboard!$F$4+Dashboard!D$10*SQRT(Dashboard!$F$4) * _xlfn.NORM.S.INV(RAND())</f>
        <v>-4.6302194426663685E-3</v>
      </c>
    </row>
    <row r="3310" spans="18:21" x14ac:dyDescent="0.2">
      <c r="R3310" s="49">
        <v>3308</v>
      </c>
      <c r="S3310" s="59">
        <f ca="1">Dashboard!B$8* Dashboard!$F$4+Dashboard!B$10*SQRT(Dashboard!$F$4) * _xlfn.NORM.S.INV(RAND())</f>
        <v>2.1877024389827679E-2</v>
      </c>
      <c r="T3310" s="59">
        <f ca="1">Dashboard!C$8* Dashboard!$F$4+Dashboard!C$10*SQRT(Dashboard!$F$4) * _xlfn.NORM.S.INV(RAND())</f>
        <v>2.4268996883058103E-2</v>
      </c>
      <c r="U3310" s="59">
        <f ca="1">Dashboard!D$8* Dashboard!$F$4+Dashboard!D$10*SQRT(Dashboard!$F$4) * _xlfn.NORM.S.INV(RAND())</f>
        <v>5.027592304383538E-2</v>
      </c>
    </row>
    <row r="3311" spans="18:21" x14ac:dyDescent="0.2">
      <c r="R3311" s="49">
        <v>3309</v>
      </c>
      <c r="S3311" s="59">
        <f ca="1">Dashboard!B$8* Dashboard!$F$4+Dashboard!B$10*SQRT(Dashboard!$F$4) * _xlfn.NORM.S.INV(RAND())</f>
        <v>1.9066576379493189E-2</v>
      </c>
      <c r="T3311" s="59">
        <f ca="1">Dashboard!C$8* Dashboard!$F$4+Dashboard!C$10*SQRT(Dashboard!$F$4) * _xlfn.NORM.S.INV(RAND())</f>
        <v>-5.3653087697604481E-3</v>
      </c>
      <c r="U3311" s="59">
        <f ca="1">Dashboard!D$8* Dashboard!$F$4+Dashboard!D$10*SQRT(Dashboard!$F$4) * _xlfn.NORM.S.INV(RAND())</f>
        <v>-1.0005055589935192E-2</v>
      </c>
    </row>
    <row r="3312" spans="18:21" x14ac:dyDescent="0.2">
      <c r="R3312" s="49">
        <v>3310</v>
      </c>
      <c r="S3312" s="59">
        <f ca="1">Dashboard!B$8* Dashboard!$F$4+Dashboard!B$10*SQRT(Dashboard!$F$4) * _xlfn.NORM.S.INV(RAND())</f>
        <v>-8.6795711887005956E-3</v>
      </c>
      <c r="T3312" s="59">
        <f ca="1">Dashboard!C$8* Dashboard!$F$4+Dashboard!C$10*SQRT(Dashboard!$F$4) * _xlfn.NORM.S.INV(RAND())</f>
        <v>-3.0130133440558527E-2</v>
      </c>
      <c r="U3312" s="59">
        <f ca="1">Dashboard!D$8* Dashboard!$F$4+Dashboard!D$10*SQRT(Dashboard!$F$4) * _xlfn.NORM.S.INV(RAND())</f>
        <v>5.0984321803175144E-2</v>
      </c>
    </row>
    <row r="3313" spans="18:21" x14ac:dyDescent="0.2">
      <c r="R3313" s="49">
        <v>3311</v>
      </c>
      <c r="S3313" s="59">
        <f ca="1">Dashboard!B$8* Dashboard!$F$4+Dashboard!B$10*SQRT(Dashboard!$F$4) * _xlfn.NORM.S.INV(RAND())</f>
        <v>-2.5685212857452837E-2</v>
      </c>
      <c r="T3313" s="59">
        <f ca="1">Dashboard!C$8* Dashboard!$F$4+Dashboard!C$10*SQRT(Dashboard!$F$4) * _xlfn.NORM.S.INV(RAND())</f>
        <v>7.0356966600140416E-2</v>
      </c>
      <c r="U3313" s="59">
        <f ca="1">Dashboard!D$8* Dashboard!$F$4+Dashboard!D$10*SQRT(Dashboard!$F$4) * _xlfn.NORM.S.INV(RAND())</f>
        <v>-8.8958838632290631E-3</v>
      </c>
    </row>
    <row r="3314" spans="18:21" x14ac:dyDescent="0.2">
      <c r="R3314" s="49">
        <v>3312</v>
      </c>
      <c r="S3314" s="59">
        <f ca="1">Dashboard!B$8* Dashboard!$F$4+Dashboard!B$10*SQRT(Dashboard!$F$4) * _xlfn.NORM.S.INV(RAND())</f>
        <v>-3.4836185612372915E-2</v>
      </c>
      <c r="T3314" s="59">
        <f ca="1">Dashboard!C$8* Dashboard!$F$4+Dashboard!C$10*SQRT(Dashboard!$F$4) * _xlfn.NORM.S.INV(RAND())</f>
        <v>-2.8757359902272083E-2</v>
      </c>
      <c r="U3314" s="59">
        <f ca="1">Dashboard!D$8* Dashboard!$F$4+Dashboard!D$10*SQRT(Dashboard!$F$4) * _xlfn.NORM.S.INV(RAND())</f>
        <v>-4.7658238525868243E-2</v>
      </c>
    </row>
    <row r="3315" spans="18:21" x14ac:dyDescent="0.2">
      <c r="R3315" s="49">
        <v>3313</v>
      </c>
      <c r="S3315" s="59">
        <f ca="1">Dashboard!B$8* Dashboard!$F$4+Dashboard!B$10*SQRT(Dashboard!$F$4) * _xlfn.NORM.S.INV(RAND())</f>
        <v>-4.0792414714923481E-2</v>
      </c>
      <c r="T3315" s="59">
        <f ca="1">Dashboard!C$8* Dashboard!$F$4+Dashboard!C$10*SQRT(Dashboard!$F$4) * _xlfn.NORM.S.INV(RAND())</f>
        <v>6.5566816460356767E-2</v>
      </c>
      <c r="U3315" s="59">
        <f ca="1">Dashboard!D$8* Dashboard!$F$4+Dashboard!D$10*SQRT(Dashboard!$F$4) * _xlfn.NORM.S.INV(RAND())</f>
        <v>1.8005085000182444E-3</v>
      </c>
    </row>
    <row r="3316" spans="18:21" x14ac:dyDescent="0.2">
      <c r="R3316" s="49">
        <v>3314</v>
      </c>
      <c r="S3316" s="59">
        <f ca="1">Dashboard!B$8* Dashboard!$F$4+Dashboard!B$10*SQRT(Dashboard!$F$4) * _xlfn.NORM.S.INV(RAND())</f>
        <v>-5.3958263826337826E-3</v>
      </c>
      <c r="T3316" s="59">
        <f ca="1">Dashboard!C$8* Dashboard!$F$4+Dashboard!C$10*SQRT(Dashboard!$F$4) * _xlfn.NORM.S.INV(RAND())</f>
        <v>4.2945371612439096E-2</v>
      </c>
      <c r="U3316" s="59">
        <f ca="1">Dashboard!D$8* Dashboard!$F$4+Dashboard!D$10*SQRT(Dashboard!$F$4) * _xlfn.NORM.S.INV(RAND())</f>
        <v>1.3329425627648704E-2</v>
      </c>
    </row>
    <row r="3317" spans="18:21" x14ac:dyDescent="0.2">
      <c r="R3317" s="49">
        <v>3315</v>
      </c>
      <c r="S3317" s="59">
        <f ca="1">Dashboard!B$8* Dashboard!$F$4+Dashboard!B$10*SQRT(Dashboard!$F$4) * _xlfn.NORM.S.INV(RAND())</f>
        <v>4.9997290206266407E-2</v>
      </c>
      <c r="T3317" s="59">
        <f ca="1">Dashboard!C$8* Dashboard!$F$4+Dashboard!C$10*SQRT(Dashboard!$F$4) * _xlfn.NORM.S.INV(RAND())</f>
        <v>3.2696251740304536E-2</v>
      </c>
      <c r="U3317" s="59">
        <f ca="1">Dashboard!D$8* Dashboard!$F$4+Dashboard!D$10*SQRT(Dashboard!$F$4) * _xlfn.NORM.S.INV(RAND())</f>
        <v>-7.9421137767814662E-3</v>
      </c>
    </row>
    <row r="3318" spans="18:21" x14ac:dyDescent="0.2">
      <c r="R3318" s="49">
        <v>3316</v>
      </c>
      <c r="S3318" s="59">
        <f ca="1">Dashboard!B$8* Dashboard!$F$4+Dashboard!B$10*SQRT(Dashboard!$F$4) * _xlfn.NORM.S.INV(RAND())</f>
        <v>-2.8312957078477384E-2</v>
      </c>
      <c r="T3318" s="59">
        <f ca="1">Dashboard!C$8* Dashboard!$F$4+Dashboard!C$10*SQRT(Dashboard!$F$4) * _xlfn.NORM.S.INV(RAND())</f>
        <v>8.6345509765916734E-2</v>
      </c>
      <c r="U3318" s="59">
        <f ca="1">Dashboard!D$8* Dashboard!$F$4+Dashboard!D$10*SQRT(Dashboard!$F$4) * _xlfn.NORM.S.INV(RAND())</f>
        <v>1.0562590309293459E-2</v>
      </c>
    </row>
    <row r="3319" spans="18:21" x14ac:dyDescent="0.2">
      <c r="R3319" s="49">
        <v>3317</v>
      </c>
      <c r="S3319" s="59">
        <f ca="1">Dashboard!B$8* Dashboard!$F$4+Dashboard!B$10*SQRT(Dashboard!$F$4) * _xlfn.NORM.S.INV(RAND())</f>
        <v>-3.0089286321087184E-2</v>
      </c>
      <c r="T3319" s="59">
        <f ca="1">Dashboard!C$8* Dashboard!$F$4+Dashboard!C$10*SQRT(Dashboard!$F$4) * _xlfn.NORM.S.INV(RAND())</f>
        <v>-1.3244650372356243E-2</v>
      </c>
      <c r="U3319" s="59">
        <f ca="1">Dashboard!D$8* Dashboard!$F$4+Dashboard!D$10*SQRT(Dashboard!$F$4) * _xlfn.NORM.S.INV(RAND())</f>
        <v>-2.1177772137346191E-2</v>
      </c>
    </row>
    <row r="3320" spans="18:21" x14ac:dyDescent="0.2">
      <c r="R3320" s="49">
        <v>3318</v>
      </c>
      <c r="S3320" s="59">
        <f ca="1">Dashboard!B$8* Dashboard!$F$4+Dashboard!B$10*SQRT(Dashboard!$F$4) * _xlfn.NORM.S.INV(RAND())</f>
        <v>-1.8876498866339388E-2</v>
      </c>
      <c r="T3320" s="59">
        <f ca="1">Dashboard!C$8* Dashboard!$F$4+Dashboard!C$10*SQRT(Dashboard!$F$4) * _xlfn.NORM.S.INV(RAND())</f>
        <v>-3.2851734520581766E-2</v>
      </c>
      <c r="U3320" s="59">
        <f ca="1">Dashboard!D$8* Dashboard!$F$4+Dashboard!D$10*SQRT(Dashboard!$F$4) * _xlfn.NORM.S.INV(RAND())</f>
        <v>-2.0850328334701101E-2</v>
      </c>
    </row>
    <row r="3321" spans="18:21" x14ac:dyDescent="0.2">
      <c r="R3321" s="49">
        <v>3319</v>
      </c>
      <c r="S3321" s="59">
        <f ca="1">Dashboard!B$8* Dashboard!$F$4+Dashboard!B$10*SQRT(Dashboard!$F$4) * _xlfn.NORM.S.INV(RAND())</f>
        <v>-2.7029689466672099E-2</v>
      </c>
      <c r="T3321" s="59">
        <f ca="1">Dashboard!C$8* Dashboard!$F$4+Dashboard!C$10*SQRT(Dashboard!$F$4) * _xlfn.NORM.S.INV(RAND())</f>
        <v>-2.0198634797995189E-3</v>
      </c>
      <c r="U3321" s="59">
        <f ca="1">Dashboard!D$8* Dashboard!$F$4+Dashboard!D$10*SQRT(Dashboard!$F$4) * _xlfn.NORM.S.INV(RAND())</f>
        <v>2.7278977952343911E-2</v>
      </c>
    </row>
    <row r="3322" spans="18:21" x14ac:dyDescent="0.2">
      <c r="R3322" s="49">
        <v>3320</v>
      </c>
      <c r="S3322" s="59">
        <f ca="1">Dashboard!B$8* Dashboard!$F$4+Dashboard!B$10*SQRT(Dashboard!$F$4) * _xlfn.NORM.S.INV(RAND())</f>
        <v>-3.6839194239057335E-2</v>
      </c>
      <c r="T3322" s="59">
        <f ca="1">Dashboard!C$8* Dashboard!$F$4+Dashboard!C$10*SQRT(Dashboard!$F$4) * _xlfn.NORM.S.INV(RAND())</f>
        <v>4.8059399421212352E-2</v>
      </c>
      <c r="U3322" s="59">
        <f ca="1">Dashboard!D$8* Dashboard!$F$4+Dashboard!D$10*SQRT(Dashboard!$F$4) * _xlfn.NORM.S.INV(RAND())</f>
        <v>2.0423387713618762E-2</v>
      </c>
    </row>
    <row r="3323" spans="18:21" x14ac:dyDescent="0.2">
      <c r="R3323" s="49">
        <v>3321</v>
      </c>
      <c r="S3323" s="59">
        <f ca="1">Dashboard!B$8* Dashboard!$F$4+Dashboard!B$10*SQRT(Dashboard!$F$4) * _xlfn.NORM.S.INV(RAND())</f>
        <v>1.5086648608979661E-2</v>
      </c>
      <c r="T3323" s="59">
        <f ca="1">Dashboard!C$8* Dashboard!$F$4+Dashboard!C$10*SQRT(Dashboard!$F$4) * _xlfn.NORM.S.INV(RAND())</f>
        <v>3.235635659016424E-2</v>
      </c>
      <c r="U3323" s="59">
        <f ca="1">Dashboard!D$8* Dashboard!$F$4+Dashboard!D$10*SQRT(Dashboard!$F$4) * _xlfn.NORM.S.INV(RAND())</f>
        <v>-1.1881692364011074E-2</v>
      </c>
    </row>
    <row r="3324" spans="18:21" x14ac:dyDescent="0.2">
      <c r="R3324" s="49">
        <v>3322</v>
      </c>
      <c r="S3324" s="59">
        <f ca="1">Dashboard!B$8* Dashboard!$F$4+Dashboard!B$10*SQRT(Dashboard!$F$4) * _xlfn.NORM.S.INV(RAND())</f>
        <v>1.3864114892346653E-2</v>
      </c>
      <c r="T3324" s="59">
        <f ca="1">Dashboard!C$8* Dashboard!$F$4+Dashboard!C$10*SQRT(Dashboard!$F$4) * _xlfn.NORM.S.INV(RAND())</f>
        <v>2.0671622467175858E-2</v>
      </c>
      <c r="U3324" s="59">
        <f ca="1">Dashboard!D$8* Dashboard!$F$4+Dashboard!D$10*SQRT(Dashboard!$F$4) * _xlfn.NORM.S.INV(RAND())</f>
        <v>-5.7274062848156906E-2</v>
      </c>
    </row>
    <row r="3325" spans="18:21" x14ac:dyDescent="0.2">
      <c r="R3325" s="49">
        <v>3323</v>
      </c>
      <c r="S3325" s="59">
        <f ca="1">Dashboard!B$8* Dashboard!$F$4+Dashboard!B$10*SQRT(Dashboard!$F$4) * _xlfn.NORM.S.INV(RAND())</f>
        <v>7.7931572512136178E-3</v>
      </c>
      <c r="T3325" s="59">
        <f ca="1">Dashboard!C$8* Dashboard!$F$4+Dashboard!C$10*SQRT(Dashboard!$F$4) * _xlfn.NORM.S.INV(RAND())</f>
        <v>-7.8517719593625135E-3</v>
      </c>
      <c r="U3325" s="59">
        <f ca="1">Dashboard!D$8* Dashboard!$F$4+Dashboard!D$10*SQRT(Dashboard!$F$4) * _xlfn.NORM.S.INV(RAND())</f>
        <v>3.7424528384705641E-3</v>
      </c>
    </row>
    <row r="3326" spans="18:21" x14ac:dyDescent="0.2">
      <c r="R3326" s="49">
        <v>3324</v>
      </c>
      <c r="S3326" s="59">
        <f ca="1">Dashboard!B$8* Dashboard!$F$4+Dashboard!B$10*SQRT(Dashboard!$F$4) * _xlfn.NORM.S.INV(RAND())</f>
        <v>3.6609180311552567E-2</v>
      </c>
      <c r="T3326" s="59">
        <f ca="1">Dashboard!C$8* Dashboard!$F$4+Dashboard!C$10*SQRT(Dashboard!$F$4) * _xlfn.NORM.S.INV(RAND())</f>
        <v>-5.7175539887616471E-2</v>
      </c>
      <c r="U3326" s="59">
        <f ca="1">Dashboard!D$8* Dashboard!$F$4+Dashboard!D$10*SQRT(Dashboard!$F$4) * _xlfn.NORM.S.INV(RAND())</f>
        <v>6.9630722485946456E-2</v>
      </c>
    </row>
    <row r="3327" spans="18:21" x14ac:dyDescent="0.2">
      <c r="R3327" s="49">
        <v>3325</v>
      </c>
      <c r="S3327" s="59">
        <f ca="1">Dashboard!B$8* Dashboard!$F$4+Dashboard!B$10*SQRT(Dashboard!$F$4) * _xlfn.NORM.S.INV(RAND())</f>
        <v>-1.1515538790763748E-2</v>
      </c>
      <c r="T3327" s="59">
        <f ca="1">Dashboard!C$8* Dashboard!$F$4+Dashboard!C$10*SQRT(Dashboard!$F$4) * _xlfn.NORM.S.INV(RAND())</f>
        <v>-9.2398261919144579E-4</v>
      </c>
      <c r="U3327" s="59">
        <f ca="1">Dashboard!D$8* Dashboard!$F$4+Dashboard!D$10*SQRT(Dashboard!$F$4) * _xlfn.NORM.S.INV(RAND())</f>
        <v>4.7979874032619454E-2</v>
      </c>
    </row>
    <row r="3328" spans="18:21" x14ac:dyDescent="0.2">
      <c r="R3328" s="49">
        <v>3326</v>
      </c>
      <c r="S3328" s="59">
        <f ca="1">Dashboard!B$8* Dashboard!$F$4+Dashboard!B$10*SQRT(Dashboard!$F$4) * _xlfn.NORM.S.INV(RAND())</f>
        <v>4.7573689024507683E-3</v>
      </c>
      <c r="T3328" s="59">
        <f ca="1">Dashboard!C$8* Dashboard!$F$4+Dashboard!C$10*SQRT(Dashboard!$F$4) * _xlfn.NORM.S.INV(RAND())</f>
        <v>-3.267890171838074E-4</v>
      </c>
      <c r="U3328" s="59">
        <f ca="1">Dashboard!D$8* Dashboard!$F$4+Dashboard!D$10*SQRT(Dashboard!$F$4) * _xlfn.NORM.S.INV(RAND())</f>
        <v>3.8680198478355396E-2</v>
      </c>
    </row>
    <row r="3329" spans="18:21" x14ac:dyDescent="0.2">
      <c r="R3329" s="49">
        <v>3327</v>
      </c>
      <c r="S3329" s="59">
        <f ca="1">Dashboard!B$8* Dashboard!$F$4+Dashboard!B$10*SQRT(Dashboard!$F$4) * _xlfn.NORM.S.INV(RAND())</f>
        <v>2.8868528096830147E-3</v>
      </c>
      <c r="T3329" s="59">
        <f ca="1">Dashboard!C$8* Dashboard!$F$4+Dashboard!C$10*SQRT(Dashboard!$F$4) * _xlfn.NORM.S.INV(RAND())</f>
        <v>-1.4008946065103809E-2</v>
      </c>
      <c r="U3329" s="59">
        <f ca="1">Dashboard!D$8* Dashboard!$F$4+Dashboard!D$10*SQRT(Dashboard!$F$4) * _xlfn.NORM.S.INV(RAND())</f>
        <v>5.7289826018079873E-2</v>
      </c>
    </row>
    <row r="3330" spans="18:21" x14ac:dyDescent="0.2">
      <c r="R3330" s="49">
        <v>3328</v>
      </c>
      <c r="S3330" s="59">
        <f ca="1">Dashboard!B$8* Dashboard!$F$4+Dashboard!B$10*SQRT(Dashboard!$F$4) * _xlfn.NORM.S.INV(RAND())</f>
        <v>-3.7464925883430103E-2</v>
      </c>
      <c r="T3330" s="59">
        <f ca="1">Dashboard!C$8* Dashboard!$F$4+Dashboard!C$10*SQRT(Dashboard!$F$4) * _xlfn.NORM.S.INV(RAND())</f>
        <v>2.8459975911601924E-2</v>
      </c>
      <c r="U3330" s="59">
        <f ca="1">Dashboard!D$8* Dashboard!$F$4+Dashboard!D$10*SQRT(Dashboard!$F$4) * _xlfn.NORM.S.INV(RAND())</f>
        <v>1.8593224963632537E-2</v>
      </c>
    </row>
    <row r="3331" spans="18:21" x14ac:dyDescent="0.2">
      <c r="R3331" s="49">
        <v>3329</v>
      </c>
      <c r="S3331" s="59">
        <f ca="1">Dashboard!B$8* Dashboard!$F$4+Dashboard!B$10*SQRT(Dashboard!$F$4) * _xlfn.NORM.S.INV(RAND())</f>
        <v>2.9362489371868118E-2</v>
      </c>
      <c r="T3331" s="59">
        <f ca="1">Dashboard!C$8* Dashboard!$F$4+Dashboard!C$10*SQRT(Dashboard!$F$4) * _xlfn.NORM.S.INV(RAND())</f>
        <v>6.9374000189018278E-3</v>
      </c>
      <c r="U3331" s="59">
        <f ca="1">Dashboard!D$8* Dashboard!$F$4+Dashboard!D$10*SQRT(Dashboard!$F$4) * _xlfn.NORM.S.INV(RAND())</f>
        <v>-1.1544771909908385E-3</v>
      </c>
    </row>
    <row r="3332" spans="18:21" x14ac:dyDescent="0.2">
      <c r="R3332" s="49">
        <v>3330</v>
      </c>
      <c r="S3332" s="59">
        <f ca="1">Dashboard!B$8* Dashboard!$F$4+Dashboard!B$10*SQRT(Dashboard!$F$4) * _xlfn.NORM.S.INV(RAND())</f>
        <v>1.6934193107428448E-2</v>
      </c>
      <c r="T3332" s="59">
        <f ca="1">Dashboard!C$8* Dashboard!$F$4+Dashboard!C$10*SQRT(Dashboard!$F$4) * _xlfn.NORM.S.INV(RAND())</f>
        <v>6.4551592360176033E-3</v>
      </c>
      <c r="U3332" s="59">
        <f ca="1">Dashboard!D$8* Dashboard!$F$4+Dashboard!D$10*SQRT(Dashboard!$F$4) * _xlfn.NORM.S.INV(RAND())</f>
        <v>-2.4340982755060681E-2</v>
      </c>
    </row>
    <row r="3333" spans="18:21" x14ac:dyDescent="0.2">
      <c r="R3333" s="49">
        <v>3331</v>
      </c>
      <c r="S3333" s="59">
        <f ca="1">Dashboard!B$8* Dashboard!$F$4+Dashboard!B$10*SQRT(Dashboard!$F$4) * _xlfn.NORM.S.INV(RAND())</f>
        <v>8.8973859354836895E-3</v>
      </c>
      <c r="T3333" s="59">
        <f ca="1">Dashboard!C$8* Dashboard!$F$4+Dashboard!C$10*SQRT(Dashboard!$F$4) * _xlfn.NORM.S.INV(RAND())</f>
        <v>-4.497589755268961E-2</v>
      </c>
      <c r="U3333" s="59">
        <f ca="1">Dashboard!D$8* Dashboard!$F$4+Dashboard!D$10*SQRT(Dashboard!$F$4) * _xlfn.NORM.S.INV(RAND())</f>
        <v>-5.7775512763302755E-2</v>
      </c>
    </row>
    <row r="3334" spans="18:21" x14ac:dyDescent="0.2">
      <c r="R3334" s="49">
        <v>3332</v>
      </c>
      <c r="S3334" s="59">
        <f ca="1">Dashboard!B$8* Dashboard!$F$4+Dashboard!B$10*SQRT(Dashboard!$F$4) * _xlfn.NORM.S.INV(RAND())</f>
        <v>6.5301478592113285E-2</v>
      </c>
      <c r="T3334" s="59">
        <f ca="1">Dashboard!C$8* Dashboard!$F$4+Dashboard!C$10*SQRT(Dashboard!$F$4) * _xlfn.NORM.S.INV(RAND())</f>
        <v>-3.4902696054168007E-2</v>
      </c>
      <c r="U3334" s="59">
        <f ca="1">Dashboard!D$8* Dashboard!$F$4+Dashboard!D$10*SQRT(Dashboard!$F$4) * _xlfn.NORM.S.INV(RAND())</f>
        <v>-8.4455928439549806E-3</v>
      </c>
    </row>
    <row r="3335" spans="18:21" x14ac:dyDescent="0.2">
      <c r="R3335" s="49">
        <v>3333</v>
      </c>
      <c r="S3335" s="59">
        <f ca="1">Dashboard!B$8* Dashboard!$F$4+Dashboard!B$10*SQRT(Dashboard!$F$4) * _xlfn.NORM.S.INV(RAND())</f>
        <v>-2.4368414381503008E-2</v>
      </c>
      <c r="T3335" s="59">
        <f ca="1">Dashboard!C$8* Dashboard!$F$4+Dashboard!C$10*SQRT(Dashboard!$F$4) * _xlfn.NORM.S.INV(RAND())</f>
        <v>-1.8576203680333539E-2</v>
      </c>
      <c r="U3335" s="59">
        <f ca="1">Dashboard!D$8* Dashboard!$F$4+Dashboard!D$10*SQRT(Dashboard!$F$4) * _xlfn.NORM.S.INV(RAND())</f>
        <v>-7.499854800075932E-3</v>
      </c>
    </row>
    <row r="3336" spans="18:21" x14ac:dyDescent="0.2">
      <c r="R3336" s="49">
        <v>3334</v>
      </c>
      <c r="S3336" s="59">
        <f ca="1">Dashboard!B$8* Dashboard!$F$4+Dashboard!B$10*SQRT(Dashboard!$F$4) * _xlfn.NORM.S.INV(RAND())</f>
        <v>-2.0367076237627076E-2</v>
      </c>
      <c r="T3336" s="59">
        <f ca="1">Dashboard!C$8* Dashboard!$F$4+Dashboard!C$10*SQRT(Dashboard!$F$4) * _xlfn.NORM.S.INV(RAND())</f>
        <v>-2.0732876703575803E-2</v>
      </c>
      <c r="U3336" s="59">
        <f ca="1">Dashboard!D$8* Dashboard!$F$4+Dashboard!D$10*SQRT(Dashboard!$F$4) * _xlfn.NORM.S.INV(RAND())</f>
        <v>-4.5356937536156591E-2</v>
      </c>
    </row>
    <row r="3337" spans="18:21" x14ac:dyDescent="0.2">
      <c r="R3337" s="49">
        <v>3335</v>
      </c>
      <c r="S3337" s="59">
        <f ca="1">Dashboard!B$8* Dashboard!$F$4+Dashboard!B$10*SQRT(Dashboard!$F$4) * _xlfn.NORM.S.INV(RAND())</f>
        <v>3.195802674318033E-2</v>
      </c>
      <c r="T3337" s="59">
        <f ca="1">Dashboard!C$8* Dashboard!$F$4+Dashboard!C$10*SQRT(Dashboard!$F$4) * _xlfn.NORM.S.INV(RAND())</f>
        <v>-2.0523735493610078E-3</v>
      </c>
      <c r="U3337" s="59">
        <f ca="1">Dashboard!D$8* Dashboard!$F$4+Dashboard!D$10*SQRT(Dashboard!$F$4) * _xlfn.NORM.S.INV(RAND())</f>
        <v>-3.2196941310576564E-3</v>
      </c>
    </row>
    <row r="3338" spans="18:21" x14ac:dyDescent="0.2">
      <c r="R3338" s="49">
        <v>3336</v>
      </c>
      <c r="S3338" s="59">
        <f ca="1">Dashboard!B$8* Dashboard!$F$4+Dashboard!B$10*SQRT(Dashboard!$F$4) * _xlfn.NORM.S.INV(RAND())</f>
        <v>-1.4866384519132686E-2</v>
      </c>
      <c r="T3338" s="59">
        <f ca="1">Dashboard!C$8* Dashboard!$F$4+Dashboard!C$10*SQRT(Dashboard!$F$4) * _xlfn.NORM.S.INV(RAND())</f>
        <v>-2.8376639466878007E-2</v>
      </c>
      <c r="U3338" s="59">
        <f ca="1">Dashboard!D$8* Dashboard!$F$4+Dashboard!D$10*SQRT(Dashboard!$F$4) * _xlfn.NORM.S.INV(RAND())</f>
        <v>-7.3796140860955929E-3</v>
      </c>
    </row>
    <row r="3339" spans="18:21" x14ac:dyDescent="0.2">
      <c r="R3339" s="49">
        <v>3337</v>
      </c>
      <c r="S3339" s="59">
        <f ca="1">Dashboard!B$8* Dashboard!$F$4+Dashboard!B$10*SQRT(Dashboard!$F$4) * _xlfn.NORM.S.INV(RAND())</f>
        <v>4.1392752333468136E-3</v>
      </c>
      <c r="T3339" s="59">
        <f ca="1">Dashboard!C$8* Dashboard!$F$4+Dashboard!C$10*SQRT(Dashboard!$F$4) * _xlfn.NORM.S.INV(RAND())</f>
        <v>1.4329264235115251E-2</v>
      </c>
      <c r="U3339" s="59">
        <f ca="1">Dashboard!D$8* Dashboard!$F$4+Dashboard!D$10*SQRT(Dashboard!$F$4) * _xlfn.NORM.S.INV(RAND())</f>
        <v>4.9463160766289899E-2</v>
      </c>
    </row>
    <row r="3340" spans="18:21" x14ac:dyDescent="0.2">
      <c r="R3340" s="49">
        <v>3338</v>
      </c>
      <c r="S3340" s="59">
        <f ca="1">Dashboard!B$8* Dashboard!$F$4+Dashboard!B$10*SQRT(Dashboard!$F$4) * _xlfn.NORM.S.INV(RAND())</f>
        <v>-8.2783267455965454E-3</v>
      </c>
      <c r="T3340" s="59">
        <f ca="1">Dashboard!C$8* Dashboard!$F$4+Dashboard!C$10*SQRT(Dashboard!$F$4) * _xlfn.NORM.S.INV(RAND())</f>
        <v>1.2977698673633581E-3</v>
      </c>
      <c r="U3340" s="59">
        <f ca="1">Dashboard!D$8* Dashboard!$F$4+Dashboard!D$10*SQRT(Dashboard!$F$4) * _xlfn.NORM.S.INV(RAND())</f>
        <v>-8.7434208725270025E-4</v>
      </c>
    </row>
    <row r="3341" spans="18:21" x14ac:dyDescent="0.2">
      <c r="R3341" s="49">
        <v>3339</v>
      </c>
      <c r="S3341" s="59">
        <f ca="1">Dashboard!B$8* Dashboard!$F$4+Dashboard!B$10*SQRT(Dashboard!$F$4) * _xlfn.NORM.S.INV(RAND())</f>
        <v>-3.3347697761403686E-2</v>
      </c>
      <c r="T3341" s="59">
        <f ca="1">Dashboard!C$8* Dashboard!$F$4+Dashboard!C$10*SQRT(Dashboard!$F$4) * _xlfn.NORM.S.INV(RAND())</f>
        <v>3.6689704793833849E-2</v>
      </c>
      <c r="U3341" s="59">
        <f ca="1">Dashboard!D$8* Dashboard!$F$4+Dashboard!D$10*SQRT(Dashboard!$F$4) * _xlfn.NORM.S.INV(RAND())</f>
        <v>-5.9154545385276973E-2</v>
      </c>
    </row>
    <row r="3342" spans="18:21" x14ac:dyDescent="0.2">
      <c r="R3342" s="49">
        <v>3340</v>
      </c>
      <c r="S3342" s="59">
        <f ca="1">Dashboard!B$8* Dashboard!$F$4+Dashboard!B$10*SQRT(Dashboard!$F$4) * _xlfn.NORM.S.INV(RAND())</f>
        <v>-4.236909826918254E-3</v>
      </c>
      <c r="T3342" s="59">
        <f ca="1">Dashboard!C$8* Dashboard!$F$4+Dashboard!C$10*SQRT(Dashboard!$F$4) * _xlfn.NORM.S.INV(RAND())</f>
        <v>1.0544016498246964E-2</v>
      </c>
      <c r="U3342" s="59">
        <f ca="1">Dashboard!D$8* Dashboard!$F$4+Dashboard!D$10*SQRT(Dashboard!$F$4) * _xlfn.NORM.S.INV(RAND())</f>
        <v>-9.7755602711505109E-3</v>
      </c>
    </row>
    <row r="3343" spans="18:21" x14ac:dyDescent="0.2">
      <c r="R3343" s="49">
        <v>3341</v>
      </c>
      <c r="S3343" s="59">
        <f ca="1">Dashboard!B$8* Dashboard!$F$4+Dashboard!B$10*SQRT(Dashboard!$F$4) * _xlfn.NORM.S.INV(RAND())</f>
        <v>3.280044594864745E-2</v>
      </c>
      <c r="T3343" s="59">
        <f ca="1">Dashboard!C$8* Dashboard!$F$4+Dashboard!C$10*SQRT(Dashboard!$F$4) * _xlfn.NORM.S.INV(RAND())</f>
        <v>-2.2025883024791051E-2</v>
      </c>
      <c r="U3343" s="59">
        <f ca="1">Dashboard!D$8* Dashboard!$F$4+Dashboard!D$10*SQRT(Dashboard!$F$4) * _xlfn.NORM.S.INV(RAND())</f>
        <v>-3.7390654454840258E-2</v>
      </c>
    </row>
    <row r="3344" spans="18:21" x14ac:dyDescent="0.2">
      <c r="R3344" s="49">
        <v>3342</v>
      </c>
      <c r="S3344" s="59">
        <f ca="1">Dashboard!B$8* Dashboard!$F$4+Dashboard!B$10*SQRT(Dashboard!$F$4) * _xlfn.NORM.S.INV(RAND())</f>
        <v>-1.2294107222318129E-2</v>
      </c>
      <c r="T3344" s="59">
        <f ca="1">Dashboard!C$8* Dashboard!$F$4+Dashboard!C$10*SQRT(Dashboard!$F$4) * _xlfn.NORM.S.INV(RAND())</f>
        <v>4.8032448162188067E-2</v>
      </c>
      <c r="U3344" s="59">
        <f ca="1">Dashboard!D$8* Dashboard!$F$4+Dashboard!D$10*SQRT(Dashboard!$F$4) * _xlfn.NORM.S.INV(RAND())</f>
        <v>7.4812571115404399E-3</v>
      </c>
    </row>
    <row r="3345" spans="18:21" x14ac:dyDescent="0.2">
      <c r="R3345" s="49">
        <v>3343</v>
      </c>
      <c r="S3345" s="59">
        <f ca="1">Dashboard!B$8* Dashboard!$F$4+Dashboard!B$10*SQRT(Dashboard!$F$4) * _xlfn.NORM.S.INV(RAND())</f>
        <v>1.4291737187899918E-2</v>
      </c>
      <c r="T3345" s="59">
        <f ca="1">Dashboard!C$8* Dashboard!$F$4+Dashboard!C$10*SQRT(Dashboard!$F$4) * _xlfn.NORM.S.INV(RAND())</f>
        <v>8.6139295514157232E-3</v>
      </c>
      <c r="U3345" s="59">
        <f ca="1">Dashboard!D$8* Dashboard!$F$4+Dashboard!D$10*SQRT(Dashboard!$F$4) * _xlfn.NORM.S.INV(RAND())</f>
        <v>2.9450603991622425E-2</v>
      </c>
    </row>
    <row r="3346" spans="18:21" x14ac:dyDescent="0.2">
      <c r="R3346" s="49">
        <v>3344</v>
      </c>
      <c r="S3346" s="59">
        <f ca="1">Dashboard!B$8* Dashboard!$F$4+Dashboard!B$10*SQRT(Dashboard!$F$4) * _xlfn.NORM.S.INV(RAND())</f>
        <v>-9.0966560672729971E-2</v>
      </c>
      <c r="T3346" s="59">
        <f ca="1">Dashboard!C$8* Dashboard!$F$4+Dashboard!C$10*SQRT(Dashboard!$F$4) * _xlfn.NORM.S.INV(RAND())</f>
        <v>1.8782172250728868E-2</v>
      </c>
      <c r="U3346" s="59">
        <f ca="1">Dashboard!D$8* Dashboard!$F$4+Dashboard!D$10*SQRT(Dashboard!$F$4) * _xlfn.NORM.S.INV(RAND())</f>
        <v>9.4693857068243719E-3</v>
      </c>
    </row>
    <row r="3347" spans="18:21" x14ac:dyDescent="0.2">
      <c r="R3347" s="49">
        <v>3345</v>
      </c>
      <c r="S3347" s="59">
        <f ca="1">Dashboard!B$8* Dashboard!$F$4+Dashboard!B$10*SQRT(Dashboard!$F$4) * _xlfn.NORM.S.INV(RAND())</f>
        <v>-1.1991994017421879E-2</v>
      </c>
      <c r="T3347" s="59">
        <f ca="1">Dashboard!C$8* Dashboard!$F$4+Dashboard!C$10*SQRT(Dashboard!$F$4) * _xlfn.NORM.S.INV(RAND())</f>
        <v>-2.6690537575261603E-2</v>
      </c>
      <c r="U3347" s="59">
        <f ca="1">Dashboard!D$8* Dashboard!$F$4+Dashboard!D$10*SQRT(Dashboard!$F$4) * _xlfn.NORM.S.INV(RAND())</f>
        <v>1.9524319955660053E-2</v>
      </c>
    </row>
    <row r="3348" spans="18:21" x14ac:dyDescent="0.2">
      <c r="R3348" s="49">
        <v>3346</v>
      </c>
      <c r="S3348" s="59">
        <f ca="1">Dashboard!B$8* Dashboard!$F$4+Dashboard!B$10*SQRT(Dashboard!$F$4) * _xlfn.NORM.S.INV(RAND())</f>
        <v>9.6885440512132579E-3</v>
      </c>
      <c r="T3348" s="59">
        <f ca="1">Dashboard!C$8* Dashboard!$F$4+Dashboard!C$10*SQRT(Dashboard!$F$4) * _xlfn.NORM.S.INV(RAND())</f>
        <v>-2.8210055998070197E-2</v>
      </c>
      <c r="U3348" s="59">
        <f ca="1">Dashboard!D$8* Dashboard!$F$4+Dashboard!D$10*SQRT(Dashboard!$F$4) * _xlfn.NORM.S.INV(RAND())</f>
        <v>4.7940682306456157E-2</v>
      </c>
    </row>
    <row r="3349" spans="18:21" x14ac:dyDescent="0.2">
      <c r="R3349" s="49">
        <v>3347</v>
      </c>
      <c r="S3349" s="59">
        <f ca="1">Dashboard!B$8* Dashboard!$F$4+Dashboard!B$10*SQRT(Dashboard!$F$4) * _xlfn.NORM.S.INV(RAND())</f>
        <v>2.9193827054562083E-2</v>
      </c>
      <c r="T3349" s="59">
        <f ca="1">Dashboard!C$8* Dashboard!$F$4+Dashboard!C$10*SQRT(Dashboard!$F$4) * _xlfn.NORM.S.INV(RAND())</f>
        <v>3.2917514992599574E-2</v>
      </c>
      <c r="U3349" s="59">
        <f ca="1">Dashboard!D$8* Dashboard!$F$4+Dashboard!D$10*SQRT(Dashboard!$F$4) * _xlfn.NORM.S.INV(RAND())</f>
        <v>3.0477598057381886E-2</v>
      </c>
    </row>
    <row r="3350" spans="18:21" x14ac:dyDescent="0.2">
      <c r="R3350" s="49">
        <v>3348</v>
      </c>
      <c r="S3350" s="59">
        <f ca="1">Dashboard!B$8* Dashboard!$F$4+Dashboard!B$10*SQRT(Dashboard!$F$4) * _xlfn.NORM.S.INV(RAND())</f>
        <v>-1.0720985770504961E-2</v>
      </c>
      <c r="T3350" s="59">
        <f ca="1">Dashboard!C$8* Dashboard!$F$4+Dashboard!C$10*SQRT(Dashboard!$F$4) * _xlfn.NORM.S.INV(RAND())</f>
        <v>-4.7890782597494526E-2</v>
      </c>
      <c r="U3350" s="59">
        <f ca="1">Dashboard!D$8* Dashboard!$F$4+Dashboard!D$10*SQRT(Dashboard!$F$4) * _xlfn.NORM.S.INV(RAND())</f>
        <v>2.5078576807914612E-2</v>
      </c>
    </row>
    <row r="3351" spans="18:21" x14ac:dyDescent="0.2">
      <c r="R3351" s="49">
        <v>3349</v>
      </c>
      <c r="S3351" s="59">
        <f ca="1">Dashboard!B$8* Dashboard!$F$4+Dashboard!B$10*SQRT(Dashboard!$F$4) * _xlfn.NORM.S.INV(RAND())</f>
        <v>2.4204541051515642E-2</v>
      </c>
      <c r="T3351" s="59">
        <f ca="1">Dashboard!C$8* Dashboard!$F$4+Dashboard!C$10*SQRT(Dashboard!$F$4) * _xlfn.NORM.S.INV(RAND())</f>
        <v>1.3071173782751546E-2</v>
      </c>
      <c r="U3351" s="59">
        <f ca="1">Dashboard!D$8* Dashboard!$F$4+Dashboard!D$10*SQRT(Dashboard!$F$4) * _xlfn.NORM.S.INV(RAND())</f>
        <v>1.81328816525811E-2</v>
      </c>
    </row>
    <row r="3352" spans="18:21" x14ac:dyDescent="0.2">
      <c r="R3352" s="49">
        <v>3350</v>
      </c>
      <c r="S3352" s="59">
        <f ca="1">Dashboard!B$8* Dashboard!$F$4+Dashboard!B$10*SQRT(Dashboard!$F$4) * _xlfn.NORM.S.INV(RAND())</f>
        <v>-1.1402094761283365E-3</v>
      </c>
      <c r="T3352" s="59">
        <f ca="1">Dashboard!C$8* Dashboard!$F$4+Dashboard!C$10*SQRT(Dashboard!$F$4) * _xlfn.NORM.S.INV(RAND())</f>
        <v>4.795040203361698E-2</v>
      </c>
      <c r="U3352" s="59">
        <f ca="1">Dashboard!D$8* Dashboard!$F$4+Dashboard!D$10*SQRT(Dashboard!$F$4) * _xlfn.NORM.S.INV(RAND())</f>
        <v>1.4084288296483453E-2</v>
      </c>
    </row>
    <row r="3353" spans="18:21" x14ac:dyDescent="0.2">
      <c r="R3353" s="49">
        <v>3351</v>
      </c>
      <c r="S3353" s="59">
        <f ca="1">Dashboard!B$8* Dashboard!$F$4+Dashboard!B$10*SQRT(Dashboard!$F$4) * _xlfn.NORM.S.INV(RAND())</f>
        <v>6.8920172723088233E-3</v>
      </c>
      <c r="T3353" s="59">
        <f ca="1">Dashboard!C$8* Dashboard!$F$4+Dashboard!C$10*SQRT(Dashboard!$F$4) * _xlfn.NORM.S.INV(RAND())</f>
        <v>2.5946429788542391E-2</v>
      </c>
      <c r="U3353" s="59">
        <f ca="1">Dashboard!D$8* Dashboard!$F$4+Dashboard!D$10*SQRT(Dashboard!$F$4) * _xlfn.NORM.S.INV(RAND())</f>
        <v>2.3517928779122774E-2</v>
      </c>
    </row>
    <row r="3354" spans="18:21" x14ac:dyDescent="0.2">
      <c r="R3354" s="49">
        <v>3352</v>
      </c>
      <c r="S3354" s="59">
        <f ca="1">Dashboard!B$8* Dashboard!$F$4+Dashboard!B$10*SQRT(Dashboard!$F$4) * _xlfn.NORM.S.INV(RAND())</f>
        <v>3.4531475768503775E-3</v>
      </c>
      <c r="T3354" s="59">
        <f ca="1">Dashboard!C$8* Dashboard!$F$4+Dashboard!C$10*SQRT(Dashboard!$F$4) * _xlfn.NORM.S.INV(RAND())</f>
        <v>-1.1402539315824179E-2</v>
      </c>
      <c r="U3354" s="59">
        <f ca="1">Dashboard!D$8* Dashboard!$F$4+Dashboard!D$10*SQRT(Dashboard!$F$4) * _xlfn.NORM.S.INV(RAND())</f>
        <v>1.7605847532504878E-2</v>
      </c>
    </row>
    <row r="3355" spans="18:21" x14ac:dyDescent="0.2">
      <c r="R3355" s="49">
        <v>3353</v>
      </c>
      <c r="S3355" s="59">
        <f ca="1">Dashboard!B$8* Dashboard!$F$4+Dashboard!B$10*SQRT(Dashboard!$F$4) * _xlfn.NORM.S.INV(RAND())</f>
        <v>-5.5195615826795073E-2</v>
      </c>
      <c r="T3355" s="59">
        <f ca="1">Dashboard!C$8* Dashboard!$F$4+Dashboard!C$10*SQRT(Dashboard!$F$4) * _xlfn.NORM.S.INV(RAND())</f>
        <v>1.5758338677535288E-2</v>
      </c>
      <c r="U3355" s="59">
        <f ca="1">Dashboard!D$8* Dashboard!$F$4+Dashboard!D$10*SQRT(Dashboard!$F$4) * _xlfn.NORM.S.INV(RAND())</f>
        <v>4.5545602911970476E-2</v>
      </c>
    </row>
    <row r="3356" spans="18:21" x14ac:dyDescent="0.2">
      <c r="R3356" s="49">
        <v>3354</v>
      </c>
      <c r="S3356" s="59">
        <f ca="1">Dashboard!B$8* Dashboard!$F$4+Dashboard!B$10*SQRT(Dashboard!$F$4) * _xlfn.NORM.S.INV(RAND())</f>
        <v>-3.628544860325468E-4</v>
      </c>
      <c r="T3356" s="59">
        <f ca="1">Dashboard!C$8* Dashboard!$F$4+Dashboard!C$10*SQRT(Dashboard!$F$4) * _xlfn.NORM.S.INV(RAND())</f>
        <v>2.1909952255667588E-2</v>
      </c>
      <c r="U3356" s="59">
        <f ca="1">Dashboard!D$8* Dashboard!$F$4+Dashboard!D$10*SQRT(Dashboard!$F$4) * _xlfn.NORM.S.INV(RAND())</f>
        <v>3.9777370808777537E-2</v>
      </c>
    </row>
    <row r="3357" spans="18:21" x14ac:dyDescent="0.2">
      <c r="R3357" s="49">
        <v>3355</v>
      </c>
      <c r="S3357" s="59">
        <f ca="1">Dashboard!B$8* Dashboard!$F$4+Dashboard!B$10*SQRT(Dashboard!$F$4) * _xlfn.NORM.S.INV(RAND())</f>
        <v>1.5756275661006182E-3</v>
      </c>
      <c r="T3357" s="59">
        <f ca="1">Dashboard!C$8* Dashboard!$F$4+Dashboard!C$10*SQRT(Dashboard!$F$4) * _xlfn.NORM.S.INV(RAND())</f>
        <v>5.4351439278288456E-2</v>
      </c>
      <c r="U3357" s="59">
        <f ca="1">Dashboard!D$8* Dashboard!$F$4+Dashboard!D$10*SQRT(Dashboard!$F$4) * _xlfn.NORM.S.INV(RAND())</f>
        <v>-9.082889998780215E-3</v>
      </c>
    </row>
    <row r="3358" spans="18:21" x14ac:dyDescent="0.2">
      <c r="R3358" s="49">
        <v>3356</v>
      </c>
      <c r="S3358" s="59">
        <f ca="1">Dashboard!B$8* Dashboard!$F$4+Dashboard!B$10*SQRT(Dashboard!$F$4) * _xlfn.NORM.S.INV(RAND())</f>
        <v>-1.7117333977854789E-2</v>
      </c>
      <c r="T3358" s="59">
        <f ca="1">Dashboard!C$8* Dashboard!$F$4+Dashboard!C$10*SQRT(Dashboard!$F$4) * _xlfn.NORM.S.INV(RAND())</f>
        <v>1.7710465148852283E-4</v>
      </c>
      <c r="U3358" s="59">
        <f ca="1">Dashboard!D$8* Dashboard!$F$4+Dashboard!D$10*SQRT(Dashboard!$F$4) * _xlfn.NORM.S.INV(RAND())</f>
        <v>-7.6539243149091008E-3</v>
      </c>
    </row>
    <row r="3359" spans="18:21" x14ac:dyDescent="0.2">
      <c r="R3359" s="49">
        <v>3357</v>
      </c>
      <c r="S3359" s="59">
        <f ca="1">Dashboard!B$8* Dashboard!$F$4+Dashboard!B$10*SQRT(Dashboard!$F$4) * _xlfn.NORM.S.INV(RAND())</f>
        <v>-4.3318914907767327E-2</v>
      </c>
      <c r="T3359" s="59">
        <f ca="1">Dashboard!C$8* Dashboard!$F$4+Dashboard!C$10*SQRT(Dashboard!$F$4) * _xlfn.NORM.S.INV(RAND())</f>
        <v>-9.4405393886926661E-3</v>
      </c>
      <c r="U3359" s="59">
        <f ca="1">Dashboard!D$8* Dashboard!$F$4+Dashboard!D$10*SQRT(Dashboard!$F$4) * _xlfn.NORM.S.INV(RAND())</f>
        <v>1.3535161834199826E-2</v>
      </c>
    </row>
    <row r="3360" spans="18:21" x14ac:dyDescent="0.2">
      <c r="R3360" s="49">
        <v>3358</v>
      </c>
      <c r="S3360" s="59">
        <f ca="1">Dashboard!B$8* Dashboard!$F$4+Dashboard!B$10*SQRT(Dashboard!$F$4) * _xlfn.NORM.S.INV(RAND())</f>
        <v>3.1413865582403735E-2</v>
      </c>
      <c r="T3360" s="59">
        <f ca="1">Dashboard!C$8* Dashboard!$F$4+Dashboard!C$10*SQRT(Dashboard!$F$4) * _xlfn.NORM.S.INV(RAND())</f>
        <v>6.8229474364057251E-3</v>
      </c>
      <c r="U3360" s="59">
        <f ca="1">Dashboard!D$8* Dashboard!$F$4+Dashboard!D$10*SQRT(Dashboard!$F$4) * _xlfn.NORM.S.INV(RAND())</f>
        <v>-6.8102467458201019E-2</v>
      </c>
    </row>
    <row r="3361" spans="18:21" x14ac:dyDescent="0.2">
      <c r="R3361" s="49">
        <v>3359</v>
      </c>
      <c r="S3361" s="59">
        <f ca="1">Dashboard!B$8* Dashboard!$F$4+Dashboard!B$10*SQRT(Dashboard!$F$4) * _xlfn.NORM.S.INV(RAND())</f>
        <v>-1.9062414824641053E-2</v>
      </c>
      <c r="T3361" s="59">
        <f ca="1">Dashboard!C$8* Dashboard!$F$4+Dashboard!C$10*SQRT(Dashboard!$F$4) * _xlfn.NORM.S.INV(RAND())</f>
        <v>-1.9060858239597737E-3</v>
      </c>
      <c r="U3361" s="59">
        <f ca="1">Dashboard!D$8* Dashboard!$F$4+Dashboard!D$10*SQRT(Dashboard!$F$4) * _xlfn.NORM.S.INV(RAND())</f>
        <v>2.3041514789190178E-2</v>
      </c>
    </row>
    <row r="3362" spans="18:21" x14ac:dyDescent="0.2">
      <c r="R3362" s="49">
        <v>3360</v>
      </c>
      <c r="S3362" s="59">
        <f ca="1">Dashboard!B$8* Dashboard!$F$4+Dashboard!B$10*SQRT(Dashboard!$F$4) * _xlfn.NORM.S.INV(RAND())</f>
        <v>3.2160240681277322E-3</v>
      </c>
      <c r="T3362" s="59">
        <f ca="1">Dashboard!C$8* Dashboard!$F$4+Dashboard!C$10*SQRT(Dashboard!$F$4) * _xlfn.NORM.S.INV(RAND())</f>
        <v>5.4727267070791494E-2</v>
      </c>
      <c r="U3362" s="59">
        <f ca="1">Dashboard!D$8* Dashboard!$F$4+Dashboard!D$10*SQRT(Dashboard!$F$4) * _xlfn.NORM.S.INV(RAND())</f>
        <v>3.299415093628285E-2</v>
      </c>
    </row>
    <row r="3363" spans="18:21" x14ac:dyDescent="0.2">
      <c r="R3363" s="49">
        <v>3361</v>
      </c>
      <c r="S3363" s="59">
        <f ca="1">Dashboard!B$8* Dashboard!$F$4+Dashboard!B$10*SQRT(Dashboard!$F$4) * _xlfn.NORM.S.INV(RAND())</f>
        <v>5.9972465022651265E-3</v>
      </c>
      <c r="T3363" s="59">
        <f ca="1">Dashboard!C$8* Dashboard!$F$4+Dashboard!C$10*SQRT(Dashboard!$F$4) * _xlfn.NORM.S.INV(RAND())</f>
        <v>7.0890285379021561E-2</v>
      </c>
      <c r="U3363" s="59">
        <f ca="1">Dashboard!D$8* Dashboard!$F$4+Dashboard!D$10*SQRT(Dashboard!$F$4) * _xlfn.NORM.S.INV(RAND())</f>
        <v>1.4787390470667358E-2</v>
      </c>
    </row>
    <row r="3364" spans="18:21" x14ac:dyDescent="0.2">
      <c r="R3364" s="49">
        <v>3362</v>
      </c>
      <c r="S3364" s="59">
        <f ca="1">Dashboard!B$8* Dashboard!$F$4+Dashboard!B$10*SQRT(Dashboard!$F$4) * _xlfn.NORM.S.INV(RAND())</f>
        <v>1.5018466218493813E-2</v>
      </c>
      <c r="T3364" s="59">
        <f ca="1">Dashboard!C$8* Dashboard!$F$4+Dashboard!C$10*SQRT(Dashboard!$F$4) * _xlfn.NORM.S.INV(RAND())</f>
        <v>-3.9261824233174654E-2</v>
      </c>
      <c r="U3364" s="59">
        <f ca="1">Dashboard!D$8* Dashboard!$F$4+Dashboard!D$10*SQRT(Dashboard!$F$4) * _xlfn.NORM.S.INV(RAND())</f>
        <v>-6.1198230122783259E-3</v>
      </c>
    </row>
    <row r="3365" spans="18:21" x14ac:dyDescent="0.2">
      <c r="R3365" s="49">
        <v>3363</v>
      </c>
      <c r="S3365" s="59">
        <f ca="1">Dashboard!B$8* Dashboard!$F$4+Dashboard!B$10*SQRT(Dashboard!$F$4) * _xlfn.NORM.S.INV(RAND())</f>
        <v>-2.0179141894193488E-2</v>
      </c>
      <c r="T3365" s="59">
        <f ca="1">Dashboard!C$8* Dashboard!$F$4+Dashboard!C$10*SQRT(Dashboard!$F$4) * _xlfn.NORM.S.INV(RAND())</f>
        <v>6.4377921906917795E-2</v>
      </c>
      <c r="U3365" s="59">
        <f ca="1">Dashboard!D$8* Dashboard!$F$4+Dashboard!D$10*SQRT(Dashboard!$F$4) * _xlfn.NORM.S.INV(RAND())</f>
        <v>-2.6336627047437278E-2</v>
      </c>
    </row>
    <row r="3366" spans="18:21" x14ac:dyDescent="0.2">
      <c r="R3366" s="49">
        <v>3364</v>
      </c>
      <c r="S3366" s="59">
        <f ca="1">Dashboard!B$8* Dashboard!$F$4+Dashboard!B$10*SQRT(Dashboard!$F$4) * _xlfn.NORM.S.INV(RAND())</f>
        <v>-1.2287749400842927E-2</v>
      </c>
      <c r="T3366" s="59">
        <f ca="1">Dashboard!C$8* Dashboard!$F$4+Dashboard!C$10*SQRT(Dashboard!$F$4) * _xlfn.NORM.S.INV(RAND())</f>
        <v>2.3305820936369352E-2</v>
      </c>
      <c r="U3366" s="59">
        <f ca="1">Dashboard!D$8* Dashboard!$F$4+Dashboard!D$10*SQRT(Dashboard!$F$4) * _xlfn.NORM.S.INV(RAND())</f>
        <v>-6.5828607841604325E-2</v>
      </c>
    </row>
    <row r="3367" spans="18:21" x14ac:dyDescent="0.2">
      <c r="R3367" s="49">
        <v>3365</v>
      </c>
      <c r="S3367" s="59">
        <f ca="1">Dashboard!B$8* Dashboard!$F$4+Dashboard!B$10*SQRT(Dashboard!$F$4) * _xlfn.NORM.S.INV(RAND())</f>
        <v>-6.7678934839642602E-2</v>
      </c>
      <c r="T3367" s="59">
        <f ca="1">Dashboard!C$8* Dashboard!$F$4+Dashboard!C$10*SQRT(Dashboard!$F$4) * _xlfn.NORM.S.INV(RAND())</f>
        <v>1.5195106711632468E-2</v>
      </c>
      <c r="U3367" s="59">
        <f ca="1">Dashboard!D$8* Dashboard!$F$4+Dashboard!D$10*SQRT(Dashboard!$F$4) * _xlfn.NORM.S.INV(RAND())</f>
        <v>-1.1758049895375102E-2</v>
      </c>
    </row>
    <row r="3368" spans="18:21" x14ac:dyDescent="0.2">
      <c r="R3368" s="49">
        <v>3366</v>
      </c>
      <c r="S3368" s="59">
        <f ca="1">Dashboard!B$8* Dashboard!$F$4+Dashboard!B$10*SQRT(Dashboard!$F$4) * _xlfn.NORM.S.INV(RAND())</f>
        <v>-2.2912417970704403E-2</v>
      </c>
      <c r="T3368" s="59">
        <f ca="1">Dashboard!C$8* Dashboard!$F$4+Dashboard!C$10*SQRT(Dashboard!$F$4) * _xlfn.NORM.S.INV(RAND())</f>
        <v>1.3914414857585062E-2</v>
      </c>
      <c r="U3368" s="59">
        <f ca="1">Dashboard!D$8* Dashboard!$F$4+Dashboard!D$10*SQRT(Dashboard!$F$4) * _xlfn.NORM.S.INV(RAND())</f>
        <v>2.4470771756489672E-2</v>
      </c>
    </row>
    <row r="3369" spans="18:21" x14ac:dyDescent="0.2">
      <c r="R3369" s="49">
        <v>3367</v>
      </c>
      <c r="S3369" s="59">
        <f ca="1">Dashboard!B$8* Dashboard!$F$4+Dashboard!B$10*SQRT(Dashboard!$F$4) * _xlfn.NORM.S.INV(RAND())</f>
        <v>5.8871281870476223E-3</v>
      </c>
      <c r="T3369" s="59">
        <f ca="1">Dashboard!C$8* Dashboard!$F$4+Dashboard!C$10*SQRT(Dashboard!$F$4) * _xlfn.NORM.S.INV(RAND())</f>
        <v>1.6362682104569259E-3</v>
      </c>
      <c r="U3369" s="59">
        <f ca="1">Dashboard!D$8* Dashboard!$F$4+Dashboard!D$10*SQRT(Dashboard!$F$4) * _xlfn.NORM.S.INV(RAND())</f>
        <v>-2.284195101625637E-2</v>
      </c>
    </row>
    <row r="3370" spans="18:21" x14ac:dyDescent="0.2">
      <c r="R3370" s="49">
        <v>3368</v>
      </c>
      <c r="S3370" s="59">
        <f ca="1">Dashboard!B$8* Dashboard!$F$4+Dashboard!B$10*SQRT(Dashboard!$F$4) * _xlfn.NORM.S.INV(RAND())</f>
        <v>-2.1332677805099433E-2</v>
      </c>
      <c r="T3370" s="59">
        <f ca="1">Dashboard!C$8* Dashboard!$F$4+Dashboard!C$10*SQRT(Dashboard!$F$4) * _xlfn.NORM.S.INV(RAND())</f>
        <v>-3.3798199536489111E-2</v>
      </c>
      <c r="U3370" s="59">
        <f ca="1">Dashboard!D$8* Dashboard!$F$4+Dashboard!D$10*SQRT(Dashboard!$F$4) * _xlfn.NORM.S.INV(RAND())</f>
        <v>2.4372911891732615E-2</v>
      </c>
    </row>
    <row r="3371" spans="18:21" x14ac:dyDescent="0.2">
      <c r="R3371" s="49">
        <v>3369</v>
      </c>
      <c r="S3371" s="59">
        <f ca="1">Dashboard!B$8* Dashboard!$F$4+Dashboard!B$10*SQRT(Dashboard!$F$4) * _xlfn.NORM.S.INV(RAND())</f>
        <v>-2.5293944634200975E-2</v>
      </c>
      <c r="T3371" s="59">
        <f ca="1">Dashboard!C$8* Dashboard!$F$4+Dashboard!C$10*SQRT(Dashboard!$F$4) * _xlfn.NORM.S.INV(RAND())</f>
        <v>-2.356275625040408E-2</v>
      </c>
      <c r="U3371" s="59">
        <f ca="1">Dashboard!D$8* Dashboard!$F$4+Dashboard!D$10*SQRT(Dashboard!$F$4) * _xlfn.NORM.S.INV(RAND())</f>
        <v>6.5225447321075351E-3</v>
      </c>
    </row>
    <row r="3372" spans="18:21" x14ac:dyDescent="0.2">
      <c r="R3372" s="49">
        <v>3370</v>
      </c>
      <c r="S3372" s="59">
        <f ca="1">Dashboard!B$8* Dashboard!$F$4+Dashboard!B$10*SQRT(Dashboard!$F$4) * _xlfn.NORM.S.INV(RAND())</f>
        <v>3.7217710085095938E-2</v>
      </c>
      <c r="T3372" s="59">
        <f ca="1">Dashboard!C$8* Dashboard!$F$4+Dashboard!C$10*SQRT(Dashboard!$F$4) * _xlfn.NORM.S.INV(RAND())</f>
        <v>-1.3255359616289267E-2</v>
      </c>
      <c r="U3372" s="59">
        <f ca="1">Dashboard!D$8* Dashboard!$F$4+Dashboard!D$10*SQRT(Dashboard!$F$4) * _xlfn.NORM.S.INV(RAND())</f>
        <v>-3.8393645001114189E-3</v>
      </c>
    </row>
    <row r="3373" spans="18:21" x14ac:dyDescent="0.2">
      <c r="R3373" s="49">
        <v>3371</v>
      </c>
      <c r="S3373" s="59">
        <f ca="1">Dashboard!B$8* Dashboard!$F$4+Dashboard!B$10*SQRT(Dashboard!$F$4) * _xlfn.NORM.S.INV(RAND())</f>
        <v>4.7718087149977648E-2</v>
      </c>
      <c r="T3373" s="59">
        <f ca="1">Dashboard!C$8* Dashboard!$F$4+Dashboard!C$10*SQRT(Dashboard!$F$4) * _xlfn.NORM.S.INV(RAND())</f>
        <v>2.1304416191874231E-2</v>
      </c>
      <c r="U3373" s="59">
        <f ca="1">Dashboard!D$8* Dashboard!$F$4+Dashboard!D$10*SQRT(Dashboard!$F$4) * _xlfn.NORM.S.INV(RAND())</f>
        <v>-5.4632230035105709E-3</v>
      </c>
    </row>
    <row r="3374" spans="18:21" x14ac:dyDescent="0.2">
      <c r="R3374" s="49">
        <v>3372</v>
      </c>
      <c r="S3374" s="59">
        <f ca="1">Dashboard!B$8* Dashboard!$F$4+Dashboard!B$10*SQRT(Dashboard!$F$4) * _xlfn.NORM.S.INV(RAND())</f>
        <v>-3.0543482238486422E-2</v>
      </c>
      <c r="T3374" s="59">
        <f ca="1">Dashboard!C$8* Dashboard!$F$4+Dashboard!C$10*SQRT(Dashboard!$F$4) * _xlfn.NORM.S.INV(RAND())</f>
        <v>-2.5354940725322947E-2</v>
      </c>
      <c r="U3374" s="59">
        <f ca="1">Dashboard!D$8* Dashboard!$F$4+Dashboard!D$10*SQRT(Dashboard!$F$4) * _xlfn.NORM.S.INV(RAND())</f>
        <v>-8.901599875477428E-3</v>
      </c>
    </row>
    <row r="3375" spans="18:21" x14ac:dyDescent="0.2">
      <c r="R3375" s="49">
        <v>3373</v>
      </c>
      <c r="S3375" s="59">
        <f ca="1">Dashboard!B$8* Dashboard!$F$4+Dashboard!B$10*SQRT(Dashboard!$F$4) * _xlfn.NORM.S.INV(RAND())</f>
        <v>-4.7157305685565129E-2</v>
      </c>
      <c r="T3375" s="59">
        <f ca="1">Dashboard!C$8* Dashboard!$F$4+Dashboard!C$10*SQRT(Dashboard!$F$4) * _xlfn.NORM.S.INV(RAND())</f>
        <v>-1.3754721547814579E-2</v>
      </c>
      <c r="U3375" s="59">
        <f ca="1">Dashboard!D$8* Dashboard!$F$4+Dashboard!D$10*SQRT(Dashboard!$F$4) * _xlfn.NORM.S.INV(RAND())</f>
        <v>-8.804597958073683E-2</v>
      </c>
    </row>
    <row r="3376" spans="18:21" x14ac:dyDescent="0.2">
      <c r="R3376" s="49">
        <v>3374</v>
      </c>
      <c r="S3376" s="59">
        <f ca="1">Dashboard!B$8* Dashboard!$F$4+Dashboard!B$10*SQRT(Dashboard!$F$4) * _xlfn.NORM.S.INV(RAND())</f>
        <v>9.9710758856739867E-3</v>
      </c>
      <c r="T3376" s="59">
        <f ca="1">Dashboard!C$8* Dashboard!$F$4+Dashboard!C$10*SQRT(Dashboard!$F$4) * _xlfn.NORM.S.INV(RAND())</f>
        <v>2.8602070508321784E-2</v>
      </c>
      <c r="U3376" s="59">
        <f ca="1">Dashboard!D$8* Dashboard!$F$4+Dashboard!D$10*SQRT(Dashboard!$F$4) * _xlfn.NORM.S.INV(RAND())</f>
        <v>-2.0969847789814724E-2</v>
      </c>
    </row>
    <row r="3377" spans="18:21" x14ac:dyDescent="0.2">
      <c r="R3377" s="49">
        <v>3375</v>
      </c>
      <c r="S3377" s="59">
        <f ca="1">Dashboard!B$8* Dashboard!$F$4+Dashboard!B$10*SQRT(Dashboard!$F$4) * _xlfn.NORM.S.INV(RAND())</f>
        <v>-2.3569929034058183E-2</v>
      </c>
      <c r="T3377" s="59">
        <f ca="1">Dashboard!C$8* Dashboard!$F$4+Dashboard!C$10*SQRT(Dashboard!$F$4) * _xlfn.NORM.S.INV(RAND())</f>
        <v>-8.530521950223191E-3</v>
      </c>
      <c r="U3377" s="59">
        <f ca="1">Dashboard!D$8* Dashboard!$F$4+Dashboard!D$10*SQRT(Dashboard!$F$4) * _xlfn.NORM.S.INV(RAND())</f>
        <v>3.9135794565239017E-2</v>
      </c>
    </row>
    <row r="3378" spans="18:21" x14ac:dyDescent="0.2">
      <c r="R3378" s="49">
        <v>3376</v>
      </c>
      <c r="S3378" s="59">
        <f ca="1">Dashboard!B$8* Dashboard!$F$4+Dashboard!B$10*SQRT(Dashboard!$F$4) * _xlfn.NORM.S.INV(RAND())</f>
        <v>-2.9837487350966772E-2</v>
      </c>
      <c r="T3378" s="59">
        <f ca="1">Dashboard!C$8* Dashboard!$F$4+Dashboard!C$10*SQRT(Dashboard!$F$4) * _xlfn.NORM.S.INV(RAND())</f>
        <v>3.2214551782676827E-2</v>
      </c>
      <c r="U3378" s="59">
        <f ca="1">Dashboard!D$8* Dashboard!$F$4+Dashboard!D$10*SQRT(Dashboard!$F$4) * _xlfn.NORM.S.INV(RAND())</f>
        <v>4.0807651235583386E-2</v>
      </c>
    </row>
    <row r="3379" spans="18:21" x14ac:dyDescent="0.2">
      <c r="R3379" s="49">
        <v>3377</v>
      </c>
      <c r="S3379" s="59">
        <f ca="1">Dashboard!B$8* Dashboard!$F$4+Dashboard!B$10*SQRT(Dashboard!$F$4) * _xlfn.NORM.S.INV(RAND())</f>
        <v>-1.5294802026161583E-2</v>
      </c>
      <c r="T3379" s="59">
        <f ca="1">Dashboard!C$8* Dashboard!$F$4+Dashboard!C$10*SQRT(Dashboard!$F$4) * _xlfn.NORM.S.INV(RAND())</f>
        <v>-2.9957209132764905E-2</v>
      </c>
      <c r="U3379" s="59">
        <f ca="1">Dashboard!D$8* Dashboard!$F$4+Dashboard!D$10*SQRT(Dashboard!$F$4) * _xlfn.NORM.S.INV(RAND())</f>
        <v>-2.2686780376814805E-2</v>
      </c>
    </row>
    <row r="3380" spans="18:21" x14ac:dyDescent="0.2">
      <c r="R3380" s="49">
        <v>3378</v>
      </c>
      <c r="S3380" s="59">
        <f ca="1">Dashboard!B$8* Dashboard!$F$4+Dashboard!B$10*SQRT(Dashboard!$F$4) * _xlfn.NORM.S.INV(RAND())</f>
        <v>8.6931903837898627E-3</v>
      </c>
      <c r="T3380" s="59">
        <f ca="1">Dashboard!C$8* Dashboard!$F$4+Dashboard!C$10*SQRT(Dashboard!$F$4) * _xlfn.NORM.S.INV(RAND())</f>
        <v>6.5876379470845861E-2</v>
      </c>
      <c r="U3380" s="59">
        <f ca="1">Dashboard!D$8* Dashboard!$F$4+Dashboard!D$10*SQRT(Dashboard!$F$4) * _xlfn.NORM.S.INV(RAND())</f>
        <v>9.3455901114968612E-3</v>
      </c>
    </row>
    <row r="3381" spans="18:21" x14ac:dyDescent="0.2">
      <c r="R3381" s="49">
        <v>3379</v>
      </c>
      <c r="S3381" s="59">
        <f ca="1">Dashboard!B$8* Dashboard!$F$4+Dashboard!B$10*SQRT(Dashboard!$F$4) * _xlfn.NORM.S.INV(RAND())</f>
        <v>-2.2433616193725782E-2</v>
      </c>
      <c r="T3381" s="59">
        <f ca="1">Dashboard!C$8* Dashboard!$F$4+Dashboard!C$10*SQRT(Dashboard!$F$4) * _xlfn.NORM.S.INV(RAND())</f>
        <v>7.6269946143959723E-3</v>
      </c>
      <c r="U3381" s="59">
        <f ca="1">Dashboard!D$8* Dashboard!$F$4+Dashboard!D$10*SQRT(Dashboard!$F$4) * _xlfn.NORM.S.INV(RAND())</f>
        <v>-2.3966634151995032E-2</v>
      </c>
    </row>
    <row r="3382" spans="18:21" x14ac:dyDescent="0.2">
      <c r="R3382" s="49">
        <v>3380</v>
      </c>
      <c r="S3382" s="59">
        <f ca="1">Dashboard!B$8* Dashboard!$F$4+Dashboard!B$10*SQRT(Dashboard!$F$4) * _xlfn.NORM.S.INV(RAND())</f>
        <v>5.6367611429710078E-2</v>
      </c>
      <c r="T3382" s="59">
        <f ca="1">Dashboard!C$8* Dashboard!$F$4+Dashboard!C$10*SQRT(Dashboard!$F$4) * _xlfn.NORM.S.INV(RAND())</f>
        <v>4.3999068304216932E-2</v>
      </c>
      <c r="U3382" s="59">
        <f ca="1">Dashboard!D$8* Dashboard!$F$4+Dashboard!D$10*SQRT(Dashboard!$F$4) * _xlfn.NORM.S.INV(RAND())</f>
        <v>-1.5859120192478794E-2</v>
      </c>
    </row>
    <row r="3383" spans="18:21" x14ac:dyDescent="0.2">
      <c r="R3383" s="49">
        <v>3381</v>
      </c>
      <c r="S3383" s="59">
        <f ca="1">Dashboard!B$8* Dashboard!$F$4+Dashboard!B$10*SQRT(Dashboard!$F$4) * _xlfn.NORM.S.INV(RAND())</f>
        <v>-1.4287433183494031E-2</v>
      </c>
      <c r="T3383" s="59">
        <f ca="1">Dashboard!C$8* Dashboard!$F$4+Dashboard!C$10*SQRT(Dashboard!$F$4) * _xlfn.NORM.S.INV(RAND())</f>
        <v>-3.8751725904862089E-2</v>
      </c>
      <c r="U3383" s="59">
        <f ca="1">Dashboard!D$8* Dashboard!$F$4+Dashboard!D$10*SQRT(Dashboard!$F$4) * _xlfn.NORM.S.INV(RAND())</f>
        <v>-1.3944290420543626E-2</v>
      </c>
    </row>
    <row r="3384" spans="18:21" x14ac:dyDescent="0.2">
      <c r="R3384" s="49">
        <v>3382</v>
      </c>
      <c r="S3384" s="59">
        <f ca="1">Dashboard!B$8* Dashboard!$F$4+Dashboard!B$10*SQRT(Dashboard!$F$4) * _xlfn.NORM.S.INV(RAND())</f>
        <v>7.5281836618409214E-3</v>
      </c>
      <c r="T3384" s="59">
        <f ca="1">Dashboard!C$8* Dashboard!$F$4+Dashboard!C$10*SQRT(Dashboard!$F$4) * _xlfn.NORM.S.INV(RAND())</f>
        <v>7.0298596863250812E-3</v>
      </c>
      <c r="U3384" s="59">
        <f ca="1">Dashboard!D$8* Dashboard!$F$4+Dashboard!D$10*SQRT(Dashboard!$F$4) * _xlfn.NORM.S.INV(RAND())</f>
        <v>-9.0469252642928731E-3</v>
      </c>
    </row>
    <row r="3385" spans="18:21" x14ac:dyDescent="0.2">
      <c r="R3385" s="49">
        <v>3383</v>
      </c>
      <c r="S3385" s="59">
        <f ca="1">Dashboard!B$8* Dashboard!$F$4+Dashboard!B$10*SQRT(Dashboard!$F$4) * _xlfn.NORM.S.INV(RAND())</f>
        <v>-1.5431853927789833E-2</v>
      </c>
      <c r="T3385" s="59">
        <f ca="1">Dashboard!C$8* Dashboard!$F$4+Dashboard!C$10*SQRT(Dashboard!$F$4) * _xlfn.NORM.S.INV(RAND())</f>
        <v>2.2057366059119E-2</v>
      </c>
      <c r="U3385" s="59">
        <f ca="1">Dashboard!D$8* Dashboard!$F$4+Dashboard!D$10*SQRT(Dashboard!$F$4) * _xlfn.NORM.S.INV(RAND())</f>
        <v>-6.134985659772077E-2</v>
      </c>
    </row>
    <row r="3386" spans="18:21" x14ac:dyDescent="0.2">
      <c r="R3386" s="49">
        <v>3384</v>
      </c>
      <c r="S3386" s="59">
        <f ca="1">Dashboard!B$8* Dashboard!$F$4+Dashboard!B$10*SQRT(Dashboard!$F$4) * _xlfn.NORM.S.INV(RAND())</f>
        <v>-3.5619915974259592E-2</v>
      </c>
      <c r="T3386" s="59">
        <f ca="1">Dashboard!C$8* Dashboard!$F$4+Dashboard!C$10*SQRT(Dashboard!$F$4) * _xlfn.NORM.S.INV(RAND())</f>
        <v>-2.4627845583893578E-2</v>
      </c>
      <c r="U3386" s="59">
        <f ca="1">Dashboard!D$8* Dashboard!$F$4+Dashboard!D$10*SQRT(Dashboard!$F$4) * _xlfn.NORM.S.INV(RAND())</f>
        <v>-1.7451689209396593E-2</v>
      </c>
    </row>
    <row r="3387" spans="18:21" x14ac:dyDescent="0.2">
      <c r="R3387" s="49">
        <v>3385</v>
      </c>
      <c r="S3387" s="59">
        <f ca="1">Dashboard!B$8* Dashboard!$F$4+Dashboard!B$10*SQRT(Dashboard!$F$4) * _xlfn.NORM.S.INV(RAND())</f>
        <v>2.1189724692379529E-2</v>
      </c>
      <c r="T3387" s="59">
        <f ca="1">Dashboard!C$8* Dashboard!$F$4+Dashboard!C$10*SQRT(Dashboard!$F$4) * _xlfn.NORM.S.INV(RAND())</f>
        <v>1.0443526010015815E-3</v>
      </c>
      <c r="U3387" s="59">
        <f ca="1">Dashboard!D$8* Dashboard!$F$4+Dashboard!D$10*SQRT(Dashboard!$F$4) * _xlfn.NORM.S.INV(RAND())</f>
        <v>4.6699010060219821E-2</v>
      </c>
    </row>
    <row r="3388" spans="18:21" x14ac:dyDescent="0.2">
      <c r="R3388" s="49">
        <v>3386</v>
      </c>
      <c r="S3388" s="59">
        <f ca="1">Dashboard!B$8* Dashboard!$F$4+Dashboard!B$10*SQRT(Dashboard!$F$4) * _xlfn.NORM.S.INV(RAND())</f>
        <v>-1.636373400967717E-2</v>
      </c>
      <c r="T3388" s="59">
        <f ca="1">Dashboard!C$8* Dashboard!$F$4+Dashboard!C$10*SQRT(Dashboard!$F$4) * _xlfn.NORM.S.INV(RAND())</f>
        <v>4.8993868360067687E-2</v>
      </c>
      <c r="U3388" s="59">
        <f ca="1">Dashboard!D$8* Dashboard!$F$4+Dashboard!D$10*SQRT(Dashboard!$F$4) * _xlfn.NORM.S.INV(RAND())</f>
        <v>-3.0596584843792653E-2</v>
      </c>
    </row>
    <row r="3389" spans="18:21" x14ac:dyDescent="0.2">
      <c r="R3389" s="49">
        <v>3387</v>
      </c>
      <c r="S3389" s="59">
        <f ca="1">Dashboard!B$8* Dashboard!$F$4+Dashboard!B$10*SQRT(Dashboard!$F$4) * _xlfn.NORM.S.INV(RAND())</f>
        <v>4.7626238359970222E-2</v>
      </c>
      <c r="T3389" s="59">
        <f ca="1">Dashboard!C$8* Dashboard!$F$4+Dashboard!C$10*SQRT(Dashboard!$F$4) * _xlfn.NORM.S.INV(RAND())</f>
        <v>1.1964538592365129E-2</v>
      </c>
      <c r="U3389" s="59">
        <f ca="1">Dashboard!D$8* Dashboard!$F$4+Dashboard!D$10*SQRT(Dashboard!$F$4) * _xlfn.NORM.S.INV(RAND())</f>
        <v>-3.1951357866809658E-2</v>
      </c>
    </row>
    <row r="3390" spans="18:21" x14ac:dyDescent="0.2">
      <c r="R3390" s="49">
        <v>3388</v>
      </c>
      <c r="S3390" s="59">
        <f ca="1">Dashboard!B$8* Dashboard!$F$4+Dashboard!B$10*SQRT(Dashboard!$F$4) * _xlfn.NORM.S.INV(RAND())</f>
        <v>-3.4623419757174929E-2</v>
      </c>
      <c r="T3390" s="59">
        <f ca="1">Dashboard!C$8* Dashboard!$F$4+Dashboard!C$10*SQRT(Dashboard!$F$4) * _xlfn.NORM.S.INV(RAND())</f>
        <v>-5.0449180452609169E-2</v>
      </c>
      <c r="U3390" s="59">
        <f ca="1">Dashboard!D$8* Dashboard!$F$4+Dashboard!D$10*SQRT(Dashboard!$F$4) * _xlfn.NORM.S.INV(RAND())</f>
        <v>-2.9767413028737314E-2</v>
      </c>
    </row>
    <row r="3391" spans="18:21" x14ac:dyDescent="0.2">
      <c r="R3391" s="49">
        <v>3389</v>
      </c>
      <c r="S3391" s="59">
        <f ca="1">Dashboard!B$8* Dashboard!$F$4+Dashboard!B$10*SQRT(Dashboard!$F$4) * _xlfn.NORM.S.INV(RAND())</f>
        <v>-4.1114830619930591E-2</v>
      </c>
      <c r="T3391" s="59">
        <f ca="1">Dashboard!C$8* Dashboard!$F$4+Dashboard!C$10*SQRT(Dashboard!$F$4) * _xlfn.NORM.S.INV(RAND())</f>
        <v>2.3875911157483137E-2</v>
      </c>
      <c r="U3391" s="59">
        <f ca="1">Dashboard!D$8* Dashboard!$F$4+Dashboard!D$10*SQRT(Dashboard!$F$4) * _xlfn.NORM.S.INV(RAND())</f>
        <v>-3.8513734197173445E-2</v>
      </c>
    </row>
    <row r="3392" spans="18:21" x14ac:dyDescent="0.2">
      <c r="R3392" s="49">
        <v>3390</v>
      </c>
      <c r="S3392" s="59">
        <f ca="1">Dashboard!B$8* Dashboard!$F$4+Dashboard!B$10*SQRT(Dashboard!$F$4) * _xlfn.NORM.S.INV(RAND())</f>
        <v>3.7257748634396827E-2</v>
      </c>
      <c r="T3392" s="59">
        <f ca="1">Dashboard!C$8* Dashboard!$F$4+Dashboard!C$10*SQRT(Dashboard!$F$4) * _xlfn.NORM.S.INV(RAND())</f>
        <v>-6.2408901866212894E-3</v>
      </c>
      <c r="U3392" s="59">
        <f ca="1">Dashboard!D$8* Dashboard!$F$4+Dashboard!D$10*SQRT(Dashboard!$F$4) * _xlfn.NORM.S.INV(RAND())</f>
        <v>1.9939368079844526E-2</v>
      </c>
    </row>
    <row r="3393" spans="18:21" x14ac:dyDescent="0.2">
      <c r="R3393" s="49">
        <v>3391</v>
      </c>
      <c r="S3393" s="59">
        <f ca="1">Dashboard!B$8* Dashboard!$F$4+Dashboard!B$10*SQRT(Dashboard!$F$4) * _xlfn.NORM.S.INV(RAND())</f>
        <v>-6.704735046363694E-3</v>
      </c>
      <c r="T3393" s="59">
        <f ca="1">Dashboard!C$8* Dashboard!$F$4+Dashboard!C$10*SQRT(Dashboard!$F$4) * _xlfn.NORM.S.INV(RAND())</f>
        <v>-4.2317006597745253E-2</v>
      </c>
      <c r="U3393" s="59">
        <f ca="1">Dashboard!D$8* Dashboard!$F$4+Dashboard!D$10*SQRT(Dashboard!$F$4) * _xlfn.NORM.S.INV(RAND())</f>
        <v>3.2683626654472261E-2</v>
      </c>
    </row>
    <row r="3394" spans="18:21" x14ac:dyDescent="0.2">
      <c r="R3394" s="49">
        <v>3392</v>
      </c>
      <c r="S3394" s="59">
        <f ca="1">Dashboard!B$8* Dashboard!$F$4+Dashboard!B$10*SQRT(Dashboard!$F$4) * _xlfn.NORM.S.INV(RAND())</f>
        <v>4.1797201601457626E-3</v>
      </c>
      <c r="T3394" s="59">
        <f ca="1">Dashboard!C$8* Dashboard!$F$4+Dashboard!C$10*SQRT(Dashboard!$F$4) * _xlfn.NORM.S.INV(RAND())</f>
        <v>-5.2876017266097947E-2</v>
      </c>
      <c r="U3394" s="59">
        <f ca="1">Dashboard!D$8* Dashboard!$F$4+Dashboard!D$10*SQRT(Dashboard!$F$4) * _xlfn.NORM.S.INV(RAND())</f>
        <v>3.7487377984781349E-2</v>
      </c>
    </row>
    <row r="3395" spans="18:21" x14ac:dyDescent="0.2">
      <c r="R3395" s="49">
        <v>3393</v>
      </c>
      <c r="S3395" s="59">
        <f ca="1">Dashboard!B$8* Dashboard!$F$4+Dashboard!B$10*SQRT(Dashboard!$F$4) * _xlfn.NORM.S.INV(RAND())</f>
        <v>1.661114263883217E-2</v>
      </c>
      <c r="T3395" s="59">
        <f ca="1">Dashboard!C$8* Dashboard!$F$4+Dashboard!C$10*SQRT(Dashboard!$F$4) * _xlfn.NORM.S.INV(RAND())</f>
        <v>3.3195211101946134E-2</v>
      </c>
      <c r="U3395" s="59">
        <f ca="1">Dashboard!D$8* Dashboard!$F$4+Dashboard!D$10*SQRT(Dashboard!$F$4) * _xlfn.NORM.S.INV(RAND())</f>
        <v>-4.9601203438218097E-3</v>
      </c>
    </row>
    <row r="3396" spans="18:21" x14ac:dyDescent="0.2">
      <c r="R3396" s="49">
        <v>3394</v>
      </c>
      <c r="S3396" s="59">
        <f ca="1">Dashboard!B$8* Dashboard!$F$4+Dashboard!B$10*SQRT(Dashboard!$F$4) * _xlfn.NORM.S.INV(RAND())</f>
        <v>-8.5094303880261547E-4</v>
      </c>
      <c r="T3396" s="59">
        <f ca="1">Dashboard!C$8* Dashboard!$F$4+Dashboard!C$10*SQRT(Dashboard!$F$4) * _xlfn.NORM.S.INV(RAND())</f>
        <v>-0.13137288466390851</v>
      </c>
      <c r="U3396" s="59">
        <f ca="1">Dashboard!D$8* Dashboard!$F$4+Dashboard!D$10*SQRT(Dashboard!$F$4) * _xlfn.NORM.S.INV(RAND())</f>
        <v>1.2530023443241898E-2</v>
      </c>
    </row>
    <row r="3397" spans="18:21" x14ac:dyDescent="0.2">
      <c r="R3397" s="49">
        <v>3395</v>
      </c>
      <c r="S3397" s="59">
        <f ca="1">Dashboard!B$8* Dashboard!$F$4+Dashboard!B$10*SQRT(Dashboard!$F$4) * _xlfn.NORM.S.INV(RAND())</f>
        <v>-4.8146312195229211E-2</v>
      </c>
      <c r="T3397" s="59">
        <f ca="1">Dashboard!C$8* Dashboard!$F$4+Dashboard!C$10*SQRT(Dashboard!$F$4) * _xlfn.NORM.S.INV(RAND())</f>
        <v>-3.0303527315589083E-2</v>
      </c>
      <c r="U3397" s="59">
        <f ca="1">Dashboard!D$8* Dashboard!$F$4+Dashboard!D$10*SQRT(Dashboard!$F$4) * _xlfn.NORM.S.INV(RAND())</f>
        <v>-1.8527976795713454E-3</v>
      </c>
    </row>
    <row r="3398" spans="18:21" x14ac:dyDescent="0.2">
      <c r="R3398" s="49">
        <v>3396</v>
      </c>
      <c r="S3398" s="59">
        <f ca="1">Dashboard!B$8* Dashboard!$F$4+Dashboard!B$10*SQRT(Dashboard!$F$4) * _xlfn.NORM.S.INV(RAND())</f>
        <v>-2.8315105237026336E-2</v>
      </c>
      <c r="T3398" s="59">
        <f ca="1">Dashboard!C$8* Dashboard!$F$4+Dashboard!C$10*SQRT(Dashboard!$F$4) * _xlfn.NORM.S.INV(RAND())</f>
        <v>-2.6117101540418221E-2</v>
      </c>
      <c r="U3398" s="59">
        <f ca="1">Dashboard!D$8* Dashboard!$F$4+Dashboard!D$10*SQRT(Dashboard!$F$4) * _xlfn.NORM.S.INV(RAND())</f>
        <v>-9.6347669361965572E-3</v>
      </c>
    </row>
    <row r="3399" spans="18:21" x14ac:dyDescent="0.2">
      <c r="R3399" s="49">
        <v>3397</v>
      </c>
      <c r="S3399" s="59">
        <f ca="1">Dashboard!B$8* Dashboard!$F$4+Dashboard!B$10*SQRT(Dashboard!$F$4) * _xlfn.NORM.S.INV(RAND())</f>
        <v>1.4229403700997505E-3</v>
      </c>
      <c r="T3399" s="59">
        <f ca="1">Dashboard!C$8* Dashboard!$F$4+Dashboard!C$10*SQRT(Dashboard!$F$4) * _xlfn.NORM.S.INV(RAND())</f>
        <v>4.1537377257575933E-2</v>
      </c>
      <c r="U3399" s="59">
        <f ca="1">Dashboard!D$8* Dashboard!$F$4+Dashboard!D$10*SQRT(Dashboard!$F$4) * _xlfn.NORM.S.INV(RAND())</f>
        <v>3.776193333554944E-2</v>
      </c>
    </row>
    <row r="3400" spans="18:21" x14ac:dyDescent="0.2">
      <c r="R3400" s="49">
        <v>3398</v>
      </c>
      <c r="S3400" s="59">
        <f ca="1">Dashboard!B$8* Dashboard!$F$4+Dashboard!B$10*SQRT(Dashboard!$F$4) * _xlfn.NORM.S.INV(RAND())</f>
        <v>-3.9390382288685043E-2</v>
      </c>
      <c r="T3400" s="59">
        <f ca="1">Dashboard!C$8* Dashboard!$F$4+Dashboard!C$10*SQRT(Dashboard!$F$4) * _xlfn.NORM.S.INV(RAND())</f>
        <v>5.3818370948749659E-3</v>
      </c>
      <c r="U3400" s="59">
        <f ca="1">Dashboard!D$8* Dashboard!$F$4+Dashboard!D$10*SQRT(Dashboard!$F$4) * _xlfn.NORM.S.INV(RAND())</f>
        <v>5.6192991600225468E-3</v>
      </c>
    </row>
    <row r="3401" spans="18:21" x14ac:dyDescent="0.2">
      <c r="R3401" s="49">
        <v>3399</v>
      </c>
      <c r="S3401" s="59">
        <f ca="1">Dashboard!B$8* Dashboard!$F$4+Dashboard!B$10*SQRT(Dashboard!$F$4) * _xlfn.NORM.S.INV(RAND())</f>
        <v>5.1373378966980375E-3</v>
      </c>
      <c r="T3401" s="59">
        <f ca="1">Dashboard!C$8* Dashboard!$F$4+Dashboard!C$10*SQRT(Dashboard!$F$4) * _xlfn.NORM.S.INV(RAND())</f>
        <v>9.2664345420600527E-4</v>
      </c>
      <c r="U3401" s="59">
        <f ca="1">Dashboard!D$8* Dashboard!$F$4+Dashboard!D$10*SQRT(Dashboard!$F$4) * _xlfn.NORM.S.INV(RAND())</f>
        <v>7.0676203073883281E-2</v>
      </c>
    </row>
    <row r="3402" spans="18:21" x14ac:dyDescent="0.2">
      <c r="R3402" s="49">
        <v>3400</v>
      </c>
      <c r="S3402" s="59">
        <f ca="1">Dashboard!B$8* Dashboard!$F$4+Dashboard!B$10*SQRT(Dashboard!$F$4) * _xlfn.NORM.S.INV(RAND())</f>
        <v>-5.8492931473913282E-2</v>
      </c>
      <c r="T3402" s="59">
        <f ca="1">Dashboard!C$8* Dashboard!$F$4+Dashboard!C$10*SQRT(Dashboard!$F$4) * _xlfn.NORM.S.INV(RAND())</f>
        <v>6.8625198671416421E-2</v>
      </c>
      <c r="U3402" s="59">
        <f ca="1">Dashboard!D$8* Dashboard!$F$4+Dashboard!D$10*SQRT(Dashboard!$F$4) * _xlfn.NORM.S.INV(RAND())</f>
        <v>-3.4716161116795173E-2</v>
      </c>
    </row>
    <row r="3403" spans="18:21" x14ac:dyDescent="0.2">
      <c r="R3403" s="49">
        <v>3401</v>
      </c>
      <c r="S3403" s="59">
        <f ca="1">Dashboard!B$8* Dashboard!$F$4+Dashboard!B$10*SQRT(Dashboard!$F$4) * _xlfn.NORM.S.INV(RAND())</f>
        <v>1.7606592967290793E-2</v>
      </c>
      <c r="T3403" s="59">
        <f ca="1">Dashboard!C$8* Dashboard!$F$4+Dashboard!C$10*SQRT(Dashboard!$F$4) * _xlfn.NORM.S.INV(RAND())</f>
        <v>-1.0158298888118408E-2</v>
      </c>
      <c r="U3403" s="59">
        <f ca="1">Dashboard!D$8* Dashboard!$F$4+Dashboard!D$10*SQRT(Dashboard!$F$4) * _xlfn.NORM.S.INV(RAND())</f>
        <v>4.4414523267080671E-3</v>
      </c>
    </row>
    <row r="3404" spans="18:21" x14ac:dyDescent="0.2">
      <c r="R3404" s="49">
        <v>3402</v>
      </c>
      <c r="S3404" s="59">
        <f ca="1">Dashboard!B$8* Dashboard!$F$4+Dashboard!B$10*SQRT(Dashboard!$F$4) * _xlfn.NORM.S.INV(RAND())</f>
        <v>-1.5043417739063859E-2</v>
      </c>
      <c r="T3404" s="59">
        <f ca="1">Dashboard!C$8* Dashboard!$F$4+Dashboard!C$10*SQRT(Dashboard!$F$4) * _xlfn.NORM.S.INV(RAND())</f>
        <v>6.981944206240924E-2</v>
      </c>
      <c r="U3404" s="59">
        <f ca="1">Dashboard!D$8* Dashboard!$F$4+Dashboard!D$10*SQRT(Dashboard!$F$4) * _xlfn.NORM.S.INV(RAND())</f>
        <v>-4.0096956819476934E-2</v>
      </c>
    </row>
    <row r="3405" spans="18:21" x14ac:dyDescent="0.2">
      <c r="R3405" s="49">
        <v>3403</v>
      </c>
      <c r="S3405" s="59">
        <f ca="1">Dashboard!B$8* Dashboard!$F$4+Dashboard!B$10*SQRT(Dashboard!$F$4) * _xlfn.NORM.S.INV(RAND())</f>
        <v>1.0598150740568661E-3</v>
      </c>
      <c r="T3405" s="59">
        <f ca="1">Dashboard!C$8* Dashboard!$F$4+Dashboard!C$10*SQRT(Dashboard!$F$4) * _xlfn.NORM.S.INV(RAND())</f>
        <v>1.5118359558313327E-2</v>
      </c>
      <c r="U3405" s="59">
        <f ca="1">Dashboard!D$8* Dashboard!$F$4+Dashboard!D$10*SQRT(Dashboard!$F$4) * _xlfn.NORM.S.INV(RAND())</f>
        <v>5.2826227331087819E-3</v>
      </c>
    </row>
    <row r="3406" spans="18:21" x14ac:dyDescent="0.2">
      <c r="R3406" s="49">
        <v>3404</v>
      </c>
      <c r="S3406" s="59">
        <f ca="1">Dashboard!B$8* Dashboard!$F$4+Dashboard!B$10*SQRT(Dashboard!$F$4) * _xlfn.NORM.S.INV(RAND())</f>
        <v>-6.5354665606581541E-2</v>
      </c>
      <c r="T3406" s="59">
        <f ca="1">Dashboard!C$8* Dashboard!$F$4+Dashboard!C$10*SQRT(Dashboard!$F$4) * _xlfn.NORM.S.INV(RAND())</f>
        <v>3.7330403131961364E-2</v>
      </c>
      <c r="U3406" s="59">
        <f ca="1">Dashboard!D$8* Dashboard!$F$4+Dashboard!D$10*SQRT(Dashboard!$F$4) * _xlfn.NORM.S.INV(RAND())</f>
        <v>7.568842637769424E-2</v>
      </c>
    </row>
    <row r="3407" spans="18:21" x14ac:dyDescent="0.2">
      <c r="R3407" s="49">
        <v>3405</v>
      </c>
      <c r="S3407" s="59">
        <f ca="1">Dashboard!B$8* Dashboard!$F$4+Dashboard!B$10*SQRT(Dashboard!$F$4) * _xlfn.NORM.S.INV(RAND())</f>
        <v>1.6163835540793509E-2</v>
      </c>
      <c r="T3407" s="59">
        <f ca="1">Dashboard!C$8* Dashboard!$F$4+Dashboard!C$10*SQRT(Dashboard!$F$4) * _xlfn.NORM.S.INV(RAND())</f>
        <v>6.1545725642021355E-2</v>
      </c>
      <c r="U3407" s="59">
        <f ca="1">Dashboard!D$8* Dashboard!$F$4+Dashboard!D$10*SQRT(Dashboard!$F$4) * _xlfn.NORM.S.INV(RAND())</f>
        <v>-7.5465580009603336E-2</v>
      </c>
    </row>
    <row r="3408" spans="18:21" x14ac:dyDescent="0.2">
      <c r="R3408" s="49">
        <v>3406</v>
      </c>
      <c r="S3408" s="59">
        <f ca="1">Dashboard!B$8* Dashboard!$F$4+Dashboard!B$10*SQRT(Dashboard!$F$4) * _xlfn.NORM.S.INV(RAND())</f>
        <v>2.1447395994892093E-2</v>
      </c>
      <c r="T3408" s="59">
        <f ca="1">Dashboard!C$8* Dashboard!$F$4+Dashboard!C$10*SQRT(Dashboard!$F$4) * _xlfn.NORM.S.INV(RAND())</f>
        <v>-3.5602960905854991E-2</v>
      </c>
      <c r="U3408" s="59">
        <f ca="1">Dashboard!D$8* Dashboard!$F$4+Dashboard!D$10*SQRT(Dashboard!$F$4) * _xlfn.NORM.S.INV(RAND())</f>
        <v>-3.7382852624552321E-3</v>
      </c>
    </row>
    <row r="3409" spans="18:21" x14ac:dyDescent="0.2">
      <c r="R3409" s="49">
        <v>3407</v>
      </c>
      <c r="S3409" s="59">
        <f ca="1">Dashboard!B$8* Dashboard!$F$4+Dashboard!B$10*SQRT(Dashboard!$F$4) * _xlfn.NORM.S.INV(RAND())</f>
        <v>-7.1055629071831369E-2</v>
      </c>
      <c r="T3409" s="59">
        <f ca="1">Dashboard!C$8* Dashboard!$F$4+Dashboard!C$10*SQRT(Dashboard!$F$4) * _xlfn.NORM.S.INV(RAND())</f>
        <v>-3.7676416603940159E-2</v>
      </c>
      <c r="U3409" s="59">
        <f ca="1">Dashboard!D$8* Dashboard!$F$4+Dashboard!D$10*SQRT(Dashboard!$F$4) * _xlfn.NORM.S.INV(RAND())</f>
        <v>-1.73051997265476E-2</v>
      </c>
    </row>
    <row r="3410" spans="18:21" x14ac:dyDescent="0.2">
      <c r="R3410" s="49">
        <v>3408</v>
      </c>
      <c r="S3410" s="59">
        <f ca="1">Dashboard!B$8* Dashboard!$F$4+Dashboard!B$10*SQRT(Dashboard!$F$4) * _xlfn.NORM.S.INV(RAND())</f>
        <v>3.1621462271443856E-2</v>
      </c>
      <c r="T3410" s="59">
        <f ca="1">Dashboard!C$8* Dashboard!$F$4+Dashboard!C$10*SQRT(Dashboard!$F$4) * _xlfn.NORM.S.INV(RAND())</f>
        <v>-1.4860445397162875E-2</v>
      </c>
      <c r="U3410" s="59">
        <f ca="1">Dashboard!D$8* Dashboard!$F$4+Dashboard!D$10*SQRT(Dashboard!$F$4) * _xlfn.NORM.S.INV(RAND())</f>
        <v>-4.4831364344160879E-2</v>
      </c>
    </row>
    <row r="3411" spans="18:21" x14ac:dyDescent="0.2">
      <c r="R3411" s="49">
        <v>3409</v>
      </c>
      <c r="S3411" s="59">
        <f ca="1">Dashboard!B$8* Dashboard!$F$4+Dashboard!B$10*SQRT(Dashboard!$F$4) * _xlfn.NORM.S.INV(RAND())</f>
        <v>-1.1759680452672162E-2</v>
      </c>
      <c r="T3411" s="59">
        <f ca="1">Dashboard!C$8* Dashboard!$F$4+Dashboard!C$10*SQRT(Dashboard!$F$4) * _xlfn.NORM.S.INV(RAND())</f>
        <v>4.1897155653764645E-2</v>
      </c>
      <c r="U3411" s="59">
        <f ca="1">Dashboard!D$8* Dashboard!$F$4+Dashboard!D$10*SQRT(Dashboard!$F$4) * _xlfn.NORM.S.INV(RAND())</f>
        <v>-2.45824783038864E-2</v>
      </c>
    </row>
    <row r="3412" spans="18:21" x14ac:dyDescent="0.2">
      <c r="R3412" s="49">
        <v>3410</v>
      </c>
      <c r="S3412" s="59">
        <f ca="1">Dashboard!B$8* Dashboard!$F$4+Dashboard!B$10*SQRT(Dashboard!$F$4) * _xlfn.NORM.S.INV(RAND())</f>
        <v>-3.1197644066831398E-2</v>
      </c>
      <c r="T3412" s="59">
        <f ca="1">Dashboard!C$8* Dashboard!$F$4+Dashboard!C$10*SQRT(Dashboard!$F$4) * _xlfn.NORM.S.INV(RAND())</f>
        <v>-1.6157369062307095E-2</v>
      </c>
      <c r="U3412" s="59">
        <f ca="1">Dashboard!D$8* Dashboard!$F$4+Dashboard!D$10*SQRT(Dashboard!$F$4) * _xlfn.NORM.S.INV(RAND())</f>
        <v>-1.7970882034269269E-2</v>
      </c>
    </row>
    <row r="3413" spans="18:21" x14ac:dyDescent="0.2">
      <c r="R3413" s="49">
        <v>3411</v>
      </c>
      <c r="S3413" s="59">
        <f ca="1">Dashboard!B$8* Dashboard!$F$4+Dashboard!B$10*SQRT(Dashboard!$F$4) * _xlfn.NORM.S.INV(RAND())</f>
        <v>3.654572765862763E-3</v>
      </c>
      <c r="T3413" s="59">
        <f ca="1">Dashboard!C$8* Dashboard!$F$4+Dashboard!C$10*SQRT(Dashboard!$F$4) * _xlfn.NORM.S.INV(RAND())</f>
        <v>-2.192696389942031E-2</v>
      </c>
      <c r="U3413" s="59">
        <f ca="1">Dashboard!D$8* Dashboard!$F$4+Dashboard!D$10*SQRT(Dashboard!$F$4) * _xlfn.NORM.S.INV(RAND())</f>
        <v>-3.2000294302675071E-2</v>
      </c>
    </row>
    <row r="3414" spans="18:21" x14ac:dyDescent="0.2">
      <c r="R3414" s="49">
        <v>3412</v>
      </c>
      <c r="S3414" s="59">
        <f ca="1">Dashboard!B$8* Dashboard!$F$4+Dashboard!B$10*SQRT(Dashboard!$F$4) * _xlfn.NORM.S.INV(RAND())</f>
        <v>-8.1752301291931999E-3</v>
      </c>
      <c r="T3414" s="59">
        <f ca="1">Dashboard!C$8* Dashboard!$F$4+Dashboard!C$10*SQRT(Dashboard!$F$4) * _xlfn.NORM.S.INV(RAND())</f>
        <v>2.8106507939254975E-2</v>
      </c>
      <c r="U3414" s="59">
        <f ca="1">Dashboard!D$8* Dashboard!$F$4+Dashboard!D$10*SQRT(Dashboard!$F$4) * _xlfn.NORM.S.INV(RAND())</f>
        <v>1.9042116241022432E-2</v>
      </c>
    </row>
    <row r="3415" spans="18:21" x14ac:dyDescent="0.2">
      <c r="R3415" s="49">
        <v>3413</v>
      </c>
      <c r="S3415" s="59">
        <f ca="1">Dashboard!B$8* Dashboard!$F$4+Dashboard!B$10*SQRT(Dashboard!$F$4) * _xlfn.NORM.S.INV(RAND())</f>
        <v>5.388796997890094E-2</v>
      </c>
      <c r="T3415" s="59">
        <f ca="1">Dashboard!C$8* Dashboard!$F$4+Dashboard!C$10*SQRT(Dashboard!$F$4) * _xlfn.NORM.S.INV(RAND())</f>
        <v>2.2952252939539208E-3</v>
      </c>
      <c r="U3415" s="59">
        <f ca="1">Dashboard!D$8* Dashboard!$F$4+Dashboard!D$10*SQRT(Dashboard!$F$4) * _xlfn.NORM.S.INV(RAND())</f>
        <v>5.8672883887715709E-2</v>
      </c>
    </row>
    <row r="3416" spans="18:21" x14ac:dyDescent="0.2">
      <c r="R3416" s="49">
        <v>3414</v>
      </c>
      <c r="S3416" s="59">
        <f ca="1">Dashboard!B$8* Dashboard!$F$4+Dashboard!B$10*SQRT(Dashboard!$F$4) * _xlfn.NORM.S.INV(RAND())</f>
        <v>-1.2976919565974225E-3</v>
      </c>
      <c r="T3416" s="59">
        <f ca="1">Dashboard!C$8* Dashboard!$F$4+Dashboard!C$10*SQRT(Dashboard!$F$4) * _xlfn.NORM.S.INV(RAND())</f>
        <v>-5.9150601358159166E-2</v>
      </c>
      <c r="U3416" s="59">
        <f ca="1">Dashboard!D$8* Dashboard!$F$4+Dashboard!D$10*SQRT(Dashboard!$F$4) * _xlfn.NORM.S.INV(RAND())</f>
        <v>-2.0965620971594174E-2</v>
      </c>
    </row>
    <row r="3417" spans="18:21" x14ac:dyDescent="0.2">
      <c r="R3417" s="49">
        <v>3415</v>
      </c>
      <c r="S3417" s="59">
        <f ca="1">Dashboard!B$8* Dashboard!$F$4+Dashboard!B$10*SQRT(Dashboard!$F$4) * _xlfn.NORM.S.INV(RAND())</f>
        <v>3.0092824593554923E-3</v>
      </c>
      <c r="T3417" s="59">
        <f ca="1">Dashboard!C$8* Dashboard!$F$4+Dashboard!C$10*SQRT(Dashboard!$F$4) * _xlfn.NORM.S.INV(RAND())</f>
        <v>1.293682674899721E-2</v>
      </c>
      <c r="U3417" s="59">
        <f ca="1">Dashboard!D$8* Dashboard!$F$4+Dashboard!D$10*SQRT(Dashboard!$F$4) * _xlfn.NORM.S.INV(RAND())</f>
        <v>2.0792973339356195E-2</v>
      </c>
    </row>
    <row r="3418" spans="18:21" x14ac:dyDescent="0.2">
      <c r="R3418" s="49">
        <v>3416</v>
      </c>
      <c r="S3418" s="59">
        <f ca="1">Dashboard!B$8* Dashboard!$F$4+Dashboard!B$10*SQRT(Dashboard!$F$4) * _xlfn.NORM.S.INV(RAND())</f>
        <v>1.1409810666088436E-2</v>
      </c>
      <c r="T3418" s="59">
        <f ca="1">Dashboard!C$8* Dashboard!$F$4+Dashboard!C$10*SQRT(Dashboard!$F$4) * _xlfn.NORM.S.INV(RAND())</f>
        <v>-1.5962868057346376E-2</v>
      </c>
      <c r="U3418" s="59">
        <f ca="1">Dashboard!D$8* Dashboard!$F$4+Dashboard!D$10*SQRT(Dashboard!$F$4) * _xlfn.NORM.S.INV(RAND())</f>
        <v>6.6959225728518571E-3</v>
      </c>
    </row>
    <row r="3419" spans="18:21" x14ac:dyDescent="0.2">
      <c r="R3419" s="49">
        <v>3417</v>
      </c>
      <c r="S3419" s="59">
        <f ca="1">Dashboard!B$8* Dashboard!$F$4+Dashboard!B$10*SQRT(Dashboard!$F$4) * _xlfn.NORM.S.INV(RAND())</f>
        <v>-3.5807396719735311E-2</v>
      </c>
      <c r="T3419" s="59">
        <f ca="1">Dashboard!C$8* Dashboard!$F$4+Dashboard!C$10*SQRT(Dashboard!$F$4) * _xlfn.NORM.S.INV(RAND())</f>
        <v>-2.9656453440022362E-2</v>
      </c>
      <c r="U3419" s="59">
        <f ca="1">Dashboard!D$8* Dashboard!$F$4+Dashboard!D$10*SQRT(Dashboard!$F$4) * _xlfn.NORM.S.INV(RAND())</f>
        <v>-3.7632204528458967E-2</v>
      </c>
    </row>
    <row r="3420" spans="18:21" x14ac:dyDescent="0.2">
      <c r="R3420" s="49">
        <v>3418</v>
      </c>
      <c r="S3420" s="59">
        <f ca="1">Dashboard!B$8* Dashboard!$F$4+Dashboard!B$10*SQRT(Dashboard!$F$4) * _xlfn.NORM.S.INV(RAND())</f>
        <v>-5.9240226153034987E-2</v>
      </c>
      <c r="T3420" s="59">
        <f ca="1">Dashboard!C$8* Dashboard!$F$4+Dashboard!C$10*SQRT(Dashboard!$F$4) * _xlfn.NORM.S.INV(RAND())</f>
        <v>-4.1919302267055071E-2</v>
      </c>
      <c r="U3420" s="59">
        <f ca="1">Dashboard!D$8* Dashboard!$F$4+Dashboard!D$10*SQRT(Dashboard!$F$4) * _xlfn.NORM.S.INV(RAND())</f>
        <v>-1.3291782683578267E-2</v>
      </c>
    </row>
    <row r="3421" spans="18:21" x14ac:dyDescent="0.2">
      <c r="R3421" s="49">
        <v>3419</v>
      </c>
      <c r="S3421" s="59">
        <f ca="1">Dashboard!B$8* Dashboard!$F$4+Dashboard!B$10*SQRT(Dashboard!$F$4) * _xlfn.NORM.S.INV(RAND())</f>
        <v>-3.9946331042633988E-2</v>
      </c>
      <c r="T3421" s="59">
        <f ca="1">Dashboard!C$8* Dashboard!$F$4+Dashboard!C$10*SQRT(Dashboard!$F$4) * _xlfn.NORM.S.INV(RAND())</f>
        <v>1.4515366181519187E-2</v>
      </c>
      <c r="U3421" s="59">
        <f ca="1">Dashboard!D$8* Dashboard!$F$4+Dashboard!D$10*SQRT(Dashboard!$F$4) * _xlfn.NORM.S.INV(RAND())</f>
        <v>-4.0810239120272259E-3</v>
      </c>
    </row>
    <row r="3422" spans="18:21" x14ac:dyDescent="0.2">
      <c r="R3422" s="49">
        <v>3420</v>
      </c>
      <c r="S3422" s="59">
        <f ca="1">Dashboard!B$8* Dashboard!$F$4+Dashboard!B$10*SQRT(Dashboard!$F$4) * _xlfn.NORM.S.INV(RAND())</f>
        <v>3.6493372093177393E-2</v>
      </c>
      <c r="T3422" s="59">
        <f ca="1">Dashboard!C$8* Dashboard!$F$4+Dashboard!C$10*SQRT(Dashboard!$F$4) * _xlfn.NORM.S.INV(RAND())</f>
        <v>4.7328296953795933E-3</v>
      </c>
      <c r="U3422" s="59">
        <f ca="1">Dashboard!D$8* Dashboard!$F$4+Dashboard!D$10*SQRT(Dashboard!$F$4) * _xlfn.NORM.S.INV(RAND())</f>
        <v>7.1588063391475228E-3</v>
      </c>
    </row>
    <row r="3423" spans="18:21" x14ac:dyDescent="0.2">
      <c r="R3423" s="49">
        <v>3421</v>
      </c>
      <c r="S3423" s="59">
        <f ca="1">Dashboard!B$8* Dashboard!$F$4+Dashboard!B$10*SQRT(Dashboard!$F$4) * _xlfn.NORM.S.INV(RAND())</f>
        <v>5.0768121713597944E-2</v>
      </c>
      <c r="T3423" s="59">
        <f ca="1">Dashboard!C$8* Dashboard!$F$4+Dashboard!C$10*SQRT(Dashboard!$F$4) * _xlfn.NORM.S.INV(RAND())</f>
        <v>-1.9710641917962169E-2</v>
      </c>
      <c r="U3423" s="59">
        <f ca="1">Dashboard!D$8* Dashboard!$F$4+Dashboard!D$10*SQRT(Dashboard!$F$4) * _xlfn.NORM.S.INV(RAND())</f>
        <v>-1.0510787123454093E-2</v>
      </c>
    </row>
    <row r="3424" spans="18:21" x14ac:dyDescent="0.2">
      <c r="R3424" s="49">
        <v>3422</v>
      </c>
      <c r="S3424" s="59">
        <f ca="1">Dashboard!B$8* Dashboard!$F$4+Dashboard!B$10*SQRT(Dashboard!$F$4) * _xlfn.NORM.S.INV(RAND())</f>
        <v>-3.2906271167300563E-2</v>
      </c>
      <c r="T3424" s="59">
        <f ca="1">Dashboard!C$8* Dashboard!$F$4+Dashboard!C$10*SQRT(Dashboard!$F$4) * _xlfn.NORM.S.INV(RAND())</f>
        <v>-2.34765553145561E-2</v>
      </c>
      <c r="U3424" s="59">
        <f ca="1">Dashboard!D$8* Dashboard!$F$4+Dashboard!D$10*SQRT(Dashboard!$F$4) * _xlfn.NORM.S.INV(RAND())</f>
        <v>1.4339852123980595E-2</v>
      </c>
    </row>
    <row r="3425" spans="18:21" x14ac:dyDescent="0.2">
      <c r="R3425" s="49">
        <v>3423</v>
      </c>
      <c r="S3425" s="59">
        <f ca="1">Dashboard!B$8* Dashboard!$F$4+Dashboard!B$10*SQRT(Dashboard!$F$4) * _xlfn.NORM.S.INV(RAND())</f>
        <v>2.3207741754077291E-2</v>
      </c>
      <c r="T3425" s="59">
        <f ca="1">Dashboard!C$8* Dashboard!$F$4+Dashboard!C$10*SQRT(Dashboard!$F$4) * _xlfn.NORM.S.INV(RAND())</f>
        <v>1.1387817675347762E-2</v>
      </c>
      <c r="U3425" s="59">
        <f ca="1">Dashboard!D$8* Dashboard!$F$4+Dashboard!D$10*SQRT(Dashboard!$F$4) * _xlfn.NORM.S.INV(RAND())</f>
        <v>-3.7155214115377658E-2</v>
      </c>
    </row>
    <row r="3426" spans="18:21" x14ac:dyDescent="0.2">
      <c r="R3426" s="49">
        <v>3424</v>
      </c>
      <c r="S3426" s="59">
        <f ca="1">Dashboard!B$8* Dashboard!$F$4+Dashboard!B$10*SQRT(Dashboard!$F$4) * _xlfn.NORM.S.INV(RAND())</f>
        <v>-2.6164838425207823E-2</v>
      </c>
      <c r="T3426" s="59">
        <f ca="1">Dashboard!C$8* Dashboard!$F$4+Dashboard!C$10*SQRT(Dashboard!$F$4) * _xlfn.NORM.S.INV(RAND())</f>
        <v>2.4659136743287381E-2</v>
      </c>
      <c r="U3426" s="59">
        <f ca="1">Dashboard!D$8* Dashboard!$F$4+Dashboard!D$10*SQRT(Dashboard!$F$4) * _xlfn.NORM.S.INV(RAND())</f>
        <v>7.035631193463641E-4</v>
      </c>
    </row>
    <row r="3427" spans="18:21" x14ac:dyDescent="0.2">
      <c r="R3427" s="49">
        <v>3425</v>
      </c>
      <c r="S3427" s="59">
        <f ca="1">Dashboard!B$8* Dashboard!$F$4+Dashboard!B$10*SQRT(Dashboard!$F$4) * _xlfn.NORM.S.INV(RAND())</f>
        <v>-2.4572355100162969E-3</v>
      </c>
      <c r="T3427" s="59">
        <f ca="1">Dashboard!C$8* Dashboard!$F$4+Dashboard!C$10*SQRT(Dashboard!$F$4) * _xlfn.NORM.S.INV(RAND())</f>
        <v>-2.2230806560760753E-2</v>
      </c>
      <c r="U3427" s="59">
        <f ca="1">Dashboard!D$8* Dashboard!$F$4+Dashboard!D$10*SQRT(Dashboard!$F$4) * _xlfn.NORM.S.INV(RAND())</f>
        <v>3.9852637753476576E-2</v>
      </c>
    </row>
    <row r="3428" spans="18:21" x14ac:dyDescent="0.2">
      <c r="R3428" s="49">
        <v>3426</v>
      </c>
      <c r="S3428" s="59">
        <f ca="1">Dashboard!B$8* Dashboard!$F$4+Dashboard!B$10*SQRT(Dashboard!$F$4) * _xlfn.NORM.S.INV(RAND())</f>
        <v>1.1382445049772205E-2</v>
      </c>
      <c r="T3428" s="59">
        <f ca="1">Dashboard!C$8* Dashboard!$F$4+Dashboard!C$10*SQRT(Dashboard!$F$4) * _xlfn.NORM.S.INV(RAND())</f>
        <v>-3.3465793313066081E-2</v>
      </c>
      <c r="U3428" s="59">
        <f ca="1">Dashboard!D$8* Dashboard!$F$4+Dashboard!D$10*SQRT(Dashboard!$F$4) * _xlfn.NORM.S.INV(RAND())</f>
        <v>-4.167040834112852E-2</v>
      </c>
    </row>
    <row r="3429" spans="18:21" x14ac:dyDescent="0.2">
      <c r="R3429" s="49">
        <v>3427</v>
      </c>
      <c r="S3429" s="59">
        <f ca="1">Dashboard!B$8* Dashboard!$F$4+Dashboard!B$10*SQRT(Dashboard!$F$4) * _xlfn.NORM.S.INV(RAND())</f>
        <v>-2.3324936239544201E-2</v>
      </c>
      <c r="T3429" s="59">
        <f ca="1">Dashboard!C$8* Dashboard!$F$4+Dashboard!C$10*SQRT(Dashboard!$F$4) * _xlfn.NORM.S.INV(RAND())</f>
        <v>1.1889021954231464E-2</v>
      </c>
      <c r="U3429" s="59">
        <f ca="1">Dashboard!D$8* Dashboard!$F$4+Dashboard!D$10*SQRT(Dashboard!$F$4) * _xlfn.NORM.S.INV(RAND())</f>
        <v>-1.6755004099024261E-2</v>
      </c>
    </row>
    <row r="3430" spans="18:21" x14ac:dyDescent="0.2">
      <c r="R3430" s="49">
        <v>3428</v>
      </c>
      <c r="S3430" s="59">
        <f ca="1">Dashboard!B$8* Dashboard!$F$4+Dashboard!B$10*SQRT(Dashboard!$F$4) * _xlfn.NORM.S.INV(RAND())</f>
        <v>-1.7406027633637584E-2</v>
      </c>
      <c r="T3430" s="59">
        <f ca="1">Dashboard!C$8* Dashboard!$F$4+Dashboard!C$10*SQRT(Dashboard!$F$4) * _xlfn.NORM.S.INV(RAND())</f>
        <v>5.3651900146096942E-3</v>
      </c>
      <c r="U3430" s="59">
        <f ca="1">Dashboard!D$8* Dashboard!$F$4+Dashboard!D$10*SQRT(Dashboard!$F$4) * _xlfn.NORM.S.INV(RAND())</f>
        <v>-6.3766625358584031E-2</v>
      </c>
    </row>
    <row r="3431" spans="18:21" x14ac:dyDescent="0.2">
      <c r="R3431" s="49">
        <v>3429</v>
      </c>
      <c r="S3431" s="59">
        <f ca="1">Dashboard!B$8* Dashboard!$F$4+Dashboard!B$10*SQRT(Dashboard!$F$4) * _xlfn.NORM.S.INV(RAND())</f>
        <v>3.2942969535553999E-2</v>
      </c>
      <c r="T3431" s="59">
        <f ca="1">Dashboard!C$8* Dashboard!$F$4+Dashboard!C$10*SQRT(Dashboard!$F$4) * _xlfn.NORM.S.INV(RAND())</f>
        <v>-1.5510554683280636E-2</v>
      </c>
      <c r="U3431" s="59">
        <f ca="1">Dashboard!D$8* Dashboard!$F$4+Dashboard!D$10*SQRT(Dashboard!$F$4) * _xlfn.NORM.S.INV(RAND())</f>
        <v>-4.2066374150748292E-2</v>
      </c>
    </row>
    <row r="3432" spans="18:21" x14ac:dyDescent="0.2">
      <c r="R3432" s="49">
        <v>3430</v>
      </c>
      <c r="S3432" s="59">
        <f ca="1">Dashboard!B$8* Dashboard!$F$4+Dashboard!B$10*SQRT(Dashboard!$F$4) * _xlfn.NORM.S.INV(RAND())</f>
        <v>4.909301474353673E-2</v>
      </c>
      <c r="T3432" s="59">
        <f ca="1">Dashboard!C$8* Dashboard!$F$4+Dashboard!C$10*SQRT(Dashboard!$F$4) * _xlfn.NORM.S.INV(RAND())</f>
        <v>2.9022538749524901E-2</v>
      </c>
      <c r="U3432" s="59">
        <f ca="1">Dashboard!D$8* Dashboard!$F$4+Dashboard!D$10*SQRT(Dashboard!$F$4) * _xlfn.NORM.S.INV(RAND())</f>
        <v>2.3554069958359104E-2</v>
      </c>
    </row>
    <row r="3433" spans="18:21" x14ac:dyDescent="0.2">
      <c r="R3433" s="49">
        <v>3431</v>
      </c>
      <c r="S3433" s="59">
        <f ca="1">Dashboard!B$8* Dashboard!$F$4+Dashboard!B$10*SQRT(Dashboard!$F$4) * _xlfn.NORM.S.INV(RAND())</f>
        <v>-1.9266833019753182E-2</v>
      </c>
      <c r="T3433" s="59">
        <f ca="1">Dashboard!C$8* Dashboard!$F$4+Dashboard!C$10*SQRT(Dashboard!$F$4) * _xlfn.NORM.S.INV(RAND())</f>
        <v>4.1077357075611866E-2</v>
      </c>
      <c r="U3433" s="59">
        <f ca="1">Dashboard!D$8* Dashboard!$F$4+Dashboard!D$10*SQRT(Dashboard!$F$4) * _xlfn.NORM.S.INV(RAND())</f>
        <v>-1.3361428098135971E-4</v>
      </c>
    </row>
    <row r="3434" spans="18:21" x14ac:dyDescent="0.2">
      <c r="R3434" s="49">
        <v>3432</v>
      </c>
      <c r="S3434" s="59">
        <f ca="1">Dashboard!B$8* Dashboard!$F$4+Dashboard!B$10*SQRT(Dashboard!$F$4) * _xlfn.NORM.S.INV(RAND())</f>
        <v>-3.8002367287353879E-2</v>
      </c>
      <c r="T3434" s="59">
        <f ca="1">Dashboard!C$8* Dashboard!$F$4+Dashboard!C$10*SQRT(Dashboard!$F$4) * _xlfn.NORM.S.INV(RAND())</f>
        <v>6.4004117460991286E-2</v>
      </c>
      <c r="U3434" s="59">
        <f ca="1">Dashboard!D$8* Dashboard!$F$4+Dashboard!D$10*SQRT(Dashboard!$F$4) * _xlfn.NORM.S.INV(RAND())</f>
        <v>1.7156276993618234E-2</v>
      </c>
    </row>
    <row r="3435" spans="18:21" x14ac:dyDescent="0.2">
      <c r="R3435" s="49">
        <v>3433</v>
      </c>
      <c r="S3435" s="59">
        <f ca="1">Dashboard!B$8* Dashboard!$F$4+Dashboard!B$10*SQRT(Dashboard!$F$4) * _xlfn.NORM.S.INV(RAND())</f>
        <v>-2.9325818814291083E-2</v>
      </c>
      <c r="T3435" s="59">
        <f ca="1">Dashboard!C$8* Dashboard!$F$4+Dashboard!C$10*SQRT(Dashboard!$F$4) * _xlfn.NORM.S.INV(RAND())</f>
        <v>-1.9554398428510231E-2</v>
      </c>
      <c r="U3435" s="59">
        <f ca="1">Dashboard!D$8* Dashboard!$F$4+Dashboard!D$10*SQRT(Dashboard!$F$4) * _xlfn.NORM.S.INV(RAND())</f>
        <v>2.931278865601751E-2</v>
      </c>
    </row>
    <row r="3436" spans="18:21" x14ac:dyDescent="0.2">
      <c r="R3436" s="49">
        <v>3434</v>
      </c>
      <c r="S3436" s="59">
        <f ca="1">Dashboard!B$8* Dashboard!$F$4+Dashboard!B$10*SQRT(Dashboard!$F$4) * _xlfn.NORM.S.INV(RAND())</f>
        <v>1.1319908446218614E-2</v>
      </c>
      <c r="T3436" s="59">
        <f ca="1">Dashboard!C$8* Dashboard!$F$4+Dashboard!C$10*SQRT(Dashboard!$F$4) * _xlfn.NORM.S.INV(RAND())</f>
        <v>1.3326110196458602E-2</v>
      </c>
      <c r="U3436" s="59">
        <f ca="1">Dashboard!D$8* Dashboard!$F$4+Dashboard!D$10*SQRT(Dashboard!$F$4) * _xlfn.NORM.S.INV(RAND())</f>
        <v>4.8000285258260056E-3</v>
      </c>
    </row>
    <row r="3437" spans="18:21" x14ac:dyDescent="0.2">
      <c r="R3437" s="49">
        <v>3435</v>
      </c>
      <c r="S3437" s="59">
        <f ca="1">Dashboard!B$8* Dashboard!$F$4+Dashboard!B$10*SQRT(Dashboard!$F$4) * _xlfn.NORM.S.INV(RAND())</f>
        <v>9.9188656793633648E-3</v>
      </c>
      <c r="T3437" s="59">
        <f ca="1">Dashboard!C$8* Dashboard!$F$4+Dashboard!C$10*SQRT(Dashboard!$F$4) * _xlfn.NORM.S.INV(RAND())</f>
        <v>4.8855213820785462E-2</v>
      </c>
      <c r="U3437" s="59">
        <f ca="1">Dashboard!D$8* Dashboard!$F$4+Dashboard!D$10*SQRT(Dashboard!$F$4) * _xlfn.NORM.S.INV(RAND())</f>
        <v>1.7962595364208731E-3</v>
      </c>
    </row>
    <row r="3438" spans="18:21" x14ac:dyDescent="0.2">
      <c r="R3438" s="49">
        <v>3436</v>
      </c>
      <c r="S3438" s="59">
        <f ca="1">Dashboard!B$8* Dashboard!$F$4+Dashboard!B$10*SQRT(Dashboard!$F$4) * _xlfn.NORM.S.INV(RAND())</f>
        <v>1.208410426160623E-2</v>
      </c>
      <c r="T3438" s="59">
        <f ca="1">Dashboard!C$8* Dashboard!$F$4+Dashboard!C$10*SQRT(Dashboard!$F$4) * _xlfn.NORM.S.INV(RAND())</f>
        <v>1.7575057671172876E-2</v>
      </c>
      <c r="U3438" s="59">
        <f ca="1">Dashboard!D$8* Dashboard!$F$4+Dashboard!D$10*SQRT(Dashboard!$F$4) * _xlfn.NORM.S.INV(RAND())</f>
        <v>-4.2834193468487469E-3</v>
      </c>
    </row>
    <row r="3439" spans="18:21" x14ac:dyDescent="0.2">
      <c r="R3439" s="49">
        <v>3437</v>
      </c>
      <c r="S3439" s="59">
        <f ca="1">Dashboard!B$8* Dashboard!$F$4+Dashboard!B$10*SQRT(Dashboard!$F$4) * _xlfn.NORM.S.INV(RAND())</f>
        <v>-5.3953912324407102E-3</v>
      </c>
      <c r="T3439" s="59">
        <f ca="1">Dashboard!C$8* Dashboard!$F$4+Dashboard!C$10*SQRT(Dashboard!$F$4) * _xlfn.NORM.S.INV(RAND())</f>
        <v>5.1605518206873473E-2</v>
      </c>
      <c r="U3439" s="59">
        <f ca="1">Dashboard!D$8* Dashboard!$F$4+Dashboard!D$10*SQRT(Dashboard!$F$4) * _xlfn.NORM.S.INV(RAND())</f>
        <v>-1.8218054040311617E-3</v>
      </c>
    </row>
    <row r="3440" spans="18:21" x14ac:dyDescent="0.2">
      <c r="R3440" s="49">
        <v>3438</v>
      </c>
      <c r="S3440" s="59">
        <f ca="1">Dashboard!B$8* Dashboard!$F$4+Dashboard!B$10*SQRT(Dashboard!$F$4) * _xlfn.NORM.S.INV(RAND())</f>
        <v>-5.9030677540041827E-2</v>
      </c>
      <c r="T3440" s="59">
        <f ca="1">Dashboard!C$8* Dashboard!$F$4+Dashboard!C$10*SQRT(Dashboard!$F$4) * _xlfn.NORM.S.INV(RAND())</f>
        <v>5.9632871628755059E-3</v>
      </c>
      <c r="U3440" s="59">
        <f ca="1">Dashboard!D$8* Dashboard!$F$4+Dashboard!D$10*SQRT(Dashboard!$F$4) * _xlfn.NORM.S.INV(RAND())</f>
        <v>2.4020586142700598E-2</v>
      </c>
    </row>
    <row r="3441" spans="18:21" x14ac:dyDescent="0.2">
      <c r="R3441" s="49">
        <v>3439</v>
      </c>
      <c r="S3441" s="59">
        <f ca="1">Dashboard!B$8* Dashboard!$F$4+Dashboard!B$10*SQRT(Dashboard!$F$4) * _xlfn.NORM.S.INV(RAND())</f>
        <v>-3.7797809470188265E-2</v>
      </c>
      <c r="T3441" s="59">
        <f ca="1">Dashboard!C$8* Dashboard!$F$4+Dashboard!C$10*SQRT(Dashboard!$F$4) * _xlfn.NORM.S.INV(RAND())</f>
        <v>1.4053111045339104E-2</v>
      </c>
      <c r="U3441" s="59">
        <f ca="1">Dashboard!D$8* Dashboard!$F$4+Dashboard!D$10*SQRT(Dashboard!$F$4) * _xlfn.NORM.S.INV(RAND())</f>
        <v>-1.5454764638113173E-2</v>
      </c>
    </row>
    <row r="3442" spans="18:21" x14ac:dyDescent="0.2">
      <c r="R3442" s="49">
        <v>3440</v>
      </c>
      <c r="S3442" s="59">
        <f ca="1">Dashboard!B$8* Dashboard!$F$4+Dashboard!B$10*SQRT(Dashboard!$F$4) * _xlfn.NORM.S.INV(RAND())</f>
        <v>-9.9570848138224345E-3</v>
      </c>
      <c r="T3442" s="59">
        <f ca="1">Dashboard!C$8* Dashboard!$F$4+Dashboard!C$10*SQRT(Dashboard!$F$4) * _xlfn.NORM.S.INV(RAND())</f>
        <v>2.0896182561978185E-2</v>
      </c>
      <c r="U3442" s="59">
        <f ca="1">Dashboard!D$8* Dashboard!$F$4+Dashboard!D$10*SQRT(Dashboard!$F$4) * _xlfn.NORM.S.INV(RAND())</f>
        <v>2.2680769384034703E-3</v>
      </c>
    </row>
    <row r="3443" spans="18:21" x14ac:dyDescent="0.2">
      <c r="R3443" s="49">
        <v>3441</v>
      </c>
      <c r="S3443" s="59">
        <f ca="1">Dashboard!B$8* Dashboard!$F$4+Dashboard!B$10*SQRT(Dashboard!$F$4) * _xlfn.NORM.S.INV(RAND())</f>
        <v>3.1583823501688174E-2</v>
      </c>
      <c r="T3443" s="59">
        <f ca="1">Dashboard!C$8* Dashboard!$F$4+Dashboard!C$10*SQRT(Dashboard!$F$4) * _xlfn.NORM.S.INV(RAND())</f>
        <v>4.6584265343810348E-2</v>
      </c>
      <c r="U3443" s="59">
        <f ca="1">Dashboard!D$8* Dashboard!$F$4+Dashboard!D$10*SQRT(Dashboard!$F$4) * _xlfn.NORM.S.INV(RAND())</f>
        <v>-5.5395430574386333E-2</v>
      </c>
    </row>
    <row r="3444" spans="18:21" x14ac:dyDescent="0.2">
      <c r="R3444" s="49">
        <v>3442</v>
      </c>
      <c r="S3444" s="59">
        <f ca="1">Dashboard!B$8* Dashboard!$F$4+Dashboard!B$10*SQRT(Dashboard!$F$4) * _xlfn.NORM.S.INV(RAND())</f>
        <v>5.7205581655791343E-3</v>
      </c>
      <c r="T3444" s="59">
        <f ca="1">Dashboard!C$8* Dashboard!$F$4+Dashboard!C$10*SQRT(Dashboard!$F$4) * _xlfn.NORM.S.INV(RAND())</f>
        <v>1.4676996176287229E-2</v>
      </c>
      <c r="U3444" s="59">
        <f ca="1">Dashboard!D$8* Dashboard!$F$4+Dashboard!D$10*SQRT(Dashboard!$F$4) * _xlfn.NORM.S.INV(RAND())</f>
        <v>-2.4640533328153587E-2</v>
      </c>
    </row>
    <row r="3445" spans="18:21" x14ac:dyDescent="0.2">
      <c r="R3445" s="49">
        <v>3443</v>
      </c>
      <c r="S3445" s="59">
        <f ca="1">Dashboard!B$8* Dashboard!$F$4+Dashboard!B$10*SQRT(Dashboard!$F$4) * _xlfn.NORM.S.INV(RAND())</f>
        <v>5.0139436258570119E-3</v>
      </c>
      <c r="T3445" s="59">
        <f ca="1">Dashboard!C$8* Dashboard!$F$4+Dashboard!C$10*SQRT(Dashboard!$F$4) * _xlfn.NORM.S.INV(RAND())</f>
        <v>3.0388747801665915E-2</v>
      </c>
      <c r="U3445" s="59">
        <f ca="1">Dashboard!D$8* Dashboard!$F$4+Dashboard!D$10*SQRT(Dashboard!$F$4) * _xlfn.NORM.S.INV(RAND())</f>
        <v>-3.0863686877531587E-2</v>
      </c>
    </row>
    <row r="3446" spans="18:21" x14ac:dyDescent="0.2">
      <c r="R3446" s="49">
        <v>3444</v>
      </c>
      <c r="S3446" s="59">
        <f ca="1">Dashboard!B$8* Dashboard!$F$4+Dashboard!B$10*SQRT(Dashboard!$F$4) * _xlfn.NORM.S.INV(RAND())</f>
        <v>4.8482369818828322E-2</v>
      </c>
      <c r="T3446" s="59">
        <f ca="1">Dashboard!C$8* Dashboard!$F$4+Dashboard!C$10*SQRT(Dashboard!$F$4) * _xlfn.NORM.S.INV(RAND())</f>
        <v>-4.9321511533738996E-2</v>
      </c>
      <c r="U3446" s="59">
        <f ca="1">Dashboard!D$8* Dashboard!$F$4+Dashboard!D$10*SQRT(Dashboard!$F$4) * _xlfn.NORM.S.INV(RAND())</f>
        <v>2.7783581277645939E-3</v>
      </c>
    </row>
    <row r="3447" spans="18:21" x14ac:dyDescent="0.2">
      <c r="R3447" s="49">
        <v>3445</v>
      </c>
      <c r="S3447" s="59">
        <f ca="1">Dashboard!B$8* Dashboard!$F$4+Dashboard!B$10*SQRT(Dashboard!$F$4) * _xlfn.NORM.S.INV(RAND())</f>
        <v>-3.6940463771771015E-2</v>
      </c>
      <c r="T3447" s="59">
        <f ca="1">Dashboard!C$8* Dashboard!$F$4+Dashboard!C$10*SQRT(Dashboard!$F$4) * _xlfn.NORM.S.INV(RAND())</f>
        <v>-3.3207214524778221E-3</v>
      </c>
      <c r="U3447" s="59">
        <f ca="1">Dashboard!D$8* Dashboard!$F$4+Dashboard!D$10*SQRT(Dashboard!$F$4) * _xlfn.NORM.S.INV(RAND())</f>
        <v>7.0721718289906447E-3</v>
      </c>
    </row>
    <row r="3448" spans="18:21" x14ac:dyDescent="0.2">
      <c r="R3448" s="49">
        <v>3446</v>
      </c>
      <c r="S3448" s="59">
        <f ca="1">Dashboard!B$8* Dashboard!$F$4+Dashboard!B$10*SQRT(Dashboard!$F$4) * _xlfn.NORM.S.INV(RAND())</f>
        <v>8.1740625511923948E-3</v>
      </c>
      <c r="T3448" s="59">
        <f ca="1">Dashboard!C$8* Dashboard!$F$4+Dashboard!C$10*SQRT(Dashboard!$F$4) * _xlfn.NORM.S.INV(RAND())</f>
        <v>7.9535712146579604E-2</v>
      </c>
      <c r="U3448" s="59">
        <f ca="1">Dashboard!D$8* Dashboard!$F$4+Dashboard!D$10*SQRT(Dashboard!$F$4) * _xlfn.NORM.S.INV(RAND())</f>
        <v>6.7234751713732216E-3</v>
      </c>
    </row>
    <row r="3449" spans="18:21" x14ac:dyDescent="0.2">
      <c r="R3449" s="49">
        <v>3447</v>
      </c>
      <c r="S3449" s="59">
        <f ca="1">Dashboard!B$8* Dashboard!$F$4+Dashboard!B$10*SQRT(Dashboard!$F$4) * _xlfn.NORM.S.INV(RAND())</f>
        <v>3.2556506294455449E-3</v>
      </c>
      <c r="T3449" s="59">
        <f ca="1">Dashboard!C$8* Dashboard!$F$4+Dashboard!C$10*SQRT(Dashboard!$F$4) * _xlfn.NORM.S.INV(RAND())</f>
        <v>-5.7586306647418586E-3</v>
      </c>
      <c r="U3449" s="59">
        <f ca="1">Dashboard!D$8* Dashboard!$F$4+Dashboard!D$10*SQRT(Dashboard!$F$4) * _xlfn.NORM.S.INV(RAND())</f>
        <v>-4.4214068669396957E-2</v>
      </c>
    </row>
    <row r="3450" spans="18:21" x14ac:dyDescent="0.2">
      <c r="R3450" s="49">
        <v>3448</v>
      </c>
      <c r="S3450" s="59">
        <f ca="1">Dashboard!B$8* Dashboard!$F$4+Dashboard!B$10*SQRT(Dashboard!$F$4) * _xlfn.NORM.S.INV(RAND())</f>
        <v>-1.1691040159956343E-2</v>
      </c>
      <c r="T3450" s="59">
        <f ca="1">Dashboard!C$8* Dashboard!$F$4+Dashboard!C$10*SQRT(Dashboard!$F$4) * _xlfn.NORM.S.INV(RAND())</f>
        <v>9.1035694715496541E-3</v>
      </c>
      <c r="U3450" s="59">
        <f ca="1">Dashboard!D$8* Dashboard!$F$4+Dashboard!D$10*SQRT(Dashboard!$F$4) * _xlfn.NORM.S.INV(RAND())</f>
        <v>3.7336383619986133E-2</v>
      </c>
    </row>
    <row r="3451" spans="18:21" x14ac:dyDescent="0.2">
      <c r="R3451" s="49">
        <v>3449</v>
      </c>
      <c r="S3451" s="59">
        <f ca="1">Dashboard!B$8* Dashboard!$F$4+Dashboard!B$10*SQRT(Dashboard!$F$4) * _xlfn.NORM.S.INV(RAND())</f>
        <v>8.0542828988460172E-2</v>
      </c>
      <c r="T3451" s="59">
        <f ca="1">Dashboard!C$8* Dashboard!$F$4+Dashboard!C$10*SQRT(Dashboard!$F$4) * _xlfn.NORM.S.INV(RAND())</f>
        <v>-3.0977948661387627E-2</v>
      </c>
      <c r="U3451" s="59">
        <f ca="1">Dashboard!D$8* Dashboard!$F$4+Dashboard!D$10*SQRT(Dashboard!$F$4) * _xlfn.NORM.S.INV(RAND())</f>
        <v>1.1506255877514492E-2</v>
      </c>
    </row>
    <row r="3452" spans="18:21" x14ac:dyDescent="0.2">
      <c r="R3452" s="49">
        <v>3450</v>
      </c>
      <c r="S3452" s="59">
        <f ca="1">Dashboard!B$8* Dashboard!$F$4+Dashboard!B$10*SQRT(Dashboard!$F$4) * _xlfn.NORM.S.INV(RAND())</f>
        <v>1.3083753583264402E-3</v>
      </c>
      <c r="T3452" s="59">
        <f ca="1">Dashboard!C$8* Dashboard!$F$4+Dashboard!C$10*SQRT(Dashboard!$F$4) * _xlfn.NORM.S.INV(RAND())</f>
        <v>-1.1139529678365484E-2</v>
      </c>
      <c r="U3452" s="59">
        <f ca="1">Dashboard!D$8* Dashboard!$F$4+Dashboard!D$10*SQRT(Dashboard!$F$4) * _xlfn.NORM.S.INV(RAND())</f>
        <v>4.3711583173776783E-2</v>
      </c>
    </row>
    <row r="3453" spans="18:21" x14ac:dyDescent="0.2">
      <c r="R3453" s="49">
        <v>3451</v>
      </c>
      <c r="S3453" s="59">
        <f ca="1">Dashboard!B$8* Dashboard!$F$4+Dashboard!B$10*SQRT(Dashboard!$F$4) * _xlfn.NORM.S.INV(RAND())</f>
        <v>-1.5056558029719528E-2</v>
      </c>
      <c r="T3453" s="59">
        <f ca="1">Dashboard!C$8* Dashboard!$F$4+Dashboard!C$10*SQRT(Dashboard!$F$4) * _xlfn.NORM.S.INV(RAND())</f>
        <v>4.5188988936728118E-2</v>
      </c>
      <c r="U3453" s="59">
        <f ca="1">Dashboard!D$8* Dashboard!$F$4+Dashboard!D$10*SQRT(Dashboard!$F$4) * _xlfn.NORM.S.INV(RAND())</f>
        <v>1.5327916708721977E-2</v>
      </c>
    </row>
    <row r="3454" spans="18:21" x14ac:dyDescent="0.2">
      <c r="R3454" s="49">
        <v>3452</v>
      </c>
      <c r="S3454" s="59">
        <f ca="1">Dashboard!B$8* Dashboard!$F$4+Dashboard!B$10*SQRT(Dashboard!$F$4) * _xlfn.NORM.S.INV(RAND())</f>
        <v>-3.675202975737283E-2</v>
      </c>
      <c r="T3454" s="59">
        <f ca="1">Dashboard!C$8* Dashboard!$F$4+Dashboard!C$10*SQRT(Dashboard!$F$4) * _xlfn.NORM.S.INV(RAND())</f>
        <v>1.5059504654183875E-2</v>
      </c>
      <c r="U3454" s="59">
        <f ca="1">Dashboard!D$8* Dashboard!$F$4+Dashboard!D$10*SQRT(Dashboard!$F$4) * _xlfn.NORM.S.INV(RAND())</f>
        <v>2.3711388358988892E-3</v>
      </c>
    </row>
    <row r="3455" spans="18:21" x14ac:dyDescent="0.2">
      <c r="R3455" s="49">
        <v>3453</v>
      </c>
      <c r="S3455" s="59">
        <f ca="1">Dashboard!B$8* Dashboard!$F$4+Dashboard!B$10*SQRT(Dashboard!$F$4) * _xlfn.NORM.S.INV(RAND())</f>
        <v>-3.5880209765190947E-3</v>
      </c>
      <c r="T3455" s="59">
        <f ca="1">Dashboard!C$8* Dashboard!$F$4+Dashboard!C$10*SQRT(Dashboard!$F$4) * _xlfn.NORM.S.INV(RAND())</f>
        <v>-1.6172912941935999E-4</v>
      </c>
      <c r="U3455" s="59">
        <f ca="1">Dashboard!D$8* Dashboard!$F$4+Dashboard!D$10*SQRT(Dashboard!$F$4) * _xlfn.NORM.S.INV(RAND())</f>
        <v>5.6079345617531598E-2</v>
      </c>
    </row>
    <row r="3456" spans="18:21" x14ac:dyDescent="0.2">
      <c r="R3456" s="49">
        <v>3454</v>
      </c>
      <c r="S3456" s="59">
        <f ca="1">Dashboard!B$8* Dashboard!$F$4+Dashboard!B$10*SQRT(Dashboard!$F$4) * _xlfn.NORM.S.INV(RAND())</f>
        <v>-4.6286648471661911E-2</v>
      </c>
      <c r="T3456" s="59">
        <f ca="1">Dashboard!C$8* Dashboard!$F$4+Dashboard!C$10*SQRT(Dashboard!$F$4) * _xlfn.NORM.S.INV(RAND())</f>
        <v>-2.3824804855022287E-2</v>
      </c>
      <c r="U3456" s="59">
        <f ca="1">Dashboard!D$8* Dashboard!$F$4+Dashboard!D$10*SQRT(Dashboard!$F$4) * _xlfn.NORM.S.INV(RAND())</f>
        <v>-1.5760652327926485E-2</v>
      </c>
    </row>
    <row r="3457" spans="18:21" x14ac:dyDescent="0.2">
      <c r="R3457" s="49">
        <v>3455</v>
      </c>
      <c r="S3457" s="59">
        <f ca="1">Dashboard!B$8* Dashboard!$F$4+Dashboard!B$10*SQRT(Dashboard!$F$4) * _xlfn.NORM.S.INV(RAND())</f>
        <v>1.9988311255217592E-2</v>
      </c>
      <c r="T3457" s="59">
        <f ca="1">Dashboard!C$8* Dashboard!$F$4+Dashboard!C$10*SQRT(Dashboard!$F$4) * _xlfn.NORM.S.INV(RAND())</f>
        <v>-8.0791723251169671E-3</v>
      </c>
      <c r="U3457" s="59">
        <f ca="1">Dashboard!D$8* Dashboard!$F$4+Dashboard!D$10*SQRT(Dashboard!$F$4) * _xlfn.NORM.S.INV(RAND())</f>
        <v>-2.6718129850514825E-2</v>
      </c>
    </row>
    <row r="3458" spans="18:21" x14ac:dyDescent="0.2">
      <c r="R3458" s="49">
        <v>3456</v>
      </c>
      <c r="S3458" s="59">
        <f ca="1">Dashboard!B$8* Dashboard!$F$4+Dashboard!B$10*SQRT(Dashboard!$F$4) * _xlfn.NORM.S.INV(RAND())</f>
        <v>-5.4280785462438648E-2</v>
      </c>
      <c r="T3458" s="59">
        <f ca="1">Dashboard!C$8* Dashboard!$F$4+Dashboard!C$10*SQRT(Dashboard!$F$4) * _xlfn.NORM.S.INV(RAND())</f>
        <v>-2.9317082750160203E-2</v>
      </c>
      <c r="U3458" s="59">
        <f ca="1">Dashboard!D$8* Dashboard!$F$4+Dashboard!D$10*SQRT(Dashboard!$F$4) * _xlfn.NORM.S.INV(RAND())</f>
        <v>-4.8503635413172978E-2</v>
      </c>
    </row>
    <row r="3459" spans="18:21" x14ac:dyDescent="0.2">
      <c r="R3459" s="49">
        <v>3457</v>
      </c>
      <c r="S3459" s="59">
        <f ca="1">Dashboard!B$8* Dashboard!$F$4+Dashboard!B$10*SQRT(Dashboard!$F$4) * _xlfn.NORM.S.INV(RAND())</f>
        <v>-3.6222885893570693E-2</v>
      </c>
      <c r="T3459" s="59">
        <f ca="1">Dashboard!C$8* Dashboard!$F$4+Dashboard!C$10*SQRT(Dashboard!$F$4) * _xlfn.NORM.S.INV(RAND())</f>
        <v>6.4963869506842228E-2</v>
      </c>
      <c r="U3459" s="59">
        <f ca="1">Dashboard!D$8* Dashboard!$F$4+Dashboard!D$10*SQRT(Dashboard!$F$4) * _xlfn.NORM.S.INV(RAND())</f>
        <v>2.5871449547543338E-2</v>
      </c>
    </row>
    <row r="3460" spans="18:21" x14ac:dyDescent="0.2">
      <c r="R3460" s="49">
        <v>3458</v>
      </c>
      <c r="S3460" s="59">
        <f ca="1">Dashboard!B$8* Dashboard!$F$4+Dashboard!B$10*SQRT(Dashboard!$F$4) * _xlfn.NORM.S.INV(RAND())</f>
        <v>-1.7869390871856378E-2</v>
      </c>
      <c r="T3460" s="59">
        <f ca="1">Dashboard!C$8* Dashboard!$F$4+Dashboard!C$10*SQRT(Dashboard!$F$4) * _xlfn.NORM.S.INV(RAND())</f>
        <v>-8.1028713993932001E-3</v>
      </c>
      <c r="U3460" s="59">
        <f ca="1">Dashboard!D$8* Dashboard!$F$4+Dashboard!D$10*SQRT(Dashboard!$F$4) * _xlfn.NORM.S.INV(RAND())</f>
        <v>-2.1462329937925607E-2</v>
      </c>
    </row>
    <row r="3461" spans="18:21" x14ac:dyDescent="0.2">
      <c r="R3461" s="49">
        <v>3459</v>
      </c>
      <c r="S3461" s="59">
        <f ca="1">Dashboard!B$8* Dashboard!$F$4+Dashboard!B$10*SQRT(Dashboard!$F$4) * _xlfn.NORM.S.INV(RAND())</f>
        <v>-2.463042666440618E-2</v>
      </c>
      <c r="T3461" s="59">
        <f ca="1">Dashboard!C$8* Dashboard!$F$4+Dashboard!C$10*SQRT(Dashboard!$F$4) * _xlfn.NORM.S.INV(RAND())</f>
        <v>1.2259651770018084E-2</v>
      </c>
      <c r="U3461" s="59">
        <f ca="1">Dashboard!D$8* Dashboard!$F$4+Dashboard!D$10*SQRT(Dashboard!$F$4) * _xlfn.NORM.S.INV(RAND())</f>
        <v>-5.7457657029534065E-2</v>
      </c>
    </row>
    <row r="3462" spans="18:21" x14ac:dyDescent="0.2">
      <c r="R3462" s="49">
        <v>3460</v>
      </c>
      <c r="S3462" s="59">
        <f ca="1">Dashboard!B$8* Dashboard!$F$4+Dashboard!B$10*SQRT(Dashboard!$F$4) * _xlfn.NORM.S.INV(RAND())</f>
        <v>1.1272308262129773E-2</v>
      </c>
      <c r="T3462" s="59">
        <f ca="1">Dashboard!C$8* Dashboard!$F$4+Dashboard!C$10*SQRT(Dashboard!$F$4) * _xlfn.NORM.S.INV(RAND())</f>
        <v>1.8281380613101528E-2</v>
      </c>
      <c r="U3462" s="59">
        <f ca="1">Dashboard!D$8* Dashboard!$F$4+Dashboard!D$10*SQRT(Dashboard!$F$4) * _xlfn.NORM.S.INV(RAND())</f>
        <v>-2.4655168876115515E-2</v>
      </c>
    </row>
    <row r="3463" spans="18:21" x14ac:dyDescent="0.2">
      <c r="R3463" s="49">
        <v>3461</v>
      </c>
      <c r="S3463" s="59">
        <f ca="1">Dashboard!B$8* Dashboard!$F$4+Dashboard!B$10*SQRT(Dashboard!$F$4) * _xlfn.NORM.S.INV(RAND())</f>
        <v>-5.3959114071918224E-2</v>
      </c>
      <c r="T3463" s="59">
        <f ca="1">Dashboard!C$8* Dashboard!$F$4+Dashboard!C$10*SQRT(Dashboard!$F$4) * _xlfn.NORM.S.INV(RAND())</f>
        <v>4.8990760066912442E-2</v>
      </c>
      <c r="U3463" s="59">
        <f ca="1">Dashboard!D$8* Dashboard!$F$4+Dashboard!D$10*SQRT(Dashboard!$F$4) * _xlfn.NORM.S.INV(RAND())</f>
        <v>1.3748381582799882E-2</v>
      </c>
    </row>
    <row r="3464" spans="18:21" x14ac:dyDescent="0.2">
      <c r="R3464" s="49">
        <v>3462</v>
      </c>
      <c r="S3464" s="59">
        <f ca="1">Dashboard!B$8* Dashboard!$F$4+Dashboard!B$10*SQRT(Dashboard!$F$4) * _xlfn.NORM.S.INV(RAND())</f>
        <v>-4.6949056030113597E-3</v>
      </c>
      <c r="T3464" s="59">
        <f ca="1">Dashboard!C$8* Dashboard!$F$4+Dashboard!C$10*SQRT(Dashboard!$F$4) * _xlfn.NORM.S.INV(RAND())</f>
        <v>4.2349640517417384E-3</v>
      </c>
      <c r="U3464" s="59">
        <f ca="1">Dashboard!D$8* Dashboard!$F$4+Dashboard!D$10*SQRT(Dashboard!$F$4) * _xlfn.NORM.S.INV(RAND())</f>
        <v>1.6291848261477251E-2</v>
      </c>
    </row>
    <row r="3465" spans="18:21" x14ac:dyDescent="0.2">
      <c r="R3465" s="49">
        <v>3463</v>
      </c>
      <c r="S3465" s="59">
        <f ca="1">Dashboard!B$8* Dashboard!$F$4+Dashboard!B$10*SQRT(Dashboard!$F$4) * _xlfn.NORM.S.INV(RAND())</f>
        <v>-1.5454153351340797E-2</v>
      </c>
      <c r="T3465" s="59">
        <f ca="1">Dashboard!C$8* Dashboard!$F$4+Dashboard!C$10*SQRT(Dashboard!$F$4) * _xlfn.NORM.S.INV(RAND())</f>
        <v>7.0896719069578097E-3</v>
      </c>
      <c r="U3465" s="59">
        <f ca="1">Dashboard!D$8* Dashboard!$F$4+Dashboard!D$10*SQRT(Dashboard!$F$4) * _xlfn.NORM.S.INV(RAND())</f>
        <v>3.9458718820456103E-2</v>
      </c>
    </row>
    <row r="3466" spans="18:21" x14ac:dyDescent="0.2">
      <c r="R3466" s="49">
        <v>3464</v>
      </c>
      <c r="S3466" s="59">
        <f ca="1">Dashboard!B$8* Dashboard!$F$4+Dashboard!B$10*SQRT(Dashboard!$F$4) * _xlfn.NORM.S.INV(RAND())</f>
        <v>3.5785261893606715E-2</v>
      </c>
      <c r="T3466" s="59">
        <f ca="1">Dashboard!C$8* Dashboard!$F$4+Dashboard!C$10*SQRT(Dashboard!$F$4) * _xlfn.NORM.S.INV(RAND())</f>
        <v>1.2939588383311253E-2</v>
      </c>
      <c r="U3466" s="59">
        <f ca="1">Dashboard!D$8* Dashboard!$F$4+Dashboard!D$10*SQRT(Dashboard!$F$4) * _xlfn.NORM.S.INV(RAND())</f>
        <v>2.219121379710251E-2</v>
      </c>
    </row>
    <row r="3467" spans="18:21" x14ac:dyDescent="0.2">
      <c r="R3467" s="49">
        <v>3465</v>
      </c>
      <c r="S3467" s="59">
        <f ca="1">Dashboard!B$8* Dashboard!$F$4+Dashboard!B$10*SQRT(Dashboard!$F$4) * _xlfn.NORM.S.INV(RAND())</f>
        <v>-0.12333968433255697</v>
      </c>
      <c r="T3467" s="59">
        <f ca="1">Dashboard!C$8* Dashboard!$F$4+Dashboard!C$10*SQRT(Dashboard!$F$4) * _xlfn.NORM.S.INV(RAND())</f>
        <v>-2.0633315313108519E-3</v>
      </c>
      <c r="U3467" s="59">
        <f ca="1">Dashboard!D$8* Dashboard!$F$4+Dashboard!D$10*SQRT(Dashboard!$F$4) * _xlfn.NORM.S.INV(RAND())</f>
        <v>-1.1332820571852524E-2</v>
      </c>
    </row>
    <row r="3468" spans="18:21" x14ac:dyDescent="0.2">
      <c r="R3468" s="49">
        <v>3466</v>
      </c>
      <c r="S3468" s="59">
        <f ca="1">Dashboard!B$8* Dashboard!$F$4+Dashboard!B$10*SQRT(Dashboard!$F$4) * _xlfn.NORM.S.INV(RAND())</f>
        <v>-1.6412491098640875E-2</v>
      </c>
      <c r="T3468" s="59">
        <f ca="1">Dashboard!C$8* Dashboard!$F$4+Dashboard!C$10*SQRT(Dashboard!$F$4) * _xlfn.NORM.S.INV(RAND())</f>
        <v>6.094127065611671E-3</v>
      </c>
      <c r="U3468" s="59">
        <f ca="1">Dashboard!D$8* Dashboard!$F$4+Dashboard!D$10*SQRT(Dashboard!$F$4) * _xlfn.NORM.S.INV(RAND())</f>
        <v>-3.5540004915724309E-2</v>
      </c>
    </row>
    <row r="3469" spans="18:21" x14ac:dyDescent="0.2">
      <c r="R3469" s="49">
        <v>3467</v>
      </c>
      <c r="S3469" s="59">
        <f ca="1">Dashboard!B$8* Dashboard!$F$4+Dashboard!B$10*SQRT(Dashboard!$F$4) * _xlfn.NORM.S.INV(RAND())</f>
        <v>4.3414812370580834E-2</v>
      </c>
      <c r="T3469" s="59">
        <f ca="1">Dashboard!C$8* Dashboard!$F$4+Dashboard!C$10*SQRT(Dashboard!$F$4) * _xlfn.NORM.S.INV(RAND())</f>
        <v>3.1446505329885154E-2</v>
      </c>
      <c r="U3469" s="59">
        <f ca="1">Dashboard!D$8* Dashboard!$F$4+Dashboard!D$10*SQRT(Dashboard!$F$4) * _xlfn.NORM.S.INV(RAND())</f>
        <v>2.7087825887639361E-2</v>
      </c>
    </row>
    <row r="3470" spans="18:21" x14ac:dyDescent="0.2">
      <c r="R3470" s="49">
        <v>3468</v>
      </c>
      <c r="S3470" s="59">
        <f ca="1">Dashboard!B$8* Dashboard!$F$4+Dashboard!B$10*SQRT(Dashboard!$F$4) * _xlfn.NORM.S.INV(RAND())</f>
        <v>-9.5149662817644066E-3</v>
      </c>
      <c r="T3470" s="59">
        <f ca="1">Dashboard!C$8* Dashboard!$F$4+Dashboard!C$10*SQRT(Dashboard!$F$4) * _xlfn.NORM.S.INV(RAND())</f>
        <v>3.5128391569729793E-2</v>
      </c>
      <c r="U3470" s="59">
        <f ca="1">Dashboard!D$8* Dashboard!$F$4+Dashboard!D$10*SQRT(Dashboard!$F$4) * _xlfn.NORM.S.INV(RAND())</f>
        <v>5.4438315200602307E-2</v>
      </c>
    </row>
    <row r="3471" spans="18:21" x14ac:dyDescent="0.2">
      <c r="R3471" s="49">
        <v>3469</v>
      </c>
      <c r="S3471" s="59">
        <f ca="1">Dashboard!B$8* Dashboard!$F$4+Dashboard!B$10*SQRT(Dashboard!$F$4) * _xlfn.NORM.S.INV(RAND())</f>
        <v>-4.2644489376418918E-2</v>
      </c>
      <c r="T3471" s="59">
        <f ca="1">Dashboard!C$8* Dashboard!$F$4+Dashboard!C$10*SQRT(Dashboard!$F$4) * _xlfn.NORM.S.INV(RAND())</f>
        <v>2.8724480970345682E-2</v>
      </c>
      <c r="U3471" s="59">
        <f ca="1">Dashboard!D$8* Dashboard!$F$4+Dashboard!D$10*SQRT(Dashboard!$F$4) * _xlfn.NORM.S.INV(RAND())</f>
        <v>1.6938506284528771E-2</v>
      </c>
    </row>
    <row r="3472" spans="18:21" x14ac:dyDescent="0.2">
      <c r="R3472" s="49">
        <v>3470</v>
      </c>
      <c r="S3472" s="59">
        <f ca="1">Dashboard!B$8* Dashboard!$F$4+Dashboard!B$10*SQRT(Dashboard!$F$4) * _xlfn.NORM.S.INV(RAND())</f>
        <v>1.9725247123999798E-2</v>
      </c>
      <c r="T3472" s="59">
        <f ca="1">Dashboard!C$8* Dashboard!$F$4+Dashboard!C$10*SQRT(Dashboard!$F$4) * _xlfn.NORM.S.INV(RAND())</f>
        <v>-7.8460292934125472E-2</v>
      </c>
      <c r="U3472" s="59">
        <f ca="1">Dashboard!D$8* Dashboard!$F$4+Dashboard!D$10*SQRT(Dashboard!$F$4) * _xlfn.NORM.S.INV(RAND())</f>
        <v>-1.4518242276107348E-2</v>
      </c>
    </row>
    <row r="3473" spans="18:21" x14ac:dyDescent="0.2">
      <c r="R3473" s="49">
        <v>3471</v>
      </c>
      <c r="S3473" s="59">
        <f ca="1">Dashboard!B$8* Dashboard!$F$4+Dashboard!B$10*SQRT(Dashboard!$F$4) * _xlfn.NORM.S.INV(RAND())</f>
        <v>6.7937293994822616E-3</v>
      </c>
      <c r="T3473" s="59">
        <f ca="1">Dashboard!C$8* Dashboard!$F$4+Dashboard!C$10*SQRT(Dashboard!$F$4) * _xlfn.NORM.S.INV(RAND())</f>
        <v>-4.9836143838536948E-2</v>
      </c>
      <c r="U3473" s="59">
        <f ca="1">Dashboard!D$8* Dashboard!$F$4+Dashboard!D$10*SQRT(Dashboard!$F$4) * _xlfn.NORM.S.INV(RAND())</f>
        <v>-2.2935941226857378E-2</v>
      </c>
    </row>
    <row r="3474" spans="18:21" x14ac:dyDescent="0.2">
      <c r="R3474" s="49">
        <v>3472</v>
      </c>
      <c r="S3474" s="59">
        <f ca="1">Dashboard!B$8* Dashboard!$F$4+Dashboard!B$10*SQRT(Dashboard!$F$4) * _xlfn.NORM.S.INV(RAND())</f>
        <v>-6.7111234941002865E-2</v>
      </c>
      <c r="T3474" s="59">
        <f ca="1">Dashboard!C$8* Dashboard!$F$4+Dashboard!C$10*SQRT(Dashboard!$F$4) * _xlfn.NORM.S.INV(RAND())</f>
        <v>5.0587329734522943E-2</v>
      </c>
      <c r="U3474" s="59">
        <f ca="1">Dashboard!D$8* Dashboard!$F$4+Dashboard!D$10*SQRT(Dashboard!$F$4) * _xlfn.NORM.S.INV(RAND())</f>
        <v>-1.5875028793808307E-2</v>
      </c>
    </row>
    <row r="3475" spans="18:21" x14ac:dyDescent="0.2">
      <c r="R3475" s="49">
        <v>3473</v>
      </c>
      <c r="S3475" s="59">
        <f ca="1">Dashboard!B$8* Dashboard!$F$4+Dashboard!B$10*SQRT(Dashboard!$F$4) * _xlfn.NORM.S.INV(RAND())</f>
        <v>-2.294688361106436E-2</v>
      </c>
      <c r="T3475" s="59">
        <f ca="1">Dashboard!C$8* Dashboard!$F$4+Dashboard!C$10*SQRT(Dashboard!$F$4) * _xlfn.NORM.S.INV(RAND())</f>
        <v>1.3573715336788299E-4</v>
      </c>
      <c r="U3475" s="59">
        <f ca="1">Dashboard!D$8* Dashboard!$F$4+Dashboard!D$10*SQRT(Dashboard!$F$4) * _xlfn.NORM.S.INV(RAND())</f>
        <v>-3.0475434460939504E-2</v>
      </c>
    </row>
    <row r="3476" spans="18:21" x14ac:dyDescent="0.2">
      <c r="R3476" s="49">
        <v>3474</v>
      </c>
      <c r="S3476" s="59">
        <f ca="1">Dashboard!B$8* Dashboard!$F$4+Dashboard!B$10*SQRT(Dashboard!$F$4) * _xlfn.NORM.S.INV(RAND())</f>
        <v>-4.4930277649130698E-2</v>
      </c>
      <c r="T3476" s="59">
        <f ca="1">Dashboard!C$8* Dashboard!$F$4+Dashboard!C$10*SQRT(Dashboard!$F$4) * _xlfn.NORM.S.INV(RAND())</f>
        <v>1.1265370068412817E-2</v>
      </c>
      <c r="U3476" s="59">
        <f ca="1">Dashboard!D$8* Dashboard!$F$4+Dashboard!D$10*SQRT(Dashboard!$F$4) * _xlfn.NORM.S.INV(RAND())</f>
        <v>-4.1250724974008425E-2</v>
      </c>
    </row>
    <row r="3477" spans="18:21" x14ac:dyDescent="0.2">
      <c r="R3477" s="49">
        <v>3475</v>
      </c>
      <c r="S3477" s="59">
        <f ca="1">Dashboard!B$8* Dashboard!$F$4+Dashboard!B$10*SQRT(Dashboard!$F$4) * _xlfn.NORM.S.INV(RAND())</f>
        <v>5.9973954967125154E-2</v>
      </c>
      <c r="T3477" s="59">
        <f ca="1">Dashboard!C$8* Dashboard!$F$4+Dashboard!C$10*SQRT(Dashboard!$F$4) * _xlfn.NORM.S.INV(RAND())</f>
        <v>2.7109710408504923E-2</v>
      </c>
      <c r="U3477" s="59">
        <f ca="1">Dashboard!D$8* Dashboard!$F$4+Dashboard!D$10*SQRT(Dashboard!$F$4) * _xlfn.NORM.S.INV(RAND())</f>
        <v>-2.6540635393164983E-2</v>
      </c>
    </row>
    <row r="3478" spans="18:21" x14ac:dyDescent="0.2">
      <c r="R3478" s="49">
        <v>3476</v>
      </c>
      <c r="S3478" s="59">
        <f ca="1">Dashboard!B$8* Dashboard!$F$4+Dashboard!B$10*SQRT(Dashboard!$F$4) * _xlfn.NORM.S.INV(RAND())</f>
        <v>-6.827613713182583E-4</v>
      </c>
      <c r="T3478" s="59">
        <f ca="1">Dashboard!C$8* Dashboard!$F$4+Dashboard!C$10*SQRT(Dashboard!$F$4) * _xlfn.NORM.S.INV(RAND())</f>
        <v>1.1889479212164912E-5</v>
      </c>
      <c r="U3478" s="59">
        <f ca="1">Dashboard!D$8* Dashboard!$F$4+Dashboard!D$10*SQRT(Dashboard!$F$4) * _xlfn.NORM.S.INV(RAND())</f>
        <v>1.7685595980739335E-2</v>
      </c>
    </row>
    <row r="3479" spans="18:21" x14ac:dyDescent="0.2">
      <c r="R3479" s="49">
        <v>3477</v>
      </c>
      <c r="S3479" s="59">
        <f ca="1">Dashboard!B$8* Dashboard!$F$4+Dashboard!B$10*SQRT(Dashboard!$F$4) * _xlfn.NORM.S.INV(RAND())</f>
        <v>-1.8401593867771814E-2</v>
      </c>
      <c r="T3479" s="59">
        <f ca="1">Dashboard!C$8* Dashboard!$F$4+Dashboard!C$10*SQRT(Dashboard!$F$4) * _xlfn.NORM.S.INV(RAND())</f>
        <v>1.2955020324841783E-2</v>
      </c>
      <c r="U3479" s="59">
        <f ca="1">Dashboard!D$8* Dashboard!$F$4+Dashboard!D$10*SQRT(Dashboard!$F$4) * _xlfn.NORM.S.INV(RAND())</f>
        <v>-4.6990943642209106E-2</v>
      </c>
    </row>
    <row r="3480" spans="18:21" x14ac:dyDescent="0.2">
      <c r="R3480" s="49">
        <v>3478</v>
      </c>
      <c r="S3480" s="59">
        <f ca="1">Dashboard!B$8* Dashboard!$F$4+Dashboard!B$10*SQRT(Dashboard!$F$4) * _xlfn.NORM.S.INV(RAND())</f>
        <v>-1.9173184132622569E-2</v>
      </c>
      <c r="T3480" s="59">
        <f ca="1">Dashboard!C$8* Dashboard!$F$4+Dashboard!C$10*SQRT(Dashboard!$F$4) * _xlfn.NORM.S.INV(RAND())</f>
        <v>7.4102421031105342E-2</v>
      </c>
      <c r="U3480" s="59">
        <f ca="1">Dashboard!D$8* Dashboard!$F$4+Dashboard!D$10*SQRT(Dashboard!$F$4) * _xlfn.NORM.S.INV(RAND())</f>
        <v>-3.5066324041481502E-2</v>
      </c>
    </row>
    <row r="3481" spans="18:21" x14ac:dyDescent="0.2">
      <c r="R3481" s="49">
        <v>3479</v>
      </c>
      <c r="S3481" s="59">
        <f ca="1">Dashboard!B$8* Dashboard!$F$4+Dashboard!B$10*SQRT(Dashboard!$F$4) * _xlfn.NORM.S.INV(RAND())</f>
        <v>-5.4627460783150256E-2</v>
      </c>
      <c r="T3481" s="59">
        <f ca="1">Dashboard!C$8* Dashboard!$F$4+Dashboard!C$10*SQRT(Dashboard!$F$4) * _xlfn.NORM.S.INV(RAND())</f>
        <v>-6.7889983106669577E-2</v>
      </c>
      <c r="U3481" s="59">
        <f ca="1">Dashboard!D$8* Dashboard!$F$4+Dashboard!D$10*SQRT(Dashboard!$F$4) * _xlfn.NORM.S.INV(RAND())</f>
        <v>4.0443496410889498E-2</v>
      </c>
    </row>
    <row r="3482" spans="18:21" x14ac:dyDescent="0.2">
      <c r="R3482" s="49">
        <v>3480</v>
      </c>
      <c r="S3482" s="59">
        <f ca="1">Dashboard!B$8* Dashboard!$F$4+Dashboard!B$10*SQRT(Dashboard!$F$4) * _xlfn.NORM.S.INV(RAND())</f>
        <v>1.271320845429076E-2</v>
      </c>
      <c r="T3482" s="59">
        <f ca="1">Dashboard!C$8* Dashboard!$F$4+Dashboard!C$10*SQRT(Dashboard!$F$4) * _xlfn.NORM.S.INV(RAND())</f>
        <v>6.2082306422791861E-2</v>
      </c>
      <c r="U3482" s="59">
        <f ca="1">Dashboard!D$8* Dashboard!$F$4+Dashboard!D$10*SQRT(Dashboard!$F$4) * _xlfn.NORM.S.INV(RAND())</f>
        <v>-4.0768234323980163E-4</v>
      </c>
    </row>
    <row r="3483" spans="18:21" x14ac:dyDescent="0.2">
      <c r="R3483" s="49">
        <v>3481</v>
      </c>
      <c r="S3483" s="59">
        <f ca="1">Dashboard!B$8* Dashboard!$F$4+Dashboard!B$10*SQRT(Dashboard!$F$4) * _xlfn.NORM.S.INV(RAND())</f>
        <v>-2.1534050337112497E-3</v>
      </c>
      <c r="T3483" s="59">
        <f ca="1">Dashboard!C$8* Dashboard!$F$4+Dashboard!C$10*SQRT(Dashboard!$F$4) * _xlfn.NORM.S.INV(RAND())</f>
        <v>6.368752860807346E-2</v>
      </c>
      <c r="U3483" s="59">
        <f ca="1">Dashboard!D$8* Dashboard!$F$4+Dashboard!D$10*SQRT(Dashboard!$F$4) * _xlfn.NORM.S.INV(RAND())</f>
        <v>-4.1703346231711192E-3</v>
      </c>
    </row>
    <row r="3484" spans="18:21" x14ac:dyDescent="0.2">
      <c r="R3484" s="49">
        <v>3482</v>
      </c>
      <c r="S3484" s="59">
        <f ca="1">Dashboard!B$8* Dashboard!$F$4+Dashboard!B$10*SQRT(Dashboard!$F$4) * _xlfn.NORM.S.INV(RAND())</f>
        <v>-3.7390809235008505E-3</v>
      </c>
      <c r="T3484" s="59">
        <f ca="1">Dashboard!C$8* Dashboard!$F$4+Dashboard!C$10*SQRT(Dashboard!$F$4) * _xlfn.NORM.S.INV(RAND())</f>
        <v>3.0545352276658069E-4</v>
      </c>
      <c r="U3484" s="59">
        <f ca="1">Dashboard!D$8* Dashboard!$F$4+Dashboard!D$10*SQRT(Dashboard!$F$4) * _xlfn.NORM.S.INV(RAND())</f>
        <v>1.7233070645155127E-2</v>
      </c>
    </row>
    <row r="3485" spans="18:21" x14ac:dyDescent="0.2">
      <c r="R3485" s="49">
        <v>3483</v>
      </c>
      <c r="S3485" s="59">
        <f ca="1">Dashboard!B$8* Dashboard!$F$4+Dashboard!B$10*SQRT(Dashboard!$F$4) * _xlfn.NORM.S.INV(RAND())</f>
        <v>-1.1654436188872925E-2</v>
      </c>
      <c r="T3485" s="59">
        <f ca="1">Dashboard!C$8* Dashboard!$F$4+Dashboard!C$10*SQRT(Dashboard!$F$4) * _xlfn.NORM.S.INV(RAND())</f>
        <v>-3.5637022465805503E-2</v>
      </c>
      <c r="U3485" s="59">
        <f ca="1">Dashboard!D$8* Dashboard!$F$4+Dashboard!D$10*SQRT(Dashboard!$F$4) * _xlfn.NORM.S.INV(RAND())</f>
        <v>-1.6992549669196378E-2</v>
      </c>
    </row>
    <row r="3486" spans="18:21" x14ac:dyDescent="0.2">
      <c r="R3486" s="49">
        <v>3484</v>
      </c>
      <c r="S3486" s="59">
        <f ca="1">Dashboard!B$8* Dashboard!$F$4+Dashboard!B$10*SQRT(Dashboard!$F$4) * _xlfn.NORM.S.INV(RAND())</f>
        <v>-2.5461056180433386E-3</v>
      </c>
      <c r="T3486" s="59">
        <f ca="1">Dashboard!C$8* Dashboard!$F$4+Dashboard!C$10*SQRT(Dashboard!$F$4) * _xlfn.NORM.S.INV(RAND())</f>
        <v>-2.995081674204721E-2</v>
      </c>
      <c r="U3486" s="59">
        <f ca="1">Dashboard!D$8* Dashboard!$F$4+Dashboard!D$10*SQRT(Dashboard!$F$4) * _xlfn.NORM.S.INV(RAND())</f>
        <v>3.9729827526390829E-2</v>
      </c>
    </row>
    <row r="3487" spans="18:21" x14ac:dyDescent="0.2">
      <c r="R3487" s="49">
        <v>3485</v>
      </c>
      <c r="S3487" s="59">
        <f ca="1">Dashboard!B$8* Dashboard!$F$4+Dashboard!B$10*SQRT(Dashboard!$F$4) * _xlfn.NORM.S.INV(RAND())</f>
        <v>-2.0983160773663978E-3</v>
      </c>
      <c r="T3487" s="59">
        <f ca="1">Dashboard!C$8* Dashboard!$F$4+Dashboard!C$10*SQRT(Dashboard!$F$4) * _xlfn.NORM.S.INV(RAND())</f>
        <v>4.6245767500130784E-2</v>
      </c>
      <c r="U3487" s="59">
        <f ca="1">Dashboard!D$8* Dashboard!$F$4+Dashboard!D$10*SQRT(Dashboard!$F$4) * _xlfn.NORM.S.INV(RAND())</f>
        <v>-4.4549441389636582E-2</v>
      </c>
    </row>
    <row r="3488" spans="18:21" x14ac:dyDescent="0.2">
      <c r="R3488" s="49">
        <v>3486</v>
      </c>
      <c r="S3488" s="59">
        <f ca="1">Dashboard!B$8* Dashboard!$F$4+Dashboard!B$10*SQRT(Dashboard!$F$4) * _xlfn.NORM.S.INV(RAND())</f>
        <v>4.617114782916263E-2</v>
      </c>
      <c r="T3488" s="59">
        <f ca="1">Dashboard!C$8* Dashboard!$F$4+Dashboard!C$10*SQRT(Dashboard!$F$4) * _xlfn.NORM.S.INV(RAND())</f>
        <v>-4.8359805934167131E-2</v>
      </c>
      <c r="U3488" s="59">
        <f ca="1">Dashboard!D$8* Dashboard!$F$4+Dashboard!D$10*SQRT(Dashboard!$F$4) * _xlfn.NORM.S.INV(RAND())</f>
        <v>-7.0646906398572403E-3</v>
      </c>
    </row>
    <row r="3489" spans="18:21" x14ac:dyDescent="0.2">
      <c r="R3489" s="49">
        <v>3487</v>
      </c>
      <c r="S3489" s="59">
        <f ca="1">Dashboard!B$8* Dashboard!$F$4+Dashboard!B$10*SQRT(Dashboard!$F$4) * _xlfn.NORM.S.INV(RAND())</f>
        <v>-2.8476619130324066E-2</v>
      </c>
      <c r="T3489" s="59">
        <f ca="1">Dashboard!C$8* Dashboard!$F$4+Dashboard!C$10*SQRT(Dashboard!$F$4) * _xlfn.NORM.S.INV(RAND())</f>
        <v>-2.2347887001263389E-2</v>
      </c>
      <c r="U3489" s="59">
        <f ca="1">Dashboard!D$8* Dashboard!$F$4+Dashboard!D$10*SQRT(Dashboard!$F$4) * _xlfn.NORM.S.INV(RAND())</f>
        <v>-8.6430878759007033E-3</v>
      </c>
    </row>
    <row r="3490" spans="18:21" x14ac:dyDescent="0.2">
      <c r="R3490" s="49">
        <v>3488</v>
      </c>
      <c r="S3490" s="59">
        <f ca="1">Dashboard!B$8* Dashboard!$F$4+Dashboard!B$10*SQRT(Dashboard!$F$4) * _xlfn.NORM.S.INV(RAND())</f>
        <v>-1.6959356711970869E-2</v>
      </c>
      <c r="T3490" s="59">
        <f ca="1">Dashboard!C$8* Dashboard!$F$4+Dashboard!C$10*SQRT(Dashboard!$F$4) * _xlfn.NORM.S.INV(RAND())</f>
        <v>4.3514298725031528E-2</v>
      </c>
      <c r="U3490" s="59">
        <f ca="1">Dashboard!D$8* Dashboard!$F$4+Dashboard!D$10*SQRT(Dashboard!$F$4) * _xlfn.NORM.S.INV(RAND())</f>
        <v>2.9696879986133018E-2</v>
      </c>
    </row>
    <row r="3491" spans="18:21" x14ac:dyDescent="0.2">
      <c r="R3491" s="49">
        <v>3489</v>
      </c>
      <c r="S3491" s="59">
        <f ca="1">Dashboard!B$8* Dashboard!$F$4+Dashboard!B$10*SQRT(Dashboard!$F$4) * _xlfn.NORM.S.INV(RAND())</f>
        <v>5.5933860136517667E-2</v>
      </c>
      <c r="T3491" s="59">
        <f ca="1">Dashboard!C$8* Dashboard!$F$4+Dashboard!C$10*SQRT(Dashboard!$F$4) * _xlfn.NORM.S.INV(RAND())</f>
        <v>-2.9916063468157488E-3</v>
      </c>
      <c r="U3491" s="59">
        <f ca="1">Dashboard!D$8* Dashboard!$F$4+Dashboard!D$10*SQRT(Dashboard!$F$4) * _xlfn.NORM.S.INV(RAND())</f>
        <v>3.697488193448497E-2</v>
      </c>
    </row>
    <row r="3492" spans="18:21" x14ac:dyDescent="0.2">
      <c r="R3492" s="49">
        <v>3490</v>
      </c>
      <c r="S3492" s="59">
        <f ca="1">Dashboard!B$8* Dashboard!$F$4+Dashboard!B$10*SQRT(Dashboard!$F$4) * _xlfn.NORM.S.INV(RAND())</f>
        <v>2.6389941062577797E-2</v>
      </c>
      <c r="T3492" s="59">
        <f ca="1">Dashboard!C$8* Dashboard!$F$4+Dashboard!C$10*SQRT(Dashboard!$F$4) * _xlfn.NORM.S.INV(RAND())</f>
        <v>-3.6056113433146214E-2</v>
      </c>
      <c r="U3492" s="59">
        <f ca="1">Dashboard!D$8* Dashboard!$F$4+Dashboard!D$10*SQRT(Dashboard!$F$4) * _xlfn.NORM.S.INV(RAND())</f>
        <v>-9.2342481005039494E-3</v>
      </c>
    </row>
    <row r="3493" spans="18:21" x14ac:dyDescent="0.2">
      <c r="R3493" s="49">
        <v>3491</v>
      </c>
      <c r="S3493" s="59">
        <f ca="1">Dashboard!B$8* Dashboard!$F$4+Dashboard!B$10*SQRT(Dashboard!$F$4) * _xlfn.NORM.S.INV(RAND())</f>
        <v>-8.7573148917078798E-3</v>
      </c>
      <c r="T3493" s="59">
        <f ca="1">Dashboard!C$8* Dashboard!$F$4+Dashboard!C$10*SQRT(Dashboard!$F$4) * _xlfn.NORM.S.INV(RAND())</f>
        <v>2.428573799309534E-2</v>
      </c>
      <c r="U3493" s="59">
        <f ca="1">Dashboard!D$8* Dashboard!$F$4+Dashboard!D$10*SQRT(Dashboard!$F$4) * _xlfn.NORM.S.INV(RAND())</f>
        <v>3.3273131207079305E-5</v>
      </c>
    </row>
    <row r="3494" spans="18:21" x14ac:dyDescent="0.2">
      <c r="R3494" s="49">
        <v>3492</v>
      </c>
      <c r="S3494" s="59">
        <f ca="1">Dashboard!B$8* Dashboard!$F$4+Dashboard!B$10*SQRT(Dashboard!$F$4) * _xlfn.NORM.S.INV(RAND())</f>
        <v>5.3255133849831882E-3</v>
      </c>
      <c r="T3494" s="59">
        <f ca="1">Dashboard!C$8* Dashboard!$F$4+Dashboard!C$10*SQRT(Dashboard!$F$4) * _xlfn.NORM.S.INV(RAND())</f>
        <v>2.1554213559935257E-3</v>
      </c>
      <c r="U3494" s="59">
        <f ca="1">Dashboard!D$8* Dashboard!$F$4+Dashboard!D$10*SQRT(Dashboard!$F$4) * _xlfn.NORM.S.INV(RAND())</f>
        <v>-5.74173209935065E-2</v>
      </c>
    </row>
    <row r="3495" spans="18:21" x14ac:dyDescent="0.2">
      <c r="R3495" s="49">
        <v>3493</v>
      </c>
      <c r="S3495" s="59">
        <f ca="1">Dashboard!B$8* Dashboard!$F$4+Dashboard!B$10*SQRT(Dashboard!$F$4) * _xlfn.NORM.S.INV(RAND())</f>
        <v>-2.7021346112430816E-2</v>
      </c>
      <c r="T3495" s="59">
        <f ca="1">Dashboard!C$8* Dashboard!$F$4+Dashboard!C$10*SQRT(Dashboard!$F$4) * _xlfn.NORM.S.INV(RAND())</f>
        <v>-1.9255189545239193E-4</v>
      </c>
      <c r="U3495" s="59">
        <f ca="1">Dashboard!D$8* Dashboard!$F$4+Dashboard!D$10*SQRT(Dashboard!$F$4) * _xlfn.NORM.S.INV(RAND())</f>
        <v>-5.4495421049434577E-2</v>
      </c>
    </row>
    <row r="3496" spans="18:21" x14ac:dyDescent="0.2">
      <c r="R3496" s="49">
        <v>3494</v>
      </c>
      <c r="S3496" s="59">
        <f ca="1">Dashboard!B$8* Dashboard!$F$4+Dashboard!B$10*SQRT(Dashboard!$F$4) * _xlfn.NORM.S.INV(RAND())</f>
        <v>-5.7945720430184172E-2</v>
      </c>
      <c r="T3496" s="59">
        <f ca="1">Dashboard!C$8* Dashboard!$F$4+Dashboard!C$10*SQRT(Dashboard!$F$4) * _xlfn.NORM.S.INV(RAND())</f>
        <v>2.7333247888645325E-2</v>
      </c>
      <c r="U3496" s="59">
        <f ca="1">Dashboard!D$8* Dashboard!$F$4+Dashboard!D$10*SQRT(Dashboard!$F$4) * _xlfn.NORM.S.INV(RAND())</f>
        <v>-1.9451105384373318E-2</v>
      </c>
    </row>
    <row r="3497" spans="18:21" x14ac:dyDescent="0.2">
      <c r="R3497" s="49">
        <v>3495</v>
      </c>
      <c r="S3497" s="59">
        <f ca="1">Dashboard!B$8* Dashboard!$F$4+Dashboard!B$10*SQRT(Dashboard!$F$4) * _xlfn.NORM.S.INV(RAND())</f>
        <v>-4.2576389258494295E-2</v>
      </c>
      <c r="T3497" s="59">
        <f ca="1">Dashboard!C$8* Dashboard!$F$4+Dashboard!C$10*SQRT(Dashboard!$F$4) * _xlfn.NORM.S.INV(RAND())</f>
        <v>-3.9834289779257126E-2</v>
      </c>
      <c r="U3497" s="59">
        <f ca="1">Dashboard!D$8* Dashboard!$F$4+Dashboard!D$10*SQRT(Dashboard!$F$4) * _xlfn.NORM.S.INV(RAND())</f>
        <v>-3.9881966273232726E-3</v>
      </c>
    </row>
    <row r="3498" spans="18:21" x14ac:dyDescent="0.2">
      <c r="R3498" s="49">
        <v>3496</v>
      </c>
      <c r="S3498" s="59">
        <f ca="1">Dashboard!B$8* Dashboard!$F$4+Dashboard!B$10*SQRT(Dashboard!$F$4) * _xlfn.NORM.S.INV(RAND())</f>
        <v>-6.1964311084285059E-2</v>
      </c>
      <c r="T3498" s="59">
        <f ca="1">Dashboard!C$8* Dashboard!$F$4+Dashboard!C$10*SQRT(Dashboard!$F$4) * _xlfn.NORM.S.INV(RAND())</f>
        <v>-3.0015035651521197E-2</v>
      </c>
      <c r="U3498" s="59">
        <f ca="1">Dashboard!D$8* Dashboard!$F$4+Dashboard!D$10*SQRT(Dashboard!$F$4) * _xlfn.NORM.S.INV(RAND())</f>
        <v>-2.4104137644630512E-3</v>
      </c>
    </row>
    <row r="3499" spans="18:21" x14ac:dyDescent="0.2">
      <c r="R3499" s="49">
        <v>3497</v>
      </c>
      <c r="S3499" s="59">
        <f ca="1">Dashboard!B$8* Dashboard!$F$4+Dashboard!B$10*SQRT(Dashboard!$F$4) * _xlfn.NORM.S.INV(RAND())</f>
        <v>-4.2386013798749483E-2</v>
      </c>
      <c r="T3499" s="59">
        <f ca="1">Dashboard!C$8* Dashboard!$F$4+Dashboard!C$10*SQRT(Dashboard!$F$4) * _xlfn.NORM.S.INV(RAND())</f>
        <v>-5.8391398106491877E-3</v>
      </c>
      <c r="U3499" s="59">
        <f ca="1">Dashboard!D$8* Dashboard!$F$4+Dashboard!D$10*SQRT(Dashboard!$F$4) * _xlfn.NORM.S.INV(RAND())</f>
        <v>-4.0547483540270685E-2</v>
      </c>
    </row>
    <row r="3500" spans="18:21" x14ac:dyDescent="0.2">
      <c r="R3500" s="49">
        <v>3498</v>
      </c>
      <c r="S3500" s="59">
        <f ca="1">Dashboard!B$8* Dashboard!$F$4+Dashboard!B$10*SQRT(Dashboard!$F$4) * _xlfn.NORM.S.INV(RAND())</f>
        <v>6.5434224833453118E-3</v>
      </c>
      <c r="T3500" s="59">
        <f ca="1">Dashboard!C$8* Dashboard!$F$4+Dashboard!C$10*SQRT(Dashboard!$F$4) * _xlfn.NORM.S.INV(RAND())</f>
        <v>-7.6473996828444269E-3</v>
      </c>
      <c r="U3500" s="59">
        <f ca="1">Dashboard!D$8* Dashboard!$F$4+Dashboard!D$10*SQRT(Dashboard!$F$4) * _xlfn.NORM.S.INV(RAND())</f>
        <v>-2.7642478124595631E-2</v>
      </c>
    </row>
    <row r="3501" spans="18:21" x14ac:dyDescent="0.2">
      <c r="R3501" s="49">
        <v>3499</v>
      </c>
      <c r="S3501" s="59">
        <f ca="1">Dashboard!B$8* Dashboard!$F$4+Dashboard!B$10*SQRT(Dashboard!$F$4) * _xlfn.NORM.S.INV(RAND())</f>
        <v>-1.4079401751175419E-2</v>
      </c>
      <c r="T3501" s="59">
        <f ca="1">Dashboard!C$8* Dashboard!$F$4+Dashboard!C$10*SQRT(Dashboard!$F$4) * _xlfn.NORM.S.INV(RAND())</f>
        <v>1.0459168396475954E-2</v>
      </c>
      <c r="U3501" s="59">
        <f ca="1">Dashboard!D$8* Dashboard!$F$4+Dashboard!D$10*SQRT(Dashboard!$F$4) * _xlfn.NORM.S.INV(RAND())</f>
        <v>-2.9620701711034585E-2</v>
      </c>
    </row>
    <row r="3502" spans="18:21" x14ac:dyDescent="0.2">
      <c r="R3502" s="49">
        <v>3500</v>
      </c>
      <c r="S3502" s="59">
        <f ca="1">Dashboard!B$8* Dashboard!$F$4+Dashboard!B$10*SQRT(Dashboard!$F$4) * _xlfn.NORM.S.INV(RAND())</f>
        <v>3.9350306042180892E-2</v>
      </c>
      <c r="T3502" s="59">
        <f ca="1">Dashboard!C$8* Dashboard!$F$4+Dashboard!C$10*SQRT(Dashboard!$F$4) * _xlfn.NORM.S.INV(RAND())</f>
        <v>-2.1227005875070162E-2</v>
      </c>
      <c r="U3502" s="59">
        <f ca="1">Dashboard!D$8* Dashboard!$F$4+Dashboard!D$10*SQRT(Dashboard!$F$4) * _xlfn.NORM.S.INV(RAND())</f>
        <v>-8.8747169974593256E-4</v>
      </c>
    </row>
    <row r="3503" spans="18:21" x14ac:dyDescent="0.2">
      <c r="R3503" s="49">
        <v>3501</v>
      </c>
      <c r="S3503" s="59">
        <f ca="1">Dashboard!B$8* Dashboard!$F$4+Dashboard!B$10*SQRT(Dashboard!$F$4) * _xlfn.NORM.S.INV(RAND())</f>
        <v>2.5261287056650636E-2</v>
      </c>
      <c r="T3503" s="59">
        <f ca="1">Dashboard!C$8* Dashboard!$F$4+Dashboard!C$10*SQRT(Dashboard!$F$4) * _xlfn.NORM.S.INV(RAND())</f>
        <v>4.0405584680802867E-2</v>
      </c>
      <c r="U3503" s="59">
        <f ca="1">Dashboard!D$8* Dashboard!$F$4+Dashboard!D$10*SQRT(Dashboard!$F$4) * _xlfn.NORM.S.INV(RAND())</f>
        <v>-3.4921868338984453E-2</v>
      </c>
    </row>
    <row r="3504" spans="18:21" x14ac:dyDescent="0.2">
      <c r="R3504" s="49">
        <v>3502</v>
      </c>
      <c r="S3504" s="59">
        <f ca="1">Dashboard!B$8* Dashboard!$F$4+Dashboard!B$10*SQRT(Dashboard!$F$4) * _xlfn.NORM.S.INV(RAND())</f>
        <v>-1.4309921136114246E-2</v>
      </c>
      <c r="T3504" s="59">
        <f ca="1">Dashboard!C$8* Dashboard!$F$4+Dashboard!C$10*SQRT(Dashboard!$F$4) * _xlfn.NORM.S.INV(RAND())</f>
        <v>3.7778899549290937E-2</v>
      </c>
      <c r="U3504" s="59">
        <f ca="1">Dashboard!D$8* Dashboard!$F$4+Dashboard!D$10*SQRT(Dashboard!$F$4) * _xlfn.NORM.S.INV(RAND())</f>
        <v>3.5277852153192464E-2</v>
      </c>
    </row>
    <row r="3505" spans="18:21" x14ac:dyDescent="0.2">
      <c r="R3505" s="49">
        <v>3503</v>
      </c>
      <c r="S3505" s="59">
        <f ca="1">Dashboard!B$8* Dashboard!$F$4+Dashboard!B$10*SQRT(Dashboard!$F$4) * _xlfn.NORM.S.INV(RAND())</f>
        <v>7.5530354607674152E-3</v>
      </c>
      <c r="T3505" s="59">
        <f ca="1">Dashboard!C$8* Dashboard!$F$4+Dashboard!C$10*SQRT(Dashboard!$F$4) * _xlfn.NORM.S.INV(RAND())</f>
        <v>-2.3694841607190577E-3</v>
      </c>
      <c r="U3505" s="59">
        <f ca="1">Dashboard!D$8* Dashboard!$F$4+Dashboard!D$10*SQRT(Dashboard!$F$4) * _xlfn.NORM.S.INV(RAND())</f>
        <v>-3.098667377427165E-2</v>
      </c>
    </row>
    <row r="3506" spans="18:21" x14ac:dyDescent="0.2">
      <c r="R3506" s="49">
        <v>3504</v>
      </c>
      <c r="S3506" s="59">
        <f ca="1">Dashboard!B$8* Dashboard!$F$4+Dashboard!B$10*SQRT(Dashboard!$F$4) * _xlfn.NORM.S.INV(RAND())</f>
        <v>-1.0783669971555099E-2</v>
      </c>
      <c r="T3506" s="59">
        <f ca="1">Dashboard!C$8* Dashboard!$F$4+Dashboard!C$10*SQRT(Dashboard!$F$4) * _xlfn.NORM.S.INV(RAND())</f>
        <v>-4.0712418504256047E-2</v>
      </c>
      <c r="U3506" s="59">
        <f ca="1">Dashboard!D$8* Dashboard!$F$4+Dashboard!D$10*SQRT(Dashboard!$F$4) * _xlfn.NORM.S.INV(RAND())</f>
        <v>-2.957299526837966E-2</v>
      </c>
    </row>
    <row r="3507" spans="18:21" x14ac:dyDescent="0.2">
      <c r="R3507" s="49">
        <v>3505</v>
      </c>
      <c r="S3507" s="59">
        <f ca="1">Dashboard!B$8* Dashboard!$F$4+Dashboard!B$10*SQRT(Dashboard!$F$4) * _xlfn.NORM.S.INV(RAND())</f>
        <v>-3.0459743131162072E-2</v>
      </c>
      <c r="T3507" s="59">
        <f ca="1">Dashboard!C$8* Dashboard!$F$4+Dashboard!C$10*SQRT(Dashboard!$F$4) * _xlfn.NORM.S.INV(RAND())</f>
        <v>-1.2660344113575556E-2</v>
      </c>
      <c r="U3507" s="59">
        <f ca="1">Dashboard!D$8* Dashboard!$F$4+Dashboard!D$10*SQRT(Dashboard!$F$4) * _xlfn.NORM.S.INV(RAND())</f>
        <v>8.2438738678171669E-2</v>
      </c>
    </row>
    <row r="3508" spans="18:21" x14ac:dyDescent="0.2">
      <c r="R3508" s="49">
        <v>3506</v>
      </c>
      <c r="S3508" s="59">
        <f ca="1">Dashboard!B$8* Dashboard!$F$4+Dashboard!B$10*SQRT(Dashboard!$F$4) * _xlfn.NORM.S.INV(RAND())</f>
        <v>2.015190107757827E-2</v>
      </c>
      <c r="T3508" s="59">
        <f ca="1">Dashboard!C$8* Dashboard!$F$4+Dashboard!C$10*SQRT(Dashboard!$F$4) * _xlfn.NORM.S.INV(RAND())</f>
        <v>1.0269807383488636E-2</v>
      </c>
      <c r="U3508" s="59">
        <f ca="1">Dashboard!D$8* Dashboard!$F$4+Dashboard!D$10*SQRT(Dashboard!$F$4) * _xlfn.NORM.S.INV(RAND())</f>
        <v>1.6647678121702054E-2</v>
      </c>
    </row>
    <row r="3509" spans="18:21" x14ac:dyDescent="0.2">
      <c r="R3509" s="49">
        <v>3507</v>
      </c>
      <c r="S3509" s="59">
        <f ca="1">Dashboard!B$8* Dashboard!$F$4+Dashboard!B$10*SQRT(Dashboard!$F$4) * _xlfn.NORM.S.INV(RAND())</f>
        <v>4.7627078826889008E-3</v>
      </c>
      <c r="T3509" s="59">
        <f ca="1">Dashboard!C$8* Dashboard!$F$4+Dashboard!C$10*SQRT(Dashboard!$F$4) * _xlfn.NORM.S.INV(RAND())</f>
        <v>-5.0309842679169756E-2</v>
      </c>
      <c r="U3509" s="59">
        <f ca="1">Dashboard!D$8* Dashboard!$F$4+Dashboard!D$10*SQRT(Dashboard!$F$4) * _xlfn.NORM.S.INV(RAND())</f>
        <v>-1.6680385679221373E-2</v>
      </c>
    </row>
    <row r="3510" spans="18:21" x14ac:dyDescent="0.2">
      <c r="R3510" s="49">
        <v>3508</v>
      </c>
      <c r="S3510" s="59">
        <f ca="1">Dashboard!B$8* Dashboard!$F$4+Dashboard!B$10*SQRT(Dashboard!$F$4) * _xlfn.NORM.S.INV(RAND())</f>
        <v>2.8822947113078763E-2</v>
      </c>
      <c r="T3510" s="59">
        <f ca="1">Dashboard!C$8* Dashboard!$F$4+Dashboard!C$10*SQRT(Dashboard!$F$4) * _xlfn.NORM.S.INV(RAND())</f>
        <v>-4.4212126934981763E-2</v>
      </c>
      <c r="U3510" s="59">
        <f ca="1">Dashboard!D$8* Dashboard!$F$4+Dashboard!D$10*SQRT(Dashboard!$F$4) * _xlfn.NORM.S.INV(RAND())</f>
        <v>2.780274477502688E-2</v>
      </c>
    </row>
    <row r="3511" spans="18:21" x14ac:dyDescent="0.2">
      <c r="R3511" s="49">
        <v>3509</v>
      </c>
      <c r="S3511" s="59">
        <f ca="1">Dashboard!B$8* Dashboard!$F$4+Dashboard!B$10*SQRT(Dashboard!$F$4) * _xlfn.NORM.S.INV(RAND())</f>
        <v>5.5057787034261431E-3</v>
      </c>
      <c r="T3511" s="59">
        <f ca="1">Dashboard!C$8* Dashboard!$F$4+Dashboard!C$10*SQRT(Dashboard!$F$4) * _xlfn.NORM.S.INV(RAND())</f>
        <v>-7.6194956515480236E-2</v>
      </c>
      <c r="U3511" s="59">
        <f ca="1">Dashboard!D$8* Dashboard!$F$4+Dashboard!D$10*SQRT(Dashboard!$F$4) * _xlfn.NORM.S.INV(RAND())</f>
        <v>4.7106893965911632E-3</v>
      </c>
    </row>
    <row r="3512" spans="18:21" x14ac:dyDescent="0.2">
      <c r="R3512" s="49">
        <v>3510</v>
      </c>
      <c r="S3512" s="59">
        <f ca="1">Dashboard!B$8* Dashboard!$F$4+Dashboard!B$10*SQRT(Dashboard!$F$4) * _xlfn.NORM.S.INV(RAND())</f>
        <v>-4.419723055348157E-2</v>
      </c>
      <c r="T3512" s="59">
        <f ca="1">Dashboard!C$8* Dashboard!$F$4+Dashboard!C$10*SQRT(Dashboard!$F$4) * _xlfn.NORM.S.INV(RAND())</f>
        <v>2.918570646728235E-2</v>
      </c>
      <c r="U3512" s="59">
        <f ca="1">Dashboard!D$8* Dashboard!$F$4+Dashboard!D$10*SQRT(Dashboard!$F$4) * _xlfn.NORM.S.INV(RAND())</f>
        <v>1.2971964303668891E-2</v>
      </c>
    </row>
    <row r="3513" spans="18:21" x14ac:dyDescent="0.2">
      <c r="R3513" s="49">
        <v>3511</v>
      </c>
      <c r="S3513" s="59">
        <f ca="1">Dashboard!B$8* Dashboard!$F$4+Dashboard!B$10*SQRT(Dashboard!$F$4) * _xlfn.NORM.S.INV(RAND())</f>
        <v>-7.0421811451068569E-3</v>
      </c>
      <c r="T3513" s="59">
        <f ca="1">Dashboard!C$8* Dashboard!$F$4+Dashboard!C$10*SQRT(Dashboard!$F$4) * _xlfn.NORM.S.INV(RAND())</f>
        <v>-4.5803207078558512E-2</v>
      </c>
      <c r="U3513" s="59">
        <f ca="1">Dashboard!D$8* Dashboard!$F$4+Dashboard!D$10*SQRT(Dashboard!$F$4) * _xlfn.NORM.S.INV(RAND())</f>
        <v>-1.0779250350101924E-2</v>
      </c>
    </row>
    <row r="3514" spans="18:21" x14ac:dyDescent="0.2">
      <c r="R3514" s="49">
        <v>3512</v>
      </c>
      <c r="S3514" s="59">
        <f ca="1">Dashboard!B$8* Dashboard!$F$4+Dashboard!B$10*SQRT(Dashboard!$F$4) * _xlfn.NORM.S.INV(RAND())</f>
        <v>7.0726025773752525E-3</v>
      </c>
      <c r="T3514" s="59">
        <f ca="1">Dashboard!C$8* Dashboard!$F$4+Dashboard!C$10*SQRT(Dashboard!$F$4) * _xlfn.NORM.S.INV(RAND())</f>
        <v>3.5851422141813462E-3</v>
      </c>
      <c r="U3514" s="59">
        <f ca="1">Dashboard!D$8* Dashboard!$F$4+Dashboard!D$10*SQRT(Dashboard!$F$4) * _xlfn.NORM.S.INV(RAND())</f>
        <v>-4.7212661130865544E-2</v>
      </c>
    </row>
    <row r="3515" spans="18:21" x14ac:dyDescent="0.2">
      <c r="R3515" s="49">
        <v>3513</v>
      </c>
      <c r="S3515" s="59">
        <f ca="1">Dashboard!B$8* Dashboard!$F$4+Dashboard!B$10*SQRT(Dashboard!$F$4) * _xlfn.NORM.S.INV(RAND())</f>
        <v>2.8076200432756486E-2</v>
      </c>
      <c r="T3515" s="59">
        <f ca="1">Dashboard!C$8* Dashboard!$F$4+Dashboard!C$10*SQRT(Dashboard!$F$4) * _xlfn.NORM.S.INV(RAND())</f>
        <v>5.3448757739366767E-3</v>
      </c>
      <c r="U3515" s="59">
        <f ca="1">Dashboard!D$8* Dashboard!$F$4+Dashboard!D$10*SQRT(Dashboard!$F$4) * _xlfn.NORM.S.INV(RAND())</f>
        <v>-3.0554746826386842E-2</v>
      </c>
    </row>
    <row r="3516" spans="18:21" x14ac:dyDescent="0.2">
      <c r="R3516" s="49">
        <v>3514</v>
      </c>
      <c r="S3516" s="59">
        <f ca="1">Dashboard!B$8* Dashboard!$F$4+Dashboard!B$10*SQRT(Dashboard!$F$4) * _xlfn.NORM.S.INV(RAND())</f>
        <v>-9.1637257334690574E-3</v>
      </c>
      <c r="T3516" s="59">
        <f ca="1">Dashboard!C$8* Dashboard!$F$4+Dashboard!C$10*SQRT(Dashboard!$F$4) * _xlfn.NORM.S.INV(RAND())</f>
        <v>-4.978740524361802E-3</v>
      </c>
      <c r="U3516" s="59">
        <f ca="1">Dashboard!D$8* Dashboard!$F$4+Dashboard!D$10*SQRT(Dashboard!$F$4) * _xlfn.NORM.S.INV(RAND())</f>
        <v>-1.2305976122976851E-2</v>
      </c>
    </row>
    <row r="3517" spans="18:21" x14ac:dyDescent="0.2">
      <c r="R3517" s="49">
        <v>3515</v>
      </c>
      <c r="S3517" s="59">
        <f ca="1">Dashboard!B$8* Dashboard!$F$4+Dashboard!B$10*SQRT(Dashboard!$F$4) * _xlfn.NORM.S.INV(RAND())</f>
        <v>3.6436034602036538E-2</v>
      </c>
      <c r="T3517" s="59">
        <f ca="1">Dashboard!C$8* Dashboard!$F$4+Dashboard!C$10*SQRT(Dashboard!$F$4) * _xlfn.NORM.S.INV(RAND())</f>
        <v>-2.3647848001979159E-2</v>
      </c>
      <c r="U3517" s="59">
        <f ca="1">Dashboard!D$8* Dashboard!$F$4+Dashboard!D$10*SQRT(Dashboard!$F$4) * _xlfn.NORM.S.INV(RAND())</f>
        <v>3.9709620934868014E-3</v>
      </c>
    </row>
    <row r="3518" spans="18:21" x14ac:dyDescent="0.2">
      <c r="R3518" s="49">
        <v>3516</v>
      </c>
      <c r="S3518" s="59">
        <f ca="1">Dashboard!B$8* Dashboard!$F$4+Dashboard!B$10*SQRT(Dashboard!$F$4) * _xlfn.NORM.S.INV(RAND())</f>
        <v>5.7582108902678002E-3</v>
      </c>
      <c r="T3518" s="59">
        <f ca="1">Dashboard!C$8* Dashboard!$F$4+Dashboard!C$10*SQRT(Dashboard!$F$4) * _xlfn.NORM.S.INV(RAND())</f>
        <v>-5.5059295562980427E-2</v>
      </c>
      <c r="U3518" s="59">
        <f ca="1">Dashboard!D$8* Dashboard!$F$4+Dashboard!D$10*SQRT(Dashboard!$F$4) * _xlfn.NORM.S.INV(RAND())</f>
        <v>2.2619508780927625E-2</v>
      </c>
    </row>
    <row r="3519" spans="18:21" x14ac:dyDescent="0.2">
      <c r="R3519" s="49">
        <v>3517</v>
      </c>
      <c r="S3519" s="59">
        <f ca="1">Dashboard!B$8* Dashboard!$F$4+Dashboard!B$10*SQRT(Dashboard!$F$4) * _xlfn.NORM.S.INV(RAND())</f>
        <v>4.9300228270705137E-3</v>
      </c>
      <c r="T3519" s="59">
        <f ca="1">Dashboard!C$8* Dashboard!$F$4+Dashboard!C$10*SQRT(Dashboard!$F$4) * _xlfn.NORM.S.INV(RAND())</f>
        <v>-2.4287044172218743E-2</v>
      </c>
      <c r="U3519" s="59">
        <f ca="1">Dashboard!D$8* Dashboard!$F$4+Dashboard!D$10*SQRT(Dashboard!$F$4) * _xlfn.NORM.S.INV(RAND())</f>
        <v>-4.0938255225172686E-2</v>
      </c>
    </row>
    <row r="3520" spans="18:21" x14ac:dyDescent="0.2">
      <c r="R3520" s="49">
        <v>3518</v>
      </c>
      <c r="S3520" s="59">
        <f ca="1">Dashboard!B$8* Dashboard!$F$4+Dashboard!B$10*SQRT(Dashboard!$F$4) * _xlfn.NORM.S.INV(RAND())</f>
        <v>-5.7484686419772793E-2</v>
      </c>
      <c r="T3520" s="59">
        <f ca="1">Dashboard!C$8* Dashboard!$F$4+Dashboard!C$10*SQRT(Dashboard!$F$4) * _xlfn.NORM.S.INV(RAND())</f>
        <v>3.7820386903848063E-2</v>
      </c>
      <c r="U3520" s="59">
        <f ca="1">Dashboard!D$8* Dashboard!$F$4+Dashboard!D$10*SQRT(Dashboard!$F$4) * _xlfn.NORM.S.INV(RAND())</f>
        <v>-0.10059734380220919</v>
      </c>
    </row>
    <row r="3521" spans="18:21" x14ac:dyDescent="0.2">
      <c r="R3521" s="49">
        <v>3519</v>
      </c>
      <c r="S3521" s="59">
        <f ca="1">Dashboard!B$8* Dashboard!$F$4+Dashboard!B$10*SQRT(Dashboard!$F$4) * _xlfn.NORM.S.INV(RAND())</f>
        <v>-1.9644345350660949E-3</v>
      </c>
      <c r="T3521" s="59">
        <f ca="1">Dashboard!C$8* Dashboard!$F$4+Dashboard!C$10*SQRT(Dashboard!$F$4) * _xlfn.NORM.S.INV(RAND())</f>
        <v>4.3332582099646251E-2</v>
      </c>
      <c r="U3521" s="59">
        <f ca="1">Dashboard!D$8* Dashboard!$F$4+Dashboard!D$10*SQRT(Dashboard!$F$4) * _xlfn.NORM.S.INV(RAND())</f>
        <v>-5.289821130276668E-2</v>
      </c>
    </row>
    <row r="3522" spans="18:21" x14ac:dyDescent="0.2">
      <c r="R3522" s="49">
        <v>3520</v>
      </c>
      <c r="S3522" s="59">
        <f ca="1">Dashboard!B$8* Dashboard!$F$4+Dashboard!B$10*SQRT(Dashboard!$F$4) * _xlfn.NORM.S.INV(RAND())</f>
        <v>-6.7295863276638154E-3</v>
      </c>
      <c r="T3522" s="59">
        <f ca="1">Dashboard!C$8* Dashboard!$F$4+Dashboard!C$10*SQRT(Dashboard!$F$4) * _xlfn.NORM.S.INV(RAND())</f>
        <v>-3.2857580005342814E-2</v>
      </c>
      <c r="U3522" s="59">
        <f ca="1">Dashboard!D$8* Dashboard!$F$4+Dashboard!D$10*SQRT(Dashboard!$F$4) * _xlfn.NORM.S.INV(RAND())</f>
        <v>-8.8059910069045056E-3</v>
      </c>
    </row>
    <row r="3523" spans="18:21" x14ac:dyDescent="0.2">
      <c r="R3523" s="49">
        <v>3521</v>
      </c>
      <c r="S3523" s="59">
        <f ca="1">Dashboard!B$8* Dashboard!$F$4+Dashboard!B$10*SQRT(Dashboard!$F$4) * _xlfn.NORM.S.INV(RAND())</f>
        <v>-1.1922524109347559E-2</v>
      </c>
      <c r="T3523" s="59">
        <f ca="1">Dashboard!C$8* Dashboard!$F$4+Dashboard!C$10*SQRT(Dashboard!$F$4) * _xlfn.NORM.S.INV(RAND())</f>
        <v>5.9350885192311846E-2</v>
      </c>
      <c r="U3523" s="59">
        <f ca="1">Dashboard!D$8* Dashboard!$F$4+Dashboard!D$10*SQRT(Dashboard!$F$4) * _xlfn.NORM.S.INV(RAND())</f>
        <v>-2.3977817374208995E-4</v>
      </c>
    </row>
    <row r="3524" spans="18:21" x14ac:dyDescent="0.2">
      <c r="R3524" s="49">
        <v>3522</v>
      </c>
      <c r="S3524" s="59">
        <f ca="1">Dashboard!B$8* Dashboard!$F$4+Dashboard!B$10*SQRT(Dashboard!$F$4) * _xlfn.NORM.S.INV(RAND())</f>
        <v>2.7253580008285289E-2</v>
      </c>
      <c r="T3524" s="59">
        <f ca="1">Dashboard!C$8* Dashboard!$F$4+Dashboard!C$10*SQRT(Dashboard!$F$4) * _xlfn.NORM.S.INV(RAND())</f>
        <v>3.057010236193743E-2</v>
      </c>
      <c r="U3524" s="59">
        <f ca="1">Dashboard!D$8* Dashboard!$F$4+Dashboard!D$10*SQRT(Dashboard!$F$4) * _xlfn.NORM.S.INV(RAND())</f>
        <v>3.4313025541157408E-2</v>
      </c>
    </row>
    <row r="3525" spans="18:21" x14ac:dyDescent="0.2">
      <c r="R3525" s="49">
        <v>3523</v>
      </c>
      <c r="S3525" s="59">
        <f ca="1">Dashboard!B$8* Dashboard!$F$4+Dashboard!B$10*SQRT(Dashboard!$F$4) * _xlfn.NORM.S.INV(RAND())</f>
        <v>2.8526495145952756E-2</v>
      </c>
      <c r="T3525" s="59">
        <f ca="1">Dashboard!C$8* Dashboard!$F$4+Dashboard!C$10*SQRT(Dashboard!$F$4) * _xlfn.NORM.S.INV(RAND())</f>
        <v>3.4181932479127278E-2</v>
      </c>
      <c r="U3525" s="59">
        <f ca="1">Dashboard!D$8* Dashboard!$F$4+Dashboard!D$10*SQRT(Dashboard!$F$4) * _xlfn.NORM.S.INV(RAND())</f>
        <v>9.1515469717096069E-3</v>
      </c>
    </row>
    <row r="3526" spans="18:21" x14ac:dyDescent="0.2">
      <c r="R3526" s="49">
        <v>3524</v>
      </c>
      <c r="S3526" s="59">
        <f ca="1">Dashboard!B$8* Dashboard!$F$4+Dashboard!B$10*SQRT(Dashboard!$F$4) * _xlfn.NORM.S.INV(RAND())</f>
        <v>-3.1436191668301361E-2</v>
      </c>
      <c r="T3526" s="59">
        <f ca="1">Dashboard!C$8* Dashboard!$F$4+Dashboard!C$10*SQRT(Dashboard!$F$4) * _xlfn.NORM.S.INV(RAND())</f>
        <v>-5.6748014572914729E-2</v>
      </c>
      <c r="U3526" s="59">
        <f ca="1">Dashboard!D$8* Dashboard!$F$4+Dashboard!D$10*SQRT(Dashboard!$F$4) * _xlfn.NORM.S.INV(RAND())</f>
        <v>-2.7292306336648E-2</v>
      </c>
    </row>
    <row r="3527" spans="18:21" x14ac:dyDescent="0.2">
      <c r="R3527" s="49">
        <v>3525</v>
      </c>
      <c r="S3527" s="59">
        <f ca="1">Dashboard!B$8* Dashboard!$F$4+Dashboard!B$10*SQRT(Dashboard!$F$4) * _xlfn.NORM.S.INV(RAND())</f>
        <v>2.2337531345923388E-2</v>
      </c>
      <c r="T3527" s="59">
        <f ca="1">Dashboard!C$8* Dashboard!$F$4+Dashboard!C$10*SQRT(Dashboard!$F$4) * _xlfn.NORM.S.INV(RAND())</f>
        <v>-6.8118697307736941E-3</v>
      </c>
      <c r="U3527" s="59">
        <f ca="1">Dashboard!D$8* Dashboard!$F$4+Dashboard!D$10*SQRT(Dashboard!$F$4) * _xlfn.NORM.S.INV(RAND())</f>
        <v>-5.5242168093516467E-3</v>
      </c>
    </row>
    <row r="3528" spans="18:21" x14ac:dyDescent="0.2">
      <c r="R3528" s="49">
        <v>3526</v>
      </c>
      <c r="S3528" s="59">
        <f ca="1">Dashboard!B$8* Dashboard!$F$4+Dashboard!B$10*SQRT(Dashboard!$F$4) * _xlfn.NORM.S.INV(RAND())</f>
        <v>-6.9751024173488867E-3</v>
      </c>
      <c r="T3528" s="59">
        <f ca="1">Dashboard!C$8* Dashboard!$F$4+Dashboard!C$10*SQRT(Dashboard!$F$4) * _xlfn.NORM.S.INV(RAND())</f>
        <v>1.5344404128774771E-2</v>
      </c>
      <c r="U3528" s="59">
        <f ca="1">Dashboard!D$8* Dashboard!$F$4+Dashboard!D$10*SQRT(Dashboard!$F$4) * _xlfn.NORM.S.INV(RAND())</f>
        <v>-3.2427342487634118E-2</v>
      </c>
    </row>
    <row r="3529" spans="18:21" x14ac:dyDescent="0.2">
      <c r="R3529" s="49">
        <v>3527</v>
      </c>
      <c r="S3529" s="59">
        <f ca="1">Dashboard!B$8* Dashboard!$F$4+Dashboard!B$10*SQRT(Dashboard!$F$4) * _xlfn.NORM.S.INV(RAND())</f>
        <v>1.6163057917986619E-2</v>
      </c>
      <c r="T3529" s="59">
        <f ca="1">Dashboard!C$8* Dashboard!$F$4+Dashboard!C$10*SQRT(Dashboard!$F$4) * _xlfn.NORM.S.INV(RAND())</f>
        <v>-1.2925911771636753E-2</v>
      </c>
      <c r="U3529" s="59">
        <f ca="1">Dashboard!D$8* Dashboard!$F$4+Dashboard!D$10*SQRT(Dashboard!$F$4) * _xlfn.NORM.S.INV(RAND())</f>
        <v>-2.4414230457186395E-2</v>
      </c>
    </row>
    <row r="3530" spans="18:21" x14ac:dyDescent="0.2">
      <c r="R3530" s="49">
        <v>3528</v>
      </c>
      <c r="S3530" s="59">
        <f ca="1">Dashboard!B$8* Dashboard!$F$4+Dashboard!B$10*SQRT(Dashboard!$F$4) * _xlfn.NORM.S.INV(RAND())</f>
        <v>-7.4988550358537857E-3</v>
      </c>
      <c r="T3530" s="59">
        <f ca="1">Dashboard!C$8* Dashboard!$F$4+Dashboard!C$10*SQRT(Dashboard!$F$4) * _xlfn.NORM.S.INV(RAND())</f>
        <v>-1.419656878379345E-3</v>
      </c>
      <c r="U3530" s="59">
        <f ca="1">Dashboard!D$8* Dashboard!$F$4+Dashboard!D$10*SQRT(Dashboard!$F$4) * _xlfn.NORM.S.INV(RAND())</f>
        <v>3.2634108300406223E-2</v>
      </c>
    </row>
    <row r="3531" spans="18:21" x14ac:dyDescent="0.2">
      <c r="R3531" s="49">
        <v>3529</v>
      </c>
      <c r="S3531" s="59">
        <f ca="1">Dashboard!B$8* Dashboard!$F$4+Dashboard!B$10*SQRT(Dashboard!$F$4) * _xlfn.NORM.S.INV(RAND())</f>
        <v>8.2424618449438384E-3</v>
      </c>
      <c r="T3531" s="59">
        <f ca="1">Dashboard!C$8* Dashboard!$F$4+Dashboard!C$10*SQRT(Dashboard!$F$4) * _xlfn.NORM.S.INV(RAND())</f>
        <v>4.0470964896415385E-2</v>
      </c>
      <c r="U3531" s="59">
        <f ca="1">Dashboard!D$8* Dashboard!$F$4+Dashboard!D$10*SQRT(Dashboard!$F$4) * _xlfn.NORM.S.INV(RAND())</f>
        <v>-1.8648298889223081E-2</v>
      </c>
    </row>
    <row r="3532" spans="18:21" x14ac:dyDescent="0.2">
      <c r="R3532" s="49">
        <v>3530</v>
      </c>
      <c r="S3532" s="59">
        <f ca="1">Dashboard!B$8* Dashboard!$F$4+Dashboard!B$10*SQRT(Dashboard!$F$4) * _xlfn.NORM.S.INV(RAND())</f>
        <v>5.763520245495167E-3</v>
      </c>
      <c r="T3532" s="59">
        <f ca="1">Dashboard!C$8* Dashboard!$F$4+Dashboard!C$10*SQRT(Dashboard!$F$4) * _xlfn.NORM.S.INV(RAND())</f>
        <v>-2.5750748805556556E-2</v>
      </c>
      <c r="U3532" s="59">
        <f ca="1">Dashboard!D$8* Dashboard!$F$4+Dashboard!D$10*SQRT(Dashboard!$F$4) * _xlfn.NORM.S.INV(RAND())</f>
        <v>-1.9654858461765397E-2</v>
      </c>
    </row>
    <row r="3533" spans="18:21" x14ac:dyDescent="0.2">
      <c r="R3533" s="49">
        <v>3531</v>
      </c>
      <c r="S3533" s="59">
        <f ca="1">Dashboard!B$8* Dashboard!$F$4+Dashboard!B$10*SQRT(Dashboard!$F$4) * _xlfn.NORM.S.INV(RAND())</f>
        <v>-3.5363902856001682E-2</v>
      </c>
      <c r="T3533" s="59">
        <f ca="1">Dashboard!C$8* Dashboard!$F$4+Dashboard!C$10*SQRT(Dashboard!$F$4) * _xlfn.NORM.S.INV(RAND())</f>
        <v>-5.5811461942986917E-2</v>
      </c>
      <c r="U3533" s="59">
        <f ca="1">Dashboard!D$8* Dashboard!$F$4+Dashboard!D$10*SQRT(Dashboard!$F$4) * _xlfn.NORM.S.INV(RAND())</f>
        <v>7.2912450707347656E-2</v>
      </c>
    </row>
    <row r="3534" spans="18:21" x14ac:dyDescent="0.2">
      <c r="R3534" s="49">
        <v>3532</v>
      </c>
      <c r="S3534" s="59">
        <f ca="1">Dashboard!B$8* Dashboard!$F$4+Dashboard!B$10*SQRT(Dashboard!$F$4) * _xlfn.NORM.S.INV(RAND())</f>
        <v>4.4016062730910591E-3</v>
      </c>
      <c r="T3534" s="59">
        <f ca="1">Dashboard!C$8* Dashboard!$F$4+Dashboard!C$10*SQRT(Dashboard!$F$4) * _xlfn.NORM.S.INV(RAND())</f>
        <v>-8.144919613077669E-3</v>
      </c>
      <c r="U3534" s="59">
        <f ca="1">Dashboard!D$8* Dashboard!$F$4+Dashboard!D$10*SQRT(Dashboard!$F$4) * _xlfn.NORM.S.INV(RAND())</f>
        <v>1.3335591509295997E-2</v>
      </c>
    </row>
    <row r="3535" spans="18:21" x14ac:dyDescent="0.2">
      <c r="R3535" s="49">
        <v>3533</v>
      </c>
      <c r="S3535" s="59">
        <f ca="1">Dashboard!B$8* Dashboard!$F$4+Dashboard!B$10*SQRT(Dashboard!$F$4) * _xlfn.NORM.S.INV(RAND())</f>
        <v>-1.9103482449440282E-3</v>
      </c>
      <c r="T3535" s="59">
        <f ca="1">Dashboard!C$8* Dashboard!$F$4+Dashboard!C$10*SQRT(Dashboard!$F$4) * _xlfn.NORM.S.INV(RAND())</f>
        <v>4.3802744939860229E-2</v>
      </c>
      <c r="U3535" s="59">
        <f ca="1">Dashboard!D$8* Dashboard!$F$4+Dashboard!D$10*SQRT(Dashboard!$F$4) * _xlfn.NORM.S.INV(RAND())</f>
        <v>1.907744601329937E-2</v>
      </c>
    </row>
    <row r="3536" spans="18:21" x14ac:dyDescent="0.2">
      <c r="R3536" s="49">
        <v>3534</v>
      </c>
      <c r="S3536" s="59">
        <f ca="1">Dashboard!B$8* Dashboard!$F$4+Dashboard!B$10*SQRT(Dashboard!$F$4) * _xlfn.NORM.S.INV(RAND())</f>
        <v>2.5274388249901858E-2</v>
      </c>
      <c r="T3536" s="59">
        <f ca="1">Dashboard!C$8* Dashboard!$F$4+Dashboard!C$10*SQRT(Dashboard!$F$4) * _xlfn.NORM.S.INV(RAND())</f>
        <v>2.5748425874186191E-2</v>
      </c>
      <c r="U3536" s="59">
        <f ca="1">Dashboard!D$8* Dashboard!$F$4+Dashboard!D$10*SQRT(Dashboard!$F$4) * _xlfn.NORM.S.INV(RAND())</f>
        <v>3.260622044101681E-3</v>
      </c>
    </row>
    <row r="3537" spans="18:21" x14ac:dyDescent="0.2">
      <c r="R3537" s="49">
        <v>3535</v>
      </c>
      <c r="S3537" s="59">
        <f ca="1">Dashboard!B$8* Dashboard!$F$4+Dashboard!B$10*SQRT(Dashboard!$F$4) * _xlfn.NORM.S.INV(RAND())</f>
        <v>4.1961299616720814E-2</v>
      </c>
      <c r="T3537" s="59">
        <f ca="1">Dashboard!C$8* Dashboard!$F$4+Dashboard!C$10*SQRT(Dashboard!$F$4) * _xlfn.NORM.S.INV(RAND())</f>
        <v>3.7983107357586622E-2</v>
      </c>
      <c r="U3537" s="59">
        <f ca="1">Dashboard!D$8* Dashboard!$F$4+Dashboard!D$10*SQRT(Dashboard!$F$4) * _xlfn.NORM.S.INV(RAND())</f>
        <v>3.7130062266244662E-3</v>
      </c>
    </row>
    <row r="3538" spans="18:21" x14ac:dyDescent="0.2">
      <c r="R3538" s="49">
        <v>3536</v>
      </c>
      <c r="S3538" s="59">
        <f ca="1">Dashboard!B$8* Dashboard!$F$4+Dashboard!B$10*SQRT(Dashboard!$F$4) * _xlfn.NORM.S.INV(RAND())</f>
        <v>2.9473094815708326E-2</v>
      </c>
      <c r="T3538" s="59">
        <f ca="1">Dashboard!C$8* Dashboard!$F$4+Dashboard!C$10*SQRT(Dashboard!$F$4) * _xlfn.NORM.S.INV(RAND())</f>
        <v>-2.980931402063643E-2</v>
      </c>
      <c r="U3538" s="59">
        <f ca="1">Dashboard!D$8* Dashboard!$F$4+Dashboard!D$10*SQRT(Dashboard!$F$4) * _xlfn.NORM.S.INV(RAND())</f>
        <v>2.5255971378112469E-3</v>
      </c>
    </row>
    <row r="3539" spans="18:21" x14ac:dyDescent="0.2">
      <c r="R3539" s="49">
        <v>3537</v>
      </c>
      <c r="S3539" s="59">
        <f ca="1">Dashboard!B$8* Dashboard!$F$4+Dashboard!B$10*SQRT(Dashboard!$F$4) * _xlfn.NORM.S.INV(RAND())</f>
        <v>2.6281328264608798E-3</v>
      </c>
      <c r="T3539" s="59">
        <f ca="1">Dashboard!C$8* Dashboard!$F$4+Dashboard!C$10*SQRT(Dashboard!$F$4) * _xlfn.NORM.S.INV(RAND())</f>
        <v>-1.0383762646662235E-2</v>
      </c>
      <c r="U3539" s="59">
        <f ca="1">Dashboard!D$8* Dashboard!$F$4+Dashboard!D$10*SQRT(Dashboard!$F$4) * _xlfn.NORM.S.INV(RAND())</f>
        <v>-2.5123981040626055E-2</v>
      </c>
    </row>
    <row r="3540" spans="18:21" x14ac:dyDescent="0.2">
      <c r="R3540" s="49">
        <v>3538</v>
      </c>
      <c r="S3540" s="59">
        <f ca="1">Dashboard!B$8* Dashboard!$F$4+Dashboard!B$10*SQRT(Dashboard!$F$4) * _xlfn.NORM.S.INV(RAND())</f>
        <v>3.7466494409729101E-2</v>
      </c>
      <c r="T3540" s="59">
        <f ca="1">Dashboard!C$8* Dashboard!$F$4+Dashboard!C$10*SQRT(Dashboard!$F$4) * _xlfn.NORM.S.INV(RAND())</f>
        <v>5.9664313424728783E-2</v>
      </c>
      <c r="U3540" s="59">
        <f ca="1">Dashboard!D$8* Dashboard!$F$4+Dashboard!D$10*SQRT(Dashboard!$F$4) * _xlfn.NORM.S.INV(RAND())</f>
        <v>-2.3015334822063447E-2</v>
      </c>
    </row>
    <row r="3541" spans="18:21" x14ac:dyDescent="0.2">
      <c r="R3541" s="49">
        <v>3539</v>
      </c>
      <c r="S3541" s="59">
        <f ca="1">Dashboard!B$8* Dashboard!$F$4+Dashboard!B$10*SQRT(Dashboard!$F$4) * _xlfn.NORM.S.INV(RAND())</f>
        <v>-1.666758532945338E-2</v>
      </c>
      <c r="T3541" s="59">
        <f ca="1">Dashboard!C$8* Dashboard!$F$4+Dashboard!C$10*SQRT(Dashboard!$F$4) * _xlfn.NORM.S.INV(RAND())</f>
        <v>-1.2859114650435764E-3</v>
      </c>
      <c r="U3541" s="59">
        <f ca="1">Dashboard!D$8* Dashboard!$F$4+Dashboard!D$10*SQRT(Dashboard!$F$4) * _xlfn.NORM.S.INV(RAND())</f>
        <v>-5.119070184708966E-2</v>
      </c>
    </row>
    <row r="3542" spans="18:21" x14ac:dyDescent="0.2">
      <c r="R3542" s="49">
        <v>3540</v>
      </c>
      <c r="S3542" s="59">
        <f ca="1">Dashboard!B$8* Dashboard!$F$4+Dashboard!B$10*SQRT(Dashboard!$F$4) * _xlfn.NORM.S.INV(RAND())</f>
        <v>2.3563668553805726E-2</v>
      </c>
      <c r="T3542" s="59">
        <f ca="1">Dashboard!C$8* Dashboard!$F$4+Dashboard!C$10*SQRT(Dashboard!$F$4) * _xlfn.NORM.S.INV(RAND())</f>
        <v>-4.0409395399312355E-2</v>
      </c>
      <c r="U3542" s="59">
        <f ca="1">Dashboard!D$8* Dashboard!$F$4+Dashboard!D$10*SQRT(Dashboard!$F$4) * _xlfn.NORM.S.INV(RAND())</f>
        <v>-2.5792611589195442E-2</v>
      </c>
    </row>
    <row r="3543" spans="18:21" x14ac:dyDescent="0.2">
      <c r="R3543" s="49">
        <v>3541</v>
      </c>
      <c r="S3543" s="59">
        <f ca="1">Dashboard!B$8* Dashboard!$F$4+Dashboard!B$10*SQRT(Dashboard!$F$4) * _xlfn.NORM.S.INV(RAND())</f>
        <v>1.66224533931012E-2</v>
      </c>
      <c r="T3543" s="59">
        <f ca="1">Dashboard!C$8* Dashboard!$F$4+Dashboard!C$10*SQRT(Dashboard!$F$4) * _xlfn.NORM.S.INV(RAND())</f>
        <v>1.5886255213738588E-2</v>
      </c>
      <c r="U3543" s="59">
        <f ca="1">Dashboard!D$8* Dashboard!$F$4+Dashboard!D$10*SQRT(Dashboard!$F$4) * _xlfn.NORM.S.INV(RAND())</f>
        <v>-1.8187766271002222E-2</v>
      </c>
    </row>
    <row r="3544" spans="18:21" x14ac:dyDescent="0.2">
      <c r="R3544" s="49">
        <v>3542</v>
      </c>
      <c r="S3544" s="59">
        <f ca="1">Dashboard!B$8* Dashboard!$F$4+Dashboard!B$10*SQRT(Dashboard!$F$4) * _xlfn.NORM.S.INV(RAND())</f>
        <v>1.9857829622450841E-2</v>
      </c>
      <c r="T3544" s="59">
        <f ca="1">Dashboard!C$8* Dashboard!$F$4+Dashboard!C$10*SQRT(Dashboard!$F$4) * _xlfn.NORM.S.INV(RAND())</f>
        <v>-5.4692113729847263E-4</v>
      </c>
      <c r="U3544" s="59">
        <f ca="1">Dashboard!D$8* Dashboard!$F$4+Dashboard!D$10*SQRT(Dashboard!$F$4) * _xlfn.NORM.S.INV(RAND())</f>
        <v>-1.839572040977993E-2</v>
      </c>
    </row>
    <row r="3545" spans="18:21" x14ac:dyDescent="0.2">
      <c r="R3545" s="49">
        <v>3543</v>
      </c>
      <c r="S3545" s="59">
        <f ca="1">Dashboard!B$8* Dashboard!$F$4+Dashboard!B$10*SQRT(Dashboard!$F$4) * _xlfn.NORM.S.INV(RAND())</f>
        <v>4.2964798577500525E-2</v>
      </c>
      <c r="T3545" s="59">
        <f ca="1">Dashboard!C$8* Dashboard!$F$4+Dashboard!C$10*SQRT(Dashboard!$F$4) * _xlfn.NORM.S.INV(RAND())</f>
        <v>6.3992318435841236E-3</v>
      </c>
      <c r="U3545" s="59">
        <f ca="1">Dashboard!D$8* Dashboard!$F$4+Dashboard!D$10*SQRT(Dashboard!$F$4) * _xlfn.NORM.S.INV(RAND())</f>
        <v>-8.404573014536836E-4</v>
      </c>
    </row>
    <row r="3546" spans="18:21" x14ac:dyDescent="0.2">
      <c r="R3546" s="49">
        <v>3544</v>
      </c>
      <c r="S3546" s="59">
        <f ca="1">Dashboard!B$8* Dashboard!$F$4+Dashboard!B$10*SQRT(Dashboard!$F$4) * _xlfn.NORM.S.INV(RAND())</f>
        <v>-1.668846075976551E-2</v>
      </c>
      <c r="T3546" s="59">
        <f ca="1">Dashboard!C$8* Dashboard!$F$4+Dashboard!C$10*SQRT(Dashboard!$F$4) * _xlfn.NORM.S.INV(RAND())</f>
        <v>-1.648062306646499E-2</v>
      </c>
      <c r="U3546" s="59">
        <f ca="1">Dashboard!D$8* Dashboard!$F$4+Dashboard!D$10*SQRT(Dashboard!$F$4) * _xlfn.NORM.S.INV(RAND())</f>
        <v>1.5464319743677969E-2</v>
      </c>
    </row>
    <row r="3547" spans="18:21" x14ac:dyDescent="0.2">
      <c r="R3547" s="49">
        <v>3545</v>
      </c>
      <c r="S3547" s="59">
        <f ca="1">Dashboard!B$8* Dashboard!$F$4+Dashboard!B$10*SQRT(Dashboard!$F$4) * _xlfn.NORM.S.INV(RAND())</f>
        <v>-4.0515588612922747E-3</v>
      </c>
      <c r="T3547" s="59">
        <f ca="1">Dashboard!C$8* Dashboard!$F$4+Dashboard!C$10*SQRT(Dashboard!$F$4) * _xlfn.NORM.S.INV(RAND())</f>
        <v>-7.9468311593377305E-2</v>
      </c>
      <c r="U3547" s="59">
        <f ca="1">Dashboard!D$8* Dashboard!$F$4+Dashboard!D$10*SQRT(Dashboard!$F$4) * _xlfn.NORM.S.INV(RAND())</f>
        <v>6.8677987143991896E-3</v>
      </c>
    </row>
    <row r="3548" spans="18:21" x14ac:dyDescent="0.2">
      <c r="R3548" s="49">
        <v>3546</v>
      </c>
      <c r="S3548" s="59">
        <f ca="1">Dashboard!B$8* Dashboard!$F$4+Dashboard!B$10*SQRT(Dashboard!$F$4) * _xlfn.NORM.S.INV(RAND())</f>
        <v>-1.623049322537063E-2</v>
      </c>
      <c r="T3548" s="59">
        <f ca="1">Dashboard!C$8* Dashboard!$F$4+Dashboard!C$10*SQRT(Dashboard!$F$4) * _xlfn.NORM.S.INV(RAND())</f>
        <v>-2.8853043407136462E-2</v>
      </c>
      <c r="U3548" s="59">
        <f ca="1">Dashboard!D$8* Dashboard!$F$4+Dashboard!D$10*SQRT(Dashboard!$F$4) * _xlfn.NORM.S.INV(RAND())</f>
        <v>-7.9256373450546716E-2</v>
      </c>
    </row>
    <row r="3549" spans="18:21" x14ac:dyDescent="0.2">
      <c r="R3549" s="49">
        <v>3547</v>
      </c>
      <c r="S3549" s="59">
        <f ca="1">Dashboard!B$8* Dashboard!$F$4+Dashboard!B$10*SQRT(Dashboard!$F$4) * _xlfn.NORM.S.INV(RAND())</f>
        <v>-3.7200565951639966E-2</v>
      </c>
      <c r="T3549" s="59">
        <f ca="1">Dashboard!C$8* Dashboard!$F$4+Dashboard!C$10*SQRT(Dashboard!$F$4) * _xlfn.NORM.S.INV(RAND())</f>
        <v>-2.4434047561507435E-2</v>
      </c>
      <c r="U3549" s="59">
        <f ca="1">Dashboard!D$8* Dashboard!$F$4+Dashboard!D$10*SQRT(Dashboard!$F$4) * _xlfn.NORM.S.INV(RAND())</f>
        <v>-7.3846146281847005E-2</v>
      </c>
    </row>
    <row r="3550" spans="18:21" x14ac:dyDescent="0.2">
      <c r="R3550" s="49">
        <v>3548</v>
      </c>
      <c r="S3550" s="59">
        <f ca="1">Dashboard!B$8* Dashboard!$F$4+Dashboard!B$10*SQRT(Dashboard!$F$4) * _xlfn.NORM.S.INV(RAND())</f>
        <v>-2.6101035015829773E-3</v>
      </c>
      <c r="T3550" s="59">
        <f ca="1">Dashboard!C$8* Dashboard!$F$4+Dashboard!C$10*SQRT(Dashboard!$F$4) * _xlfn.NORM.S.INV(RAND())</f>
        <v>-7.2408875664628078E-3</v>
      </c>
      <c r="U3550" s="59">
        <f ca="1">Dashboard!D$8* Dashboard!$F$4+Dashboard!D$10*SQRT(Dashboard!$F$4) * _xlfn.NORM.S.INV(RAND())</f>
        <v>1.629823647770302E-2</v>
      </c>
    </row>
    <row r="3551" spans="18:21" x14ac:dyDescent="0.2">
      <c r="R3551" s="49">
        <v>3549</v>
      </c>
      <c r="S3551" s="59">
        <f ca="1">Dashboard!B$8* Dashboard!$F$4+Dashboard!B$10*SQRT(Dashboard!$F$4) * _xlfn.NORM.S.INV(RAND())</f>
        <v>-1.8638254079917808E-2</v>
      </c>
      <c r="T3551" s="59">
        <f ca="1">Dashboard!C$8* Dashboard!$F$4+Dashboard!C$10*SQRT(Dashboard!$F$4) * _xlfn.NORM.S.INV(RAND())</f>
        <v>-9.3597073839940086E-3</v>
      </c>
      <c r="U3551" s="59">
        <f ca="1">Dashboard!D$8* Dashboard!$F$4+Dashboard!D$10*SQRT(Dashboard!$F$4) * _xlfn.NORM.S.INV(RAND())</f>
        <v>-1.5137333826120708E-2</v>
      </c>
    </row>
    <row r="3552" spans="18:21" x14ac:dyDescent="0.2">
      <c r="R3552" s="49">
        <v>3550</v>
      </c>
      <c r="S3552" s="59">
        <f ca="1">Dashboard!B$8* Dashboard!$F$4+Dashboard!B$10*SQRT(Dashboard!$F$4) * _xlfn.NORM.S.INV(RAND())</f>
        <v>1.9409239422106532E-2</v>
      </c>
      <c r="T3552" s="59">
        <f ca="1">Dashboard!C$8* Dashboard!$F$4+Dashboard!C$10*SQRT(Dashboard!$F$4) * _xlfn.NORM.S.INV(RAND())</f>
        <v>-1.2325016395676052E-2</v>
      </c>
      <c r="U3552" s="59">
        <f ca="1">Dashboard!D$8* Dashboard!$F$4+Dashboard!D$10*SQRT(Dashboard!$F$4) * _xlfn.NORM.S.INV(RAND())</f>
        <v>-8.4506398119077702E-2</v>
      </c>
    </row>
    <row r="3553" spans="18:21" x14ac:dyDescent="0.2">
      <c r="R3553" s="49">
        <v>3551</v>
      </c>
      <c r="S3553" s="59">
        <f ca="1">Dashboard!B$8* Dashboard!$F$4+Dashboard!B$10*SQRT(Dashboard!$F$4) * _xlfn.NORM.S.INV(RAND())</f>
        <v>-6.2281316649551565E-3</v>
      </c>
      <c r="T3553" s="59">
        <f ca="1">Dashboard!C$8* Dashboard!$F$4+Dashboard!C$10*SQRT(Dashboard!$F$4) * _xlfn.NORM.S.INV(RAND())</f>
        <v>6.2929395815294002E-3</v>
      </c>
      <c r="U3553" s="59">
        <f ca="1">Dashboard!D$8* Dashboard!$F$4+Dashboard!D$10*SQRT(Dashboard!$F$4) * _xlfn.NORM.S.INV(RAND())</f>
        <v>-3.1430281846352527E-2</v>
      </c>
    </row>
    <row r="3554" spans="18:21" x14ac:dyDescent="0.2">
      <c r="R3554" s="49">
        <v>3552</v>
      </c>
      <c r="S3554" s="59">
        <f ca="1">Dashboard!B$8* Dashboard!$F$4+Dashboard!B$10*SQRT(Dashboard!$F$4) * _xlfn.NORM.S.INV(RAND())</f>
        <v>-9.3855170125888177E-2</v>
      </c>
      <c r="T3554" s="59">
        <f ca="1">Dashboard!C$8* Dashboard!$F$4+Dashboard!C$10*SQRT(Dashboard!$F$4) * _xlfn.NORM.S.INV(RAND())</f>
        <v>5.4810527246317457E-2</v>
      </c>
      <c r="U3554" s="59">
        <f ca="1">Dashboard!D$8* Dashboard!$F$4+Dashboard!D$10*SQRT(Dashboard!$F$4) * _xlfn.NORM.S.INV(RAND())</f>
        <v>3.0896134417736681E-2</v>
      </c>
    </row>
    <row r="3555" spans="18:21" x14ac:dyDescent="0.2">
      <c r="R3555" s="49">
        <v>3553</v>
      </c>
      <c r="S3555" s="59">
        <f ca="1">Dashboard!B$8* Dashboard!$F$4+Dashboard!B$10*SQRT(Dashboard!$F$4) * _xlfn.NORM.S.INV(RAND())</f>
        <v>6.057893326000997E-3</v>
      </c>
      <c r="T3555" s="59">
        <f ca="1">Dashboard!C$8* Dashboard!$F$4+Dashboard!C$10*SQRT(Dashboard!$F$4) * _xlfn.NORM.S.INV(RAND())</f>
        <v>-2.1365594020989344E-2</v>
      </c>
      <c r="U3555" s="59">
        <f ca="1">Dashboard!D$8* Dashboard!$F$4+Dashboard!D$10*SQRT(Dashboard!$F$4) * _xlfn.NORM.S.INV(RAND())</f>
        <v>4.2318695259143328E-2</v>
      </c>
    </row>
    <row r="3556" spans="18:21" x14ac:dyDescent="0.2">
      <c r="R3556" s="49">
        <v>3554</v>
      </c>
      <c r="S3556" s="59">
        <f ca="1">Dashboard!B$8* Dashboard!$F$4+Dashboard!B$10*SQRT(Dashboard!$F$4) * _xlfn.NORM.S.INV(RAND())</f>
        <v>-1.243065028372387E-2</v>
      </c>
      <c r="T3556" s="59">
        <f ca="1">Dashboard!C$8* Dashboard!$F$4+Dashboard!C$10*SQRT(Dashboard!$F$4) * _xlfn.NORM.S.INV(RAND())</f>
        <v>4.4645897897060631E-2</v>
      </c>
      <c r="U3556" s="59">
        <f ca="1">Dashboard!D$8* Dashboard!$F$4+Dashboard!D$10*SQRT(Dashboard!$F$4) * _xlfn.NORM.S.INV(RAND())</f>
        <v>1.7437093136387607E-2</v>
      </c>
    </row>
    <row r="3557" spans="18:21" x14ac:dyDescent="0.2">
      <c r="R3557" s="49">
        <v>3555</v>
      </c>
      <c r="S3557" s="59">
        <f ca="1">Dashboard!B$8* Dashboard!$F$4+Dashboard!B$10*SQRT(Dashboard!$F$4) * _xlfn.NORM.S.INV(RAND())</f>
        <v>3.5320505043180276E-3</v>
      </c>
      <c r="T3557" s="59">
        <f ca="1">Dashboard!C$8* Dashboard!$F$4+Dashboard!C$10*SQRT(Dashboard!$F$4) * _xlfn.NORM.S.INV(RAND())</f>
        <v>1.6709787026385557E-2</v>
      </c>
      <c r="U3557" s="59">
        <f ca="1">Dashboard!D$8* Dashboard!$F$4+Dashboard!D$10*SQRT(Dashboard!$F$4) * _xlfn.NORM.S.INV(RAND())</f>
        <v>1.9240935884257748E-2</v>
      </c>
    </row>
    <row r="3558" spans="18:21" x14ac:dyDescent="0.2">
      <c r="R3558" s="49">
        <v>3556</v>
      </c>
      <c r="S3558" s="59">
        <f ca="1">Dashboard!B$8* Dashboard!$F$4+Dashboard!B$10*SQRT(Dashboard!$F$4) * _xlfn.NORM.S.INV(RAND())</f>
        <v>-4.9878800463541678E-2</v>
      </c>
      <c r="T3558" s="59">
        <f ca="1">Dashboard!C$8* Dashboard!$F$4+Dashboard!C$10*SQRT(Dashboard!$F$4) * _xlfn.NORM.S.INV(RAND())</f>
        <v>1.8859218236819238E-2</v>
      </c>
      <c r="U3558" s="59">
        <f ca="1">Dashboard!D$8* Dashboard!$F$4+Dashboard!D$10*SQRT(Dashboard!$F$4) * _xlfn.NORM.S.INV(RAND())</f>
        <v>3.6433603085607495E-2</v>
      </c>
    </row>
    <row r="3559" spans="18:21" x14ac:dyDescent="0.2">
      <c r="R3559" s="49">
        <v>3557</v>
      </c>
      <c r="S3559" s="59">
        <f ca="1">Dashboard!B$8* Dashboard!$F$4+Dashboard!B$10*SQRT(Dashboard!$F$4) * _xlfn.NORM.S.INV(RAND())</f>
        <v>4.444956967089405E-3</v>
      </c>
      <c r="T3559" s="59">
        <f ca="1">Dashboard!C$8* Dashboard!$F$4+Dashboard!C$10*SQRT(Dashboard!$F$4) * _xlfn.NORM.S.INV(RAND())</f>
        <v>-2.6979830664181779E-2</v>
      </c>
      <c r="U3559" s="59">
        <f ca="1">Dashboard!D$8* Dashboard!$F$4+Dashboard!D$10*SQRT(Dashboard!$F$4) * _xlfn.NORM.S.INV(RAND())</f>
        <v>1.7441397100552626E-2</v>
      </c>
    </row>
    <row r="3560" spans="18:21" x14ac:dyDescent="0.2">
      <c r="R3560" s="49">
        <v>3558</v>
      </c>
      <c r="S3560" s="59">
        <f ca="1">Dashboard!B$8* Dashboard!$F$4+Dashboard!B$10*SQRT(Dashboard!$F$4) * _xlfn.NORM.S.INV(RAND())</f>
        <v>-3.3773934963275541E-2</v>
      </c>
      <c r="T3560" s="59">
        <f ca="1">Dashboard!C$8* Dashboard!$F$4+Dashboard!C$10*SQRT(Dashboard!$F$4) * _xlfn.NORM.S.INV(RAND())</f>
        <v>-1.1181230535178686E-2</v>
      </c>
      <c r="U3560" s="59">
        <f ca="1">Dashboard!D$8* Dashboard!$F$4+Dashboard!D$10*SQRT(Dashboard!$F$4) * _xlfn.NORM.S.INV(RAND())</f>
        <v>-2.3692542639411014E-2</v>
      </c>
    </row>
    <row r="3561" spans="18:21" x14ac:dyDescent="0.2">
      <c r="R3561" s="49">
        <v>3559</v>
      </c>
      <c r="S3561" s="59">
        <f ca="1">Dashboard!B$8* Dashboard!$F$4+Dashboard!B$10*SQRT(Dashboard!$F$4) * _xlfn.NORM.S.INV(RAND())</f>
        <v>4.5972620933741933E-3</v>
      </c>
      <c r="T3561" s="59">
        <f ca="1">Dashboard!C$8* Dashboard!$F$4+Dashboard!C$10*SQRT(Dashboard!$F$4) * _xlfn.NORM.S.INV(RAND())</f>
        <v>4.4304430402594068E-2</v>
      </c>
      <c r="U3561" s="59">
        <f ca="1">Dashboard!D$8* Dashboard!$F$4+Dashboard!D$10*SQRT(Dashboard!$F$4) * _xlfn.NORM.S.INV(RAND())</f>
        <v>-3.9538126430588301E-2</v>
      </c>
    </row>
    <row r="3562" spans="18:21" x14ac:dyDescent="0.2">
      <c r="R3562" s="49">
        <v>3560</v>
      </c>
      <c r="S3562" s="59">
        <f ca="1">Dashboard!B$8* Dashboard!$F$4+Dashboard!B$10*SQRT(Dashboard!$F$4) * _xlfn.NORM.S.INV(RAND())</f>
        <v>-1.1634657468788575E-2</v>
      </c>
      <c r="T3562" s="59">
        <f ca="1">Dashboard!C$8* Dashboard!$F$4+Dashboard!C$10*SQRT(Dashboard!$F$4) * _xlfn.NORM.S.INV(RAND())</f>
        <v>-2.9496666576611669E-3</v>
      </c>
      <c r="U3562" s="59">
        <f ca="1">Dashboard!D$8* Dashboard!$F$4+Dashboard!D$10*SQRT(Dashboard!$F$4) * _xlfn.NORM.S.INV(RAND())</f>
        <v>-5.0452887344090577E-2</v>
      </c>
    </row>
    <row r="3563" spans="18:21" x14ac:dyDescent="0.2">
      <c r="R3563" s="49">
        <v>3561</v>
      </c>
      <c r="S3563" s="59">
        <f ca="1">Dashboard!B$8* Dashboard!$F$4+Dashboard!B$10*SQRT(Dashboard!$F$4) * _xlfn.NORM.S.INV(RAND())</f>
        <v>1.6495756529475748E-4</v>
      </c>
      <c r="T3563" s="59">
        <f ca="1">Dashboard!C$8* Dashboard!$F$4+Dashboard!C$10*SQRT(Dashboard!$F$4) * _xlfn.NORM.S.INV(RAND())</f>
        <v>-3.6541183416009544E-2</v>
      </c>
      <c r="U3563" s="59">
        <f ca="1">Dashboard!D$8* Dashboard!$F$4+Dashboard!D$10*SQRT(Dashboard!$F$4) * _xlfn.NORM.S.INV(RAND())</f>
        <v>-2.5726036115105998E-2</v>
      </c>
    </row>
    <row r="3564" spans="18:21" x14ac:dyDescent="0.2">
      <c r="R3564" s="49">
        <v>3562</v>
      </c>
      <c r="S3564" s="59">
        <f ca="1">Dashboard!B$8* Dashboard!$F$4+Dashboard!B$10*SQRT(Dashboard!$F$4) * _xlfn.NORM.S.INV(RAND())</f>
        <v>-6.7658154886642147E-3</v>
      </c>
      <c r="T3564" s="59">
        <f ca="1">Dashboard!C$8* Dashboard!$F$4+Dashboard!C$10*SQRT(Dashboard!$F$4) * _xlfn.NORM.S.INV(RAND())</f>
        <v>1.0811092583980487E-2</v>
      </c>
      <c r="U3564" s="59">
        <f ca="1">Dashboard!D$8* Dashboard!$F$4+Dashboard!D$10*SQRT(Dashboard!$F$4) * _xlfn.NORM.S.INV(RAND())</f>
        <v>1.7568591907545953E-2</v>
      </c>
    </row>
    <row r="3565" spans="18:21" x14ac:dyDescent="0.2">
      <c r="R3565" s="49">
        <v>3563</v>
      </c>
      <c r="S3565" s="59">
        <f ca="1">Dashboard!B$8* Dashboard!$F$4+Dashboard!B$10*SQRT(Dashboard!$F$4) * _xlfn.NORM.S.INV(RAND())</f>
        <v>7.5326037509372348E-3</v>
      </c>
      <c r="T3565" s="59">
        <f ca="1">Dashboard!C$8* Dashboard!$F$4+Dashboard!C$10*SQRT(Dashboard!$F$4) * _xlfn.NORM.S.INV(RAND())</f>
        <v>1.9793125207808439E-2</v>
      </c>
      <c r="U3565" s="59">
        <f ca="1">Dashboard!D$8* Dashboard!$F$4+Dashboard!D$10*SQRT(Dashboard!$F$4) * _xlfn.NORM.S.INV(RAND())</f>
        <v>-5.8371899490633226E-2</v>
      </c>
    </row>
    <row r="3566" spans="18:21" x14ac:dyDescent="0.2">
      <c r="R3566" s="49">
        <v>3564</v>
      </c>
      <c r="S3566" s="59">
        <f ca="1">Dashboard!B$8* Dashboard!$F$4+Dashboard!B$10*SQRT(Dashboard!$F$4) * _xlfn.NORM.S.INV(RAND())</f>
        <v>-1.2098401198884516E-2</v>
      </c>
      <c r="T3566" s="59">
        <f ca="1">Dashboard!C$8* Dashboard!$F$4+Dashboard!C$10*SQRT(Dashboard!$F$4) * _xlfn.NORM.S.INV(RAND())</f>
        <v>-5.1272559907789998E-2</v>
      </c>
      <c r="U3566" s="59">
        <f ca="1">Dashboard!D$8* Dashboard!$F$4+Dashboard!D$10*SQRT(Dashboard!$F$4) * _xlfn.NORM.S.INV(RAND())</f>
        <v>-1.2269419764104304E-2</v>
      </c>
    </row>
    <row r="3567" spans="18:21" x14ac:dyDescent="0.2">
      <c r="R3567" s="49">
        <v>3565</v>
      </c>
      <c r="S3567" s="59">
        <f ca="1">Dashboard!B$8* Dashboard!$F$4+Dashboard!B$10*SQRT(Dashboard!$F$4) * _xlfn.NORM.S.INV(RAND())</f>
        <v>-1.9960803889537367E-2</v>
      </c>
      <c r="T3567" s="59">
        <f ca="1">Dashboard!C$8* Dashboard!$F$4+Dashboard!C$10*SQRT(Dashboard!$F$4) * _xlfn.NORM.S.INV(RAND())</f>
        <v>5.0146402605629218E-3</v>
      </c>
      <c r="U3567" s="59">
        <f ca="1">Dashboard!D$8* Dashboard!$F$4+Dashboard!D$10*SQRT(Dashboard!$F$4) * _xlfn.NORM.S.INV(RAND())</f>
        <v>-3.5835108422002188E-2</v>
      </c>
    </row>
    <row r="3568" spans="18:21" x14ac:dyDescent="0.2">
      <c r="R3568" s="49">
        <v>3566</v>
      </c>
      <c r="S3568" s="59">
        <f ca="1">Dashboard!B$8* Dashboard!$F$4+Dashboard!B$10*SQRT(Dashboard!$F$4) * _xlfn.NORM.S.INV(RAND())</f>
        <v>-5.9783615256505003E-4</v>
      </c>
      <c r="T3568" s="59">
        <f ca="1">Dashboard!C$8* Dashboard!$F$4+Dashboard!C$10*SQRT(Dashboard!$F$4) * _xlfn.NORM.S.INV(RAND())</f>
        <v>2.6094207712957337E-2</v>
      </c>
      <c r="U3568" s="59">
        <f ca="1">Dashboard!D$8* Dashboard!$F$4+Dashboard!D$10*SQRT(Dashboard!$F$4) * _xlfn.NORM.S.INV(RAND())</f>
        <v>3.5167772289047619E-2</v>
      </c>
    </row>
    <row r="3569" spans="18:21" x14ac:dyDescent="0.2">
      <c r="R3569" s="49">
        <v>3567</v>
      </c>
      <c r="S3569" s="59">
        <f ca="1">Dashboard!B$8* Dashboard!$F$4+Dashboard!B$10*SQRT(Dashboard!$F$4) * _xlfn.NORM.S.INV(RAND())</f>
        <v>-1.0142651390808513E-3</v>
      </c>
      <c r="T3569" s="59">
        <f ca="1">Dashboard!C$8* Dashboard!$F$4+Dashboard!C$10*SQRT(Dashboard!$F$4) * _xlfn.NORM.S.INV(RAND())</f>
        <v>-3.9492700066406983E-2</v>
      </c>
      <c r="U3569" s="59">
        <f ca="1">Dashboard!D$8* Dashboard!$F$4+Dashboard!D$10*SQRT(Dashboard!$F$4) * _xlfn.NORM.S.INV(RAND())</f>
        <v>-3.9721701921430028E-2</v>
      </c>
    </row>
    <row r="3570" spans="18:21" x14ac:dyDescent="0.2">
      <c r="R3570" s="49">
        <v>3568</v>
      </c>
      <c r="S3570" s="59">
        <f ca="1">Dashboard!B$8* Dashboard!$F$4+Dashboard!B$10*SQRT(Dashboard!$F$4) * _xlfn.NORM.S.INV(RAND())</f>
        <v>-4.2396164012042881E-2</v>
      </c>
      <c r="T3570" s="59">
        <f ca="1">Dashboard!C$8* Dashboard!$F$4+Dashboard!C$10*SQRT(Dashboard!$F$4) * _xlfn.NORM.S.INV(RAND())</f>
        <v>2.9483427078365598E-2</v>
      </c>
      <c r="U3570" s="59">
        <f ca="1">Dashboard!D$8* Dashboard!$F$4+Dashboard!D$10*SQRT(Dashboard!$F$4) * _xlfn.NORM.S.INV(RAND())</f>
        <v>-1.3875217230139215E-2</v>
      </c>
    </row>
    <row r="3571" spans="18:21" x14ac:dyDescent="0.2">
      <c r="R3571" s="49">
        <v>3569</v>
      </c>
      <c r="S3571" s="59">
        <f ca="1">Dashboard!B$8* Dashboard!$F$4+Dashboard!B$10*SQRT(Dashboard!$F$4) * _xlfn.NORM.S.INV(RAND())</f>
        <v>-2.3283794324897196E-2</v>
      </c>
      <c r="T3571" s="59">
        <f ca="1">Dashboard!C$8* Dashboard!$F$4+Dashboard!C$10*SQRT(Dashboard!$F$4) * _xlfn.NORM.S.INV(RAND())</f>
        <v>1.4642769799005317E-2</v>
      </c>
      <c r="U3571" s="59">
        <f ca="1">Dashboard!D$8* Dashboard!$F$4+Dashboard!D$10*SQRT(Dashboard!$F$4) * _xlfn.NORM.S.INV(RAND())</f>
        <v>4.481593600446742E-2</v>
      </c>
    </row>
    <row r="3572" spans="18:21" x14ac:dyDescent="0.2">
      <c r="R3572" s="49">
        <v>3570</v>
      </c>
      <c r="S3572" s="59">
        <f ca="1">Dashboard!B$8* Dashboard!$F$4+Dashboard!B$10*SQRT(Dashboard!$F$4) * _xlfn.NORM.S.INV(RAND())</f>
        <v>-4.4431504028730924E-2</v>
      </c>
      <c r="T3572" s="59">
        <f ca="1">Dashboard!C$8* Dashboard!$F$4+Dashboard!C$10*SQRT(Dashboard!$F$4) * _xlfn.NORM.S.INV(RAND())</f>
        <v>-1.3352895462090612E-2</v>
      </c>
      <c r="U3572" s="59">
        <f ca="1">Dashboard!D$8* Dashboard!$F$4+Dashboard!D$10*SQRT(Dashboard!$F$4) * _xlfn.NORM.S.INV(RAND())</f>
        <v>-7.0157775570186248E-3</v>
      </c>
    </row>
    <row r="3573" spans="18:21" x14ac:dyDescent="0.2">
      <c r="R3573" s="49">
        <v>3571</v>
      </c>
      <c r="S3573" s="59">
        <f ca="1">Dashboard!B$8* Dashboard!$F$4+Dashboard!B$10*SQRT(Dashboard!$F$4) * _xlfn.NORM.S.INV(RAND())</f>
        <v>3.619262506009828E-2</v>
      </c>
      <c r="T3573" s="59">
        <f ca="1">Dashboard!C$8* Dashboard!$F$4+Dashboard!C$10*SQRT(Dashboard!$F$4) * _xlfn.NORM.S.INV(RAND())</f>
        <v>3.0844028732448053E-2</v>
      </c>
      <c r="U3573" s="59">
        <f ca="1">Dashboard!D$8* Dashboard!$F$4+Dashboard!D$10*SQRT(Dashboard!$F$4) * _xlfn.NORM.S.INV(RAND())</f>
        <v>5.0719963977726018E-2</v>
      </c>
    </row>
    <row r="3574" spans="18:21" x14ac:dyDescent="0.2">
      <c r="R3574" s="49">
        <v>3572</v>
      </c>
      <c r="S3574" s="59">
        <f ca="1">Dashboard!B$8* Dashboard!$F$4+Dashboard!B$10*SQRT(Dashboard!$F$4) * _xlfn.NORM.S.INV(RAND())</f>
        <v>-6.5305470788377552E-3</v>
      </c>
      <c r="T3574" s="59">
        <f ca="1">Dashboard!C$8* Dashboard!$F$4+Dashboard!C$10*SQRT(Dashboard!$F$4) * _xlfn.NORM.S.INV(RAND())</f>
        <v>-1.045749659476583E-4</v>
      </c>
      <c r="U3574" s="59">
        <f ca="1">Dashboard!D$8* Dashboard!$F$4+Dashboard!D$10*SQRT(Dashboard!$F$4) * _xlfn.NORM.S.INV(RAND())</f>
        <v>-1.5771767645653544E-2</v>
      </c>
    </row>
    <row r="3575" spans="18:21" x14ac:dyDescent="0.2">
      <c r="R3575" s="49">
        <v>3573</v>
      </c>
      <c r="S3575" s="59">
        <f ca="1">Dashboard!B$8* Dashboard!$F$4+Dashboard!B$10*SQRT(Dashboard!$F$4) * _xlfn.NORM.S.INV(RAND())</f>
        <v>-1.8917070123504492E-2</v>
      </c>
      <c r="T3575" s="59">
        <f ca="1">Dashboard!C$8* Dashboard!$F$4+Dashboard!C$10*SQRT(Dashboard!$F$4) * _xlfn.NORM.S.INV(RAND())</f>
        <v>-1.058452012457967E-2</v>
      </c>
      <c r="U3575" s="59">
        <f ca="1">Dashboard!D$8* Dashboard!$F$4+Dashboard!D$10*SQRT(Dashboard!$F$4) * _xlfn.NORM.S.INV(RAND())</f>
        <v>-4.0455143144731975E-2</v>
      </c>
    </row>
    <row r="3576" spans="18:21" x14ac:dyDescent="0.2">
      <c r="R3576" s="49">
        <v>3574</v>
      </c>
      <c r="S3576" s="59">
        <f ca="1">Dashboard!B$8* Dashboard!$F$4+Dashboard!B$10*SQRT(Dashboard!$F$4) * _xlfn.NORM.S.INV(RAND())</f>
        <v>1.4522808657133792E-2</v>
      </c>
      <c r="T3576" s="59">
        <f ca="1">Dashboard!C$8* Dashboard!$F$4+Dashboard!C$10*SQRT(Dashboard!$F$4) * _xlfn.NORM.S.INV(RAND())</f>
        <v>5.1450086742186804E-4</v>
      </c>
      <c r="U3576" s="59">
        <f ca="1">Dashboard!D$8* Dashboard!$F$4+Dashboard!D$10*SQRT(Dashboard!$F$4) * _xlfn.NORM.S.INV(RAND())</f>
        <v>-1.5588884239999073E-2</v>
      </c>
    </row>
    <row r="3577" spans="18:21" x14ac:dyDescent="0.2">
      <c r="R3577" s="49">
        <v>3575</v>
      </c>
      <c r="S3577" s="59">
        <f ca="1">Dashboard!B$8* Dashboard!$F$4+Dashboard!B$10*SQRT(Dashboard!$F$4) * _xlfn.NORM.S.INV(RAND())</f>
        <v>-1.5443940917621348E-2</v>
      </c>
      <c r="T3577" s="59">
        <f ca="1">Dashboard!C$8* Dashboard!$F$4+Dashboard!C$10*SQRT(Dashboard!$F$4) * _xlfn.NORM.S.INV(RAND())</f>
        <v>-3.3903630748263677E-2</v>
      </c>
      <c r="U3577" s="59">
        <f ca="1">Dashboard!D$8* Dashboard!$F$4+Dashboard!D$10*SQRT(Dashboard!$F$4) * _xlfn.NORM.S.INV(RAND())</f>
        <v>2.7775805478003214E-2</v>
      </c>
    </row>
    <row r="3578" spans="18:21" x14ac:dyDescent="0.2">
      <c r="R3578" s="49">
        <v>3576</v>
      </c>
      <c r="S3578" s="59">
        <f ca="1">Dashboard!B$8* Dashboard!$F$4+Dashboard!B$10*SQRT(Dashboard!$F$4) * _xlfn.NORM.S.INV(RAND())</f>
        <v>5.9727868289334938E-3</v>
      </c>
      <c r="T3578" s="59">
        <f ca="1">Dashboard!C$8* Dashboard!$F$4+Dashboard!C$10*SQRT(Dashboard!$F$4) * _xlfn.NORM.S.INV(RAND())</f>
        <v>-3.8033837088988769E-2</v>
      </c>
      <c r="U3578" s="59">
        <f ca="1">Dashboard!D$8* Dashboard!$F$4+Dashboard!D$10*SQRT(Dashboard!$F$4) * _xlfn.NORM.S.INV(RAND())</f>
        <v>1.6825637302423329E-3</v>
      </c>
    </row>
    <row r="3579" spans="18:21" x14ac:dyDescent="0.2">
      <c r="R3579" s="49">
        <v>3577</v>
      </c>
      <c r="S3579" s="59">
        <f ca="1">Dashboard!B$8* Dashboard!$F$4+Dashboard!B$10*SQRT(Dashboard!$F$4) * _xlfn.NORM.S.INV(RAND())</f>
        <v>-5.3147089788392513E-2</v>
      </c>
      <c r="T3579" s="59">
        <f ca="1">Dashboard!C$8* Dashboard!$F$4+Dashboard!C$10*SQRT(Dashboard!$F$4) * _xlfn.NORM.S.INV(RAND())</f>
        <v>4.9074428298207233E-2</v>
      </c>
      <c r="U3579" s="59">
        <f ca="1">Dashboard!D$8* Dashboard!$F$4+Dashboard!D$10*SQRT(Dashboard!$F$4) * _xlfn.NORM.S.INV(RAND())</f>
        <v>1.8007976701369759E-2</v>
      </c>
    </row>
    <row r="3580" spans="18:21" x14ac:dyDescent="0.2">
      <c r="R3580" s="49">
        <v>3578</v>
      </c>
      <c r="S3580" s="59">
        <f ca="1">Dashboard!B$8* Dashboard!$F$4+Dashboard!B$10*SQRT(Dashboard!$F$4) * _xlfn.NORM.S.INV(RAND())</f>
        <v>-2.6849980173538294E-3</v>
      </c>
      <c r="T3580" s="59">
        <f ca="1">Dashboard!C$8* Dashboard!$F$4+Dashboard!C$10*SQRT(Dashboard!$F$4) * _xlfn.NORM.S.INV(RAND())</f>
        <v>-3.656769302636554E-2</v>
      </c>
      <c r="U3580" s="59">
        <f ca="1">Dashboard!D$8* Dashboard!$F$4+Dashboard!D$10*SQRT(Dashboard!$F$4) * _xlfn.NORM.S.INV(RAND())</f>
        <v>-4.0914900293780553E-2</v>
      </c>
    </row>
    <row r="3581" spans="18:21" x14ac:dyDescent="0.2">
      <c r="R3581" s="49">
        <v>3579</v>
      </c>
      <c r="S3581" s="59">
        <f ca="1">Dashboard!B$8* Dashboard!$F$4+Dashboard!B$10*SQRT(Dashboard!$F$4) * _xlfn.NORM.S.INV(RAND())</f>
        <v>-7.28701759353346E-3</v>
      </c>
      <c r="T3581" s="59">
        <f ca="1">Dashboard!C$8* Dashboard!$F$4+Dashboard!C$10*SQRT(Dashboard!$F$4) * _xlfn.NORM.S.INV(RAND())</f>
        <v>-2.7643601651997401E-2</v>
      </c>
      <c r="U3581" s="59">
        <f ca="1">Dashboard!D$8* Dashboard!$F$4+Dashboard!D$10*SQRT(Dashboard!$F$4) * _xlfn.NORM.S.INV(RAND())</f>
        <v>3.1338379859252316E-3</v>
      </c>
    </row>
    <row r="3582" spans="18:21" x14ac:dyDescent="0.2">
      <c r="R3582" s="49">
        <v>3580</v>
      </c>
      <c r="S3582" s="59">
        <f ca="1">Dashboard!B$8* Dashboard!$F$4+Dashboard!B$10*SQRT(Dashboard!$F$4) * _xlfn.NORM.S.INV(RAND())</f>
        <v>-2.4828192265656024E-2</v>
      </c>
      <c r="T3582" s="59">
        <f ca="1">Dashboard!C$8* Dashboard!$F$4+Dashboard!C$10*SQRT(Dashboard!$F$4) * _xlfn.NORM.S.INV(RAND())</f>
        <v>6.9597616464528431E-2</v>
      </c>
      <c r="U3582" s="59">
        <f ca="1">Dashboard!D$8* Dashboard!$F$4+Dashboard!D$10*SQRT(Dashboard!$F$4) * _xlfn.NORM.S.INV(RAND())</f>
        <v>-2.2761872877317766E-2</v>
      </c>
    </row>
    <row r="3583" spans="18:21" x14ac:dyDescent="0.2">
      <c r="R3583" s="49">
        <v>3581</v>
      </c>
      <c r="S3583" s="59">
        <f ca="1">Dashboard!B$8* Dashboard!$F$4+Dashboard!B$10*SQRT(Dashboard!$F$4) * _xlfn.NORM.S.INV(RAND())</f>
        <v>-1.8830609795718108E-2</v>
      </c>
      <c r="T3583" s="59">
        <f ca="1">Dashboard!C$8* Dashboard!$F$4+Dashboard!C$10*SQRT(Dashboard!$F$4) * _xlfn.NORM.S.INV(RAND())</f>
        <v>7.9573856451775074E-2</v>
      </c>
      <c r="U3583" s="59">
        <f ca="1">Dashboard!D$8* Dashboard!$F$4+Dashboard!D$10*SQRT(Dashboard!$F$4) * _xlfn.NORM.S.INV(RAND())</f>
        <v>-1.3368217903568416E-2</v>
      </c>
    </row>
    <row r="3584" spans="18:21" x14ac:dyDescent="0.2">
      <c r="R3584" s="49">
        <v>3582</v>
      </c>
      <c r="S3584" s="59">
        <f ca="1">Dashboard!B$8* Dashboard!$F$4+Dashboard!B$10*SQRT(Dashboard!$F$4) * _xlfn.NORM.S.INV(RAND())</f>
        <v>-1.1654611005094104E-2</v>
      </c>
      <c r="T3584" s="59">
        <f ca="1">Dashboard!C$8* Dashboard!$F$4+Dashboard!C$10*SQRT(Dashboard!$F$4) * _xlfn.NORM.S.INV(RAND())</f>
        <v>1.81712104966741E-3</v>
      </c>
      <c r="U3584" s="59">
        <f ca="1">Dashboard!D$8* Dashboard!$F$4+Dashboard!D$10*SQRT(Dashboard!$F$4) * _xlfn.NORM.S.INV(RAND())</f>
        <v>-2.7498806198530895E-3</v>
      </c>
    </row>
    <row r="3585" spans="18:21" x14ac:dyDescent="0.2">
      <c r="R3585" s="49">
        <v>3583</v>
      </c>
      <c r="S3585" s="59">
        <f ca="1">Dashboard!B$8* Dashboard!$F$4+Dashboard!B$10*SQRT(Dashboard!$F$4) * _xlfn.NORM.S.INV(RAND())</f>
        <v>9.6023388533670977E-3</v>
      </c>
      <c r="T3585" s="59">
        <f ca="1">Dashboard!C$8* Dashboard!$F$4+Dashboard!C$10*SQRT(Dashboard!$F$4) * _xlfn.NORM.S.INV(RAND())</f>
        <v>4.0682841948940897E-3</v>
      </c>
      <c r="U3585" s="59">
        <f ca="1">Dashboard!D$8* Dashboard!$F$4+Dashboard!D$10*SQRT(Dashboard!$F$4) * _xlfn.NORM.S.INV(RAND())</f>
        <v>-2.8729635828940159E-2</v>
      </c>
    </row>
    <row r="3586" spans="18:21" x14ac:dyDescent="0.2">
      <c r="R3586" s="49">
        <v>3584</v>
      </c>
      <c r="S3586" s="59">
        <f ca="1">Dashboard!B$8* Dashboard!$F$4+Dashboard!B$10*SQRT(Dashboard!$F$4) * _xlfn.NORM.S.INV(RAND())</f>
        <v>-4.6719171123750555E-2</v>
      </c>
      <c r="T3586" s="59">
        <f ca="1">Dashboard!C$8* Dashboard!$F$4+Dashboard!C$10*SQRT(Dashboard!$F$4) * _xlfn.NORM.S.INV(RAND())</f>
        <v>-2.160541736182519E-2</v>
      </c>
      <c r="U3586" s="59">
        <f ca="1">Dashboard!D$8* Dashboard!$F$4+Dashboard!D$10*SQRT(Dashboard!$F$4) * _xlfn.NORM.S.INV(RAND())</f>
        <v>-4.0784896173567065E-2</v>
      </c>
    </row>
    <row r="3587" spans="18:21" x14ac:dyDescent="0.2">
      <c r="R3587" s="49">
        <v>3585</v>
      </c>
      <c r="S3587" s="59">
        <f ca="1">Dashboard!B$8* Dashboard!$F$4+Dashboard!B$10*SQRT(Dashboard!$F$4) * _xlfn.NORM.S.INV(RAND())</f>
        <v>1.0609810464481301E-2</v>
      </c>
      <c r="T3587" s="59">
        <f ca="1">Dashboard!C$8* Dashboard!$F$4+Dashboard!C$10*SQRT(Dashboard!$F$4) * _xlfn.NORM.S.INV(RAND())</f>
        <v>6.6385747380494908E-3</v>
      </c>
      <c r="U3587" s="59">
        <f ca="1">Dashboard!D$8* Dashboard!$F$4+Dashboard!D$10*SQRT(Dashboard!$F$4) * _xlfn.NORM.S.INV(RAND())</f>
        <v>4.2611754631259185E-2</v>
      </c>
    </row>
    <row r="3588" spans="18:21" x14ac:dyDescent="0.2">
      <c r="R3588" s="49">
        <v>3586</v>
      </c>
      <c r="S3588" s="59">
        <f ca="1">Dashboard!B$8* Dashboard!$F$4+Dashboard!B$10*SQRT(Dashboard!$F$4) * _xlfn.NORM.S.INV(RAND())</f>
        <v>2.2752576905642558E-2</v>
      </c>
      <c r="T3588" s="59">
        <f ca="1">Dashboard!C$8* Dashboard!$F$4+Dashboard!C$10*SQRT(Dashboard!$F$4) * _xlfn.NORM.S.INV(RAND())</f>
        <v>2.7601531049970596E-2</v>
      </c>
      <c r="U3588" s="59">
        <f ca="1">Dashboard!D$8* Dashboard!$F$4+Dashboard!D$10*SQRT(Dashboard!$F$4) * _xlfn.NORM.S.INV(RAND())</f>
        <v>1.6115040932546908E-2</v>
      </c>
    </row>
    <row r="3589" spans="18:21" x14ac:dyDescent="0.2">
      <c r="R3589" s="49">
        <v>3587</v>
      </c>
      <c r="S3589" s="59">
        <f ca="1">Dashboard!B$8* Dashboard!$F$4+Dashboard!B$10*SQRT(Dashboard!$F$4) * _xlfn.NORM.S.INV(RAND())</f>
        <v>-9.1245724767383286E-3</v>
      </c>
      <c r="T3589" s="59">
        <f ca="1">Dashboard!C$8* Dashboard!$F$4+Dashboard!C$10*SQRT(Dashboard!$F$4) * _xlfn.NORM.S.INV(RAND())</f>
        <v>-2.5029442403224206E-2</v>
      </c>
      <c r="U3589" s="59">
        <f ca="1">Dashboard!D$8* Dashboard!$F$4+Dashboard!D$10*SQRT(Dashboard!$F$4) * _xlfn.NORM.S.INV(RAND())</f>
        <v>2.0223062742001849E-2</v>
      </c>
    </row>
    <row r="3590" spans="18:21" x14ac:dyDescent="0.2">
      <c r="R3590" s="49">
        <v>3588</v>
      </c>
      <c r="S3590" s="59">
        <f ca="1">Dashboard!B$8* Dashboard!$F$4+Dashboard!B$10*SQRT(Dashboard!$F$4) * _xlfn.NORM.S.INV(RAND())</f>
        <v>-1.656383588955599E-2</v>
      </c>
      <c r="T3590" s="59">
        <f ca="1">Dashboard!C$8* Dashboard!$F$4+Dashboard!C$10*SQRT(Dashboard!$F$4) * _xlfn.NORM.S.INV(RAND())</f>
        <v>-3.265548450485882E-2</v>
      </c>
      <c r="U3590" s="59">
        <f ca="1">Dashboard!D$8* Dashboard!$F$4+Dashboard!D$10*SQRT(Dashboard!$F$4) * _xlfn.NORM.S.INV(RAND())</f>
        <v>1.475961373786471E-3</v>
      </c>
    </row>
    <row r="3591" spans="18:21" x14ac:dyDescent="0.2">
      <c r="R3591" s="49">
        <v>3589</v>
      </c>
      <c r="S3591" s="59">
        <f ca="1">Dashboard!B$8* Dashboard!$F$4+Dashboard!B$10*SQRT(Dashboard!$F$4) * _xlfn.NORM.S.INV(RAND())</f>
        <v>-6.5575423394454074E-2</v>
      </c>
      <c r="T3591" s="59">
        <f ca="1">Dashboard!C$8* Dashboard!$F$4+Dashboard!C$10*SQRT(Dashboard!$F$4) * _xlfn.NORM.S.INV(RAND())</f>
        <v>4.017118490760542E-2</v>
      </c>
      <c r="U3591" s="59">
        <f ca="1">Dashboard!D$8* Dashboard!$F$4+Dashboard!D$10*SQRT(Dashboard!$F$4) * _xlfn.NORM.S.INV(RAND())</f>
        <v>1.4465385831301213E-2</v>
      </c>
    </row>
    <row r="3592" spans="18:21" x14ac:dyDescent="0.2">
      <c r="R3592" s="49">
        <v>3590</v>
      </c>
      <c r="S3592" s="59">
        <f ca="1">Dashboard!B$8* Dashboard!$F$4+Dashboard!B$10*SQRT(Dashboard!$F$4) * _xlfn.NORM.S.INV(RAND())</f>
        <v>9.8053751863737097E-3</v>
      </c>
      <c r="T3592" s="59">
        <f ca="1">Dashboard!C$8* Dashboard!$F$4+Dashboard!C$10*SQRT(Dashboard!$F$4) * _xlfn.NORM.S.INV(RAND())</f>
        <v>-2.0436932175302822E-2</v>
      </c>
      <c r="U3592" s="59">
        <f ca="1">Dashboard!D$8* Dashboard!$F$4+Dashboard!D$10*SQRT(Dashboard!$F$4) * _xlfn.NORM.S.INV(RAND())</f>
        <v>-1.8713353842625204E-2</v>
      </c>
    </row>
    <row r="3593" spans="18:21" x14ac:dyDescent="0.2">
      <c r="R3593" s="49">
        <v>3591</v>
      </c>
      <c r="S3593" s="59">
        <f ca="1">Dashboard!B$8* Dashboard!$F$4+Dashboard!B$10*SQRT(Dashboard!$F$4) * _xlfn.NORM.S.INV(RAND())</f>
        <v>1.6056198960609433E-2</v>
      </c>
      <c r="T3593" s="59">
        <f ca="1">Dashboard!C$8* Dashboard!$F$4+Dashboard!C$10*SQRT(Dashboard!$F$4) * _xlfn.NORM.S.INV(RAND())</f>
        <v>5.7630426116292172E-4</v>
      </c>
      <c r="U3593" s="59">
        <f ca="1">Dashboard!D$8* Dashboard!$F$4+Dashboard!D$10*SQRT(Dashboard!$F$4) * _xlfn.NORM.S.INV(RAND())</f>
        <v>-2.7613869998754578E-2</v>
      </c>
    </row>
    <row r="3594" spans="18:21" x14ac:dyDescent="0.2">
      <c r="R3594" s="49">
        <v>3592</v>
      </c>
      <c r="S3594" s="59">
        <f ca="1">Dashboard!B$8* Dashboard!$F$4+Dashboard!B$10*SQRT(Dashboard!$F$4) * _xlfn.NORM.S.INV(RAND())</f>
        <v>-2.8468854551971366E-2</v>
      </c>
      <c r="T3594" s="59">
        <f ca="1">Dashboard!C$8* Dashboard!$F$4+Dashboard!C$10*SQRT(Dashboard!$F$4) * _xlfn.NORM.S.INV(RAND())</f>
        <v>3.1676500640826701E-2</v>
      </c>
      <c r="U3594" s="59">
        <f ca="1">Dashboard!D$8* Dashboard!$F$4+Dashboard!D$10*SQRT(Dashboard!$F$4) * _xlfn.NORM.S.INV(RAND())</f>
        <v>-1.0190210680053479E-2</v>
      </c>
    </row>
    <row r="3595" spans="18:21" x14ac:dyDescent="0.2">
      <c r="R3595" s="49">
        <v>3593</v>
      </c>
      <c r="S3595" s="59">
        <f ca="1">Dashboard!B$8* Dashboard!$F$4+Dashboard!B$10*SQRT(Dashboard!$F$4) * _xlfn.NORM.S.INV(RAND())</f>
        <v>3.8892494495241153E-2</v>
      </c>
      <c r="T3595" s="59">
        <f ca="1">Dashboard!C$8* Dashboard!$F$4+Dashboard!C$10*SQRT(Dashboard!$F$4) * _xlfn.NORM.S.INV(RAND())</f>
        <v>-2.6243847465686507E-2</v>
      </c>
      <c r="U3595" s="59">
        <f ca="1">Dashboard!D$8* Dashboard!$F$4+Dashboard!D$10*SQRT(Dashboard!$F$4) * _xlfn.NORM.S.INV(RAND())</f>
        <v>-7.1913774424135221E-3</v>
      </c>
    </row>
    <row r="3596" spans="18:21" x14ac:dyDescent="0.2">
      <c r="R3596" s="49">
        <v>3594</v>
      </c>
      <c r="S3596" s="59">
        <f ca="1">Dashboard!B$8* Dashboard!$F$4+Dashboard!B$10*SQRT(Dashboard!$F$4) * _xlfn.NORM.S.INV(RAND())</f>
        <v>-3.9070329355695356E-2</v>
      </c>
      <c r="T3596" s="59">
        <f ca="1">Dashboard!C$8* Dashboard!$F$4+Dashboard!C$10*SQRT(Dashboard!$F$4) * _xlfn.NORM.S.INV(RAND())</f>
        <v>1.7205795684135546E-2</v>
      </c>
      <c r="U3596" s="59">
        <f ca="1">Dashboard!D$8* Dashboard!$F$4+Dashboard!D$10*SQRT(Dashboard!$F$4) * _xlfn.NORM.S.INV(RAND())</f>
        <v>-1.0119536011918843E-2</v>
      </c>
    </row>
    <row r="3597" spans="18:21" x14ac:dyDescent="0.2">
      <c r="R3597" s="49">
        <v>3595</v>
      </c>
      <c r="S3597" s="59">
        <f ca="1">Dashboard!B$8* Dashboard!$F$4+Dashboard!B$10*SQRT(Dashboard!$F$4) * _xlfn.NORM.S.INV(RAND())</f>
        <v>-8.6789053728710888E-3</v>
      </c>
      <c r="T3597" s="59">
        <f ca="1">Dashboard!C$8* Dashboard!$F$4+Dashboard!C$10*SQRT(Dashboard!$F$4) * _xlfn.NORM.S.INV(RAND())</f>
        <v>8.2927669046936034E-2</v>
      </c>
      <c r="U3597" s="59">
        <f ca="1">Dashboard!D$8* Dashboard!$F$4+Dashboard!D$10*SQRT(Dashboard!$F$4) * _xlfn.NORM.S.INV(RAND())</f>
        <v>-4.1127101850522811E-2</v>
      </c>
    </row>
    <row r="3598" spans="18:21" x14ac:dyDescent="0.2">
      <c r="R3598" s="49">
        <v>3596</v>
      </c>
      <c r="S3598" s="59">
        <f ca="1">Dashboard!B$8* Dashboard!$F$4+Dashboard!B$10*SQRT(Dashboard!$F$4) * _xlfn.NORM.S.INV(RAND())</f>
        <v>1.945132717401199E-2</v>
      </c>
      <c r="T3598" s="59">
        <f ca="1">Dashboard!C$8* Dashboard!$F$4+Dashboard!C$10*SQRT(Dashboard!$F$4) * _xlfn.NORM.S.INV(RAND())</f>
        <v>5.0794021554597744E-2</v>
      </c>
      <c r="U3598" s="59">
        <f ca="1">Dashboard!D$8* Dashboard!$F$4+Dashboard!D$10*SQRT(Dashboard!$F$4) * _xlfn.NORM.S.INV(RAND())</f>
        <v>-2.6509254158787035E-2</v>
      </c>
    </row>
    <row r="3599" spans="18:21" x14ac:dyDescent="0.2">
      <c r="R3599" s="49">
        <v>3597</v>
      </c>
      <c r="S3599" s="59">
        <f ca="1">Dashboard!B$8* Dashboard!$F$4+Dashboard!B$10*SQRT(Dashboard!$F$4) * _xlfn.NORM.S.INV(RAND())</f>
        <v>8.0088500911538074E-2</v>
      </c>
      <c r="T3599" s="59">
        <f ca="1">Dashboard!C$8* Dashboard!$F$4+Dashboard!C$10*SQRT(Dashboard!$F$4) * _xlfn.NORM.S.INV(RAND())</f>
        <v>-1.0508467610424059E-2</v>
      </c>
      <c r="U3599" s="59">
        <f ca="1">Dashboard!D$8* Dashboard!$F$4+Dashboard!D$10*SQRT(Dashboard!$F$4) * _xlfn.NORM.S.INV(RAND())</f>
        <v>-9.0007399877124861E-2</v>
      </c>
    </row>
    <row r="3600" spans="18:21" x14ac:dyDescent="0.2">
      <c r="R3600" s="49">
        <v>3598</v>
      </c>
      <c r="S3600" s="59">
        <f ca="1">Dashboard!B$8* Dashboard!$F$4+Dashboard!B$10*SQRT(Dashboard!$F$4) * _xlfn.NORM.S.INV(RAND())</f>
        <v>-1.3090966524489316E-2</v>
      </c>
      <c r="T3600" s="59">
        <f ca="1">Dashboard!C$8* Dashboard!$F$4+Dashboard!C$10*SQRT(Dashboard!$F$4) * _xlfn.NORM.S.INV(RAND())</f>
        <v>3.8136666278580901E-2</v>
      </c>
      <c r="U3600" s="59">
        <f ca="1">Dashboard!D$8* Dashboard!$F$4+Dashboard!D$10*SQRT(Dashboard!$F$4) * _xlfn.NORM.S.INV(RAND())</f>
        <v>-1.2966474009746872E-3</v>
      </c>
    </row>
    <row r="3601" spans="18:21" x14ac:dyDescent="0.2">
      <c r="R3601" s="49">
        <v>3599</v>
      </c>
      <c r="S3601" s="59">
        <f ca="1">Dashboard!B$8* Dashboard!$F$4+Dashboard!B$10*SQRT(Dashboard!$F$4) * _xlfn.NORM.S.INV(RAND())</f>
        <v>-0.10105917833763194</v>
      </c>
      <c r="T3601" s="59">
        <f ca="1">Dashboard!C$8* Dashboard!$F$4+Dashboard!C$10*SQRT(Dashboard!$F$4) * _xlfn.NORM.S.INV(RAND())</f>
        <v>-5.258038646230063E-3</v>
      </c>
      <c r="U3601" s="59">
        <f ca="1">Dashboard!D$8* Dashboard!$F$4+Dashboard!D$10*SQRT(Dashboard!$F$4) * _xlfn.NORM.S.INV(RAND())</f>
        <v>6.7646030478984839E-3</v>
      </c>
    </row>
    <row r="3602" spans="18:21" x14ac:dyDescent="0.2">
      <c r="R3602" s="49">
        <v>3600</v>
      </c>
      <c r="S3602" s="59">
        <f ca="1">Dashboard!B$8* Dashboard!$F$4+Dashboard!B$10*SQRT(Dashboard!$F$4) * _xlfn.NORM.S.INV(RAND())</f>
        <v>-1.4896740819883214E-2</v>
      </c>
      <c r="T3602" s="59">
        <f ca="1">Dashboard!C$8* Dashboard!$F$4+Dashboard!C$10*SQRT(Dashboard!$F$4) * _xlfn.NORM.S.INV(RAND())</f>
        <v>-3.0442817294649299E-2</v>
      </c>
      <c r="U3602" s="59">
        <f ca="1">Dashboard!D$8* Dashboard!$F$4+Dashboard!D$10*SQRT(Dashboard!$F$4) * _xlfn.NORM.S.INV(RAND())</f>
        <v>0.10073058699660312</v>
      </c>
    </row>
    <row r="3603" spans="18:21" x14ac:dyDescent="0.2">
      <c r="R3603" s="49">
        <v>3601</v>
      </c>
      <c r="S3603" s="59">
        <f ca="1">Dashboard!B$8* Dashboard!$F$4+Dashboard!B$10*SQRT(Dashboard!$F$4) * _xlfn.NORM.S.INV(RAND())</f>
        <v>2.1563780328677076E-2</v>
      </c>
      <c r="T3603" s="59">
        <f ca="1">Dashboard!C$8* Dashboard!$F$4+Dashboard!C$10*SQRT(Dashboard!$F$4) * _xlfn.NORM.S.INV(RAND())</f>
        <v>1.4422980484792704E-2</v>
      </c>
      <c r="U3603" s="59">
        <f ca="1">Dashboard!D$8* Dashboard!$F$4+Dashboard!D$10*SQRT(Dashboard!$F$4) * _xlfn.NORM.S.INV(RAND())</f>
        <v>-1.4770021515621963E-2</v>
      </c>
    </row>
    <row r="3604" spans="18:21" x14ac:dyDescent="0.2">
      <c r="R3604" s="49">
        <v>3602</v>
      </c>
      <c r="S3604" s="59">
        <f ca="1">Dashboard!B$8* Dashboard!$F$4+Dashboard!B$10*SQRT(Dashboard!$F$4) * _xlfn.NORM.S.INV(RAND())</f>
        <v>3.7375905608511999E-2</v>
      </c>
      <c r="T3604" s="59">
        <f ca="1">Dashboard!C$8* Dashboard!$F$4+Dashboard!C$10*SQRT(Dashboard!$F$4) * _xlfn.NORM.S.INV(RAND())</f>
        <v>-2.4764759701148158E-2</v>
      </c>
      <c r="U3604" s="59">
        <f ca="1">Dashboard!D$8* Dashboard!$F$4+Dashboard!D$10*SQRT(Dashboard!$F$4) * _xlfn.NORM.S.INV(RAND())</f>
        <v>9.2509907201091691E-3</v>
      </c>
    </row>
    <row r="3605" spans="18:21" x14ac:dyDescent="0.2">
      <c r="R3605" s="49">
        <v>3603</v>
      </c>
      <c r="S3605" s="59">
        <f ca="1">Dashboard!B$8* Dashboard!$F$4+Dashboard!B$10*SQRT(Dashboard!$F$4) * _xlfn.NORM.S.INV(RAND())</f>
        <v>1.74058922750688E-2</v>
      </c>
      <c r="T3605" s="59">
        <f ca="1">Dashboard!C$8* Dashboard!$F$4+Dashboard!C$10*SQRT(Dashboard!$F$4) * _xlfn.NORM.S.INV(RAND())</f>
        <v>1.6617796465881445E-2</v>
      </c>
      <c r="U3605" s="59">
        <f ca="1">Dashboard!D$8* Dashboard!$F$4+Dashboard!D$10*SQRT(Dashboard!$F$4) * _xlfn.NORM.S.INV(RAND())</f>
        <v>-1.7992836090024802E-2</v>
      </c>
    </row>
    <row r="3606" spans="18:21" x14ac:dyDescent="0.2">
      <c r="R3606" s="49">
        <v>3604</v>
      </c>
      <c r="S3606" s="59">
        <f ca="1">Dashboard!B$8* Dashboard!$F$4+Dashboard!B$10*SQRT(Dashboard!$F$4) * _xlfn.NORM.S.INV(RAND())</f>
        <v>2.7391244746654657E-2</v>
      </c>
      <c r="T3606" s="59">
        <f ca="1">Dashboard!C$8* Dashboard!$F$4+Dashboard!C$10*SQRT(Dashboard!$F$4) * _xlfn.NORM.S.INV(RAND())</f>
        <v>-1.0152047249587636E-2</v>
      </c>
      <c r="U3606" s="59">
        <f ca="1">Dashboard!D$8* Dashboard!$F$4+Dashboard!D$10*SQRT(Dashboard!$F$4) * _xlfn.NORM.S.INV(RAND())</f>
        <v>-5.4463806476207188E-2</v>
      </c>
    </row>
    <row r="3607" spans="18:21" x14ac:dyDescent="0.2">
      <c r="R3607" s="49">
        <v>3605</v>
      </c>
      <c r="S3607" s="59">
        <f ca="1">Dashboard!B$8* Dashboard!$F$4+Dashboard!B$10*SQRT(Dashboard!$F$4) * _xlfn.NORM.S.INV(RAND())</f>
        <v>-3.6444521092124357E-2</v>
      </c>
      <c r="T3607" s="59">
        <f ca="1">Dashboard!C$8* Dashboard!$F$4+Dashboard!C$10*SQRT(Dashboard!$F$4) * _xlfn.NORM.S.INV(RAND())</f>
        <v>2.983602421517489E-3</v>
      </c>
      <c r="U3607" s="59">
        <f ca="1">Dashboard!D$8* Dashboard!$F$4+Dashboard!D$10*SQRT(Dashboard!$F$4) * _xlfn.NORM.S.INV(RAND())</f>
        <v>6.49053152345917E-3</v>
      </c>
    </row>
    <row r="3608" spans="18:21" x14ac:dyDescent="0.2">
      <c r="R3608" s="49">
        <v>3606</v>
      </c>
      <c r="S3608" s="59">
        <f ca="1">Dashboard!B$8* Dashboard!$F$4+Dashboard!B$10*SQRT(Dashboard!$F$4) * _xlfn.NORM.S.INV(RAND())</f>
        <v>-2.8901535366419262E-2</v>
      </c>
      <c r="T3608" s="59">
        <f ca="1">Dashboard!C$8* Dashboard!$F$4+Dashboard!C$10*SQRT(Dashboard!$F$4) * _xlfn.NORM.S.INV(RAND())</f>
        <v>1.352852699270038E-3</v>
      </c>
      <c r="U3608" s="59">
        <f ca="1">Dashboard!D$8* Dashboard!$F$4+Dashboard!D$10*SQRT(Dashboard!$F$4) * _xlfn.NORM.S.INV(RAND())</f>
        <v>-8.6528127698161043E-3</v>
      </c>
    </row>
    <row r="3609" spans="18:21" x14ac:dyDescent="0.2">
      <c r="R3609" s="49">
        <v>3607</v>
      </c>
      <c r="S3609" s="59">
        <f ca="1">Dashboard!B$8* Dashboard!$F$4+Dashboard!B$10*SQRT(Dashboard!$F$4) * _xlfn.NORM.S.INV(RAND())</f>
        <v>-3.2725919927999329E-2</v>
      </c>
      <c r="T3609" s="59">
        <f ca="1">Dashboard!C$8* Dashboard!$F$4+Dashboard!C$10*SQRT(Dashboard!$F$4) * _xlfn.NORM.S.INV(RAND())</f>
        <v>3.2056029514791216E-2</v>
      </c>
      <c r="U3609" s="59">
        <f ca="1">Dashboard!D$8* Dashboard!$F$4+Dashboard!D$10*SQRT(Dashboard!$F$4) * _xlfn.NORM.S.INV(RAND())</f>
        <v>3.4840730639619906E-2</v>
      </c>
    </row>
    <row r="3610" spans="18:21" x14ac:dyDescent="0.2">
      <c r="R3610" s="49">
        <v>3608</v>
      </c>
      <c r="S3610" s="59">
        <f ca="1">Dashboard!B$8* Dashboard!$F$4+Dashboard!B$10*SQRT(Dashboard!$F$4) * _xlfn.NORM.S.INV(RAND())</f>
        <v>-1.6367356564612065E-2</v>
      </c>
      <c r="T3610" s="59">
        <f ca="1">Dashboard!C$8* Dashboard!$F$4+Dashboard!C$10*SQRT(Dashboard!$F$4) * _xlfn.NORM.S.INV(RAND())</f>
        <v>-3.8269624260384343E-3</v>
      </c>
      <c r="U3610" s="59">
        <f ca="1">Dashboard!D$8* Dashboard!$F$4+Dashboard!D$10*SQRT(Dashboard!$F$4) * _xlfn.NORM.S.INV(RAND())</f>
        <v>1.2176002150776756E-2</v>
      </c>
    </row>
    <row r="3611" spans="18:21" x14ac:dyDescent="0.2">
      <c r="R3611" s="49">
        <v>3609</v>
      </c>
      <c r="S3611" s="59">
        <f ca="1">Dashboard!B$8* Dashboard!$F$4+Dashboard!B$10*SQRT(Dashboard!$F$4) * _xlfn.NORM.S.INV(RAND())</f>
        <v>-8.4210966200482344E-3</v>
      </c>
      <c r="T3611" s="59">
        <f ca="1">Dashboard!C$8* Dashboard!$F$4+Dashboard!C$10*SQRT(Dashboard!$F$4) * _xlfn.NORM.S.INV(RAND())</f>
        <v>1.9377795087953616E-2</v>
      </c>
      <c r="U3611" s="59">
        <f ca="1">Dashboard!D$8* Dashboard!$F$4+Dashboard!D$10*SQRT(Dashboard!$F$4) * _xlfn.NORM.S.INV(RAND())</f>
        <v>-4.525828997005131E-2</v>
      </c>
    </row>
    <row r="3612" spans="18:21" x14ac:dyDescent="0.2">
      <c r="R3612" s="49">
        <v>3610</v>
      </c>
      <c r="S3612" s="59">
        <f ca="1">Dashboard!B$8* Dashboard!$F$4+Dashboard!B$10*SQRT(Dashboard!$F$4) * _xlfn.NORM.S.INV(RAND())</f>
        <v>6.8125242506614919E-2</v>
      </c>
      <c r="T3612" s="59">
        <f ca="1">Dashboard!C$8* Dashboard!$F$4+Dashboard!C$10*SQRT(Dashboard!$F$4) * _xlfn.NORM.S.INV(RAND())</f>
        <v>2.1824801439572668E-2</v>
      </c>
      <c r="U3612" s="59">
        <f ca="1">Dashboard!D$8* Dashboard!$F$4+Dashboard!D$10*SQRT(Dashboard!$F$4) * _xlfn.NORM.S.INV(RAND())</f>
        <v>1.7360231103042478E-2</v>
      </c>
    </row>
    <row r="3613" spans="18:21" x14ac:dyDescent="0.2">
      <c r="R3613" s="49">
        <v>3611</v>
      </c>
      <c r="S3613" s="59">
        <f ca="1">Dashboard!B$8* Dashboard!$F$4+Dashboard!B$10*SQRT(Dashboard!$F$4) * _xlfn.NORM.S.INV(RAND())</f>
        <v>1.6257419565786288E-3</v>
      </c>
      <c r="T3613" s="59">
        <f ca="1">Dashboard!C$8* Dashboard!$F$4+Dashboard!C$10*SQRT(Dashboard!$F$4) * _xlfn.NORM.S.INV(RAND())</f>
        <v>7.0623106634994257E-2</v>
      </c>
      <c r="U3613" s="59">
        <f ca="1">Dashboard!D$8* Dashboard!$F$4+Dashboard!D$10*SQRT(Dashboard!$F$4) * _xlfn.NORM.S.INV(RAND())</f>
        <v>-9.1914943022028822E-3</v>
      </c>
    </row>
    <row r="3614" spans="18:21" x14ac:dyDescent="0.2">
      <c r="R3614" s="49">
        <v>3612</v>
      </c>
      <c r="S3614" s="59">
        <f ca="1">Dashboard!B$8* Dashboard!$F$4+Dashboard!B$10*SQRT(Dashboard!$F$4) * _xlfn.NORM.S.INV(RAND())</f>
        <v>-7.0871666078515388E-2</v>
      </c>
      <c r="T3614" s="59">
        <f ca="1">Dashboard!C$8* Dashboard!$F$4+Dashboard!C$10*SQRT(Dashboard!$F$4) * _xlfn.NORM.S.INV(RAND())</f>
        <v>4.8740506960014453E-3</v>
      </c>
      <c r="U3614" s="59">
        <f ca="1">Dashboard!D$8* Dashboard!$F$4+Dashboard!D$10*SQRT(Dashboard!$F$4) * _xlfn.NORM.S.INV(RAND())</f>
        <v>-1.9760344688427588E-2</v>
      </c>
    </row>
    <row r="3615" spans="18:21" x14ac:dyDescent="0.2">
      <c r="R3615" s="49">
        <v>3613</v>
      </c>
      <c r="S3615" s="59">
        <f ca="1">Dashboard!B$8* Dashboard!$F$4+Dashboard!B$10*SQRT(Dashboard!$F$4) * _xlfn.NORM.S.INV(RAND())</f>
        <v>-2.3611568314001345E-2</v>
      </c>
      <c r="T3615" s="59">
        <f ca="1">Dashboard!C$8* Dashboard!$F$4+Dashboard!C$10*SQRT(Dashboard!$F$4) * _xlfn.NORM.S.INV(RAND())</f>
        <v>5.8983146363030554E-3</v>
      </c>
      <c r="U3615" s="59">
        <f ca="1">Dashboard!D$8* Dashboard!$F$4+Dashboard!D$10*SQRT(Dashboard!$F$4) * _xlfn.NORM.S.INV(RAND())</f>
        <v>2.1431303041775145E-2</v>
      </c>
    </row>
    <row r="3616" spans="18:21" x14ac:dyDescent="0.2">
      <c r="R3616" s="49">
        <v>3614</v>
      </c>
      <c r="S3616" s="59">
        <f ca="1">Dashboard!B$8* Dashboard!$F$4+Dashboard!B$10*SQRT(Dashboard!$F$4) * _xlfn.NORM.S.INV(RAND())</f>
        <v>7.8976283207513546E-3</v>
      </c>
      <c r="T3616" s="59">
        <f ca="1">Dashboard!C$8* Dashboard!$F$4+Dashboard!C$10*SQRT(Dashboard!$F$4) * _xlfn.NORM.S.INV(RAND())</f>
        <v>-4.1608528598097244E-2</v>
      </c>
      <c r="U3616" s="59">
        <f ca="1">Dashboard!D$8* Dashboard!$F$4+Dashboard!D$10*SQRT(Dashboard!$F$4) * _xlfn.NORM.S.INV(RAND())</f>
        <v>2.3690500371084368E-2</v>
      </c>
    </row>
    <row r="3617" spans="18:21" x14ac:dyDescent="0.2">
      <c r="R3617" s="49">
        <v>3615</v>
      </c>
      <c r="S3617" s="59">
        <f ca="1">Dashboard!B$8* Dashboard!$F$4+Dashboard!B$10*SQRT(Dashboard!$F$4) * _xlfn.NORM.S.INV(RAND())</f>
        <v>4.7300883504433466E-3</v>
      </c>
      <c r="T3617" s="59">
        <f ca="1">Dashboard!C$8* Dashboard!$F$4+Dashboard!C$10*SQRT(Dashboard!$F$4) * _xlfn.NORM.S.INV(RAND())</f>
        <v>2.1357498400825247E-2</v>
      </c>
      <c r="U3617" s="59">
        <f ca="1">Dashboard!D$8* Dashboard!$F$4+Dashboard!D$10*SQRT(Dashboard!$F$4) * _xlfn.NORM.S.INV(RAND())</f>
        <v>1.1667192690166681E-2</v>
      </c>
    </row>
    <row r="3618" spans="18:21" x14ac:dyDescent="0.2">
      <c r="R3618" s="49">
        <v>3616</v>
      </c>
      <c r="S3618" s="59">
        <f ca="1">Dashboard!B$8* Dashboard!$F$4+Dashboard!B$10*SQRT(Dashboard!$F$4) * _xlfn.NORM.S.INV(RAND())</f>
        <v>5.500069589420508E-2</v>
      </c>
      <c r="T3618" s="59">
        <f ca="1">Dashboard!C$8* Dashboard!$F$4+Dashboard!C$10*SQRT(Dashboard!$F$4) * _xlfn.NORM.S.INV(RAND())</f>
        <v>5.1382240882437619E-2</v>
      </c>
      <c r="U3618" s="59">
        <f ca="1">Dashboard!D$8* Dashboard!$F$4+Dashboard!D$10*SQRT(Dashboard!$F$4) * _xlfn.NORM.S.INV(RAND())</f>
        <v>3.6934278911251867E-2</v>
      </c>
    </row>
    <row r="3619" spans="18:21" x14ac:dyDescent="0.2">
      <c r="R3619" s="49">
        <v>3617</v>
      </c>
      <c r="S3619" s="59">
        <f ca="1">Dashboard!B$8* Dashboard!$F$4+Dashboard!B$10*SQRT(Dashboard!$F$4) * _xlfn.NORM.S.INV(RAND())</f>
        <v>1.5843344582486513E-2</v>
      </c>
      <c r="T3619" s="59">
        <f ca="1">Dashboard!C$8* Dashboard!$F$4+Dashboard!C$10*SQRT(Dashboard!$F$4) * _xlfn.NORM.S.INV(RAND())</f>
        <v>-1.8074353038112202E-2</v>
      </c>
      <c r="U3619" s="59">
        <f ca="1">Dashboard!D$8* Dashboard!$F$4+Dashboard!D$10*SQRT(Dashboard!$F$4) * _xlfn.NORM.S.INV(RAND())</f>
        <v>-2.2212574544547881E-2</v>
      </c>
    </row>
    <row r="3620" spans="18:21" x14ac:dyDescent="0.2">
      <c r="R3620" s="49">
        <v>3618</v>
      </c>
      <c r="S3620" s="59">
        <f ca="1">Dashboard!B$8* Dashboard!$F$4+Dashboard!B$10*SQRT(Dashboard!$F$4) * _xlfn.NORM.S.INV(RAND())</f>
        <v>4.9667231781131048E-2</v>
      </c>
      <c r="T3620" s="59">
        <f ca="1">Dashboard!C$8* Dashboard!$F$4+Dashboard!C$10*SQRT(Dashboard!$F$4) * _xlfn.NORM.S.INV(RAND())</f>
        <v>5.7861763703949574E-3</v>
      </c>
      <c r="U3620" s="59">
        <f ca="1">Dashboard!D$8* Dashboard!$F$4+Dashboard!D$10*SQRT(Dashboard!$F$4) * _xlfn.NORM.S.INV(RAND())</f>
        <v>3.3339277623816277E-2</v>
      </c>
    </row>
    <row r="3621" spans="18:21" x14ac:dyDescent="0.2">
      <c r="R3621" s="49">
        <v>3619</v>
      </c>
      <c r="S3621" s="59">
        <f ca="1">Dashboard!B$8* Dashboard!$F$4+Dashboard!B$10*SQRT(Dashboard!$F$4) * _xlfn.NORM.S.INV(RAND())</f>
        <v>2.1573906160320032E-2</v>
      </c>
      <c r="T3621" s="59">
        <f ca="1">Dashboard!C$8* Dashboard!$F$4+Dashboard!C$10*SQRT(Dashboard!$F$4) * _xlfn.NORM.S.INV(RAND())</f>
        <v>-2.8246620060829019E-2</v>
      </c>
      <c r="U3621" s="59">
        <f ca="1">Dashboard!D$8* Dashboard!$F$4+Dashboard!D$10*SQRT(Dashboard!$F$4) * _xlfn.NORM.S.INV(RAND())</f>
        <v>1.0453951021524499E-2</v>
      </c>
    </row>
    <row r="3622" spans="18:21" x14ac:dyDescent="0.2">
      <c r="R3622" s="49">
        <v>3620</v>
      </c>
      <c r="S3622" s="59">
        <f ca="1">Dashboard!B$8* Dashboard!$F$4+Dashboard!B$10*SQRT(Dashboard!$F$4) * _xlfn.NORM.S.INV(RAND())</f>
        <v>6.0236983110532161E-2</v>
      </c>
      <c r="T3622" s="59">
        <f ca="1">Dashboard!C$8* Dashboard!$F$4+Dashboard!C$10*SQRT(Dashboard!$F$4) * _xlfn.NORM.S.INV(RAND())</f>
        <v>-1.0298587040670645E-2</v>
      </c>
      <c r="U3622" s="59">
        <f ca="1">Dashboard!D$8* Dashboard!$F$4+Dashboard!D$10*SQRT(Dashboard!$F$4) * _xlfn.NORM.S.INV(RAND())</f>
        <v>-3.1188977532375459E-2</v>
      </c>
    </row>
    <row r="3623" spans="18:21" x14ac:dyDescent="0.2">
      <c r="R3623" s="49">
        <v>3621</v>
      </c>
      <c r="S3623" s="59">
        <f ca="1">Dashboard!B$8* Dashboard!$F$4+Dashboard!B$10*SQRT(Dashboard!$F$4) * _xlfn.NORM.S.INV(RAND())</f>
        <v>-3.1707076862065225E-2</v>
      </c>
      <c r="T3623" s="59">
        <f ca="1">Dashboard!C$8* Dashboard!$F$4+Dashboard!C$10*SQRT(Dashboard!$F$4) * _xlfn.NORM.S.INV(RAND())</f>
        <v>1.7635007940029406E-2</v>
      </c>
      <c r="U3623" s="59">
        <f ca="1">Dashboard!D$8* Dashboard!$F$4+Dashboard!D$10*SQRT(Dashboard!$F$4) * _xlfn.NORM.S.INV(RAND())</f>
        <v>-4.1028688788174832E-2</v>
      </c>
    </row>
    <row r="3624" spans="18:21" x14ac:dyDescent="0.2">
      <c r="R3624" s="49">
        <v>3622</v>
      </c>
      <c r="S3624" s="59">
        <f ca="1">Dashboard!B$8* Dashboard!$F$4+Dashboard!B$10*SQRT(Dashboard!$F$4) * _xlfn.NORM.S.INV(RAND())</f>
        <v>4.1868095149573924E-2</v>
      </c>
      <c r="T3624" s="59">
        <f ca="1">Dashboard!C$8* Dashboard!$F$4+Dashboard!C$10*SQRT(Dashboard!$F$4) * _xlfn.NORM.S.INV(RAND())</f>
        <v>-2.4635975249921404E-2</v>
      </c>
      <c r="U3624" s="59">
        <f ca="1">Dashboard!D$8* Dashboard!$F$4+Dashboard!D$10*SQRT(Dashboard!$F$4) * _xlfn.NORM.S.INV(RAND())</f>
        <v>-1.8855538944575201E-2</v>
      </c>
    </row>
    <row r="3625" spans="18:21" x14ac:dyDescent="0.2">
      <c r="R3625" s="49">
        <v>3623</v>
      </c>
      <c r="S3625" s="59">
        <f ca="1">Dashboard!B$8* Dashboard!$F$4+Dashboard!B$10*SQRT(Dashboard!$F$4) * _xlfn.NORM.S.INV(RAND())</f>
        <v>6.1909588694198416E-3</v>
      </c>
      <c r="T3625" s="59">
        <f ca="1">Dashboard!C$8* Dashboard!$F$4+Dashboard!C$10*SQRT(Dashboard!$F$4) * _xlfn.NORM.S.INV(RAND())</f>
        <v>-2.7903011489991466E-2</v>
      </c>
      <c r="U3625" s="59">
        <f ca="1">Dashboard!D$8* Dashboard!$F$4+Dashboard!D$10*SQRT(Dashboard!$F$4) * _xlfn.NORM.S.INV(RAND())</f>
        <v>-1.5266565468800895E-2</v>
      </c>
    </row>
    <row r="3626" spans="18:21" x14ac:dyDescent="0.2">
      <c r="R3626" s="49">
        <v>3624</v>
      </c>
      <c r="S3626" s="59">
        <f ca="1">Dashboard!B$8* Dashboard!$F$4+Dashboard!B$10*SQRT(Dashboard!$F$4) * _xlfn.NORM.S.INV(RAND())</f>
        <v>-4.0940359308541313E-2</v>
      </c>
      <c r="T3626" s="59">
        <f ca="1">Dashboard!C$8* Dashboard!$F$4+Dashboard!C$10*SQRT(Dashboard!$F$4) * _xlfn.NORM.S.INV(RAND())</f>
        <v>-1.5964965280375214E-2</v>
      </c>
      <c r="U3626" s="59">
        <f ca="1">Dashboard!D$8* Dashboard!$F$4+Dashboard!D$10*SQRT(Dashboard!$F$4) * _xlfn.NORM.S.INV(RAND())</f>
        <v>-4.3572253408814187E-3</v>
      </c>
    </row>
    <row r="3627" spans="18:21" x14ac:dyDescent="0.2">
      <c r="R3627" s="49">
        <v>3625</v>
      </c>
      <c r="S3627" s="59">
        <f ca="1">Dashboard!B$8* Dashboard!$F$4+Dashboard!B$10*SQRT(Dashboard!$F$4) * _xlfn.NORM.S.INV(RAND())</f>
        <v>-2.2708722702232301E-2</v>
      </c>
      <c r="T3627" s="59">
        <f ca="1">Dashboard!C$8* Dashboard!$F$4+Dashboard!C$10*SQRT(Dashboard!$F$4) * _xlfn.NORM.S.INV(RAND())</f>
        <v>-2.5543565367938548E-2</v>
      </c>
      <c r="U3627" s="59">
        <f ca="1">Dashboard!D$8* Dashboard!$F$4+Dashboard!D$10*SQRT(Dashboard!$F$4) * _xlfn.NORM.S.INV(RAND())</f>
        <v>-1.3649619032865523E-2</v>
      </c>
    </row>
    <row r="3628" spans="18:21" x14ac:dyDescent="0.2">
      <c r="R3628" s="49">
        <v>3626</v>
      </c>
      <c r="S3628" s="59">
        <f ca="1">Dashboard!B$8* Dashboard!$F$4+Dashboard!B$10*SQRT(Dashboard!$F$4) * _xlfn.NORM.S.INV(RAND())</f>
        <v>3.6948886676896754E-2</v>
      </c>
      <c r="T3628" s="59">
        <f ca="1">Dashboard!C$8* Dashboard!$F$4+Dashboard!C$10*SQRT(Dashboard!$F$4) * _xlfn.NORM.S.INV(RAND())</f>
        <v>-6.2285925781093834E-2</v>
      </c>
      <c r="U3628" s="59">
        <f ca="1">Dashboard!D$8* Dashboard!$F$4+Dashboard!D$10*SQRT(Dashboard!$F$4) * _xlfn.NORM.S.INV(RAND())</f>
        <v>-5.4885168292146215E-2</v>
      </c>
    </row>
    <row r="3629" spans="18:21" x14ac:dyDescent="0.2">
      <c r="R3629" s="49">
        <v>3627</v>
      </c>
      <c r="S3629" s="59">
        <f ca="1">Dashboard!B$8* Dashboard!$F$4+Dashboard!B$10*SQRT(Dashboard!$F$4) * _xlfn.NORM.S.INV(RAND())</f>
        <v>-2.4882421981312207E-2</v>
      </c>
      <c r="T3629" s="59">
        <f ca="1">Dashboard!C$8* Dashboard!$F$4+Dashboard!C$10*SQRT(Dashboard!$F$4) * _xlfn.NORM.S.INV(RAND())</f>
        <v>2.6357725556627586E-2</v>
      </c>
      <c r="U3629" s="59">
        <f ca="1">Dashboard!D$8* Dashboard!$F$4+Dashboard!D$10*SQRT(Dashboard!$F$4) * _xlfn.NORM.S.INV(RAND())</f>
        <v>-2.228568965047064E-2</v>
      </c>
    </row>
    <row r="3630" spans="18:21" x14ac:dyDescent="0.2">
      <c r="R3630" s="49">
        <v>3628</v>
      </c>
      <c r="S3630" s="59">
        <f ca="1">Dashboard!B$8* Dashboard!$F$4+Dashboard!B$10*SQRT(Dashboard!$F$4) * _xlfn.NORM.S.INV(RAND())</f>
        <v>2.2381920291220124E-2</v>
      </c>
      <c r="T3630" s="59">
        <f ca="1">Dashboard!C$8* Dashboard!$F$4+Dashboard!C$10*SQRT(Dashboard!$F$4) * _xlfn.NORM.S.INV(RAND())</f>
        <v>-4.1080997904791278E-2</v>
      </c>
      <c r="U3630" s="59">
        <f ca="1">Dashboard!D$8* Dashboard!$F$4+Dashboard!D$10*SQRT(Dashboard!$F$4) * _xlfn.NORM.S.INV(RAND())</f>
        <v>-1.069513772108586E-2</v>
      </c>
    </row>
    <row r="3631" spans="18:21" x14ac:dyDescent="0.2">
      <c r="R3631" s="49">
        <v>3629</v>
      </c>
      <c r="S3631" s="59">
        <f ca="1">Dashboard!B$8* Dashboard!$F$4+Dashboard!B$10*SQRT(Dashboard!$F$4) * _xlfn.NORM.S.INV(RAND())</f>
        <v>-2.6435916102671271E-2</v>
      </c>
      <c r="T3631" s="59">
        <f ca="1">Dashboard!C$8* Dashboard!$F$4+Dashboard!C$10*SQRT(Dashboard!$F$4) * _xlfn.NORM.S.INV(RAND())</f>
        <v>-3.6785962822365355E-4</v>
      </c>
      <c r="U3631" s="59">
        <f ca="1">Dashboard!D$8* Dashboard!$F$4+Dashboard!D$10*SQRT(Dashboard!$F$4) * _xlfn.NORM.S.INV(RAND())</f>
        <v>4.4360485384511157E-2</v>
      </c>
    </row>
    <row r="3632" spans="18:21" x14ac:dyDescent="0.2">
      <c r="R3632" s="49">
        <v>3630</v>
      </c>
      <c r="S3632" s="59">
        <f ca="1">Dashboard!B$8* Dashboard!$F$4+Dashboard!B$10*SQRT(Dashboard!$F$4) * _xlfn.NORM.S.INV(RAND())</f>
        <v>3.1906804764018748E-2</v>
      </c>
      <c r="T3632" s="59">
        <f ca="1">Dashboard!C$8* Dashboard!$F$4+Dashboard!C$10*SQRT(Dashboard!$F$4) * _xlfn.NORM.S.INV(RAND())</f>
        <v>3.8770537244656664E-2</v>
      </c>
      <c r="U3632" s="59">
        <f ca="1">Dashboard!D$8* Dashboard!$F$4+Dashboard!D$10*SQRT(Dashboard!$F$4) * _xlfn.NORM.S.INV(RAND())</f>
        <v>-2.3699085478430328E-2</v>
      </c>
    </row>
    <row r="3633" spans="18:21" x14ac:dyDescent="0.2">
      <c r="R3633" s="49">
        <v>3631</v>
      </c>
      <c r="S3633" s="59">
        <f ca="1">Dashboard!B$8* Dashboard!$F$4+Dashboard!B$10*SQRT(Dashboard!$F$4) * _xlfn.NORM.S.INV(RAND())</f>
        <v>-3.2490621821569233E-3</v>
      </c>
      <c r="T3633" s="59">
        <f ca="1">Dashboard!C$8* Dashboard!$F$4+Dashboard!C$10*SQRT(Dashboard!$F$4) * _xlfn.NORM.S.INV(RAND())</f>
        <v>4.5883722456991566E-3</v>
      </c>
      <c r="U3633" s="59">
        <f ca="1">Dashboard!D$8* Dashboard!$F$4+Dashboard!D$10*SQRT(Dashboard!$F$4) * _xlfn.NORM.S.INV(RAND())</f>
        <v>1.4750623713326538E-2</v>
      </c>
    </row>
    <row r="3634" spans="18:21" x14ac:dyDescent="0.2">
      <c r="R3634" s="49">
        <v>3632</v>
      </c>
      <c r="S3634" s="59">
        <f ca="1">Dashboard!B$8* Dashboard!$F$4+Dashboard!B$10*SQRT(Dashboard!$F$4) * _xlfn.NORM.S.INV(RAND())</f>
        <v>2.6334164093280543E-2</v>
      </c>
      <c r="T3634" s="59">
        <f ca="1">Dashboard!C$8* Dashboard!$F$4+Dashboard!C$10*SQRT(Dashboard!$F$4) * _xlfn.NORM.S.INV(RAND())</f>
        <v>0.10193023166403271</v>
      </c>
      <c r="U3634" s="59">
        <f ca="1">Dashboard!D$8* Dashboard!$F$4+Dashboard!D$10*SQRT(Dashboard!$F$4) * _xlfn.NORM.S.INV(RAND())</f>
        <v>-7.3946324428980931E-3</v>
      </c>
    </row>
    <row r="3635" spans="18:21" x14ac:dyDescent="0.2">
      <c r="R3635" s="49">
        <v>3633</v>
      </c>
      <c r="S3635" s="59">
        <f ca="1">Dashboard!B$8* Dashboard!$F$4+Dashboard!B$10*SQRT(Dashboard!$F$4) * _xlfn.NORM.S.INV(RAND())</f>
        <v>-2.0485510070012675E-2</v>
      </c>
      <c r="T3635" s="59">
        <f ca="1">Dashboard!C$8* Dashboard!$F$4+Dashboard!C$10*SQRT(Dashboard!$F$4) * _xlfn.NORM.S.INV(RAND())</f>
        <v>-2.6688589518876423E-2</v>
      </c>
      <c r="U3635" s="59">
        <f ca="1">Dashboard!D$8* Dashboard!$F$4+Dashboard!D$10*SQRT(Dashboard!$F$4) * _xlfn.NORM.S.INV(RAND())</f>
        <v>-2.5176295614217543E-2</v>
      </c>
    </row>
    <row r="3636" spans="18:21" x14ac:dyDescent="0.2">
      <c r="R3636" s="49">
        <v>3634</v>
      </c>
      <c r="S3636" s="59">
        <f ca="1">Dashboard!B$8* Dashboard!$F$4+Dashboard!B$10*SQRT(Dashboard!$F$4) * _xlfn.NORM.S.INV(RAND())</f>
        <v>3.0972962543374845E-2</v>
      </c>
      <c r="T3636" s="59">
        <f ca="1">Dashboard!C$8* Dashboard!$F$4+Dashboard!C$10*SQRT(Dashboard!$F$4) * _xlfn.NORM.S.INV(RAND())</f>
        <v>-2.192969788630298E-2</v>
      </c>
      <c r="U3636" s="59">
        <f ca="1">Dashboard!D$8* Dashboard!$F$4+Dashboard!D$10*SQRT(Dashboard!$F$4) * _xlfn.NORM.S.INV(RAND())</f>
        <v>-1.6641073152012322E-2</v>
      </c>
    </row>
    <row r="3637" spans="18:21" x14ac:dyDescent="0.2">
      <c r="R3637" s="49">
        <v>3635</v>
      </c>
      <c r="S3637" s="59">
        <f ca="1">Dashboard!B$8* Dashboard!$F$4+Dashboard!B$10*SQRT(Dashboard!$F$4) * _xlfn.NORM.S.INV(RAND())</f>
        <v>1.573194632216679E-2</v>
      </c>
      <c r="T3637" s="59">
        <f ca="1">Dashboard!C$8* Dashboard!$F$4+Dashboard!C$10*SQRT(Dashboard!$F$4) * _xlfn.NORM.S.INV(RAND())</f>
        <v>-1.318473915230909E-3</v>
      </c>
      <c r="U3637" s="59">
        <f ca="1">Dashboard!D$8* Dashboard!$F$4+Dashboard!D$10*SQRT(Dashboard!$F$4) * _xlfn.NORM.S.INV(RAND())</f>
        <v>-9.3242480657314677E-2</v>
      </c>
    </row>
    <row r="3638" spans="18:21" x14ac:dyDescent="0.2">
      <c r="R3638" s="49">
        <v>3636</v>
      </c>
      <c r="S3638" s="59">
        <f ca="1">Dashboard!B$8* Dashboard!$F$4+Dashboard!B$10*SQRT(Dashboard!$F$4) * _xlfn.NORM.S.INV(RAND())</f>
        <v>4.9354882046858659E-2</v>
      </c>
      <c r="T3638" s="59">
        <f ca="1">Dashboard!C$8* Dashboard!$F$4+Dashboard!C$10*SQRT(Dashboard!$F$4) * _xlfn.NORM.S.INV(RAND())</f>
        <v>8.2132903927599046E-2</v>
      </c>
      <c r="U3638" s="59">
        <f ca="1">Dashboard!D$8* Dashboard!$F$4+Dashboard!D$10*SQRT(Dashboard!$F$4) * _xlfn.NORM.S.INV(RAND())</f>
        <v>1.5731930871303958E-2</v>
      </c>
    </row>
    <row r="3639" spans="18:21" x14ac:dyDescent="0.2">
      <c r="R3639" s="49">
        <v>3637</v>
      </c>
      <c r="S3639" s="59">
        <f ca="1">Dashboard!B$8* Dashboard!$F$4+Dashboard!B$10*SQRT(Dashboard!$F$4) * _xlfn.NORM.S.INV(RAND())</f>
        <v>3.8722080880758729E-2</v>
      </c>
      <c r="T3639" s="59">
        <f ca="1">Dashboard!C$8* Dashboard!$F$4+Dashboard!C$10*SQRT(Dashboard!$F$4) * _xlfn.NORM.S.INV(RAND())</f>
        <v>-5.7671187844631572E-2</v>
      </c>
      <c r="U3639" s="59">
        <f ca="1">Dashboard!D$8* Dashboard!$F$4+Dashboard!D$10*SQRT(Dashboard!$F$4) * _xlfn.NORM.S.INV(RAND())</f>
        <v>-9.4169317458858218E-3</v>
      </c>
    </row>
    <row r="3640" spans="18:21" x14ac:dyDescent="0.2">
      <c r="R3640" s="49">
        <v>3638</v>
      </c>
      <c r="S3640" s="59">
        <f ca="1">Dashboard!B$8* Dashboard!$F$4+Dashboard!B$10*SQRT(Dashboard!$F$4) * _xlfn.NORM.S.INV(RAND())</f>
        <v>1.4693917529451372E-3</v>
      </c>
      <c r="T3640" s="59">
        <f ca="1">Dashboard!C$8* Dashboard!$F$4+Dashboard!C$10*SQRT(Dashboard!$F$4) * _xlfn.NORM.S.INV(RAND())</f>
        <v>-6.4299082198537643E-3</v>
      </c>
      <c r="U3640" s="59">
        <f ca="1">Dashboard!D$8* Dashboard!$F$4+Dashboard!D$10*SQRT(Dashboard!$F$4) * _xlfn.NORM.S.INV(RAND())</f>
        <v>-1.7940667969944021E-2</v>
      </c>
    </row>
    <row r="3641" spans="18:21" x14ac:dyDescent="0.2">
      <c r="R3641" s="49">
        <v>3639</v>
      </c>
      <c r="S3641" s="59">
        <f ca="1">Dashboard!B$8* Dashboard!$F$4+Dashboard!B$10*SQRT(Dashboard!$F$4) * _xlfn.NORM.S.INV(RAND())</f>
        <v>-3.8411869469414605E-3</v>
      </c>
      <c r="T3641" s="59">
        <f ca="1">Dashboard!C$8* Dashboard!$F$4+Dashboard!C$10*SQRT(Dashboard!$F$4) * _xlfn.NORM.S.INV(RAND())</f>
        <v>-2.8692199870832016E-2</v>
      </c>
      <c r="U3641" s="59">
        <f ca="1">Dashboard!D$8* Dashboard!$F$4+Dashboard!D$10*SQRT(Dashboard!$F$4) * _xlfn.NORM.S.INV(RAND())</f>
        <v>2.1148965021931924E-2</v>
      </c>
    </row>
    <row r="3642" spans="18:21" x14ac:dyDescent="0.2">
      <c r="R3642" s="49">
        <v>3640</v>
      </c>
      <c r="S3642" s="59">
        <f ca="1">Dashboard!B$8* Dashboard!$F$4+Dashboard!B$10*SQRT(Dashboard!$F$4) * _xlfn.NORM.S.INV(RAND())</f>
        <v>8.3550552318869403E-3</v>
      </c>
      <c r="T3642" s="59">
        <f ca="1">Dashboard!C$8* Dashboard!$F$4+Dashboard!C$10*SQRT(Dashboard!$F$4) * _xlfn.NORM.S.INV(RAND())</f>
        <v>-2.3859653047638398E-2</v>
      </c>
      <c r="U3642" s="59">
        <f ca="1">Dashboard!D$8* Dashboard!$F$4+Dashboard!D$10*SQRT(Dashboard!$F$4) * _xlfn.NORM.S.INV(RAND())</f>
        <v>5.5042716102674475E-3</v>
      </c>
    </row>
    <row r="3643" spans="18:21" x14ac:dyDescent="0.2">
      <c r="R3643" s="49">
        <v>3641</v>
      </c>
      <c r="S3643" s="59">
        <f ca="1">Dashboard!B$8* Dashboard!$F$4+Dashboard!B$10*SQRT(Dashboard!$F$4) * _xlfn.NORM.S.INV(RAND())</f>
        <v>-4.38933082590793E-3</v>
      </c>
      <c r="T3643" s="59">
        <f ca="1">Dashboard!C$8* Dashboard!$F$4+Dashboard!C$10*SQRT(Dashboard!$F$4) * _xlfn.NORM.S.INV(RAND())</f>
        <v>8.71511215787402E-3</v>
      </c>
      <c r="U3643" s="59">
        <f ca="1">Dashboard!D$8* Dashboard!$F$4+Dashboard!D$10*SQRT(Dashboard!$F$4) * _xlfn.NORM.S.INV(RAND())</f>
        <v>-3.0059224149842956E-2</v>
      </c>
    </row>
    <row r="3644" spans="18:21" x14ac:dyDescent="0.2">
      <c r="R3644" s="49">
        <v>3642</v>
      </c>
      <c r="S3644" s="59">
        <f ca="1">Dashboard!B$8* Dashboard!$F$4+Dashboard!B$10*SQRT(Dashboard!$F$4) * _xlfn.NORM.S.INV(RAND())</f>
        <v>-3.098325097162604E-2</v>
      </c>
      <c r="T3644" s="59">
        <f ca="1">Dashboard!C$8* Dashboard!$F$4+Dashboard!C$10*SQRT(Dashboard!$F$4) * _xlfn.NORM.S.INV(RAND())</f>
        <v>2.959793927449024E-2</v>
      </c>
      <c r="U3644" s="59">
        <f ca="1">Dashboard!D$8* Dashboard!$F$4+Dashboard!D$10*SQRT(Dashboard!$F$4) * _xlfn.NORM.S.INV(RAND())</f>
        <v>-1.8043427287157577E-3</v>
      </c>
    </row>
    <row r="3645" spans="18:21" x14ac:dyDescent="0.2">
      <c r="R3645" s="49">
        <v>3643</v>
      </c>
      <c r="S3645" s="59">
        <f ca="1">Dashboard!B$8* Dashboard!$F$4+Dashboard!B$10*SQRT(Dashboard!$F$4) * _xlfn.NORM.S.INV(RAND())</f>
        <v>-3.9478566468592574E-2</v>
      </c>
      <c r="T3645" s="59">
        <f ca="1">Dashboard!C$8* Dashboard!$F$4+Dashboard!C$10*SQRT(Dashboard!$F$4) * _xlfn.NORM.S.INV(RAND())</f>
        <v>-2.6308935133747959E-2</v>
      </c>
      <c r="U3645" s="59">
        <f ca="1">Dashboard!D$8* Dashboard!$F$4+Dashboard!D$10*SQRT(Dashboard!$F$4) * _xlfn.NORM.S.INV(RAND())</f>
        <v>-5.044145499042E-2</v>
      </c>
    </row>
    <row r="3646" spans="18:21" x14ac:dyDescent="0.2">
      <c r="R3646" s="49">
        <v>3644</v>
      </c>
      <c r="S3646" s="59">
        <f ca="1">Dashboard!B$8* Dashboard!$F$4+Dashboard!B$10*SQRT(Dashboard!$F$4) * _xlfn.NORM.S.INV(RAND())</f>
        <v>1.6928039715928137E-3</v>
      </c>
      <c r="T3646" s="59">
        <f ca="1">Dashboard!C$8* Dashboard!$F$4+Dashboard!C$10*SQRT(Dashboard!$F$4) * _xlfn.NORM.S.INV(RAND())</f>
        <v>2.2274438913089473E-2</v>
      </c>
      <c r="U3646" s="59">
        <f ca="1">Dashboard!D$8* Dashboard!$F$4+Dashboard!D$10*SQRT(Dashboard!$F$4) * _xlfn.NORM.S.INV(RAND())</f>
        <v>3.7834801487124911E-2</v>
      </c>
    </row>
    <row r="3647" spans="18:21" x14ac:dyDescent="0.2">
      <c r="R3647" s="49">
        <v>3645</v>
      </c>
      <c r="S3647" s="59">
        <f ca="1">Dashboard!B$8* Dashboard!$F$4+Dashboard!B$10*SQRT(Dashboard!$F$4) * _xlfn.NORM.S.INV(RAND())</f>
        <v>-4.2660502387809607E-2</v>
      </c>
      <c r="T3647" s="59">
        <f ca="1">Dashboard!C$8* Dashboard!$F$4+Dashboard!C$10*SQRT(Dashboard!$F$4) * _xlfn.NORM.S.INV(RAND())</f>
        <v>2.6738244241051267E-2</v>
      </c>
      <c r="U3647" s="59">
        <f ca="1">Dashboard!D$8* Dashboard!$F$4+Dashboard!D$10*SQRT(Dashboard!$F$4) * _xlfn.NORM.S.INV(RAND())</f>
        <v>-5.2578593122696868E-3</v>
      </c>
    </row>
    <row r="3648" spans="18:21" x14ac:dyDescent="0.2">
      <c r="R3648" s="49">
        <v>3646</v>
      </c>
      <c r="S3648" s="59">
        <f ca="1">Dashboard!B$8* Dashboard!$F$4+Dashboard!B$10*SQRT(Dashboard!$F$4) * _xlfn.NORM.S.INV(RAND())</f>
        <v>-4.3137849652787556E-3</v>
      </c>
      <c r="T3648" s="59">
        <f ca="1">Dashboard!C$8* Dashboard!$F$4+Dashboard!C$10*SQRT(Dashboard!$F$4) * _xlfn.NORM.S.INV(RAND())</f>
        <v>1.7179938255833763E-2</v>
      </c>
      <c r="U3648" s="59">
        <f ca="1">Dashboard!D$8* Dashboard!$F$4+Dashboard!D$10*SQRT(Dashboard!$F$4) * _xlfn.NORM.S.INV(RAND())</f>
        <v>-9.6317796553391493E-3</v>
      </c>
    </row>
    <row r="3649" spans="18:21" x14ac:dyDescent="0.2">
      <c r="R3649" s="49">
        <v>3647</v>
      </c>
      <c r="S3649" s="59">
        <f ca="1">Dashboard!B$8* Dashboard!$F$4+Dashboard!B$10*SQRT(Dashboard!$F$4) * _xlfn.NORM.S.INV(RAND())</f>
        <v>-1.793336872502059E-2</v>
      </c>
      <c r="T3649" s="59">
        <f ca="1">Dashboard!C$8* Dashboard!$F$4+Dashboard!C$10*SQRT(Dashboard!$F$4) * _xlfn.NORM.S.INV(RAND())</f>
        <v>2.8209914318772719E-2</v>
      </c>
      <c r="U3649" s="59">
        <f ca="1">Dashboard!D$8* Dashboard!$F$4+Dashboard!D$10*SQRT(Dashboard!$F$4) * _xlfn.NORM.S.INV(RAND())</f>
        <v>3.4147457229658389E-2</v>
      </c>
    </row>
    <row r="3650" spans="18:21" x14ac:dyDescent="0.2">
      <c r="R3650" s="49">
        <v>3648</v>
      </c>
      <c r="S3650" s="59">
        <f ca="1">Dashboard!B$8* Dashboard!$F$4+Dashboard!B$10*SQRT(Dashboard!$F$4) * _xlfn.NORM.S.INV(RAND())</f>
        <v>-2.541117411303194E-2</v>
      </c>
      <c r="T3650" s="59">
        <f ca="1">Dashboard!C$8* Dashboard!$F$4+Dashboard!C$10*SQRT(Dashboard!$F$4) * _xlfn.NORM.S.INV(RAND())</f>
        <v>6.8556412797036873E-4</v>
      </c>
      <c r="U3650" s="59">
        <f ca="1">Dashboard!D$8* Dashboard!$F$4+Dashboard!D$10*SQRT(Dashboard!$F$4) * _xlfn.NORM.S.INV(RAND())</f>
        <v>7.8450882135831276E-2</v>
      </c>
    </row>
    <row r="3651" spans="18:21" x14ac:dyDescent="0.2">
      <c r="R3651" s="49">
        <v>3649</v>
      </c>
      <c r="S3651" s="59">
        <f ca="1">Dashboard!B$8* Dashboard!$F$4+Dashboard!B$10*SQRT(Dashboard!$F$4) * _xlfn.NORM.S.INV(RAND())</f>
        <v>-2.354915580779865E-2</v>
      </c>
      <c r="T3651" s="59">
        <f ca="1">Dashboard!C$8* Dashboard!$F$4+Dashboard!C$10*SQRT(Dashboard!$F$4) * _xlfn.NORM.S.INV(RAND())</f>
        <v>5.8082099137680221E-3</v>
      </c>
      <c r="U3651" s="59">
        <f ca="1">Dashboard!D$8* Dashboard!$F$4+Dashboard!D$10*SQRT(Dashboard!$F$4) * _xlfn.NORM.S.INV(RAND())</f>
        <v>2.1531895890750417E-2</v>
      </c>
    </row>
    <row r="3652" spans="18:21" x14ac:dyDescent="0.2">
      <c r="R3652" s="49">
        <v>3650</v>
      </c>
      <c r="S3652" s="59">
        <f ca="1">Dashboard!B$8* Dashboard!$F$4+Dashboard!B$10*SQRT(Dashboard!$F$4) * _xlfn.NORM.S.INV(RAND())</f>
        <v>6.4410898004271088E-3</v>
      </c>
      <c r="T3652" s="59">
        <f ca="1">Dashboard!C$8* Dashboard!$F$4+Dashboard!C$10*SQRT(Dashboard!$F$4) * _xlfn.NORM.S.INV(RAND())</f>
        <v>2.1193026042536688E-3</v>
      </c>
      <c r="U3652" s="59">
        <f ca="1">Dashboard!D$8* Dashboard!$F$4+Dashboard!D$10*SQRT(Dashboard!$F$4) * _xlfn.NORM.S.INV(RAND())</f>
        <v>2.8327608691181286E-2</v>
      </c>
    </row>
    <row r="3653" spans="18:21" x14ac:dyDescent="0.2">
      <c r="R3653" s="49">
        <v>3651</v>
      </c>
      <c r="S3653" s="59">
        <f ca="1">Dashboard!B$8* Dashboard!$F$4+Dashboard!B$10*SQRT(Dashboard!$F$4) * _xlfn.NORM.S.INV(RAND())</f>
        <v>2.2265453454592764E-2</v>
      </c>
      <c r="T3653" s="59">
        <f ca="1">Dashboard!C$8* Dashboard!$F$4+Dashboard!C$10*SQRT(Dashboard!$F$4) * _xlfn.NORM.S.INV(RAND())</f>
        <v>-2.7190115167314635E-3</v>
      </c>
      <c r="U3653" s="59">
        <f ca="1">Dashboard!D$8* Dashboard!$F$4+Dashboard!D$10*SQRT(Dashboard!$F$4) * _xlfn.NORM.S.INV(RAND())</f>
        <v>-5.6573457673177709E-2</v>
      </c>
    </row>
    <row r="3654" spans="18:21" x14ac:dyDescent="0.2">
      <c r="R3654" s="49">
        <v>3652</v>
      </c>
      <c r="S3654" s="59">
        <f ca="1">Dashboard!B$8* Dashboard!$F$4+Dashboard!B$10*SQRT(Dashboard!$F$4) * _xlfn.NORM.S.INV(RAND())</f>
        <v>-1.0244444311657214E-2</v>
      </c>
      <c r="T3654" s="59">
        <f ca="1">Dashboard!C$8* Dashboard!$F$4+Dashboard!C$10*SQRT(Dashboard!$F$4) * _xlfn.NORM.S.INV(RAND())</f>
        <v>4.4537196043788231E-2</v>
      </c>
      <c r="U3654" s="59">
        <f ca="1">Dashboard!D$8* Dashboard!$F$4+Dashboard!D$10*SQRT(Dashboard!$F$4) * _xlfn.NORM.S.INV(RAND())</f>
        <v>-2.4947672630747098E-2</v>
      </c>
    </row>
    <row r="3655" spans="18:21" x14ac:dyDescent="0.2">
      <c r="R3655" s="49">
        <v>3653</v>
      </c>
      <c r="S3655" s="59">
        <f ca="1">Dashboard!B$8* Dashboard!$F$4+Dashboard!B$10*SQRT(Dashboard!$F$4) * _xlfn.NORM.S.INV(RAND())</f>
        <v>-4.0260688009846847E-3</v>
      </c>
      <c r="T3655" s="59">
        <f ca="1">Dashboard!C$8* Dashboard!$F$4+Dashboard!C$10*SQRT(Dashboard!$F$4) * _xlfn.NORM.S.INV(RAND())</f>
        <v>-2.8713430107878548E-2</v>
      </c>
      <c r="U3655" s="59">
        <f ca="1">Dashboard!D$8* Dashboard!$F$4+Dashboard!D$10*SQRT(Dashboard!$F$4) * _xlfn.NORM.S.INV(RAND())</f>
        <v>-1.306551452178514E-2</v>
      </c>
    </row>
    <row r="3656" spans="18:21" x14ac:dyDescent="0.2">
      <c r="R3656" s="49">
        <v>3654</v>
      </c>
      <c r="S3656" s="59">
        <f ca="1">Dashboard!B$8* Dashboard!$F$4+Dashboard!B$10*SQRT(Dashboard!$F$4) * _xlfn.NORM.S.INV(RAND())</f>
        <v>1.1879098139386595E-2</v>
      </c>
      <c r="T3656" s="59">
        <f ca="1">Dashboard!C$8* Dashboard!$F$4+Dashboard!C$10*SQRT(Dashboard!$F$4) * _xlfn.NORM.S.INV(RAND())</f>
        <v>-1.0073100246866813E-2</v>
      </c>
      <c r="U3656" s="59">
        <f ca="1">Dashboard!D$8* Dashboard!$F$4+Dashboard!D$10*SQRT(Dashboard!$F$4) * _xlfn.NORM.S.INV(RAND())</f>
        <v>3.2074993028579191E-2</v>
      </c>
    </row>
    <row r="3657" spans="18:21" x14ac:dyDescent="0.2">
      <c r="R3657" s="49">
        <v>3655</v>
      </c>
      <c r="S3657" s="59">
        <f ca="1">Dashboard!B$8* Dashboard!$F$4+Dashboard!B$10*SQRT(Dashboard!$F$4) * _xlfn.NORM.S.INV(RAND())</f>
        <v>-1.7330054565338416E-2</v>
      </c>
      <c r="T3657" s="59">
        <f ca="1">Dashboard!C$8* Dashboard!$F$4+Dashboard!C$10*SQRT(Dashboard!$F$4) * _xlfn.NORM.S.INV(RAND())</f>
        <v>7.1756309295381657E-4</v>
      </c>
      <c r="U3657" s="59">
        <f ca="1">Dashboard!D$8* Dashboard!$F$4+Dashboard!D$10*SQRT(Dashboard!$F$4) * _xlfn.NORM.S.INV(RAND())</f>
        <v>-1.7884076607211211E-2</v>
      </c>
    </row>
    <row r="3658" spans="18:21" x14ac:dyDescent="0.2">
      <c r="R3658" s="49">
        <v>3656</v>
      </c>
      <c r="S3658" s="59">
        <f ca="1">Dashboard!B$8* Dashboard!$F$4+Dashboard!B$10*SQRT(Dashboard!$F$4) * _xlfn.NORM.S.INV(RAND())</f>
        <v>-7.1961084763848882E-2</v>
      </c>
      <c r="T3658" s="59">
        <f ca="1">Dashboard!C$8* Dashboard!$F$4+Dashboard!C$10*SQRT(Dashboard!$F$4) * _xlfn.NORM.S.INV(RAND())</f>
        <v>1.1204356548768245E-2</v>
      </c>
      <c r="U3658" s="59">
        <f ca="1">Dashboard!D$8* Dashboard!$F$4+Dashboard!D$10*SQRT(Dashboard!$F$4) * _xlfn.NORM.S.INV(RAND())</f>
        <v>1.1452320167131271E-2</v>
      </c>
    </row>
    <row r="3659" spans="18:21" x14ac:dyDescent="0.2">
      <c r="R3659" s="49">
        <v>3657</v>
      </c>
      <c r="S3659" s="59">
        <f ca="1">Dashboard!B$8* Dashboard!$F$4+Dashboard!B$10*SQRT(Dashboard!$F$4) * _xlfn.NORM.S.INV(RAND())</f>
        <v>2.4357618714287418E-2</v>
      </c>
      <c r="T3659" s="59">
        <f ca="1">Dashboard!C$8* Dashboard!$F$4+Dashboard!C$10*SQRT(Dashboard!$F$4) * _xlfn.NORM.S.INV(RAND())</f>
        <v>4.0526748685743172E-2</v>
      </c>
      <c r="U3659" s="59">
        <f ca="1">Dashboard!D$8* Dashboard!$F$4+Dashboard!D$10*SQRT(Dashboard!$F$4) * _xlfn.NORM.S.INV(RAND())</f>
        <v>-5.4667517994469996E-3</v>
      </c>
    </row>
    <row r="3660" spans="18:21" x14ac:dyDescent="0.2">
      <c r="R3660" s="49">
        <v>3658</v>
      </c>
      <c r="S3660" s="59">
        <f ca="1">Dashboard!B$8* Dashboard!$F$4+Dashboard!B$10*SQRT(Dashboard!$F$4) * _xlfn.NORM.S.INV(RAND())</f>
        <v>-1.6719133043304378E-2</v>
      </c>
      <c r="T3660" s="59">
        <f ca="1">Dashboard!C$8* Dashboard!$F$4+Dashboard!C$10*SQRT(Dashboard!$F$4) * _xlfn.NORM.S.INV(RAND())</f>
        <v>1.4998778651352528E-2</v>
      </c>
      <c r="U3660" s="59">
        <f ca="1">Dashboard!D$8* Dashboard!$F$4+Dashboard!D$10*SQRT(Dashboard!$F$4) * _xlfn.NORM.S.INV(RAND())</f>
        <v>4.552730466172937E-2</v>
      </c>
    </row>
    <row r="3661" spans="18:21" x14ac:dyDescent="0.2">
      <c r="R3661" s="49">
        <v>3659</v>
      </c>
      <c r="S3661" s="59">
        <f ca="1">Dashboard!B$8* Dashboard!$F$4+Dashboard!B$10*SQRT(Dashboard!$F$4) * _xlfn.NORM.S.INV(RAND())</f>
        <v>1.0874769506688389E-2</v>
      </c>
      <c r="T3661" s="59">
        <f ca="1">Dashboard!C$8* Dashboard!$F$4+Dashboard!C$10*SQRT(Dashboard!$F$4) * _xlfn.NORM.S.INV(RAND())</f>
        <v>1.9102060973306613E-2</v>
      </c>
      <c r="U3661" s="59">
        <f ca="1">Dashboard!D$8* Dashboard!$F$4+Dashboard!D$10*SQRT(Dashboard!$F$4) * _xlfn.NORM.S.INV(RAND())</f>
        <v>-3.2772852125749444E-2</v>
      </c>
    </row>
    <row r="3662" spans="18:21" x14ac:dyDescent="0.2">
      <c r="R3662" s="49">
        <v>3660</v>
      </c>
      <c r="S3662" s="59">
        <f ca="1">Dashboard!B$8* Dashboard!$F$4+Dashboard!B$10*SQRT(Dashboard!$F$4) * _xlfn.NORM.S.INV(RAND())</f>
        <v>-9.2037668480819679E-3</v>
      </c>
      <c r="T3662" s="59">
        <f ca="1">Dashboard!C$8* Dashboard!$F$4+Dashboard!C$10*SQRT(Dashboard!$F$4) * _xlfn.NORM.S.INV(RAND())</f>
        <v>5.94497495085917E-2</v>
      </c>
      <c r="U3662" s="59">
        <f ca="1">Dashboard!D$8* Dashboard!$F$4+Dashboard!D$10*SQRT(Dashboard!$F$4) * _xlfn.NORM.S.INV(RAND())</f>
        <v>-5.0671328272859383E-2</v>
      </c>
    </row>
    <row r="3663" spans="18:21" x14ac:dyDescent="0.2">
      <c r="R3663" s="49">
        <v>3661</v>
      </c>
      <c r="S3663" s="59">
        <f ca="1">Dashboard!B$8* Dashboard!$F$4+Dashboard!B$10*SQRT(Dashboard!$F$4) * _xlfn.NORM.S.INV(RAND())</f>
        <v>-2.0490820702856564E-2</v>
      </c>
      <c r="T3663" s="59">
        <f ca="1">Dashboard!C$8* Dashboard!$F$4+Dashboard!C$10*SQRT(Dashboard!$F$4) * _xlfn.NORM.S.INV(RAND())</f>
        <v>-3.6597065507841489E-2</v>
      </c>
      <c r="U3663" s="59">
        <f ca="1">Dashboard!D$8* Dashboard!$F$4+Dashboard!D$10*SQRT(Dashboard!$F$4) * _xlfn.NORM.S.INV(RAND())</f>
        <v>5.2152414312237688E-2</v>
      </c>
    </row>
    <row r="3664" spans="18:21" x14ac:dyDescent="0.2">
      <c r="R3664" s="49">
        <v>3662</v>
      </c>
      <c r="S3664" s="59">
        <f ca="1">Dashboard!B$8* Dashboard!$F$4+Dashboard!B$10*SQRT(Dashboard!$F$4) * _xlfn.NORM.S.INV(RAND())</f>
        <v>4.543080006826147E-3</v>
      </c>
      <c r="T3664" s="59">
        <f ca="1">Dashboard!C$8* Dashboard!$F$4+Dashboard!C$10*SQRT(Dashboard!$F$4) * _xlfn.NORM.S.INV(RAND())</f>
        <v>1.6827818173029533E-2</v>
      </c>
      <c r="U3664" s="59">
        <f ca="1">Dashboard!D$8* Dashboard!$F$4+Dashboard!D$10*SQRT(Dashboard!$F$4) * _xlfn.NORM.S.INV(RAND())</f>
        <v>1.8233539762519204E-2</v>
      </c>
    </row>
    <row r="3665" spans="18:21" x14ac:dyDescent="0.2">
      <c r="R3665" s="49">
        <v>3663</v>
      </c>
      <c r="S3665" s="59">
        <f ca="1">Dashboard!B$8* Dashboard!$F$4+Dashboard!B$10*SQRT(Dashboard!$F$4) * _xlfn.NORM.S.INV(RAND())</f>
        <v>-3.4603250355022812E-2</v>
      </c>
      <c r="T3665" s="59">
        <f ca="1">Dashboard!C$8* Dashboard!$F$4+Dashboard!C$10*SQRT(Dashboard!$F$4) * _xlfn.NORM.S.INV(RAND())</f>
        <v>5.6219085691893746E-2</v>
      </c>
      <c r="U3665" s="59">
        <f ca="1">Dashboard!D$8* Dashboard!$F$4+Dashboard!D$10*SQRT(Dashboard!$F$4) * _xlfn.NORM.S.INV(RAND())</f>
        <v>2.9662604737460522E-2</v>
      </c>
    </row>
    <row r="3666" spans="18:21" x14ac:dyDescent="0.2">
      <c r="R3666" s="49">
        <v>3664</v>
      </c>
      <c r="S3666" s="59">
        <f ca="1">Dashboard!B$8* Dashboard!$F$4+Dashboard!B$10*SQRT(Dashboard!$F$4) * _xlfn.NORM.S.INV(RAND())</f>
        <v>7.9093525379067432E-3</v>
      </c>
      <c r="T3666" s="59">
        <f ca="1">Dashboard!C$8* Dashboard!$F$4+Dashboard!C$10*SQRT(Dashboard!$F$4) * _xlfn.NORM.S.INV(RAND())</f>
        <v>-3.3041800443752885E-2</v>
      </c>
      <c r="U3666" s="59">
        <f ca="1">Dashboard!D$8* Dashboard!$F$4+Dashboard!D$10*SQRT(Dashboard!$F$4) * _xlfn.NORM.S.INV(RAND())</f>
        <v>1.1858670713962315E-2</v>
      </c>
    </row>
    <row r="3667" spans="18:21" x14ac:dyDescent="0.2">
      <c r="R3667" s="49">
        <v>3665</v>
      </c>
      <c r="S3667" s="59">
        <f ca="1">Dashboard!B$8* Dashboard!$F$4+Dashboard!B$10*SQRT(Dashboard!$F$4) * _xlfn.NORM.S.INV(RAND())</f>
        <v>9.8603399329051516E-3</v>
      </c>
      <c r="T3667" s="59">
        <f ca="1">Dashboard!C$8* Dashboard!$F$4+Dashboard!C$10*SQRT(Dashboard!$F$4) * _xlfn.NORM.S.INV(RAND())</f>
        <v>9.0324269381631805E-3</v>
      </c>
      <c r="U3667" s="59">
        <f ca="1">Dashboard!D$8* Dashboard!$F$4+Dashboard!D$10*SQRT(Dashboard!$F$4) * _xlfn.NORM.S.INV(RAND())</f>
        <v>-3.6828854521531564E-3</v>
      </c>
    </row>
    <row r="3668" spans="18:21" x14ac:dyDescent="0.2">
      <c r="R3668" s="49">
        <v>3666</v>
      </c>
      <c r="S3668" s="59">
        <f ca="1">Dashboard!B$8* Dashboard!$F$4+Dashboard!B$10*SQRT(Dashboard!$F$4) * _xlfn.NORM.S.INV(RAND())</f>
        <v>-5.6417445636455392E-2</v>
      </c>
      <c r="T3668" s="59">
        <f ca="1">Dashboard!C$8* Dashboard!$F$4+Dashboard!C$10*SQRT(Dashboard!$F$4) * _xlfn.NORM.S.INV(RAND())</f>
        <v>-3.4963854938226749E-2</v>
      </c>
      <c r="U3668" s="59">
        <f ca="1">Dashboard!D$8* Dashboard!$F$4+Dashboard!D$10*SQRT(Dashboard!$F$4) * _xlfn.NORM.S.INV(RAND())</f>
        <v>-1.2061958911188057E-2</v>
      </c>
    </row>
    <row r="3669" spans="18:21" x14ac:dyDescent="0.2">
      <c r="R3669" s="49">
        <v>3667</v>
      </c>
      <c r="S3669" s="59">
        <f ca="1">Dashboard!B$8* Dashboard!$F$4+Dashboard!B$10*SQRT(Dashboard!$F$4) * _xlfn.NORM.S.INV(RAND())</f>
        <v>-2.5444510989818071E-2</v>
      </c>
      <c r="T3669" s="59">
        <f ca="1">Dashboard!C$8* Dashboard!$F$4+Dashboard!C$10*SQRT(Dashboard!$F$4) * _xlfn.NORM.S.INV(RAND())</f>
        <v>2.8714716454590634E-2</v>
      </c>
      <c r="U3669" s="59">
        <f ca="1">Dashboard!D$8* Dashboard!$F$4+Dashboard!D$10*SQRT(Dashboard!$F$4) * _xlfn.NORM.S.INV(RAND())</f>
        <v>7.3129816138022496E-2</v>
      </c>
    </row>
    <row r="3670" spans="18:21" x14ac:dyDescent="0.2">
      <c r="R3670" s="49">
        <v>3668</v>
      </c>
      <c r="S3670" s="59">
        <f ca="1">Dashboard!B$8* Dashboard!$F$4+Dashboard!B$10*SQRT(Dashboard!$F$4) * _xlfn.NORM.S.INV(RAND())</f>
        <v>2.9710734600669322E-2</v>
      </c>
      <c r="T3670" s="59">
        <f ca="1">Dashboard!C$8* Dashboard!$F$4+Dashboard!C$10*SQRT(Dashboard!$F$4) * _xlfn.NORM.S.INV(RAND())</f>
        <v>5.6301833027191259E-2</v>
      </c>
      <c r="U3670" s="59">
        <f ca="1">Dashboard!D$8* Dashboard!$F$4+Dashboard!D$10*SQRT(Dashboard!$F$4) * _xlfn.NORM.S.INV(RAND())</f>
        <v>1.9464280388127333E-2</v>
      </c>
    </row>
    <row r="3671" spans="18:21" x14ac:dyDescent="0.2">
      <c r="R3671" s="49">
        <v>3669</v>
      </c>
      <c r="S3671" s="59">
        <f ca="1">Dashboard!B$8* Dashboard!$F$4+Dashboard!B$10*SQRT(Dashboard!$F$4) * _xlfn.NORM.S.INV(RAND())</f>
        <v>2.1602126156250186E-2</v>
      </c>
      <c r="T3671" s="59">
        <f ca="1">Dashboard!C$8* Dashboard!$F$4+Dashboard!C$10*SQRT(Dashboard!$F$4) * _xlfn.NORM.S.INV(RAND())</f>
        <v>1.7404903065612824E-2</v>
      </c>
      <c r="U3671" s="59">
        <f ca="1">Dashboard!D$8* Dashboard!$F$4+Dashboard!D$10*SQRT(Dashboard!$F$4) * _xlfn.NORM.S.INV(RAND())</f>
        <v>5.0155451438918405E-2</v>
      </c>
    </row>
    <row r="3672" spans="18:21" x14ac:dyDescent="0.2">
      <c r="R3672" s="49">
        <v>3670</v>
      </c>
      <c r="S3672" s="59">
        <f ca="1">Dashboard!B$8* Dashboard!$F$4+Dashboard!B$10*SQRT(Dashboard!$F$4) * _xlfn.NORM.S.INV(RAND())</f>
        <v>-1.7379976502137635E-2</v>
      </c>
      <c r="T3672" s="59">
        <f ca="1">Dashboard!C$8* Dashboard!$F$4+Dashboard!C$10*SQRT(Dashboard!$F$4) * _xlfn.NORM.S.INV(RAND())</f>
        <v>-4.2476148415502964E-2</v>
      </c>
      <c r="U3672" s="59">
        <f ca="1">Dashboard!D$8* Dashboard!$F$4+Dashboard!D$10*SQRT(Dashboard!$F$4) * _xlfn.NORM.S.INV(RAND())</f>
        <v>2.6302499180010781E-2</v>
      </c>
    </row>
    <row r="3673" spans="18:21" x14ac:dyDescent="0.2">
      <c r="R3673" s="49">
        <v>3671</v>
      </c>
      <c r="S3673" s="59">
        <f ca="1">Dashboard!B$8* Dashboard!$F$4+Dashboard!B$10*SQRT(Dashboard!$F$4) * _xlfn.NORM.S.INV(RAND())</f>
        <v>5.0165208054068204E-2</v>
      </c>
      <c r="T3673" s="59">
        <f ca="1">Dashboard!C$8* Dashboard!$F$4+Dashboard!C$10*SQRT(Dashboard!$F$4) * _xlfn.NORM.S.INV(RAND())</f>
        <v>-1.1574911905628312E-4</v>
      </c>
      <c r="U3673" s="59">
        <f ca="1">Dashboard!D$8* Dashboard!$F$4+Dashboard!D$10*SQRT(Dashboard!$F$4) * _xlfn.NORM.S.INV(RAND())</f>
        <v>-2.6192633307269758E-2</v>
      </c>
    </row>
    <row r="3674" spans="18:21" x14ac:dyDescent="0.2">
      <c r="R3674" s="49">
        <v>3672</v>
      </c>
      <c r="S3674" s="59">
        <f ca="1">Dashboard!B$8* Dashboard!$F$4+Dashboard!B$10*SQRT(Dashboard!$F$4) * _xlfn.NORM.S.INV(RAND())</f>
        <v>-5.0010604420978495E-2</v>
      </c>
      <c r="T3674" s="59">
        <f ca="1">Dashboard!C$8* Dashboard!$F$4+Dashboard!C$10*SQRT(Dashboard!$F$4) * _xlfn.NORM.S.INV(RAND())</f>
        <v>9.2837732478394698E-3</v>
      </c>
      <c r="U3674" s="59">
        <f ca="1">Dashboard!D$8* Dashboard!$F$4+Dashboard!D$10*SQRT(Dashboard!$F$4) * _xlfn.NORM.S.INV(RAND())</f>
        <v>4.7029207613112023E-2</v>
      </c>
    </row>
    <row r="3675" spans="18:21" x14ac:dyDescent="0.2">
      <c r="R3675" s="49">
        <v>3673</v>
      </c>
      <c r="S3675" s="59">
        <f ca="1">Dashboard!B$8* Dashboard!$F$4+Dashboard!B$10*SQRT(Dashboard!$F$4) * _xlfn.NORM.S.INV(RAND())</f>
        <v>9.3679734085029675E-3</v>
      </c>
      <c r="T3675" s="59">
        <f ca="1">Dashboard!C$8* Dashboard!$F$4+Dashboard!C$10*SQRT(Dashboard!$F$4) * _xlfn.NORM.S.INV(RAND())</f>
        <v>-3.6269417256560764E-2</v>
      </c>
      <c r="U3675" s="59">
        <f ca="1">Dashboard!D$8* Dashboard!$F$4+Dashboard!D$10*SQRT(Dashboard!$F$4) * _xlfn.NORM.S.INV(RAND())</f>
        <v>4.5281261478454383E-2</v>
      </c>
    </row>
    <row r="3676" spans="18:21" x14ac:dyDescent="0.2">
      <c r="R3676" s="49">
        <v>3674</v>
      </c>
      <c r="S3676" s="59">
        <f ca="1">Dashboard!B$8* Dashboard!$F$4+Dashboard!B$10*SQRT(Dashboard!$F$4) * _xlfn.NORM.S.INV(RAND())</f>
        <v>4.748041345060381E-2</v>
      </c>
      <c r="T3676" s="59">
        <f ca="1">Dashboard!C$8* Dashboard!$F$4+Dashboard!C$10*SQRT(Dashboard!$F$4) * _xlfn.NORM.S.INV(RAND())</f>
        <v>-3.4566934639345008E-2</v>
      </c>
      <c r="U3676" s="59">
        <f ca="1">Dashboard!D$8* Dashboard!$F$4+Dashboard!D$10*SQRT(Dashboard!$F$4) * _xlfn.NORM.S.INV(RAND())</f>
        <v>2.6443168896665339E-3</v>
      </c>
    </row>
    <row r="3677" spans="18:21" x14ac:dyDescent="0.2">
      <c r="R3677" s="49">
        <v>3675</v>
      </c>
      <c r="S3677" s="59">
        <f ca="1">Dashboard!B$8* Dashboard!$F$4+Dashboard!B$10*SQRT(Dashboard!$F$4) * _xlfn.NORM.S.INV(RAND())</f>
        <v>1.5095663749358531E-2</v>
      </c>
      <c r="T3677" s="59">
        <f ca="1">Dashboard!C$8* Dashboard!$F$4+Dashboard!C$10*SQRT(Dashboard!$F$4) * _xlfn.NORM.S.INV(RAND())</f>
        <v>-4.8283395442899502E-2</v>
      </c>
      <c r="U3677" s="59">
        <f ca="1">Dashboard!D$8* Dashboard!$F$4+Dashboard!D$10*SQRT(Dashboard!$F$4) * _xlfn.NORM.S.INV(RAND())</f>
        <v>-2.6008838692975395E-2</v>
      </c>
    </row>
    <row r="3678" spans="18:21" x14ac:dyDescent="0.2">
      <c r="R3678" s="49">
        <v>3676</v>
      </c>
      <c r="S3678" s="59">
        <f ca="1">Dashboard!B$8* Dashboard!$F$4+Dashboard!B$10*SQRT(Dashboard!$F$4) * _xlfn.NORM.S.INV(RAND())</f>
        <v>3.3820325138939254E-2</v>
      </c>
      <c r="T3678" s="59">
        <f ca="1">Dashboard!C$8* Dashboard!$F$4+Dashboard!C$10*SQRT(Dashboard!$F$4) * _xlfn.NORM.S.INV(RAND())</f>
        <v>-4.1031306978939032E-3</v>
      </c>
      <c r="U3678" s="59">
        <f ca="1">Dashboard!D$8* Dashboard!$F$4+Dashboard!D$10*SQRT(Dashboard!$F$4) * _xlfn.NORM.S.INV(RAND())</f>
        <v>1.7599404287124316E-4</v>
      </c>
    </row>
    <row r="3679" spans="18:21" x14ac:dyDescent="0.2">
      <c r="R3679" s="49">
        <v>3677</v>
      </c>
      <c r="S3679" s="59">
        <f ca="1">Dashboard!B$8* Dashboard!$F$4+Dashboard!B$10*SQRT(Dashboard!$F$4) * _xlfn.NORM.S.INV(RAND())</f>
        <v>8.7613411773243381E-3</v>
      </c>
      <c r="T3679" s="59">
        <f ca="1">Dashboard!C$8* Dashboard!$F$4+Dashboard!C$10*SQRT(Dashboard!$F$4) * _xlfn.NORM.S.INV(RAND())</f>
        <v>2.3060623808491883E-2</v>
      </c>
      <c r="U3679" s="59">
        <f ca="1">Dashboard!D$8* Dashboard!$F$4+Dashboard!D$10*SQRT(Dashboard!$F$4) * _xlfn.NORM.S.INV(RAND())</f>
        <v>-4.3081657608411518E-2</v>
      </c>
    </row>
    <row r="3680" spans="18:21" x14ac:dyDescent="0.2">
      <c r="R3680" s="49">
        <v>3678</v>
      </c>
      <c r="S3680" s="59">
        <f ca="1">Dashboard!B$8* Dashboard!$F$4+Dashboard!B$10*SQRT(Dashboard!$F$4) * _xlfn.NORM.S.INV(RAND())</f>
        <v>9.3037344625168748E-3</v>
      </c>
      <c r="T3680" s="59">
        <f ca="1">Dashboard!C$8* Dashboard!$F$4+Dashboard!C$10*SQRT(Dashboard!$F$4) * _xlfn.NORM.S.INV(RAND())</f>
        <v>6.8445641543430904E-3</v>
      </c>
      <c r="U3680" s="59">
        <f ca="1">Dashboard!D$8* Dashboard!$F$4+Dashboard!D$10*SQRT(Dashboard!$F$4) * _xlfn.NORM.S.INV(RAND())</f>
        <v>-1.4175936627477818E-2</v>
      </c>
    </row>
    <row r="3681" spans="18:21" x14ac:dyDescent="0.2">
      <c r="R3681" s="49">
        <v>3679</v>
      </c>
      <c r="S3681" s="59">
        <f ca="1">Dashboard!B$8* Dashboard!$F$4+Dashboard!B$10*SQRT(Dashboard!$F$4) * _xlfn.NORM.S.INV(RAND())</f>
        <v>-3.6648386964315306E-2</v>
      </c>
      <c r="T3681" s="59">
        <f ca="1">Dashboard!C$8* Dashboard!$F$4+Dashboard!C$10*SQRT(Dashboard!$F$4) * _xlfn.NORM.S.INV(RAND())</f>
        <v>4.2676951523426696E-2</v>
      </c>
      <c r="U3681" s="59">
        <f ca="1">Dashboard!D$8* Dashboard!$F$4+Dashboard!D$10*SQRT(Dashboard!$F$4) * _xlfn.NORM.S.INV(RAND())</f>
        <v>-2.4705570729543118E-3</v>
      </c>
    </row>
    <row r="3682" spans="18:21" x14ac:dyDescent="0.2">
      <c r="R3682" s="49">
        <v>3680</v>
      </c>
      <c r="S3682" s="59">
        <f ca="1">Dashboard!B$8* Dashboard!$F$4+Dashboard!B$10*SQRT(Dashboard!$F$4) * _xlfn.NORM.S.INV(RAND())</f>
        <v>2.1100729212803163E-2</v>
      </c>
      <c r="T3682" s="59">
        <f ca="1">Dashboard!C$8* Dashboard!$F$4+Dashboard!C$10*SQRT(Dashboard!$F$4) * _xlfn.NORM.S.INV(RAND())</f>
        <v>3.996137210344123E-2</v>
      </c>
      <c r="U3682" s="59">
        <f ca="1">Dashboard!D$8* Dashboard!$F$4+Dashboard!D$10*SQRT(Dashboard!$F$4) * _xlfn.NORM.S.INV(RAND())</f>
        <v>1.925768814860113E-2</v>
      </c>
    </row>
    <row r="3683" spans="18:21" x14ac:dyDescent="0.2">
      <c r="R3683" s="49">
        <v>3681</v>
      </c>
      <c r="S3683" s="59">
        <f ca="1">Dashboard!B$8* Dashboard!$F$4+Dashboard!B$10*SQRT(Dashboard!$F$4) * _xlfn.NORM.S.INV(RAND())</f>
        <v>-3.0204821257333286E-2</v>
      </c>
      <c r="T3683" s="59">
        <f ca="1">Dashboard!C$8* Dashboard!$F$4+Dashboard!C$10*SQRT(Dashboard!$F$4) * _xlfn.NORM.S.INV(RAND())</f>
        <v>3.3345728950476432E-2</v>
      </c>
      <c r="U3683" s="59">
        <f ca="1">Dashboard!D$8* Dashboard!$F$4+Dashboard!D$10*SQRT(Dashboard!$F$4) * _xlfn.NORM.S.INV(RAND())</f>
        <v>1.1350655136077817E-2</v>
      </c>
    </row>
    <row r="3684" spans="18:21" x14ac:dyDescent="0.2">
      <c r="R3684" s="49">
        <v>3682</v>
      </c>
      <c r="S3684" s="59">
        <f ca="1">Dashboard!B$8* Dashboard!$F$4+Dashboard!B$10*SQRT(Dashboard!$F$4) * _xlfn.NORM.S.INV(RAND())</f>
        <v>-9.0770832886477564E-3</v>
      </c>
      <c r="T3684" s="59">
        <f ca="1">Dashboard!C$8* Dashboard!$F$4+Dashboard!C$10*SQRT(Dashboard!$F$4) * _xlfn.NORM.S.INV(RAND())</f>
        <v>-3.6114079888264899E-2</v>
      </c>
      <c r="U3684" s="59">
        <f ca="1">Dashboard!D$8* Dashboard!$F$4+Dashboard!D$10*SQRT(Dashboard!$F$4) * _xlfn.NORM.S.INV(RAND())</f>
        <v>-4.1442782854113173E-2</v>
      </c>
    </row>
    <row r="3685" spans="18:21" x14ac:dyDescent="0.2">
      <c r="R3685" s="49">
        <v>3683</v>
      </c>
      <c r="S3685" s="59">
        <f ca="1">Dashboard!B$8* Dashboard!$F$4+Dashboard!B$10*SQRT(Dashboard!$F$4) * _xlfn.NORM.S.INV(RAND())</f>
        <v>7.7532752828955109E-2</v>
      </c>
      <c r="T3685" s="59">
        <f ca="1">Dashboard!C$8* Dashboard!$F$4+Dashboard!C$10*SQRT(Dashboard!$F$4) * _xlfn.NORM.S.INV(RAND())</f>
        <v>-2.732114726082115E-2</v>
      </c>
      <c r="U3685" s="59">
        <f ca="1">Dashboard!D$8* Dashboard!$F$4+Dashboard!D$10*SQRT(Dashboard!$F$4) * _xlfn.NORM.S.INV(RAND())</f>
        <v>2.7524641896055614E-2</v>
      </c>
    </row>
    <row r="3686" spans="18:21" x14ac:dyDescent="0.2">
      <c r="R3686" s="49">
        <v>3684</v>
      </c>
      <c r="S3686" s="59">
        <f ca="1">Dashboard!B$8* Dashboard!$F$4+Dashboard!B$10*SQRT(Dashboard!$F$4) * _xlfn.NORM.S.INV(RAND())</f>
        <v>-6.1223436146371102E-2</v>
      </c>
      <c r="T3686" s="59">
        <f ca="1">Dashboard!C$8* Dashboard!$F$4+Dashboard!C$10*SQRT(Dashboard!$F$4) * _xlfn.NORM.S.INV(RAND())</f>
        <v>-7.1523305593909842E-3</v>
      </c>
      <c r="U3686" s="59">
        <f ca="1">Dashboard!D$8* Dashboard!$F$4+Dashboard!D$10*SQRT(Dashboard!$F$4) * _xlfn.NORM.S.INV(RAND())</f>
        <v>1.3456560607010384E-2</v>
      </c>
    </row>
    <row r="3687" spans="18:21" x14ac:dyDescent="0.2">
      <c r="R3687" s="49">
        <v>3685</v>
      </c>
      <c r="S3687" s="59">
        <f ca="1">Dashboard!B$8* Dashboard!$F$4+Dashboard!B$10*SQRT(Dashboard!$F$4) * _xlfn.NORM.S.INV(RAND())</f>
        <v>4.9751796938321803E-2</v>
      </c>
      <c r="T3687" s="59">
        <f ca="1">Dashboard!C$8* Dashboard!$F$4+Dashboard!C$10*SQRT(Dashboard!$F$4) * _xlfn.NORM.S.INV(RAND())</f>
        <v>5.4658195058995523E-2</v>
      </c>
      <c r="U3687" s="59">
        <f ca="1">Dashboard!D$8* Dashboard!$F$4+Dashboard!D$10*SQRT(Dashboard!$F$4) * _xlfn.NORM.S.INV(RAND())</f>
        <v>-5.0494697690936494E-2</v>
      </c>
    </row>
    <row r="3688" spans="18:21" x14ac:dyDescent="0.2">
      <c r="R3688" s="49">
        <v>3686</v>
      </c>
      <c r="S3688" s="59">
        <f ca="1">Dashboard!B$8* Dashboard!$F$4+Dashboard!B$10*SQRT(Dashboard!$F$4) * _xlfn.NORM.S.INV(RAND())</f>
        <v>-1.966541622639912E-2</v>
      </c>
      <c r="T3688" s="59">
        <f ca="1">Dashboard!C$8* Dashboard!$F$4+Dashboard!C$10*SQRT(Dashboard!$F$4) * _xlfn.NORM.S.INV(RAND())</f>
        <v>2.6014248864697494E-2</v>
      </c>
      <c r="U3688" s="59">
        <f ca="1">Dashboard!D$8* Dashboard!$F$4+Dashboard!D$10*SQRT(Dashboard!$F$4) * _xlfn.NORM.S.INV(RAND())</f>
        <v>-1.5203769865197364E-2</v>
      </c>
    </row>
    <row r="3689" spans="18:21" x14ac:dyDescent="0.2">
      <c r="R3689" s="49">
        <v>3687</v>
      </c>
      <c r="S3689" s="59">
        <f ca="1">Dashboard!B$8* Dashboard!$F$4+Dashboard!B$10*SQRT(Dashboard!$F$4) * _xlfn.NORM.S.INV(RAND())</f>
        <v>1.5279094366834512E-2</v>
      </c>
      <c r="T3689" s="59">
        <f ca="1">Dashboard!C$8* Dashboard!$F$4+Dashboard!C$10*SQRT(Dashboard!$F$4) * _xlfn.NORM.S.INV(RAND())</f>
        <v>5.6804367583063974E-3</v>
      </c>
      <c r="U3689" s="59">
        <f ca="1">Dashboard!D$8* Dashboard!$F$4+Dashboard!D$10*SQRT(Dashboard!$F$4) * _xlfn.NORM.S.INV(RAND())</f>
        <v>1.1813254616023634E-2</v>
      </c>
    </row>
    <row r="3690" spans="18:21" x14ac:dyDescent="0.2">
      <c r="R3690" s="49">
        <v>3688</v>
      </c>
      <c r="S3690" s="59">
        <f ca="1">Dashboard!B$8* Dashboard!$F$4+Dashboard!B$10*SQRT(Dashboard!$F$4) * _xlfn.NORM.S.INV(RAND())</f>
        <v>-9.7412175229367928E-3</v>
      </c>
      <c r="T3690" s="59">
        <f ca="1">Dashboard!C$8* Dashboard!$F$4+Dashboard!C$10*SQRT(Dashboard!$F$4) * _xlfn.NORM.S.INV(RAND())</f>
        <v>-1.0617511525617032E-2</v>
      </c>
      <c r="U3690" s="59">
        <f ca="1">Dashboard!D$8* Dashboard!$F$4+Dashboard!D$10*SQRT(Dashboard!$F$4) * _xlfn.NORM.S.INV(RAND())</f>
        <v>-1.1581361892996066E-2</v>
      </c>
    </row>
    <row r="3691" spans="18:21" x14ac:dyDescent="0.2">
      <c r="R3691" s="49">
        <v>3689</v>
      </c>
      <c r="S3691" s="59">
        <f ca="1">Dashboard!B$8* Dashboard!$F$4+Dashboard!B$10*SQRT(Dashboard!$F$4) * _xlfn.NORM.S.INV(RAND())</f>
        <v>-9.3635516369347145E-3</v>
      </c>
      <c r="T3691" s="59">
        <f ca="1">Dashboard!C$8* Dashboard!$F$4+Dashboard!C$10*SQRT(Dashboard!$F$4) * _xlfn.NORM.S.INV(RAND())</f>
        <v>6.0273463872205897E-2</v>
      </c>
      <c r="U3691" s="59">
        <f ca="1">Dashboard!D$8* Dashboard!$F$4+Dashboard!D$10*SQRT(Dashboard!$F$4) * _xlfn.NORM.S.INV(RAND())</f>
        <v>2.6587032295316759E-3</v>
      </c>
    </row>
    <row r="3692" spans="18:21" x14ac:dyDescent="0.2">
      <c r="R3692" s="49">
        <v>3690</v>
      </c>
      <c r="S3692" s="59">
        <f ca="1">Dashboard!B$8* Dashboard!$F$4+Dashboard!B$10*SQRT(Dashboard!$F$4) * _xlfn.NORM.S.INV(RAND())</f>
        <v>-3.0199985484778258E-2</v>
      </c>
      <c r="T3692" s="59">
        <f ca="1">Dashboard!C$8* Dashboard!$F$4+Dashboard!C$10*SQRT(Dashboard!$F$4) * _xlfn.NORM.S.INV(RAND())</f>
        <v>-1.8604536293793727E-2</v>
      </c>
      <c r="U3692" s="59">
        <f ca="1">Dashboard!D$8* Dashboard!$F$4+Dashboard!D$10*SQRT(Dashboard!$F$4) * _xlfn.NORM.S.INV(RAND())</f>
        <v>9.8861118093386199E-3</v>
      </c>
    </row>
    <row r="3693" spans="18:21" x14ac:dyDescent="0.2">
      <c r="R3693" s="49">
        <v>3691</v>
      </c>
      <c r="S3693" s="59">
        <f ca="1">Dashboard!B$8* Dashboard!$F$4+Dashboard!B$10*SQRT(Dashboard!$F$4) * _xlfn.NORM.S.INV(RAND())</f>
        <v>-3.0083549975556912E-3</v>
      </c>
      <c r="T3693" s="59">
        <f ca="1">Dashboard!C$8* Dashboard!$F$4+Dashboard!C$10*SQRT(Dashboard!$F$4) * _xlfn.NORM.S.INV(RAND())</f>
        <v>1.5118021452668887E-2</v>
      </c>
      <c r="U3693" s="59">
        <f ca="1">Dashboard!D$8* Dashboard!$F$4+Dashboard!D$10*SQRT(Dashboard!$F$4) * _xlfn.NORM.S.INV(RAND())</f>
        <v>-5.2351390692361645E-2</v>
      </c>
    </row>
    <row r="3694" spans="18:21" x14ac:dyDescent="0.2">
      <c r="R3694" s="49">
        <v>3692</v>
      </c>
      <c r="S3694" s="59">
        <f ca="1">Dashboard!B$8* Dashboard!$F$4+Dashboard!B$10*SQRT(Dashboard!$F$4) * _xlfn.NORM.S.INV(RAND())</f>
        <v>4.7120865359150825E-2</v>
      </c>
      <c r="T3694" s="59">
        <f ca="1">Dashboard!C$8* Dashboard!$F$4+Dashboard!C$10*SQRT(Dashboard!$F$4) * _xlfn.NORM.S.INV(RAND())</f>
        <v>-5.4318995101743928E-2</v>
      </c>
      <c r="U3694" s="59">
        <f ca="1">Dashboard!D$8* Dashboard!$F$4+Dashboard!D$10*SQRT(Dashboard!$F$4) * _xlfn.NORM.S.INV(RAND())</f>
        <v>3.0493465896858734E-2</v>
      </c>
    </row>
    <row r="3695" spans="18:21" x14ac:dyDescent="0.2">
      <c r="R3695" s="49">
        <v>3693</v>
      </c>
      <c r="S3695" s="59">
        <f ca="1">Dashboard!B$8* Dashboard!$F$4+Dashboard!B$10*SQRT(Dashboard!$F$4) * _xlfn.NORM.S.INV(RAND())</f>
        <v>-3.9679809149905598E-2</v>
      </c>
      <c r="T3695" s="59">
        <f ca="1">Dashboard!C$8* Dashboard!$F$4+Dashboard!C$10*SQRT(Dashboard!$F$4) * _xlfn.NORM.S.INV(RAND())</f>
        <v>-3.2572634141048093E-2</v>
      </c>
      <c r="U3695" s="59">
        <f ca="1">Dashboard!D$8* Dashboard!$F$4+Dashboard!D$10*SQRT(Dashboard!$F$4) * _xlfn.NORM.S.INV(RAND())</f>
        <v>-1.6394283501113556E-2</v>
      </c>
    </row>
    <row r="3696" spans="18:21" x14ac:dyDescent="0.2">
      <c r="R3696" s="49">
        <v>3694</v>
      </c>
      <c r="S3696" s="59">
        <f ca="1">Dashboard!B$8* Dashboard!$F$4+Dashboard!B$10*SQRT(Dashboard!$F$4) * _xlfn.NORM.S.INV(RAND())</f>
        <v>3.8703003153667717E-2</v>
      </c>
      <c r="T3696" s="59">
        <f ca="1">Dashboard!C$8* Dashboard!$F$4+Dashboard!C$10*SQRT(Dashboard!$F$4) * _xlfn.NORM.S.INV(RAND())</f>
        <v>2.5615233001851454E-2</v>
      </c>
      <c r="U3696" s="59">
        <f ca="1">Dashboard!D$8* Dashboard!$F$4+Dashboard!D$10*SQRT(Dashboard!$F$4) * _xlfn.NORM.S.INV(RAND())</f>
        <v>-7.0656663310105878E-3</v>
      </c>
    </row>
    <row r="3697" spans="18:21" x14ac:dyDescent="0.2">
      <c r="R3697" s="49">
        <v>3695</v>
      </c>
      <c r="S3697" s="59">
        <f ca="1">Dashboard!B$8* Dashboard!$F$4+Dashboard!B$10*SQRT(Dashboard!$F$4) * _xlfn.NORM.S.INV(RAND())</f>
        <v>-6.5024249473465134E-2</v>
      </c>
      <c r="T3697" s="59">
        <f ca="1">Dashboard!C$8* Dashboard!$F$4+Dashboard!C$10*SQRT(Dashboard!$F$4) * _xlfn.NORM.S.INV(RAND())</f>
        <v>3.3791203540752317E-2</v>
      </c>
      <c r="U3697" s="59">
        <f ca="1">Dashboard!D$8* Dashboard!$F$4+Dashboard!D$10*SQRT(Dashboard!$F$4) * _xlfn.NORM.S.INV(RAND())</f>
        <v>-1.4735672795473376E-2</v>
      </c>
    </row>
    <row r="3698" spans="18:21" x14ac:dyDescent="0.2">
      <c r="R3698" s="49">
        <v>3696</v>
      </c>
      <c r="S3698" s="59">
        <f ca="1">Dashboard!B$8* Dashboard!$F$4+Dashboard!B$10*SQRT(Dashboard!$F$4) * _xlfn.NORM.S.INV(RAND())</f>
        <v>-2.9835333447503484E-2</v>
      </c>
      <c r="T3698" s="59">
        <f ca="1">Dashboard!C$8* Dashboard!$F$4+Dashboard!C$10*SQRT(Dashboard!$F$4) * _xlfn.NORM.S.INV(RAND())</f>
        <v>-3.4699281708754602E-2</v>
      </c>
      <c r="U3698" s="59">
        <f ca="1">Dashboard!D$8* Dashboard!$F$4+Dashboard!D$10*SQRT(Dashboard!$F$4) * _xlfn.NORM.S.INV(RAND())</f>
        <v>-1.2550935443890026E-2</v>
      </c>
    </row>
    <row r="3699" spans="18:21" x14ac:dyDescent="0.2">
      <c r="R3699" s="49">
        <v>3697</v>
      </c>
      <c r="S3699" s="59">
        <f ca="1">Dashboard!B$8* Dashboard!$F$4+Dashboard!B$10*SQRT(Dashboard!$F$4) * _xlfn.NORM.S.INV(RAND())</f>
        <v>-4.4283822445424052E-2</v>
      </c>
      <c r="T3699" s="59">
        <f ca="1">Dashboard!C$8* Dashboard!$F$4+Dashboard!C$10*SQRT(Dashboard!$F$4) * _xlfn.NORM.S.INV(RAND())</f>
        <v>2.5372829387545436E-2</v>
      </c>
      <c r="U3699" s="59">
        <f ca="1">Dashboard!D$8* Dashboard!$F$4+Dashboard!D$10*SQRT(Dashboard!$F$4) * _xlfn.NORM.S.INV(RAND())</f>
        <v>5.7474655434306708E-2</v>
      </c>
    </row>
    <row r="3700" spans="18:21" x14ac:dyDescent="0.2">
      <c r="R3700" s="49">
        <v>3698</v>
      </c>
      <c r="S3700" s="59">
        <f ca="1">Dashboard!B$8* Dashboard!$F$4+Dashboard!B$10*SQRT(Dashboard!$F$4) * _xlfn.NORM.S.INV(RAND())</f>
        <v>6.0779624791449993E-2</v>
      </c>
      <c r="T3700" s="59">
        <f ca="1">Dashboard!C$8* Dashboard!$F$4+Dashboard!C$10*SQRT(Dashboard!$F$4) * _xlfn.NORM.S.INV(RAND())</f>
        <v>4.4101510731036339E-2</v>
      </c>
      <c r="U3700" s="59">
        <f ca="1">Dashboard!D$8* Dashboard!$F$4+Dashboard!D$10*SQRT(Dashboard!$F$4) * _xlfn.NORM.S.INV(RAND())</f>
        <v>4.9914029390297626E-2</v>
      </c>
    </row>
    <row r="3701" spans="18:21" x14ac:dyDescent="0.2">
      <c r="R3701" s="49">
        <v>3699</v>
      </c>
      <c r="S3701" s="59">
        <f ca="1">Dashboard!B$8* Dashboard!$F$4+Dashboard!B$10*SQRT(Dashboard!$F$4) * _xlfn.NORM.S.INV(RAND())</f>
        <v>-3.0016335198480223E-2</v>
      </c>
      <c r="T3701" s="59">
        <f ca="1">Dashboard!C$8* Dashboard!$F$4+Dashboard!C$10*SQRT(Dashboard!$F$4) * _xlfn.NORM.S.INV(RAND())</f>
        <v>8.6442222480470014E-4</v>
      </c>
      <c r="U3701" s="59">
        <f ca="1">Dashboard!D$8* Dashboard!$F$4+Dashboard!D$10*SQRT(Dashboard!$F$4) * _xlfn.NORM.S.INV(RAND())</f>
        <v>-4.7593863301273812E-2</v>
      </c>
    </row>
    <row r="3702" spans="18:21" x14ac:dyDescent="0.2">
      <c r="R3702" s="49">
        <v>3700</v>
      </c>
      <c r="S3702" s="59">
        <f ca="1">Dashboard!B$8* Dashboard!$F$4+Dashboard!B$10*SQRT(Dashboard!$F$4) * _xlfn.NORM.S.INV(RAND())</f>
        <v>5.6899270638665865E-3</v>
      </c>
      <c r="T3702" s="59">
        <f ca="1">Dashboard!C$8* Dashboard!$F$4+Dashboard!C$10*SQRT(Dashboard!$F$4) * _xlfn.NORM.S.INV(RAND())</f>
        <v>-2.0327167234800776E-2</v>
      </c>
      <c r="U3702" s="59">
        <f ca="1">Dashboard!D$8* Dashboard!$F$4+Dashboard!D$10*SQRT(Dashboard!$F$4) * _xlfn.NORM.S.INV(RAND())</f>
        <v>-1.7806576537280475E-2</v>
      </c>
    </row>
    <row r="3703" spans="18:21" x14ac:dyDescent="0.2">
      <c r="R3703" s="49">
        <v>3701</v>
      </c>
      <c r="S3703" s="59">
        <f ca="1">Dashboard!B$8* Dashboard!$F$4+Dashboard!B$10*SQRT(Dashboard!$F$4) * _xlfn.NORM.S.INV(RAND())</f>
        <v>1.9329882095090442E-2</v>
      </c>
      <c r="T3703" s="59">
        <f ca="1">Dashboard!C$8* Dashboard!$F$4+Dashboard!C$10*SQRT(Dashboard!$F$4) * _xlfn.NORM.S.INV(RAND())</f>
        <v>7.1456148922722881E-2</v>
      </c>
      <c r="U3703" s="59">
        <f ca="1">Dashboard!D$8* Dashboard!$F$4+Dashboard!D$10*SQRT(Dashboard!$F$4) * _xlfn.NORM.S.INV(RAND())</f>
        <v>1.0664082397523542E-2</v>
      </c>
    </row>
    <row r="3704" spans="18:21" x14ac:dyDescent="0.2">
      <c r="R3704" s="49">
        <v>3702</v>
      </c>
      <c r="S3704" s="59">
        <f ca="1">Dashboard!B$8* Dashboard!$F$4+Dashboard!B$10*SQRT(Dashboard!$F$4) * _xlfn.NORM.S.INV(RAND())</f>
        <v>2.0738249139836629E-2</v>
      </c>
      <c r="T3704" s="59">
        <f ca="1">Dashboard!C$8* Dashboard!$F$4+Dashboard!C$10*SQRT(Dashboard!$F$4) * _xlfn.NORM.S.INV(RAND())</f>
        <v>-3.2224422839828203E-2</v>
      </c>
      <c r="U3704" s="59">
        <f ca="1">Dashboard!D$8* Dashboard!$F$4+Dashboard!D$10*SQRT(Dashboard!$F$4) * _xlfn.NORM.S.INV(RAND())</f>
        <v>3.917433917608235E-4</v>
      </c>
    </row>
    <row r="3705" spans="18:21" x14ac:dyDescent="0.2">
      <c r="R3705" s="49">
        <v>3703</v>
      </c>
      <c r="S3705" s="59">
        <f ca="1">Dashboard!B$8* Dashboard!$F$4+Dashboard!B$10*SQRT(Dashboard!$F$4) * _xlfn.NORM.S.INV(RAND())</f>
        <v>-2.8336049238108924E-2</v>
      </c>
      <c r="T3705" s="59">
        <f ca="1">Dashboard!C$8* Dashboard!$F$4+Dashboard!C$10*SQRT(Dashboard!$F$4) * _xlfn.NORM.S.INV(RAND())</f>
        <v>3.3884891664664337E-3</v>
      </c>
      <c r="U3705" s="59">
        <f ca="1">Dashboard!D$8* Dashboard!$F$4+Dashboard!D$10*SQRT(Dashboard!$F$4) * _xlfn.NORM.S.INV(RAND())</f>
        <v>-2.4186219055736717E-3</v>
      </c>
    </row>
    <row r="3706" spans="18:21" x14ac:dyDescent="0.2">
      <c r="R3706" s="49">
        <v>3704</v>
      </c>
      <c r="S3706" s="59">
        <f ca="1">Dashboard!B$8* Dashboard!$F$4+Dashboard!B$10*SQRT(Dashboard!$F$4) * _xlfn.NORM.S.INV(RAND())</f>
        <v>2.6872907058505438E-2</v>
      </c>
      <c r="T3706" s="59">
        <f ca="1">Dashboard!C$8* Dashboard!$F$4+Dashboard!C$10*SQRT(Dashboard!$F$4) * _xlfn.NORM.S.INV(RAND())</f>
        <v>1.2547388895408802E-2</v>
      </c>
      <c r="U3706" s="59">
        <f ca="1">Dashboard!D$8* Dashboard!$F$4+Dashboard!D$10*SQRT(Dashboard!$F$4) * _xlfn.NORM.S.INV(RAND())</f>
        <v>6.0647583162581828E-3</v>
      </c>
    </row>
    <row r="3707" spans="18:21" x14ac:dyDescent="0.2">
      <c r="R3707" s="49">
        <v>3705</v>
      </c>
      <c r="S3707" s="59">
        <f ca="1">Dashboard!B$8* Dashboard!$F$4+Dashboard!B$10*SQRT(Dashboard!$F$4) * _xlfn.NORM.S.INV(RAND())</f>
        <v>7.1790613050138653E-4</v>
      </c>
      <c r="T3707" s="59">
        <f ca="1">Dashboard!C$8* Dashboard!$F$4+Dashboard!C$10*SQRT(Dashboard!$F$4) * _xlfn.NORM.S.INV(RAND())</f>
        <v>-9.1449004276691226E-2</v>
      </c>
      <c r="U3707" s="59">
        <f ca="1">Dashboard!D$8* Dashboard!$F$4+Dashboard!D$10*SQRT(Dashboard!$F$4) * _xlfn.NORM.S.INV(RAND())</f>
        <v>-1.6963826770676507E-2</v>
      </c>
    </row>
    <row r="3708" spans="18:21" x14ac:dyDescent="0.2">
      <c r="R3708" s="49">
        <v>3706</v>
      </c>
      <c r="S3708" s="59">
        <f ca="1">Dashboard!B$8* Dashboard!$F$4+Dashboard!B$10*SQRT(Dashboard!$F$4) * _xlfn.NORM.S.INV(RAND())</f>
        <v>5.0076281586836642E-2</v>
      </c>
      <c r="T3708" s="59">
        <f ca="1">Dashboard!C$8* Dashboard!$F$4+Dashboard!C$10*SQRT(Dashboard!$F$4) * _xlfn.NORM.S.INV(RAND())</f>
        <v>-1.0409969145103014E-3</v>
      </c>
      <c r="U3708" s="59">
        <f ca="1">Dashboard!D$8* Dashboard!$F$4+Dashboard!D$10*SQRT(Dashboard!$F$4) * _xlfn.NORM.S.INV(RAND())</f>
        <v>-8.214006907914833E-3</v>
      </c>
    </row>
    <row r="3709" spans="18:21" x14ac:dyDescent="0.2">
      <c r="R3709" s="49">
        <v>3707</v>
      </c>
      <c r="S3709" s="59">
        <f ca="1">Dashboard!B$8* Dashboard!$F$4+Dashboard!B$10*SQRT(Dashboard!$F$4) * _xlfn.NORM.S.INV(RAND())</f>
        <v>1.5227125805441092E-2</v>
      </c>
      <c r="T3709" s="59">
        <f ca="1">Dashboard!C$8* Dashboard!$F$4+Dashboard!C$10*SQRT(Dashboard!$F$4) * _xlfn.NORM.S.INV(RAND())</f>
        <v>2.4226309733086603E-2</v>
      </c>
      <c r="U3709" s="59">
        <f ca="1">Dashboard!D$8* Dashboard!$F$4+Dashboard!D$10*SQRT(Dashboard!$F$4) * _xlfn.NORM.S.INV(RAND())</f>
        <v>1.1177720301810018E-2</v>
      </c>
    </row>
    <row r="3710" spans="18:21" x14ac:dyDescent="0.2">
      <c r="R3710" s="49">
        <v>3708</v>
      </c>
      <c r="S3710" s="59">
        <f ca="1">Dashboard!B$8* Dashboard!$F$4+Dashboard!B$10*SQRT(Dashboard!$F$4) * _xlfn.NORM.S.INV(RAND())</f>
        <v>-7.4263783994958477E-2</v>
      </c>
      <c r="T3710" s="59">
        <f ca="1">Dashboard!C$8* Dashboard!$F$4+Dashboard!C$10*SQRT(Dashboard!$F$4) * _xlfn.NORM.S.INV(RAND())</f>
        <v>1.9036761938074697E-2</v>
      </c>
      <c r="U3710" s="59">
        <f ca="1">Dashboard!D$8* Dashboard!$F$4+Dashboard!D$10*SQRT(Dashboard!$F$4) * _xlfn.NORM.S.INV(RAND())</f>
        <v>-2.3686110407421333E-2</v>
      </c>
    </row>
    <row r="3711" spans="18:21" x14ac:dyDescent="0.2">
      <c r="R3711" s="49">
        <v>3709</v>
      </c>
      <c r="S3711" s="59">
        <f ca="1">Dashboard!B$8* Dashboard!$F$4+Dashboard!B$10*SQRT(Dashboard!$F$4) * _xlfn.NORM.S.INV(RAND())</f>
        <v>-4.3063004927891193E-3</v>
      </c>
      <c r="T3711" s="59">
        <f ca="1">Dashboard!C$8* Dashboard!$F$4+Dashboard!C$10*SQRT(Dashboard!$F$4) * _xlfn.NORM.S.INV(RAND())</f>
        <v>-7.4846522156733286E-3</v>
      </c>
      <c r="U3711" s="59">
        <f ca="1">Dashboard!D$8* Dashboard!$F$4+Dashboard!D$10*SQRT(Dashboard!$F$4) * _xlfn.NORM.S.INV(RAND())</f>
        <v>-2.4564946169400876E-3</v>
      </c>
    </row>
    <row r="3712" spans="18:21" x14ac:dyDescent="0.2">
      <c r="R3712" s="49">
        <v>3710</v>
      </c>
      <c r="S3712" s="59">
        <f ca="1">Dashboard!B$8* Dashboard!$F$4+Dashboard!B$10*SQRT(Dashboard!$F$4) * _xlfn.NORM.S.INV(RAND())</f>
        <v>-2.5635397453067602E-2</v>
      </c>
      <c r="T3712" s="59">
        <f ca="1">Dashboard!C$8* Dashboard!$F$4+Dashboard!C$10*SQRT(Dashboard!$F$4) * _xlfn.NORM.S.INV(RAND())</f>
        <v>2.3119661947666333E-3</v>
      </c>
      <c r="U3712" s="59">
        <f ca="1">Dashboard!D$8* Dashboard!$F$4+Dashboard!D$10*SQRT(Dashboard!$F$4) * _xlfn.NORM.S.INV(RAND())</f>
        <v>2.059376337162093E-2</v>
      </c>
    </row>
    <row r="3713" spans="18:21" x14ac:dyDescent="0.2">
      <c r="R3713" s="49">
        <v>3711</v>
      </c>
      <c r="S3713" s="59">
        <f ca="1">Dashboard!B$8* Dashboard!$F$4+Dashboard!B$10*SQRT(Dashboard!$F$4) * _xlfn.NORM.S.INV(RAND())</f>
        <v>-5.4262391215649373E-2</v>
      </c>
      <c r="T3713" s="59">
        <f ca="1">Dashboard!C$8* Dashboard!$F$4+Dashboard!C$10*SQRT(Dashboard!$F$4) * _xlfn.NORM.S.INV(RAND())</f>
        <v>3.8158631298152064E-2</v>
      </c>
      <c r="U3713" s="59">
        <f ca="1">Dashboard!D$8* Dashboard!$F$4+Dashboard!D$10*SQRT(Dashboard!$F$4) * _xlfn.NORM.S.INV(RAND())</f>
        <v>8.4004428439134096E-2</v>
      </c>
    </row>
    <row r="3714" spans="18:21" x14ac:dyDescent="0.2">
      <c r="R3714" s="49">
        <v>3712</v>
      </c>
      <c r="S3714" s="59">
        <f ca="1">Dashboard!B$8* Dashboard!$F$4+Dashboard!B$10*SQRT(Dashboard!$F$4) * _xlfn.NORM.S.INV(RAND())</f>
        <v>-1.1446968971489255E-2</v>
      </c>
      <c r="T3714" s="59">
        <f ca="1">Dashboard!C$8* Dashboard!$F$4+Dashboard!C$10*SQRT(Dashboard!$F$4) * _xlfn.NORM.S.INV(RAND())</f>
        <v>-2.22796125957364E-3</v>
      </c>
      <c r="U3714" s="59">
        <f ca="1">Dashboard!D$8* Dashboard!$F$4+Dashboard!D$10*SQRT(Dashboard!$F$4) * _xlfn.NORM.S.INV(RAND())</f>
        <v>-2.7822599659085717E-2</v>
      </c>
    </row>
    <row r="3715" spans="18:21" x14ac:dyDescent="0.2">
      <c r="R3715" s="49">
        <v>3713</v>
      </c>
      <c r="S3715" s="59">
        <f ca="1">Dashboard!B$8* Dashboard!$F$4+Dashboard!B$10*SQRT(Dashboard!$F$4) * _xlfn.NORM.S.INV(RAND())</f>
        <v>1.9292049678140015E-2</v>
      </c>
      <c r="T3715" s="59">
        <f ca="1">Dashboard!C$8* Dashboard!$F$4+Dashboard!C$10*SQRT(Dashboard!$F$4) * _xlfn.NORM.S.INV(RAND())</f>
        <v>-8.0804103291942167E-2</v>
      </c>
      <c r="U3715" s="59">
        <f ca="1">Dashboard!D$8* Dashboard!$F$4+Dashboard!D$10*SQRT(Dashboard!$F$4) * _xlfn.NORM.S.INV(RAND())</f>
        <v>2.746023929460379E-2</v>
      </c>
    </row>
    <row r="3716" spans="18:21" x14ac:dyDescent="0.2">
      <c r="R3716" s="49">
        <v>3714</v>
      </c>
      <c r="S3716" s="59">
        <f ca="1">Dashboard!B$8* Dashboard!$F$4+Dashboard!B$10*SQRT(Dashboard!$F$4) * _xlfn.NORM.S.INV(RAND())</f>
        <v>-9.5501269789833344E-3</v>
      </c>
      <c r="T3716" s="59">
        <f ca="1">Dashboard!C$8* Dashboard!$F$4+Dashboard!C$10*SQRT(Dashboard!$F$4) * _xlfn.NORM.S.INV(RAND())</f>
        <v>3.2019656443725335E-2</v>
      </c>
      <c r="U3716" s="59">
        <f ca="1">Dashboard!D$8* Dashboard!$F$4+Dashboard!D$10*SQRT(Dashboard!$F$4) * _xlfn.NORM.S.INV(RAND())</f>
        <v>7.9846008045995537E-2</v>
      </c>
    </row>
    <row r="3717" spans="18:21" x14ac:dyDescent="0.2">
      <c r="R3717" s="49">
        <v>3715</v>
      </c>
      <c r="S3717" s="59">
        <f ca="1">Dashboard!B$8* Dashboard!$F$4+Dashboard!B$10*SQRT(Dashboard!$F$4) * _xlfn.NORM.S.INV(RAND())</f>
        <v>3.5911966530131435E-2</v>
      </c>
      <c r="T3717" s="59">
        <f ca="1">Dashboard!C$8* Dashboard!$F$4+Dashboard!C$10*SQRT(Dashboard!$F$4) * _xlfn.NORM.S.INV(RAND())</f>
        <v>-1.5948457478550459E-2</v>
      </c>
      <c r="U3717" s="59">
        <f ca="1">Dashboard!D$8* Dashboard!$F$4+Dashboard!D$10*SQRT(Dashboard!$F$4) * _xlfn.NORM.S.INV(RAND())</f>
        <v>2.6077129822780532E-2</v>
      </c>
    </row>
    <row r="3718" spans="18:21" x14ac:dyDescent="0.2">
      <c r="R3718" s="49">
        <v>3716</v>
      </c>
      <c r="S3718" s="59">
        <f ca="1">Dashboard!B$8* Dashboard!$F$4+Dashboard!B$10*SQRT(Dashboard!$F$4) * _xlfn.NORM.S.INV(RAND())</f>
        <v>2.7992285845457966E-2</v>
      </c>
      <c r="T3718" s="59">
        <f ca="1">Dashboard!C$8* Dashboard!$F$4+Dashboard!C$10*SQRT(Dashboard!$F$4) * _xlfn.NORM.S.INV(RAND())</f>
        <v>5.0034515576512936E-2</v>
      </c>
      <c r="U3718" s="59">
        <f ca="1">Dashboard!D$8* Dashboard!$F$4+Dashboard!D$10*SQRT(Dashboard!$F$4) * _xlfn.NORM.S.INV(RAND())</f>
        <v>6.1125816463858985E-3</v>
      </c>
    </row>
    <row r="3719" spans="18:21" x14ac:dyDescent="0.2">
      <c r="R3719" s="49">
        <v>3717</v>
      </c>
      <c r="S3719" s="59">
        <f ca="1">Dashboard!B$8* Dashboard!$F$4+Dashboard!B$10*SQRT(Dashboard!$F$4) * _xlfn.NORM.S.INV(RAND())</f>
        <v>-9.5811658021351213E-3</v>
      </c>
      <c r="T3719" s="59">
        <f ca="1">Dashboard!C$8* Dashboard!$F$4+Dashboard!C$10*SQRT(Dashboard!$F$4) * _xlfn.NORM.S.INV(RAND())</f>
        <v>3.5005153810739924E-2</v>
      </c>
      <c r="U3719" s="59">
        <f ca="1">Dashboard!D$8* Dashboard!$F$4+Dashboard!D$10*SQRT(Dashboard!$F$4) * _xlfn.NORM.S.INV(RAND())</f>
        <v>1.222563814477301E-2</v>
      </c>
    </row>
    <row r="3720" spans="18:21" x14ac:dyDescent="0.2">
      <c r="R3720" s="49">
        <v>3718</v>
      </c>
      <c r="S3720" s="59">
        <f ca="1">Dashboard!B$8* Dashboard!$F$4+Dashboard!B$10*SQRT(Dashboard!$F$4) * _xlfn.NORM.S.INV(RAND())</f>
        <v>5.8125495550797289E-2</v>
      </c>
      <c r="T3720" s="59">
        <f ca="1">Dashboard!C$8* Dashboard!$F$4+Dashboard!C$10*SQRT(Dashboard!$F$4) * _xlfn.NORM.S.INV(RAND())</f>
        <v>3.109737093624795E-2</v>
      </c>
      <c r="U3720" s="59">
        <f ca="1">Dashboard!D$8* Dashboard!$F$4+Dashboard!D$10*SQRT(Dashboard!$F$4) * _xlfn.NORM.S.INV(RAND())</f>
        <v>2.6355090716657478E-2</v>
      </c>
    </row>
    <row r="3721" spans="18:21" x14ac:dyDescent="0.2">
      <c r="R3721" s="49">
        <v>3719</v>
      </c>
      <c r="S3721" s="59">
        <f ca="1">Dashboard!B$8* Dashboard!$F$4+Dashboard!B$10*SQRT(Dashboard!$F$4) * _xlfn.NORM.S.INV(RAND())</f>
        <v>4.736343506353085E-3</v>
      </c>
      <c r="T3721" s="59">
        <f ca="1">Dashboard!C$8* Dashboard!$F$4+Dashboard!C$10*SQRT(Dashboard!$F$4) * _xlfn.NORM.S.INV(RAND())</f>
        <v>4.8953559368970501E-2</v>
      </c>
      <c r="U3721" s="59">
        <f ca="1">Dashboard!D$8* Dashboard!$F$4+Dashboard!D$10*SQRT(Dashboard!$F$4) * _xlfn.NORM.S.INV(RAND())</f>
        <v>5.7865727541370838E-3</v>
      </c>
    </row>
    <row r="3722" spans="18:21" x14ac:dyDescent="0.2">
      <c r="R3722" s="49">
        <v>3720</v>
      </c>
      <c r="S3722" s="59">
        <f ca="1">Dashboard!B$8* Dashboard!$F$4+Dashboard!B$10*SQRT(Dashboard!$F$4) * _xlfn.NORM.S.INV(RAND())</f>
        <v>3.8784238768557078E-2</v>
      </c>
      <c r="T3722" s="59">
        <f ca="1">Dashboard!C$8* Dashboard!$F$4+Dashboard!C$10*SQRT(Dashboard!$F$4) * _xlfn.NORM.S.INV(RAND())</f>
        <v>1.7883655545276551E-2</v>
      </c>
      <c r="U3722" s="59">
        <f ca="1">Dashboard!D$8* Dashboard!$F$4+Dashboard!D$10*SQRT(Dashboard!$F$4) * _xlfn.NORM.S.INV(RAND())</f>
        <v>-3.5110869719438345E-2</v>
      </c>
    </row>
    <row r="3723" spans="18:21" x14ac:dyDescent="0.2">
      <c r="R3723" s="49">
        <v>3721</v>
      </c>
      <c r="S3723" s="59">
        <f ca="1">Dashboard!B$8* Dashboard!$F$4+Dashboard!B$10*SQRT(Dashboard!$F$4) * _xlfn.NORM.S.INV(RAND())</f>
        <v>4.3037329715665498E-2</v>
      </c>
      <c r="T3723" s="59">
        <f ca="1">Dashboard!C$8* Dashboard!$F$4+Dashboard!C$10*SQRT(Dashboard!$F$4) * _xlfn.NORM.S.INV(RAND())</f>
        <v>3.5496852802621243E-2</v>
      </c>
      <c r="U3723" s="59">
        <f ca="1">Dashboard!D$8* Dashboard!$F$4+Dashboard!D$10*SQRT(Dashboard!$F$4) * _xlfn.NORM.S.INV(RAND())</f>
        <v>-1.4482724615978895E-3</v>
      </c>
    </row>
    <row r="3724" spans="18:21" x14ac:dyDescent="0.2">
      <c r="R3724" s="49">
        <v>3722</v>
      </c>
      <c r="S3724" s="59">
        <f ca="1">Dashboard!B$8* Dashboard!$F$4+Dashboard!B$10*SQRT(Dashboard!$F$4) * _xlfn.NORM.S.INV(RAND())</f>
        <v>-1.2252985194228554E-2</v>
      </c>
      <c r="T3724" s="59">
        <f ca="1">Dashboard!C$8* Dashboard!$F$4+Dashboard!C$10*SQRT(Dashboard!$F$4) * _xlfn.NORM.S.INV(RAND())</f>
        <v>-4.2025736475579181E-2</v>
      </c>
      <c r="U3724" s="59">
        <f ca="1">Dashboard!D$8* Dashboard!$F$4+Dashboard!D$10*SQRT(Dashboard!$F$4) * _xlfn.NORM.S.INV(RAND())</f>
        <v>-5.1272623236204304E-3</v>
      </c>
    </row>
    <row r="3725" spans="18:21" x14ac:dyDescent="0.2">
      <c r="R3725" s="49">
        <v>3723</v>
      </c>
      <c r="S3725" s="59">
        <f ca="1">Dashboard!B$8* Dashboard!$F$4+Dashboard!B$10*SQRT(Dashboard!$F$4) * _xlfn.NORM.S.INV(RAND())</f>
        <v>7.7629835454279348E-3</v>
      </c>
      <c r="T3725" s="59">
        <f ca="1">Dashboard!C$8* Dashboard!$F$4+Dashboard!C$10*SQRT(Dashboard!$F$4) * _xlfn.NORM.S.INV(RAND())</f>
        <v>6.318891479310724E-3</v>
      </c>
      <c r="U3725" s="59">
        <f ca="1">Dashboard!D$8* Dashboard!$F$4+Dashboard!D$10*SQRT(Dashboard!$F$4) * _xlfn.NORM.S.INV(RAND())</f>
        <v>-5.1294080233066121E-3</v>
      </c>
    </row>
    <row r="3726" spans="18:21" x14ac:dyDescent="0.2">
      <c r="R3726" s="49">
        <v>3724</v>
      </c>
      <c r="S3726" s="59">
        <f ca="1">Dashboard!B$8* Dashboard!$F$4+Dashboard!B$10*SQRT(Dashboard!$F$4) * _xlfn.NORM.S.INV(RAND())</f>
        <v>-4.7223486783888949E-2</v>
      </c>
      <c r="T3726" s="59">
        <f ca="1">Dashboard!C$8* Dashboard!$F$4+Dashboard!C$10*SQRT(Dashboard!$F$4) * _xlfn.NORM.S.INV(RAND())</f>
        <v>3.9721711979783733E-2</v>
      </c>
      <c r="U3726" s="59">
        <f ca="1">Dashboard!D$8* Dashboard!$F$4+Dashboard!D$10*SQRT(Dashboard!$F$4) * _xlfn.NORM.S.INV(RAND())</f>
        <v>-5.1687002037748855E-2</v>
      </c>
    </row>
    <row r="3727" spans="18:21" x14ac:dyDescent="0.2">
      <c r="R3727" s="49">
        <v>3725</v>
      </c>
      <c r="S3727" s="59">
        <f ca="1">Dashboard!B$8* Dashboard!$F$4+Dashboard!B$10*SQRT(Dashboard!$F$4) * _xlfn.NORM.S.INV(RAND())</f>
        <v>9.7265998976900359E-5</v>
      </c>
      <c r="T3727" s="59">
        <f ca="1">Dashboard!C$8* Dashboard!$F$4+Dashboard!C$10*SQRT(Dashboard!$F$4) * _xlfn.NORM.S.INV(RAND())</f>
        <v>-1.8340923046428422E-2</v>
      </c>
      <c r="U3727" s="59">
        <f ca="1">Dashboard!D$8* Dashboard!$F$4+Dashboard!D$10*SQRT(Dashboard!$F$4) * _xlfn.NORM.S.INV(RAND())</f>
        <v>-8.7513526740708798E-4</v>
      </c>
    </row>
    <row r="3728" spans="18:21" x14ac:dyDescent="0.2">
      <c r="R3728" s="49">
        <v>3726</v>
      </c>
      <c r="S3728" s="59">
        <f ca="1">Dashboard!B$8* Dashboard!$F$4+Dashboard!B$10*SQRT(Dashboard!$F$4) * _xlfn.NORM.S.INV(RAND())</f>
        <v>2.6361290486711847E-2</v>
      </c>
      <c r="T3728" s="59">
        <f ca="1">Dashboard!C$8* Dashboard!$F$4+Dashboard!C$10*SQRT(Dashboard!$F$4) * _xlfn.NORM.S.INV(RAND())</f>
        <v>1.8271504877993016E-2</v>
      </c>
      <c r="U3728" s="59">
        <f ca="1">Dashboard!D$8* Dashboard!$F$4+Dashboard!D$10*SQRT(Dashboard!$F$4) * _xlfn.NORM.S.INV(RAND())</f>
        <v>1.1940569195139356E-2</v>
      </c>
    </row>
    <row r="3729" spans="18:21" x14ac:dyDescent="0.2">
      <c r="R3729" s="49">
        <v>3727</v>
      </c>
      <c r="S3729" s="59">
        <f ca="1">Dashboard!B$8* Dashboard!$F$4+Dashboard!B$10*SQRT(Dashboard!$F$4) * _xlfn.NORM.S.INV(RAND())</f>
        <v>-3.7396820466130409E-2</v>
      </c>
      <c r="T3729" s="59">
        <f ca="1">Dashboard!C$8* Dashboard!$F$4+Dashboard!C$10*SQRT(Dashboard!$F$4) * _xlfn.NORM.S.INV(RAND())</f>
        <v>1.6867091263880106E-2</v>
      </c>
      <c r="U3729" s="59">
        <f ca="1">Dashboard!D$8* Dashboard!$F$4+Dashboard!D$10*SQRT(Dashboard!$F$4) * _xlfn.NORM.S.INV(RAND())</f>
        <v>7.4067423560706192E-3</v>
      </c>
    </row>
    <row r="3730" spans="18:21" x14ac:dyDescent="0.2">
      <c r="R3730" s="49">
        <v>3728</v>
      </c>
      <c r="S3730" s="59">
        <f ca="1">Dashboard!B$8* Dashboard!$F$4+Dashboard!B$10*SQRT(Dashboard!$F$4) * _xlfn.NORM.S.INV(RAND())</f>
        <v>-8.5813261383524589E-2</v>
      </c>
      <c r="T3730" s="59">
        <f ca="1">Dashboard!C$8* Dashboard!$F$4+Dashboard!C$10*SQRT(Dashboard!$F$4) * _xlfn.NORM.S.INV(RAND())</f>
        <v>-1.6856129124217124E-4</v>
      </c>
      <c r="U3730" s="59">
        <f ca="1">Dashboard!D$8* Dashboard!$F$4+Dashboard!D$10*SQRT(Dashboard!$F$4) * _xlfn.NORM.S.INV(RAND())</f>
        <v>-5.6789113427987821E-2</v>
      </c>
    </row>
    <row r="3731" spans="18:21" x14ac:dyDescent="0.2">
      <c r="R3731" s="49">
        <v>3729</v>
      </c>
      <c r="S3731" s="59">
        <f ca="1">Dashboard!B$8* Dashboard!$F$4+Dashboard!B$10*SQRT(Dashboard!$F$4) * _xlfn.NORM.S.INV(RAND())</f>
        <v>-2.3885590107723752E-2</v>
      </c>
      <c r="T3731" s="59">
        <f ca="1">Dashboard!C$8* Dashboard!$F$4+Dashboard!C$10*SQRT(Dashboard!$F$4) * _xlfn.NORM.S.INV(RAND())</f>
        <v>-2.3216121348163556E-2</v>
      </c>
      <c r="U3731" s="59">
        <f ca="1">Dashboard!D$8* Dashboard!$F$4+Dashboard!D$10*SQRT(Dashboard!$F$4) * _xlfn.NORM.S.INV(RAND())</f>
        <v>-2.4750221145682476E-3</v>
      </c>
    </row>
    <row r="3732" spans="18:21" x14ac:dyDescent="0.2">
      <c r="R3732" s="49">
        <v>3730</v>
      </c>
      <c r="S3732" s="59">
        <f ca="1">Dashboard!B$8* Dashboard!$F$4+Dashboard!B$10*SQRT(Dashboard!$F$4) * _xlfn.NORM.S.INV(RAND())</f>
        <v>-2.898897257451457E-2</v>
      </c>
      <c r="T3732" s="59">
        <f ca="1">Dashboard!C$8* Dashboard!$F$4+Dashboard!C$10*SQRT(Dashboard!$F$4) * _xlfn.NORM.S.INV(RAND())</f>
        <v>2.9415417227878E-2</v>
      </c>
      <c r="U3732" s="59">
        <f ca="1">Dashboard!D$8* Dashboard!$F$4+Dashboard!D$10*SQRT(Dashboard!$F$4) * _xlfn.NORM.S.INV(RAND())</f>
        <v>9.5638525362617931E-3</v>
      </c>
    </row>
    <row r="3733" spans="18:21" x14ac:dyDescent="0.2">
      <c r="R3733" s="49">
        <v>3731</v>
      </c>
      <c r="S3733" s="59">
        <f ca="1">Dashboard!B$8* Dashboard!$F$4+Dashboard!B$10*SQRT(Dashboard!$F$4) * _xlfn.NORM.S.INV(RAND())</f>
        <v>3.2989057912891438E-2</v>
      </c>
      <c r="T3733" s="59">
        <f ca="1">Dashboard!C$8* Dashboard!$F$4+Dashboard!C$10*SQRT(Dashboard!$F$4) * _xlfn.NORM.S.INV(RAND())</f>
        <v>3.2198291010321449E-3</v>
      </c>
      <c r="U3733" s="59">
        <f ca="1">Dashboard!D$8* Dashboard!$F$4+Dashboard!D$10*SQRT(Dashboard!$F$4) * _xlfn.NORM.S.INV(RAND())</f>
        <v>6.2055646430190882E-2</v>
      </c>
    </row>
    <row r="3734" spans="18:21" x14ac:dyDescent="0.2">
      <c r="R3734" s="49">
        <v>3732</v>
      </c>
      <c r="S3734" s="59">
        <f ca="1">Dashboard!B$8* Dashboard!$F$4+Dashboard!B$10*SQRT(Dashboard!$F$4) * _xlfn.NORM.S.INV(RAND())</f>
        <v>-5.8618206226532868E-3</v>
      </c>
      <c r="T3734" s="59">
        <f ca="1">Dashboard!C$8* Dashboard!$F$4+Dashboard!C$10*SQRT(Dashboard!$F$4) * _xlfn.NORM.S.INV(RAND())</f>
        <v>-2.4644390043390928E-2</v>
      </c>
      <c r="U3734" s="59">
        <f ca="1">Dashboard!D$8* Dashboard!$F$4+Dashboard!D$10*SQRT(Dashboard!$F$4) * _xlfn.NORM.S.INV(RAND())</f>
        <v>2.2794192770009433E-2</v>
      </c>
    </row>
    <row r="3735" spans="18:21" x14ac:dyDescent="0.2">
      <c r="R3735" s="49">
        <v>3733</v>
      </c>
      <c r="S3735" s="59">
        <f ca="1">Dashboard!B$8* Dashboard!$F$4+Dashboard!B$10*SQRT(Dashboard!$F$4) * _xlfn.NORM.S.INV(RAND())</f>
        <v>4.5394984926277488E-3</v>
      </c>
      <c r="T3735" s="59">
        <f ca="1">Dashboard!C$8* Dashboard!$F$4+Dashboard!C$10*SQRT(Dashboard!$F$4) * _xlfn.NORM.S.INV(RAND())</f>
        <v>-5.7055804929292834E-3</v>
      </c>
      <c r="U3735" s="59">
        <f ca="1">Dashboard!D$8* Dashboard!$F$4+Dashboard!D$10*SQRT(Dashboard!$F$4) * _xlfn.NORM.S.INV(RAND())</f>
        <v>-1.268490793093535E-2</v>
      </c>
    </row>
    <row r="3736" spans="18:21" x14ac:dyDescent="0.2">
      <c r="R3736" s="49">
        <v>3734</v>
      </c>
      <c r="S3736" s="59">
        <f ca="1">Dashboard!B$8* Dashboard!$F$4+Dashboard!B$10*SQRT(Dashboard!$F$4) * _xlfn.NORM.S.INV(RAND())</f>
        <v>2.8665406916549806E-2</v>
      </c>
      <c r="T3736" s="59">
        <f ca="1">Dashboard!C$8* Dashboard!$F$4+Dashboard!C$10*SQRT(Dashboard!$F$4) * _xlfn.NORM.S.INV(RAND())</f>
        <v>5.0499502605862674E-2</v>
      </c>
      <c r="U3736" s="59">
        <f ca="1">Dashboard!D$8* Dashboard!$F$4+Dashboard!D$10*SQRT(Dashboard!$F$4) * _xlfn.NORM.S.INV(RAND())</f>
        <v>1.4129415974813884E-3</v>
      </c>
    </row>
    <row r="3737" spans="18:21" x14ac:dyDescent="0.2">
      <c r="R3737" s="49">
        <v>3735</v>
      </c>
      <c r="S3737" s="59">
        <f ca="1">Dashboard!B$8* Dashboard!$F$4+Dashboard!B$10*SQRT(Dashboard!$F$4) * _xlfn.NORM.S.INV(RAND())</f>
        <v>1.5051560139897667E-2</v>
      </c>
      <c r="T3737" s="59">
        <f ca="1">Dashboard!C$8* Dashboard!$F$4+Dashboard!C$10*SQRT(Dashboard!$F$4) * _xlfn.NORM.S.INV(RAND())</f>
        <v>3.9601569163197087E-4</v>
      </c>
      <c r="U3737" s="59">
        <f ca="1">Dashboard!D$8* Dashboard!$F$4+Dashboard!D$10*SQRT(Dashboard!$F$4) * _xlfn.NORM.S.INV(RAND())</f>
        <v>-3.9055751136072007E-2</v>
      </c>
    </row>
    <row r="3738" spans="18:21" x14ac:dyDescent="0.2">
      <c r="R3738" s="49">
        <v>3736</v>
      </c>
      <c r="S3738" s="59">
        <f ca="1">Dashboard!B$8* Dashboard!$F$4+Dashboard!B$10*SQRT(Dashboard!$F$4) * _xlfn.NORM.S.INV(RAND())</f>
        <v>6.0993489895645209E-2</v>
      </c>
      <c r="T3738" s="59">
        <f ca="1">Dashboard!C$8* Dashboard!$F$4+Dashboard!C$10*SQRT(Dashboard!$F$4) * _xlfn.NORM.S.INV(RAND())</f>
        <v>-2.3712177366334512E-2</v>
      </c>
      <c r="U3738" s="59">
        <f ca="1">Dashboard!D$8* Dashboard!$F$4+Dashboard!D$10*SQRT(Dashboard!$F$4) * _xlfn.NORM.S.INV(RAND())</f>
        <v>2.3308932862101853E-2</v>
      </c>
    </row>
    <row r="3739" spans="18:21" x14ac:dyDescent="0.2">
      <c r="R3739" s="49">
        <v>3737</v>
      </c>
      <c r="S3739" s="59">
        <f ca="1">Dashboard!B$8* Dashboard!$F$4+Dashboard!B$10*SQRT(Dashboard!$F$4) * _xlfn.NORM.S.INV(RAND())</f>
        <v>9.7828250064181718E-3</v>
      </c>
      <c r="T3739" s="59">
        <f ca="1">Dashboard!C$8* Dashboard!$F$4+Dashboard!C$10*SQRT(Dashboard!$F$4) * _xlfn.NORM.S.INV(RAND())</f>
        <v>3.4410656529214414E-3</v>
      </c>
      <c r="U3739" s="59">
        <f ca="1">Dashboard!D$8* Dashboard!$F$4+Dashboard!D$10*SQRT(Dashboard!$F$4) * _xlfn.NORM.S.INV(RAND())</f>
        <v>-4.3314013497906027E-2</v>
      </c>
    </row>
    <row r="3740" spans="18:21" x14ac:dyDescent="0.2">
      <c r="R3740" s="49">
        <v>3738</v>
      </c>
      <c r="S3740" s="59">
        <f ca="1">Dashboard!B$8* Dashboard!$F$4+Dashboard!B$10*SQRT(Dashboard!$F$4) * _xlfn.NORM.S.INV(RAND())</f>
        <v>-6.2056612004696372E-2</v>
      </c>
      <c r="T3740" s="59">
        <f ca="1">Dashboard!C$8* Dashboard!$F$4+Dashboard!C$10*SQRT(Dashboard!$F$4) * _xlfn.NORM.S.INV(RAND())</f>
        <v>-1.859058091746712E-3</v>
      </c>
      <c r="U3740" s="59">
        <f ca="1">Dashboard!D$8* Dashboard!$F$4+Dashboard!D$10*SQRT(Dashboard!$F$4) * _xlfn.NORM.S.INV(RAND())</f>
        <v>-4.3375043334369028E-2</v>
      </c>
    </row>
    <row r="3741" spans="18:21" x14ac:dyDescent="0.2">
      <c r="R3741" s="49">
        <v>3739</v>
      </c>
      <c r="S3741" s="59">
        <f ca="1">Dashboard!B$8* Dashboard!$F$4+Dashboard!B$10*SQRT(Dashboard!$F$4) * _xlfn.NORM.S.INV(RAND())</f>
        <v>2.5248041142142838E-2</v>
      </c>
      <c r="T3741" s="59">
        <f ca="1">Dashboard!C$8* Dashboard!$F$4+Dashboard!C$10*SQRT(Dashboard!$F$4) * _xlfn.NORM.S.INV(RAND())</f>
        <v>5.3475484320912543E-2</v>
      </c>
      <c r="U3741" s="59">
        <f ca="1">Dashboard!D$8* Dashboard!$F$4+Dashboard!D$10*SQRT(Dashboard!$F$4) * _xlfn.NORM.S.INV(RAND())</f>
        <v>-1.9167464608615424E-2</v>
      </c>
    </row>
    <row r="3742" spans="18:21" x14ac:dyDescent="0.2">
      <c r="R3742" s="49">
        <v>3740</v>
      </c>
      <c r="S3742" s="59">
        <f ca="1">Dashboard!B$8* Dashboard!$F$4+Dashboard!B$10*SQRT(Dashboard!$F$4) * _xlfn.NORM.S.INV(RAND())</f>
        <v>-1.4676471101644032E-2</v>
      </c>
      <c r="T3742" s="59">
        <f ca="1">Dashboard!C$8* Dashboard!$F$4+Dashboard!C$10*SQRT(Dashboard!$F$4) * _xlfn.NORM.S.INV(RAND())</f>
        <v>-7.6459831073721765E-3</v>
      </c>
      <c r="U3742" s="59">
        <f ca="1">Dashboard!D$8* Dashboard!$F$4+Dashboard!D$10*SQRT(Dashboard!$F$4) * _xlfn.NORM.S.INV(RAND())</f>
        <v>2.1605738517897467E-2</v>
      </c>
    </row>
    <row r="3743" spans="18:21" x14ac:dyDescent="0.2">
      <c r="R3743" s="49">
        <v>3741</v>
      </c>
      <c r="S3743" s="59">
        <f ca="1">Dashboard!B$8* Dashboard!$F$4+Dashboard!B$10*SQRT(Dashboard!$F$4) * _xlfn.NORM.S.INV(RAND())</f>
        <v>1.2083131907368287E-2</v>
      </c>
      <c r="T3743" s="59">
        <f ca="1">Dashboard!C$8* Dashboard!$F$4+Dashboard!C$10*SQRT(Dashboard!$F$4) * _xlfn.NORM.S.INV(RAND())</f>
        <v>-2.1585058678282816E-2</v>
      </c>
      <c r="U3743" s="59">
        <f ca="1">Dashboard!D$8* Dashboard!$F$4+Dashboard!D$10*SQRT(Dashboard!$F$4) * _xlfn.NORM.S.INV(RAND())</f>
        <v>-1.0615683699563958E-2</v>
      </c>
    </row>
    <row r="3744" spans="18:21" x14ac:dyDescent="0.2">
      <c r="R3744" s="49">
        <v>3742</v>
      </c>
      <c r="S3744" s="59">
        <f ca="1">Dashboard!B$8* Dashboard!$F$4+Dashboard!B$10*SQRT(Dashboard!$F$4) * _xlfn.NORM.S.INV(RAND())</f>
        <v>8.2984636753961442E-3</v>
      </c>
      <c r="T3744" s="59">
        <f ca="1">Dashboard!C$8* Dashboard!$F$4+Dashboard!C$10*SQRT(Dashboard!$F$4) * _xlfn.NORM.S.INV(RAND())</f>
        <v>-8.3835546653556262E-4</v>
      </c>
      <c r="U3744" s="59">
        <f ca="1">Dashboard!D$8* Dashboard!$F$4+Dashboard!D$10*SQRT(Dashboard!$F$4) * _xlfn.NORM.S.INV(RAND())</f>
        <v>-1.0775410553223071E-3</v>
      </c>
    </row>
    <row r="3745" spans="18:21" x14ac:dyDescent="0.2">
      <c r="R3745" s="49">
        <v>3743</v>
      </c>
      <c r="S3745" s="59">
        <f ca="1">Dashboard!B$8* Dashboard!$F$4+Dashboard!B$10*SQRT(Dashboard!$F$4) * _xlfn.NORM.S.INV(RAND())</f>
        <v>7.3659567435752048E-3</v>
      </c>
      <c r="T3745" s="59">
        <f ca="1">Dashboard!C$8* Dashboard!$F$4+Dashboard!C$10*SQRT(Dashboard!$F$4) * _xlfn.NORM.S.INV(RAND())</f>
        <v>-1.1060197044141417E-2</v>
      </c>
      <c r="U3745" s="59">
        <f ca="1">Dashboard!D$8* Dashboard!$F$4+Dashboard!D$10*SQRT(Dashboard!$F$4) * _xlfn.NORM.S.INV(RAND())</f>
        <v>4.7286812078540595E-2</v>
      </c>
    </row>
    <row r="3746" spans="18:21" x14ac:dyDescent="0.2">
      <c r="R3746" s="49">
        <v>3744</v>
      </c>
      <c r="S3746" s="59">
        <f ca="1">Dashboard!B$8* Dashboard!$F$4+Dashboard!B$10*SQRT(Dashboard!$F$4) * _xlfn.NORM.S.INV(RAND())</f>
        <v>-6.1962093460644178E-3</v>
      </c>
      <c r="T3746" s="59">
        <f ca="1">Dashboard!C$8* Dashboard!$F$4+Dashboard!C$10*SQRT(Dashboard!$F$4) * _xlfn.NORM.S.INV(RAND())</f>
        <v>-1.155445496810421E-2</v>
      </c>
      <c r="U3746" s="59">
        <f ca="1">Dashboard!D$8* Dashboard!$F$4+Dashboard!D$10*SQRT(Dashboard!$F$4) * _xlfn.NORM.S.INV(RAND())</f>
        <v>2.5530356748932542E-2</v>
      </c>
    </row>
    <row r="3747" spans="18:21" x14ac:dyDescent="0.2">
      <c r="R3747" s="49">
        <v>3745</v>
      </c>
      <c r="S3747" s="59">
        <f ca="1">Dashboard!B$8* Dashboard!$F$4+Dashboard!B$10*SQRT(Dashboard!$F$4) * _xlfn.NORM.S.INV(RAND())</f>
        <v>3.2475982271141873E-2</v>
      </c>
      <c r="T3747" s="59">
        <f ca="1">Dashboard!C$8* Dashboard!$F$4+Dashboard!C$10*SQRT(Dashboard!$F$4) * _xlfn.NORM.S.INV(RAND())</f>
        <v>2.1370486024709458E-2</v>
      </c>
      <c r="U3747" s="59">
        <f ca="1">Dashboard!D$8* Dashboard!$F$4+Dashboard!D$10*SQRT(Dashboard!$F$4) * _xlfn.NORM.S.INV(RAND())</f>
        <v>1.3504607823103816E-2</v>
      </c>
    </row>
    <row r="3748" spans="18:21" x14ac:dyDescent="0.2">
      <c r="R3748" s="49">
        <v>3746</v>
      </c>
      <c r="S3748" s="59">
        <f ca="1">Dashboard!B$8* Dashboard!$F$4+Dashboard!B$10*SQRT(Dashboard!$F$4) * _xlfn.NORM.S.INV(RAND())</f>
        <v>3.5918798635807152E-2</v>
      </c>
      <c r="T3748" s="59">
        <f ca="1">Dashboard!C$8* Dashboard!$F$4+Dashboard!C$10*SQRT(Dashboard!$F$4) * _xlfn.NORM.S.INV(RAND())</f>
        <v>-6.8684631234745996E-2</v>
      </c>
      <c r="U3748" s="59">
        <f ca="1">Dashboard!D$8* Dashboard!$F$4+Dashboard!D$10*SQRT(Dashboard!$F$4) * _xlfn.NORM.S.INV(RAND())</f>
        <v>-2.3889616433277576E-2</v>
      </c>
    </row>
    <row r="3749" spans="18:21" x14ac:dyDescent="0.2">
      <c r="R3749" s="49">
        <v>3747</v>
      </c>
      <c r="S3749" s="59">
        <f ca="1">Dashboard!B$8* Dashboard!$F$4+Dashboard!B$10*SQRT(Dashboard!$F$4) * _xlfn.NORM.S.INV(RAND())</f>
        <v>3.9644046936439983E-2</v>
      </c>
      <c r="T3749" s="59">
        <f ca="1">Dashboard!C$8* Dashboard!$F$4+Dashboard!C$10*SQRT(Dashboard!$F$4) * _xlfn.NORM.S.INV(RAND())</f>
        <v>-3.2560419591094797E-3</v>
      </c>
      <c r="U3749" s="59">
        <f ca="1">Dashboard!D$8* Dashboard!$F$4+Dashboard!D$10*SQRT(Dashboard!$F$4) * _xlfn.NORM.S.INV(RAND())</f>
        <v>-1.7162800432145655E-2</v>
      </c>
    </row>
    <row r="3750" spans="18:21" x14ac:dyDescent="0.2">
      <c r="R3750" s="49">
        <v>3748</v>
      </c>
      <c r="S3750" s="59">
        <f ca="1">Dashboard!B$8* Dashboard!$F$4+Dashboard!B$10*SQRT(Dashboard!$F$4) * _xlfn.NORM.S.INV(RAND())</f>
        <v>7.8787561327889416E-2</v>
      </c>
      <c r="T3750" s="59">
        <f ca="1">Dashboard!C$8* Dashboard!$F$4+Dashboard!C$10*SQRT(Dashboard!$F$4) * _xlfn.NORM.S.INV(RAND())</f>
        <v>-8.0076765813223996E-2</v>
      </c>
      <c r="U3750" s="59">
        <f ca="1">Dashboard!D$8* Dashboard!$F$4+Dashboard!D$10*SQRT(Dashboard!$F$4) * _xlfn.NORM.S.INV(RAND())</f>
        <v>-1.6526653932868802E-2</v>
      </c>
    </row>
    <row r="3751" spans="18:21" x14ac:dyDescent="0.2">
      <c r="R3751" s="49">
        <v>3749</v>
      </c>
      <c r="S3751" s="59">
        <f ca="1">Dashboard!B$8* Dashboard!$F$4+Dashboard!B$10*SQRT(Dashboard!$F$4) * _xlfn.NORM.S.INV(RAND())</f>
        <v>6.9319060565955395E-2</v>
      </c>
      <c r="T3751" s="59">
        <f ca="1">Dashboard!C$8* Dashboard!$F$4+Dashboard!C$10*SQRT(Dashboard!$F$4) * _xlfn.NORM.S.INV(RAND())</f>
        <v>3.2203265713887139E-2</v>
      </c>
      <c r="U3751" s="59">
        <f ca="1">Dashboard!D$8* Dashboard!$F$4+Dashboard!D$10*SQRT(Dashboard!$F$4) * _xlfn.NORM.S.INV(RAND())</f>
        <v>-1.5898476414004631E-2</v>
      </c>
    </row>
    <row r="3752" spans="18:21" x14ac:dyDescent="0.2">
      <c r="R3752" s="49">
        <v>3750</v>
      </c>
      <c r="S3752" s="59">
        <f ca="1">Dashboard!B$8* Dashboard!$F$4+Dashboard!B$10*SQRT(Dashboard!$F$4) * _xlfn.NORM.S.INV(RAND())</f>
        <v>-2.7048674658714548E-3</v>
      </c>
      <c r="T3752" s="59">
        <f ca="1">Dashboard!C$8* Dashboard!$F$4+Dashboard!C$10*SQRT(Dashboard!$F$4) * _xlfn.NORM.S.INV(RAND())</f>
        <v>-5.9366271334959239E-2</v>
      </c>
      <c r="U3752" s="59">
        <f ca="1">Dashboard!D$8* Dashboard!$F$4+Dashboard!D$10*SQRT(Dashboard!$F$4) * _xlfn.NORM.S.INV(RAND())</f>
        <v>-1.2388878173106941E-2</v>
      </c>
    </row>
    <row r="3753" spans="18:21" x14ac:dyDescent="0.2">
      <c r="R3753" s="49">
        <v>3751</v>
      </c>
      <c r="S3753" s="59">
        <f ca="1">Dashboard!B$8* Dashboard!$F$4+Dashboard!B$10*SQRT(Dashboard!$F$4) * _xlfn.NORM.S.INV(RAND())</f>
        <v>1.7961187785709543E-2</v>
      </c>
      <c r="T3753" s="59">
        <f ca="1">Dashboard!C$8* Dashboard!$F$4+Dashboard!C$10*SQRT(Dashboard!$F$4) * _xlfn.NORM.S.INV(RAND())</f>
        <v>-2.7504140046350895E-2</v>
      </c>
      <c r="U3753" s="59">
        <f ca="1">Dashboard!D$8* Dashboard!$F$4+Dashboard!D$10*SQRT(Dashboard!$F$4) * _xlfn.NORM.S.INV(RAND())</f>
        <v>-1.9875820026504154E-3</v>
      </c>
    </row>
    <row r="3754" spans="18:21" x14ac:dyDescent="0.2">
      <c r="R3754" s="49">
        <v>3752</v>
      </c>
      <c r="S3754" s="59">
        <f ca="1">Dashboard!B$8* Dashboard!$F$4+Dashboard!B$10*SQRT(Dashboard!$F$4) * _xlfn.NORM.S.INV(RAND())</f>
        <v>1.6460047197271156E-2</v>
      </c>
      <c r="T3754" s="59">
        <f ca="1">Dashboard!C$8* Dashboard!$F$4+Dashboard!C$10*SQRT(Dashboard!$F$4) * _xlfn.NORM.S.INV(RAND())</f>
        <v>9.4807187706304665E-3</v>
      </c>
      <c r="U3754" s="59">
        <f ca="1">Dashboard!D$8* Dashboard!$F$4+Dashboard!D$10*SQRT(Dashboard!$F$4) * _xlfn.NORM.S.INV(RAND())</f>
        <v>-4.1444420890732643E-3</v>
      </c>
    </row>
    <row r="3755" spans="18:21" x14ac:dyDescent="0.2">
      <c r="R3755" s="49">
        <v>3753</v>
      </c>
      <c r="S3755" s="59">
        <f ca="1">Dashboard!B$8* Dashboard!$F$4+Dashboard!B$10*SQRT(Dashboard!$F$4) * _xlfn.NORM.S.INV(RAND())</f>
        <v>9.0137506600242723E-3</v>
      </c>
      <c r="T3755" s="59">
        <f ca="1">Dashboard!C$8* Dashboard!$F$4+Dashboard!C$10*SQRT(Dashboard!$F$4) * _xlfn.NORM.S.INV(RAND())</f>
        <v>6.5394303411020982E-2</v>
      </c>
      <c r="U3755" s="59">
        <f ca="1">Dashboard!D$8* Dashboard!$F$4+Dashboard!D$10*SQRT(Dashboard!$F$4) * _xlfn.NORM.S.INV(RAND())</f>
        <v>1.0958323877870556E-2</v>
      </c>
    </row>
    <row r="3756" spans="18:21" x14ac:dyDescent="0.2">
      <c r="R3756" s="49">
        <v>3754</v>
      </c>
      <c r="S3756" s="59">
        <f ca="1">Dashboard!B$8* Dashboard!$F$4+Dashboard!B$10*SQRT(Dashboard!$F$4) * _xlfn.NORM.S.INV(RAND())</f>
        <v>2.4937117414696029E-2</v>
      </c>
      <c r="T3756" s="59">
        <f ca="1">Dashboard!C$8* Dashboard!$F$4+Dashboard!C$10*SQRT(Dashboard!$F$4) * _xlfn.NORM.S.INV(RAND())</f>
        <v>-4.0536910036387118E-2</v>
      </c>
      <c r="U3756" s="59">
        <f ca="1">Dashboard!D$8* Dashboard!$F$4+Dashboard!D$10*SQRT(Dashboard!$F$4) * _xlfn.NORM.S.INV(RAND())</f>
        <v>-4.9703753614286283E-3</v>
      </c>
    </row>
    <row r="3757" spans="18:21" x14ac:dyDescent="0.2">
      <c r="R3757" s="49">
        <v>3755</v>
      </c>
      <c r="S3757" s="59">
        <f ca="1">Dashboard!B$8* Dashboard!$F$4+Dashboard!B$10*SQRT(Dashboard!$F$4) * _xlfn.NORM.S.INV(RAND())</f>
        <v>8.6833571769782403E-3</v>
      </c>
      <c r="T3757" s="59">
        <f ca="1">Dashboard!C$8* Dashboard!$F$4+Dashboard!C$10*SQRT(Dashboard!$F$4) * _xlfn.NORM.S.INV(RAND())</f>
        <v>-9.517667870728554E-4</v>
      </c>
      <c r="U3757" s="59">
        <f ca="1">Dashboard!D$8* Dashboard!$F$4+Dashboard!D$10*SQRT(Dashboard!$F$4) * _xlfn.NORM.S.INV(RAND())</f>
        <v>1.0063895392180065E-3</v>
      </c>
    </row>
    <row r="3758" spans="18:21" x14ac:dyDescent="0.2">
      <c r="R3758" s="49">
        <v>3756</v>
      </c>
      <c r="S3758" s="59">
        <f ca="1">Dashboard!B$8* Dashboard!$F$4+Dashboard!B$10*SQRT(Dashboard!$F$4) * _xlfn.NORM.S.INV(RAND())</f>
        <v>4.3364766932223325E-3</v>
      </c>
      <c r="T3758" s="59">
        <f ca="1">Dashboard!C$8* Dashboard!$F$4+Dashboard!C$10*SQRT(Dashboard!$F$4) * _xlfn.NORM.S.INV(RAND())</f>
        <v>4.3270792939224707E-3</v>
      </c>
      <c r="U3758" s="59">
        <f ca="1">Dashboard!D$8* Dashboard!$F$4+Dashboard!D$10*SQRT(Dashboard!$F$4) * _xlfn.NORM.S.INV(RAND())</f>
        <v>4.4825424817852497E-2</v>
      </c>
    </row>
    <row r="3759" spans="18:21" x14ac:dyDescent="0.2">
      <c r="R3759" s="49">
        <v>3757</v>
      </c>
      <c r="S3759" s="59">
        <f ca="1">Dashboard!B$8* Dashboard!$F$4+Dashboard!B$10*SQRT(Dashboard!$F$4) * _xlfn.NORM.S.INV(RAND())</f>
        <v>-1.9355854731740077E-2</v>
      </c>
      <c r="T3759" s="59">
        <f ca="1">Dashboard!C$8* Dashboard!$F$4+Dashboard!C$10*SQRT(Dashboard!$F$4) * _xlfn.NORM.S.INV(RAND())</f>
        <v>4.5225652055323161E-2</v>
      </c>
      <c r="U3759" s="59">
        <f ca="1">Dashboard!D$8* Dashboard!$F$4+Dashboard!D$10*SQRT(Dashboard!$F$4) * _xlfn.NORM.S.INV(RAND())</f>
        <v>1.0509909050825626E-2</v>
      </c>
    </row>
    <row r="3760" spans="18:21" x14ac:dyDescent="0.2">
      <c r="R3760" s="49">
        <v>3758</v>
      </c>
      <c r="S3760" s="59">
        <f ca="1">Dashboard!B$8* Dashboard!$F$4+Dashboard!B$10*SQRT(Dashboard!$F$4) * _xlfn.NORM.S.INV(RAND())</f>
        <v>-7.8045064491488675E-3</v>
      </c>
      <c r="T3760" s="59">
        <f ca="1">Dashboard!C$8* Dashboard!$F$4+Dashboard!C$10*SQRT(Dashboard!$F$4) * _xlfn.NORM.S.INV(RAND())</f>
        <v>-3.2111997887966134E-2</v>
      </c>
      <c r="U3760" s="59">
        <f ca="1">Dashboard!D$8* Dashboard!$F$4+Dashboard!D$10*SQRT(Dashboard!$F$4) * _xlfn.NORM.S.INV(RAND())</f>
        <v>-2.4678989383856102E-2</v>
      </c>
    </row>
    <row r="3761" spans="18:21" x14ac:dyDescent="0.2">
      <c r="R3761" s="49">
        <v>3759</v>
      </c>
      <c r="S3761" s="59">
        <f ca="1">Dashboard!B$8* Dashboard!$F$4+Dashboard!B$10*SQRT(Dashboard!$F$4) * _xlfn.NORM.S.INV(RAND())</f>
        <v>6.9682945380902458E-4</v>
      </c>
      <c r="T3761" s="59">
        <f ca="1">Dashboard!C$8* Dashboard!$F$4+Dashboard!C$10*SQRT(Dashboard!$F$4) * _xlfn.NORM.S.INV(RAND())</f>
        <v>2.4251749800843724E-2</v>
      </c>
      <c r="U3761" s="59">
        <f ca="1">Dashboard!D$8* Dashboard!$F$4+Dashboard!D$10*SQRT(Dashboard!$F$4) * _xlfn.NORM.S.INV(RAND())</f>
        <v>-4.8112145317756594E-2</v>
      </c>
    </row>
    <row r="3762" spans="18:21" x14ac:dyDescent="0.2">
      <c r="R3762" s="49">
        <v>3760</v>
      </c>
      <c r="S3762" s="59">
        <f ca="1">Dashboard!B$8* Dashboard!$F$4+Dashboard!B$10*SQRT(Dashboard!$F$4) * _xlfn.NORM.S.INV(RAND())</f>
        <v>9.2879555537178048E-3</v>
      </c>
      <c r="T3762" s="59">
        <f ca="1">Dashboard!C$8* Dashboard!$F$4+Dashboard!C$10*SQRT(Dashboard!$F$4) * _xlfn.NORM.S.INV(RAND())</f>
        <v>-5.7650508313758205E-3</v>
      </c>
      <c r="U3762" s="59">
        <f ca="1">Dashboard!D$8* Dashboard!$F$4+Dashboard!D$10*SQRT(Dashboard!$F$4) * _xlfn.NORM.S.INV(RAND())</f>
        <v>-2.2336351115261773E-2</v>
      </c>
    </row>
    <row r="3763" spans="18:21" x14ac:dyDescent="0.2">
      <c r="R3763" s="49">
        <v>3761</v>
      </c>
      <c r="S3763" s="59">
        <f ca="1">Dashboard!B$8* Dashboard!$F$4+Dashboard!B$10*SQRT(Dashboard!$F$4) * _xlfn.NORM.S.INV(RAND())</f>
        <v>-2.6825029082079406E-2</v>
      </c>
      <c r="T3763" s="59">
        <f ca="1">Dashboard!C$8* Dashboard!$F$4+Dashboard!C$10*SQRT(Dashboard!$F$4) * _xlfn.NORM.S.INV(RAND())</f>
        <v>2.3755202460726474E-2</v>
      </c>
      <c r="U3763" s="59">
        <f ca="1">Dashboard!D$8* Dashboard!$F$4+Dashboard!D$10*SQRT(Dashboard!$F$4) * _xlfn.NORM.S.INV(RAND())</f>
        <v>-5.2037669805526404E-2</v>
      </c>
    </row>
    <row r="3764" spans="18:21" x14ac:dyDescent="0.2">
      <c r="R3764" s="49">
        <v>3762</v>
      </c>
      <c r="S3764" s="59">
        <f ca="1">Dashboard!B$8* Dashboard!$F$4+Dashboard!B$10*SQRT(Dashboard!$F$4) * _xlfn.NORM.S.INV(RAND())</f>
        <v>-1.5593246882704501E-4</v>
      </c>
      <c r="T3764" s="59">
        <f ca="1">Dashboard!C$8* Dashboard!$F$4+Dashboard!C$10*SQRT(Dashboard!$F$4) * _xlfn.NORM.S.INV(RAND())</f>
        <v>-1.4107821959828109E-2</v>
      </c>
      <c r="U3764" s="59">
        <f ca="1">Dashboard!D$8* Dashboard!$F$4+Dashboard!D$10*SQRT(Dashboard!$F$4) * _xlfn.NORM.S.INV(RAND())</f>
        <v>-1.2161143129364735E-2</v>
      </c>
    </row>
    <row r="3765" spans="18:21" x14ac:dyDescent="0.2">
      <c r="R3765" s="49">
        <v>3763</v>
      </c>
      <c r="S3765" s="59">
        <f ca="1">Dashboard!B$8* Dashboard!$F$4+Dashboard!B$10*SQRT(Dashboard!$F$4) * _xlfn.NORM.S.INV(RAND())</f>
        <v>-3.0676842733458887E-3</v>
      </c>
      <c r="T3765" s="59">
        <f ca="1">Dashboard!C$8* Dashboard!$F$4+Dashboard!C$10*SQRT(Dashboard!$F$4) * _xlfn.NORM.S.INV(RAND())</f>
        <v>-3.9320626910660558E-2</v>
      </c>
      <c r="U3765" s="59">
        <f ca="1">Dashboard!D$8* Dashboard!$F$4+Dashboard!D$10*SQRT(Dashboard!$F$4) * _xlfn.NORM.S.INV(RAND())</f>
        <v>1.0450544214319259E-2</v>
      </c>
    </row>
    <row r="3766" spans="18:21" x14ac:dyDescent="0.2">
      <c r="R3766" s="49">
        <v>3764</v>
      </c>
      <c r="S3766" s="59">
        <f ca="1">Dashboard!B$8* Dashboard!$F$4+Dashboard!B$10*SQRT(Dashboard!$F$4) * _xlfn.NORM.S.INV(RAND())</f>
        <v>2.0833498272707016E-3</v>
      </c>
      <c r="T3766" s="59">
        <f ca="1">Dashboard!C$8* Dashboard!$F$4+Dashboard!C$10*SQRT(Dashboard!$F$4) * _xlfn.NORM.S.INV(RAND())</f>
        <v>-1.2957812884089519E-2</v>
      </c>
      <c r="U3766" s="59">
        <f ca="1">Dashboard!D$8* Dashboard!$F$4+Dashboard!D$10*SQRT(Dashboard!$F$4) * _xlfn.NORM.S.INV(RAND())</f>
        <v>-9.259788262599088E-3</v>
      </c>
    </row>
    <row r="3767" spans="18:21" x14ac:dyDescent="0.2">
      <c r="R3767" s="49">
        <v>3765</v>
      </c>
      <c r="S3767" s="59">
        <f ca="1">Dashboard!B$8* Dashboard!$F$4+Dashboard!B$10*SQRT(Dashboard!$F$4) * _xlfn.NORM.S.INV(RAND())</f>
        <v>2.6589233564795201E-2</v>
      </c>
      <c r="T3767" s="59">
        <f ca="1">Dashboard!C$8* Dashboard!$F$4+Dashboard!C$10*SQRT(Dashboard!$F$4) * _xlfn.NORM.S.INV(RAND())</f>
        <v>4.1664897747551645E-2</v>
      </c>
      <c r="U3767" s="59">
        <f ca="1">Dashboard!D$8* Dashboard!$F$4+Dashboard!D$10*SQRT(Dashboard!$F$4) * _xlfn.NORM.S.INV(RAND())</f>
        <v>2.6732806420115694E-2</v>
      </c>
    </row>
    <row r="3768" spans="18:21" x14ac:dyDescent="0.2">
      <c r="R3768" s="49">
        <v>3766</v>
      </c>
      <c r="S3768" s="59">
        <f ca="1">Dashboard!B$8* Dashboard!$F$4+Dashboard!B$10*SQRT(Dashboard!$F$4) * _xlfn.NORM.S.INV(RAND())</f>
        <v>1.1264671636675588E-2</v>
      </c>
      <c r="T3768" s="59">
        <f ca="1">Dashboard!C$8* Dashboard!$F$4+Dashboard!C$10*SQRT(Dashboard!$F$4) * _xlfn.NORM.S.INV(RAND())</f>
        <v>-7.6707576539659667E-4</v>
      </c>
      <c r="U3768" s="59">
        <f ca="1">Dashboard!D$8* Dashboard!$F$4+Dashboard!D$10*SQRT(Dashboard!$F$4) * _xlfn.NORM.S.INV(RAND())</f>
        <v>-2.879674303469788E-2</v>
      </c>
    </row>
    <row r="3769" spans="18:21" x14ac:dyDescent="0.2">
      <c r="R3769" s="49">
        <v>3767</v>
      </c>
      <c r="S3769" s="59">
        <f ca="1">Dashboard!B$8* Dashboard!$F$4+Dashboard!B$10*SQRT(Dashboard!$F$4) * _xlfn.NORM.S.INV(RAND())</f>
        <v>-1.3078421134666063E-2</v>
      </c>
      <c r="T3769" s="59">
        <f ca="1">Dashboard!C$8* Dashboard!$F$4+Dashboard!C$10*SQRT(Dashboard!$F$4) * _xlfn.NORM.S.INV(RAND())</f>
        <v>-8.4550687989223411E-3</v>
      </c>
      <c r="U3769" s="59">
        <f ca="1">Dashboard!D$8* Dashboard!$F$4+Dashboard!D$10*SQRT(Dashboard!$F$4) * _xlfn.NORM.S.INV(RAND())</f>
        <v>-8.7860958895589307E-3</v>
      </c>
    </row>
    <row r="3770" spans="18:21" x14ac:dyDescent="0.2">
      <c r="R3770" s="49">
        <v>3768</v>
      </c>
      <c r="S3770" s="59">
        <f ca="1">Dashboard!B$8* Dashboard!$F$4+Dashboard!B$10*SQRT(Dashboard!$F$4) * _xlfn.NORM.S.INV(RAND())</f>
        <v>6.6402295843126347E-2</v>
      </c>
      <c r="T3770" s="59">
        <f ca="1">Dashboard!C$8* Dashboard!$F$4+Dashboard!C$10*SQRT(Dashboard!$F$4) * _xlfn.NORM.S.INV(RAND())</f>
        <v>3.7820108734647026E-3</v>
      </c>
      <c r="U3770" s="59">
        <f ca="1">Dashboard!D$8* Dashboard!$F$4+Dashboard!D$10*SQRT(Dashboard!$F$4) * _xlfn.NORM.S.INV(RAND())</f>
        <v>-2.4545053315432842E-3</v>
      </c>
    </row>
    <row r="3771" spans="18:21" x14ac:dyDescent="0.2">
      <c r="R3771" s="49">
        <v>3769</v>
      </c>
      <c r="S3771" s="59">
        <f ca="1">Dashboard!B$8* Dashboard!$F$4+Dashboard!B$10*SQRT(Dashboard!$F$4) * _xlfn.NORM.S.INV(RAND())</f>
        <v>8.2020648462700109E-3</v>
      </c>
      <c r="T3771" s="59">
        <f ca="1">Dashboard!C$8* Dashboard!$F$4+Dashboard!C$10*SQRT(Dashboard!$F$4) * _xlfn.NORM.S.INV(RAND())</f>
        <v>-2.8578441138875085E-2</v>
      </c>
      <c r="U3771" s="59">
        <f ca="1">Dashboard!D$8* Dashboard!$F$4+Dashboard!D$10*SQRT(Dashboard!$F$4) * _xlfn.NORM.S.INV(RAND())</f>
        <v>4.4700831458682089E-2</v>
      </c>
    </row>
    <row r="3772" spans="18:21" x14ac:dyDescent="0.2">
      <c r="R3772" s="49">
        <v>3770</v>
      </c>
      <c r="S3772" s="59">
        <f ca="1">Dashboard!B$8* Dashboard!$F$4+Dashboard!B$10*SQRT(Dashboard!$F$4) * _xlfn.NORM.S.INV(RAND())</f>
        <v>1.5920954399612934E-2</v>
      </c>
      <c r="T3772" s="59">
        <f ca="1">Dashboard!C$8* Dashboard!$F$4+Dashboard!C$10*SQRT(Dashboard!$F$4) * _xlfn.NORM.S.INV(RAND())</f>
        <v>5.0609270266752816E-3</v>
      </c>
      <c r="U3772" s="59">
        <f ca="1">Dashboard!D$8* Dashboard!$F$4+Dashboard!D$10*SQRT(Dashboard!$F$4) * _xlfn.NORM.S.INV(RAND())</f>
        <v>-3.8300490773331461E-2</v>
      </c>
    </row>
    <row r="3773" spans="18:21" x14ac:dyDescent="0.2">
      <c r="R3773" s="49">
        <v>3771</v>
      </c>
      <c r="S3773" s="59">
        <f ca="1">Dashboard!B$8* Dashboard!$F$4+Dashboard!B$10*SQRT(Dashboard!$F$4) * _xlfn.NORM.S.INV(RAND())</f>
        <v>7.4504658387708009E-3</v>
      </c>
      <c r="T3773" s="59">
        <f ca="1">Dashboard!C$8* Dashboard!$F$4+Dashboard!C$10*SQRT(Dashboard!$F$4) * _xlfn.NORM.S.INV(RAND())</f>
        <v>-5.0325568757751973E-2</v>
      </c>
      <c r="U3773" s="59">
        <f ca="1">Dashboard!D$8* Dashboard!$F$4+Dashboard!D$10*SQRT(Dashboard!$F$4) * _xlfn.NORM.S.INV(RAND())</f>
        <v>-2.7593293670471308E-2</v>
      </c>
    </row>
    <row r="3774" spans="18:21" x14ac:dyDescent="0.2">
      <c r="R3774" s="49">
        <v>3772</v>
      </c>
      <c r="S3774" s="59">
        <f ca="1">Dashboard!B$8* Dashboard!$F$4+Dashboard!B$10*SQRT(Dashboard!$F$4) * _xlfn.NORM.S.INV(RAND())</f>
        <v>-1.0999718577390245E-2</v>
      </c>
      <c r="T3774" s="59">
        <f ca="1">Dashboard!C$8* Dashboard!$F$4+Dashboard!C$10*SQRT(Dashboard!$F$4) * _xlfn.NORM.S.INV(RAND())</f>
        <v>9.7357442335781058E-3</v>
      </c>
      <c r="U3774" s="59">
        <f ca="1">Dashboard!D$8* Dashboard!$F$4+Dashboard!D$10*SQRT(Dashboard!$F$4) * _xlfn.NORM.S.INV(RAND())</f>
        <v>-0.11853512809782277</v>
      </c>
    </row>
    <row r="3775" spans="18:21" x14ac:dyDescent="0.2">
      <c r="R3775" s="49">
        <v>3773</v>
      </c>
      <c r="S3775" s="59">
        <f ca="1">Dashboard!B$8* Dashboard!$F$4+Dashboard!B$10*SQRT(Dashboard!$F$4) * _xlfn.NORM.S.INV(RAND())</f>
        <v>-4.2849536775862118E-2</v>
      </c>
      <c r="T3775" s="59">
        <f ca="1">Dashboard!C$8* Dashboard!$F$4+Dashboard!C$10*SQRT(Dashboard!$F$4) * _xlfn.NORM.S.INV(RAND())</f>
        <v>-5.8921230238129013E-3</v>
      </c>
      <c r="U3775" s="59">
        <f ca="1">Dashboard!D$8* Dashboard!$F$4+Dashboard!D$10*SQRT(Dashboard!$F$4) * _xlfn.NORM.S.INV(RAND())</f>
        <v>-1.8661351997960741E-2</v>
      </c>
    </row>
    <row r="3776" spans="18:21" x14ac:dyDescent="0.2">
      <c r="R3776" s="49">
        <v>3774</v>
      </c>
      <c r="S3776" s="59">
        <f ca="1">Dashboard!B$8* Dashboard!$F$4+Dashboard!B$10*SQRT(Dashboard!$F$4) * _xlfn.NORM.S.INV(RAND())</f>
        <v>-2.5655033184779789E-2</v>
      </c>
      <c r="T3776" s="59">
        <f ca="1">Dashboard!C$8* Dashboard!$F$4+Dashboard!C$10*SQRT(Dashboard!$F$4) * _xlfn.NORM.S.INV(RAND())</f>
        <v>1.178546206472632E-2</v>
      </c>
      <c r="U3776" s="59">
        <f ca="1">Dashboard!D$8* Dashboard!$F$4+Dashboard!D$10*SQRT(Dashboard!$F$4) * _xlfn.NORM.S.INV(RAND())</f>
        <v>3.2351493785378032E-3</v>
      </c>
    </row>
    <row r="3777" spans="18:21" x14ac:dyDescent="0.2">
      <c r="R3777" s="49">
        <v>3775</v>
      </c>
      <c r="S3777" s="59">
        <f ca="1">Dashboard!B$8* Dashboard!$F$4+Dashboard!B$10*SQRT(Dashboard!$F$4) * _xlfn.NORM.S.INV(RAND())</f>
        <v>-4.4064807101474E-2</v>
      </c>
      <c r="T3777" s="59">
        <f ca="1">Dashboard!C$8* Dashboard!$F$4+Dashboard!C$10*SQRT(Dashboard!$F$4) * _xlfn.NORM.S.INV(RAND())</f>
        <v>7.399869917345217E-3</v>
      </c>
      <c r="U3777" s="59">
        <f ca="1">Dashboard!D$8* Dashboard!$F$4+Dashboard!D$10*SQRT(Dashboard!$F$4) * _xlfn.NORM.S.INV(RAND())</f>
        <v>-2.0317088556233081E-2</v>
      </c>
    </row>
    <row r="3778" spans="18:21" x14ac:dyDescent="0.2">
      <c r="R3778" s="49">
        <v>3776</v>
      </c>
      <c r="S3778" s="59">
        <f ca="1">Dashboard!B$8* Dashboard!$F$4+Dashboard!B$10*SQRT(Dashboard!$F$4) * _xlfn.NORM.S.INV(RAND())</f>
        <v>-6.905989008012434E-3</v>
      </c>
      <c r="T3778" s="59">
        <f ca="1">Dashboard!C$8* Dashboard!$F$4+Dashboard!C$10*SQRT(Dashboard!$F$4) * _xlfn.NORM.S.INV(RAND())</f>
        <v>3.7655159695513502E-2</v>
      </c>
      <c r="U3778" s="59">
        <f ca="1">Dashboard!D$8* Dashboard!$F$4+Dashboard!D$10*SQRT(Dashboard!$F$4) * _xlfn.NORM.S.INV(RAND())</f>
        <v>-5.3426212689314502E-2</v>
      </c>
    </row>
    <row r="3779" spans="18:21" x14ac:dyDescent="0.2">
      <c r="R3779" s="49">
        <v>3777</v>
      </c>
      <c r="S3779" s="59">
        <f ca="1">Dashboard!B$8* Dashboard!$F$4+Dashboard!B$10*SQRT(Dashboard!$F$4) * _xlfn.NORM.S.INV(RAND())</f>
        <v>-3.542143468920516E-2</v>
      </c>
      <c r="T3779" s="59">
        <f ca="1">Dashboard!C$8* Dashboard!$F$4+Dashboard!C$10*SQRT(Dashboard!$F$4) * _xlfn.NORM.S.INV(RAND())</f>
        <v>4.3153123042175869E-4</v>
      </c>
      <c r="U3779" s="59">
        <f ca="1">Dashboard!D$8* Dashboard!$F$4+Dashboard!D$10*SQRT(Dashboard!$F$4) * _xlfn.NORM.S.INV(RAND())</f>
        <v>-1.1116045008721273E-2</v>
      </c>
    </row>
    <row r="3780" spans="18:21" x14ac:dyDescent="0.2">
      <c r="R3780" s="49">
        <v>3778</v>
      </c>
      <c r="S3780" s="59">
        <f ca="1">Dashboard!B$8* Dashboard!$F$4+Dashboard!B$10*SQRT(Dashboard!$F$4) * _xlfn.NORM.S.INV(RAND())</f>
        <v>3.2371271540756072E-2</v>
      </c>
      <c r="T3780" s="59">
        <f ca="1">Dashboard!C$8* Dashboard!$F$4+Dashboard!C$10*SQRT(Dashboard!$F$4) * _xlfn.NORM.S.INV(RAND())</f>
        <v>5.5219179782216047E-3</v>
      </c>
      <c r="U3780" s="59">
        <f ca="1">Dashboard!D$8* Dashboard!$F$4+Dashboard!D$10*SQRT(Dashboard!$F$4) * _xlfn.NORM.S.INV(RAND())</f>
        <v>-5.7880388304756676E-2</v>
      </c>
    </row>
    <row r="3781" spans="18:21" x14ac:dyDescent="0.2">
      <c r="R3781" s="49">
        <v>3779</v>
      </c>
      <c r="S3781" s="59">
        <f ca="1">Dashboard!B$8* Dashboard!$F$4+Dashboard!B$10*SQRT(Dashboard!$F$4) * _xlfn.NORM.S.INV(RAND())</f>
        <v>3.0030173728417625E-2</v>
      </c>
      <c r="T3781" s="59">
        <f ca="1">Dashboard!C$8* Dashboard!$F$4+Dashboard!C$10*SQRT(Dashboard!$F$4) * _xlfn.NORM.S.INV(RAND())</f>
        <v>1.4721468508446307E-2</v>
      </c>
      <c r="U3781" s="59">
        <f ca="1">Dashboard!D$8* Dashboard!$F$4+Dashboard!D$10*SQRT(Dashboard!$F$4) * _xlfn.NORM.S.INV(RAND())</f>
        <v>-1.0096296488442028E-2</v>
      </c>
    </row>
    <row r="3782" spans="18:21" x14ac:dyDescent="0.2">
      <c r="R3782" s="49">
        <v>3780</v>
      </c>
      <c r="S3782" s="59">
        <f ca="1">Dashboard!B$8* Dashboard!$F$4+Dashboard!B$10*SQRT(Dashboard!$F$4) * _xlfn.NORM.S.INV(RAND())</f>
        <v>-3.819299149465747E-2</v>
      </c>
      <c r="T3782" s="59">
        <f ca="1">Dashboard!C$8* Dashboard!$F$4+Dashboard!C$10*SQRT(Dashboard!$F$4) * _xlfn.NORM.S.INV(RAND())</f>
        <v>1.8091739109190381E-2</v>
      </c>
      <c r="U3782" s="59">
        <f ca="1">Dashboard!D$8* Dashboard!$F$4+Dashboard!D$10*SQRT(Dashboard!$F$4) * _xlfn.NORM.S.INV(RAND())</f>
        <v>6.1523824165475452E-3</v>
      </c>
    </row>
    <row r="3783" spans="18:21" x14ac:dyDescent="0.2">
      <c r="R3783" s="49">
        <v>3781</v>
      </c>
      <c r="S3783" s="59">
        <f ca="1">Dashboard!B$8* Dashboard!$F$4+Dashboard!B$10*SQRT(Dashboard!$F$4) * _xlfn.NORM.S.INV(RAND())</f>
        <v>8.7537828043479302E-2</v>
      </c>
      <c r="T3783" s="59">
        <f ca="1">Dashboard!C$8* Dashboard!$F$4+Dashboard!C$10*SQRT(Dashboard!$F$4) * _xlfn.NORM.S.INV(RAND())</f>
        <v>-4.1098402265285695E-2</v>
      </c>
      <c r="U3783" s="59">
        <f ca="1">Dashboard!D$8* Dashboard!$F$4+Dashboard!D$10*SQRT(Dashboard!$F$4) * _xlfn.NORM.S.INV(RAND())</f>
        <v>-3.0072556879501642E-2</v>
      </c>
    </row>
    <row r="3784" spans="18:21" x14ac:dyDescent="0.2">
      <c r="R3784" s="49">
        <v>3782</v>
      </c>
      <c r="S3784" s="59">
        <f ca="1">Dashboard!B$8* Dashboard!$F$4+Dashboard!B$10*SQRT(Dashboard!$F$4) * _xlfn.NORM.S.INV(RAND())</f>
        <v>-9.6087267727838072E-3</v>
      </c>
      <c r="T3784" s="59">
        <f ca="1">Dashboard!C$8* Dashboard!$F$4+Dashboard!C$10*SQRT(Dashboard!$F$4) * _xlfn.NORM.S.INV(RAND())</f>
        <v>-3.2445344277038605E-4</v>
      </c>
      <c r="U3784" s="59">
        <f ca="1">Dashboard!D$8* Dashboard!$F$4+Dashboard!D$10*SQRT(Dashboard!$F$4) * _xlfn.NORM.S.INV(RAND())</f>
        <v>4.1608996215711312E-2</v>
      </c>
    </row>
    <row r="3785" spans="18:21" x14ac:dyDescent="0.2">
      <c r="R3785" s="49">
        <v>3783</v>
      </c>
      <c r="S3785" s="59">
        <f ca="1">Dashboard!B$8* Dashboard!$F$4+Dashboard!B$10*SQRT(Dashboard!$F$4) * _xlfn.NORM.S.INV(RAND())</f>
        <v>-2.4269799725653379E-2</v>
      </c>
      <c r="T3785" s="59">
        <f ca="1">Dashboard!C$8* Dashboard!$F$4+Dashboard!C$10*SQRT(Dashboard!$F$4) * _xlfn.NORM.S.INV(RAND())</f>
        <v>5.2354698502248651E-2</v>
      </c>
      <c r="U3785" s="59">
        <f ca="1">Dashboard!D$8* Dashboard!$F$4+Dashboard!D$10*SQRT(Dashboard!$F$4) * _xlfn.NORM.S.INV(RAND())</f>
        <v>4.5491164054110411E-2</v>
      </c>
    </row>
    <row r="3786" spans="18:21" x14ac:dyDescent="0.2">
      <c r="R3786" s="49">
        <v>3784</v>
      </c>
      <c r="S3786" s="59">
        <f ca="1">Dashboard!B$8* Dashboard!$F$4+Dashboard!B$10*SQRT(Dashboard!$F$4) * _xlfn.NORM.S.INV(RAND())</f>
        <v>-1.7475773577149131E-2</v>
      </c>
      <c r="T3786" s="59">
        <f ca="1">Dashboard!C$8* Dashboard!$F$4+Dashboard!C$10*SQRT(Dashboard!$F$4) * _xlfn.NORM.S.INV(RAND())</f>
        <v>-1.3284985614720746E-3</v>
      </c>
      <c r="U3786" s="59">
        <f ca="1">Dashboard!D$8* Dashboard!$F$4+Dashboard!D$10*SQRT(Dashboard!$F$4) * _xlfn.NORM.S.INV(RAND())</f>
        <v>8.2751520262960131E-3</v>
      </c>
    </row>
    <row r="3787" spans="18:21" x14ac:dyDescent="0.2">
      <c r="R3787" s="49">
        <v>3785</v>
      </c>
      <c r="S3787" s="59">
        <f ca="1">Dashboard!B$8* Dashboard!$F$4+Dashboard!B$10*SQRT(Dashboard!$F$4) * _xlfn.NORM.S.INV(RAND())</f>
        <v>-1.3605016233081023E-3</v>
      </c>
      <c r="T3787" s="59">
        <f ca="1">Dashboard!C$8* Dashboard!$F$4+Dashboard!C$10*SQRT(Dashboard!$F$4) * _xlfn.NORM.S.INV(RAND())</f>
        <v>3.6467998745123666E-2</v>
      </c>
      <c r="U3787" s="59">
        <f ca="1">Dashboard!D$8* Dashboard!$F$4+Dashboard!D$10*SQRT(Dashboard!$F$4) * _xlfn.NORM.S.INV(RAND())</f>
        <v>-1.5951255799685517E-2</v>
      </c>
    </row>
    <row r="3788" spans="18:21" x14ac:dyDescent="0.2">
      <c r="R3788" s="49">
        <v>3786</v>
      </c>
      <c r="S3788" s="59">
        <f ca="1">Dashboard!B$8* Dashboard!$F$4+Dashboard!B$10*SQRT(Dashboard!$F$4) * _xlfn.NORM.S.INV(RAND())</f>
        <v>9.158867611849756E-4</v>
      </c>
      <c r="T3788" s="59">
        <f ca="1">Dashboard!C$8* Dashboard!$F$4+Dashboard!C$10*SQRT(Dashboard!$F$4) * _xlfn.NORM.S.INV(RAND())</f>
        <v>3.0949618120424332E-2</v>
      </c>
      <c r="U3788" s="59">
        <f ca="1">Dashboard!D$8* Dashboard!$F$4+Dashboard!D$10*SQRT(Dashboard!$F$4) * _xlfn.NORM.S.INV(RAND())</f>
        <v>-4.7043505184231109E-2</v>
      </c>
    </row>
    <row r="3789" spans="18:21" x14ac:dyDescent="0.2">
      <c r="R3789" s="49">
        <v>3787</v>
      </c>
      <c r="S3789" s="59">
        <f ca="1">Dashboard!B$8* Dashboard!$F$4+Dashboard!B$10*SQRT(Dashboard!$F$4) * _xlfn.NORM.S.INV(RAND())</f>
        <v>-3.075407886689651E-2</v>
      </c>
      <c r="T3789" s="59">
        <f ca="1">Dashboard!C$8* Dashboard!$F$4+Dashboard!C$10*SQRT(Dashboard!$F$4) * _xlfn.NORM.S.INV(RAND())</f>
        <v>1.7768519076724321E-2</v>
      </c>
      <c r="U3789" s="59">
        <f ca="1">Dashboard!D$8* Dashboard!$F$4+Dashboard!D$10*SQRT(Dashboard!$F$4) * _xlfn.NORM.S.INV(RAND())</f>
        <v>-5.1955099975917437E-3</v>
      </c>
    </row>
    <row r="3790" spans="18:21" x14ac:dyDescent="0.2">
      <c r="R3790" s="49">
        <v>3788</v>
      </c>
      <c r="S3790" s="59">
        <f ca="1">Dashboard!B$8* Dashboard!$F$4+Dashboard!B$10*SQRT(Dashboard!$F$4) * _xlfn.NORM.S.INV(RAND())</f>
        <v>6.8608785835231112E-2</v>
      </c>
      <c r="T3790" s="59">
        <f ca="1">Dashboard!C$8* Dashboard!$F$4+Dashboard!C$10*SQRT(Dashboard!$F$4) * _xlfn.NORM.S.INV(RAND())</f>
        <v>3.9396151102062078E-2</v>
      </c>
      <c r="U3790" s="59">
        <f ca="1">Dashboard!D$8* Dashboard!$F$4+Dashboard!D$10*SQRT(Dashboard!$F$4) * _xlfn.NORM.S.INV(RAND())</f>
        <v>3.9957438116409547E-2</v>
      </c>
    </row>
    <row r="3791" spans="18:21" x14ac:dyDescent="0.2">
      <c r="R3791" s="49">
        <v>3789</v>
      </c>
      <c r="S3791" s="59">
        <f ca="1">Dashboard!B$8* Dashboard!$F$4+Dashboard!B$10*SQRT(Dashboard!$F$4) * _xlfn.NORM.S.INV(RAND())</f>
        <v>-5.9399272414605665E-2</v>
      </c>
      <c r="T3791" s="59">
        <f ca="1">Dashboard!C$8* Dashboard!$F$4+Dashboard!C$10*SQRT(Dashboard!$F$4) * _xlfn.NORM.S.INV(RAND())</f>
        <v>-2.2542394614487666E-2</v>
      </c>
      <c r="U3791" s="59">
        <f ca="1">Dashboard!D$8* Dashboard!$F$4+Dashboard!D$10*SQRT(Dashboard!$F$4) * _xlfn.NORM.S.INV(RAND())</f>
        <v>7.3871865462217107E-3</v>
      </c>
    </row>
    <row r="3792" spans="18:21" x14ac:dyDescent="0.2">
      <c r="R3792" s="49">
        <v>3790</v>
      </c>
      <c r="S3792" s="59">
        <f ca="1">Dashboard!B$8* Dashboard!$F$4+Dashboard!B$10*SQRT(Dashboard!$F$4) * _xlfn.NORM.S.INV(RAND())</f>
        <v>-7.4391523875012897E-2</v>
      </c>
      <c r="T3792" s="59">
        <f ca="1">Dashboard!C$8* Dashboard!$F$4+Dashboard!C$10*SQRT(Dashboard!$F$4) * _xlfn.NORM.S.INV(RAND())</f>
        <v>-2.5842923557140563E-2</v>
      </c>
      <c r="U3792" s="59">
        <f ca="1">Dashboard!D$8* Dashboard!$F$4+Dashboard!D$10*SQRT(Dashboard!$F$4) * _xlfn.NORM.S.INV(RAND())</f>
        <v>-2.3897011264243321E-2</v>
      </c>
    </row>
    <row r="3793" spans="18:21" x14ac:dyDescent="0.2">
      <c r="R3793" s="49">
        <v>3791</v>
      </c>
      <c r="S3793" s="59">
        <f ca="1">Dashboard!B$8* Dashboard!$F$4+Dashboard!B$10*SQRT(Dashboard!$F$4) * _xlfn.NORM.S.INV(RAND())</f>
        <v>-4.2256393915376937E-2</v>
      </c>
      <c r="T3793" s="59">
        <f ca="1">Dashboard!C$8* Dashboard!$F$4+Dashboard!C$10*SQRT(Dashboard!$F$4) * _xlfn.NORM.S.INV(RAND())</f>
        <v>2.2657064306676581E-2</v>
      </c>
      <c r="U3793" s="59">
        <f ca="1">Dashboard!D$8* Dashboard!$F$4+Dashboard!D$10*SQRT(Dashboard!$F$4) * _xlfn.NORM.S.INV(RAND())</f>
        <v>-1.4808960165211169E-2</v>
      </c>
    </row>
    <row r="3794" spans="18:21" x14ac:dyDescent="0.2">
      <c r="R3794" s="49">
        <v>3792</v>
      </c>
      <c r="S3794" s="59">
        <f ca="1">Dashboard!B$8* Dashboard!$F$4+Dashboard!B$10*SQRT(Dashboard!$F$4) * _xlfn.NORM.S.INV(RAND())</f>
        <v>-9.9646300613878726E-3</v>
      </c>
      <c r="T3794" s="59">
        <f ca="1">Dashboard!C$8* Dashboard!$F$4+Dashboard!C$10*SQRT(Dashboard!$F$4) * _xlfn.NORM.S.INV(RAND())</f>
        <v>3.7557781778905577E-2</v>
      </c>
      <c r="U3794" s="59">
        <f ca="1">Dashboard!D$8* Dashboard!$F$4+Dashboard!D$10*SQRT(Dashboard!$F$4) * _xlfn.NORM.S.INV(RAND())</f>
        <v>5.6111803168869885E-2</v>
      </c>
    </row>
    <row r="3795" spans="18:21" x14ac:dyDescent="0.2">
      <c r="R3795" s="49">
        <v>3793</v>
      </c>
      <c r="S3795" s="59">
        <f ca="1">Dashboard!B$8* Dashboard!$F$4+Dashboard!B$10*SQRT(Dashboard!$F$4) * _xlfn.NORM.S.INV(RAND())</f>
        <v>-1.8497321881543499E-3</v>
      </c>
      <c r="T3795" s="59">
        <f ca="1">Dashboard!C$8* Dashboard!$F$4+Dashboard!C$10*SQRT(Dashboard!$F$4) * _xlfn.NORM.S.INV(RAND())</f>
        <v>9.3815795809063102E-3</v>
      </c>
      <c r="U3795" s="59">
        <f ca="1">Dashboard!D$8* Dashboard!$F$4+Dashboard!D$10*SQRT(Dashboard!$F$4) * _xlfn.NORM.S.INV(RAND())</f>
        <v>-1.7761884869467882E-2</v>
      </c>
    </row>
    <row r="3796" spans="18:21" x14ac:dyDescent="0.2">
      <c r="R3796" s="49">
        <v>3794</v>
      </c>
      <c r="S3796" s="59">
        <f ca="1">Dashboard!B$8* Dashboard!$F$4+Dashboard!B$10*SQRT(Dashboard!$F$4) * _xlfn.NORM.S.INV(RAND())</f>
        <v>2.0216459272448728E-3</v>
      </c>
      <c r="T3796" s="59">
        <f ca="1">Dashboard!C$8* Dashboard!$F$4+Dashboard!C$10*SQRT(Dashboard!$F$4) * _xlfn.NORM.S.INV(RAND())</f>
        <v>6.7596904576432887E-2</v>
      </c>
      <c r="U3796" s="59">
        <f ca="1">Dashboard!D$8* Dashboard!$F$4+Dashboard!D$10*SQRT(Dashboard!$F$4) * _xlfn.NORM.S.INV(RAND())</f>
        <v>-3.0920822247170094E-2</v>
      </c>
    </row>
    <row r="3797" spans="18:21" x14ac:dyDescent="0.2">
      <c r="R3797" s="49">
        <v>3795</v>
      </c>
      <c r="S3797" s="59">
        <f ca="1">Dashboard!B$8* Dashboard!$F$4+Dashboard!B$10*SQRT(Dashboard!$F$4) * _xlfn.NORM.S.INV(RAND())</f>
        <v>2.1588321115804832E-2</v>
      </c>
      <c r="T3797" s="59">
        <f ca="1">Dashboard!C$8* Dashboard!$F$4+Dashboard!C$10*SQRT(Dashboard!$F$4) * _xlfn.NORM.S.INV(RAND())</f>
        <v>-1.404472170949117E-2</v>
      </c>
      <c r="U3797" s="59">
        <f ca="1">Dashboard!D$8* Dashboard!$F$4+Dashboard!D$10*SQRT(Dashboard!$F$4) * _xlfn.NORM.S.INV(RAND())</f>
        <v>-4.9730356153039591E-2</v>
      </c>
    </row>
    <row r="3798" spans="18:21" x14ac:dyDescent="0.2">
      <c r="R3798" s="49">
        <v>3796</v>
      </c>
      <c r="S3798" s="59">
        <f ca="1">Dashboard!B$8* Dashboard!$F$4+Dashboard!B$10*SQRT(Dashboard!$F$4) * _xlfn.NORM.S.INV(RAND())</f>
        <v>1.5641266686403046E-2</v>
      </c>
      <c r="T3798" s="59">
        <f ca="1">Dashboard!C$8* Dashboard!$F$4+Dashboard!C$10*SQRT(Dashboard!$F$4) * _xlfn.NORM.S.INV(RAND())</f>
        <v>7.5876003050797903E-3</v>
      </c>
      <c r="U3798" s="59">
        <f ca="1">Dashboard!D$8* Dashboard!$F$4+Dashboard!D$10*SQRT(Dashboard!$F$4) * _xlfn.NORM.S.INV(RAND())</f>
        <v>-2.9842916831894087E-3</v>
      </c>
    </row>
    <row r="3799" spans="18:21" x14ac:dyDescent="0.2">
      <c r="R3799" s="49">
        <v>3797</v>
      </c>
      <c r="S3799" s="59">
        <f ca="1">Dashboard!B$8* Dashboard!$F$4+Dashboard!B$10*SQRT(Dashboard!$F$4) * _xlfn.NORM.S.INV(RAND())</f>
        <v>-2.8182530717446974E-2</v>
      </c>
      <c r="T3799" s="59">
        <f ca="1">Dashboard!C$8* Dashboard!$F$4+Dashboard!C$10*SQRT(Dashboard!$F$4) * _xlfn.NORM.S.INV(RAND())</f>
        <v>-1.5577831316151512E-2</v>
      </c>
      <c r="U3799" s="59">
        <f ca="1">Dashboard!D$8* Dashboard!$F$4+Dashboard!D$10*SQRT(Dashboard!$F$4) * _xlfn.NORM.S.INV(RAND())</f>
        <v>3.0964057743214733E-2</v>
      </c>
    </row>
    <row r="3800" spans="18:21" x14ac:dyDescent="0.2">
      <c r="R3800" s="49">
        <v>3798</v>
      </c>
      <c r="S3800" s="59">
        <f ca="1">Dashboard!B$8* Dashboard!$F$4+Dashboard!B$10*SQRT(Dashboard!$F$4) * _xlfn.NORM.S.INV(RAND())</f>
        <v>-2.2125380939968367E-2</v>
      </c>
      <c r="T3800" s="59">
        <f ca="1">Dashboard!C$8* Dashboard!$F$4+Dashboard!C$10*SQRT(Dashboard!$F$4) * _xlfn.NORM.S.INV(RAND())</f>
        <v>4.9481540714555149E-3</v>
      </c>
      <c r="U3800" s="59">
        <f ca="1">Dashboard!D$8* Dashboard!$F$4+Dashboard!D$10*SQRT(Dashboard!$F$4) * _xlfn.NORM.S.INV(RAND())</f>
        <v>5.5950282088374215E-2</v>
      </c>
    </row>
    <row r="3801" spans="18:21" x14ac:dyDescent="0.2">
      <c r="R3801" s="49">
        <v>3799</v>
      </c>
      <c r="S3801" s="59">
        <f ca="1">Dashboard!B$8* Dashboard!$F$4+Dashboard!B$10*SQRT(Dashboard!$F$4) * _xlfn.NORM.S.INV(RAND())</f>
        <v>-1.5518007449490116E-2</v>
      </c>
      <c r="T3801" s="59">
        <f ca="1">Dashboard!C$8* Dashboard!$F$4+Dashboard!C$10*SQRT(Dashboard!$F$4) * _xlfn.NORM.S.INV(RAND())</f>
        <v>-2.9728985631250777E-3</v>
      </c>
      <c r="U3801" s="59">
        <f ca="1">Dashboard!D$8* Dashboard!$F$4+Dashboard!D$10*SQRT(Dashboard!$F$4) * _xlfn.NORM.S.INV(RAND())</f>
        <v>-1.4645079357291167E-2</v>
      </c>
    </row>
    <row r="3802" spans="18:21" x14ac:dyDescent="0.2">
      <c r="R3802" s="49">
        <v>3800</v>
      </c>
      <c r="S3802" s="59">
        <f ca="1">Dashboard!B$8* Dashboard!$F$4+Dashboard!B$10*SQRT(Dashboard!$F$4) * _xlfn.NORM.S.INV(RAND())</f>
        <v>4.6059048158161933E-3</v>
      </c>
      <c r="T3802" s="59">
        <f ca="1">Dashboard!C$8* Dashboard!$F$4+Dashboard!C$10*SQRT(Dashboard!$F$4) * _xlfn.NORM.S.INV(RAND())</f>
        <v>-3.8458470563480937E-2</v>
      </c>
      <c r="U3802" s="59">
        <f ca="1">Dashboard!D$8* Dashboard!$F$4+Dashboard!D$10*SQRT(Dashboard!$F$4) * _xlfn.NORM.S.INV(RAND())</f>
        <v>3.0074081040401764E-2</v>
      </c>
    </row>
    <row r="3803" spans="18:21" x14ac:dyDescent="0.2">
      <c r="R3803" s="49">
        <v>3801</v>
      </c>
      <c r="S3803" s="59">
        <f ca="1">Dashboard!B$8* Dashboard!$F$4+Dashboard!B$10*SQRT(Dashboard!$F$4) * _xlfn.NORM.S.INV(RAND())</f>
        <v>-6.8946965589662349E-3</v>
      </c>
      <c r="T3803" s="59">
        <f ca="1">Dashboard!C$8* Dashboard!$F$4+Dashboard!C$10*SQRT(Dashboard!$F$4) * _xlfn.NORM.S.INV(RAND())</f>
        <v>-5.834698569922866E-3</v>
      </c>
      <c r="U3803" s="59">
        <f ca="1">Dashboard!D$8* Dashboard!$F$4+Dashboard!D$10*SQRT(Dashboard!$F$4) * _xlfn.NORM.S.INV(RAND())</f>
        <v>3.8820374394599449E-4</v>
      </c>
    </row>
    <row r="3804" spans="18:21" x14ac:dyDescent="0.2">
      <c r="R3804" s="49">
        <v>3802</v>
      </c>
      <c r="S3804" s="59">
        <f ca="1">Dashboard!B$8* Dashboard!$F$4+Dashboard!B$10*SQRT(Dashboard!$F$4) * _xlfn.NORM.S.INV(RAND())</f>
        <v>-2.5073509525776107E-3</v>
      </c>
      <c r="T3804" s="59">
        <f ca="1">Dashboard!C$8* Dashboard!$F$4+Dashboard!C$10*SQRT(Dashboard!$F$4) * _xlfn.NORM.S.INV(RAND())</f>
        <v>1.2289274365300152E-2</v>
      </c>
      <c r="U3804" s="59">
        <f ca="1">Dashboard!D$8* Dashboard!$F$4+Dashboard!D$10*SQRT(Dashboard!$F$4) * _xlfn.NORM.S.INV(RAND())</f>
        <v>-6.240012989950594E-4</v>
      </c>
    </row>
    <row r="3805" spans="18:21" x14ac:dyDescent="0.2">
      <c r="R3805" s="49">
        <v>3803</v>
      </c>
      <c r="S3805" s="59">
        <f ca="1">Dashboard!B$8* Dashboard!$F$4+Dashboard!B$10*SQRT(Dashboard!$F$4) * _xlfn.NORM.S.INV(RAND())</f>
        <v>-8.2946652755183647E-3</v>
      </c>
      <c r="T3805" s="59">
        <f ca="1">Dashboard!C$8* Dashboard!$F$4+Dashboard!C$10*SQRT(Dashboard!$F$4) * _xlfn.NORM.S.INV(RAND())</f>
        <v>1.9176628506855243E-2</v>
      </c>
      <c r="U3805" s="59">
        <f ca="1">Dashboard!D$8* Dashboard!$F$4+Dashboard!D$10*SQRT(Dashboard!$F$4) * _xlfn.NORM.S.INV(RAND())</f>
        <v>-2.5826835183041803E-2</v>
      </c>
    </row>
    <row r="3806" spans="18:21" x14ac:dyDescent="0.2">
      <c r="R3806" s="49">
        <v>3804</v>
      </c>
      <c r="S3806" s="59">
        <f ca="1">Dashboard!B$8* Dashboard!$F$4+Dashboard!B$10*SQRT(Dashboard!$F$4) * _xlfn.NORM.S.INV(RAND())</f>
        <v>3.251081667625208E-2</v>
      </c>
      <c r="T3806" s="59">
        <f ca="1">Dashboard!C$8* Dashboard!$F$4+Dashboard!C$10*SQRT(Dashboard!$F$4) * _xlfn.NORM.S.INV(RAND())</f>
        <v>6.7234157147910617E-2</v>
      </c>
      <c r="U3806" s="59">
        <f ca="1">Dashboard!D$8* Dashboard!$F$4+Dashboard!D$10*SQRT(Dashboard!$F$4) * _xlfn.NORM.S.INV(RAND())</f>
        <v>3.9111454757943861E-3</v>
      </c>
    </row>
    <row r="3807" spans="18:21" x14ac:dyDescent="0.2">
      <c r="R3807" s="49">
        <v>3805</v>
      </c>
      <c r="S3807" s="59">
        <f ca="1">Dashboard!B$8* Dashboard!$F$4+Dashboard!B$10*SQRT(Dashboard!$F$4) * _xlfn.NORM.S.INV(RAND())</f>
        <v>-7.9688796060612861E-3</v>
      </c>
      <c r="T3807" s="59">
        <f ca="1">Dashboard!C$8* Dashboard!$F$4+Dashboard!C$10*SQRT(Dashboard!$F$4) * _xlfn.NORM.S.INV(RAND())</f>
        <v>-6.5468363979012054E-2</v>
      </c>
      <c r="U3807" s="59">
        <f ca="1">Dashboard!D$8* Dashboard!$F$4+Dashboard!D$10*SQRT(Dashboard!$F$4) * _xlfn.NORM.S.INV(RAND())</f>
        <v>-9.7258076894901312E-3</v>
      </c>
    </row>
    <row r="3808" spans="18:21" x14ac:dyDescent="0.2">
      <c r="R3808" s="49">
        <v>3806</v>
      </c>
      <c r="S3808" s="59">
        <f ca="1">Dashboard!B$8* Dashboard!$F$4+Dashboard!B$10*SQRT(Dashboard!$F$4) * _xlfn.NORM.S.INV(RAND())</f>
        <v>-2.7039505846001372E-2</v>
      </c>
      <c r="T3808" s="59">
        <f ca="1">Dashboard!C$8* Dashboard!$F$4+Dashboard!C$10*SQRT(Dashboard!$F$4) * _xlfn.NORM.S.INV(RAND())</f>
        <v>5.6014281314400144E-2</v>
      </c>
      <c r="U3808" s="59">
        <f ca="1">Dashboard!D$8* Dashboard!$F$4+Dashboard!D$10*SQRT(Dashboard!$F$4) * _xlfn.NORM.S.INV(RAND())</f>
        <v>-1.1817072542350829E-2</v>
      </c>
    </row>
    <row r="3809" spans="18:21" x14ac:dyDescent="0.2">
      <c r="R3809" s="49">
        <v>3807</v>
      </c>
      <c r="S3809" s="59">
        <f ca="1">Dashboard!B$8* Dashboard!$F$4+Dashboard!B$10*SQRT(Dashboard!$F$4) * _xlfn.NORM.S.INV(RAND())</f>
        <v>2.4088406958420662E-2</v>
      </c>
      <c r="T3809" s="59">
        <f ca="1">Dashboard!C$8* Dashboard!$F$4+Dashboard!C$10*SQRT(Dashboard!$F$4) * _xlfn.NORM.S.INV(RAND())</f>
        <v>-6.5061797443932659E-2</v>
      </c>
      <c r="U3809" s="59">
        <f ca="1">Dashboard!D$8* Dashboard!$F$4+Dashboard!D$10*SQRT(Dashboard!$F$4) * _xlfn.NORM.S.INV(RAND())</f>
        <v>-5.9013005642596442E-2</v>
      </c>
    </row>
    <row r="3810" spans="18:21" x14ac:dyDescent="0.2">
      <c r="R3810" s="49">
        <v>3808</v>
      </c>
      <c r="S3810" s="59">
        <f ca="1">Dashboard!B$8* Dashboard!$F$4+Dashboard!B$10*SQRT(Dashboard!$F$4) * _xlfn.NORM.S.INV(RAND())</f>
        <v>-3.1656949441339247E-2</v>
      </c>
      <c r="T3810" s="59">
        <f ca="1">Dashboard!C$8* Dashboard!$F$4+Dashboard!C$10*SQRT(Dashboard!$F$4) * _xlfn.NORM.S.INV(RAND())</f>
        <v>-1.4820796286844585E-3</v>
      </c>
      <c r="U3810" s="59">
        <f ca="1">Dashboard!D$8* Dashboard!$F$4+Dashboard!D$10*SQRT(Dashboard!$F$4) * _xlfn.NORM.S.INV(RAND())</f>
        <v>3.6171928140258297E-2</v>
      </c>
    </row>
    <row r="3811" spans="18:21" x14ac:dyDescent="0.2">
      <c r="R3811" s="49">
        <v>3809</v>
      </c>
      <c r="S3811" s="59">
        <f ca="1">Dashboard!B$8* Dashboard!$F$4+Dashboard!B$10*SQRT(Dashboard!$F$4) * _xlfn.NORM.S.INV(RAND())</f>
        <v>6.2844568464398093E-2</v>
      </c>
      <c r="T3811" s="59">
        <f ca="1">Dashboard!C$8* Dashboard!$F$4+Dashboard!C$10*SQRT(Dashboard!$F$4) * _xlfn.NORM.S.INV(RAND())</f>
        <v>3.0216822434126642E-2</v>
      </c>
      <c r="U3811" s="59">
        <f ca="1">Dashboard!D$8* Dashboard!$F$4+Dashboard!D$10*SQRT(Dashboard!$F$4) * _xlfn.NORM.S.INV(RAND())</f>
        <v>1.2218719114698726E-2</v>
      </c>
    </row>
    <row r="3812" spans="18:21" x14ac:dyDescent="0.2">
      <c r="R3812" s="49">
        <v>3810</v>
      </c>
      <c r="S3812" s="59">
        <f ca="1">Dashboard!B$8* Dashboard!$F$4+Dashboard!B$10*SQRT(Dashboard!$F$4) * _xlfn.NORM.S.INV(RAND())</f>
        <v>-5.7206671025901837E-2</v>
      </c>
      <c r="T3812" s="59">
        <f ca="1">Dashboard!C$8* Dashboard!$F$4+Dashboard!C$10*SQRT(Dashboard!$F$4) * _xlfn.NORM.S.INV(RAND())</f>
        <v>8.5217111197848902E-2</v>
      </c>
      <c r="U3812" s="59">
        <f ca="1">Dashboard!D$8* Dashboard!$F$4+Dashboard!D$10*SQRT(Dashboard!$F$4) * _xlfn.NORM.S.INV(RAND())</f>
        <v>-2.567948457333738E-2</v>
      </c>
    </row>
    <row r="3813" spans="18:21" x14ac:dyDescent="0.2">
      <c r="R3813" s="49">
        <v>3811</v>
      </c>
      <c r="S3813" s="59">
        <f ca="1">Dashboard!B$8* Dashboard!$F$4+Dashboard!B$10*SQRT(Dashboard!$F$4) * _xlfn.NORM.S.INV(RAND())</f>
        <v>-5.3961618478416025E-2</v>
      </c>
      <c r="T3813" s="59">
        <f ca="1">Dashboard!C$8* Dashboard!$F$4+Dashboard!C$10*SQRT(Dashboard!$F$4) * _xlfn.NORM.S.INV(RAND())</f>
        <v>-6.0816580288866773E-2</v>
      </c>
      <c r="U3813" s="59">
        <f ca="1">Dashboard!D$8* Dashboard!$F$4+Dashboard!D$10*SQRT(Dashboard!$F$4) * _xlfn.NORM.S.INV(RAND())</f>
        <v>-7.7112702950098708E-3</v>
      </c>
    </row>
    <row r="3814" spans="18:21" x14ac:dyDescent="0.2">
      <c r="R3814" s="49">
        <v>3812</v>
      </c>
      <c r="S3814" s="59">
        <f ca="1">Dashboard!B$8* Dashboard!$F$4+Dashboard!B$10*SQRT(Dashboard!$F$4) * _xlfn.NORM.S.INV(RAND())</f>
        <v>8.9511746683527876E-2</v>
      </c>
      <c r="T3814" s="59">
        <f ca="1">Dashboard!C$8* Dashboard!$F$4+Dashboard!C$10*SQRT(Dashboard!$F$4) * _xlfn.NORM.S.INV(RAND())</f>
        <v>-2.6865205365248088E-2</v>
      </c>
      <c r="U3814" s="59">
        <f ca="1">Dashboard!D$8* Dashboard!$F$4+Dashboard!D$10*SQRT(Dashboard!$F$4) * _xlfn.NORM.S.INV(RAND())</f>
        <v>6.2932435379619747E-2</v>
      </c>
    </row>
    <row r="3815" spans="18:21" x14ac:dyDescent="0.2">
      <c r="R3815" s="49">
        <v>3813</v>
      </c>
      <c r="S3815" s="59">
        <f ca="1">Dashboard!B$8* Dashboard!$F$4+Dashboard!B$10*SQRT(Dashboard!$F$4) * _xlfn.NORM.S.INV(RAND())</f>
        <v>-1.9032584858339037E-2</v>
      </c>
      <c r="T3815" s="59">
        <f ca="1">Dashboard!C$8* Dashboard!$F$4+Dashboard!C$10*SQRT(Dashboard!$F$4) * _xlfn.NORM.S.INV(RAND())</f>
        <v>2.0644345697270142E-2</v>
      </c>
      <c r="U3815" s="59">
        <f ca="1">Dashboard!D$8* Dashboard!$F$4+Dashboard!D$10*SQRT(Dashboard!$F$4) * _xlfn.NORM.S.INV(RAND())</f>
        <v>-2.4316355259197956E-2</v>
      </c>
    </row>
    <row r="3816" spans="18:21" x14ac:dyDescent="0.2">
      <c r="R3816" s="49">
        <v>3814</v>
      </c>
      <c r="S3816" s="59">
        <f ca="1">Dashboard!B$8* Dashboard!$F$4+Dashboard!B$10*SQRT(Dashboard!$F$4) * _xlfn.NORM.S.INV(RAND())</f>
        <v>-3.5424482728148209E-2</v>
      </c>
      <c r="T3816" s="59">
        <f ca="1">Dashboard!C$8* Dashboard!$F$4+Dashboard!C$10*SQRT(Dashboard!$F$4) * _xlfn.NORM.S.INV(RAND())</f>
        <v>1.277657579023856E-2</v>
      </c>
      <c r="U3816" s="59">
        <f ca="1">Dashboard!D$8* Dashboard!$F$4+Dashboard!D$10*SQRT(Dashboard!$F$4) * _xlfn.NORM.S.INV(RAND())</f>
        <v>-3.4317070482287694E-2</v>
      </c>
    </row>
    <row r="3817" spans="18:21" x14ac:dyDescent="0.2">
      <c r="R3817" s="49">
        <v>3815</v>
      </c>
      <c r="S3817" s="59">
        <f ca="1">Dashboard!B$8* Dashboard!$F$4+Dashboard!B$10*SQRT(Dashboard!$F$4) * _xlfn.NORM.S.INV(RAND())</f>
        <v>-1.5900732207474459E-2</v>
      </c>
      <c r="T3817" s="59">
        <f ca="1">Dashboard!C$8* Dashboard!$F$4+Dashboard!C$10*SQRT(Dashboard!$F$4) * _xlfn.NORM.S.INV(RAND())</f>
        <v>6.0411554307788454E-2</v>
      </c>
      <c r="U3817" s="59">
        <f ca="1">Dashboard!D$8* Dashboard!$F$4+Dashboard!D$10*SQRT(Dashboard!$F$4) * _xlfn.NORM.S.INV(RAND())</f>
        <v>-5.3491616120488403E-2</v>
      </c>
    </row>
    <row r="3818" spans="18:21" x14ac:dyDescent="0.2">
      <c r="R3818" s="49">
        <v>3816</v>
      </c>
      <c r="S3818" s="59">
        <f ca="1">Dashboard!B$8* Dashboard!$F$4+Dashboard!B$10*SQRT(Dashboard!$F$4) * _xlfn.NORM.S.INV(RAND())</f>
        <v>-2.0739006175153216E-2</v>
      </c>
      <c r="T3818" s="59">
        <f ca="1">Dashboard!C$8* Dashboard!$F$4+Dashboard!C$10*SQRT(Dashboard!$F$4) * _xlfn.NORM.S.INV(RAND())</f>
        <v>-3.6968528078230603E-2</v>
      </c>
      <c r="U3818" s="59">
        <f ca="1">Dashboard!D$8* Dashboard!$F$4+Dashboard!D$10*SQRT(Dashboard!$F$4) * _xlfn.NORM.S.INV(RAND())</f>
        <v>1.138046729488178E-2</v>
      </c>
    </row>
    <row r="3819" spans="18:21" x14ac:dyDescent="0.2">
      <c r="R3819" s="49">
        <v>3817</v>
      </c>
      <c r="S3819" s="59">
        <f ca="1">Dashboard!B$8* Dashboard!$F$4+Dashboard!B$10*SQRT(Dashboard!$F$4) * _xlfn.NORM.S.INV(RAND())</f>
        <v>-2.494279075417867E-2</v>
      </c>
      <c r="T3819" s="59">
        <f ca="1">Dashboard!C$8* Dashboard!$F$4+Dashboard!C$10*SQRT(Dashboard!$F$4) * _xlfn.NORM.S.INV(RAND())</f>
        <v>-6.7356289837732213E-4</v>
      </c>
      <c r="U3819" s="59">
        <f ca="1">Dashboard!D$8* Dashboard!$F$4+Dashboard!D$10*SQRT(Dashboard!$F$4) * _xlfn.NORM.S.INV(RAND())</f>
        <v>2.9197873322837978E-2</v>
      </c>
    </row>
    <row r="3820" spans="18:21" x14ac:dyDescent="0.2">
      <c r="R3820" s="49">
        <v>3818</v>
      </c>
      <c r="S3820" s="59">
        <f ca="1">Dashboard!B$8* Dashboard!$F$4+Dashboard!B$10*SQRT(Dashboard!$F$4) * _xlfn.NORM.S.INV(RAND())</f>
        <v>-1.3574149937431418E-2</v>
      </c>
      <c r="T3820" s="59">
        <f ca="1">Dashboard!C$8* Dashboard!$F$4+Dashboard!C$10*SQRT(Dashboard!$F$4) * _xlfn.NORM.S.INV(RAND())</f>
        <v>-1.5385149688828103E-3</v>
      </c>
      <c r="U3820" s="59">
        <f ca="1">Dashboard!D$8* Dashboard!$F$4+Dashboard!D$10*SQRT(Dashboard!$F$4) * _xlfn.NORM.S.INV(RAND())</f>
        <v>5.2556211124213881E-2</v>
      </c>
    </row>
    <row r="3821" spans="18:21" x14ac:dyDescent="0.2">
      <c r="R3821" s="49">
        <v>3819</v>
      </c>
      <c r="S3821" s="59">
        <f ca="1">Dashboard!B$8* Dashboard!$F$4+Dashboard!B$10*SQRT(Dashboard!$F$4) * _xlfn.NORM.S.INV(RAND())</f>
        <v>-2.5631447255071715E-2</v>
      </c>
      <c r="T3821" s="59">
        <f ca="1">Dashboard!C$8* Dashboard!$F$4+Dashboard!C$10*SQRT(Dashboard!$F$4) * _xlfn.NORM.S.INV(RAND())</f>
        <v>-3.7646402872645264E-2</v>
      </c>
      <c r="U3821" s="59">
        <f ca="1">Dashboard!D$8* Dashboard!$F$4+Dashboard!D$10*SQRT(Dashboard!$F$4) * _xlfn.NORM.S.INV(RAND())</f>
        <v>-6.6766933182286964E-2</v>
      </c>
    </row>
    <row r="3822" spans="18:21" x14ac:dyDescent="0.2">
      <c r="R3822" s="49">
        <v>3820</v>
      </c>
      <c r="S3822" s="59">
        <f ca="1">Dashboard!B$8* Dashboard!$F$4+Dashboard!B$10*SQRT(Dashboard!$F$4) * _xlfn.NORM.S.INV(RAND())</f>
        <v>2.825017427620783E-2</v>
      </c>
      <c r="T3822" s="59">
        <f ca="1">Dashboard!C$8* Dashboard!$F$4+Dashboard!C$10*SQRT(Dashboard!$F$4) * _xlfn.NORM.S.INV(RAND())</f>
        <v>4.2564123843554333E-2</v>
      </c>
      <c r="U3822" s="59">
        <f ca="1">Dashboard!D$8* Dashboard!$F$4+Dashboard!D$10*SQRT(Dashboard!$F$4) * _xlfn.NORM.S.INV(RAND())</f>
        <v>2.217293955997824E-2</v>
      </c>
    </row>
    <row r="3823" spans="18:21" x14ac:dyDescent="0.2">
      <c r="R3823" s="49">
        <v>3821</v>
      </c>
      <c r="S3823" s="59">
        <f ca="1">Dashboard!B$8* Dashboard!$F$4+Dashboard!B$10*SQRT(Dashboard!$F$4) * _xlfn.NORM.S.INV(RAND())</f>
        <v>-4.6059824600324435E-2</v>
      </c>
      <c r="T3823" s="59">
        <f ca="1">Dashboard!C$8* Dashboard!$F$4+Dashboard!C$10*SQRT(Dashboard!$F$4) * _xlfn.NORM.S.INV(RAND())</f>
        <v>-1.3756767005676414E-2</v>
      </c>
      <c r="U3823" s="59">
        <f ca="1">Dashboard!D$8* Dashboard!$F$4+Dashboard!D$10*SQRT(Dashboard!$F$4) * _xlfn.NORM.S.INV(RAND())</f>
        <v>3.155969925831266E-2</v>
      </c>
    </row>
    <row r="3824" spans="18:21" x14ac:dyDescent="0.2">
      <c r="R3824" s="49">
        <v>3822</v>
      </c>
      <c r="S3824" s="59">
        <f ca="1">Dashboard!B$8* Dashboard!$F$4+Dashboard!B$10*SQRT(Dashboard!$F$4) * _xlfn.NORM.S.INV(RAND())</f>
        <v>-5.7932545082735043E-2</v>
      </c>
      <c r="T3824" s="59">
        <f ca="1">Dashboard!C$8* Dashboard!$F$4+Dashboard!C$10*SQRT(Dashboard!$F$4) * _xlfn.NORM.S.INV(RAND())</f>
        <v>-3.1943627655750498E-2</v>
      </c>
      <c r="U3824" s="59">
        <f ca="1">Dashboard!D$8* Dashboard!$F$4+Dashboard!D$10*SQRT(Dashboard!$F$4) * _xlfn.NORM.S.INV(RAND())</f>
        <v>1.1541889137879695E-2</v>
      </c>
    </row>
    <row r="3825" spans="18:21" x14ac:dyDescent="0.2">
      <c r="R3825" s="49">
        <v>3823</v>
      </c>
      <c r="S3825" s="59">
        <f ca="1">Dashboard!B$8* Dashboard!$F$4+Dashboard!B$10*SQRT(Dashboard!$F$4) * _xlfn.NORM.S.INV(RAND())</f>
        <v>6.6019078291085134E-3</v>
      </c>
      <c r="T3825" s="59">
        <f ca="1">Dashboard!C$8* Dashboard!$F$4+Dashboard!C$10*SQRT(Dashboard!$F$4) * _xlfn.NORM.S.INV(RAND())</f>
        <v>-1.6097602275774513E-2</v>
      </c>
      <c r="U3825" s="59">
        <f ca="1">Dashboard!D$8* Dashboard!$F$4+Dashboard!D$10*SQRT(Dashboard!$F$4) * _xlfn.NORM.S.INV(RAND())</f>
        <v>2.304344796567161E-2</v>
      </c>
    </row>
    <row r="3826" spans="18:21" x14ac:dyDescent="0.2">
      <c r="R3826" s="49">
        <v>3824</v>
      </c>
      <c r="S3826" s="59">
        <f ca="1">Dashboard!B$8* Dashboard!$F$4+Dashboard!B$10*SQRT(Dashboard!$F$4) * _xlfn.NORM.S.INV(RAND())</f>
        <v>3.2598660130532982E-2</v>
      </c>
      <c r="T3826" s="59">
        <f ca="1">Dashboard!C$8* Dashboard!$F$4+Dashboard!C$10*SQRT(Dashboard!$F$4) * _xlfn.NORM.S.INV(RAND())</f>
        <v>3.5514923526270416E-3</v>
      </c>
      <c r="U3826" s="59">
        <f ca="1">Dashboard!D$8* Dashboard!$F$4+Dashboard!D$10*SQRT(Dashboard!$F$4) * _xlfn.NORM.S.INV(RAND())</f>
        <v>-1.0027605400739685E-2</v>
      </c>
    </row>
    <row r="3827" spans="18:21" x14ac:dyDescent="0.2">
      <c r="R3827" s="49">
        <v>3825</v>
      </c>
      <c r="S3827" s="59">
        <f ca="1">Dashboard!B$8* Dashboard!$F$4+Dashboard!B$10*SQRT(Dashboard!$F$4) * _xlfn.NORM.S.INV(RAND())</f>
        <v>1.1784117820955271E-2</v>
      </c>
      <c r="T3827" s="59">
        <f ca="1">Dashboard!C$8* Dashboard!$F$4+Dashboard!C$10*SQRT(Dashboard!$F$4) * _xlfn.NORM.S.INV(RAND())</f>
        <v>1.735396215946422E-2</v>
      </c>
      <c r="U3827" s="59">
        <f ca="1">Dashboard!D$8* Dashboard!$F$4+Dashboard!D$10*SQRT(Dashboard!$F$4) * _xlfn.NORM.S.INV(RAND())</f>
        <v>5.271021650829464E-2</v>
      </c>
    </row>
    <row r="3828" spans="18:21" x14ac:dyDescent="0.2">
      <c r="R3828" s="49">
        <v>3826</v>
      </c>
      <c r="S3828" s="59">
        <f ca="1">Dashboard!B$8* Dashboard!$F$4+Dashboard!B$10*SQRT(Dashboard!$F$4) * _xlfn.NORM.S.INV(RAND())</f>
        <v>3.2432701256922013E-2</v>
      </c>
      <c r="T3828" s="59">
        <f ca="1">Dashboard!C$8* Dashboard!$F$4+Dashboard!C$10*SQRT(Dashboard!$F$4) * _xlfn.NORM.S.INV(RAND())</f>
        <v>-3.0466703637035696E-2</v>
      </c>
      <c r="U3828" s="59">
        <f ca="1">Dashboard!D$8* Dashboard!$F$4+Dashboard!D$10*SQRT(Dashboard!$F$4) * _xlfn.NORM.S.INV(RAND())</f>
        <v>-6.2880572976330207E-2</v>
      </c>
    </row>
    <row r="3829" spans="18:21" x14ac:dyDescent="0.2">
      <c r="R3829" s="49">
        <v>3827</v>
      </c>
      <c r="S3829" s="59">
        <f ca="1">Dashboard!B$8* Dashboard!$F$4+Dashboard!B$10*SQRT(Dashboard!$F$4) * _xlfn.NORM.S.INV(RAND())</f>
        <v>-4.8559125387836327E-3</v>
      </c>
      <c r="T3829" s="59">
        <f ca="1">Dashboard!C$8* Dashboard!$F$4+Dashboard!C$10*SQRT(Dashboard!$F$4) * _xlfn.NORM.S.INV(RAND())</f>
        <v>-1.6497110064334321E-2</v>
      </c>
      <c r="U3829" s="59">
        <f ca="1">Dashboard!D$8* Dashboard!$F$4+Dashboard!D$10*SQRT(Dashboard!$F$4) * _xlfn.NORM.S.INV(RAND())</f>
        <v>6.3431041413745011E-3</v>
      </c>
    </row>
    <row r="3830" spans="18:21" x14ac:dyDescent="0.2">
      <c r="R3830" s="49">
        <v>3828</v>
      </c>
      <c r="S3830" s="59">
        <f ca="1">Dashboard!B$8* Dashboard!$F$4+Dashboard!B$10*SQRT(Dashboard!$F$4) * _xlfn.NORM.S.INV(RAND())</f>
        <v>2.0969937449995264E-2</v>
      </c>
      <c r="T3830" s="59">
        <f ca="1">Dashboard!C$8* Dashboard!$F$4+Dashboard!C$10*SQRT(Dashboard!$F$4) * _xlfn.NORM.S.INV(RAND())</f>
        <v>1.0647967517539953E-2</v>
      </c>
      <c r="U3830" s="59">
        <f ca="1">Dashboard!D$8* Dashboard!$F$4+Dashboard!D$10*SQRT(Dashboard!$F$4) * _xlfn.NORM.S.INV(RAND())</f>
        <v>-2.7006536628481268E-2</v>
      </c>
    </row>
    <row r="3831" spans="18:21" x14ac:dyDescent="0.2">
      <c r="R3831" s="49">
        <v>3829</v>
      </c>
      <c r="S3831" s="59">
        <f ca="1">Dashboard!B$8* Dashboard!$F$4+Dashboard!B$10*SQRT(Dashboard!$F$4) * _xlfn.NORM.S.INV(RAND())</f>
        <v>2.0174765743317287E-2</v>
      </c>
      <c r="T3831" s="59">
        <f ca="1">Dashboard!C$8* Dashboard!$F$4+Dashboard!C$10*SQRT(Dashboard!$F$4) * _xlfn.NORM.S.INV(RAND())</f>
        <v>-5.9807792762509207E-2</v>
      </c>
      <c r="U3831" s="59">
        <f ca="1">Dashboard!D$8* Dashboard!$F$4+Dashboard!D$10*SQRT(Dashboard!$F$4) * _xlfn.NORM.S.INV(RAND())</f>
        <v>-6.0998862976165302E-2</v>
      </c>
    </row>
    <row r="3832" spans="18:21" x14ac:dyDescent="0.2">
      <c r="R3832" s="49">
        <v>3830</v>
      </c>
      <c r="S3832" s="59">
        <f ca="1">Dashboard!B$8* Dashboard!$F$4+Dashboard!B$10*SQRT(Dashboard!$F$4) * _xlfn.NORM.S.INV(RAND())</f>
        <v>5.4893616924084822E-2</v>
      </c>
      <c r="T3832" s="59">
        <f ca="1">Dashboard!C$8* Dashboard!$F$4+Dashboard!C$10*SQRT(Dashboard!$F$4) * _xlfn.NORM.S.INV(RAND())</f>
        <v>-2.2850330520782201E-2</v>
      </c>
      <c r="U3832" s="59">
        <f ca="1">Dashboard!D$8* Dashboard!$F$4+Dashboard!D$10*SQRT(Dashboard!$F$4) * _xlfn.NORM.S.INV(RAND())</f>
        <v>3.8734740503657869E-2</v>
      </c>
    </row>
    <row r="3833" spans="18:21" x14ac:dyDescent="0.2">
      <c r="R3833" s="49">
        <v>3831</v>
      </c>
      <c r="S3833" s="59">
        <f ca="1">Dashboard!B$8* Dashboard!$F$4+Dashboard!B$10*SQRT(Dashboard!$F$4) * _xlfn.NORM.S.INV(RAND())</f>
        <v>-3.7622169355284563E-2</v>
      </c>
      <c r="T3833" s="59">
        <f ca="1">Dashboard!C$8* Dashboard!$F$4+Dashboard!C$10*SQRT(Dashboard!$F$4) * _xlfn.NORM.S.INV(RAND())</f>
        <v>-5.6063182005822408E-2</v>
      </c>
      <c r="U3833" s="59">
        <f ca="1">Dashboard!D$8* Dashboard!$F$4+Dashboard!D$10*SQRT(Dashboard!$F$4) * _xlfn.NORM.S.INV(RAND())</f>
        <v>1.8385157087495042E-2</v>
      </c>
    </row>
    <row r="3834" spans="18:21" x14ac:dyDescent="0.2">
      <c r="R3834" s="49">
        <v>3832</v>
      </c>
      <c r="S3834" s="59">
        <f ca="1">Dashboard!B$8* Dashboard!$F$4+Dashboard!B$10*SQRT(Dashboard!$F$4) * _xlfn.NORM.S.INV(RAND())</f>
        <v>-2.0724935109710546E-2</v>
      </c>
      <c r="T3834" s="59">
        <f ca="1">Dashboard!C$8* Dashboard!$F$4+Dashboard!C$10*SQRT(Dashboard!$F$4) * _xlfn.NORM.S.INV(RAND())</f>
        <v>-1.134973883793754E-2</v>
      </c>
      <c r="U3834" s="59">
        <f ca="1">Dashboard!D$8* Dashboard!$F$4+Dashboard!D$10*SQRT(Dashboard!$F$4) * _xlfn.NORM.S.INV(RAND())</f>
        <v>-2.5737511289134485E-2</v>
      </c>
    </row>
    <row r="3835" spans="18:21" x14ac:dyDescent="0.2">
      <c r="R3835" s="49">
        <v>3833</v>
      </c>
      <c r="S3835" s="59">
        <f ca="1">Dashboard!B$8* Dashboard!$F$4+Dashboard!B$10*SQRT(Dashboard!$F$4) * _xlfn.NORM.S.INV(RAND())</f>
        <v>2.2488477416951293E-2</v>
      </c>
      <c r="T3835" s="59">
        <f ca="1">Dashboard!C$8* Dashboard!$F$4+Dashboard!C$10*SQRT(Dashboard!$F$4) * _xlfn.NORM.S.INV(RAND())</f>
        <v>-2.6802323124871994E-2</v>
      </c>
      <c r="U3835" s="59">
        <f ca="1">Dashboard!D$8* Dashboard!$F$4+Dashboard!D$10*SQRT(Dashboard!$F$4) * _xlfn.NORM.S.INV(RAND())</f>
        <v>3.2158342695267468E-2</v>
      </c>
    </row>
    <row r="3836" spans="18:21" x14ac:dyDescent="0.2">
      <c r="R3836" s="49">
        <v>3834</v>
      </c>
      <c r="S3836" s="59">
        <f ca="1">Dashboard!B$8* Dashboard!$F$4+Dashboard!B$10*SQRT(Dashboard!$F$4) * _xlfn.NORM.S.INV(RAND())</f>
        <v>5.3106716188286794E-2</v>
      </c>
      <c r="T3836" s="59">
        <f ca="1">Dashboard!C$8* Dashboard!$F$4+Dashboard!C$10*SQRT(Dashboard!$F$4) * _xlfn.NORM.S.INV(RAND())</f>
        <v>2.6366444572734939E-2</v>
      </c>
      <c r="U3836" s="59">
        <f ca="1">Dashboard!D$8* Dashboard!$F$4+Dashboard!D$10*SQRT(Dashboard!$F$4) * _xlfn.NORM.S.INV(RAND())</f>
        <v>-4.1357726539293448E-2</v>
      </c>
    </row>
    <row r="3837" spans="18:21" x14ac:dyDescent="0.2">
      <c r="R3837" s="49">
        <v>3835</v>
      </c>
      <c r="S3837" s="59">
        <f ca="1">Dashboard!B$8* Dashboard!$F$4+Dashboard!B$10*SQRT(Dashboard!$F$4) * _xlfn.NORM.S.INV(RAND())</f>
        <v>-2.4876039336161884E-3</v>
      </c>
      <c r="T3837" s="59">
        <f ca="1">Dashboard!C$8* Dashboard!$F$4+Dashboard!C$10*SQRT(Dashboard!$F$4) * _xlfn.NORM.S.INV(RAND())</f>
        <v>2.6719385244255392E-2</v>
      </c>
      <c r="U3837" s="59">
        <f ca="1">Dashboard!D$8* Dashboard!$F$4+Dashboard!D$10*SQRT(Dashboard!$F$4) * _xlfn.NORM.S.INV(RAND())</f>
        <v>3.9589250205448283E-2</v>
      </c>
    </row>
    <row r="3838" spans="18:21" x14ac:dyDescent="0.2">
      <c r="R3838" s="49">
        <v>3836</v>
      </c>
      <c r="S3838" s="59">
        <f ca="1">Dashboard!B$8* Dashboard!$F$4+Dashboard!B$10*SQRT(Dashboard!$F$4) * _xlfn.NORM.S.INV(RAND())</f>
        <v>6.0091057912825367E-3</v>
      </c>
      <c r="T3838" s="59">
        <f ca="1">Dashboard!C$8* Dashboard!$F$4+Dashboard!C$10*SQRT(Dashboard!$F$4) * _xlfn.NORM.S.INV(RAND())</f>
        <v>1.0429595673685003E-2</v>
      </c>
      <c r="U3838" s="59">
        <f ca="1">Dashboard!D$8* Dashboard!$F$4+Dashboard!D$10*SQRT(Dashboard!$F$4) * _xlfn.NORM.S.INV(RAND())</f>
        <v>7.4095831017810289E-3</v>
      </c>
    </row>
    <row r="3839" spans="18:21" x14ac:dyDescent="0.2">
      <c r="R3839" s="49">
        <v>3837</v>
      </c>
      <c r="S3839" s="59">
        <f ca="1">Dashboard!B$8* Dashboard!$F$4+Dashboard!B$10*SQRT(Dashboard!$F$4) * _xlfn.NORM.S.INV(RAND())</f>
        <v>-4.7655008907681345E-2</v>
      </c>
      <c r="T3839" s="59">
        <f ca="1">Dashboard!C$8* Dashboard!$F$4+Dashboard!C$10*SQRT(Dashboard!$F$4) * _xlfn.NORM.S.INV(RAND())</f>
        <v>-2.1288184451653883E-2</v>
      </c>
      <c r="U3839" s="59">
        <f ca="1">Dashboard!D$8* Dashboard!$F$4+Dashboard!D$10*SQRT(Dashboard!$F$4) * _xlfn.NORM.S.INV(RAND())</f>
        <v>-3.342469141491862E-2</v>
      </c>
    </row>
    <row r="3840" spans="18:21" x14ac:dyDescent="0.2">
      <c r="R3840" s="49">
        <v>3838</v>
      </c>
      <c r="S3840" s="59">
        <f ca="1">Dashboard!B$8* Dashboard!$F$4+Dashboard!B$10*SQRT(Dashboard!$F$4) * _xlfn.NORM.S.INV(RAND())</f>
        <v>1.4688148011159632E-2</v>
      </c>
      <c r="T3840" s="59">
        <f ca="1">Dashboard!C$8* Dashboard!$F$4+Dashboard!C$10*SQRT(Dashboard!$F$4) * _xlfn.NORM.S.INV(RAND())</f>
        <v>2.2484715088632028E-2</v>
      </c>
      <c r="U3840" s="59">
        <f ca="1">Dashboard!D$8* Dashboard!$F$4+Dashboard!D$10*SQRT(Dashboard!$F$4) * _xlfn.NORM.S.INV(RAND())</f>
        <v>6.7679785011431366E-3</v>
      </c>
    </row>
    <row r="3841" spans="18:21" x14ac:dyDescent="0.2">
      <c r="R3841" s="49">
        <v>3839</v>
      </c>
      <c r="S3841" s="59">
        <f ca="1">Dashboard!B$8* Dashboard!$F$4+Dashboard!B$10*SQRT(Dashboard!$F$4) * _xlfn.NORM.S.INV(RAND())</f>
        <v>-1.75277273061046E-2</v>
      </c>
      <c r="T3841" s="59">
        <f ca="1">Dashboard!C$8* Dashboard!$F$4+Dashboard!C$10*SQRT(Dashboard!$F$4) * _xlfn.NORM.S.INV(RAND())</f>
        <v>3.4583233455971939E-2</v>
      </c>
      <c r="U3841" s="59">
        <f ca="1">Dashboard!D$8* Dashboard!$F$4+Dashboard!D$10*SQRT(Dashboard!$F$4) * _xlfn.NORM.S.INV(RAND())</f>
        <v>1.8416575015023664E-2</v>
      </c>
    </row>
    <row r="3842" spans="18:21" x14ac:dyDescent="0.2">
      <c r="R3842" s="49">
        <v>3840</v>
      </c>
      <c r="S3842" s="59">
        <f ca="1">Dashboard!B$8* Dashboard!$F$4+Dashboard!B$10*SQRT(Dashboard!$F$4) * _xlfn.NORM.S.INV(RAND())</f>
        <v>6.052523553181607E-3</v>
      </c>
      <c r="T3842" s="59">
        <f ca="1">Dashboard!C$8* Dashboard!$F$4+Dashboard!C$10*SQRT(Dashboard!$F$4) * _xlfn.NORM.S.INV(RAND())</f>
        <v>2.14776572536176E-2</v>
      </c>
      <c r="U3842" s="59">
        <f ca="1">Dashboard!D$8* Dashboard!$F$4+Dashboard!D$10*SQRT(Dashboard!$F$4) * _xlfn.NORM.S.INV(RAND())</f>
        <v>-8.0293758815516855E-2</v>
      </c>
    </row>
    <row r="3843" spans="18:21" x14ac:dyDescent="0.2">
      <c r="R3843" s="49">
        <v>3841</v>
      </c>
      <c r="S3843" s="59">
        <f ca="1">Dashboard!B$8* Dashboard!$F$4+Dashboard!B$10*SQRT(Dashboard!$F$4) * _xlfn.NORM.S.INV(RAND())</f>
        <v>-4.9532142550498412E-2</v>
      </c>
      <c r="T3843" s="59">
        <f ca="1">Dashboard!C$8* Dashboard!$F$4+Dashboard!C$10*SQRT(Dashboard!$F$4) * _xlfn.NORM.S.INV(RAND())</f>
        <v>6.9924969450412267E-3</v>
      </c>
      <c r="U3843" s="59">
        <f ca="1">Dashboard!D$8* Dashboard!$F$4+Dashboard!D$10*SQRT(Dashboard!$F$4) * _xlfn.NORM.S.INV(RAND())</f>
        <v>2.8470652901637201E-2</v>
      </c>
    </row>
    <row r="3844" spans="18:21" x14ac:dyDescent="0.2">
      <c r="R3844" s="49">
        <v>3842</v>
      </c>
      <c r="S3844" s="59">
        <f ca="1">Dashboard!B$8* Dashboard!$F$4+Dashboard!B$10*SQRT(Dashboard!$F$4) * _xlfn.NORM.S.INV(RAND())</f>
        <v>-9.5430183909504824E-3</v>
      </c>
      <c r="T3844" s="59">
        <f ca="1">Dashboard!C$8* Dashboard!$F$4+Dashboard!C$10*SQRT(Dashboard!$F$4) * _xlfn.NORM.S.INV(RAND())</f>
        <v>2.8214995520617386E-2</v>
      </c>
      <c r="U3844" s="59">
        <f ca="1">Dashboard!D$8* Dashboard!$F$4+Dashboard!D$10*SQRT(Dashboard!$F$4) * _xlfn.NORM.S.INV(RAND())</f>
        <v>-6.573553401664484E-3</v>
      </c>
    </row>
    <row r="3845" spans="18:21" x14ac:dyDescent="0.2">
      <c r="R3845" s="49">
        <v>3843</v>
      </c>
      <c r="S3845" s="59">
        <f ca="1">Dashboard!B$8* Dashboard!$F$4+Dashboard!B$10*SQRT(Dashboard!$F$4) * _xlfn.NORM.S.INV(RAND())</f>
        <v>-1.3630497652055507E-2</v>
      </c>
      <c r="T3845" s="59">
        <f ca="1">Dashboard!C$8* Dashboard!$F$4+Dashboard!C$10*SQRT(Dashboard!$F$4) * _xlfn.NORM.S.INV(RAND())</f>
        <v>3.7059451657331814E-2</v>
      </c>
      <c r="U3845" s="59">
        <f ca="1">Dashboard!D$8* Dashboard!$F$4+Dashboard!D$10*SQRT(Dashboard!$F$4) * _xlfn.NORM.S.INV(RAND())</f>
        <v>-2.8022062097141084E-2</v>
      </c>
    </row>
    <row r="3846" spans="18:21" x14ac:dyDescent="0.2">
      <c r="R3846" s="49">
        <v>3844</v>
      </c>
      <c r="S3846" s="59">
        <f ca="1">Dashboard!B$8* Dashboard!$F$4+Dashboard!B$10*SQRT(Dashboard!$F$4) * _xlfn.NORM.S.INV(RAND())</f>
        <v>-2.8006964405602394E-2</v>
      </c>
      <c r="T3846" s="59">
        <f ca="1">Dashboard!C$8* Dashboard!$F$4+Dashboard!C$10*SQRT(Dashboard!$F$4) * _xlfn.NORM.S.INV(RAND())</f>
        <v>1.232504973543718E-3</v>
      </c>
      <c r="U3846" s="59">
        <f ca="1">Dashboard!D$8* Dashboard!$F$4+Dashboard!D$10*SQRT(Dashboard!$F$4) * _xlfn.NORM.S.INV(RAND())</f>
        <v>1.5153478244676142E-2</v>
      </c>
    </row>
    <row r="3847" spans="18:21" x14ac:dyDescent="0.2">
      <c r="R3847" s="49">
        <v>3845</v>
      </c>
      <c r="S3847" s="59">
        <f ca="1">Dashboard!B$8* Dashboard!$F$4+Dashboard!B$10*SQRT(Dashboard!$F$4) * _xlfn.NORM.S.INV(RAND())</f>
        <v>-3.51682356731014E-2</v>
      </c>
      <c r="T3847" s="59">
        <f ca="1">Dashboard!C$8* Dashboard!$F$4+Dashboard!C$10*SQRT(Dashboard!$F$4) * _xlfn.NORM.S.INV(RAND())</f>
        <v>2.2295006255034597E-2</v>
      </c>
      <c r="U3847" s="59">
        <f ca="1">Dashboard!D$8* Dashboard!$F$4+Dashboard!D$10*SQRT(Dashboard!$F$4) * _xlfn.NORM.S.INV(RAND())</f>
        <v>9.1463099482892371E-3</v>
      </c>
    </row>
    <row r="3848" spans="18:21" x14ac:dyDescent="0.2">
      <c r="R3848" s="49">
        <v>3846</v>
      </c>
      <c r="S3848" s="59">
        <f ca="1">Dashboard!B$8* Dashboard!$F$4+Dashboard!B$10*SQRT(Dashboard!$F$4) * _xlfn.NORM.S.INV(RAND())</f>
        <v>-3.4226752718753417E-2</v>
      </c>
      <c r="T3848" s="59">
        <f ca="1">Dashboard!C$8* Dashboard!$F$4+Dashboard!C$10*SQRT(Dashboard!$F$4) * _xlfn.NORM.S.INV(RAND())</f>
        <v>3.6554434667922429E-2</v>
      </c>
      <c r="U3848" s="59">
        <f ca="1">Dashboard!D$8* Dashboard!$F$4+Dashboard!D$10*SQRT(Dashboard!$F$4) * _xlfn.NORM.S.INV(RAND())</f>
        <v>5.1058029426386529E-4</v>
      </c>
    </row>
    <row r="3849" spans="18:21" x14ac:dyDescent="0.2">
      <c r="R3849" s="49">
        <v>3847</v>
      </c>
      <c r="S3849" s="59">
        <f ca="1">Dashboard!B$8* Dashboard!$F$4+Dashboard!B$10*SQRT(Dashboard!$F$4) * _xlfn.NORM.S.INV(RAND())</f>
        <v>-6.3320360961578503E-2</v>
      </c>
      <c r="T3849" s="59">
        <f ca="1">Dashboard!C$8* Dashboard!$F$4+Dashboard!C$10*SQRT(Dashboard!$F$4) * _xlfn.NORM.S.INV(RAND())</f>
        <v>2.2764138040768492E-2</v>
      </c>
      <c r="U3849" s="59">
        <f ca="1">Dashboard!D$8* Dashboard!$F$4+Dashboard!D$10*SQRT(Dashboard!$F$4) * _xlfn.NORM.S.INV(RAND())</f>
        <v>-1.6593063682817613E-2</v>
      </c>
    </row>
    <row r="3850" spans="18:21" x14ac:dyDescent="0.2">
      <c r="R3850" s="49">
        <v>3848</v>
      </c>
      <c r="S3850" s="59">
        <f ca="1">Dashboard!B$8* Dashboard!$F$4+Dashboard!B$10*SQRT(Dashboard!$F$4) * _xlfn.NORM.S.INV(RAND())</f>
        <v>-3.1572109046910249E-3</v>
      </c>
      <c r="T3850" s="59">
        <f ca="1">Dashboard!C$8* Dashboard!$F$4+Dashboard!C$10*SQRT(Dashboard!$F$4) * _xlfn.NORM.S.INV(RAND())</f>
        <v>4.9718279528117713E-2</v>
      </c>
      <c r="U3850" s="59">
        <f ca="1">Dashboard!D$8* Dashboard!$F$4+Dashboard!D$10*SQRT(Dashboard!$F$4) * _xlfn.NORM.S.INV(RAND())</f>
        <v>-1.0741298387763885E-2</v>
      </c>
    </row>
    <row r="3851" spans="18:21" x14ac:dyDescent="0.2">
      <c r="R3851" s="49">
        <v>3849</v>
      </c>
      <c r="S3851" s="59">
        <f ca="1">Dashboard!B$8* Dashboard!$F$4+Dashboard!B$10*SQRT(Dashboard!$F$4) * _xlfn.NORM.S.INV(RAND())</f>
        <v>-8.1586516570288439E-3</v>
      </c>
      <c r="T3851" s="59">
        <f ca="1">Dashboard!C$8* Dashboard!$F$4+Dashboard!C$10*SQRT(Dashboard!$F$4) * _xlfn.NORM.S.INV(RAND())</f>
        <v>-8.2751955796612348E-3</v>
      </c>
      <c r="U3851" s="59">
        <f ca="1">Dashboard!D$8* Dashboard!$F$4+Dashboard!D$10*SQRT(Dashboard!$F$4) * _xlfn.NORM.S.INV(RAND())</f>
        <v>-2.2543921884015581E-2</v>
      </c>
    </row>
    <row r="3852" spans="18:21" x14ac:dyDescent="0.2">
      <c r="R3852" s="49">
        <v>3850</v>
      </c>
      <c r="S3852" s="59">
        <f ca="1">Dashboard!B$8* Dashboard!$F$4+Dashboard!B$10*SQRT(Dashboard!$F$4) * _xlfn.NORM.S.INV(RAND())</f>
        <v>4.3851982537966523E-2</v>
      </c>
      <c r="T3852" s="59">
        <f ca="1">Dashboard!C$8* Dashboard!$F$4+Dashboard!C$10*SQRT(Dashboard!$F$4) * _xlfn.NORM.S.INV(RAND())</f>
        <v>1.322934386312544E-2</v>
      </c>
      <c r="U3852" s="59">
        <f ca="1">Dashboard!D$8* Dashboard!$F$4+Dashboard!D$10*SQRT(Dashboard!$F$4) * _xlfn.NORM.S.INV(RAND())</f>
        <v>2.0406177298470145E-2</v>
      </c>
    </row>
    <row r="3853" spans="18:21" x14ac:dyDescent="0.2">
      <c r="R3853" s="49">
        <v>3851</v>
      </c>
      <c r="S3853" s="59">
        <f ca="1">Dashboard!B$8* Dashboard!$F$4+Dashboard!B$10*SQRT(Dashboard!$F$4) * _xlfn.NORM.S.INV(RAND())</f>
        <v>5.2047018179397851E-2</v>
      </c>
      <c r="T3853" s="59">
        <f ca="1">Dashboard!C$8* Dashboard!$F$4+Dashboard!C$10*SQRT(Dashboard!$F$4) * _xlfn.NORM.S.INV(RAND())</f>
        <v>1.6358091199255416E-2</v>
      </c>
      <c r="U3853" s="59">
        <f ca="1">Dashboard!D$8* Dashboard!$F$4+Dashboard!D$10*SQRT(Dashboard!$F$4) * _xlfn.NORM.S.INV(RAND())</f>
        <v>-1.3702809928768477E-2</v>
      </c>
    </row>
    <row r="3854" spans="18:21" x14ac:dyDescent="0.2">
      <c r="R3854" s="49">
        <v>3852</v>
      </c>
      <c r="S3854" s="59">
        <f ca="1">Dashboard!B$8* Dashboard!$F$4+Dashboard!B$10*SQRT(Dashboard!$F$4) * _xlfn.NORM.S.INV(RAND())</f>
        <v>1.5923766480385612E-2</v>
      </c>
      <c r="T3854" s="59">
        <f ca="1">Dashboard!C$8* Dashboard!$F$4+Dashboard!C$10*SQRT(Dashboard!$F$4) * _xlfn.NORM.S.INV(RAND())</f>
        <v>2.4897303693546684E-2</v>
      </c>
      <c r="U3854" s="59">
        <f ca="1">Dashboard!D$8* Dashboard!$F$4+Dashboard!D$10*SQRT(Dashboard!$F$4) * _xlfn.NORM.S.INV(RAND())</f>
        <v>-7.0870682576829012E-3</v>
      </c>
    </row>
    <row r="3855" spans="18:21" x14ac:dyDescent="0.2">
      <c r="R3855" s="49">
        <v>3853</v>
      </c>
      <c r="S3855" s="59">
        <f ca="1">Dashboard!B$8* Dashboard!$F$4+Dashboard!B$10*SQRT(Dashboard!$F$4) * _xlfn.NORM.S.INV(RAND())</f>
        <v>-7.0455588359235669E-2</v>
      </c>
      <c r="T3855" s="59">
        <f ca="1">Dashboard!C$8* Dashboard!$F$4+Dashboard!C$10*SQRT(Dashboard!$F$4) * _xlfn.NORM.S.INV(RAND())</f>
        <v>3.7072312659853043E-2</v>
      </c>
      <c r="U3855" s="59">
        <f ca="1">Dashboard!D$8* Dashboard!$F$4+Dashboard!D$10*SQRT(Dashboard!$F$4) * _xlfn.NORM.S.INV(RAND())</f>
        <v>-1.4331226163496557E-2</v>
      </c>
    </row>
    <row r="3856" spans="18:21" x14ac:dyDescent="0.2">
      <c r="R3856" s="49">
        <v>3854</v>
      </c>
      <c r="S3856" s="59">
        <f ca="1">Dashboard!B$8* Dashboard!$F$4+Dashboard!B$10*SQRT(Dashboard!$F$4) * _xlfn.NORM.S.INV(RAND())</f>
        <v>-5.7734657723046E-2</v>
      </c>
      <c r="T3856" s="59">
        <f ca="1">Dashboard!C$8* Dashboard!$F$4+Dashboard!C$10*SQRT(Dashboard!$F$4) * _xlfn.NORM.S.INV(RAND())</f>
        <v>4.4657132948124983E-2</v>
      </c>
      <c r="U3856" s="59">
        <f ca="1">Dashboard!D$8* Dashboard!$F$4+Dashboard!D$10*SQRT(Dashboard!$F$4) * _xlfn.NORM.S.INV(RAND())</f>
        <v>1.695854842702596E-2</v>
      </c>
    </row>
    <row r="3857" spans="18:21" x14ac:dyDescent="0.2">
      <c r="R3857" s="49">
        <v>3855</v>
      </c>
      <c r="S3857" s="59">
        <f ca="1">Dashboard!B$8* Dashboard!$F$4+Dashboard!B$10*SQRT(Dashboard!$F$4) * _xlfn.NORM.S.INV(RAND())</f>
        <v>-5.0584893279495106E-2</v>
      </c>
      <c r="T3857" s="59">
        <f ca="1">Dashboard!C$8* Dashboard!$F$4+Dashboard!C$10*SQRT(Dashboard!$F$4) * _xlfn.NORM.S.INV(RAND())</f>
        <v>-1.2348368954735834E-2</v>
      </c>
      <c r="U3857" s="59">
        <f ca="1">Dashboard!D$8* Dashboard!$F$4+Dashboard!D$10*SQRT(Dashboard!$F$4) * _xlfn.NORM.S.INV(RAND())</f>
        <v>4.3230555769985836E-2</v>
      </c>
    </row>
    <row r="3858" spans="18:21" x14ac:dyDescent="0.2">
      <c r="R3858" s="49">
        <v>3856</v>
      </c>
      <c r="S3858" s="59">
        <f ca="1">Dashboard!B$8* Dashboard!$F$4+Dashboard!B$10*SQRT(Dashboard!$F$4) * _xlfn.NORM.S.INV(RAND())</f>
        <v>2.2371394616266353E-2</v>
      </c>
      <c r="T3858" s="59">
        <f ca="1">Dashboard!C$8* Dashboard!$F$4+Dashboard!C$10*SQRT(Dashboard!$F$4) * _xlfn.NORM.S.INV(RAND())</f>
        <v>2.9490138852846112E-2</v>
      </c>
      <c r="U3858" s="59">
        <f ca="1">Dashboard!D$8* Dashboard!$F$4+Dashboard!D$10*SQRT(Dashboard!$F$4) * _xlfn.NORM.S.INV(RAND())</f>
        <v>-9.2771614285658416E-3</v>
      </c>
    </row>
    <row r="3859" spans="18:21" x14ac:dyDescent="0.2">
      <c r="R3859" s="49">
        <v>3857</v>
      </c>
      <c r="S3859" s="59">
        <f ca="1">Dashboard!B$8* Dashboard!$F$4+Dashboard!B$10*SQRT(Dashboard!$F$4) * _xlfn.NORM.S.INV(RAND())</f>
        <v>-7.5317717666340666E-3</v>
      </c>
      <c r="T3859" s="59">
        <f ca="1">Dashboard!C$8* Dashboard!$F$4+Dashboard!C$10*SQRT(Dashboard!$F$4) * _xlfn.NORM.S.INV(RAND())</f>
        <v>-1.8392988336763682E-2</v>
      </c>
      <c r="U3859" s="59">
        <f ca="1">Dashboard!D$8* Dashboard!$F$4+Dashboard!D$10*SQRT(Dashboard!$F$4) * _xlfn.NORM.S.INV(RAND())</f>
        <v>-1.8307692711138412E-2</v>
      </c>
    </row>
    <row r="3860" spans="18:21" x14ac:dyDescent="0.2">
      <c r="R3860" s="49">
        <v>3858</v>
      </c>
      <c r="S3860" s="59">
        <f ca="1">Dashboard!B$8* Dashboard!$F$4+Dashboard!B$10*SQRT(Dashboard!$F$4) * _xlfn.NORM.S.INV(RAND())</f>
        <v>-4.5696166621059235E-2</v>
      </c>
      <c r="T3860" s="59">
        <f ca="1">Dashboard!C$8* Dashboard!$F$4+Dashboard!C$10*SQRT(Dashboard!$F$4) * _xlfn.NORM.S.INV(RAND())</f>
        <v>6.557307283784905E-2</v>
      </c>
      <c r="U3860" s="59">
        <f ca="1">Dashboard!D$8* Dashboard!$F$4+Dashboard!D$10*SQRT(Dashboard!$F$4) * _xlfn.NORM.S.INV(RAND())</f>
        <v>5.2944698840289767E-2</v>
      </c>
    </row>
    <row r="3861" spans="18:21" x14ac:dyDescent="0.2">
      <c r="R3861" s="49">
        <v>3859</v>
      </c>
      <c r="S3861" s="59">
        <f ca="1">Dashboard!B$8* Dashboard!$F$4+Dashboard!B$10*SQRT(Dashboard!$F$4) * _xlfn.NORM.S.INV(RAND())</f>
        <v>-6.9297629542084127E-3</v>
      </c>
      <c r="T3861" s="59">
        <f ca="1">Dashboard!C$8* Dashboard!$F$4+Dashboard!C$10*SQRT(Dashboard!$F$4) * _xlfn.NORM.S.INV(RAND())</f>
        <v>-6.970903396861061E-3</v>
      </c>
      <c r="U3861" s="59">
        <f ca="1">Dashboard!D$8* Dashboard!$F$4+Dashboard!D$10*SQRT(Dashboard!$F$4) * _xlfn.NORM.S.INV(RAND())</f>
        <v>5.5717419836576923E-2</v>
      </c>
    </row>
    <row r="3862" spans="18:21" x14ac:dyDescent="0.2">
      <c r="R3862" s="49">
        <v>3860</v>
      </c>
      <c r="S3862" s="59">
        <f ca="1">Dashboard!B$8* Dashboard!$F$4+Dashboard!B$10*SQRT(Dashboard!$F$4) * _xlfn.NORM.S.INV(RAND())</f>
        <v>1.8586531854148228E-2</v>
      </c>
      <c r="T3862" s="59">
        <f ca="1">Dashboard!C$8* Dashboard!$F$4+Dashboard!C$10*SQRT(Dashboard!$F$4) * _xlfn.NORM.S.INV(RAND())</f>
        <v>-1.2007625867213802E-2</v>
      </c>
      <c r="U3862" s="59">
        <f ca="1">Dashboard!D$8* Dashboard!$F$4+Dashboard!D$10*SQRT(Dashboard!$F$4) * _xlfn.NORM.S.INV(RAND())</f>
        <v>-2.8938607581971833E-2</v>
      </c>
    </row>
    <row r="3863" spans="18:21" x14ac:dyDescent="0.2">
      <c r="R3863" s="49">
        <v>3861</v>
      </c>
      <c r="S3863" s="59">
        <f ca="1">Dashboard!B$8* Dashboard!$F$4+Dashboard!B$10*SQRT(Dashboard!$F$4) * _xlfn.NORM.S.INV(RAND())</f>
        <v>2.7504311944314533E-2</v>
      </c>
      <c r="T3863" s="59">
        <f ca="1">Dashboard!C$8* Dashboard!$F$4+Dashboard!C$10*SQRT(Dashboard!$F$4) * _xlfn.NORM.S.INV(RAND())</f>
        <v>1.2775412246910114E-2</v>
      </c>
      <c r="U3863" s="59">
        <f ca="1">Dashboard!D$8* Dashboard!$F$4+Dashboard!D$10*SQRT(Dashboard!$F$4) * _xlfn.NORM.S.INV(RAND())</f>
        <v>-1.751714181883263E-2</v>
      </c>
    </row>
    <row r="3864" spans="18:21" x14ac:dyDescent="0.2">
      <c r="R3864" s="49">
        <v>3862</v>
      </c>
      <c r="S3864" s="59">
        <f ca="1">Dashboard!B$8* Dashboard!$F$4+Dashboard!B$10*SQRT(Dashboard!$F$4) * _xlfn.NORM.S.INV(RAND())</f>
        <v>-4.2259846759438606E-2</v>
      </c>
      <c r="T3864" s="59">
        <f ca="1">Dashboard!C$8* Dashboard!$F$4+Dashboard!C$10*SQRT(Dashboard!$F$4) * _xlfn.NORM.S.INV(RAND())</f>
        <v>-7.2502012084055753E-2</v>
      </c>
      <c r="U3864" s="59">
        <f ca="1">Dashboard!D$8* Dashboard!$F$4+Dashboard!D$10*SQRT(Dashboard!$F$4) * _xlfn.NORM.S.INV(RAND())</f>
        <v>-2.1081133121408652E-2</v>
      </c>
    </row>
    <row r="3865" spans="18:21" x14ac:dyDescent="0.2">
      <c r="R3865" s="49">
        <v>3863</v>
      </c>
      <c r="S3865" s="59">
        <f ca="1">Dashboard!B$8* Dashboard!$F$4+Dashboard!B$10*SQRT(Dashboard!$F$4) * _xlfn.NORM.S.INV(RAND())</f>
        <v>-3.8225634702377158E-2</v>
      </c>
      <c r="T3865" s="59">
        <f ca="1">Dashboard!C$8* Dashboard!$F$4+Dashboard!C$10*SQRT(Dashboard!$F$4) * _xlfn.NORM.S.INV(RAND())</f>
        <v>8.0314080686329538E-3</v>
      </c>
      <c r="U3865" s="59">
        <f ca="1">Dashboard!D$8* Dashboard!$F$4+Dashboard!D$10*SQRT(Dashboard!$F$4) * _xlfn.NORM.S.INV(RAND())</f>
        <v>4.7829060979089913E-2</v>
      </c>
    </row>
    <row r="3866" spans="18:21" x14ac:dyDescent="0.2">
      <c r="R3866" s="49">
        <v>3864</v>
      </c>
      <c r="S3866" s="59">
        <f ca="1">Dashboard!B$8* Dashboard!$F$4+Dashboard!B$10*SQRT(Dashboard!$F$4) * _xlfn.NORM.S.INV(RAND())</f>
        <v>6.7141829873412131E-3</v>
      </c>
      <c r="T3866" s="59">
        <f ca="1">Dashboard!C$8* Dashboard!$F$4+Dashboard!C$10*SQRT(Dashboard!$F$4) * _xlfn.NORM.S.INV(RAND())</f>
        <v>1.6587844450556052E-2</v>
      </c>
      <c r="U3866" s="59">
        <f ca="1">Dashboard!D$8* Dashboard!$F$4+Dashboard!D$10*SQRT(Dashboard!$F$4) * _xlfn.NORM.S.INV(RAND())</f>
        <v>-2.3182466130181045E-2</v>
      </c>
    </row>
    <row r="3867" spans="18:21" x14ac:dyDescent="0.2">
      <c r="R3867" s="49">
        <v>3865</v>
      </c>
      <c r="S3867" s="59">
        <f ca="1">Dashboard!B$8* Dashboard!$F$4+Dashboard!B$10*SQRT(Dashboard!$F$4) * _xlfn.NORM.S.INV(RAND())</f>
        <v>-1.25333188419465E-2</v>
      </c>
      <c r="T3867" s="59">
        <f ca="1">Dashboard!C$8* Dashboard!$F$4+Dashboard!C$10*SQRT(Dashboard!$F$4) * _xlfn.NORM.S.INV(RAND())</f>
        <v>2.8678428018891696E-2</v>
      </c>
      <c r="U3867" s="59">
        <f ca="1">Dashboard!D$8* Dashboard!$F$4+Dashboard!D$10*SQRT(Dashboard!$F$4) * _xlfn.NORM.S.INV(RAND())</f>
        <v>1.1143810596593855E-2</v>
      </c>
    </row>
    <row r="3868" spans="18:21" x14ac:dyDescent="0.2">
      <c r="R3868" s="49">
        <v>3866</v>
      </c>
      <c r="S3868" s="59">
        <f ca="1">Dashboard!B$8* Dashboard!$F$4+Dashboard!B$10*SQRT(Dashboard!$F$4) * _xlfn.NORM.S.INV(RAND())</f>
        <v>-2.4988569054864365E-3</v>
      </c>
      <c r="T3868" s="59">
        <f ca="1">Dashboard!C$8* Dashboard!$F$4+Dashboard!C$10*SQRT(Dashboard!$F$4) * _xlfn.NORM.S.INV(RAND())</f>
        <v>1.4214484334331097E-2</v>
      </c>
      <c r="U3868" s="59">
        <f ca="1">Dashboard!D$8* Dashboard!$F$4+Dashboard!D$10*SQRT(Dashboard!$F$4) * _xlfn.NORM.S.INV(RAND())</f>
        <v>6.1680375043874559E-2</v>
      </c>
    </row>
    <row r="3869" spans="18:21" x14ac:dyDescent="0.2">
      <c r="R3869" s="49">
        <v>3867</v>
      </c>
      <c r="S3869" s="59">
        <f ca="1">Dashboard!B$8* Dashboard!$F$4+Dashboard!B$10*SQRT(Dashboard!$F$4) * _xlfn.NORM.S.INV(RAND())</f>
        <v>-5.4611880101597107E-2</v>
      </c>
      <c r="T3869" s="59">
        <f ca="1">Dashboard!C$8* Dashboard!$F$4+Dashboard!C$10*SQRT(Dashboard!$F$4) * _xlfn.NORM.S.INV(RAND())</f>
        <v>-2.8648429184994679E-2</v>
      </c>
      <c r="U3869" s="59">
        <f ca="1">Dashboard!D$8* Dashboard!$F$4+Dashboard!D$10*SQRT(Dashboard!$F$4) * _xlfn.NORM.S.INV(RAND())</f>
        <v>-1.3690585847851194E-2</v>
      </c>
    </row>
    <row r="3870" spans="18:21" x14ac:dyDescent="0.2">
      <c r="R3870" s="49">
        <v>3868</v>
      </c>
      <c r="S3870" s="59">
        <f ca="1">Dashboard!B$8* Dashboard!$F$4+Dashboard!B$10*SQRT(Dashboard!$F$4) * _xlfn.NORM.S.INV(RAND())</f>
        <v>3.4321195910630278E-2</v>
      </c>
      <c r="T3870" s="59">
        <f ca="1">Dashboard!C$8* Dashboard!$F$4+Dashboard!C$10*SQRT(Dashboard!$F$4) * _xlfn.NORM.S.INV(RAND())</f>
        <v>-0.11967045507369031</v>
      </c>
      <c r="U3870" s="59">
        <f ca="1">Dashboard!D$8* Dashboard!$F$4+Dashboard!D$10*SQRT(Dashboard!$F$4) * _xlfn.NORM.S.INV(RAND())</f>
        <v>3.6584476691302818E-2</v>
      </c>
    </row>
    <row r="3871" spans="18:21" x14ac:dyDescent="0.2">
      <c r="R3871" s="49">
        <v>3869</v>
      </c>
      <c r="S3871" s="59">
        <f ca="1">Dashboard!B$8* Dashboard!$F$4+Dashboard!B$10*SQRT(Dashboard!$F$4) * _xlfn.NORM.S.INV(RAND())</f>
        <v>5.5368052662661225E-3</v>
      </c>
      <c r="T3871" s="59">
        <f ca="1">Dashboard!C$8* Dashboard!$F$4+Dashboard!C$10*SQRT(Dashboard!$F$4) * _xlfn.NORM.S.INV(RAND())</f>
        <v>2.2818147065059302E-2</v>
      </c>
      <c r="U3871" s="59">
        <f ca="1">Dashboard!D$8* Dashboard!$F$4+Dashboard!D$10*SQRT(Dashboard!$F$4) * _xlfn.NORM.S.INV(RAND())</f>
        <v>4.4796500247785996E-2</v>
      </c>
    </row>
    <row r="3872" spans="18:21" x14ac:dyDescent="0.2">
      <c r="R3872" s="49">
        <v>3870</v>
      </c>
      <c r="S3872" s="59">
        <f ca="1">Dashboard!B$8* Dashboard!$F$4+Dashboard!B$10*SQRT(Dashboard!$F$4) * _xlfn.NORM.S.INV(RAND())</f>
        <v>-1.1756075366324756E-2</v>
      </c>
      <c r="T3872" s="59">
        <f ca="1">Dashboard!C$8* Dashboard!$F$4+Dashboard!C$10*SQRT(Dashboard!$F$4) * _xlfn.NORM.S.INV(RAND())</f>
        <v>2.2660088629085504E-2</v>
      </c>
      <c r="U3872" s="59">
        <f ca="1">Dashboard!D$8* Dashboard!$F$4+Dashboard!D$10*SQRT(Dashboard!$F$4) * _xlfn.NORM.S.INV(RAND())</f>
        <v>-9.1372850128170636E-3</v>
      </c>
    </row>
    <row r="3873" spans="18:21" x14ac:dyDescent="0.2">
      <c r="R3873" s="49">
        <v>3871</v>
      </c>
      <c r="S3873" s="59">
        <f ca="1">Dashboard!B$8* Dashboard!$F$4+Dashboard!B$10*SQRT(Dashboard!$F$4) * _xlfn.NORM.S.INV(RAND())</f>
        <v>9.0121428992523921E-3</v>
      </c>
      <c r="T3873" s="59">
        <f ca="1">Dashboard!C$8* Dashboard!$F$4+Dashboard!C$10*SQRT(Dashboard!$F$4) * _xlfn.NORM.S.INV(RAND())</f>
        <v>-1.4350150317788021E-2</v>
      </c>
      <c r="U3873" s="59">
        <f ca="1">Dashboard!D$8* Dashboard!$F$4+Dashboard!D$10*SQRT(Dashboard!$F$4) * _xlfn.NORM.S.INV(RAND())</f>
        <v>4.425636292794672E-2</v>
      </c>
    </row>
    <row r="3874" spans="18:21" x14ac:dyDescent="0.2">
      <c r="R3874" s="49">
        <v>3872</v>
      </c>
      <c r="S3874" s="59">
        <f ca="1">Dashboard!B$8* Dashboard!$F$4+Dashboard!B$10*SQRT(Dashboard!$F$4) * _xlfn.NORM.S.INV(RAND())</f>
        <v>-1.5111351768341417E-2</v>
      </c>
      <c r="T3874" s="59">
        <f ca="1">Dashboard!C$8* Dashboard!$F$4+Dashboard!C$10*SQRT(Dashboard!$F$4) * _xlfn.NORM.S.INV(RAND())</f>
        <v>1.0901394187571242E-2</v>
      </c>
      <c r="U3874" s="59">
        <f ca="1">Dashboard!D$8* Dashboard!$F$4+Dashboard!D$10*SQRT(Dashboard!$F$4) * _xlfn.NORM.S.INV(RAND())</f>
        <v>9.3517694311779434E-3</v>
      </c>
    </row>
    <row r="3875" spans="18:21" x14ac:dyDescent="0.2">
      <c r="R3875" s="49">
        <v>3873</v>
      </c>
      <c r="S3875" s="59">
        <f ca="1">Dashboard!B$8* Dashboard!$F$4+Dashboard!B$10*SQRT(Dashboard!$F$4) * _xlfn.NORM.S.INV(RAND())</f>
        <v>1.0744409900691317E-2</v>
      </c>
      <c r="T3875" s="59">
        <f ca="1">Dashboard!C$8* Dashboard!$F$4+Dashboard!C$10*SQRT(Dashboard!$F$4) * _xlfn.NORM.S.INV(RAND())</f>
        <v>-9.7656841357424959E-2</v>
      </c>
      <c r="U3875" s="59">
        <f ca="1">Dashboard!D$8* Dashboard!$F$4+Dashboard!D$10*SQRT(Dashboard!$F$4) * _xlfn.NORM.S.INV(RAND())</f>
        <v>-4.0055145131342916E-2</v>
      </c>
    </row>
    <row r="3876" spans="18:21" x14ac:dyDescent="0.2">
      <c r="R3876" s="49">
        <v>3874</v>
      </c>
      <c r="S3876" s="59">
        <f ca="1">Dashboard!B$8* Dashboard!$F$4+Dashboard!B$10*SQRT(Dashboard!$F$4) * _xlfn.NORM.S.INV(RAND())</f>
        <v>-3.5273327911337644E-2</v>
      </c>
      <c r="T3876" s="59">
        <f ca="1">Dashboard!C$8* Dashboard!$F$4+Dashboard!C$10*SQRT(Dashboard!$F$4) * _xlfn.NORM.S.INV(RAND())</f>
        <v>3.6443881779434653E-2</v>
      </c>
      <c r="U3876" s="59">
        <f ca="1">Dashboard!D$8* Dashboard!$F$4+Dashboard!D$10*SQRT(Dashboard!$F$4) * _xlfn.NORM.S.INV(RAND())</f>
        <v>2.0103948424201896E-2</v>
      </c>
    </row>
    <row r="3877" spans="18:21" x14ac:dyDescent="0.2">
      <c r="R3877" s="49">
        <v>3875</v>
      </c>
      <c r="S3877" s="59">
        <f ca="1">Dashboard!B$8* Dashboard!$F$4+Dashboard!B$10*SQRT(Dashboard!$F$4) * _xlfn.NORM.S.INV(RAND())</f>
        <v>-1.617478979973427E-2</v>
      </c>
      <c r="T3877" s="59">
        <f ca="1">Dashboard!C$8* Dashboard!$F$4+Dashboard!C$10*SQRT(Dashboard!$F$4) * _xlfn.NORM.S.INV(RAND())</f>
        <v>4.6574809518609622E-2</v>
      </c>
      <c r="U3877" s="59">
        <f ca="1">Dashboard!D$8* Dashboard!$F$4+Dashboard!D$10*SQRT(Dashboard!$F$4) * _xlfn.NORM.S.INV(RAND())</f>
        <v>-3.0940948129517188E-2</v>
      </c>
    </row>
    <row r="3878" spans="18:21" x14ac:dyDescent="0.2">
      <c r="R3878" s="49">
        <v>3876</v>
      </c>
      <c r="S3878" s="59">
        <f ca="1">Dashboard!B$8* Dashboard!$F$4+Dashboard!B$10*SQRT(Dashboard!$F$4) * _xlfn.NORM.S.INV(RAND())</f>
        <v>3.6782296566286371E-2</v>
      </c>
      <c r="T3878" s="59">
        <f ca="1">Dashboard!C$8* Dashboard!$F$4+Dashboard!C$10*SQRT(Dashboard!$F$4) * _xlfn.NORM.S.INV(RAND())</f>
        <v>4.300048488369862E-2</v>
      </c>
      <c r="U3878" s="59">
        <f ca="1">Dashboard!D$8* Dashboard!$F$4+Dashboard!D$10*SQRT(Dashboard!$F$4) * _xlfn.NORM.S.INV(RAND())</f>
        <v>1.5036918509690092E-2</v>
      </c>
    </row>
    <row r="3879" spans="18:21" x14ac:dyDescent="0.2">
      <c r="R3879" s="49">
        <v>3877</v>
      </c>
      <c r="S3879" s="59">
        <f ca="1">Dashboard!B$8* Dashboard!$F$4+Dashboard!B$10*SQRT(Dashboard!$F$4) * _xlfn.NORM.S.INV(RAND())</f>
        <v>1.1495174975388109E-2</v>
      </c>
      <c r="T3879" s="59">
        <f ca="1">Dashboard!C$8* Dashboard!$F$4+Dashboard!C$10*SQRT(Dashboard!$F$4) * _xlfn.NORM.S.INV(RAND())</f>
        <v>-7.8014886939640959E-3</v>
      </c>
      <c r="U3879" s="59">
        <f ca="1">Dashboard!D$8* Dashboard!$F$4+Dashboard!D$10*SQRT(Dashboard!$F$4) * _xlfn.NORM.S.INV(RAND())</f>
        <v>1.6566112468433102E-2</v>
      </c>
    </row>
    <row r="3880" spans="18:21" x14ac:dyDescent="0.2">
      <c r="R3880" s="49">
        <v>3878</v>
      </c>
      <c r="S3880" s="59">
        <f ca="1">Dashboard!B$8* Dashboard!$F$4+Dashboard!B$10*SQRT(Dashboard!$F$4) * _xlfn.NORM.S.INV(RAND())</f>
        <v>2.57027387093317E-2</v>
      </c>
      <c r="T3880" s="59">
        <f ca="1">Dashboard!C$8* Dashboard!$F$4+Dashboard!C$10*SQRT(Dashboard!$F$4) * _xlfn.NORM.S.INV(RAND())</f>
        <v>1.7524968336624883E-2</v>
      </c>
      <c r="U3880" s="59">
        <f ca="1">Dashboard!D$8* Dashboard!$F$4+Dashboard!D$10*SQRT(Dashboard!$F$4) * _xlfn.NORM.S.INV(RAND())</f>
        <v>5.1727897944317458E-3</v>
      </c>
    </row>
    <row r="3881" spans="18:21" x14ac:dyDescent="0.2">
      <c r="R3881" s="49">
        <v>3879</v>
      </c>
      <c r="S3881" s="59">
        <f ca="1">Dashboard!B$8* Dashboard!$F$4+Dashboard!B$10*SQRT(Dashboard!$F$4) * _xlfn.NORM.S.INV(RAND())</f>
        <v>-1.7157183960090423E-2</v>
      </c>
      <c r="T3881" s="59">
        <f ca="1">Dashboard!C$8* Dashboard!$F$4+Dashboard!C$10*SQRT(Dashboard!$F$4) * _xlfn.NORM.S.INV(RAND())</f>
        <v>-2.5272185629943655E-2</v>
      </c>
      <c r="U3881" s="59">
        <f ca="1">Dashboard!D$8* Dashboard!$F$4+Dashboard!D$10*SQRT(Dashboard!$F$4) * _xlfn.NORM.S.INV(RAND())</f>
        <v>5.0273656444233816E-3</v>
      </c>
    </row>
    <row r="3882" spans="18:21" x14ac:dyDescent="0.2">
      <c r="R3882" s="49">
        <v>3880</v>
      </c>
      <c r="S3882" s="59">
        <f ca="1">Dashboard!B$8* Dashboard!$F$4+Dashboard!B$10*SQRT(Dashboard!$F$4) * _xlfn.NORM.S.INV(RAND())</f>
        <v>-2.5523361399409979E-2</v>
      </c>
      <c r="T3882" s="59">
        <f ca="1">Dashboard!C$8* Dashboard!$F$4+Dashboard!C$10*SQRT(Dashboard!$F$4) * _xlfn.NORM.S.INV(RAND())</f>
        <v>3.8972687879284318E-2</v>
      </c>
      <c r="U3882" s="59">
        <f ca="1">Dashboard!D$8* Dashboard!$F$4+Dashboard!D$10*SQRT(Dashboard!$F$4) * _xlfn.NORM.S.INV(RAND())</f>
        <v>2.4133827481553041E-2</v>
      </c>
    </row>
    <row r="3883" spans="18:21" x14ac:dyDescent="0.2">
      <c r="R3883" s="49">
        <v>3881</v>
      </c>
      <c r="S3883" s="59">
        <f ca="1">Dashboard!B$8* Dashboard!$F$4+Dashboard!B$10*SQRT(Dashboard!$F$4) * _xlfn.NORM.S.INV(RAND())</f>
        <v>-4.4121411830961186E-3</v>
      </c>
      <c r="T3883" s="59">
        <f ca="1">Dashboard!C$8* Dashboard!$F$4+Dashboard!C$10*SQRT(Dashboard!$F$4) * _xlfn.NORM.S.INV(RAND())</f>
        <v>-4.5012846511703765E-2</v>
      </c>
      <c r="U3883" s="59">
        <f ca="1">Dashboard!D$8* Dashboard!$F$4+Dashboard!D$10*SQRT(Dashboard!$F$4) * _xlfn.NORM.S.INV(RAND())</f>
        <v>3.187749926343178E-2</v>
      </c>
    </row>
    <row r="3884" spans="18:21" x14ac:dyDescent="0.2">
      <c r="R3884" s="49">
        <v>3882</v>
      </c>
      <c r="S3884" s="59">
        <f ca="1">Dashboard!B$8* Dashboard!$F$4+Dashboard!B$10*SQRT(Dashboard!$F$4) * _xlfn.NORM.S.INV(RAND())</f>
        <v>-3.0205619070599675E-2</v>
      </c>
      <c r="T3884" s="59">
        <f ca="1">Dashboard!C$8* Dashboard!$F$4+Dashboard!C$10*SQRT(Dashboard!$F$4) * _xlfn.NORM.S.INV(RAND())</f>
        <v>-1.7689339026720194E-2</v>
      </c>
      <c r="U3884" s="59">
        <f ca="1">Dashboard!D$8* Dashboard!$F$4+Dashboard!D$10*SQRT(Dashboard!$F$4) * _xlfn.NORM.S.INV(RAND())</f>
        <v>5.323823823377731E-2</v>
      </c>
    </row>
    <row r="3885" spans="18:21" x14ac:dyDescent="0.2">
      <c r="R3885" s="49">
        <v>3883</v>
      </c>
      <c r="S3885" s="59">
        <f ca="1">Dashboard!B$8* Dashboard!$F$4+Dashboard!B$10*SQRT(Dashboard!$F$4) * _xlfn.NORM.S.INV(RAND())</f>
        <v>2.0953386558036476E-2</v>
      </c>
      <c r="T3885" s="59">
        <f ca="1">Dashboard!C$8* Dashboard!$F$4+Dashboard!C$10*SQRT(Dashboard!$F$4) * _xlfn.NORM.S.INV(RAND())</f>
        <v>3.8953967434859828E-2</v>
      </c>
      <c r="U3885" s="59">
        <f ca="1">Dashboard!D$8* Dashboard!$F$4+Dashboard!D$10*SQRT(Dashboard!$F$4) * _xlfn.NORM.S.INV(RAND())</f>
        <v>6.4158030762738461E-3</v>
      </c>
    </row>
    <row r="3886" spans="18:21" x14ac:dyDescent="0.2">
      <c r="R3886" s="49">
        <v>3884</v>
      </c>
      <c r="S3886" s="59">
        <f ca="1">Dashboard!B$8* Dashboard!$F$4+Dashboard!B$10*SQRT(Dashboard!$F$4) * _xlfn.NORM.S.INV(RAND())</f>
        <v>7.7388597321086244E-3</v>
      </c>
      <c r="T3886" s="59">
        <f ca="1">Dashboard!C$8* Dashboard!$F$4+Dashboard!C$10*SQRT(Dashboard!$F$4) * _xlfn.NORM.S.INV(RAND())</f>
        <v>-3.4696081992459703E-3</v>
      </c>
      <c r="U3886" s="59">
        <f ca="1">Dashboard!D$8* Dashboard!$F$4+Dashboard!D$10*SQRT(Dashboard!$F$4) * _xlfn.NORM.S.INV(RAND())</f>
        <v>5.1569449510711022E-3</v>
      </c>
    </row>
    <row r="3887" spans="18:21" x14ac:dyDescent="0.2">
      <c r="R3887" s="49">
        <v>3885</v>
      </c>
      <c r="S3887" s="59">
        <f ca="1">Dashboard!B$8* Dashboard!$F$4+Dashboard!B$10*SQRT(Dashboard!$F$4) * _xlfn.NORM.S.INV(RAND())</f>
        <v>3.2320843658039007E-4</v>
      </c>
      <c r="T3887" s="59">
        <f ca="1">Dashboard!C$8* Dashboard!$F$4+Dashboard!C$10*SQRT(Dashboard!$F$4) * _xlfn.NORM.S.INV(RAND())</f>
        <v>-4.4586399983601907E-2</v>
      </c>
      <c r="U3887" s="59">
        <f ca="1">Dashboard!D$8* Dashboard!$F$4+Dashboard!D$10*SQRT(Dashboard!$F$4) * _xlfn.NORM.S.INV(RAND())</f>
        <v>-1.7480645938017823E-2</v>
      </c>
    </row>
    <row r="3888" spans="18:21" x14ac:dyDescent="0.2">
      <c r="R3888" s="49">
        <v>3886</v>
      </c>
      <c r="S3888" s="59">
        <f ca="1">Dashboard!B$8* Dashboard!$F$4+Dashboard!B$10*SQRT(Dashboard!$F$4) * _xlfn.NORM.S.INV(RAND())</f>
        <v>-1.6412827162283563E-2</v>
      </c>
      <c r="T3888" s="59">
        <f ca="1">Dashboard!C$8* Dashboard!$F$4+Dashboard!C$10*SQRT(Dashboard!$F$4) * _xlfn.NORM.S.INV(RAND())</f>
        <v>3.3855343917382576E-2</v>
      </c>
      <c r="U3888" s="59">
        <f ca="1">Dashboard!D$8* Dashboard!$F$4+Dashboard!D$10*SQRT(Dashboard!$F$4) * _xlfn.NORM.S.INV(RAND())</f>
        <v>1.2421828714617614E-2</v>
      </c>
    </row>
    <row r="3889" spans="18:21" x14ac:dyDescent="0.2">
      <c r="R3889" s="49">
        <v>3887</v>
      </c>
      <c r="S3889" s="59">
        <f ca="1">Dashboard!B$8* Dashboard!$F$4+Dashboard!B$10*SQRT(Dashboard!$F$4) * _xlfn.NORM.S.INV(RAND())</f>
        <v>4.5569084734149383E-2</v>
      </c>
      <c r="T3889" s="59">
        <f ca="1">Dashboard!C$8* Dashboard!$F$4+Dashboard!C$10*SQRT(Dashboard!$F$4) * _xlfn.NORM.S.INV(RAND())</f>
        <v>-1.3924030390360786E-2</v>
      </c>
      <c r="U3889" s="59">
        <f ca="1">Dashboard!D$8* Dashboard!$F$4+Dashboard!D$10*SQRT(Dashboard!$F$4) * _xlfn.NORM.S.INV(RAND())</f>
        <v>4.598280828332315E-2</v>
      </c>
    </row>
    <row r="3890" spans="18:21" x14ac:dyDescent="0.2">
      <c r="R3890" s="49">
        <v>3888</v>
      </c>
      <c r="S3890" s="59">
        <f ca="1">Dashboard!B$8* Dashboard!$F$4+Dashboard!B$10*SQRT(Dashboard!$F$4) * _xlfn.NORM.S.INV(RAND())</f>
        <v>-3.038344503602625E-3</v>
      </c>
      <c r="T3890" s="59">
        <f ca="1">Dashboard!C$8* Dashboard!$F$4+Dashboard!C$10*SQRT(Dashboard!$F$4) * _xlfn.NORM.S.INV(RAND())</f>
        <v>-1.4972778173584561E-3</v>
      </c>
      <c r="U3890" s="59">
        <f ca="1">Dashboard!D$8* Dashboard!$F$4+Dashboard!D$10*SQRT(Dashboard!$F$4) * _xlfn.NORM.S.INV(RAND())</f>
        <v>2.5214981058667048E-2</v>
      </c>
    </row>
    <row r="3891" spans="18:21" x14ac:dyDescent="0.2">
      <c r="R3891" s="49">
        <v>3889</v>
      </c>
      <c r="S3891" s="59">
        <f ca="1">Dashboard!B$8* Dashboard!$F$4+Dashboard!B$10*SQRT(Dashboard!$F$4) * _xlfn.NORM.S.INV(RAND())</f>
        <v>3.6664201501469866E-2</v>
      </c>
      <c r="T3891" s="59">
        <f ca="1">Dashboard!C$8* Dashboard!$F$4+Dashboard!C$10*SQRT(Dashboard!$F$4) * _xlfn.NORM.S.INV(RAND())</f>
        <v>2.0823868229090405E-2</v>
      </c>
      <c r="U3891" s="59">
        <f ca="1">Dashboard!D$8* Dashboard!$F$4+Dashboard!D$10*SQRT(Dashboard!$F$4) * _xlfn.NORM.S.INV(RAND())</f>
        <v>1.2292141871500553E-2</v>
      </c>
    </row>
    <row r="3892" spans="18:21" x14ac:dyDescent="0.2">
      <c r="R3892" s="49">
        <v>3890</v>
      </c>
      <c r="S3892" s="59">
        <f ca="1">Dashboard!B$8* Dashboard!$F$4+Dashboard!B$10*SQRT(Dashboard!$F$4) * _xlfn.NORM.S.INV(RAND())</f>
        <v>-4.5288208349407139E-2</v>
      </c>
      <c r="T3892" s="59">
        <f ca="1">Dashboard!C$8* Dashboard!$F$4+Dashboard!C$10*SQRT(Dashboard!$F$4) * _xlfn.NORM.S.INV(RAND())</f>
        <v>1.5194132279301054E-2</v>
      </c>
      <c r="U3892" s="59">
        <f ca="1">Dashboard!D$8* Dashboard!$F$4+Dashboard!D$10*SQRT(Dashboard!$F$4) * _xlfn.NORM.S.INV(RAND())</f>
        <v>3.0377045998057482E-2</v>
      </c>
    </row>
    <row r="3893" spans="18:21" x14ac:dyDescent="0.2">
      <c r="R3893" s="49">
        <v>3891</v>
      </c>
      <c r="S3893" s="59">
        <f ca="1">Dashboard!B$8* Dashboard!$F$4+Dashboard!B$10*SQRT(Dashboard!$F$4) * _xlfn.NORM.S.INV(RAND())</f>
        <v>3.6795462079682578E-3</v>
      </c>
      <c r="T3893" s="59">
        <f ca="1">Dashboard!C$8* Dashboard!$F$4+Dashboard!C$10*SQRT(Dashboard!$F$4) * _xlfn.NORM.S.INV(RAND())</f>
        <v>-3.7643561429295522E-2</v>
      </c>
      <c r="U3893" s="59">
        <f ca="1">Dashboard!D$8* Dashboard!$F$4+Dashboard!D$10*SQRT(Dashboard!$F$4) * _xlfn.NORM.S.INV(RAND())</f>
        <v>-2.7518388033742871E-2</v>
      </c>
    </row>
    <row r="3894" spans="18:21" x14ac:dyDescent="0.2">
      <c r="R3894" s="49">
        <v>3892</v>
      </c>
      <c r="S3894" s="59">
        <f ca="1">Dashboard!B$8* Dashboard!$F$4+Dashboard!B$10*SQRT(Dashboard!$F$4) * _xlfn.NORM.S.INV(RAND())</f>
        <v>7.9221099681990471E-3</v>
      </c>
      <c r="T3894" s="59">
        <f ca="1">Dashboard!C$8* Dashboard!$F$4+Dashboard!C$10*SQRT(Dashboard!$F$4) * _xlfn.NORM.S.INV(RAND())</f>
        <v>-8.957499433569608E-3</v>
      </c>
      <c r="U3894" s="59">
        <f ca="1">Dashboard!D$8* Dashboard!$F$4+Dashboard!D$10*SQRT(Dashboard!$F$4) * _xlfn.NORM.S.INV(RAND())</f>
        <v>-9.5900388254809999E-3</v>
      </c>
    </row>
    <row r="3895" spans="18:21" x14ac:dyDescent="0.2">
      <c r="R3895" s="49">
        <v>3893</v>
      </c>
      <c r="S3895" s="59">
        <f ca="1">Dashboard!B$8* Dashboard!$F$4+Dashboard!B$10*SQRT(Dashboard!$F$4) * _xlfn.NORM.S.INV(RAND())</f>
        <v>-3.8891101839640986E-5</v>
      </c>
      <c r="T3895" s="59">
        <f ca="1">Dashboard!C$8* Dashboard!$F$4+Dashboard!C$10*SQRT(Dashboard!$F$4) * _xlfn.NORM.S.INV(RAND())</f>
        <v>4.5682780071558994E-3</v>
      </c>
      <c r="U3895" s="59">
        <f ca="1">Dashboard!D$8* Dashboard!$F$4+Dashboard!D$10*SQRT(Dashboard!$F$4) * _xlfn.NORM.S.INV(RAND())</f>
        <v>-8.2420623220239228E-2</v>
      </c>
    </row>
    <row r="3896" spans="18:21" x14ac:dyDescent="0.2">
      <c r="R3896" s="49">
        <v>3894</v>
      </c>
      <c r="S3896" s="59">
        <f ca="1">Dashboard!B$8* Dashboard!$F$4+Dashboard!B$10*SQRT(Dashboard!$F$4) * _xlfn.NORM.S.INV(RAND())</f>
        <v>-4.050145543353055E-2</v>
      </c>
      <c r="T3896" s="59">
        <f ca="1">Dashboard!C$8* Dashboard!$F$4+Dashboard!C$10*SQRT(Dashboard!$F$4) * _xlfn.NORM.S.INV(RAND())</f>
        <v>-6.457470553732976E-2</v>
      </c>
      <c r="U3896" s="59">
        <f ca="1">Dashboard!D$8* Dashboard!$F$4+Dashboard!D$10*SQRT(Dashboard!$F$4) * _xlfn.NORM.S.INV(RAND())</f>
        <v>-6.2074166051146851E-2</v>
      </c>
    </row>
    <row r="3897" spans="18:21" x14ac:dyDescent="0.2">
      <c r="R3897" s="49">
        <v>3895</v>
      </c>
      <c r="S3897" s="59">
        <f ca="1">Dashboard!B$8* Dashboard!$F$4+Dashboard!B$10*SQRT(Dashboard!$F$4) * _xlfn.NORM.S.INV(RAND())</f>
        <v>-1.2408119439466904E-2</v>
      </c>
      <c r="T3897" s="59">
        <f ca="1">Dashboard!C$8* Dashboard!$F$4+Dashboard!C$10*SQRT(Dashboard!$F$4) * _xlfn.NORM.S.INV(RAND())</f>
        <v>5.1874038520355456E-3</v>
      </c>
      <c r="U3897" s="59">
        <f ca="1">Dashboard!D$8* Dashboard!$F$4+Dashboard!D$10*SQRT(Dashboard!$F$4) * _xlfn.NORM.S.INV(RAND())</f>
        <v>3.2521913776074425E-3</v>
      </c>
    </row>
    <row r="3898" spans="18:21" x14ac:dyDescent="0.2">
      <c r="R3898" s="49">
        <v>3896</v>
      </c>
      <c r="S3898" s="59">
        <f ca="1">Dashboard!B$8* Dashboard!$F$4+Dashboard!B$10*SQRT(Dashboard!$F$4) * _xlfn.NORM.S.INV(RAND())</f>
        <v>3.8203079624594474E-2</v>
      </c>
      <c r="T3898" s="59">
        <f ca="1">Dashboard!C$8* Dashboard!$F$4+Dashboard!C$10*SQRT(Dashboard!$F$4) * _xlfn.NORM.S.INV(RAND())</f>
        <v>-2.7974702277864066E-2</v>
      </c>
      <c r="U3898" s="59">
        <f ca="1">Dashboard!D$8* Dashboard!$F$4+Dashboard!D$10*SQRT(Dashboard!$F$4) * _xlfn.NORM.S.INV(RAND())</f>
        <v>4.9268078245929194E-2</v>
      </c>
    </row>
    <row r="3899" spans="18:21" x14ac:dyDescent="0.2">
      <c r="R3899" s="49">
        <v>3897</v>
      </c>
      <c r="S3899" s="59">
        <f ca="1">Dashboard!B$8* Dashboard!$F$4+Dashboard!B$10*SQRT(Dashboard!$F$4) * _xlfn.NORM.S.INV(RAND())</f>
        <v>4.6288965835341075E-2</v>
      </c>
      <c r="T3899" s="59">
        <f ca="1">Dashboard!C$8* Dashboard!$F$4+Dashboard!C$10*SQRT(Dashboard!$F$4) * _xlfn.NORM.S.INV(RAND())</f>
        <v>5.2205482004835831E-5</v>
      </c>
      <c r="U3899" s="59">
        <f ca="1">Dashboard!D$8* Dashboard!$F$4+Dashboard!D$10*SQRT(Dashboard!$F$4) * _xlfn.NORM.S.INV(RAND())</f>
        <v>3.4550132995754899E-2</v>
      </c>
    </row>
    <row r="3900" spans="18:21" x14ac:dyDescent="0.2">
      <c r="R3900" s="49">
        <v>3898</v>
      </c>
      <c r="S3900" s="59">
        <f ca="1">Dashboard!B$8* Dashboard!$F$4+Dashboard!B$10*SQRT(Dashboard!$F$4) * _xlfn.NORM.S.INV(RAND())</f>
        <v>8.7559696451522465E-3</v>
      </c>
      <c r="T3900" s="59">
        <f ca="1">Dashboard!C$8* Dashboard!$F$4+Dashboard!C$10*SQRT(Dashboard!$F$4) * _xlfn.NORM.S.INV(RAND())</f>
        <v>-6.1753090795067134E-2</v>
      </c>
      <c r="U3900" s="59">
        <f ca="1">Dashboard!D$8* Dashboard!$F$4+Dashboard!D$10*SQRT(Dashboard!$F$4) * _xlfn.NORM.S.INV(RAND())</f>
        <v>2.297782356394093E-2</v>
      </c>
    </row>
    <row r="3901" spans="18:21" x14ac:dyDescent="0.2">
      <c r="R3901" s="49">
        <v>3899</v>
      </c>
      <c r="S3901" s="59">
        <f ca="1">Dashboard!B$8* Dashboard!$F$4+Dashboard!B$10*SQRT(Dashboard!$F$4) * _xlfn.NORM.S.INV(RAND())</f>
        <v>2.3136640283083737E-2</v>
      </c>
      <c r="T3901" s="59">
        <f ca="1">Dashboard!C$8* Dashboard!$F$4+Dashboard!C$10*SQRT(Dashboard!$F$4) * _xlfn.NORM.S.INV(RAND())</f>
        <v>1.5664377561675262E-2</v>
      </c>
      <c r="U3901" s="59">
        <f ca="1">Dashboard!D$8* Dashboard!$F$4+Dashboard!D$10*SQRT(Dashboard!$F$4) * _xlfn.NORM.S.INV(RAND())</f>
        <v>4.4761260828062935E-2</v>
      </c>
    </row>
    <row r="3902" spans="18:21" x14ac:dyDescent="0.2">
      <c r="R3902" s="49">
        <v>3900</v>
      </c>
      <c r="S3902" s="59">
        <f ca="1">Dashboard!B$8* Dashboard!$F$4+Dashboard!B$10*SQRT(Dashboard!$F$4) * _xlfn.NORM.S.INV(RAND())</f>
        <v>4.7559613863160627E-2</v>
      </c>
      <c r="T3902" s="59">
        <f ca="1">Dashboard!C$8* Dashboard!$F$4+Dashboard!C$10*SQRT(Dashboard!$F$4) * _xlfn.NORM.S.INV(RAND())</f>
        <v>1.0167790018037186E-2</v>
      </c>
      <c r="U3902" s="59">
        <f ca="1">Dashboard!D$8* Dashboard!$F$4+Dashboard!D$10*SQRT(Dashboard!$F$4) * _xlfn.NORM.S.INV(RAND())</f>
        <v>2.5982848416075646E-2</v>
      </c>
    </row>
    <row r="3903" spans="18:21" x14ac:dyDescent="0.2">
      <c r="R3903" s="49">
        <v>3901</v>
      </c>
      <c r="S3903" s="59">
        <f ca="1">Dashboard!B$8* Dashboard!$F$4+Dashboard!B$10*SQRT(Dashboard!$F$4) * _xlfn.NORM.S.INV(RAND())</f>
        <v>4.0737613263829811E-2</v>
      </c>
      <c r="T3903" s="59">
        <f ca="1">Dashboard!C$8* Dashboard!$F$4+Dashboard!C$10*SQRT(Dashboard!$F$4) * _xlfn.NORM.S.INV(RAND())</f>
        <v>5.2007833307226393E-2</v>
      </c>
      <c r="U3903" s="59">
        <f ca="1">Dashboard!D$8* Dashboard!$F$4+Dashboard!D$10*SQRT(Dashboard!$F$4) * _xlfn.NORM.S.INV(RAND())</f>
        <v>-1.7641431809463502E-2</v>
      </c>
    </row>
    <row r="3904" spans="18:21" x14ac:dyDescent="0.2">
      <c r="R3904" s="49">
        <v>3902</v>
      </c>
      <c r="S3904" s="59">
        <f ca="1">Dashboard!B$8* Dashboard!$F$4+Dashboard!B$10*SQRT(Dashboard!$F$4) * _xlfn.NORM.S.INV(RAND())</f>
        <v>2.2698763633712975E-2</v>
      </c>
      <c r="T3904" s="59">
        <f ca="1">Dashboard!C$8* Dashboard!$F$4+Dashboard!C$10*SQRT(Dashboard!$F$4) * _xlfn.NORM.S.INV(RAND())</f>
        <v>-8.8392230218155114E-4</v>
      </c>
      <c r="U3904" s="59">
        <f ca="1">Dashboard!D$8* Dashboard!$F$4+Dashboard!D$10*SQRT(Dashboard!$F$4) * _xlfn.NORM.S.INV(RAND())</f>
        <v>-1.6788670672894371E-2</v>
      </c>
    </row>
    <row r="3905" spans="18:21" x14ac:dyDescent="0.2">
      <c r="R3905" s="49">
        <v>3903</v>
      </c>
      <c r="S3905" s="59">
        <f ca="1">Dashboard!B$8* Dashboard!$F$4+Dashboard!B$10*SQRT(Dashboard!$F$4) * _xlfn.NORM.S.INV(RAND())</f>
        <v>-1.4351896589216047E-2</v>
      </c>
      <c r="T3905" s="59">
        <f ca="1">Dashboard!C$8* Dashboard!$F$4+Dashboard!C$10*SQRT(Dashboard!$F$4) * _xlfn.NORM.S.INV(RAND())</f>
        <v>-1.3622045474441496E-2</v>
      </c>
      <c r="U3905" s="59">
        <f ca="1">Dashboard!D$8* Dashboard!$F$4+Dashboard!D$10*SQRT(Dashboard!$F$4) * _xlfn.NORM.S.INV(RAND())</f>
        <v>-3.282753570715996E-2</v>
      </c>
    </row>
    <row r="3906" spans="18:21" x14ac:dyDescent="0.2">
      <c r="R3906" s="49">
        <v>3904</v>
      </c>
      <c r="S3906" s="59">
        <f ca="1">Dashboard!B$8* Dashboard!$F$4+Dashboard!B$10*SQRT(Dashboard!$F$4) * _xlfn.NORM.S.INV(RAND())</f>
        <v>-4.0354089771340602E-3</v>
      </c>
      <c r="T3906" s="59">
        <f ca="1">Dashboard!C$8* Dashboard!$F$4+Dashboard!C$10*SQRT(Dashboard!$F$4) * _xlfn.NORM.S.INV(RAND())</f>
        <v>-9.4643113074906957E-2</v>
      </c>
      <c r="U3906" s="59">
        <f ca="1">Dashboard!D$8* Dashboard!$F$4+Dashboard!D$10*SQRT(Dashboard!$F$4) * _xlfn.NORM.S.INV(RAND())</f>
        <v>2.6831883547724828E-2</v>
      </c>
    </row>
    <row r="3907" spans="18:21" x14ac:dyDescent="0.2">
      <c r="R3907" s="49">
        <v>3905</v>
      </c>
      <c r="S3907" s="59">
        <f ca="1">Dashboard!B$8* Dashboard!$F$4+Dashboard!B$10*SQRT(Dashboard!$F$4) * _xlfn.NORM.S.INV(RAND())</f>
        <v>-2.4849688367658523E-2</v>
      </c>
      <c r="T3907" s="59">
        <f ca="1">Dashboard!C$8* Dashboard!$F$4+Dashboard!C$10*SQRT(Dashboard!$F$4) * _xlfn.NORM.S.INV(RAND())</f>
        <v>1.4924050180629804E-2</v>
      </c>
      <c r="U3907" s="59">
        <f ca="1">Dashboard!D$8* Dashboard!$F$4+Dashboard!D$10*SQRT(Dashboard!$F$4) * _xlfn.NORM.S.INV(RAND())</f>
        <v>-9.0898968003931158E-2</v>
      </c>
    </row>
    <row r="3908" spans="18:21" x14ac:dyDescent="0.2">
      <c r="R3908" s="49">
        <v>3906</v>
      </c>
      <c r="S3908" s="59">
        <f ca="1">Dashboard!B$8* Dashboard!$F$4+Dashboard!B$10*SQRT(Dashboard!$F$4) * _xlfn.NORM.S.INV(RAND())</f>
        <v>2.4617580644860422E-2</v>
      </c>
      <c r="T3908" s="59">
        <f ca="1">Dashboard!C$8* Dashboard!$F$4+Dashboard!C$10*SQRT(Dashboard!$F$4) * _xlfn.NORM.S.INV(RAND())</f>
        <v>5.5631850238093639E-2</v>
      </c>
      <c r="U3908" s="59">
        <f ca="1">Dashboard!D$8* Dashboard!$F$4+Dashboard!D$10*SQRT(Dashboard!$F$4) * _xlfn.NORM.S.INV(RAND())</f>
        <v>-2.1056446738089169E-2</v>
      </c>
    </row>
    <row r="3909" spans="18:21" x14ac:dyDescent="0.2">
      <c r="R3909" s="49">
        <v>3907</v>
      </c>
      <c r="S3909" s="59">
        <f ca="1">Dashboard!B$8* Dashboard!$F$4+Dashboard!B$10*SQRT(Dashboard!$F$4) * _xlfn.NORM.S.INV(RAND())</f>
        <v>-6.3800583642336459E-3</v>
      </c>
      <c r="T3909" s="59">
        <f ca="1">Dashboard!C$8* Dashboard!$F$4+Dashboard!C$10*SQRT(Dashboard!$F$4) * _xlfn.NORM.S.INV(RAND())</f>
        <v>-3.520685592451734E-2</v>
      </c>
      <c r="U3909" s="59">
        <f ca="1">Dashboard!D$8* Dashboard!$F$4+Dashboard!D$10*SQRT(Dashboard!$F$4) * _xlfn.NORM.S.INV(RAND())</f>
        <v>-2.7815581093811326E-2</v>
      </c>
    </row>
    <row r="3910" spans="18:21" x14ac:dyDescent="0.2">
      <c r="R3910" s="49">
        <v>3908</v>
      </c>
      <c r="S3910" s="59">
        <f ca="1">Dashboard!B$8* Dashboard!$F$4+Dashboard!B$10*SQRT(Dashboard!$F$4) * _xlfn.NORM.S.INV(RAND())</f>
        <v>1.7567305250923548E-3</v>
      </c>
      <c r="T3910" s="59">
        <f ca="1">Dashboard!C$8* Dashboard!$F$4+Dashboard!C$10*SQRT(Dashboard!$F$4) * _xlfn.NORM.S.INV(RAND())</f>
        <v>-5.8952706641115848E-2</v>
      </c>
      <c r="U3910" s="59">
        <f ca="1">Dashboard!D$8* Dashboard!$F$4+Dashboard!D$10*SQRT(Dashboard!$F$4) * _xlfn.NORM.S.INV(RAND())</f>
        <v>1.98275414811479E-2</v>
      </c>
    </row>
    <row r="3911" spans="18:21" x14ac:dyDescent="0.2">
      <c r="R3911" s="49">
        <v>3909</v>
      </c>
      <c r="S3911" s="59">
        <f ca="1">Dashboard!B$8* Dashboard!$F$4+Dashboard!B$10*SQRT(Dashboard!$F$4) * _xlfn.NORM.S.INV(RAND())</f>
        <v>8.8659963268623021E-3</v>
      </c>
      <c r="T3911" s="59">
        <f ca="1">Dashboard!C$8* Dashboard!$F$4+Dashboard!C$10*SQRT(Dashboard!$F$4) * _xlfn.NORM.S.INV(RAND())</f>
        <v>5.2498889259905229E-2</v>
      </c>
      <c r="U3911" s="59">
        <f ca="1">Dashboard!D$8* Dashboard!$F$4+Dashboard!D$10*SQRT(Dashboard!$F$4) * _xlfn.NORM.S.INV(RAND())</f>
        <v>1.6905920323901827E-2</v>
      </c>
    </row>
    <row r="3912" spans="18:21" x14ac:dyDescent="0.2">
      <c r="R3912" s="49">
        <v>3910</v>
      </c>
      <c r="S3912" s="59">
        <f ca="1">Dashboard!B$8* Dashboard!$F$4+Dashboard!B$10*SQRT(Dashboard!$F$4) * _xlfn.NORM.S.INV(RAND())</f>
        <v>-2.3448983950941471E-2</v>
      </c>
      <c r="T3912" s="59">
        <f ca="1">Dashboard!C$8* Dashboard!$F$4+Dashboard!C$10*SQRT(Dashboard!$F$4) * _xlfn.NORM.S.INV(RAND())</f>
        <v>-2.4813121179489146E-2</v>
      </c>
      <c r="U3912" s="59">
        <f ca="1">Dashboard!D$8* Dashboard!$F$4+Dashboard!D$10*SQRT(Dashboard!$F$4) * _xlfn.NORM.S.INV(RAND())</f>
        <v>3.6527998530844755E-4</v>
      </c>
    </row>
    <row r="3913" spans="18:21" x14ac:dyDescent="0.2">
      <c r="R3913" s="49">
        <v>3911</v>
      </c>
      <c r="S3913" s="59">
        <f ca="1">Dashboard!B$8* Dashboard!$F$4+Dashboard!B$10*SQRT(Dashboard!$F$4) * _xlfn.NORM.S.INV(RAND())</f>
        <v>1.2715932734484649E-3</v>
      </c>
      <c r="T3913" s="59">
        <f ca="1">Dashboard!C$8* Dashboard!$F$4+Dashboard!C$10*SQRT(Dashboard!$F$4) * _xlfn.NORM.S.INV(RAND())</f>
        <v>4.8009304215711347E-2</v>
      </c>
      <c r="U3913" s="59">
        <f ca="1">Dashboard!D$8* Dashboard!$F$4+Dashboard!D$10*SQRT(Dashboard!$F$4) * _xlfn.NORM.S.INV(RAND())</f>
        <v>6.2395689812475716E-2</v>
      </c>
    </row>
    <row r="3914" spans="18:21" x14ac:dyDescent="0.2">
      <c r="R3914" s="49">
        <v>3912</v>
      </c>
      <c r="S3914" s="59">
        <f ca="1">Dashboard!B$8* Dashboard!$F$4+Dashboard!B$10*SQRT(Dashboard!$F$4) * _xlfn.NORM.S.INV(RAND())</f>
        <v>4.4846961816678424E-2</v>
      </c>
      <c r="T3914" s="59">
        <f ca="1">Dashboard!C$8* Dashboard!$F$4+Dashboard!C$10*SQRT(Dashboard!$F$4) * _xlfn.NORM.S.INV(RAND())</f>
        <v>2.2463284904679574E-2</v>
      </c>
      <c r="U3914" s="59">
        <f ca="1">Dashboard!D$8* Dashboard!$F$4+Dashboard!D$10*SQRT(Dashboard!$F$4) * _xlfn.NORM.S.INV(RAND())</f>
        <v>2.8576595612233982E-2</v>
      </c>
    </row>
    <row r="3915" spans="18:21" x14ac:dyDescent="0.2">
      <c r="R3915" s="49">
        <v>3913</v>
      </c>
      <c r="S3915" s="59">
        <f ca="1">Dashboard!B$8* Dashboard!$F$4+Dashboard!B$10*SQRT(Dashboard!$F$4) * _xlfn.NORM.S.INV(RAND())</f>
        <v>5.4683511091032019E-3</v>
      </c>
      <c r="T3915" s="59">
        <f ca="1">Dashboard!C$8* Dashboard!$F$4+Dashboard!C$10*SQRT(Dashboard!$F$4) * _xlfn.NORM.S.INV(RAND())</f>
        <v>6.2772402572843389E-2</v>
      </c>
      <c r="U3915" s="59">
        <f ca="1">Dashboard!D$8* Dashboard!$F$4+Dashboard!D$10*SQRT(Dashboard!$F$4) * _xlfn.NORM.S.INV(RAND())</f>
        <v>2.634603818283816E-2</v>
      </c>
    </row>
    <row r="3916" spans="18:21" x14ac:dyDescent="0.2">
      <c r="R3916" s="49">
        <v>3914</v>
      </c>
      <c r="S3916" s="59">
        <f ca="1">Dashboard!B$8* Dashboard!$F$4+Dashboard!B$10*SQRT(Dashboard!$F$4) * _xlfn.NORM.S.INV(RAND())</f>
        <v>-1.4667411988753289E-2</v>
      </c>
      <c r="T3916" s="59">
        <f ca="1">Dashboard!C$8* Dashboard!$F$4+Dashboard!C$10*SQRT(Dashboard!$F$4) * _xlfn.NORM.S.INV(RAND())</f>
        <v>1.6691717877700508E-2</v>
      </c>
      <c r="U3916" s="59">
        <f ca="1">Dashboard!D$8* Dashboard!$F$4+Dashboard!D$10*SQRT(Dashboard!$F$4) * _xlfn.NORM.S.INV(RAND())</f>
        <v>-3.6452200691428863E-2</v>
      </c>
    </row>
    <row r="3917" spans="18:21" x14ac:dyDescent="0.2">
      <c r="R3917" s="49">
        <v>3915</v>
      </c>
      <c r="S3917" s="59">
        <f ca="1">Dashboard!B$8* Dashboard!$F$4+Dashboard!B$10*SQRT(Dashboard!$F$4) * _xlfn.NORM.S.INV(RAND())</f>
        <v>-1.0502439171628263E-2</v>
      </c>
      <c r="T3917" s="59">
        <f ca="1">Dashboard!C$8* Dashboard!$F$4+Dashboard!C$10*SQRT(Dashboard!$F$4) * _xlfn.NORM.S.INV(RAND())</f>
        <v>1.3215494594768951E-2</v>
      </c>
      <c r="U3917" s="59">
        <f ca="1">Dashboard!D$8* Dashboard!$F$4+Dashboard!D$10*SQRT(Dashboard!$F$4) * _xlfn.NORM.S.INV(RAND())</f>
        <v>3.1811596697559645E-3</v>
      </c>
    </row>
    <row r="3918" spans="18:21" x14ac:dyDescent="0.2">
      <c r="R3918" s="49">
        <v>3916</v>
      </c>
      <c r="S3918" s="59">
        <f ca="1">Dashboard!B$8* Dashboard!$F$4+Dashboard!B$10*SQRT(Dashboard!$F$4) * _xlfn.NORM.S.INV(RAND())</f>
        <v>-3.0603405577251585E-3</v>
      </c>
      <c r="T3918" s="59">
        <f ca="1">Dashboard!C$8* Dashboard!$F$4+Dashboard!C$10*SQRT(Dashboard!$F$4) * _xlfn.NORM.S.INV(RAND())</f>
        <v>2.0543910183849257E-2</v>
      </c>
      <c r="U3918" s="59">
        <f ca="1">Dashboard!D$8* Dashboard!$F$4+Dashboard!D$10*SQRT(Dashboard!$F$4) * _xlfn.NORM.S.INV(RAND())</f>
        <v>1.4867013970981844E-3</v>
      </c>
    </row>
    <row r="3919" spans="18:21" x14ac:dyDescent="0.2">
      <c r="R3919" s="49">
        <v>3917</v>
      </c>
      <c r="S3919" s="59">
        <f ca="1">Dashboard!B$8* Dashboard!$F$4+Dashboard!B$10*SQRT(Dashboard!$F$4) * _xlfn.NORM.S.INV(RAND())</f>
        <v>3.9905710360083294E-2</v>
      </c>
      <c r="T3919" s="59">
        <f ca="1">Dashboard!C$8* Dashboard!$F$4+Dashboard!C$10*SQRT(Dashboard!$F$4) * _xlfn.NORM.S.INV(RAND())</f>
        <v>1.1045863383961976E-2</v>
      </c>
      <c r="U3919" s="59">
        <f ca="1">Dashboard!D$8* Dashboard!$F$4+Dashboard!D$10*SQRT(Dashboard!$F$4) * _xlfn.NORM.S.INV(RAND())</f>
        <v>3.7705652282771375E-2</v>
      </c>
    </row>
    <row r="3920" spans="18:21" x14ac:dyDescent="0.2">
      <c r="R3920" s="49">
        <v>3918</v>
      </c>
      <c r="S3920" s="59">
        <f ca="1">Dashboard!B$8* Dashboard!$F$4+Dashboard!B$10*SQRT(Dashboard!$F$4) * _xlfn.NORM.S.INV(RAND())</f>
        <v>-8.841114718452267E-3</v>
      </c>
      <c r="T3920" s="59">
        <f ca="1">Dashboard!C$8* Dashboard!$F$4+Dashboard!C$10*SQRT(Dashboard!$F$4) * _xlfn.NORM.S.INV(RAND())</f>
        <v>4.5658240496600312E-2</v>
      </c>
      <c r="U3920" s="59">
        <f ca="1">Dashboard!D$8* Dashboard!$F$4+Dashboard!D$10*SQRT(Dashboard!$F$4) * _xlfn.NORM.S.INV(RAND())</f>
        <v>-2.2808239177427855E-2</v>
      </c>
    </row>
    <row r="3921" spans="18:21" x14ac:dyDescent="0.2">
      <c r="R3921" s="49">
        <v>3919</v>
      </c>
      <c r="S3921" s="59">
        <f ca="1">Dashboard!B$8* Dashboard!$F$4+Dashboard!B$10*SQRT(Dashboard!$F$4) * _xlfn.NORM.S.INV(RAND())</f>
        <v>-0.10861333934392885</v>
      </c>
      <c r="T3921" s="59">
        <f ca="1">Dashboard!C$8* Dashboard!$F$4+Dashboard!C$10*SQRT(Dashboard!$F$4) * _xlfn.NORM.S.INV(RAND())</f>
        <v>-2.9788829731799023E-2</v>
      </c>
      <c r="U3921" s="59">
        <f ca="1">Dashboard!D$8* Dashboard!$F$4+Dashboard!D$10*SQRT(Dashboard!$F$4) * _xlfn.NORM.S.INV(RAND())</f>
        <v>1.69556865089809E-2</v>
      </c>
    </row>
    <row r="3922" spans="18:21" x14ac:dyDescent="0.2">
      <c r="R3922" s="49">
        <v>3920</v>
      </c>
      <c r="S3922" s="59">
        <f ca="1">Dashboard!B$8* Dashboard!$F$4+Dashboard!B$10*SQRT(Dashboard!$F$4) * _xlfn.NORM.S.INV(RAND())</f>
        <v>-1.0371340271275657E-3</v>
      </c>
      <c r="T3922" s="59">
        <f ca="1">Dashboard!C$8* Dashboard!$F$4+Dashboard!C$10*SQRT(Dashboard!$F$4) * _xlfn.NORM.S.INV(RAND())</f>
        <v>1.1618084594308594E-2</v>
      </c>
      <c r="U3922" s="59">
        <f ca="1">Dashboard!D$8* Dashboard!$F$4+Dashboard!D$10*SQRT(Dashboard!$F$4) * _xlfn.NORM.S.INV(RAND())</f>
        <v>-1.6150496751457789E-2</v>
      </c>
    </row>
    <row r="3923" spans="18:21" x14ac:dyDescent="0.2">
      <c r="R3923" s="49">
        <v>3921</v>
      </c>
      <c r="S3923" s="59">
        <f ca="1">Dashboard!B$8* Dashboard!$F$4+Dashboard!B$10*SQRT(Dashboard!$F$4) * _xlfn.NORM.S.INV(RAND())</f>
        <v>3.7390256127160008E-2</v>
      </c>
      <c r="T3923" s="59">
        <f ca="1">Dashboard!C$8* Dashboard!$F$4+Dashboard!C$10*SQRT(Dashboard!$F$4) * _xlfn.NORM.S.INV(RAND())</f>
        <v>2.8907337402548795E-3</v>
      </c>
      <c r="U3923" s="59">
        <f ca="1">Dashboard!D$8* Dashboard!$F$4+Dashboard!D$10*SQRT(Dashboard!$F$4) * _xlfn.NORM.S.INV(RAND())</f>
        <v>2.8475415541952764E-2</v>
      </c>
    </row>
    <row r="3924" spans="18:21" x14ac:dyDescent="0.2">
      <c r="R3924" s="49">
        <v>3922</v>
      </c>
      <c r="S3924" s="59">
        <f ca="1">Dashboard!B$8* Dashboard!$F$4+Dashboard!B$10*SQRT(Dashboard!$F$4) * _xlfn.NORM.S.INV(RAND())</f>
        <v>-1.4910220679973666E-2</v>
      </c>
      <c r="T3924" s="59">
        <f ca="1">Dashboard!C$8* Dashboard!$F$4+Dashboard!C$10*SQRT(Dashboard!$F$4) * _xlfn.NORM.S.INV(RAND())</f>
        <v>6.2377318841189021E-3</v>
      </c>
      <c r="U3924" s="59">
        <f ca="1">Dashboard!D$8* Dashboard!$F$4+Dashboard!D$10*SQRT(Dashboard!$F$4) * _xlfn.NORM.S.INV(RAND())</f>
        <v>4.9724233414426472E-2</v>
      </c>
    </row>
    <row r="3925" spans="18:21" x14ac:dyDescent="0.2">
      <c r="R3925" s="49">
        <v>3923</v>
      </c>
      <c r="S3925" s="59">
        <f ca="1">Dashboard!B$8* Dashboard!$F$4+Dashboard!B$10*SQRT(Dashboard!$F$4) * _xlfn.NORM.S.INV(RAND())</f>
        <v>1.2409136909695117E-2</v>
      </c>
      <c r="T3925" s="59">
        <f ca="1">Dashboard!C$8* Dashboard!$F$4+Dashboard!C$10*SQRT(Dashboard!$F$4) * _xlfn.NORM.S.INV(RAND())</f>
        <v>3.555252593680229E-2</v>
      </c>
      <c r="U3925" s="59">
        <f ca="1">Dashboard!D$8* Dashboard!$F$4+Dashboard!D$10*SQRT(Dashboard!$F$4) * _xlfn.NORM.S.INV(RAND())</f>
        <v>-2.4842393708625524E-2</v>
      </c>
    </row>
    <row r="3926" spans="18:21" x14ac:dyDescent="0.2">
      <c r="R3926" s="49">
        <v>3924</v>
      </c>
      <c r="S3926" s="59">
        <f ca="1">Dashboard!B$8* Dashboard!$F$4+Dashboard!B$10*SQRT(Dashboard!$F$4) * _xlfn.NORM.S.INV(RAND())</f>
        <v>-4.0832198079536447E-2</v>
      </c>
      <c r="T3926" s="59">
        <f ca="1">Dashboard!C$8* Dashboard!$F$4+Dashboard!C$10*SQRT(Dashboard!$F$4) * _xlfn.NORM.S.INV(RAND())</f>
        <v>-4.7628604829370758E-2</v>
      </c>
      <c r="U3926" s="59">
        <f ca="1">Dashboard!D$8* Dashboard!$F$4+Dashboard!D$10*SQRT(Dashboard!$F$4) * _xlfn.NORM.S.INV(RAND())</f>
        <v>7.9658420798518169E-3</v>
      </c>
    </row>
    <row r="3927" spans="18:21" x14ac:dyDescent="0.2">
      <c r="R3927" s="49">
        <v>3925</v>
      </c>
      <c r="S3927" s="59">
        <f ca="1">Dashboard!B$8* Dashboard!$F$4+Dashboard!B$10*SQRT(Dashboard!$F$4) * _xlfn.NORM.S.INV(RAND())</f>
        <v>9.6129264165744702E-3</v>
      </c>
      <c r="T3927" s="59">
        <f ca="1">Dashboard!C$8* Dashboard!$F$4+Dashboard!C$10*SQRT(Dashboard!$F$4) * _xlfn.NORM.S.INV(RAND())</f>
        <v>-9.9692366175447439E-4</v>
      </c>
      <c r="U3927" s="59">
        <f ca="1">Dashboard!D$8* Dashboard!$F$4+Dashboard!D$10*SQRT(Dashboard!$F$4) * _xlfn.NORM.S.INV(RAND())</f>
        <v>3.394997625034795E-2</v>
      </c>
    </row>
    <row r="3928" spans="18:21" x14ac:dyDescent="0.2">
      <c r="R3928" s="49">
        <v>3926</v>
      </c>
      <c r="S3928" s="59">
        <f ca="1">Dashboard!B$8* Dashboard!$F$4+Dashboard!B$10*SQRT(Dashboard!$F$4) * _xlfn.NORM.S.INV(RAND())</f>
        <v>-4.1170306384074769E-2</v>
      </c>
      <c r="T3928" s="59">
        <f ca="1">Dashboard!C$8* Dashboard!$F$4+Dashboard!C$10*SQRT(Dashboard!$F$4) * _xlfn.NORM.S.INV(RAND())</f>
        <v>3.9799618637655736E-2</v>
      </c>
      <c r="U3928" s="59">
        <f ca="1">Dashboard!D$8* Dashboard!$F$4+Dashboard!D$10*SQRT(Dashboard!$F$4) * _xlfn.NORM.S.INV(RAND())</f>
        <v>-4.1938314938677161E-2</v>
      </c>
    </row>
    <row r="3929" spans="18:21" x14ac:dyDescent="0.2">
      <c r="R3929" s="49">
        <v>3927</v>
      </c>
      <c r="S3929" s="59">
        <f ca="1">Dashboard!B$8* Dashboard!$F$4+Dashboard!B$10*SQRT(Dashboard!$F$4) * _xlfn.NORM.S.INV(RAND())</f>
        <v>7.9779649764308031E-3</v>
      </c>
      <c r="T3929" s="59">
        <f ca="1">Dashboard!C$8* Dashboard!$F$4+Dashboard!C$10*SQRT(Dashboard!$F$4) * _xlfn.NORM.S.INV(RAND())</f>
        <v>-3.2507865336465915E-2</v>
      </c>
      <c r="U3929" s="59">
        <f ca="1">Dashboard!D$8* Dashboard!$F$4+Dashboard!D$10*SQRT(Dashboard!$F$4) * _xlfn.NORM.S.INV(RAND())</f>
        <v>-8.1430024984955056E-4</v>
      </c>
    </row>
    <row r="3930" spans="18:21" x14ac:dyDescent="0.2">
      <c r="R3930" s="49">
        <v>3928</v>
      </c>
      <c r="S3930" s="59">
        <f ca="1">Dashboard!B$8* Dashboard!$F$4+Dashboard!B$10*SQRT(Dashboard!$F$4) * _xlfn.NORM.S.INV(RAND())</f>
        <v>-5.0258740611144853E-2</v>
      </c>
      <c r="T3930" s="59">
        <f ca="1">Dashboard!C$8* Dashboard!$F$4+Dashboard!C$10*SQRT(Dashboard!$F$4) * _xlfn.NORM.S.INV(RAND())</f>
        <v>2.8233934781301987E-2</v>
      </c>
      <c r="U3930" s="59">
        <f ca="1">Dashboard!D$8* Dashboard!$F$4+Dashboard!D$10*SQRT(Dashboard!$F$4) * _xlfn.NORM.S.INV(RAND())</f>
        <v>-1.1594438361901027E-2</v>
      </c>
    </row>
    <row r="3931" spans="18:21" x14ac:dyDescent="0.2">
      <c r="R3931" s="49">
        <v>3929</v>
      </c>
      <c r="S3931" s="59">
        <f ca="1">Dashboard!B$8* Dashboard!$F$4+Dashboard!B$10*SQRT(Dashboard!$F$4) * _xlfn.NORM.S.INV(RAND())</f>
        <v>-1.5904626211039653E-2</v>
      </c>
      <c r="T3931" s="59">
        <f ca="1">Dashboard!C$8* Dashboard!$F$4+Dashboard!C$10*SQRT(Dashboard!$F$4) * _xlfn.NORM.S.INV(RAND())</f>
        <v>7.5026066796672775E-3</v>
      </c>
      <c r="U3931" s="59">
        <f ca="1">Dashboard!D$8* Dashboard!$F$4+Dashboard!D$10*SQRT(Dashboard!$F$4) * _xlfn.NORM.S.INV(RAND())</f>
        <v>2.7902559493734685E-2</v>
      </c>
    </row>
    <row r="3932" spans="18:21" x14ac:dyDescent="0.2">
      <c r="R3932" s="49">
        <v>3930</v>
      </c>
      <c r="S3932" s="59">
        <f ca="1">Dashboard!B$8* Dashboard!$F$4+Dashboard!B$10*SQRT(Dashboard!$F$4) * _xlfn.NORM.S.INV(RAND())</f>
        <v>-2.7972282835131923E-2</v>
      </c>
      <c r="T3932" s="59">
        <f ca="1">Dashboard!C$8* Dashboard!$F$4+Dashboard!C$10*SQRT(Dashboard!$F$4) * _xlfn.NORM.S.INV(RAND())</f>
        <v>-2.1772420117786462E-2</v>
      </c>
      <c r="U3932" s="59">
        <f ca="1">Dashboard!D$8* Dashboard!$F$4+Dashboard!D$10*SQRT(Dashboard!$F$4) * _xlfn.NORM.S.INV(RAND())</f>
        <v>-6.3306811148406653E-2</v>
      </c>
    </row>
    <row r="3933" spans="18:21" x14ac:dyDescent="0.2">
      <c r="R3933" s="49">
        <v>3931</v>
      </c>
      <c r="S3933" s="59">
        <f ca="1">Dashboard!B$8* Dashboard!$F$4+Dashboard!B$10*SQRT(Dashboard!$F$4) * _xlfn.NORM.S.INV(RAND())</f>
        <v>4.4841841075653633E-3</v>
      </c>
      <c r="T3933" s="59">
        <f ca="1">Dashboard!C$8* Dashboard!$F$4+Dashboard!C$10*SQRT(Dashboard!$F$4) * _xlfn.NORM.S.INV(RAND())</f>
        <v>2.5808731874615146E-2</v>
      </c>
      <c r="U3933" s="59">
        <f ca="1">Dashboard!D$8* Dashboard!$F$4+Dashboard!D$10*SQRT(Dashboard!$F$4) * _xlfn.NORM.S.INV(RAND())</f>
        <v>-2.2856023012807616E-2</v>
      </c>
    </row>
    <row r="3934" spans="18:21" x14ac:dyDescent="0.2">
      <c r="R3934" s="49">
        <v>3932</v>
      </c>
      <c r="S3934" s="59">
        <f ca="1">Dashboard!B$8* Dashboard!$F$4+Dashboard!B$10*SQRT(Dashboard!$F$4) * _xlfn.NORM.S.INV(RAND())</f>
        <v>-1.5641083143783603E-2</v>
      </c>
      <c r="T3934" s="59">
        <f ca="1">Dashboard!C$8* Dashboard!$F$4+Dashboard!C$10*SQRT(Dashboard!$F$4) * _xlfn.NORM.S.INV(RAND())</f>
        <v>1.3149874364543762E-2</v>
      </c>
      <c r="U3934" s="59">
        <f ca="1">Dashboard!D$8* Dashboard!$F$4+Dashboard!D$10*SQRT(Dashboard!$F$4) * _xlfn.NORM.S.INV(RAND())</f>
        <v>-1.1102069011263344E-2</v>
      </c>
    </row>
    <row r="3935" spans="18:21" x14ac:dyDescent="0.2">
      <c r="R3935" s="49">
        <v>3933</v>
      </c>
      <c r="S3935" s="59">
        <f ca="1">Dashboard!B$8* Dashboard!$F$4+Dashboard!B$10*SQRT(Dashboard!$F$4) * _xlfn.NORM.S.INV(RAND())</f>
        <v>9.5152043589951472E-3</v>
      </c>
      <c r="T3935" s="59">
        <f ca="1">Dashboard!C$8* Dashboard!$F$4+Dashboard!C$10*SQRT(Dashboard!$F$4) * _xlfn.NORM.S.INV(RAND())</f>
        <v>-1.9623881004377688E-2</v>
      </c>
      <c r="U3935" s="59">
        <f ca="1">Dashboard!D$8* Dashboard!$F$4+Dashboard!D$10*SQRT(Dashboard!$F$4) * _xlfn.NORM.S.INV(RAND())</f>
        <v>2.4135922750031086E-2</v>
      </c>
    </row>
    <row r="3936" spans="18:21" x14ac:dyDescent="0.2">
      <c r="R3936" s="49">
        <v>3934</v>
      </c>
      <c r="S3936" s="59">
        <f ca="1">Dashboard!B$8* Dashboard!$F$4+Dashboard!B$10*SQRT(Dashboard!$F$4) * _xlfn.NORM.S.INV(RAND())</f>
        <v>1.144703195927258E-2</v>
      </c>
      <c r="T3936" s="59">
        <f ca="1">Dashboard!C$8* Dashboard!$F$4+Dashboard!C$10*SQRT(Dashboard!$F$4) * _xlfn.NORM.S.INV(RAND())</f>
        <v>-2.9986519122054692E-2</v>
      </c>
      <c r="U3936" s="59">
        <f ca="1">Dashboard!D$8* Dashboard!$F$4+Dashboard!D$10*SQRT(Dashboard!$F$4) * _xlfn.NORM.S.INV(RAND())</f>
        <v>2.3815420074917392E-2</v>
      </c>
    </row>
    <row r="3937" spans="18:21" x14ac:dyDescent="0.2">
      <c r="R3937" s="49">
        <v>3935</v>
      </c>
      <c r="S3937" s="59">
        <f ca="1">Dashboard!B$8* Dashboard!$F$4+Dashboard!B$10*SQRT(Dashboard!$F$4) * _xlfn.NORM.S.INV(RAND())</f>
        <v>-4.5418479912512745E-4</v>
      </c>
      <c r="T3937" s="59">
        <f ca="1">Dashboard!C$8* Dashboard!$F$4+Dashboard!C$10*SQRT(Dashboard!$F$4) * _xlfn.NORM.S.INV(RAND())</f>
        <v>-3.6751373341717887E-2</v>
      </c>
      <c r="U3937" s="59">
        <f ca="1">Dashboard!D$8* Dashboard!$F$4+Dashboard!D$10*SQRT(Dashboard!$F$4) * _xlfn.NORM.S.INV(RAND())</f>
        <v>-3.5290968515220395E-4</v>
      </c>
    </row>
    <row r="3938" spans="18:21" x14ac:dyDescent="0.2">
      <c r="R3938" s="49">
        <v>3936</v>
      </c>
      <c r="S3938" s="59">
        <f ca="1">Dashboard!B$8* Dashboard!$F$4+Dashboard!B$10*SQRT(Dashboard!$F$4) * _xlfn.NORM.S.INV(RAND())</f>
        <v>-4.8791394688582276E-2</v>
      </c>
      <c r="T3938" s="59">
        <f ca="1">Dashboard!C$8* Dashboard!$F$4+Dashboard!C$10*SQRT(Dashboard!$F$4) * _xlfn.NORM.S.INV(RAND())</f>
        <v>-6.3857874150795883E-3</v>
      </c>
      <c r="U3938" s="59">
        <f ca="1">Dashboard!D$8* Dashboard!$F$4+Dashboard!D$10*SQRT(Dashboard!$F$4) * _xlfn.NORM.S.INV(RAND())</f>
        <v>2.2346899312615836E-2</v>
      </c>
    </row>
    <row r="3939" spans="18:21" x14ac:dyDescent="0.2">
      <c r="R3939" s="49">
        <v>3937</v>
      </c>
      <c r="S3939" s="59">
        <f ca="1">Dashboard!B$8* Dashboard!$F$4+Dashboard!B$10*SQRT(Dashboard!$F$4) * _xlfn.NORM.S.INV(RAND())</f>
        <v>-5.5056426761592545E-2</v>
      </c>
      <c r="T3939" s="59">
        <f ca="1">Dashboard!C$8* Dashboard!$F$4+Dashboard!C$10*SQRT(Dashboard!$F$4) * _xlfn.NORM.S.INV(RAND())</f>
        <v>1.4658216656589552E-2</v>
      </c>
      <c r="U3939" s="59">
        <f ca="1">Dashboard!D$8* Dashboard!$F$4+Dashboard!D$10*SQRT(Dashboard!$F$4) * _xlfn.NORM.S.INV(RAND())</f>
        <v>2.190798057094118E-2</v>
      </c>
    </row>
    <row r="3940" spans="18:21" x14ac:dyDescent="0.2">
      <c r="R3940" s="49">
        <v>3938</v>
      </c>
      <c r="S3940" s="59">
        <f ca="1">Dashboard!B$8* Dashboard!$F$4+Dashboard!B$10*SQRT(Dashboard!$F$4) * _xlfn.NORM.S.INV(RAND())</f>
        <v>-6.8942624267000225E-3</v>
      </c>
      <c r="T3940" s="59">
        <f ca="1">Dashboard!C$8* Dashboard!$F$4+Dashboard!C$10*SQRT(Dashboard!$F$4) * _xlfn.NORM.S.INV(RAND())</f>
        <v>-1.3224262023995396E-2</v>
      </c>
      <c r="U3940" s="59">
        <f ca="1">Dashboard!D$8* Dashboard!$F$4+Dashboard!D$10*SQRT(Dashboard!$F$4) * _xlfn.NORM.S.INV(RAND())</f>
        <v>-2.0750497278050766E-2</v>
      </c>
    </row>
    <row r="3941" spans="18:21" x14ac:dyDescent="0.2">
      <c r="R3941" s="49">
        <v>3939</v>
      </c>
      <c r="S3941" s="59">
        <f ca="1">Dashboard!B$8* Dashboard!$F$4+Dashboard!B$10*SQRT(Dashboard!$F$4) * _xlfn.NORM.S.INV(RAND())</f>
        <v>1.0389107449956362E-2</v>
      </c>
      <c r="T3941" s="59">
        <f ca="1">Dashboard!C$8* Dashboard!$F$4+Dashboard!C$10*SQRT(Dashboard!$F$4) * _xlfn.NORM.S.INV(RAND())</f>
        <v>1.6024786301731084E-2</v>
      </c>
      <c r="U3941" s="59">
        <f ca="1">Dashboard!D$8* Dashboard!$F$4+Dashboard!D$10*SQRT(Dashboard!$F$4) * _xlfn.NORM.S.INV(RAND())</f>
        <v>-2.5396148001723927E-3</v>
      </c>
    </row>
    <row r="3942" spans="18:21" x14ac:dyDescent="0.2">
      <c r="R3942" s="49">
        <v>3940</v>
      </c>
      <c r="S3942" s="59">
        <f ca="1">Dashboard!B$8* Dashboard!$F$4+Dashboard!B$10*SQRT(Dashboard!$F$4) * _xlfn.NORM.S.INV(RAND())</f>
        <v>-1.354326976731106E-3</v>
      </c>
      <c r="T3942" s="59">
        <f ca="1">Dashboard!C$8* Dashboard!$F$4+Dashboard!C$10*SQRT(Dashboard!$F$4) * _xlfn.NORM.S.INV(RAND())</f>
        <v>-3.2938565716172888E-2</v>
      </c>
      <c r="U3942" s="59">
        <f ca="1">Dashboard!D$8* Dashboard!$F$4+Dashboard!D$10*SQRT(Dashboard!$F$4) * _xlfn.NORM.S.INV(RAND())</f>
        <v>-1.2195611573697491E-2</v>
      </c>
    </row>
    <row r="3943" spans="18:21" x14ac:dyDescent="0.2">
      <c r="R3943" s="49">
        <v>3941</v>
      </c>
      <c r="S3943" s="59">
        <f ca="1">Dashboard!B$8* Dashboard!$F$4+Dashboard!B$10*SQRT(Dashboard!$F$4) * _xlfn.NORM.S.INV(RAND())</f>
        <v>1.8665115456719741E-2</v>
      </c>
      <c r="T3943" s="59">
        <f ca="1">Dashboard!C$8* Dashboard!$F$4+Dashboard!C$10*SQRT(Dashboard!$F$4) * _xlfn.NORM.S.INV(RAND())</f>
        <v>3.1157832312675902E-2</v>
      </c>
      <c r="U3943" s="59">
        <f ca="1">Dashboard!D$8* Dashboard!$F$4+Dashboard!D$10*SQRT(Dashboard!$F$4) * _xlfn.NORM.S.INV(RAND())</f>
        <v>-6.4982844406847914E-2</v>
      </c>
    </row>
    <row r="3944" spans="18:21" x14ac:dyDescent="0.2">
      <c r="R3944" s="49">
        <v>3942</v>
      </c>
      <c r="S3944" s="59">
        <f ca="1">Dashboard!B$8* Dashboard!$F$4+Dashboard!B$10*SQRT(Dashboard!$F$4) * _xlfn.NORM.S.INV(RAND())</f>
        <v>2.7806690965140159E-3</v>
      </c>
      <c r="T3944" s="59">
        <f ca="1">Dashboard!C$8* Dashboard!$F$4+Dashboard!C$10*SQRT(Dashboard!$F$4) * _xlfn.NORM.S.INV(RAND())</f>
        <v>-1.8375763961469439E-2</v>
      </c>
      <c r="U3944" s="59">
        <f ca="1">Dashboard!D$8* Dashboard!$F$4+Dashboard!D$10*SQRT(Dashboard!$F$4) * _xlfn.NORM.S.INV(RAND())</f>
        <v>-3.2132352421482907E-2</v>
      </c>
    </row>
    <row r="3945" spans="18:21" x14ac:dyDescent="0.2">
      <c r="R3945" s="49">
        <v>3943</v>
      </c>
      <c r="S3945" s="59">
        <f ca="1">Dashboard!B$8* Dashboard!$F$4+Dashboard!B$10*SQRT(Dashboard!$F$4) * _xlfn.NORM.S.INV(RAND())</f>
        <v>1.4839767666887606E-2</v>
      </c>
      <c r="T3945" s="59">
        <f ca="1">Dashboard!C$8* Dashboard!$F$4+Dashboard!C$10*SQRT(Dashboard!$F$4) * _xlfn.NORM.S.INV(RAND())</f>
        <v>-2.8603591883790032E-3</v>
      </c>
      <c r="U3945" s="59">
        <f ca="1">Dashboard!D$8* Dashboard!$F$4+Dashboard!D$10*SQRT(Dashboard!$F$4) * _xlfn.NORM.S.INV(RAND())</f>
        <v>5.0770671364379705E-3</v>
      </c>
    </row>
    <row r="3946" spans="18:21" x14ac:dyDescent="0.2">
      <c r="R3946" s="49">
        <v>3944</v>
      </c>
      <c r="S3946" s="59">
        <f ca="1">Dashboard!B$8* Dashboard!$F$4+Dashboard!B$10*SQRT(Dashboard!$F$4) * _xlfn.NORM.S.INV(RAND())</f>
        <v>2.1661487161347123E-2</v>
      </c>
      <c r="T3946" s="59">
        <f ca="1">Dashboard!C$8* Dashboard!$F$4+Dashboard!C$10*SQRT(Dashboard!$F$4) * _xlfn.NORM.S.INV(RAND())</f>
        <v>-3.2695217792473474E-2</v>
      </c>
      <c r="U3946" s="59">
        <f ca="1">Dashboard!D$8* Dashboard!$F$4+Dashboard!D$10*SQRT(Dashboard!$F$4) * _xlfn.NORM.S.INV(RAND())</f>
        <v>6.4386820917669433E-3</v>
      </c>
    </row>
    <row r="3947" spans="18:21" x14ac:dyDescent="0.2">
      <c r="R3947" s="49">
        <v>3945</v>
      </c>
      <c r="S3947" s="59">
        <f ca="1">Dashboard!B$8* Dashboard!$F$4+Dashboard!B$10*SQRT(Dashboard!$F$4) * _xlfn.NORM.S.INV(RAND())</f>
        <v>1.495727741267293E-2</v>
      </c>
      <c r="T3947" s="59">
        <f ca="1">Dashboard!C$8* Dashboard!$F$4+Dashboard!C$10*SQRT(Dashboard!$F$4) * _xlfn.NORM.S.INV(RAND())</f>
        <v>3.0153904313583606E-2</v>
      </c>
      <c r="U3947" s="59">
        <f ca="1">Dashboard!D$8* Dashboard!$F$4+Dashboard!D$10*SQRT(Dashboard!$F$4) * _xlfn.NORM.S.INV(RAND())</f>
        <v>-3.1012745633602977E-2</v>
      </c>
    </row>
    <row r="3948" spans="18:21" x14ac:dyDescent="0.2">
      <c r="R3948" s="49">
        <v>3946</v>
      </c>
      <c r="S3948" s="59">
        <f ca="1">Dashboard!B$8* Dashboard!$F$4+Dashboard!B$10*SQRT(Dashboard!$F$4) * _xlfn.NORM.S.INV(RAND())</f>
        <v>1.9424187411376304E-2</v>
      </c>
      <c r="T3948" s="59">
        <f ca="1">Dashboard!C$8* Dashboard!$F$4+Dashboard!C$10*SQRT(Dashboard!$F$4) * _xlfn.NORM.S.INV(RAND())</f>
        <v>-1.5177005668362394E-2</v>
      </c>
      <c r="U3948" s="59">
        <f ca="1">Dashboard!D$8* Dashboard!$F$4+Dashboard!D$10*SQRT(Dashboard!$F$4) * _xlfn.NORM.S.INV(RAND())</f>
        <v>4.1149619859188018E-2</v>
      </c>
    </row>
    <row r="3949" spans="18:21" x14ac:dyDescent="0.2">
      <c r="R3949" s="49">
        <v>3947</v>
      </c>
      <c r="S3949" s="59">
        <f ca="1">Dashboard!B$8* Dashboard!$F$4+Dashboard!B$10*SQRT(Dashboard!$F$4) * _xlfn.NORM.S.INV(RAND())</f>
        <v>3.8505861469682136E-2</v>
      </c>
      <c r="T3949" s="59">
        <f ca="1">Dashboard!C$8* Dashboard!$F$4+Dashboard!C$10*SQRT(Dashboard!$F$4) * _xlfn.NORM.S.INV(RAND())</f>
        <v>3.6446711829790659E-2</v>
      </c>
      <c r="U3949" s="59">
        <f ca="1">Dashboard!D$8* Dashboard!$F$4+Dashboard!D$10*SQRT(Dashboard!$F$4) * _xlfn.NORM.S.INV(RAND())</f>
        <v>-1.0629801768811716E-3</v>
      </c>
    </row>
    <row r="3950" spans="18:21" x14ac:dyDescent="0.2">
      <c r="R3950" s="49">
        <v>3948</v>
      </c>
      <c r="S3950" s="59">
        <f ca="1">Dashboard!B$8* Dashboard!$F$4+Dashboard!B$10*SQRT(Dashboard!$F$4) * _xlfn.NORM.S.INV(RAND())</f>
        <v>-1.9571670446281091E-2</v>
      </c>
      <c r="T3950" s="59">
        <f ca="1">Dashboard!C$8* Dashboard!$F$4+Dashboard!C$10*SQRT(Dashboard!$F$4) * _xlfn.NORM.S.INV(RAND())</f>
        <v>5.7195473587364716E-2</v>
      </c>
      <c r="U3950" s="59">
        <f ca="1">Dashboard!D$8* Dashboard!$F$4+Dashboard!D$10*SQRT(Dashboard!$F$4) * _xlfn.NORM.S.INV(RAND())</f>
        <v>4.5748267061725072E-2</v>
      </c>
    </row>
    <row r="3951" spans="18:21" x14ac:dyDescent="0.2">
      <c r="R3951" s="49">
        <v>3949</v>
      </c>
      <c r="S3951" s="59">
        <f ca="1">Dashboard!B$8* Dashboard!$F$4+Dashboard!B$10*SQRT(Dashboard!$F$4) * _xlfn.NORM.S.INV(RAND())</f>
        <v>-6.4765313669799644E-3</v>
      </c>
      <c r="T3951" s="59">
        <f ca="1">Dashboard!C$8* Dashboard!$F$4+Dashboard!C$10*SQRT(Dashboard!$F$4) * _xlfn.NORM.S.INV(RAND())</f>
        <v>-6.3783830322658467E-3</v>
      </c>
      <c r="U3951" s="59">
        <f ca="1">Dashboard!D$8* Dashboard!$F$4+Dashboard!D$10*SQRT(Dashboard!$F$4) * _xlfn.NORM.S.INV(RAND())</f>
        <v>-4.3214400629262937E-4</v>
      </c>
    </row>
    <row r="3952" spans="18:21" x14ac:dyDescent="0.2">
      <c r="R3952" s="49">
        <v>3950</v>
      </c>
      <c r="S3952" s="59">
        <f ca="1">Dashboard!B$8* Dashboard!$F$4+Dashboard!B$10*SQRT(Dashboard!$F$4) * _xlfn.NORM.S.INV(RAND())</f>
        <v>-1.8374461016499081E-3</v>
      </c>
      <c r="T3952" s="59">
        <f ca="1">Dashboard!C$8* Dashboard!$F$4+Dashboard!C$10*SQRT(Dashboard!$F$4) * _xlfn.NORM.S.INV(RAND())</f>
        <v>2.2087174957962426E-2</v>
      </c>
      <c r="U3952" s="59">
        <f ca="1">Dashboard!D$8* Dashboard!$F$4+Dashboard!D$10*SQRT(Dashboard!$F$4) * _xlfn.NORM.S.INV(RAND())</f>
        <v>4.2997180877620295E-3</v>
      </c>
    </row>
    <row r="3953" spans="18:21" x14ac:dyDescent="0.2">
      <c r="R3953" s="49">
        <v>3951</v>
      </c>
      <c r="S3953" s="59">
        <f ca="1">Dashboard!B$8* Dashboard!$F$4+Dashboard!B$10*SQRT(Dashboard!$F$4) * _xlfn.NORM.S.INV(RAND())</f>
        <v>-7.5174692752807588E-3</v>
      </c>
      <c r="T3953" s="59">
        <f ca="1">Dashboard!C$8* Dashboard!$F$4+Dashboard!C$10*SQRT(Dashboard!$F$4) * _xlfn.NORM.S.INV(RAND())</f>
        <v>5.4012796396685263E-2</v>
      </c>
      <c r="U3953" s="59">
        <f ca="1">Dashboard!D$8* Dashboard!$F$4+Dashboard!D$10*SQRT(Dashboard!$F$4) * _xlfn.NORM.S.INV(RAND())</f>
        <v>9.91564662365234E-3</v>
      </c>
    </row>
    <row r="3954" spans="18:21" x14ac:dyDescent="0.2">
      <c r="R3954" s="49">
        <v>3952</v>
      </c>
      <c r="S3954" s="59">
        <f ca="1">Dashboard!B$8* Dashboard!$F$4+Dashboard!B$10*SQRT(Dashboard!$F$4) * _xlfn.NORM.S.INV(RAND())</f>
        <v>-3.0154778097568231E-2</v>
      </c>
      <c r="T3954" s="59">
        <f ca="1">Dashboard!C$8* Dashboard!$F$4+Dashboard!C$10*SQRT(Dashboard!$F$4) * _xlfn.NORM.S.INV(RAND())</f>
        <v>-5.8975222054812232E-2</v>
      </c>
      <c r="U3954" s="59">
        <f ca="1">Dashboard!D$8* Dashboard!$F$4+Dashboard!D$10*SQRT(Dashboard!$F$4) * _xlfn.NORM.S.INV(RAND())</f>
        <v>-2.1640614286382559E-2</v>
      </c>
    </row>
    <row r="3955" spans="18:21" x14ac:dyDescent="0.2">
      <c r="R3955" s="49">
        <v>3953</v>
      </c>
      <c r="S3955" s="59">
        <f ca="1">Dashboard!B$8* Dashboard!$F$4+Dashboard!B$10*SQRT(Dashboard!$F$4) * _xlfn.NORM.S.INV(RAND())</f>
        <v>-2.2702361010973955E-2</v>
      </c>
      <c r="T3955" s="59">
        <f ca="1">Dashboard!C$8* Dashboard!$F$4+Dashboard!C$10*SQRT(Dashboard!$F$4) * _xlfn.NORM.S.INV(RAND())</f>
        <v>-7.9837085280420501E-3</v>
      </c>
      <c r="U3955" s="59">
        <f ca="1">Dashboard!D$8* Dashboard!$F$4+Dashboard!D$10*SQRT(Dashboard!$F$4) * _xlfn.NORM.S.INV(RAND())</f>
        <v>1.1395674256594539E-2</v>
      </c>
    </row>
    <row r="3956" spans="18:21" x14ac:dyDescent="0.2">
      <c r="R3956" s="49">
        <v>3954</v>
      </c>
      <c r="S3956" s="59">
        <f ca="1">Dashboard!B$8* Dashboard!$F$4+Dashboard!B$10*SQRT(Dashboard!$F$4) * _xlfn.NORM.S.INV(RAND())</f>
        <v>1.5091952151025495E-2</v>
      </c>
      <c r="T3956" s="59">
        <f ca="1">Dashboard!C$8* Dashboard!$F$4+Dashboard!C$10*SQRT(Dashboard!$F$4) * _xlfn.NORM.S.INV(RAND())</f>
        <v>-3.4803707003988285E-2</v>
      </c>
      <c r="U3956" s="59">
        <f ca="1">Dashboard!D$8* Dashboard!$F$4+Dashboard!D$10*SQRT(Dashboard!$F$4) * _xlfn.NORM.S.INV(RAND())</f>
        <v>9.4518085397667911E-3</v>
      </c>
    </row>
    <row r="3957" spans="18:21" x14ac:dyDescent="0.2">
      <c r="R3957" s="49">
        <v>3955</v>
      </c>
      <c r="S3957" s="59">
        <f ca="1">Dashboard!B$8* Dashboard!$F$4+Dashboard!B$10*SQRT(Dashboard!$F$4) * _xlfn.NORM.S.INV(RAND())</f>
        <v>-7.6630641856369225E-2</v>
      </c>
      <c r="T3957" s="59">
        <f ca="1">Dashboard!C$8* Dashboard!$F$4+Dashboard!C$10*SQRT(Dashboard!$F$4) * _xlfn.NORM.S.INV(RAND())</f>
        <v>5.1828661559361663E-4</v>
      </c>
      <c r="U3957" s="59">
        <f ca="1">Dashboard!D$8* Dashboard!$F$4+Dashboard!D$10*SQRT(Dashboard!$F$4) * _xlfn.NORM.S.INV(RAND())</f>
        <v>-1.1419309886830317E-2</v>
      </c>
    </row>
    <row r="3958" spans="18:21" x14ac:dyDescent="0.2">
      <c r="R3958" s="49">
        <v>3956</v>
      </c>
      <c r="S3958" s="59">
        <f ca="1">Dashboard!B$8* Dashboard!$F$4+Dashboard!B$10*SQRT(Dashboard!$F$4) * _xlfn.NORM.S.INV(RAND())</f>
        <v>6.1536490945153129E-3</v>
      </c>
      <c r="T3958" s="59">
        <f ca="1">Dashboard!C$8* Dashboard!$F$4+Dashboard!C$10*SQRT(Dashboard!$F$4) * _xlfn.NORM.S.INV(RAND())</f>
        <v>-5.1553137948754546E-2</v>
      </c>
      <c r="U3958" s="59">
        <f ca="1">Dashboard!D$8* Dashboard!$F$4+Dashboard!D$10*SQRT(Dashboard!$F$4) * _xlfn.NORM.S.INV(RAND())</f>
        <v>-2.3961810930618926E-2</v>
      </c>
    </row>
    <row r="3959" spans="18:21" x14ac:dyDescent="0.2">
      <c r="R3959" s="49">
        <v>3957</v>
      </c>
      <c r="S3959" s="59">
        <f ca="1">Dashboard!B$8* Dashboard!$F$4+Dashboard!B$10*SQRT(Dashboard!$F$4) * _xlfn.NORM.S.INV(RAND())</f>
        <v>-8.5475371904538983E-3</v>
      </c>
      <c r="T3959" s="59">
        <f ca="1">Dashboard!C$8* Dashboard!$F$4+Dashboard!C$10*SQRT(Dashboard!$F$4) * _xlfn.NORM.S.INV(RAND())</f>
        <v>6.3477544560110205E-2</v>
      </c>
      <c r="U3959" s="59">
        <f ca="1">Dashboard!D$8* Dashboard!$F$4+Dashboard!D$10*SQRT(Dashboard!$F$4) * _xlfn.NORM.S.INV(RAND())</f>
        <v>5.0312529908530454E-3</v>
      </c>
    </row>
    <row r="3960" spans="18:21" x14ac:dyDescent="0.2">
      <c r="R3960" s="49">
        <v>3958</v>
      </c>
      <c r="S3960" s="59">
        <f ca="1">Dashboard!B$8* Dashboard!$F$4+Dashboard!B$10*SQRT(Dashboard!$F$4) * _xlfn.NORM.S.INV(RAND())</f>
        <v>-1.066545067815446E-2</v>
      </c>
      <c r="T3960" s="59">
        <f ca="1">Dashboard!C$8* Dashboard!$F$4+Dashboard!C$10*SQRT(Dashboard!$F$4) * _xlfn.NORM.S.INV(RAND())</f>
        <v>4.1487781389430101E-2</v>
      </c>
      <c r="U3960" s="59">
        <f ca="1">Dashboard!D$8* Dashboard!$F$4+Dashboard!D$10*SQRT(Dashboard!$F$4) * _xlfn.NORM.S.INV(RAND())</f>
        <v>5.5306549503779563E-3</v>
      </c>
    </row>
    <row r="3961" spans="18:21" x14ac:dyDescent="0.2">
      <c r="R3961" s="49">
        <v>3959</v>
      </c>
      <c r="S3961" s="59">
        <f ca="1">Dashboard!B$8* Dashboard!$F$4+Dashboard!B$10*SQRT(Dashboard!$F$4) * _xlfn.NORM.S.INV(RAND())</f>
        <v>-5.6108440656410581E-2</v>
      </c>
      <c r="T3961" s="59">
        <f ca="1">Dashboard!C$8* Dashboard!$F$4+Dashboard!C$10*SQRT(Dashboard!$F$4) * _xlfn.NORM.S.INV(RAND())</f>
        <v>-2.2852114025264719E-3</v>
      </c>
      <c r="U3961" s="59">
        <f ca="1">Dashboard!D$8* Dashboard!$F$4+Dashboard!D$10*SQRT(Dashboard!$F$4) * _xlfn.NORM.S.INV(RAND())</f>
        <v>-7.3672446120728236E-2</v>
      </c>
    </row>
    <row r="3962" spans="18:21" x14ac:dyDescent="0.2">
      <c r="R3962" s="49">
        <v>3960</v>
      </c>
      <c r="S3962" s="59">
        <f ca="1">Dashboard!B$8* Dashboard!$F$4+Dashboard!B$10*SQRT(Dashboard!$F$4) * _xlfn.NORM.S.INV(RAND())</f>
        <v>3.9203240800160612E-2</v>
      </c>
      <c r="T3962" s="59">
        <f ca="1">Dashboard!C$8* Dashboard!$F$4+Dashboard!C$10*SQRT(Dashboard!$F$4) * _xlfn.NORM.S.INV(RAND())</f>
        <v>4.8353981992676556E-2</v>
      </c>
      <c r="U3962" s="59">
        <f ca="1">Dashboard!D$8* Dashboard!$F$4+Dashboard!D$10*SQRT(Dashboard!$F$4) * _xlfn.NORM.S.INV(RAND())</f>
        <v>3.407569301652888E-2</v>
      </c>
    </row>
    <row r="3963" spans="18:21" x14ac:dyDescent="0.2">
      <c r="R3963" s="49">
        <v>3961</v>
      </c>
      <c r="S3963" s="59">
        <f ca="1">Dashboard!B$8* Dashboard!$F$4+Dashboard!B$10*SQRT(Dashboard!$F$4) * _xlfn.NORM.S.INV(RAND())</f>
        <v>2.9131642958038585E-2</v>
      </c>
      <c r="T3963" s="59">
        <f ca="1">Dashboard!C$8* Dashboard!$F$4+Dashboard!C$10*SQRT(Dashboard!$F$4) * _xlfn.NORM.S.INV(RAND())</f>
        <v>5.2726076910311219E-2</v>
      </c>
      <c r="U3963" s="59">
        <f ca="1">Dashboard!D$8* Dashboard!$F$4+Dashboard!D$10*SQRT(Dashboard!$F$4) * _xlfn.NORM.S.INV(RAND())</f>
        <v>3.1340227541135642E-2</v>
      </c>
    </row>
    <row r="3964" spans="18:21" x14ac:dyDescent="0.2">
      <c r="R3964" s="49">
        <v>3962</v>
      </c>
      <c r="S3964" s="59">
        <f ca="1">Dashboard!B$8* Dashboard!$F$4+Dashboard!B$10*SQRT(Dashboard!$F$4) * _xlfn.NORM.S.INV(RAND())</f>
        <v>-1.9598968567048645E-2</v>
      </c>
      <c r="T3964" s="59">
        <f ca="1">Dashboard!C$8* Dashboard!$F$4+Dashboard!C$10*SQRT(Dashboard!$F$4) * _xlfn.NORM.S.INV(RAND())</f>
        <v>4.936006027020217E-2</v>
      </c>
      <c r="U3964" s="59">
        <f ca="1">Dashboard!D$8* Dashboard!$F$4+Dashboard!D$10*SQRT(Dashboard!$F$4) * _xlfn.NORM.S.INV(RAND())</f>
        <v>-4.3434838957115453E-2</v>
      </c>
    </row>
    <row r="3965" spans="18:21" x14ac:dyDescent="0.2">
      <c r="R3965" s="49">
        <v>3963</v>
      </c>
      <c r="S3965" s="59">
        <f ca="1">Dashboard!B$8* Dashboard!$F$4+Dashboard!B$10*SQRT(Dashboard!$F$4) * _xlfn.NORM.S.INV(RAND())</f>
        <v>-5.4668087299452647E-2</v>
      </c>
      <c r="T3965" s="59">
        <f ca="1">Dashboard!C$8* Dashboard!$F$4+Dashboard!C$10*SQRT(Dashboard!$F$4) * _xlfn.NORM.S.INV(RAND())</f>
        <v>-2.4343673364782159E-2</v>
      </c>
      <c r="U3965" s="59">
        <f ca="1">Dashboard!D$8* Dashboard!$F$4+Dashboard!D$10*SQRT(Dashboard!$F$4) * _xlfn.NORM.S.INV(RAND())</f>
        <v>-2.0984715335928272E-2</v>
      </c>
    </row>
    <row r="3966" spans="18:21" x14ac:dyDescent="0.2">
      <c r="R3966" s="49">
        <v>3964</v>
      </c>
      <c r="S3966" s="59">
        <f ca="1">Dashboard!B$8* Dashboard!$F$4+Dashboard!B$10*SQRT(Dashboard!$F$4) * _xlfn.NORM.S.INV(RAND())</f>
        <v>-1.7787366584096111E-2</v>
      </c>
      <c r="T3966" s="59">
        <f ca="1">Dashboard!C$8* Dashboard!$F$4+Dashboard!C$10*SQRT(Dashboard!$F$4) * _xlfn.NORM.S.INV(RAND())</f>
        <v>-2.1554170147656582E-2</v>
      </c>
      <c r="U3966" s="59">
        <f ca="1">Dashboard!D$8* Dashboard!$F$4+Dashboard!D$10*SQRT(Dashboard!$F$4) * _xlfn.NORM.S.INV(RAND())</f>
        <v>-5.5393969687424438E-2</v>
      </c>
    </row>
    <row r="3967" spans="18:21" x14ac:dyDescent="0.2">
      <c r="R3967" s="49">
        <v>3965</v>
      </c>
      <c r="S3967" s="59">
        <f ca="1">Dashboard!B$8* Dashboard!$F$4+Dashboard!B$10*SQRT(Dashboard!$F$4) * _xlfn.NORM.S.INV(RAND())</f>
        <v>-3.5689619318127905E-2</v>
      </c>
      <c r="T3967" s="59">
        <f ca="1">Dashboard!C$8* Dashboard!$F$4+Dashboard!C$10*SQRT(Dashboard!$F$4) * _xlfn.NORM.S.INV(RAND())</f>
        <v>3.9457102454842623E-2</v>
      </c>
      <c r="U3967" s="59">
        <f ca="1">Dashboard!D$8* Dashboard!$F$4+Dashboard!D$10*SQRT(Dashboard!$F$4) * _xlfn.NORM.S.INV(RAND())</f>
        <v>9.156155094559137E-4</v>
      </c>
    </row>
    <row r="3968" spans="18:21" x14ac:dyDescent="0.2">
      <c r="R3968" s="49">
        <v>3966</v>
      </c>
      <c r="S3968" s="59">
        <f ca="1">Dashboard!B$8* Dashboard!$F$4+Dashboard!B$10*SQRT(Dashboard!$F$4) * _xlfn.NORM.S.INV(RAND())</f>
        <v>6.0017690381454353E-3</v>
      </c>
      <c r="T3968" s="59">
        <f ca="1">Dashboard!C$8* Dashboard!$F$4+Dashboard!C$10*SQRT(Dashboard!$F$4) * _xlfn.NORM.S.INV(RAND())</f>
        <v>8.0812983102814609E-2</v>
      </c>
      <c r="U3968" s="59">
        <f ca="1">Dashboard!D$8* Dashboard!$F$4+Dashboard!D$10*SQRT(Dashboard!$F$4) * _xlfn.NORM.S.INV(RAND())</f>
        <v>-1.8697192823714966E-2</v>
      </c>
    </row>
    <row r="3969" spans="18:21" x14ac:dyDescent="0.2">
      <c r="R3969" s="49">
        <v>3967</v>
      </c>
      <c r="S3969" s="59">
        <f ca="1">Dashboard!B$8* Dashboard!$F$4+Dashboard!B$10*SQRT(Dashboard!$F$4) * _xlfn.NORM.S.INV(RAND())</f>
        <v>6.8313187506275335E-3</v>
      </c>
      <c r="T3969" s="59">
        <f ca="1">Dashboard!C$8* Dashboard!$F$4+Dashboard!C$10*SQRT(Dashboard!$F$4) * _xlfn.NORM.S.INV(RAND())</f>
        <v>2.698163969239677E-2</v>
      </c>
      <c r="U3969" s="59">
        <f ca="1">Dashboard!D$8* Dashboard!$F$4+Dashboard!D$10*SQRT(Dashboard!$F$4) * _xlfn.NORM.S.INV(RAND())</f>
        <v>1.4098560706396979E-2</v>
      </c>
    </row>
    <row r="3970" spans="18:21" x14ac:dyDescent="0.2">
      <c r="R3970" s="49">
        <v>3968</v>
      </c>
      <c r="S3970" s="59">
        <f ca="1">Dashboard!B$8* Dashboard!$F$4+Dashboard!B$10*SQRT(Dashboard!$F$4) * _xlfn.NORM.S.INV(RAND())</f>
        <v>-6.0139242963196697E-3</v>
      </c>
      <c r="T3970" s="59">
        <f ca="1">Dashboard!C$8* Dashboard!$F$4+Dashboard!C$10*SQRT(Dashboard!$F$4) * _xlfn.NORM.S.INV(RAND())</f>
        <v>7.3515992558439852E-2</v>
      </c>
      <c r="U3970" s="59">
        <f ca="1">Dashboard!D$8* Dashboard!$F$4+Dashboard!D$10*SQRT(Dashboard!$F$4) * _xlfn.NORM.S.INV(RAND())</f>
        <v>-3.7408472311063513E-2</v>
      </c>
    </row>
    <row r="3971" spans="18:21" x14ac:dyDescent="0.2">
      <c r="R3971" s="49">
        <v>3969</v>
      </c>
      <c r="S3971" s="59">
        <f ca="1">Dashboard!B$8* Dashboard!$F$4+Dashboard!B$10*SQRT(Dashboard!$F$4) * _xlfn.NORM.S.INV(RAND())</f>
        <v>-2.2962819297575023E-2</v>
      </c>
      <c r="T3971" s="59">
        <f ca="1">Dashboard!C$8* Dashboard!$F$4+Dashboard!C$10*SQRT(Dashboard!$F$4) * _xlfn.NORM.S.INV(RAND())</f>
        <v>8.3358989174290455E-3</v>
      </c>
      <c r="U3971" s="59">
        <f ca="1">Dashboard!D$8* Dashboard!$F$4+Dashboard!D$10*SQRT(Dashboard!$F$4) * _xlfn.NORM.S.INV(RAND())</f>
        <v>-1.4331232158658214E-2</v>
      </c>
    </row>
    <row r="3972" spans="18:21" x14ac:dyDescent="0.2">
      <c r="R3972" s="49">
        <v>3970</v>
      </c>
      <c r="S3972" s="59">
        <f ca="1">Dashboard!B$8* Dashboard!$F$4+Dashboard!B$10*SQRT(Dashboard!$F$4) * _xlfn.NORM.S.INV(RAND())</f>
        <v>-2.434416051956792E-2</v>
      </c>
      <c r="T3972" s="59">
        <f ca="1">Dashboard!C$8* Dashboard!$F$4+Dashboard!C$10*SQRT(Dashboard!$F$4) * _xlfn.NORM.S.INV(RAND())</f>
        <v>2.0079611052213533E-2</v>
      </c>
      <c r="U3972" s="59">
        <f ca="1">Dashboard!D$8* Dashboard!$F$4+Dashboard!D$10*SQRT(Dashboard!$F$4) * _xlfn.NORM.S.INV(RAND())</f>
        <v>2.020817153124185E-2</v>
      </c>
    </row>
    <row r="3973" spans="18:21" x14ac:dyDescent="0.2">
      <c r="R3973" s="49">
        <v>3971</v>
      </c>
      <c r="S3973" s="59">
        <f ca="1">Dashboard!B$8* Dashboard!$F$4+Dashboard!B$10*SQRT(Dashboard!$F$4) * _xlfn.NORM.S.INV(RAND())</f>
        <v>-7.522717225428785E-3</v>
      </c>
      <c r="T3973" s="59">
        <f ca="1">Dashboard!C$8* Dashboard!$F$4+Dashboard!C$10*SQRT(Dashboard!$F$4) * _xlfn.NORM.S.INV(RAND())</f>
        <v>-3.1857074549378112E-2</v>
      </c>
      <c r="U3973" s="59">
        <f ca="1">Dashboard!D$8* Dashboard!$F$4+Dashboard!D$10*SQRT(Dashboard!$F$4) * _xlfn.NORM.S.INV(RAND())</f>
        <v>1.7974763454083154E-2</v>
      </c>
    </row>
    <row r="3974" spans="18:21" x14ac:dyDescent="0.2">
      <c r="R3974" s="49">
        <v>3972</v>
      </c>
      <c r="S3974" s="59">
        <f ca="1">Dashboard!B$8* Dashboard!$F$4+Dashboard!B$10*SQRT(Dashboard!$F$4) * _xlfn.NORM.S.INV(RAND())</f>
        <v>-1.2650683489464203E-2</v>
      </c>
      <c r="T3974" s="59">
        <f ca="1">Dashboard!C$8* Dashboard!$F$4+Dashboard!C$10*SQRT(Dashboard!$F$4) * _xlfn.NORM.S.INV(RAND())</f>
        <v>4.5950235550959305E-2</v>
      </c>
      <c r="U3974" s="59">
        <f ca="1">Dashboard!D$8* Dashboard!$F$4+Dashboard!D$10*SQRT(Dashboard!$F$4) * _xlfn.NORM.S.INV(RAND())</f>
        <v>-1.7350782191917834E-3</v>
      </c>
    </row>
    <row r="3975" spans="18:21" x14ac:dyDescent="0.2">
      <c r="R3975" s="49">
        <v>3973</v>
      </c>
      <c r="S3975" s="59">
        <f ca="1">Dashboard!B$8* Dashboard!$F$4+Dashboard!B$10*SQRT(Dashboard!$F$4) * _xlfn.NORM.S.INV(RAND())</f>
        <v>1.3272003739566012E-2</v>
      </c>
      <c r="T3975" s="59">
        <f ca="1">Dashboard!C$8* Dashboard!$F$4+Dashboard!C$10*SQRT(Dashboard!$F$4) * _xlfn.NORM.S.INV(RAND())</f>
        <v>4.4325409868003859E-2</v>
      </c>
      <c r="U3975" s="59">
        <f ca="1">Dashboard!D$8* Dashboard!$F$4+Dashboard!D$10*SQRT(Dashboard!$F$4) * _xlfn.NORM.S.INV(RAND())</f>
        <v>3.5867633051890412E-4</v>
      </c>
    </row>
    <row r="3976" spans="18:21" x14ac:dyDescent="0.2">
      <c r="R3976" s="49">
        <v>3974</v>
      </c>
      <c r="S3976" s="59">
        <f ca="1">Dashboard!B$8* Dashboard!$F$4+Dashboard!B$10*SQRT(Dashboard!$F$4) * _xlfn.NORM.S.INV(RAND())</f>
        <v>2.4083632843537248E-2</v>
      </c>
      <c r="T3976" s="59">
        <f ca="1">Dashboard!C$8* Dashboard!$F$4+Dashboard!C$10*SQRT(Dashboard!$F$4) * _xlfn.NORM.S.INV(RAND())</f>
        <v>9.513829715915359E-2</v>
      </c>
      <c r="U3976" s="59">
        <f ca="1">Dashboard!D$8* Dashboard!$F$4+Dashboard!D$10*SQRT(Dashboard!$F$4) * _xlfn.NORM.S.INV(RAND())</f>
        <v>-1.146325521357125E-2</v>
      </c>
    </row>
    <row r="3977" spans="18:21" x14ac:dyDescent="0.2">
      <c r="R3977" s="49">
        <v>3975</v>
      </c>
      <c r="S3977" s="59">
        <f ca="1">Dashboard!B$8* Dashboard!$F$4+Dashboard!B$10*SQRT(Dashboard!$F$4) * _xlfn.NORM.S.INV(RAND())</f>
        <v>-5.2270149525559993E-2</v>
      </c>
      <c r="T3977" s="59">
        <f ca="1">Dashboard!C$8* Dashboard!$F$4+Dashboard!C$10*SQRT(Dashboard!$F$4) * _xlfn.NORM.S.INV(RAND())</f>
        <v>-1.3947500403148967E-2</v>
      </c>
      <c r="U3977" s="59">
        <f ca="1">Dashboard!D$8* Dashboard!$F$4+Dashboard!D$10*SQRT(Dashboard!$F$4) * _xlfn.NORM.S.INV(RAND())</f>
        <v>1.2607556789293537E-2</v>
      </c>
    </row>
    <row r="3978" spans="18:21" x14ac:dyDescent="0.2">
      <c r="R3978" s="49">
        <v>3976</v>
      </c>
      <c r="S3978" s="59">
        <f ca="1">Dashboard!B$8* Dashboard!$F$4+Dashboard!B$10*SQRT(Dashboard!$F$4) * _xlfn.NORM.S.INV(RAND())</f>
        <v>-2.5838483302266763E-2</v>
      </c>
      <c r="T3978" s="59">
        <f ca="1">Dashboard!C$8* Dashboard!$F$4+Dashboard!C$10*SQRT(Dashboard!$F$4) * _xlfn.NORM.S.INV(RAND())</f>
        <v>1.5957011408723253E-2</v>
      </c>
      <c r="U3978" s="59">
        <f ca="1">Dashboard!D$8* Dashboard!$F$4+Dashboard!D$10*SQRT(Dashboard!$F$4) * _xlfn.NORM.S.INV(RAND())</f>
        <v>-4.7530550028327199E-2</v>
      </c>
    </row>
    <row r="3979" spans="18:21" x14ac:dyDescent="0.2">
      <c r="R3979" s="49">
        <v>3977</v>
      </c>
      <c r="S3979" s="59">
        <f ca="1">Dashboard!B$8* Dashboard!$F$4+Dashboard!B$10*SQRT(Dashboard!$F$4) * _xlfn.NORM.S.INV(RAND())</f>
        <v>-3.809391277197937E-2</v>
      </c>
      <c r="T3979" s="59">
        <f ca="1">Dashboard!C$8* Dashboard!$F$4+Dashboard!C$10*SQRT(Dashboard!$F$4) * _xlfn.NORM.S.INV(RAND())</f>
        <v>2.191767199002775E-2</v>
      </c>
      <c r="U3979" s="59">
        <f ca="1">Dashboard!D$8* Dashboard!$F$4+Dashboard!D$10*SQRT(Dashboard!$F$4) * _xlfn.NORM.S.INV(RAND())</f>
        <v>3.0764488544120644E-2</v>
      </c>
    </row>
    <row r="3980" spans="18:21" x14ac:dyDescent="0.2">
      <c r="R3980" s="49">
        <v>3978</v>
      </c>
      <c r="S3980" s="59">
        <f ca="1">Dashboard!B$8* Dashboard!$F$4+Dashboard!B$10*SQRT(Dashboard!$F$4) * _xlfn.NORM.S.INV(RAND())</f>
        <v>-4.0054041778739176E-3</v>
      </c>
      <c r="T3980" s="59">
        <f ca="1">Dashboard!C$8* Dashboard!$F$4+Dashboard!C$10*SQRT(Dashboard!$F$4) * _xlfn.NORM.S.INV(RAND())</f>
        <v>2.5553463190440954E-3</v>
      </c>
      <c r="U3980" s="59">
        <f ca="1">Dashboard!D$8* Dashboard!$F$4+Dashboard!D$10*SQRT(Dashboard!$F$4) * _xlfn.NORM.S.INV(RAND())</f>
        <v>-2.0121750090887763E-3</v>
      </c>
    </row>
    <row r="3981" spans="18:21" x14ac:dyDescent="0.2">
      <c r="R3981" s="49">
        <v>3979</v>
      </c>
      <c r="S3981" s="59">
        <f ca="1">Dashboard!B$8* Dashboard!$F$4+Dashboard!B$10*SQRT(Dashboard!$F$4) * _xlfn.NORM.S.INV(RAND())</f>
        <v>1.2607337742763425E-2</v>
      </c>
      <c r="T3981" s="59">
        <f ca="1">Dashboard!C$8* Dashboard!$F$4+Dashboard!C$10*SQRT(Dashboard!$F$4) * _xlfn.NORM.S.INV(RAND())</f>
        <v>1.4227595540446277E-2</v>
      </c>
      <c r="U3981" s="59">
        <f ca="1">Dashboard!D$8* Dashboard!$F$4+Dashboard!D$10*SQRT(Dashboard!$F$4) * _xlfn.NORM.S.INV(RAND())</f>
        <v>2.182495368163891E-2</v>
      </c>
    </row>
    <row r="3982" spans="18:21" x14ac:dyDescent="0.2">
      <c r="R3982" s="49">
        <v>3980</v>
      </c>
      <c r="S3982" s="59">
        <f ca="1">Dashboard!B$8* Dashboard!$F$4+Dashboard!B$10*SQRT(Dashboard!$F$4) * _xlfn.NORM.S.INV(RAND())</f>
        <v>3.0098394228597322E-2</v>
      </c>
      <c r="T3982" s="59">
        <f ca="1">Dashboard!C$8* Dashboard!$F$4+Dashboard!C$10*SQRT(Dashboard!$F$4) * _xlfn.NORM.S.INV(RAND())</f>
        <v>-1.891935054860391E-2</v>
      </c>
      <c r="U3982" s="59">
        <f ca="1">Dashboard!D$8* Dashboard!$F$4+Dashboard!D$10*SQRT(Dashboard!$F$4) * _xlfn.NORM.S.INV(RAND())</f>
        <v>1.555852600037648E-2</v>
      </c>
    </row>
    <row r="3983" spans="18:21" x14ac:dyDescent="0.2">
      <c r="R3983" s="49">
        <v>3981</v>
      </c>
      <c r="S3983" s="59">
        <f ca="1">Dashboard!B$8* Dashboard!$F$4+Dashboard!B$10*SQRT(Dashboard!$F$4) * _xlfn.NORM.S.INV(RAND())</f>
        <v>1.8420978889368167E-2</v>
      </c>
      <c r="T3983" s="59">
        <f ca="1">Dashboard!C$8* Dashboard!$F$4+Dashboard!C$10*SQRT(Dashboard!$F$4) * _xlfn.NORM.S.INV(RAND())</f>
        <v>6.2997683783471235E-3</v>
      </c>
      <c r="U3983" s="59">
        <f ca="1">Dashboard!D$8* Dashboard!$F$4+Dashboard!D$10*SQRT(Dashboard!$F$4) * _xlfn.NORM.S.INV(RAND())</f>
        <v>-2.431783281800427E-2</v>
      </c>
    </row>
    <row r="3984" spans="18:21" x14ac:dyDescent="0.2">
      <c r="R3984" s="49">
        <v>3982</v>
      </c>
      <c r="S3984" s="59">
        <f ca="1">Dashboard!B$8* Dashboard!$F$4+Dashboard!B$10*SQRT(Dashboard!$F$4) * _xlfn.NORM.S.INV(RAND())</f>
        <v>-2.108021811789209E-2</v>
      </c>
      <c r="T3984" s="59">
        <f ca="1">Dashboard!C$8* Dashboard!$F$4+Dashboard!C$10*SQRT(Dashboard!$F$4) * _xlfn.NORM.S.INV(RAND())</f>
        <v>-5.2008022597919298E-2</v>
      </c>
      <c r="U3984" s="59">
        <f ca="1">Dashboard!D$8* Dashboard!$F$4+Dashboard!D$10*SQRT(Dashboard!$F$4) * _xlfn.NORM.S.INV(RAND())</f>
        <v>4.5341631637817233E-3</v>
      </c>
    </row>
    <row r="3985" spans="18:21" x14ac:dyDescent="0.2">
      <c r="R3985" s="49">
        <v>3983</v>
      </c>
      <c r="S3985" s="59">
        <f ca="1">Dashboard!B$8* Dashboard!$F$4+Dashboard!B$10*SQRT(Dashboard!$F$4) * _xlfn.NORM.S.INV(RAND())</f>
        <v>-4.1525638339914024E-2</v>
      </c>
      <c r="T3985" s="59">
        <f ca="1">Dashboard!C$8* Dashboard!$F$4+Dashboard!C$10*SQRT(Dashboard!$F$4) * _xlfn.NORM.S.INV(RAND())</f>
        <v>-2.4567767797169581E-2</v>
      </c>
      <c r="U3985" s="59">
        <f ca="1">Dashboard!D$8* Dashboard!$F$4+Dashboard!D$10*SQRT(Dashboard!$F$4) * _xlfn.NORM.S.INV(RAND())</f>
        <v>-6.6518744646759928E-2</v>
      </c>
    </row>
    <row r="3986" spans="18:21" x14ac:dyDescent="0.2">
      <c r="R3986" s="49">
        <v>3984</v>
      </c>
      <c r="S3986" s="59">
        <f ca="1">Dashboard!B$8* Dashboard!$F$4+Dashboard!B$10*SQRT(Dashboard!$F$4) * _xlfn.NORM.S.INV(RAND())</f>
        <v>6.6190996621084651E-3</v>
      </c>
      <c r="T3986" s="59">
        <f ca="1">Dashboard!C$8* Dashboard!$F$4+Dashboard!C$10*SQRT(Dashboard!$F$4) * _xlfn.NORM.S.INV(RAND())</f>
        <v>4.1060731858849335E-2</v>
      </c>
      <c r="U3986" s="59">
        <f ca="1">Dashboard!D$8* Dashboard!$F$4+Dashboard!D$10*SQRT(Dashboard!$F$4) * _xlfn.NORM.S.INV(RAND())</f>
        <v>1.2173704647350923E-2</v>
      </c>
    </row>
    <row r="3987" spans="18:21" x14ac:dyDescent="0.2">
      <c r="R3987" s="49">
        <v>3985</v>
      </c>
      <c r="S3987" s="59">
        <f ca="1">Dashboard!B$8* Dashboard!$F$4+Dashboard!B$10*SQRT(Dashboard!$F$4) * _xlfn.NORM.S.INV(RAND())</f>
        <v>-1.8413164467440898E-2</v>
      </c>
      <c r="T3987" s="59">
        <f ca="1">Dashboard!C$8* Dashboard!$F$4+Dashboard!C$10*SQRT(Dashboard!$F$4) * _xlfn.NORM.S.INV(RAND())</f>
        <v>-2.2819649574519332E-2</v>
      </c>
      <c r="U3987" s="59">
        <f ca="1">Dashboard!D$8* Dashboard!$F$4+Dashboard!D$10*SQRT(Dashboard!$F$4) * _xlfn.NORM.S.INV(RAND())</f>
        <v>6.299901201070908E-2</v>
      </c>
    </row>
    <row r="3988" spans="18:21" x14ac:dyDescent="0.2">
      <c r="R3988" s="49">
        <v>3986</v>
      </c>
      <c r="S3988" s="59">
        <f ca="1">Dashboard!B$8* Dashboard!$F$4+Dashboard!B$10*SQRT(Dashboard!$F$4) * _xlfn.NORM.S.INV(RAND())</f>
        <v>-1.5092723195909428E-2</v>
      </c>
      <c r="T3988" s="59">
        <f ca="1">Dashboard!C$8* Dashboard!$F$4+Dashboard!C$10*SQRT(Dashboard!$F$4) * _xlfn.NORM.S.INV(RAND())</f>
        <v>1.4774945430749205E-2</v>
      </c>
      <c r="U3988" s="59">
        <f ca="1">Dashboard!D$8* Dashboard!$F$4+Dashboard!D$10*SQRT(Dashboard!$F$4) * _xlfn.NORM.S.INV(RAND())</f>
        <v>2.9410306146418104E-2</v>
      </c>
    </row>
    <row r="3989" spans="18:21" x14ac:dyDescent="0.2">
      <c r="R3989" s="49">
        <v>3987</v>
      </c>
      <c r="S3989" s="59">
        <f ca="1">Dashboard!B$8* Dashboard!$F$4+Dashboard!B$10*SQRT(Dashboard!$F$4) * _xlfn.NORM.S.INV(RAND())</f>
        <v>7.1945304774900347E-3</v>
      </c>
      <c r="T3989" s="59">
        <f ca="1">Dashboard!C$8* Dashboard!$F$4+Dashboard!C$10*SQRT(Dashboard!$F$4) * _xlfn.NORM.S.INV(RAND())</f>
        <v>-3.3997008947419822E-4</v>
      </c>
      <c r="U3989" s="59">
        <f ca="1">Dashboard!D$8* Dashboard!$F$4+Dashboard!D$10*SQRT(Dashboard!$F$4) * _xlfn.NORM.S.INV(RAND())</f>
        <v>-2.5996167760118569E-2</v>
      </c>
    </row>
    <row r="3990" spans="18:21" x14ac:dyDescent="0.2">
      <c r="R3990" s="49">
        <v>3988</v>
      </c>
      <c r="S3990" s="59">
        <f ca="1">Dashboard!B$8* Dashboard!$F$4+Dashboard!B$10*SQRT(Dashboard!$F$4) * _xlfn.NORM.S.INV(RAND())</f>
        <v>-2.5560645335460278E-2</v>
      </c>
      <c r="T3990" s="59">
        <f ca="1">Dashboard!C$8* Dashboard!$F$4+Dashboard!C$10*SQRT(Dashboard!$F$4) * _xlfn.NORM.S.INV(RAND())</f>
        <v>-1.4904365716079403E-2</v>
      </c>
      <c r="U3990" s="59">
        <f ca="1">Dashboard!D$8* Dashboard!$F$4+Dashboard!D$10*SQRT(Dashboard!$F$4) * _xlfn.NORM.S.INV(RAND())</f>
        <v>-1.2450334357521855E-2</v>
      </c>
    </row>
    <row r="3991" spans="18:21" x14ac:dyDescent="0.2">
      <c r="R3991" s="49">
        <v>3989</v>
      </c>
      <c r="S3991" s="59">
        <f ca="1">Dashboard!B$8* Dashboard!$F$4+Dashboard!B$10*SQRT(Dashboard!$F$4) * _xlfn.NORM.S.INV(RAND())</f>
        <v>-3.2093926424906549E-2</v>
      </c>
      <c r="T3991" s="59">
        <f ca="1">Dashboard!C$8* Dashboard!$F$4+Dashboard!C$10*SQRT(Dashboard!$F$4) * _xlfn.NORM.S.INV(RAND())</f>
        <v>6.3868110150079052E-2</v>
      </c>
      <c r="U3991" s="59">
        <f ca="1">Dashboard!D$8* Dashboard!$F$4+Dashboard!D$10*SQRT(Dashboard!$F$4) * _xlfn.NORM.S.INV(RAND())</f>
        <v>4.3116919092358472E-2</v>
      </c>
    </row>
    <row r="3992" spans="18:21" x14ac:dyDescent="0.2">
      <c r="R3992" s="49">
        <v>3990</v>
      </c>
      <c r="S3992" s="59">
        <f ca="1">Dashboard!B$8* Dashboard!$F$4+Dashboard!B$10*SQRT(Dashboard!$F$4) * _xlfn.NORM.S.INV(RAND())</f>
        <v>-9.8540986584051762E-3</v>
      </c>
      <c r="T3992" s="59">
        <f ca="1">Dashboard!C$8* Dashboard!$F$4+Dashboard!C$10*SQRT(Dashboard!$F$4) * _xlfn.NORM.S.INV(RAND())</f>
        <v>3.9702482523317165E-2</v>
      </c>
      <c r="U3992" s="59">
        <f ca="1">Dashboard!D$8* Dashboard!$F$4+Dashboard!D$10*SQRT(Dashboard!$F$4) * _xlfn.NORM.S.INV(RAND())</f>
        <v>4.6932253882603962E-2</v>
      </c>
    </row>
    <row r="3993" spans="18:21" x14ac:dyDescent="0.2">
      <c r="R3993" s="49">
        <v>3991</v>
      </c>
      <c r="S3993" s="59">
        <f ca="1">Dashboard!B$8* Dashboard!$F$4+Dashboard!B$10*SQRT(Dashboard!$F$4) * _xlfn.NORM.S.INV(RAND())</f>
        <v>-2.6005204213873393E-3</v>
      </c>
      <c r="T3993" s="59">
        <f ca="1">Dashboard!C$8* Dashboard!$F$4+Dashboard!C$10*SQRT(Dashboard!$F$4) * _xlfn.NORM.S.INV(RAND())</f>
        <v>-4.0254218129935751E-2</v>
      </c>
      <c r="U3993" s="59">
        <f ca="1">Dashboard!D$8* Dashboard!$F$4+Dashboard!D$10*SQRT(Dashboard!$F$4) * _xlfn.NORM.S.INV(RAND())</f>
        <v>1.4296405628075656E-2</v>
      </c>
    </row>
    <row r="3994" spans="18:21" x14ac:dyDescent="0.2">
      <c r="R3994" s="49">
        <v>3992</v>
      </c>
      <c r="S3994" s="59">
        <f ca="1">Dashboard!B$8* Dashboard!$F$4+Dashboard!B$10*SQRT(Dashboard!$F$4) * _xlfn.NORM.S.INV(RAND())</f>
        <v>-5.8624009042627934E-4</v>
      </c>
      <c r="T3994" s="59">
        <f ca="1">Dashboard!C$8* Dashboard!$F$4+Dashboard!C$10*SQRT(Dashboard!$F$4) * _xlfn.NORM.S.INV(RAND())</f>
        <v>1.1841013925309484E-2</v>
      </c>
      <c r="U3994" s="59">
        <f ca="1">Dashboard!D$8* Dashboard!$F$4+Dashboard!D$10*SQRT(Dashboard!$F$4) * _xlfn.NORM.S.INV(RAND())</f>
        <v>7.3504616548396911E-3</v>
      </c>
    </row>
    <row r="3995" spans="18:21" x14ac:dyDescent="0.2">
      <c r="R3995" s="49">
        <v>3993</v>
      </c>
      <c r="S3995" s="59">
        <f ca="1">Dashboard!B$8* Dashboard!$F$4+Dashboard!B$10*SQRT(Dashboard!$F$4) * _xlfn.NORM.S.INV(RAND())</f>
        <v>-2.1332190055154264E-2</v>
      </c>
      <c r="T3995" s="59">
        <f ca="1">Dashboard!C$8* Dashboard!$F$4+Dashboard!C$10*SQRT(Dashboard!$F$4) * _xlfn.NORM.S.INV(RAND())</f>
        <v>1.1416948916906105E-2</v>
      </c>
      <c r="U3995" s="59">
        <f ca="1">Dashboard!D$8* Dashboard!$F$4+Dashboard!D$10*SQRT(Dashboard!$F$4) * _xlfn.NORM.S.INV(RAND())</f>
        <v>3.3190169262708243E-2</v>
      </c>
    </row>
    <row r="3996" spans="18:21" x14ac:dyDescent="0.2">
      <c r="R3996" s="49">
        <v>3994</v>
      </c>
      <c r="S3996" s="59">
        <f ca="1">Dashboard!B$8* Dashboard!$F$4+Dashboard!B$10*SQRT(Dashboard!$F$4) * _xlfn.NORM.S.INV(RAND())</f>
        <v>1.901615908148542E-2</v>
      </c>
      <c r="T3996" s="59">
        <f ca="1">Dashboard!C$8* Dashboard!$F$4+Dashboard!C$10*SQRT(Dashboard!$F$4) * _xlfn.NORM.S.INV(RAND())</f>
        <v>2.2582818629772777E-2</v>
      </c>
      <c r="U3996" s="59">
        <f ca="1">Dashboard!D$8* Dashboard!$F$4+Dashboard!D$10*SQRT(Dashboard!$F$4) * _xlfn.NORM.S.INV(RAND())</f>
        <v>-4.0908000917372143E-2</v>
      </c>
    </row>
    <row r="3997" spans="18:21" x14ac:dyDescent="0.2">
      <c r="R3997" s="49">
        <v>3995</v>
      </c>
      <c r="S3997" s="59">
        <f ca="1">Dashboard!B$8* Dashboard!$F$4+Dashboard!B$10*SQRT(Dashboard!$F$4) * _xlfn.NORM.S.INV(RAND())</f>
        <v>-1.7862448840441379E-2</v>
      </c>
      <c r="T3997" s="59">
        <f ca="1">Dashboard!C$8* Dashboard!$F$4+Dashboard!C$10*SQRT(Dashboard!$F$4) * _xlfn.NORM.S.INV(RAND())</f>
        <v>-4.3654381862691244E-2</v>
      </c>
      <c r="U3997" s="59">
        <f ca="1">Dashboard!D$8* Dashboard!$F$4+Dashboard!D$10*SQRT(Dashboard!$F$4) * _xlfn.NORM.S.INV(RAND())</f>
        <v>6.4131559527139748E-3</v>
      </c>
    </row>
    <row r="3998" spans="18:21" x14ac:dyDescent="0.2">
      <c r="R3998" s="49">
        <v>3996</v>
      </c>
      <c r="S3998" s="59">
        <f ca="1">Dashboard!B$8* Dashboard!$F$4+Dashboard!B$10*SQRT(Dashboard!$F$4) * _xlfn.NORM.S.INV(RAND())</f>
        <v>2.6091105459969302E-2</v>
      </c>
      <c r="T3998" s="59">
        <f ca="1">Dashboard!C$8* Dashboard!$F$4+Dashboard!C$10*SQRT(Dashboard!$F$4) * _xlfn.NORM.S.INV(RAND())</f>
        <v>-3.5717560418901111E-2</v>
      </c>
      <c r="U3998" s="59">
        <f ca="1">Dashboard!D$8* Dashboard!$F$4+Dashboard!D$10*SQRT(Dashboard!$F$4) * _xlfn.NORM.S.INV(RAND())</f>
        <v>-3.4694566780271718E-3</v>
      </c>
    </row>
    <row r="3999" spans="18:21" x14ac:dyDescent="0.2">
      <c r="R3999" s="49">
        <v>3997</v>
      </c>
      <c r="S3999" s="59">
        <f ca="1">Dashboard!B$8* Dashboard!$F$4+Dashboard!B$10*SQRT(Dashboard!$F$4) * _xlfn.NORM.S.INV(RAND())</f>
        <v>1.0766277014484014E-2</v>
      </c>
      <c r="T3999" s="59">
        <f ca="1">Dashboard!C$8* Dashboard!$F$4+Dashboard!C$10*SQRT(Dashboard!$F$4) * _xlfn.NORM.S.INV(RAND())</f>
        <v>-1.0278434627525042E-2</v>
      </c>
      <c r="U3999" s="59">
        <f ca="1">Dashboard!D$8* Dashboard!$F$4+Dashboard!D$10*SQRT(Dashboard!$F$4) * _xlfn.NORM.S.INV(RAND())</f>
        <v>-1.952365737535711E-2</v>
      </c>
    </row>
    <row r="4000" spans="18:21" x14ac:dyDescent="0.2">
      <c r="R4000" s="49">
        <v>3998</v>
      </c>
      <c r="S4000" s="59">
        <f ca="1">Dashboard!B$8* Dashboard!$F$4+Dashboard!B$10*SQRT(Dashboard!$F$4) * _xlfn.NORM.S.INV(RAND())</f>
        <v>1.5939478872472275E-2</v>
      </c>
      <c r="T4000" s="59">
        <f ca="1">Dashboard!C$8* Dashboard!$F$4+Dashboard!C$10*SQRT(Dashboard!$F$4) * _xlfn.NORM.S.INV(RAND())</f>
        <v>1.0491505742189634E-2</v>
      </c>
      <c r="U4000" s="59">
        <f ca="1">Dashboard!D$8* Dashboard!$F$4+Dashboard!D$10*SQRT(Dashboard!$F$4) * _xlfn.NORM.S.INV(RAND())</f>
        <v>1.1258210931641742E-2</v>
      </c>
    </row>
    <row r="4001" spans="18:21" x14ac:dyDescent="0.2">
      <c r="R4001" s="49">
        <v>3999</v>
      </c>
      <c r="S4001" s="59">
        <f ca="1">Dashboard!B$8* Dashboard!$F$4+Dashboard!B$10*SQRT(Dashboard!$F$4) * _xlfn.NORM.S.INV(RAND())</f>
        <v>5.6182057632788523E-2</v>
      </c>
      <c r="T4001" s="59">
        <f ca="1">Dashboard!C$8* Dashboard!$F$4+Dashboard!C$10*SQRT(Dashboard!$F$4) * _xlfn.NORM.S.INV(RAND())</f>
        <v>-7.7018436966670946E-3</v>
      </c>
      <c r="U4001" s="59">
        <f ca="1">Dashboard!D$8* Dashboard!$F$4+Dashboard!D$10*SQRT(Dashboard!$F$4) * _xlfn.NORM.S.INV(RAND())</f>
        <v>4.5954152102674279E-3</v>
      </c>
    </row>
    <row r="4002" spans="18:21" x14ac:dyDescent="0.2">
      <c r="R4002" s="49">
        <v>4000</v>
      </c>
      <c r="S4002" s="59">
        <f ca="1">Dashboard!B$8* Dashboard!$F$4+Dashboard!B$10*SQRT(Dashboard!$F$4) * _xlfn.NORM.S.INV(RAND())</f>
        <v>1.0226479109611433E-2</v>
      </c>
      <c r="T4002" s="59">
        <f ca="1">Dashboard!C$8* Dashboard!$F$4+Dashboard!C$10*SQRT(Dashboard!$F$4) * _xlfn.NORM.S.INV(RAND())</f>
        <v>-2.3949010581078185E-2</v>
      </c>
      <c r="U4002" s="59">
        <f ca="1">Dashboard!D$8* Dashboard!$F$4+Dashboard!D$10*SQRT(Dashboard!$F$4) * _xlfn.NORM.S.INV(RAND())</f>
        <v>-1.3241895009136308E-2</v>
      </c>
    </row>
    <row r="4003" spans="18:21" x14ac:dyDescent="0.2">
      <c r="R4003" s="49">
        <v>4001</v>
      </c>
      <c r="S4003" s="59">
        <f ca="1">Dashboard!B$8* Dashboard!$F$4+Dashboard!B$10*SQRT(Dashboard!$F$4) * _xlfn.NORM.S.INV(RAND())</f>
        <v>5.2378067037020866E-2</v>
      </c>
      <c r="T4003" s="59">
        <f ca="1">Dashboard!C$8* Dashboard!$F$4+Dashboard!C$10*SQRT(Dashboard!$F$4) * _xlfn.NORM.S.INV(RAND())</f>
        <v>1.29776264714223E-2</v>
      </c>
      <c r="U4003" s="59">
        <f ca="1">Dashboard!D$8* Dashboard!$F$4+Dashboard!D$10*SQRT(Dashboard!$F$4) * _xlfn.NORM.S.INV(RAND())</f>
        <v>3.1739100894294291E-2</v>
      </c>
    </row>
    <row r="4004" spans="18:21" x14ac:dyDescent="0.2">
      <c r="R4004" s="49">
        <v>4002</v>
      </c>
      <c r="S4004" s="59">
        <f ca="1">Dashboard!B$8* Dashboard!$F$4+Dashboard!B$10*SQRT(Dashboard!$F$4) * _xlfn.NORM.S.INV(RAND())</f>
        <v>-2.8911153135879386E-2</v>
      </c>
      <c r="T4004" s="59">
        <f ca="1">Dashboard!C$8* Dashboard!$F$4+Dashboard!C$10*SQRT(Dashboard!$F$4) * _xlfn.NORM.S.INV(RAND())</f>
        <v>2.0308114390922609E-2</v>
      </c>
      <c r="U4004" s="59">
        <f ca="1">Dashboard!D$8* Dashboard!$F$4+Dashboard!D$10*SQRT(Dashboard!$F$4) * _xlfn.NORM.S.INV(RAND())</f>
        <v>2.7651900424086683E-2</v>
      </c>
    </row>
    <row r="4005" spans="18:21" x14ac:dyDescent="0.2">
      <c r="R4005" s="49">
        <v>4003</v>
      </c>
      <c r="S4005" s="59">
        <f ca="1">Dashboard!B$8* Dashboard!$F$4+Dashboard!B$10*SQRT(Dashboard!$F$4) * _xlfn.NORM.S.INV(RAND())</f>
        <v>-2.0390121509481756E-3</v>
      </c>
      <c r="T4005" s="59">
        <f ca="1">Dashboard!C$8* Dashboard!$F$4+Dashboard!C$10*SQRT(Dashboard!$F$4) * _xlfn.NORM.S.INV(RAND())</f>
        <v>1.3463615695941705E-2</v>
      </c>
      <c r="U4005" s="59">
        <f ca="1">Dashboard!D$8* Dashboard!$F$4+Dashboard!D$10*SQRT(Dashboard!$F$4) * _xlfn.NORM.S.INV(RAND())</f>
        <v>1.0085933948669775E-2</v>
      </c>
    </row>
    <row r="4006" spans="18:21" x14ac:dyDescent="0.2">
      <c r="R4006" s="49">
        <v>4004</v>
      </c>
      <c r="S4006" s="59">
        <f ca="1">Dashboard!B$8* Dashboard!$F$4+Dashboard!B$10*SQRT(Dashboard!$F$4) * _xlfn.NORM.S.INV(RAND())</f>
        <v>-9.0078472727885966E-3</v>
      </c>
      <c r="T4006" s="59">
        <f ca="1">Dashboard!C$8* Dashboard!$F$4+Dashboard!C$10*SQRT(Dashboard!$F$4) * _xlfn.NORM.S.INV(RAND())</f>
        <v>7.8249685727245777E-3</v>
      </c>
      <c r="U4006" s="59">
        <f ca="1">Dashboard!D$8* Dashboard!$F$4+Dashboard!D$10*SQRT(Dashboard!$F$4) * _xlfn.NORM.S.INV(RAND())</f>
        <v>8.6335791307919057E-3</v>
      </c>
    </row>
    <row r="4007" spans="18:21" x14ac:dyDescent="0.2">
      <c r="R4007" s="49">
        <v>4005</v>
      </c>
      <c r="S4007" s="59">
        <f ca="1">Dashboard!B$8* Dashboard!$F$4+Dashboard!B$10*SQRT(Dashboard!$F$4) * _xlfn.NORM.S.INV(RAND())</f>
        <v>4.2769700774140162E-2</v>
      </c>
      <c r="T4007" s="59">
        <f ca="1">Dashboard!C$8* Dashboard!$F$4+Dashboard!C$10*SQRT(Dashboard!$F$4) * _xlfn.NORM.S.INV(RAND())</f>
        <v>5.122672827387844E-2</v>
      </c>
      <c r="U4007" s="59">
        <f ca="1">Dashboard!D$8* Dashboard!$F$4+Dashboard!D$10*SQRT(Dashboard!$F$4) * _xlfn.NORM.S.INV(RAND())</f>
        <v>2.0246625175362801E-2</v>
      </c>
    </row>
    <row r="4008" spans="18:21" x14ac:dyDescent="0.2">
      <c r="R4008" s="49">
        <v>4006</v>
      </c>
      <c r="S4008" s="59">
        <f ca="1">Dashboard!B$8* Dashboard!$F$4+Dashboard!B$10*SQRT(Dashboard!$F$4) * _xlfn.NORM.S.INV(RAND())</f>
        <v>-2.3863097711823558E-2</v>
      </c>
      <c r="T4008" s="59">
        <f ca="1">Dashboard!C$8* Dashboard!$F$4+Dashboard!C$10*SQRT(Dashboard!$F$4) * _xlfn.NORM.S.INV(RAND())</f>
        <v>2.7761020329037565E-2</v>
      </c>
      <c r="U4008" s="59">
        <f ca="1">Dashboard!D$8* Dashboard!$F$4+Dashboard!D$10*SQRT(Dashboard!$F$4) * _xlfn.NORM.S.INV(RAND())</f>
        <v>-2.9668415584421463E-2</v>
      </c>
    </row>
    <row r="4009" spans="18:21" x14ac:dyDescent="0.2">
      <c r="R4009" s="49">
        <v>4007</v>
      </c>
      <c r="S4009" s="59">
        <f ca="1">Dashboard!B$8* Dashboard!$F$4+Dashboard!B$10*SQRT(Dashboard!$F$4) * _xlfn.NORM.S.INV(RAND())</f>
        <v>-5.6583129105377696E-2</v>
      </c>
      <c r="T4009" s="59">
        <f ca="1">Dashboard!C$8* Dashboard!$F$4+Dashboard!C$10*SQRT(Dashboard!$F$4) * _xlfn.NORM.S.INV(RAND())</f>
        <v>-2.6215069290241751E-2</v>
      </c>
      <c r="U4009" s="59">
        <f ca="1">Dashboard!D$8* Dashboard!$F$4+Dashboard!D$10*SQRT(Dashboard!$F$4) * _xlfn.NORM.S.INV(RAND())</f>
        <v>5.5012424190980921E-3</v>
      </c>
    </row>
    <row r="4010" spans="18:21" x14ac:dyDescent="0.2">
      <c r="R4010" s="49">
        <v>4008</v>
      </c>
      <c r="S4010" s="59">
        <f ca="1">Dashboard!B$8* Dashboard!$F$4+Dashboard!B$10*SQRT(Dashboard!$F$4) * _xlfn.NORM.S.INV(RAND())</f>
        <v>-3.4646942795935262E-2</v>
      </c>
      <c r="T4010" s="59">
        <f ca="1">Dashboard!C$8* Dashboard!$F$4+Dashboard!C$10*SQRT(Dashboard!$F$4) * _xlfn.NORM.S.INV(RAND())</f>
        <v>4.867066717671553E-3</v>
      </c>
      <c r="U4010" s="59">
        <f ca="1">Dashboard!D$8* Dashboard!$F$4+Dashboard!D$10*SQRT(Dashboard!$F$4) * _xlfn.NORM.S.INV(RAND())</f>
        <v>-2.5608091726232636E-2</v>
      </c>
    </row>
    <row r="4011" spans="18:21" x14ac:dyDescent="0.2">
      <c r="R4011" s="49">
        <v>4009</v>
      </c>
      <c r="S4011" s="59">
        <f ca="1">Dashboard!B$8* Dashboard!$F$4+Dashboard!B$10*SQRT(Dashboard!$F$4) * _xlfn.NORM.S.INV(RAND())</f>
        <v>4.2384480381328533E-2</v>
      </c>
      <c r="T4011" s="59">
        <f ca="1">Dashboard!C$8* Dashboard!$F$4+Dashboard!C$10*SQRT(Dashboard!$F$4) * _xlfn.NORM.S.INV(RAND())</f>
        <v>-3.8722702600100169E-2</v>
      </c>
      <c r="U4011" s="59">
        <f ca="1">Dashboard!D$8* Dashboard!$F$4+Dashboard!D$10*SQRT(Dashboard!$F$4) * _xlfn.NORM.S.INV(RAND())</f>
        <v>-5.4089894305915528E-2</v>
      </c>
    </row>
    <row r="4012" spans="18:21" x14ac:dyDescent="0.2">
      <c r="R4012" s="49">
        <v>4010</v>
      </c>
      <c r="S4012" s="59">
        <f ca="1">Dashboard!B$8* Dashboard!$F$4+Dashboard!B$10*SQRT(Dashboard!$F$4) * _xlfn.NORM.S.INV(RAND())</f>
        <v>-7.0670438653738787E-3</v>
      </c>
      <c r="T4012" s="59">
        <f ca="1">Dashboard!C$8* Dashboard!$F$4+Dashboard!C$10*SQRT(Dashboard!$F$4) * _xlfn.NORM.S.INV(RAND())</f>
        <v>1.2459369040114798E-2</v>
      </c>
      <c r="U4012" s="59">
        <f ca="1">Dashboard!D$8* Dashboard!$F$4+Dashboard!D$10*SQRT(Dashboard!$F$4) * _xlfn.NORM.S.INV(RAND())</f>
        <v>2.7897047729049617E-2</v>
      </c>
    </row>
    <row r="4013" spans="18:21" x14ac:dyDescent="0.2">
      <c r="R4013" s="49">
        <v>4011</v>
      </c>
      <c r="S4013" s="59">
        <f ca="1">Dashboard!B$8* Dashboard!$F$4+Dashboard!B$10*SQRT(Dashboard!$F$4) * _xlfn.NORM.S.INV(RAND())</f>
        <v>2.159637454625587E-3</v>
      </c>
      <c r="T4013" s="59">
        <f ca="1">Dashboard!C$8* Dashboard!$F$4+Dashboard!C$10*SQRT(Dashboard!$F$4) * _xlfn.NORM.S.INV(RAND())</f>
        <v>-1.5405095614291188E-2</v>
      </c>
      <c r="U4013" s="59">
        <f ca="1">Dashboard!D$8* Dashboard!$F$4+Dashboard!D$10*SQRT(Dashboard!$F$4) * _xlfn.NORM.S.INV(RAND())</f>
        <v>2.6042323712295251E-3</v>
      </c>
    </row>
    <row r="4014" spans="18:21" x14ac:dyDescent="0.2">
      <c r="R4014" s="49">
        <v>4012</v>
      </c>
      <c r="S4014" s="59">
        <f ca="1">Dashboard!B$8* Dashboard!$F$4+Dashboard!B$10*SQRT(Dashboard!$F$4) * _xlfn.NORM.S.INV(RAND())</f>
        <v>1.4780389392034217E-2</v>
      </c>
      <c r="T4014" s="59">
        <f ca="1">Dashboard!C$8* Dashboard!$F$4+Dashboard!C$10*SQRT(Dashboard!$F$4) * _xlfn.NORM.S.INV(RAND())</f>
        <v>-1.0117816330785435E-2</v>
      </c>
      <c r="U4014" s="59">
        <f ca="1">Dashboard!D$8* Dashboard!$F$4+Dashboard!D$10*SQRT(Dashboard!$F$4) * _xlfn.NORM.S.INV(RAND())</f>
        <v>-7.7259161066801419E-4</v>
      </c>
    </row>
    <row r="4015" spans="18:21" x14ac:dyDescent="0.2">
      <c r="R4015" s="49">
        <v>4013</v>
      </c>
      <c r="S4015" s="59">
        <f ca="1">Dashboard!B$8* Dashboard!$F$4+Dashboard!B$10*SQRT(Dashboard!$F$4) * _xlfn.NORM.S.INV(RAND())</f>
        <v>-8.8020708689386402E-3</v>
      </c>
      <c r="T4015" s="59">
        <f ca="1">Dashboard!C$8* Dashboard!$F$4+Dashboard!C$10*SQRT(Dashboard!$F$4) * _xlfn.NORM.S.INV(RAND())</f>
        <v>-6.8204562927748819E-2</v>
      </c>
      <c r="U4015" s="59">
        <f ca="1">Dashboard!D$8* Dashboard!$F$4+Dashboard!D$10*SQRT(Dashboard!$F$4) * _xlfn.NORM.S.INV(RAND())</f>
        <v>-5.1045551859782157E-2</v>
      </c>
    </row>
    <row r="4016" spans="18:21" x14ac:dyDescent="0.2">
      <c r="R4016" s="49">
        <v>4014</v>
      </c>
      <c r="S4016" s="59">
        <f ca="1">Dashboard!B$8* Dashboard!$F$4+Dashboard!B$10*SQRT(Dashboard!$F$4) * _xlfn.NORM.S.INV(RAND())</f>
        <v>3.5622019635893988E-2</v>
      </c>
      <c r="T4016" s="59">
        <f ca="1">Dashboard!C$8* Dashboard!$F$4+Dashboard!C$10*SQRT(Dashboard!$F$4) * _xlfn.NORM.S.INV(RAND())</f>
        <v>-5.9034913341953722E-3</v>
      </c>
      <c r="U4016" s="59">
        <f ca="1">Dashboard!D$8* Dashboard!$F$4+Dashboard!D$10*SQRT(Dashboard!$F$4) * _xlfn.NORM.S.INV(RAND())</f>
        <v>1.7926820098307001E-2</v>
      </c>
    </row>
    <row r="4017" spans="18:21" x14ac:dyDescent="0.2">
      <c r="R4017" s="49">
        <v>4015</v>
      </c>
      <c r="S4017" s="59">
        <f ca="1">Dashboard!B$8* Dashboard!$F$4+Dashboard!B$10*SQRT(Dashboard!$F$4) * _xlfn.NORM.S.INV(RAND())</f>
        <v>-4.9865782754958815E-3</v>
      </c>
      <c r="T4017" s="59">
        <f ca="1">Dashboard!C$8* Dashboard!$F$4+Dashboard!C$10*SQRT(Dashboard!$F$4) * _xlfn.NORM.S.INV(RAND())</f>
        <v>3.420771206541913E-2</v>
      </c>
      <c r="U4017" s="59">
        <f ca="1">Dashboard!D$8* Dashboard!$F$4+Dashboard!D$10*SQRT(Dashboard!$F$4) * _xlfn.NORM.S.INV(RAND())</f>
        <v>3.1468939003755969E-2</v>
      </c>
    </row>
    <row r="4018" spans="18:21" x14ac:dyDescent="0.2">
      <c r="R4018" s="49">
        <v>4016</v>
      </c>
      <c r="S4018" s="59">
        <f ca="1">Dashboard!B$8* Dashboard!$F$4+Dashboard!B$10*SQRT(Dashboard!$F$4) * _xlfn.NORM.S.INV(RAND())</f>
        <v>2.9239925862661706E-2</v>
      </c>
      <c r="T4018" s="59">
        <f ca="1">Dashboard!C$8* Dashboard!$F$4+Dashboard!C$10*SQRT(Dashboard!$F$4) * _xlfn.NORM.S.INV(RAND())</f>
        <v>4.8190088832478252E-2</v>
      </c>
      <c r="U4018" s="59">
        <f ca="1">Dashboard!D$8* Dashboard!$F$4+Dashboard!D$10*SQRT(Dashboard!$F$4) * _xlfn.NORM.S.INV(RAND())</f>
        <v>-9.490215298226599E-4</v>
      </c>
    </row>
    <row r="4019" spans="18:21" x14ac:dyDescent="0.2">
      <c r="R4019" s="49">
        <v>4017</v>
      </c>
      <c r="S4019" s="59">
        <f ca="1">Dashboard!B$8* Dashboard!$F$4+Dashboard!B$10*SQRT(Dashboard!$F$4) * _xlfn.NORM.S.INV(RAND())</f>
        <v>-3.8571591749826634E-2</v>
      </c>
      <c r="T4019" s="59">
        <f ca="1">Dashboard!C$8* Dashboard!$F$4+Dashboard!C$10*SQRT(Dashboard!$F$4) * _xlfn.NORM.S.INV(RAND())</f>
        <v>2.0201486229484093E-4</v>
      </c>
      <c r="U4019" s="59">
        <f ca="1">Dashboard!D$8* Dashboard!$F$4+Dashboard!D$10*SQRT(Dashboard!$F$4) * _xlfn.NORM.S.INV(RAND())</f>
        <v>-2.1667819278761845E-2</v>
      </c>
    </row>
    <row r="4020" spans="18:21" x14ac:dyDescent="0.2">
      <c r="R4020" s="49">
        <v>4018</v>
      </c>
      <c r="S4020" s="59">
        <f ca="1">Dashboard!B$8* Dashboard!$F$4+Dashboard!B$10*SQRT(Dashboard!$F$4) * _xlfn.NORM.S.INV(RAND())</f>
        <v>-1.0916098895769843E-2</v>
      </c>
      <c r="T4020" s="59">
        <f ca="1">Dashboard!C$8* Dashboard!$F$4+Dashboard!C$10*SQRT(Dashboard!$F$4) * _xlfn.NORM.S.INV(RAND())</f>
        <v>5.7958517042176897E-3</v>
      </c>
      <c r="U4020" s="59">
        <f ca="1">Dashboard!D$8* Dashboard!$F$4+Dashboard!D$10*SQRT(Dashboard!$F$4) * _xlfn.NORM.S.INV(RAND())</f>
        <v>-4.7064167545570489E-2</v>
      </c>
    </row>
    <row r="4021" spans="18:21" x14ac:dyDescent="0.2">
      <c r="R4021" s="49">
        <v>4019</v>
      </c>
      <c r="S4021" s="59">
        <f ca="1">Dashboard!B$8* Dashboard!$F$4+Dashboard!B$10*SQRT(Dashboard!$F$4) * _xlfn.NORM.S.INV(RAND())</f>
        <v>7.7308310369287019E-3</v>
      </c>
      <c r="T4021" s="59">
        <f ca="1">Dashboard!C$8* Dashboard!$F$4+Dashboard!C$10*SQRT(Dashboard!$F$4) * _xlfn.NORM.S.INV(RAND())</f>
        <v>3.5076069699858679E-2</v>
      </c>
      <c r="U4021" s="59">
        <f ca="1">Dashboard!D$8* Dashboard!$F$4+Dashboard!D$10*SQRT(Dashboard!$F$4) * _xlfn.NORM.S.INV(RAND())</f>
        <v>-2.4566245965557038E-2</v>
      </c>
    </row>
    <row r="4022" spans="18:21" x14ac:dyDescent="0.2">
      <c r="R4022" s="49">
        <v>4020</v>
      </c>
      <c r="S4022" s="59">
        <f ca="1">Dashboard!B$8* Dashboard!$F$4+Dashboard!B$10*SQRT(Dashboard!$F$4) * _xlfn.NORM.S.INV(RAND())</f>
        <v>1.8436186599248934E-3</v>
      </c>
      <c r="T4022" s="59">
        <f ca="1">Dashboard!C$8* Dashboard!$F$4+Dashboard!C$10*SQRT(Dashboard!$F$4) * _xlfn.NORM.S.INV(RAND())</f>
        <v>-6.1963861928959743E-3</v>
      </c>
      <c r="U4022" s="59">
        <f ca="1">Dashboard!D$8* Dashboard!$F$4+Dashboard!D$10*SQRT(Dashboard!$F$4) * _xlfn.NORM.S.INV(RAND())</f>
        <v>-3.9629368704853181E-2</v>
      </c>
    </row>
    <row r="4023" spans="18:21" x14ac:dyDescent="0.2">
      <c r="R4023" s="49">
        <v>4021</v>
      </c>
      <c r="S4023" s="59">
        <f ca="1">Dashboard!B$8* Dashboard!$F$4+Dashboard!B$10*SQRT(Dashboard!$F$4) * _xlfn.NORM.S.INV(RAND())</f>
        <v>-5.5395222419184015E-2</v>
      </c>
      <c r="T4023" s="59">
        <f ca="1">Dashboard!C$8* Dashboard!$F$4+Dashboard!C$10*SQRT(Dashboard!$F$4) * _xlfn.NORM.S.INV(RAND())</f>
        <v>-2.1341565572989846E-3</v>
      </c>
      <c r="U4023" s="59">
        <f ca="1">Dashboard!D$8* Dashboard!$F$4+Dashboard!D$10*SQRT(Dashboard!$F$4) * _xlfn.NORM.S.INV(RAND())</f>
        <v>-2.1769529514246443E-2</v>
      </c>
    </row>
    <row r="4024" spans="18:21" x14ac:dyDescent="0.2">
      <c r="R4024" s="49">
        <v>4022</v>
      </c>
      <c r="S4024" s="59">
        <f ca="1">Dashboard!B$8* Dashboard!$F$4+Dashboard!B$10*SQRT(Dashboard!$F$4) * _xlfn.NORM.S.INV(RAND())</f>
        <v>3.0527391786520199E-3</v>
      </c>
      <c r="T4024" s="59">
        <f ca="1">Dashboard!C$8* Dashboard!$F$4+Dashboard!C$10*SQRT(Dashboard!$F$4) * _xlfn.NORM.S.INV(RAND())</f>
        <v>-2.0369640254705858E-2</v>
      </c>
      <c r="U4024" s="59">
        <f ca="1">Dashboard!D$8* Dashboard!$F$4+Dashboard!D$10*SQRT(Dashboard!$F$4) * _xlfn.NORM.S.INV(RAND())</f>
        <v>-1.6091505723175855E-2</v>
      </c>
    </row>
    <row r="4025" spans="18:21" x14ac:dyDescent="0.2">
      <c r="R4025" s="49">
        <v>4023</v>
      </c>
      <c r="S4025" s="59">
        <f ca="1">Dashboard!B$8* Dashboard!$F$4+Dashboard!B$10*SQRT(Dashboard!$F$4) * _xlfn.NORM.S.INV(RAND())</f>
        <v>5.1214454714534029E-3</v>
      </c>
      <c r="T4025" s="59">
        <f ca="1">Dashboard!C$8* Dashboard!$F$4+Dashboard!C$10*SQRT(Dashboard!$F$4) * _xlfn.NORM.S.INV(RAND())</f>
        <v>-2.3579929391778871E-3</v>
      </c>
      <c r="U4025" s="59">
        <f ca="1">Dashboard!D$8* Dashboard!$F$4+Dashboard!D$10*SQRT(Dashboard!$F$4) * _xlfn.NORM.S.INV(RAND())</f>
        <v>-3.8622324234996432E-2</v>
      </c>
    </row>
    <row r="4026" spans="18:21" x14ac:dyDescent="0.2">
      <c r="R4026" s="49">
        <v>4024</v>
      </c>
      <c r="S4026" s="59">
        <f ca="1">Dashboard!B$8* Dashboard!$F$4+Dashboard!B$10*SQRT(Dashboard!$F$4) * _xlfn.NORM.S.INV(RAND())</f>
        <v>-2.2526981345488827E-2</v>
      </c>
      <c r="T4026" s="59">
        <f ca="1">Dashboard!C$8* Dashboard!$F$4+Dashboard!C$10*SQRT(Dashboard!$F$4) * _xlfn.NORM.S.INV(RAND())</f>
        <v>9.6928987843670593E-3</v>
      </c>
      <c r="U4026" s="59">
        <f ca="1">Dashboard!D$8* Dashboard!$F$4+Dashboard!D$10*SQRT(Dashboard!$F$4) * _xlfn.NORM.S.INV(RAND())</f>
        <v>3.3424471064848168E-3</v>
      </c>
    </row>
    <row r="4027" spans="18:21" x14ac:dyDescent="0.2">
      <c r="R4027" s="49">
        <v>4025</v>
      </c>
      <c r="S4027" s="59">
        <f ca="1">Dashboard!B$8* Dashboard!$F$4+Dashboard!B$10*SQRT(Dashboard!$F$4) * _xlfn.NORM.S.INV(RAND())</f>
        <v>1.6751762576823745E-2</v>
      </c>
      <c r="T4027" s="59">
        <f ca="1">Dashboard!C$8* Dashboard!$F$4+Dashboard!C$10*SQRT(Dashboard!$F$4) * _xlfn.NORM.S.INV(RAND())</f>
        <v>-1.6048074003078866E-2</v>
      </c>
      <c r="U4027" s="59">
        <f ca="1">Dashboard!D$8* Dashboard!$F$4+Dashboard!D$10*SQRT(Dashboard!$F$4) * _xlfn.NORM.S.INV(RAND())</f>
        <v>-1.3586010872362117E-2</v>
      </c>
    </row>
    <row r="4028" spans="18:21" x14ac:dyDescent="0.2">
      <c r="R4028" s="49">
        <v>4026</v>
      </c>
      <c r="S4028" s="59">
        <f ca="1">Dashboard!B$8* Dashboard!$F$4+Dashboard!B$10*SQRT(Dashboard!$F$4) * _xlfn.NORM.S.INV(RAND())</f>
        <v>-1.7610100452913141E-2</v>
      </c>
      <c r="T4028" s="59">
        <f ca="1">Dashboard!C$8* Dashboard!$F$4+Dashboard!C$10*SQRT(Dashboard!$F$4) * _xlfn.NORM.S.INV(RAND())</f>
        <v>1.4478746394797192E-2</v>
      </c>
      <c r="U4028" s="59">
        <f ca="1">Dashboard!D$8* Dashboard!$F$4+Dashboard!D$10*SQRT(Dashboard!$F$4) * _xlfn.NORM.S.INV(RAND())</f>
        <v>2.4723200996231747E-2</v>
      </c>
    </row>
    <row r="4029" spans="18:21" x14ac:dyDescent="0.2">
      <c r="R4029" s="49">
        <v>4027</v>
      </c>
      <c r="S4029" s="59">
        <f ca="1">Dashboard!B$8* Dashboard!$F$4+Dashboard!B$10*SQRT(Dashboard!$F$4) * _xlfn.NORM.S.INV(RAND())</f>
        <v>-3.3003251922989287E-2</v>
      </c>
      <c r="T4029" s="59">
        <f ca="1">Dashboard!C$8* Dashboard!$F$4+Dashboard!C$10*SQRT(Dashboard!$F$4) * _xlfn.NORM.S.INV(RAND())</f>
        <v>-1.5000074627551038E-2</v>
      </c>
      <c r="U4029" s="59">
        <f ca="1">Dashboard!D$8* Dashboard!$F$4+Dashboard!D$10*SQRT(Dashboard!$F$4) * _xlfn.NORM.S.INV(RAND())</f>
        <v>-9.3738296524222293E-3</v>
      </c>
    </row>
    <row r="4030" spans="18:21" x14ac:dyDescent="0.2">
      <c r="R4030" s="49">
        <v>4028</v>
      </c>
      <c r="S4030" s="59">
        <f ca="1">Dashboard!B$8* Dashboard!$F$4+Dashboard!B$10*SQRT(Dashboard!$F$4) * _xlfn.NORM.S.INV(RAND())</f>
        <v>-1.6928680453565929E-2</v>
      </c>
      <c r="T4030" s="59">
        <f ca="1">Dashboard!C$8* Dashboard!$F$4+Dashboard!C$10*SQRT(Dashboard!$F$4) * _xlfn.NORM.S.INV(RAND())</f>
        <v>4.3160506181962651E-4</v>
      </c>
      <c r="U4030" s="59">
        <f ca="1">Dashboard!D$8* Dashboard!$F$4+Dashboard!D$10*SQRT(Dashboard!$F$4) * _xlfn.NORM.S.INV(RAND())</f>
        <v>-2.2791702709118782E-2</v>
      </c>
    </row>
    <row r="4031" spans="18:21" x14ac:dyDescent="0.2">
      <c r="R4031" s="49">
        <v>4029</v>
      </c>
      <c r="S4031" s="59">
        <f ca="1">Dashboard!B$8* Dashboard!$F$4+Dashboard!B$10*SQRT(Dashboard!$F$4) * _xlfn.NORM.S.INV(RAND())</f>
        <v>-1.2915289089933087E-2</v>
      </c>
      <c r="T4031" s="59">
        <f ca="1">Dashboard!C$8* Dashboard!$F$4+Dashboard!C$10*SQRT(Dashboard!$F$4) * _xlfn.NORM.S.INV(RAND())</f>
        <v>5.5423196335494855E-2</v>
      </c>
      <c r="U4031" s="59">
        <f ca="1">Dashboard!D$8* Dashboard!$F$4+Dashboard!D$10*SQRT(Dashboard!$F$4) * _xlfn.NORM.S.INV(RAND())</f>
        <v>2.3863737109096582E-2</v>
      </c>
    </row>
    <row r="4032" spans="18:21" x14ac:dyDescent="0.2">
      <c r="R4032" s="49">
        <v>4030</v>
      </c>
      <c r="S4032" s="59">
        <f ca="1">Dashboard!B$8* Dashboard!$F$4+Dashboard!B$10*SQRT(Dashboard!$F$4) * _xlfn.NORM.S.INV(RAND())</f>
        <v>2.3943685962159317E-2</v>
      </c>
      <c r="T4032" s="59">
        <f ca="1">Dashboard!C$8* Dashboard!$F$4+Dashboard!C$10*SQRT(Dashboard!$F$4) * _xlfn.NORM.S.INV(RAND())</f>
        <v>5.5214114229916962E-2</v>
      </c>
      <c r="U4032" s="59">
        <f ca="1">Dashboard!D$8* Dashboard!$F$4+Dashboard!D$10*SQRT(Dashboard!$F$4) * _xlfn.NORM.S.INV(RAND())</f>
        <v>-3.3456744679913025E-2</v>
      </c>
    </row>
    <row r="4033" spans="18:21" x14ac:dyDescent="0.2">
      <c r="R4033" s="49">
        <v>4031</v>
      </c>
      <c r="S4033" s="59">
        <f ca="1">Dashboard!B$8* Dashboard!$F$4+Dashboard!B$10*SQRT(Dashboard!$F$4) * _xlfn.NORM.S.INV(RAND())</f>
        <v>-5.1543700621090052E-2</v>
      </c>
      <c r="T4033" s="59">
        <f ca="1">Dashboard!C$8* Dashboard!$F$4+Dashboard!C$10*SQRT(Dashboard!$F$4) * _xlfn.NORM.S.INV(RAND())</f>
        <v>3.7755853589427658E-2</v>
      </c>
      <c r="U4033" s="59">
        <f ca="1">Dashboard!D$8* Dashboard!$F$4+Dashboard!D$10*SQRT(Dashboard!$F$4) * _xlfn.NORM.S.INV(RAND())</f>
        <v>-6.3787514558318839E-2</v>
      </c>
    </row>
    <row r="4034" spans="18:21" x14ac:dyDescent="0.2">
      <c r="R4034" s="49">
        <v>4032</v>
      </c>
      <c r="S4034" s="59">
        <f ca="1">Dashboard!B$8* Dashboard!$F$4+Dashboard!B$10*SQRT(Dashboard!$F$4) * _xlfn.NORM.S.INV(RAND())</f>
        <v>4.4201397026175458E-3</v>
      </c>
      <c r="T4034" s="59">
        <f ca="1">Dashboard!C$8* Dashboard!$F$4+Dashboard!C$10*SQRT(Dashboard!$F$4) * _xlfn.NORM.S.INV(RAND())</f>
        <v>2.8224173065946604E-2</v>
      </c>
      <c r="U4034" s="59">
        <f ca="1">Dashboard!D$8* Dashboard!$F$4+Dashboard!D$10*SQRT(Dashboard!$F$4) * _xlfn.NORM.S.INV(RAND())</f>
        <v>9.0113726086808784E-3</v>
      </c>
    </row>
    <row r="4035" spans="18:21" x14ac:dyDescent="0.2">
      <c r="R4035" s="49">
        <v>4033</v>
      </c>
      <c r="S4035" s="59">
        <f ca="1">Dashboard!B$8* Dashboard!$F$4+Dashboard!B$10*SQRT(Dashboard!$F$4) * _xlfn.NORM.S.INV(RAND())</f>
        <v>5.1963299612513055E-3</v>
      </c>
      <c r="T4035" s="59">
        <f ca="1">Dashboard!C$8* Dashboard!$F$4+Dashboard!C$10*SQRT(Dashboard!$F$4) * _xlfn.NORM.S.INV(RAND())</f>
        <v>-1.0780956777077966E-2</v>
      </c>
      <c r="U4035" s="59">
        <f ca="1">Dashboard!D$8* Dashboard!$F$4+Dashboard!D$10*SQRT(Dashboard!$F$4) * _xlfn.NORM.S.INV(RAND())</f>
        <v>3.3577816927955412E-3</v>
      </c>
    </row>
    <row r="4036" spans="18:21" x14ac:dyDescent="0.2">
      <c r="R4036" s="49">
        <v>4034</v>
      </c>
      <c r="S4036" s="59">
        <f ca="1">Dashboard!B$8* Dashboard!$F$4+Dashboard!B$10*SQRT(Dashboard!$F$4) * _xlfn.NORM.S.INV(RAND())</f>
        <v>-2.3550684687376582E-2</v>
      </c>
      <c r="T4036" s="59">
        <f ca="1">Dashboard!C$8* Dashboard!$F$4+Dashboard!C$10*SQRT(Dashboard!$F$4) * _xlfn.NORM.S.INV(RAND())</f>
        <v>3.9938319381513113E-2</v>
      </c>
      <c r="U4036" s="59">
        <f ca="1">Dashboard!D$8* Dashboard!$F$4+Dashboard!D$10*SQRT(Dashboard!$F$4) * _xlfn.NORM.S.INV(RAND())</f>
        <v>-4.7788979165701059E-2</v>
      </c>
    </row>
    <row r="4037" spans="18:21" x14ac:dyDescent="0.2">
      <c r="R4037" s="49">
        <v>4035</v>
      </c>
      <c r="S4037" s="59">
        <f ca="1">Dashboard!B$8* Dashboard!$F$4+Dashboard!B$10*SQRT(Dashboard!$F$4) * _xlfn.NORM.S.INV(RAND())</f>
        <v>2.3283578409762716E-2</v>
      </c>
      <c r="T4037" s="59">
        <f ca="1">Dashboard!C$8* Dashboard!$F$4+Dashboard!C$10*SQRT(Dashboard!$F$4) * _xlfn.NORM.S.INV(RAND())</f>
        <v>1.3089678674782924E-2</v>
      </c>
      <c r="U4037" s="59">
        <f ca="1">Dashboard!D$8* Dashboard!$F$4+Dashboard!D$10*SQRT(Dashboard!$F$4) * _xlfn.NORM.S.INV(RAND())</f>
        <v>-2.6775452724461416E-2</v>
      </c>
    </row>
    <row r="4038" spans="18:21" x14ac:dyDescent="0.2">
      <c r="R4038" s="49">
        <v>4036</v>
      </c>
      <c r="S4038" s="59">
        <f ca="1">Dashboard!B$8* Dashboard!$F$4+Dashboard!B$10*SQRT(Dashboard!$F$4) * _xlfn.NORM.S.INV(RAND())</f>
        <v>-4.1555491069367921E-2</v>
      </c>
      <c r="T4038" s="59">
        <f ca="1">Dashboard!C$8* Dashboard!$F$4+Dashboard!C$10*SQRT(Dashboard!$F$4) * _xlfn.NORM.S.INV(RAND())</f>
        <v>-4.6936047312450303E-2</v>
      </c>
      <c r="U4038" s="59">
        <f ca="1">Dashboard!D$8* Dashboard!$F$4+Dashboard!D$10*SQRT(Dashboard!$F$4) * _xlfn.NORM.S.INV(RAND())</f>
        <v>-3.1120839190528809E-2</v>
      </c>
    </row>
    <row r="4039" spans="18:21" x14ac:dyDescent="0.2">
      <c r="R4039" s="49">
        <v>4037</v>
      </c>
      <c r="S4039" s="59">
        <f ca="1">Dashboard!B$8* Dashboard!$F$4+Dashboard!B$10*SQRT(Dashboard!$F$4) * _xlfn.NORM.S.INV(RAND())</f>
        <v>-3.5339210387192024E-2</v>
      </c>
      <c r="T4039" s="59">
        <f ca="1">Dashboard!C$8* Dashboard!$F$4+Dashboard!C$10*SQRT(Dashboard!$F$4) * _xlfn.NORM.S.INV(RAND())</f>
        <v>-2.0415583853607918E-2</v>
      </c>
      <c r="U4039" s="59">
        <f ca="1">Dashboard!D$8* Dashboard!$F$4+Dashboard!D$10*SQRT(Dashboard!$F$4) * _xlfn.NORM.S.INV(RAND())</f>
        <v>1.1958595091071755E-2</v>
      </c>
    </row>
    <row r="4040" spans="18:21" x14ac:dyDescent="0.2">
      <c r="R4040" s="49">
        <v>4038</v>
      </c>
      <c r="S4040" s="59">
        <f ca="1">Dashboard!B$8* Dashboard!$F$4+Dashboard!B$10*SQRT(Dashboard!$F$4) * _xlfn.NORM.S.INV(RAND())</f>
        <v>-4.8681566224117552E-3</v>
      </c>
      <c r="T4040" s="59">
        <f ca="1">Dashboard!C$8* Dashboard!$F$4+Dashboard!C$10*SQRT(Dashboard!$F$4) * _xlfn.NORM.S.INV(RAND())</f>
        <v>-2.2659398524118562E-3</v>
      </c>
      <c r="U4040" s="59">
        <f ca="1">Dashboard!D$8* Dashboard!$F$4+Dashboard!D$10*SQRT(Dashboard!$F$4) * _xlfn.NORM.S.INV(RAND())</f>
        <v>-8.2324142905835923E-3</v>
      </c>
    </row>
    <row r="4041" spans="18:21" x14ac:dyDescent="0.2">
      <c r="R4041" s="49">
        <v>4039</v>
      </c>
      <c r="S4041" s="59">
        <f ca="1">Dashboard!B$8* Dashboard!$F$4+Dashboard!B$10*SQRT(Dashboard!$F$4) * _xlfn.NORM.S.INV(RAND())</f>
        <v>5.108803141895088E-2</v>
      </c>
      <c r="T4041" s="59">
        <f ca="1">Dashboard!C$8* Dashboard!$F$4+Dashboard!C$10*SQRT(Dashboard!$F$4) * _xlfn.NORM.S.INV(RAND())</f>
        <v>7.4149444075611359E-2</v>
      </c>
      <c r="U4041" s="59">
        <f ca="1">Dashboard!D$8* Dashboard!$F$4+Dashboard!D$10*SQRT(Dashboard!$F$4) * _xlfn.NORM.S.INV(RAND())</f>
        <v>-2.8275679076104208E-2</v>
      </c>
    </row>
    <row r="4042" spans="18:21" x14ac:dyDescent="0.2">
      <c r="R4042" s="49">
        <v>4040</v>
      </c>
      <c r="S4042" s="59">
        <f ca="1">Dashboard!B$8* Dashboard!$F$4+Dashboard!B$10*SQRT(Dashboard!$F$4) * _xlfn.NORM.S.INV(RAND())</f>
        <v>-2.1852404564118334E-2</v>
      </c>
      <c r="T4042" s="59">
        <f ca="1">Dashboard!C$8* Dashboard!$F$4+Dashboard!C$10*SQRT(Dashboard!$F$4) * _xlfn.NORM.S.INV(RAND())</f>
        <v>-2.2424201658079426E-2</v>
      </c>
      <c r="U4042" s="59">
        <f ca="1">Dashboard!D$8* Dashboard!$F$4+Dashboard!D$10*SQRT(Dashboard!$F$4) * _xlfn.NORM.S.INV(RAND())</f>
        <v>2.0227837572652681E-2</v>
      </c>
    </row>
    <row r="4043" spans="18:21" x14ac:dyDescent="0.2">
      <c r="R4043" s="49">
        <v>4041</v>
      </c>
      <c r="S4043" s="59">
        <f ca="1">Dashboard!B$8* Dashboard!$F$4+Dashboard!B$10*SQRT(Dashboard!$F$4) * _xlfn.NORM.S.INV(RAND())</f>
        <v>8.7487449628526909E-3</v>
      </c>
      <c r="T4043" s="59">
        <f ca="1">Dashboard!C$8* Dashboard!$F$4+Dashboard!C$10*SQRT(Dashboard!$F$4) * _xlfn.NORM.S.INV(RAND())</f>
        <v>-1.5725837288531816E-2</v>
      </c>
      <c r="U4043" s="59">
        <f ca="1">Dashboard!D$8* Dashboard!$F$4+Dashboard!D$10*SQRT(Dashboard!$F$4) * _xlfn.NORM.S.INV(RAND())</f>
        <v>-5.7350012876149485E-2</v>
      </c>
    </row>
    <row r="4044" spans="18:21" x14ac:dyDescent="0.2">
      <c r="R4044" s="49">
        <v>4042</v>
      </c>
      <c r="S4044" s="59">
        <f ca="1">Dashboard!B$8* Dashboard!$F$4+Dashboard!B$10*SQRT(Dashboard!$F$4) * _xlfn.NORM.S.INV(RAND())</f>
        <v>2.8164904636440197E-2</v>
      </c>
      <c r="T4044" s="59">
        <f ca="1">Dashboard!C$8* Dashboard!$F$4+Dashboard!C$10*SQRT(Dashboard!$F$4) * _xlfn.NORM.S.INV(RAND())</f>
        <v>5.032539155009802E-2</v>
      </c>
      <c r="U4044" s="59">
        <f ca="1">Dashboard!D$8* Dashboard!$F$4+Dashboard!D$10*SQRT(Dashboard!$F$4) * _xlfn.NORM.S.INV(RAND())</f>
        <v>-5.5287901478515915E-2</v>
      </c>
    </row>
    <row r="4045" spans="18:21" x14ac:dyDescent="0.2">
      <c r="R4045" s="49">
        <v>4043</v>
      </c>
      <c r="S4045" s="59">
        <f ca="1">Dashboard!B$8* Dashboard!$F$4+Dashboard!B$10*SQRT(Dashboard!$F$4) * _xlfn.NORM.S.INV(RAND())</f>
        <v>4.9964206707132079E-2</v>
      </c>
      <c r="T4045" s="59">
        <f ca="1">Dashboard!C$8* Dashboard!$F$4+Dashboard!C$10*SQRT(Dashboard!$F$4) * _xlfn.NORM.S.INV(RAND())</f>
        <v>5.2074017757120838E-2</v>
      </c>
      <c r="U4045" s="59">
        <f ca="1">Dashboard!D$8* Dashboard!$F$4+Dashboard!D$10*SQRT(Dashboard!$F$4) * _xlfn.NORM.S.INV(RAND())</f>
        <v>1.2213788316534571E-2</v>
      </c>
    </row>
    <row r="4046" spans="18:21" x14ac:dyDescent="0.2">
      <c r="R4046" s="49">
        <v>4044</v>
      </c>
      <c r="S4046" s="59">
        <f ca="1">Dashboard!B$8* Dashboard!$F$4+Dashboard!B$10*SQRT(Dashboard!$F$4) * _xlfn.NORM.S.INV(RAND())</f>
        <v>1.6367673008427501E-2</v>
      </c>
      <c r="T4046" s="59">
        <f ca="1">Dashboard!C$8* Dashboard!$F$4+Dashboard!C$10*SQRT(Dashboard!$F$4) * _xlfn.NORM.S.INV(RAND())</f>
        <v>1.1310997037127842E-2</v>
      </c>
      <c r="U4046" s="59">
        <f ca="1">Dashboard!D$8* Dashboard!$F$4+Dashboard!D$10*SQRT(Dashboard!$F$4) * _xlfn.NORM.S.INV(RAND())</f>
        <v>3.0136839118579287E-2</v>
      </c>
    </row>
    <row r="4047" spans="18:21" x14ac:dyDescent="0.2">
      <c r="R4047" s="49">
        <v>4045</v>
      </c>
      <c r="S4047" s="59">
        <f ca="1">Dashboard!B$8* Dashboard!$F$4+Dashboard!B$10*SQRT(Dashboard!$F$4) * _xlfn.NORM.S.INV(RAND())</f>
        <v>-9.0809174734107177E-3</v>
      </c>
      <c r="T4047" s="59">
        <f ca="1">Dashboard!C$8* Dashboard!$F$4+Dashboard!C$10*SQRT(Dashboard!$F$4) * _xlfn.NORM.S.INV(RAND())</f>
        <v>-2.1673206434443065E-2</v>
      </c>
      <c r="U4047" s="59">
        <f ca="1">Dashboard!D$8* Dashboard!$F$4+Dashboard!D$10*SQRT(Dashboard!$F$4) * _xlfn.NORM.S.INV(RAND())</f>
        <v>-5.8595791828925721E-2</v>
      </c>
    </row>
    <row r="4048" spans="18:21" x14ac:dyDescent="0.2">
      <c r="R4048" s="49">
        <v>4046</v>
      </c>
      <c r="S4048" s="59">
        <f ca="1">Dashboard!B$8* Dashboard!$F$4+Dashboard!B$10*SQRT(Dashboard!$F$4) * _xlfn.NORM.S.INV(RAND())</f>
        <v>2.4225719534746296E-2</v>
      </c>
      <c r="T4048" s="59">
        <f ca="1">Dashboard!C$8* Dashboard!$F$4+Dashboard!C$10*SQRT(Dashboard!$F$4) * _xlfn.NORM.S.INV(RAND())</f>
        <v>-6.0783592913776649E-2</v>
      </c>
      <c r="U4048" s="59">
        <f ca="1">Dashboard!D$8* Dashboard!$F$4+Dashboard!D$10*SQRT(Dashboard!$F$4) * _xlfn.NORM.S.INV(RAND())</f>
        <v>-1.1668137482901014E-3</v>
      </c>
    </row>
    <row r="4049" spans="18:21" x14ac:dyDescent="0.2">
      <c r="R4049" s="49">
        <v>4047</v>
      </c>
      <c r="S4049" s="59">
        <f ca="1">Dashboard!B$8* Dashboard!$F$4+Dashboard!B$10*SQRT(Dashboard!$F$4) * _xlfn.NORM.S.INV(RAND())</f>
        <v>6.4719445578566102E-3</v>
      </c>
      <c r="T4049" s="59">
        <f ca="1">Dashboard!C$8* Dashboard!$F$4+Dashboard!C$10*SQRT(Dashboard!$F$4) * _xlfn.NORM.S.INV(RAND())</f>
        <v>-1.8503467136925297E-3</v>
      </c>
      <c r="U4049" s="59">
        <f ca="1">Dashboard!D$8* Dashboard!$F$4+Dashboard!D$10*SQRT(Dashboard!$F$4) * _xlfn.NORM.S.INV(RAND())</f>
        <v>8.0178239616177736E-3</v>
      </c>
    </row>
    <row r="4050" spans="18:21" x14ac:dyDescent="0.2">
      <c r="R4050" s="49">
        <v>4048</v>
      </c>
      <c r="S4050" s="59">
        <f ca="1">Dashboard!B$8* Dashboard!$F$4+Dashboard!B$10*SQRT(Dashboard!$F$4) * _xlfn.NORM.S.INV(RAND())</f>
        <v>-4.8548585440102703E-2</v>
      </c>
      <c r="T4050" s="59">
        <f ca="1">Dashboard!C$8* Dashboard!$F$4+Dashboard!C$10*SQRT(Dashboard!$F$4) * _xlfn.NORM.S.INV(RAND())</f>
        <v>4.4123707102211992E-3</v>
      </c>
      <c r="U4050" s="59">
        <f ca="1">Dashboard!D$8* Dashboard!$F$4+Dashboard!D$10*SQRT(Dashboard!$F$4) * _xlfn.NORM.S.INV(RAND())</f>
        <v>7.389202876275567E-3</v>
      </c>
    </row>
    <row r="4051" spans="18:21" x14ac:dyDescent="0.2">
      <c r="R4051" s="49">
        <v>4049</v>
      </c>
      <c r="S4051" s="59">
        <f ca="1">Dashboard!B$8* Dashboard!$F$4+Dashboard!B$10*SQRT(Dashboard!$F$4) * _xlfn.NORM.S.INV(RAND())</f>
        <v>-7.4168618943095163E-2</v>
      </c>
      <c r="T4051" s="59">
        <f ca="1">Dashboard!C$8* Dashboard!$F$4+Dashboard!C$10*SQRT(Dashboard!$F$4) * _xlfn.NORM.S.INV(RAND())</f>
        <v>-6.4146348671884788E-3</v>
      </c>
      <c r="U4051" s="59">
        <f ca="1">Dashboard!D$8* Dashboard!$F$4+Dashboard!D$10*SQRT(Dashboard!$F$4) * _xlfn.NORM.S.INV(RAND())</f>
        <v>-2.7375660094600376E-2</v>
      </c>
    </row>
    <row r="4052" spans="18:21" x14ac:dyDescent="0.2">
      <c r="R4052" s="49">
        <v>4050</v>
      </c>
      <c r="S4052" s="59">
        <f ca="1">Dashboard!B$8* Dashboard!$F$4+Dashboard!B$10*SQRT(Dashboard!$F$4) * _xlfn.NORM.S.INV(RAND())</f>
        <v>1.3884492163786373E-2</v>
      </c>
      <c r="T4052" s="59">
        <f ca="1">Dashboard!C$8* Dashboard!$F$4+Dashboard!C$10*SQRT(Dashboard!$F$4) * _xlfn.NORM.S.INV(RAND())</f>
        <v>2.1104118465548945E-2</v>
      </c>
      <c r="U4052" s="59">
        <f ca="1">Dashboard!D$8* Dashboard!$F$4+Dashboard!D$10*SQRT(Dashboard!$F$4) * _xlfn.NORM.S.INV(RAND())</f>
        <v>-7.6230521149822414E-2</v>
      </c>
    </row>
    <row r="4053" spans="18:21" x14ac:dyDescent="0.2">
      <c r="R4053" s="49">
        <v>4051</v>
      </c>
      <c r="S4053" s="59">
        <f ca="1">Dashboard!B$8* Dashboard!$F$4+Dashboard!B$10*SQRT(Dashboard!$F$4) * _xlfn.NORM.S.INV(RAND())</f>
        <v>2.1244660003419791E-2</v>
      </c>
      <c r="T4053" s="59">
        <f ca="1">Dashboard!C$8* Dashboard!$F$4+Dashboard!C$10*SQRT(Dashboard!$F$4) * _xlfn.NORM.S.INV(RAND())</f>
        <v>-1.3601786229107894E-2</v>
      </c>
      <c r="U4053" s="59">
        <f ca="1">Dashboard!D$8* Dashboard!$F$4+Dashboard!D$10*SQRT(Dashboard!$F$4) * _xlfn.NORM.S.INV(RAND())</f>
        <v>-3.426372806159942E-2</v>
      </c>
    </row>
    <row r="4054" spans="18:21" x14ac:dyDescent="0.2">
      <c r="R4054" s="49">
        <v>4052</v>
      </c>
      <c r="S4054" s="59">
        <f ca="1">Dashboard!B$8* Dashboard!$F$4+Dashboard!B$10*SQRT(Dashboard!$F$4) * _xlfn.NORM.S.INV(RAND())</f>
        <v>-6.1343727092419247E-3</v>
      </c>
      <c r="T4054" s="59">
        <f ca="1">Dashboard!C$8* Dashboard!$F$4+Dashboard!C$10*SQRT(Dashboard!$F$4) * _xlfn.NORM.S.INV(RAND())</f>
        <v>-7.5514520449608E-3</v>
      </c>
      <c r="U4054" s="59">
        <f ca="1">Dashboard!D$8* Dashboard!$F$4+Dashboard!D$10*SQRT(Dashboard!$F$4) * _xlfn.NORM.S.INV(RAND())</f>
        <v>1.0615941374764922E-2</v>
      </c>
    </row>
    <row r="4055" spans="18:21" x14ac:dyDescent="0.2">
      <c r="R4055" s="49">
        <v>4053</v>
      </c>
      <c r="S4055" s="59">
        <f ca="1">Dashboard!B$8* Dashboard!$F$4+Dashboard!B$10*SQRT(Dashboard!$F$4) * _xlfn.NORM.S.INV(RAND())</f>
        <v>4.6347156357987744E-2</v>
      </c>
      <c r="T4055" s="59">
        <f ca="1">Dashboard!C$8* Dashboard!$F$4+Dashboard!C$10*SQRT(Dashboard!$F$4) * _xlfn.NORM.S.INV(RAND())</f>
        <v>3.3645766614996388E-2</v>
      </c>
      <c r="U4055" s="59">
        <f ca="1">Dashboard!D$8* Dashboard!$F$4+Dashboard!D$10*SQRT(Dashboard!$F$4) * _xlfn.NORM.S.INV(RAND())</f>
        <v>2.8276462750472676E-2</v>
      </c>
    </row>
    <row r="4056" spans="18:21" x14ac:dyDescent="0.2">
      <c r="R4056" s="49">
        <v>4054</v>
      </c>
      <c r="S4056" s="59">
        <f ca="1">Dashboard!B$8* Dashboard!$F$4+Dashboard!B$10*SQRT(Dashboard!$F$4) * _xlfn.NORM.S.INV(RAND())</f>
        <v>1.2847590749111007E-2</v>
      </c>
      <c r="T4056" s="59">
        <f ca="1">Dashboard!C$8* Dashboard!$F$4+Dashboard!C$10*SQRT(Dashboard!$F$4) * _xlfn.NORM.S.INV(RAND())</f>
        <v>-3.9721106461222809E-2</v>
      </c>
      <c r="U4056" s="59">
        <f ca="1">Dashboard!D$8* Dashboard!$F$4+Dashboard!D$10*SQRT(Dashboard!$F$4) * _xlfn.NORM.S.INV(RAND())</f>
        <v>-1.8752798677728437E-2</v>
      </c>
    </row>
    <row r="4057" spans="18:21" x14ac:dyDescent="0.2">
      <c r="R4057" s="49">
        <v>4055</v>
      </c>
      <c r="S4057" s="59">
        <f ca="1">Dashboard!B$8* Dashboard!$F$4+Dashboard!B$10*SQRT(Dashboard!$F$4) * _xlfn.NORM.S.INV(RAND())</f>
        <v>1.4012842740095946E-2</v>
      </c>
      <c r="T4057" s="59">
        <f ca="1">Dashboard!C$8* Dashboard!$F$4+Dashboard!C$10*SQRT(Dashboard!$F$4) * _xlfn.NORM.S.INV(RAND())</f>
        <v>4.4055801253098568E-2</v>
      </c>
      <c r="U4057" s="59">
        <f ca="1">Dashboard!D$8* Dashboard!$F$4+Dashboard!D$10*SQRT(Dashboard!$F$4) * _xlfn.NORM.S.INV(RAND())</f>
        <v>-2.8395693446733317E-2</v>
      </c>
    </row>
    <row r="4058" spans="18:21" x14ac:dyDescent="0.2">
      <c r="R4058" s="49">
        <v>4056</v>
      </c>
      <c r="S4058" s="59">
        <f ca="1">Dashboard!B$8* Dashboard!$F$4+Dashboard!B$10*SQRT(Dashboard!$F$4) * _xlfn.NORM.S.INV(RAND())</f>
        <v>-4.4910354534597949E-2</v>
      </c>
      <c r="T4058" s="59">
        <f ca="1">Dashboard!C$8* Dashboard!$F$4+Dashboard!C$10*SQRT(Dashboard!$F$4) * _xlfn.NORM.S.INV(RAND())</f>
        <v>-6.2405927730360577E-2</v>
      </c>
      <c r="U4058" s="59">
        <f ca="1">Dashboard!D$8* Dashboard!$F$4+Dashboard!D$10*SQRT(Dashboard!$F$4) * _xlfn.NORM.S.INV(RAND())</f>
        <v>3.6152431121179544E-2</v>
      </c>
    </row>
    <row r="4059" spans="18:21" x14ac:dyDescent="0.2">
      <c r="R4059" s="49">
        <v>4057</v>
      </c>
      <c r="S4059" s="59">
        <f ca="1">Dashboard!B$8* Dashboard!$F$4+Dashboard!B$10*SQRT(Dashboard!$F$4) * _xlfn.NORM.S.INV(RAND())</f>
        <v>-6.5708959736490167E-3</v>
      </c>
      <c r="T4059" s="59">
        <f ca="1">Dashboard!C$8* Dashboard!$F$4+Dashboard!C$10*SQRT(Dashboard!$F$4) * _xlfn.NORM.S.INV(RAND())</f>
        <v>-1.6409761796899059E-3</v>
      </c>
      <c r="U4059" s="59">
        <f ca="1">Dashboard!D$8* Dashboard!$F$4+Dashboard!D$10*SQRT(Dashboard!$F$4) * _xlfn.NORM.S.INV(RAND())</f>
        <v>-2.0147328355141412E-2</v>
      </c>
    </row>
    <row r="4060" spans="18:21" x14ac:dyDescent="0.2">
      <c r="R4060" s="49">
        <v>4058</v>
      </c>
      <c r="S4060" s="59">
        <f ca="1">Dashboard!B$8* Dashboard!$F$4+Dashboard!B$10*SQRT(Dashboard!$F$4) * _xlfn.NORM.S.INV(RAND())</f>
        <v>-1.4422060983386192E-2</v>
      </c>
      <c r="T4060" s="59">
        <f ca="1">Dashboard!C$8* Dashboard!$F$4+Dashboard!C$10*SQRT(Dashboard!$F$4) * _xlfn.NORM.S.INV(RAND())</f>
        <v>1.9339962366566335E-2</v>
      </c>
      <c r="U4060" s="59">
        <f ca="1">Dashboard!D$8* Dashboard!$F$4+Dashboard!D$10*SQRT(Dashboard!$F$4) * _xlfn.NORM.S.INV(RAND())</f>
        <v>-3.5153751528977935E-2</v>
      </c>
    </row>
    <row r="4061" spans="18:21" x14ac:dyDescent="0.2">
      <c r="R4061" s="49">
        <v>4059</v>
      </c>
      <c r="S4061" s="59">
        <f ca="1">Dashboard!B$8* Dashboard!$F$4+Dashboard!B$10*SQRT(Dashboard!$F$4) * _xlfn.NORM.S.INV(RAND())</f>
        <v>4.006209109011924E-2</v>
      </c>
      <c r="T4061" s="59">
        <f ca="1">Dashboard!C$8* Dashboard!$F$4+Dashboard!C$10*SQRT(Dashboard!$F$4) * _xlfn.NORM.S.INV(RAND())</f>
        <v>-4.8936039602498725E-2</v>
      </c>
      <c r="U4061" s="59">
        <f ca="1">Dashboard!D$8* Dashboard!$F$4+Dashboard!D$10*SQRT(Dashboard!$F$4) * _xlfn.NORM.S.INV(RAND())</f>
        <v>2.2131123942150496E-2</v>
      </c>
    </row>
    <row r="4062" spans="18:21" x14ac:dyDescent="0.2">
      <c r="R4062" s="49">
        <v>4060</v>
      </c>
      <c r="S4062" s="59">
        <f ca="1">Dashboard!B$8* Dashboard!$F$4+Dashboard!B$10*SQRT(Dashboard!$F$4) * _xlfn.NORM.S.INV(RAND())</f>
        <v>-3.8507367701938029E-2</v>
      </c>
      <c r="T4062" s="59">
        <f ca="1">Dashboard!C$8* Dashboard!$F$4+Dashboard!C$10*SQRT(Dashboard!$F$4) * _xlfn.NORM.S.INV(RAND())</f>
        <v>3.0889759988064506E-3</v>
      </c>
      <c r="U4062" s="59">
        <f ca="1">Dashboard!D$8* Dashboard!$F$4+Dashboard!D$10*SQRT(Dashboard!$F$4) * _xlfn.NORM.S.INV(RAND())</f>
        <v>-2.5349786771754743E-2</v>
      </c>
    </row>
    <row r="4063" spans="18:21" x14ac:dyDescent="0.2">
      <c r="R4063" s="49">
        <v>4061</v>
      </c>
      <c r="S4063" s="59">
        <f ca="1">Dashboard!B$8* Dashboard!$F$4+Dashboard!B$10*SQRT(Dashboard!$F$4) * _xlfn.NORM.S.INV(RAND())</f>
        <v>7.0932990205275614E-3</v>
      </c>
      <c r="T4063" s="59">
        <f ca="1">Dashboard!C$8* Dashboard!$F$4+Dashboard!C$10*SQRT(Dashboard!$F$4) * _xlfn.NORM.S.INV(RAND())</f>
        <v>-4.5810779532368178E-3</v>
      </c>
      <c r="U4063" s="59">
        <f ca="1">Dashboard!D$8* Dashboard!$F$4+Dashboard!D$10*SQRT(Dashboard!$F$4) * _xlfn.NORM.S.INV(RAND())</f>
        <v>-4.7257387397896242E-2</v>
      </c>
    </row>
    <row r="4064" spans="18:21" x14ac:dyDescent="0.2">
      <c r="R4064" s="49">
        <v>4062</v>
      </c>
      <c r="S4064" s="59">
        <f ca="1">Dashboard!B$8* Dashboard!$F$4+Dashboard!B$10*SQRT(Dashboard!$F$4) * _xlfn.NORM.S.INV(RAND())</f>
        <v>-2.4356388659445907E-2</v>
      </c>
      <c r="T4064" s="59">
        <f ca="1">Dashboard!C$8* Dashboard!$F$4+Dashboard!C$10*SQRT(Dashboard!$F$4) * _xlfn.NORM.S.INV(RAND())</f>
        <v>1.9811839249177867E-2</v>
      </c>
      <c r="U4064" s="59">
        <f ca="1">Dashboard!D$8* Dashboard!$F$4+Dashboard!D$10*SQRT(Dashboard!$F$4) * _xlfn.NORM.S.INV(RAND())</f>
        <v>1.3868994133264997E-2</v>
      </c>
    </row>
    <row r="4065" spans="18:21" x14ac:dyDescent="0.2">
      <c r="R4065" s="49">
        <v>4063</v>
      </c>
      <c r="S4065" s="59">
        <f ca="1">Dashboard!B$8* Dashboard!$F$4+Dashboard!B$10*SQRT(Dashboard!$F$4) * _xlfn.NORM.S.INV(RAND())</f>
        <v>-6.1470464011171315E-3</v>
      </c>
      <c r="T4065" s="59">
        <f ca="1">Dashboard!C$8* Dashboard!$F$4+Dashboard!C$10*SQRT(Dashboard!$F$4) * _xlfn.NORM.S.INV(RAND())</f>
        <v>-3.8826782225910343E-2</v>
      </c>
      <c r="U4065" s="59">
        <f ca="1">Dashboard!D$8* Dashboard!$F$4+Dashboard!D$10*SQRT(Dashboard!$F$4) * _xlfn.NORM.S.INV(RAND())</f>
        <v>2.7867066288352435E-2</v>
      </c>
    </row>
    <row r="4066" spans="18:21" x14ac:dyDescent="0.2">
      <c r="R4066" s="49">
        <v>4064</v>
      </c>
      <c r="S4066" s="59">
        <f ca="1">Dashboard!B$8* Dashboard!$F$4+Dashboard!B$10*SQRT(Dashboard!$F$4) * _xlfn.NORM.S.INV(RAND())</f>
        <v>-1.5213952687307514E-2</v>
      </c>
      <c r="T4066" s="59">
        <f ca="1">Dashboard!C$8* Dashboard!$F$4+Dashboard!C$10*SQRT(Dashboard!$F$4) * _xlfn.NORM.S.INV(RAND())</f>
        <v>3.5568159500927579E-2</v>
      </c>
      <c r="U4066" s="59">
        <f ca="1">Dashboard!D$8* Dashboard!$F$4+Dashboard!D$10*SQRT(Dashboard!$F$4) * _xlfn.NORM.S.INV(RAND())</f>
        <v>-1.7607773728219919E-2</v>
      </c>
    </row>
    <row r="4067" spans="18:21" x14ac:dyDescent="0.2">
      <c r="R4067" s="49">
        <v>4065</v>
      </c>
      <c r="S4067" s="59">
        <f ca="1">Dashboard!B$8* Dashboard!$F$4+Dashboard!B$10*SQRT(Dashboard!$F$4) * _xlfn.NORM.S.INV(RAND())</f>
        <v>-6.2328311610518466E-3</v>
      </c>
      <c r="T4067" s="59">
        <f ca="1">Dashboard!C$8* Dashboard!$F$4+Dashboard!C$10*SQRT(Dashboard!$F$4) * _xlfn.NORM.S.INV(RAND())</f>
        <v>-4.2794119826892437E-3</v>
      </c>
      <c r="U4067" s="59">
        <f ca="1">Dashboard!D$8* Dashboard!$F$4+Dashboard!D$10*SQRT(Dashboard!$F$4) * _xlfn.NORM.S.INV(RAND())</f>
        <v>2.3422977398569567E-2</v>
      </c>
    </row>
    <row r="4068" spans="18:21" x14ac:dyDescent="0.2">
      <c r="R4068" s="49">
        <v>4066</v>
      </c>
      <c r="S4068" s="59">
        <f ca="1">Dashboard!B$8* Dashboard!$F$4+Dashboard!B$10*SQRT(Dashboard!$F$4) * _xlfn.NORM.S.INV(RAND())</f>
        <v>1.7012038374946754E-2</v>
      </c>
      <c r="T4068" s="59">
        <f ca="1">Dashboard!C$8* Dashboard!$F$4+Dashboard!C$10*SQRT(Dashboard!$F$4) * _xlfn.NORM.S.INV(RAND())</f>
        <v>-5.0136909845158277E-2</v>
      </c>
      <c r="U4068" s="59">
        <f ca="1">Dashboard!D$8* Dashboard!$F$4+Dashboard!D$10*SQRT(Dashboard!$F$4) * _xlfn.NORM.S.INV(RAND())</f>
        <v>1.8274844438754642E-2</v>
      </c>
    </row>
    <row r="4069" spans="18:21" x14ac:dyDescent="0.2">
      <c r="R4069" s="49">
        <v>4067</v>
      </c>
      <c r="S4069" s="59">
        <f ca="1">Dashboard!B$8* Dashboard!$F$4+Dashboard!B$10*SQRT(Dashboard!$F$4) * _xlfn.NORM.S.INV(RAND())</f>
        <v>-3.6528202226172951E-2</v>
      </c>
      <c r="T4069" s="59">
        <f ca="1">Dashboard!C$8* Dashboard!$F$4+Dashboard!C$10*SQRT(Dashboard!$F$4) * _xlfn.NORM.S.INV(RAND())</f>
        <v>5.1002766358492517E-3</v>
      </c>
      <c r="U4069" s="59">
        <f ca="1">Dashboard!D$8* Dashboard!$F$4+Dashboard!D$10*SQRT(Dashboard!$F$4) * _xlfn.NORM.S.INV(RAND())</f>
        <v>-2.2860392696545166E-2</v>
      </c>
    </row>
    <row r="4070" spans="18:21" x14ac:dyDescent="0.2">
      <c r="R4070" s="49">
        <v>4068</v>
      </c>
      <c r="S4070" s="59">
        <f ca="1">Dashboard!B$8* Dashboard!$F$4+Dashboard!B$10*SQRT(Dashboard!$F$4) * _xlfn.NORM.S.INV(RAND())</f>
        <v>-2.5089188490833081E-2</v>
      </c>
      <c r="T4070" s="59">
        <f ca="1">Dashboard!C$8* Dashboard!$F$4+Dashboard!C$10*SQRT(Dashboard!$F$4) * _xlfn.NORM.S.INV(RAND())</f>
        <v>2.5491856210493921E-2</v>
      </c>
      <c r="U4070" s="59">
        <f ca="1">Dashboard!D$8* Dashboard!$F$4+Dashboard!D$10*SQRT(Dashboard!$F$4) * _xlfn.NORM.S.INV(RAND())</f>
        <v>9.3971752829240581E-3</v>
      </c>
    </row>
    <row r="4071" spans="18:21" x14ac:dyDescent="0.2">
      <c r="R4071" s="49">
        <v>4069</v>
      </c>
      <c r="S4071" s="59">
        <f ca="1">Dashboard!B$8* Dashboard!$F$4+Dashboard!B$10*SQRT(Dashboard!$F$4) * _xlfn.NORM.S.INV(RAND())</f>
        <v>5.9064691394644566E-3</v>
      </c>
      <c r="T4071" s="59">
        <f ca="1">Dashboard!C$8* Dashboard!$F$4+Dashboard!C$10*SQRT(Dashboard!$F$4) * _xlfn.NORM.S.INV(RAND())</f>
        <v>2.1020893238187146E-2</v>
      </c>
      <c r="U4071" s="59">
        <f ca="1">Dashboard!D$8* Dashboard!$F$4+Dashboard!D$10*SQRT(Dashboard!$F$4) * _xlfn.NORM.S.INV(RAND())</f>
        <v>1.1189235073196248E-2</v>
      </c>
    </row>
    <row r="4072" spans="18:21" x14ac:dyDescent="0.2">
      <c r="R4072" s="49">
        <v>4070</v>
      </c>
      <c r="S4072" s="59">
        <f ca="1">Dashboard!B$8* Dashboard!$F$4+Dashboard!B$10*SQRT(Dashboard!$F$4) * _xlfn.NORM.S.INV(RAND())</f>
        <v>6.4963105986298939E-2</v>
      </c>
      <c r="T4072" s="59">
        <f ca="1">Dashboard!C$8* Dashboard!$F$4+Dashboard!C$10*SQRT(Dashboard!$F$4) * _xlfn.NORM.S.INV(RAND())</f>
        <v>5.1207463875915606E-2</v>
      </c>
      <c r="U4072" s="59">
        <f ca="1">Dashboard!D$8* Dashboard!$F$4+Dashboard!D$10*SQRT(Dashboard!$F$4) * _xlfn.NORM.S.INV(RAND())</f>
        <v>2.9487445526058566E-3</v>
      </c>
    </row>
    <row r="4073" spans="18:21" x14ac:dyDescent="0.2">
      <c r="R4073" s="49">
        <v>4071</v>
      </c>
      <c r="S4073" s="59">
        <f ca="1">Dashboard!B$8* Dashboard!$F$4+Dashboard!B$10*SQRT(Dashboard!$F$4) * _xlfn.NORM.S.INV(RAND())</f>
        <v>1.357680987772463E-2</v>
      </c>
      <c r="T4073" s="59">
        <f ca="1">Dashboard!C$8* Dashboard!$F$4+Dashboard!C$10*SQRT(Dashboard!$F$4) * _xlfn.NORM.S.INV(RAND())</f>
        <v>7.5510517156640422E-2</v>
      </c>
      <c r="U4073" s="59">
        <f ca="1">Dashboard!D$8* Dashboard!$F$4+Dashboard!D$10*SQRT(Dashboard!$F$4) * _xlfn.NORM.S.INV(RAND())</f>
        <v>-3.0281874377408306E-2</v>
      </c>
    </row>
    <row r="4074" spans="18:21" x14ac:dyDescent="0.2">
      <c r="R4074" s="49">
        <v>4072</v>
      </c>
      <c r="S4074" s="59">
        <f ca="1">Dashboard!B$8* Dashboard!$F$4+Dashboard!B$10*SQRT(Dashboard!$F$4) * _xlfn.NORM.S.INV(RAND())</f>
        <v>-3.5549929180752449E-2</v>
      </c>
      <c r="T4074" s="59">
        <f ca="1">Dashboard!C$8* Dashboard!$F$4+Dashboard!C$10*SQRT(Dashboard!$F$4) * _xlfn.NORM.S.INV(RAND())</f>
        <v>-4.1968823647816386E-2</v>
      </c>
      <c r="U4074" s="59">
        <f ca="1">Dashboard!D$8* Dashboard!$F$4+Dashboard!D$10*SQRT(Dashboard!$F$4) * _xlfn.NORM.S.INV(RAND())</f>
        <v>-1.7024138346500701E-2</v>
      </c>
    </row>
    <row r="4075" spans="18:21" x14ac:dyDescent="0.2">
      <c r="R4075" s="49">
        <v>4073</v>
      </c>
      <c r="S4075" s="59">
        <f ca="1">Dashboard!B$8* Dashboard!$F$4+Dashboard!B$10*SQRT(Dashboard!$F$4) * _xlfn.NORM.S.INV(RAND())</f>
        <v>-4.9190482463540693E-2</v>
      </c>
      <c r="T4075" s="59">
        <f ca="1">Dashboard!C$8* Dashboard!$F$4+Dashboard!C$10*SQRT(Dashboard!$F$4) * _xlfn.NORM.S.INV(RAND())</f>
        <v>-3.5574684336298255E-2</v>
      </c>
      <c r="U4075" s="59">
        <f ca="1">Dashboard!D$8* Dashboard!$F$4+Dashboard!D$10*SQRT(Dashboard!$F$4) * _xlfn.NORM.S.INV(RAND())</f>
        <v>1.8778068140990398E-2</v>
      </c>
    </row>
    <row r="4076" spans="18:21" x14ac:dyDescent="0.2">
      <c r="R4076" s="49">
        <v>4074</v>
      </c>
      <c r="S4076" s="59">
        <f ca="1">Dashboard!B$8* Dashboard!$F$4+Dashboard!B$10*SQRT(Dashboard!$F$4) * _xlfn.NORM.S.INV(RAND())</f>
        <v>-7.8734185008077114E-3</v>
      </c>
      <c r="T4076" s="59">
        <f ca="1">Dashboard!C$8* Dashboard!$F$4+Dashboard!C$10*SQRT(Dashboard!$F$4) * _xlfn.NORM.S.INV(RAND())</f>
        <v>-4.1202477993587838E-2</v>
      </c>
      <c r="U4076" s="59">
        <f ca="1">Dashboard!D$8* Dashboard!$F$4+Dashboard!D$10*SQRT(Dashboard!$F$4) * _xlfn.NORM.S.INV(RAND())</f>
        <v>-1.612162207237566E-2</v>
      </c>
    </row>
    <row r="4077" spans="18:21" x14ac:dyDescent="0.2">
      <c r="R4077" s="49">
        <v>4075</v>
      </c>
      <c r="S4077" s="59">
        <f ca="1">Dashboard!B$8* Dashboard!$F$4+Dashboard!B$10*SQRT(Dashboard!$F$4) * _xlfn.NORM.S.INV(RAND())</f>
        <v>-2.6775137792842702E-3</v>
      </c>
      <c r="T4077" s="59">
        <f ca="1">Dashboard!C$8* Dashboard!$F$4+Dashboard!C$10*SQRT(Dashboard!$F$4) * _xlfn.NORM.S.INV(RAND())</f>
        <v>-1.2449532950847639E-2</v>
      </c>
      <c r="U4077" s="59">
        <f ca="1">Dashboard!D$8* Dashboard!$F$4+Dashboard!D$10*SQRT(Dashboard!$F$4) * _xlfn.NORM.S.INV(RAND())</f>
        <v>-4.4512055893997225E-2</v>
      </c>
    </row>
    <row r="4078" spans="18:21" x14ac:dyDescent="0.2">
      <c r="R4078" s="49">
        <v>4076</v>
      </c>
      <c r="S4078" s="59">
        <f ca="1">Dashboard!B$8* Dashboard!$F$4+Dashboard!B$10*SQRT(Dashboard!$F$4) * _xlfn.NORM.S.INV(RAND())</f>
        <v>-7.7467655981522604E-3</v>
      </c>
      <c r="T4078" s="59">
        <f ca="1">Dashboard!C$8* Dashboard!$F$4+Dashboard!C$10*SQRT(Dashboard!$F$4) * _xlfn.NORM.S.INV(RAND())</f>
        <v>5.8321365344678279E-2</v>
      </c>
      <c r="U4078" s="59">
        <f ca="1">Dashboard!D$8* Dashboard!$F$4+Dashboard!D$10*SQRT(Dashboard!$F$4) * _xlfn.NORM.S.INV(RAND())</f>
        <v>2.7993901330041347E-2</v>
      </c>
    </row>
    <row r="4079" spans="18:21" x14ac:dyDescent="0.2">
      <c r="R4079" s="49">
        <v>4077</v>
      </c>
      <c r="S4079" s="59">
        <f ca="1">Dashboard!B$8* Dashboard!$F$4+Dashboard!B$10*SQRT(Dashboard!$F$4) * _xlfn.NORM.S.INV(RAND())</f>
        <v>-1.7964181132087433E-3</v>
      </c>
      <c r="T4079" s="59">
        <f ca="1">Dashboard!C$8* Dashboard!$F$4+Dashboard!C$10*SQRT(Dashboard!$F$4) * _xlfn.NORM.S.INV(RAND())</f>
        <v>5.317404009937008E-2</v>
      </c>
      <c r="U4079" s="59">
        <f ca="1">Dashboard!D$8* Dashboard!$F$4+Dashboard!D$10*SQRT(Dashboard!$F$4) * _xlfn.NORM.S.INV(RAND())</f>
        <v>3.3049925437420163E-2</v>
      </c>
    </row>
    <row r="4080" spans="18:21" x14ac:dyDescent="0.2">
      <c r="R4080" s="49">
        <v>4078</v>
      </c>
      <c r="S4080" s="59">
        <f ca="1">Dashboard!B$8* Dashboard!$F$4+Dashboard!B$10*SQRT(Dashboard!$F$4) * _xlfn.NORM.S.INV(RAND())</f>
        <v>3.4579767725855824E-2</v>
      </c>
      <c r="T4080" s="59">
        <f ca="1">Dashboard!C$8* Dashboard!$F$4+Dashboard!C$10*SQRT(Dashboard!$F$4) * _xlfn.NORM.S.INV(RAND())</f>
        <v>4.8156343815835168E-2</v>
      </c>
      <c r="U4080" s="59">
        <f ca="1">Dashboard!D$8* Dashboard!$F$4+Dashboard!D$10*SQRT(Dashboard!$F$4) * _xlfn.NORM.S.INV(RAND())</f>
        <v>-1.2178170171861588E-2</v>
      </c>
    </row>
    <row r="4081" spans="18:21" x14ac:dyDescent="0.2">
      <c r="R4081" s="49">
        <v>4079</v>
      </c>
      <c r="S4081" s="59">
        <f ca="1">Dashboard!B$8* Dashboard!$F$4+Dashboard!B$10*SQRT(Dashboard!$F$4) * _xlfn.NORM.S.INV(RAND())</f>
        <v>-2.265500900847417E-2</v>
      </c>
      <c r="T4081" s="59">
        <f ca="1">Dashboard!C$8* Dashboard!$F$4+Dashboard!C$10*SQRT(Dashboard!$F$4) * _xlfn.NORM.S.INV(RAND())</f>
        <v>3.0693507348517751E-4</v>
      </c>
      <c r="U4081" s="59">
        <f ca="1">Dashboard!D$8* Dashboard!$F$4+Dashboard!D$10*SQRT(Dashboard!$F$4) * _xlfn.NORM.S.INV(RAND())</f>
        <v>5.7092301294602698E-3</v>
      </c>
    </row>
    <row r="4082" spans="18:21" x14ac:dyDescent="0.2">
      <c r="R4082" s="49">
        <v>4080</v>
      </c>
      <c r="S4082" s="59">
        <f ca="1">Dashboard!B$8* Dashboard!$F$4+Dashboard!B$10*SQRT(Dashboard!$F$4) * _xlfn.NORM.S.INV(RAND())</f>
        <v>-3.26106529794285E-2</v>
      </c>
      <c r="T4082" s="59">
        <f ca="1">Dashboard!C$8* Dashboard!$F$4+Dashboard!C$10*SQRT(Dashboard!$F$4) * _xlfn.NORM.S.INV(RAND())</f>
        <v>-3.5821612076547792E-2</v>
      </c>
      <c r="U4082" s="59">
        <f ca="1">Dashboard!D$8* Dashboard!$F$4+Dashboard!D$10*SQRT(Dashboard!$F$4) * _xlfn.NORM.S.INV(RAND())</f>
        <v>8.9010985486609115E-3</v>
      </c>
    </row>
    <row r="4083" spans="18:21" x14ac:dyDescent="0.2">
      <c r="R4083" s="49">
        <v>4081</v>
      </c>
      <c r="S4083" s="59">
        <f ca="1">Dashboard!B$8* Dashboard!$F$4+Dashboard!B$10*SQRT(Dashboard!$F$4) * _xlfn.NORM.S.INV(RAND())</f>
        <v>-2.0990674181164522E-2</v>
      </c>
      <c r="T4083" s="59">
        <f ca="1">Dashboard!C$8* Dashboard!$F$4+Dashboard!C$10*SQRT(Dashboard!$F$4) * _xlfn.NORM.S.INV(RAND())</f>
        <v>-2.8177952325439449E-2</v>
      </c>
      <c r="U4083" s="59">
        <f ca="1">Dashboard!D$8* Dashboard!$F$4+Dashboard!D$10*SQRT(Dashboard!$F$4) * _xlfn.NORM.S.INV(RAND())</f>
        <v>-2.0458689480014388E-2</v>
      </c>
    </row>
    <row r="4084" spans="18:21" x14ac:dyDescent="0.2">
      <c r="R4084" s="49">
        <v>4082</v>
      </c>
      <c r="S4084" s="59">
        <f ca="1">Dashboard!B$8* Dashboard!$F$4+Dashboard!B$10*SQRT(Dashboard!$F$4) * _xlfn.NORM.S.INV(RAND())</f>
        <v>3.9895140999524514E-2</v>
      </c>
      <c r="T4084" s="59">
        <f ca="1">Dashboard!C$8* Dashboard!$F$4+Dashboard!C$10*SQRT(Dashboard!$F$4) * _xlfn.NORM.S.INV(RAND())</f>
        <v>6.3716846406676794E-3</v>
      </c>
      <c r="U4084" s="59">
        <f ca="1">Dashboard!D$8* Dashboard!$F$4+Dashboard!D$10*SQRT(Dashboard!$F$4) * _xlfn.NORM.S.INV(RAND())</f>
        <v>4.9415224502490487E-2</v>
      </c>
    </row>
    <row r="4085" spans="18:21" x14ac:dyDescent="0.2">
      <c r="R4085" s="49">
        <v>4083</v>
      </c>
      <c r="S4085" s="59">
        <f ca="1">Dashboard!B$8* Dashboard!$F$4+Dashboard!B$10*SQRT(Dashboard!$F$4) * _xlfn.NORM.S.INV(RAND())</f>
        <v>6.0973495934087182E-3</v>
      </c>
      <c r="T4085" s="59">
        <f ca="1">Dashboard!C$8* Dashboard!$F$4+Dashboard!C$10*SQRT(Dashboard!$F$4) * _xlfn.NORM.S.INV(RAND())</f>
        <v>-2.855049954862621E-2</v>
      </c>
      <c r="U4085" s="59">
        <f ca="1">Dashboard!D$8* Dashboard!$F$4+Dashboard!D$10*SQRT(Dashboard!$F$4) * _xlfn.NORM.S.INV(RAND())</f>
        <v>1.0187464575315072E-2</v>
      </c>
    </row>
    <row r="4086" spans="18:21" x14ac:dyDescent="0.2">
      <c r="R4086" s="49">
        <v>4084</v>
      </c>
      <c r="S4086" s="59">
        <f ca="1">Dashboard!B$8* Dashboard!$F$4+Dashboard!B$10*SQRT(Dashboard!$F$4) * _xlfn.NORM.S.INV(RAND())</f>
        <v>2.8157015933185882E-3</v>
      </c>
      <c r="T4086" s="59">
        <f ca="1">Dashboard!C$8* Dashboard!$F$4+Dashboard!C$10*SQRT(Dashboard!$F$4) * _xlfn.NORM.S.INV(RAND())</f>
        <v>-4.4089629865651037E-3</v>
      </c>
      <c r="U4086" s="59">
        <f ca="1">Dashboard!D$8* Dashboard!$F$4+Dashboard!D$10*SQRT(Dashboard!$F$4) * _xlfn.NORM.S.INV(RAND())</f>
        <v>-2.1833392872986881E-2</v>
      </c>
    </row>
    <row r="4087" spans="18:21" x14ac:dyDescent="0.2">
      <c r="R4087" s="49">
        <v>4085</v>
      </c>
      <c r="S4087" s="59">
        <f ca="1">Dashboard!B$8* Dashboard!$F$4+Dashboard!B$10*SQRT(Dashboard!$F$4) * _xlfn.NORM.S.INV(RAND())</f>
        <v>7.6344322465343502E-3</v>
      </c>
      <c r="T4087" s="59">
        <f ca="1">Dashboard!C$8* Dashboard!$F$4+Dashboard!C$10*SQRT(Dashboard!$F$4) * _xlfn.NORM.S.INV(RAND())</f>
        <v>2.5295833610371032E-2</v>
      </c>
      <c r="U4087" s="59">
        <f ca="1">Dashboard!D$8* Dashboard!$F$4+Dashboard!D$10*SQRT(Dashboard!$F$4) * _xlfn.NORM.S.INV(RAND())</f>
        <v>1.3237502812101247E-2</v>
      </c>
    </row>
    <row r="4088" spans="18:21" x14ac:dyDescent="0.2">
      <c r="R4088" s="49">
        <v>4086</v>
      </c>
      <c r="S4088" s="59">
        <f ca="1">Dashboard!B$8* Dashboard!$F$4+Dashboard!B$10*SQRT(Dashboard!$F$4) * _xlfn.NORM.S.INV(RAND())</f>
        <v>2.1792727657032069E-3</v>
      </c>
      <c r="T4088" s="59">
        <f ca="1">Dashboard!C$8* Dashboard!$F$4+Dashboard!C$10*SQRT(Dashboard!$F$4) * _xlfn.NORM.S.INV(RAND())</f>
        <v>3.2402789168873146E-2</v>
      </c>
      <c r="U4088" s="59">
        <f ca="1">Dashboard!D$8* Dashboard!$F$4+Dashboard!D$10*SQRT(Dashboard!$F$4) * _xlfn.NORM.S.INV(RAND())</f>
        <v>-7.2426950815784499E-2</v>
      </c>
    </row>
    <row r="4089" spans="18:21" x14ac:dyDescent="0.2">
      <c r="R4089" s="49">
        <v>4087</v>
      </c>
      <c r="S4089" s="59">
        <f ca="1">Dashboard!B$8* Dashboard!$F$4+Dashboard!B$10*SQRT(Dashboard!$F$4) * _xlfn.NORM.S.INV(RAND())</f>
        <v>-1.6455749515602896E-2</v>
      </c>
      <c r="T4089" s="59">
        <f ca="1">Dashboard!C$8* Dashboard!$F$4+Dashboard!C$10*SQRT(Dashboard!$F$4) * _xlfn.NORM.S.INV(RAND())</f>
        <v>2.9751984099046131E-2</v>
      </c>
      <c r="U4089" s="59">
        <f ca="1">Dashboard!D$8* Dashboard!$F$4+Dashboard!D$10*SQRT(Dashboard!$F$4) * _xlfn.NORM.S.INV(RAND())</f>
        <v>3.6821148056379718E-2</v>
      </c>
    </row>
    <row r="4090" spans="18:21" x14ac:dyDescent="0.2">
      <c r="R4090" s="49">
        <v>4088</v>
      </c>
      <c r="S4090" s="59">
        <f ca="1">Dashboard!B$8* Dashboard!$F$4+Dashboard!B$10*SQRT(Dashboard!$F$4) * _xlfn.NORM.S.INV(RAND())</f>
        <v>-4.6758676200575264E-2</v>
      </c>
      <c r="T4090" s="59">
        <f ca="1">Dashboard!C$8* Dashboard!$F$4+Dashboard!C$10*SQRT(Dashboard!$F$4) * _xlfn.NORM.S.INV(RAND())</f>
        <v>-1.7222504295485795E-2</v>
      </c>
      <c r="U4090" s="59">
        <f ca="1">Dashboard!D$8* Dashboard!$F$4+Dashboard!D$10*SQRT(Dashboard!$F$4) * _xlfn.NORM.S.INV(RAND())</f>
        <v>7.7314985841378872E-2</v>
      </c>
    </row>
    <row r="4091" spans="18:21" x14ac:dyDescent="0.2">
      <c r="R4091" s="49">
        <v>4089</v>
      </c>
      <c r="S4091" s="59">
        <f ca="1">Dashboard!B$8* Dashboard!$F$4+Dashboard!B$10*SQRT(Dashboard!$F$4) * _xlfn.NORM.S.INV(RAND())</f>
        <v>1.2667083884369776E-2</v>
      </c>
      <c r="T4091" s="59">
        <f ca="1">Dashboard!C$8* Dashboard!$F$4+Dashboard!C$10*SQRT(Dashboard!$F$4) * _xlfn.NORM.S.INV(RAND())</f>
        <v>-1.1182178631460506E-2</v>
      </c>
      <c r="U4091" s="59">
        <f ca="1">Dashboard!D$8* Dashboard!$F$4+Dashboard!D$10*SQRT(Dashboard!$F$4) * _xlfn.NORM.S.INV(RAND())</f>
        <v>-3.3227479416690894E-2</v>
      </c>
    </row>
    <row r="4092" spans="18:21" x14ac:dyDescent="0.2">
      <c r="R4092" s="49">
        <v>4090</v>
      </c>
      <c r="S4092" s="59">
        <f ca="1">Dashboard!B$8* Dashboard!$F$4+Dashboard!B$10*SQRT(Dashboard!$F$4) * _xlfn.NORM.S.INV(RAND())</f>
        <v>1.1435786419130714E-2</v>
      </c>
      <c r="T4092" s="59">
        <f ca="1">Dashboard!C$8* Dashboard!$F$4+Dashboard!C$10*SQRT(Dashboard!$F$4) * _xlfn.NORM.S.INV(RAND())</f>
        <v>2.9060169659389436E-2</v>
      </c>
      <c r="U4092" s="59">
        <f ca="1">Dashboard!D$8* Dashboard!$F$4+Dashboard!D$10*SQRT(Dashboard!$F$4) * _xlfn.NORM.S.INV(RAND())</f>
        <v>-4.2617527324514473E-3</v>
      </c>
    </row>
    <row r="4093" spans="18:21" x14ac:dyDescent="0.2">
      <c r="R4093" s="49">
        <v>4091</v>
      </c>
      <c r="S4093" s="59">
        <f ca="1">Dashboard!B$8* Dashboard!$F$4+Dashboard!B$10*SQRT(Dashboard!$F$4) * _xlfn.NORM.S.INV(RAND())</f>
        <v>3.4608798072933378E-2</v>
      </c>
      <c r="T4093" s="59">
        <f ca="1">Dashboard!C$8* Dashboard!$F$4+Dashboard!C$10*SQRT(Dashboard!$F$4) * _xlfn.NORM.S.INV(RAND())</f>
        <v>7.7057572146184528E-2</v>
      </c>
      <c r="U4093" s="59">
        <f ca="1">Dashboard!D$8* Dashboard!$F$4+Dashboard!D$10*SQRT(Dashboard!$F$4) * _xlfn.NORM.S.INV(RAND())</f>
        <v>1.1299166090070657E-2</v>
      </c>
    </row>
    <row r="4094" spans="18:21" x14ac:dyDescent="0.2">
      <c r="R4094" s="49">
        <v>4092</v>
      </c>
      <c r="S4094" s="59">
        <f ca="1">Dashboard!B$8* Dashboard!$F$4+Dashboard!B$10*SQRT(Dashboard!$F$4) * _xlfn.NORM.S.INV(RAND())</f>
        <v>-1.6761683844240313E-2</v>
      </c>
      <c r="T4094" s="59">
        <f ca="1">Dashboard!C$8* Dashboard!$F$4+Dashboard!C$10*SQRT(Dashboard!$F$4) * _xlfn.NORM.S.INV(RAND())</f>
        <v>3.0352453914247221E-2</v>
      </c>
      <c r="U4094" s="59">
        <f ca="1">Dashboard!D$8* Dashboard!$F$4+Dashboard!D$10*SQRT(Dashboard!$F$4) * _xlfn.NORM.S.INV(RAND())</f>
        <v>3.9796510850854472E-3</v>
      </c>
    </row>
    <row r="4095" spans="18:21" x14ac:dyDescent="0.2">
      <c r="R4095" s="49">
        <v>4093</v>
      </c>
      <c r="S4095" s="59">
        <f ca="1">Dashboard!B$8* Dashboard!$F$4+Dashboard!B$10*SQRT(Dashboard!$F$4) * _xlfn.NORM.S.INV(RAND())</f>
        <v>6.2749087921775373E-2</v>
      </c>
      <c r="T4095" s="59">
        <f ca="1">Dashboard!C$8* Dashboard!$F$4+Dashboard!C$10*SQRT(Dashboard!$F$4) * _xlfn.NORM.S.INV(RAND())</f>
        <v>4.5472912590544092E-3</v>
      </c>
      <c r="U4095" s="59">
        <f ca="1">Dashboard!D$8* Dashboard!$F$4+Dashboard!D$10*SQRT(Dashboard!$F$4) * _xlfn.NORM.S.INV(RAND())</f>
        <v>-3.9170932104647976E-2</v>
      </c>
    </row>
    <row r="4096" spans="18:21" x14ac:dyDescent="0.2">
      <c r="R4096" s="49">
        <v>4094</v>
      </c>
      <c r="S4096" s="59">
        <f ca="1">Dashboard!B$8* Dashboard!$F$4+Dashboard!B$10*SQRT(Dashboard!$F$4) * _xlfn.NORM.S.INV(RAND())</f>
        <v>-2.4187113686423248E-2</v>
      </c>
      <c r="T4096" s="59">
        <f ca="1">Dashboard!C$8* Dashboard!$F$4+Dashboard!C$10*SQRT(Dashboard!$F$4) * _xlfn.NORM.S.INV(RAND())</f>
        <v>-2.8616228009624382E-2</v>
      </c>
      <c r="U4096" s="59">
        <f ca="1">Dashboard!D$8* Dashboard!$F$4+Dashboard!D$10*SQRT(Dashboard!$F$4) * _xlfn.NORM.S.INV(RAND())</f>
        <v>-6.4074531118545497E-2</v>
      </c>
    </row>
    <row r="4097" spans="18:21" x14ac:dyDescent="0.2">
      <c r="R4097" s="49">
        <v>4095</v>
      </c>
      <c r="S4097" s="59">
        <f ca="1">Dashboard!B$8* Dashboard!$F$4+Dashboard!B$10*SQRT(Dashboard!$F$4) * _xlfn.NORM.S.INV(RAND())</f>
        <v>3.9154016153947774E-3</v>
      </c>
      <c r="T4097" s="59">
        <f ca="1">Dashboard!C$8* Dashboard!$F$4+Dashboard!C$10*SQRT(Dashboard!$F$4) * _xlfn.NORM.S.INV(RAND())</f>
        <v>-4.0168772501192641E-2</v>
      </c>
      <c r="U4097" s="59">
        <f ca="1">Dashboard!D$8* Dashboard!$F$4+Dashboard!D$10*SQRT(Dashboard!$F$4) * _xlfn.NORM.S.INV(RAND())</f>
        <v>4.4327262974098915E-3</v>
      </c>
    </row>
    <row r="4098" spans="18:21" x14ac:dyDescent="0.2">
      <c r="R4098" s="49">
        <v>4096</v>
      </c>
      <c r="S4098" s="59">
        <f ca="1">Dashboard!B$8* Dashboard!$F$4+Dashboard!B$10*SQRT(Dashboard!$F$4) * _xlfn.NORM.S.INV(RAND())</f>
        <v>3.8583491884934033E-2</v>
      </c>
      <c r="T4098" s="59">
        <f ca="1">Dashboard!C$8* Dashboard!$F$4+Dashboard!C$10*SQRT(Dashboard!$F$4) * _xlfn.NORM.S.INV(RAND())</f>
        <v>-2.2207181812626056E-2</v>
      </c>
      <c r="U4098" s="59">
        <f ca="1">Dashboard!D$8* Dashboard!$F$4+Dashboard!D$10*SQRT(Dashboard!$F$4) * _xlfn.NORM.S.INV(RAND())</f>
        <v>-4.2014541690221383E-2</v>
      </c>
    </row>
    <row r="4099" spans="18:21" x14ac:dyDescent="0.2">
      <c r="R4099" s="49">
        <v>4097</v>
      </c>
      <c r="S4099" s="59">
        <f ca="1">Dashboard!B$8* Dashboard!$F$4+Dashboard!B$10*SQRT(Dashboard!$F$4) * _xlfn.NORM.S.INV(RAND())</f>
        <v>-1.8343065986159479E-2</v>
      </c>
      <c r="T4099" s="59">
        <f ca="1">Dashboard!C$8* Dashboard!$F$4+Dashboard!C$10*SQRT(Dashboard!$F$4) * _xlfn.NORM.S.INV(RAND())</f>
        <v>-3.7313252877636816E-2</v>
      </c>
      <c r="U4099" s="59">
        <f ca="1">Dashboard!D$8* Dashboard!$F$4+Dashboard!D$10*SQRT(Dashboard!$F$4) * _xlfn.NORM.S.INV(RAND())</f>
        <v>-5.9349533722311693E-2</v>
      </c>
    </row>
    <row r="4100" spans="18:21" x14ac:dyDescent="0.2">
      <c r="R4100" s="49">
        <v>4098</v>
      </c>
      <c r="S4100" s="59">
        <f ca="1">Dashboard!B$8* Dashboard!$F$4+Dashboard!B$10*SQRT(Dashboard!$F$4) * _xlfn.NORM.S.INV(RAND())</f>
        <v>-1.2766796412346196E-2</v>
      </c>
      <c r="T4100" s="59">
        <f ca="1">Dashboard!C$8* Dashboard!$F$4+Dashboard!C$10*SQRT(Dashboard!$F$4) * _xlfn.NORM.S.INV(RAND())</f>
        <v>2.3270527342045495E-2</v>
      </c>
      <c r="U4100" s="59">
        <f ca="1">Dashboard!D$8* Dashboard!$F$4+Dashboard!D$10*SQRT(Dashboard!$F$4) * _xlfn.NORM.S.INV(RAND())</f>
        <v>-9.0329446853962478E-3</v>
      </c>
    </row>
    <row r="4101" spans="18:21" x14ac:dyDescent="0.2">
      <c r="R4101" s="49">
        <v>4099</v>
      </c>
      <c r="S4101" s="59">
        <f ca="1">Dashboard!B$8* Dashboard!$F$4+Dashboard!B$10*SQRT(Dashboard!$F$4) * _xlfn.NORM.S.INV(RAND())</f>
        <v>1.5140966644095534E-2</v>
      </c>
      <c r="T4101" s="59">
        <f ca="1">Dashboard!C$8* Dashboard!$F$4+Dashboard!C$10*SQRT(Dashboard!$F$4) * _xlfn.NORM.S.INV(RAND())</f>
        <v>-2.4767350127654686E-2</v>
      </c>
      <c r="U4101" s="59">
        <f ca="1">Dashboard!D$8* Dashboard!$F$4+Dashboard!D$10*SQRT(Dashboard!$F$4) * _xlfn.NORM.S.INV(RAND())</f>
        <v>-5.1289885320342794E-2</v>
      </c>
    </row>
    <row r="4102" spans="18:21" x14ac:dyDescent="0.2">
      <c r="R4102" s="49">
        <v>4100</v>
      </c>
      <c r="S4102" s="59">
        <f ca="1">Dashboard!B$8* Dashboard!$F$4+Dashboard!B$10*SQRT(Dashboard!$F$4) * _xlfn.NORM.S.INV(RAND())</f>
        <v>4.1959316923078034E-2</v>
      </c>
      <c r="T4102" s="59">
        <f ca="1">Dashboard!C$8* Dashboard!$F$4+Dashboard!C$10*SQRT(Dashboard!$F$4) * _xlfn.NORM.S.INV(RAND())</f>
        <v>4.9185428039766402E-2</v>
      </c>
      <c r="U4102" s="59">
        <f ca="1">Dashboard!D$8* Dashboard!$F$4+Dashboard!D$10*SQRT(Dashboard!$F$4) * _xlfn.NORM.S.INV(RAND())</f>
        <v>6.6276358212104786E-2</v>
      </c>
    </row>
    <row r="4103" spans="18:21" x14ac:dyDescent="0.2">
      <c r="R4103" s="49">
        <v>4101</v>
      </c>
      <c r="S4103" s="59">
        <f ca="1">Dashboard!B$8* Dashboard!$F$4+Dashboard!B$10*SQRT(Dashboard!$F$4) * _xlfn.NORM.S.INV(RAND())</f>
        <v>-2.5921362429801365E-2</v>
      </c>
      <c r="T4103" s="59">
        <f ca="1">Dashboard!C$8* Dashboard!$F$4+Dashboard!C$10*SQRT(Dashboard!$F$4) * _xlfn.NORM.S.INV(RAND())</f>
        <v>-1.620314787022371E-2</v>
      </c>
      <c r="U4103" s="59">
        <f ca="1">Dashboard!D$8* Dashboard!$F$4+Dashboard!D$10*SQRT(Dashboard!$F$4) * _xlfn.NORM.S.INV(RAND())</f>
        <v>7.186763232779449E-3</v>
      </c>
    </row>
    <row r="4104" spans="18:21" x14ac:dyDescent="0.2">
      <c r="R4104" s="49">
        <v>4102</v>
      </c>
      <c r="S4104" s="59">
        <f ca="1">Dashboard!B$8* Dashboard!$F$4+Dashboard!B$10*SQRT(Dashboard!$F$4) * _xlfn.NORM.S.INV(RAND())</f>
        <v>-2.0758231466694879E-2</v>
      </c>
      <c r="T4104" s="59">
        <f ca="1">Dashboard!C$8* Dashboard!$F$4+Dashboard!C$10*SQRT(Dashboard!$F$4) * _xlfn.NORM.S.INV(RAND())</f>
        <v>2.7025748397221983E-2</v>
      </c>
      <c r="U4104" s="59">
        <f ca="1">Dashboard!D$8* Dashboard!$F$4+Dashboard!D$10*SQRT(Dashboard!$F$4) * _xlfn.NORM.S.INV(RAND())</f>
        <v>-4.0882853862964752E-2</v>
      </c>
    </row>
    <row r="4105" spans="18:21" x14ac:dyDescent="0.2">
      <c r="R4105" s="49">
        <v>4103</v>
      </c>
      <c r="S4105" s="59">
        <f ca="1">Dashboard!B$8* Dashboard!$F$4+Dashboard!B$10*SQRT(Dashboard!$F$4) * _xlfn.NORM.S.INV(RAND())</f>
        <v>-1.3985386509355737E-2</v>
      </c>
      <c r="T4105" s="59">
        <f ca="1">Dashboard!C$8* Dashboard!$F$4+Dashboard!C$10*SQRT(Dashboard!$F$4) * _xlfn.NORM.S.INV(RAND())</f>
        <v>7.1435838642615643E-2</v>
      </c>
      <c r="U4105" s="59">
        <f ca="1">Dashboard!D$8* Dashboard!$F$4+Dashboard!D$10*SQRT(Dashboard!$F$4) * _xlfn.NORM.S.INV(RAND())</f>
        <v>-3.834374568450092E-2</v>
      </c>
    </row>
    <row r="4106" spans="18:21" x14ac:dyDescent="0.2">
      <c r="R4106" s="49">
        <v>4104</v>
      </c>
      <c r="S4106" s="59">
        <f ca="1">Dashboard!B$8* Dashboard!$F$4+Dashboard!B$10*SQRT(Dashboard!$F$4) * _xlfn.NORM.S.INV(RAND())</f>
        <v>-1.0414528244685179E-2</v>
      </c>
      <c r="T4106" s="59">
        <f ca="1">Dashboard!C$8* Dashboard!$F$4+Dashboard!C$10*SQRT(Dashboard!$F$4) * _xlfn.NORM.S.INV(RAND())</f>
        <v>-6.8687050608066272E-3</v>
      </c>
      <c r="U4106" s="59">
        <f ca="1">Dashboard!D$8* Dashboard!$F$4+Dashboard!D$10*SQRT(Dashboard!$F$4) * _xlfn.NORM.S.INV(RAND())</f>
        <v>-2.8411304947080038E-2</v>
      </c>
    </row>
    <row r="4107" spans="18:21" x14ac:dyDescent="0.2">
      <c r="R4107" s="49">
        <v>4105</v>
      </c>
      <c r="S4107" s="59">
        <f ca="1">Dashboard!B$8* Dashboard!$F$4+Dashboard!B$10*SQRT(Dashboard!$F$4) * _xlfn.NORM.S.INV(RAND())</f>
        <v>1.2174856405715547E-2</v>
      </c>
      <c r="T4107" s="59">
        <f ca="1">Dashboard!C$8* Dashboard!$F$4+Dashboard!C$10*SQRT(Dashboard!$F$4) * _xlfn.NORM.S.INV(RAND())</f>
        <v>7.8910787913419961E-2</v>
      </c>
      <c r="U4107" s="59">
        <f ca="1">Dashboard!D$8* Dashboard!$F$4+Dashboard!D$10*SQRT(Dashboard!$F$4) * _xlfn.NORM.S.INV(RAND())</f>
        <v>1.2355475567861783E-2</v>
      </c>
    </row>
    <row r="4108" spans="18:21" x14ac:dyDescent="0.2">
      <c r="R4108" s="49">
        <v>4106</v>
      </c>
      <c r="S4108" s="59">
        <f ca="1">Dashboard!B$8* Dashboard!$F$4+Dashboard!B$10*SQRT(Dashboard!$F$4) * _xlfn.NORM.S.INV(RAND())</f>
        <v>-2.022789660926181E-2</v>
      </c>
      <c r="T4108" s="59">
        <f ca="1">Dashboard!C$8* Dashboard!$F$4+Dashboard!C$10*SQRT(Dashboard!$F$4) * _xlfn.NORM.S.INV(RAND())</f>
        <v>2.7590872224500861E-2</v>
      </c>
      <c r="U4108" s="59">
        <f ca="1">Dashboard!D$8* Dashboard!$F$4+Dashboard!D$10*SQRT(Dashboard!$F$4) * _xlfn.NORM.S.INV(RAND())</f>
        <v>8.1757022897005153E-3</v>
      </c>
    </row>
    <row r="4109" spans="18:21" x14ac:dyDescent="0.2">
      <c r="R4109" s="49">
        <v>4107</v>
      </c>
      <c r="S4109" s="59">
        <f ca="1">Dashboard!B$8* Dashboard!$F$4+Dashboard!B$10*SQRT(Dashboard!$F$4) * _xlfn.NORM.S.INV(RAND())</f>
        <v>4.9878257465353841E-2</v>
      </c>
      <c r="T4109" s="59">
        <f ca="1">Dashboard!C$8* Dashboard!$F$4+Dashboard!C$10*SQRT(Dashboard!$F$4) * _xlfn.NORM.S.INV(RAND())</f>
        <v>-5.6230860992705682E-2</v>
      </c>
      <c r="U4109" s="59">
        <f ca="1">Dashboard!D$8* Dashboard!$F$4+Dashboard!D$10*SQRT(Dashboard!$F$4) * _xlfn.NORM.S.INV(RAND())</f>
        <v>-3.4968934927099689E-2</v>
      </c>
    </row>
    <row r="4110" spans="18:21" x14ac:dyDescent="0.2">
      <c r="R4110" s="49">
        <v>4108</v>
      </c>
      <c r="S4110" s="59">
        <f ca="1">Dashboard!B$8* Dashboard!$F$4+Dashboard!B$10*SQRT(Dashboard!$F$4) * _xlfn.NORM.S.INV(RAND())</f>
        <v>1.8375409094497364E-2</v>
      </c>
      <c r="T4110" s="59">
        <f ca="1">Dashboard!C$8* Dashboard!$F$4+Dashboard!C$10*SQRT(Dashboard!$F$4) * _xlfn.NORM.S.INV(RAND())</f>
        <v>3.8003619999209898E-2</v>
      </c>
      <c r="U4110" s="59">
        <f ca="1">Dashboard!D$8* Dashboard!$F$4+Dashboard!D$10*SQRT(Dashboard!$F$4) * _xlfn.NORM.S.INV(RAND())</f>
        <v>3.5130544231989011E-2</v>
      </c>
    </row>
    <row r="4111" spans="18:21" x14ac:dyDescent="0.2">
      <c r="R4111" s="49">
        <v>4109</v>
      </c>
      <c r="S4111" s="59">
        <f ca="1">Dashboard!B$8* Dashboard!$F$4+Dashboard!B$10*SQRT(Dashboard!$F$4) * _xlfn.NORM.S.INV(RAND())</f>
        <v>-1.8947130969351224E-2</v>
      </c>
      <c r="T4111" s="59">
        <f ca="1">Dashboard!C$8* Dashboard!$F$4+Dashboard!C$10*SQRT(Dashboard!$F$4) * _xlfn.NORM.S.INV(RAND())</f>
        <v>2.5636748217811013E-2</v>
      </c>
      <c r="U4111" s="59">
        <f ca="1">Dashboard!D$8* Dashboard!$F$4+Dashboard!D$10*SQRT(Dashboard!$F$4) * _xlfn.NORM.S.INV(RAND())</f>
        <v>1.9624261624676058E-2</v>
      </c>
    </row>
    <row r="4112" spans="18:21" x14ac:dyDescent="0.2">
      <c r="R4112" s="49">
        <v>4110</v>
      </c>
      <c r="S4112" s="59">
        <f ca="1">Dashboard!B$8* Dashboard!$F$4+Dashboard!B$10*SQRT(Dashboard!$F$4) * _xlfn.NORM.S.INV(RAND())</f>
        <v>4.0064365401202943E-2</v>
      </c>
      <c r="T4112" s="59">
        <f ca="1">Dashboard!C$8* Dashboard!$F$4+Dashboard!C$10*SQRT(Dashboard!$F$4) * _xlfn.NORM.S.INV(RAND())</f>
        <v>1.556417291671584E-2</v>
      </c>
      <c r="U4112" s="59">
        <f ca="1">Dashboard!D$8* Dashboard!$F$4+Dashboard!D$10*SQRT(Dashboard!$F$4) * _xlfn.NORM.S.INV(RAND())</f>
        <v>-1.3424683865356737E-2</v>
      </c>
    </row>
    <row r="4113" spans="18:21" x14ac:dyDescent="0.2">
      <c r="R4113" s="49">
        <v>4111</v>
      </c>
      <c r="S4113" s="59">
        <f ca="1">Dashboard!B$8* Dashboard!$F$4+Dashboard!B$10*SQRT(Dashboard!$F$4) * _xlfn.NORM.S.INV(RAND())</f>
        <v>6.5678603414548939E-3</v>
      </c>
      <c r="T4113" s="59">
        <f ca="1">Dashboard!C$8* Dashboard!$F$4+Dashboard!C$10*SQRT(Dashboard!$F$4) * _xlfn.NORM.S.INV(RAND())</f>
        <v>3.5359747786845717E-2</v>
      </c>
      <c r="U4113" s="59">
        <f ca="1">Dashboard!D$8* Dashboard!$F$4+Dashboard!D$10*SQRT(Dashboard!$F$4) * _xlfn.NORM.S.INV(RAND())</f>
        <v>1.080988417745693E-3</v>
      </c>
    </row>
    <row r="4114" spans="18:21" x14ac:dyDescent="0.2">
      <c r="R4114" s="49">
        <v>4112</v>
      </c>
      <c r="S4114" s="59">
        <f ca="1">Dashboard!B$8* Dashboard!$F$4+Dashboard!B$10*SQRT(Dashboard!$F$4) * _xlfn.NORM.S.INV(RAND())</f>
        <v>2.6897917132019415E-3</v>
      </c>
      <c r="T4114" s="59">
        <f ca="1">Dashboard!C$8* Dashboard!$F$4+Dashboard!C$10*SQRT(Dashboard!$F$4) * _xlfn.NORM.S.INV(RAND())</f>
        <v>4.2331629026022791E-2</v>
      </c>
      <c r="U4114" s="59">
        <f ca="1">Dashboard!D$8* Dashboard!$F$4+Dashboard!D$10*SQRT(Dashboard!$F$4) * _xlfn.NORM.S.INV(RAND())</f>
        <v>3.6514614078408621E-2</v>
      </c>
    </row>
    <row r="4115" spans="18:21" x14ac:dyDescent="0.2">
      <c r="R4115" s="49">
        <v>4113</v>
      </c>
      <c r="S4115" s="59">
        <f ca="1">Dashboard!B$8* Dashboard!$F$4+Dashboard!B$10*SQRT(Dashboard!$F$4) * _xlfn.NORM.S.INV(RAND())</f>
        <v>1.5617876765943313E-2</v>
      </c>
      <c r="T4115" s="59">
        <f ca="1">Dashboard!C$8* Dashboard!$F$4+Dashboard!C$10*SQRT(Dashboard!$F$4) * _xlfn.NORM.S.INV(RAND())</f>
        <v>3.6210218991960787E-2</v>
      </c>
      <c r="U4115" s="59">
        <f ca="1">Dashboard!D$8* Dashboard!$F$4+Dashboard!D$10*SQRT(Dashboard!$F$4) * _xlfn.NORM.S.INV(RAND())</f>
        <v>-6.8642061679966421E-2</v>
      </c>
    </row>
    <row r="4116" spans="18:21" x14ac:dyDescent="0.2">
      <c r="R4116" s="49">
        <v>4114</v>
      </c>
      <c r="S4116" s="59">
        <f ca="1">Dashboard!B$8* Dashboard!$F$4+Dashboard!B$10*SQRT(Dashboard!$F$4) * _xlfn.NORM.S.INV(RAND())</f>
        <v>-5.1790263240089424E-2</v>
      </c>
      <c r="T4116" s="59">
        <f ca="1">Dashboard!C$8* Dashboard!$F$4+Dashboard!C$10*SQRT(Dashboard!$F$4) * _xlfn.NORM.S.INV(RAND())</f>
        <v>2.000308316508289E-2</v>
      </c>
      <c r="U4116" s="59">
        <f ca="1">Dashboard!D$8* Dashboard!$F$4+Dashboard!D$10*SQRT(Dashboard!$F$4) * _xlfn.NORM.S.INV(RAND())</f>
        <v>1.8133749154345638E-2</v>
      </c>
    </row>
    <row r="4117" spans="18:21" x14ac:dyDescent="0.2">
      <c r="R4117" s="49">
        <v>4115</v>
      </c>
      <c r="S4117" s="59">
        <f ca="1">Dashboard!B$8* Dashboard!$F$4+Dashboard!B$10*SQRT(Dashboard!$F$4) * _xlfn.NORM.S.INV(RAND())</f>
        <v>-5.2442036925400747E-2</v>
      </c>
      <c r="T4117" s="59">
        <f ca="1">Dashboard!C$8* Dashboard!$F$4+Dashboard!C$10*SQRT(Dashboard!$F$4) * _xlfn.NORM.S.INV(RAND())</f>
        <v>-2.8799049264751731E-2</v>
      </c>
      <c r="U4117" s="59">
        <f ca="1">Dashboard!D$8* Dashboard!$F$4+Dashboard!D$10*SQRT(Dashboard!$F$4) * _xlfn.NORM.S.INV(RAND())</f>
        <v>2.4870536856800626E-2</v>
      </c>
    </row>
    <row r="4118" spans="18:21" x14ac:dyDescent="0.2">
      <c r="R4118" s="49">
        <v>4116</v>
      </c>
      <c r="S4118" s="59">
        <f ca="1">Dashboard!B$8* Dashboard!$F$4+Dashboard!B$10*SQRT(Dashboard!$F$4) * _xlfn.NORM.S.INV(RAND())</f>
        <v>3.2295383409420486E-3</v>
      </c>
      <c r="T4118" s="59">
        <f ca="1">Dashboard!C$8* Dashboard!$F$4+Dashboard!C$10*SQRT(Dashboard!$F$4) * _xlfn.NORM.S.INV(RAND())</f>
        <v>3.9725379249366165E-2</v>
      </c>
      <c r="U4118" s="59">
        <f ca="1">Dashboard!D$8* Dashboard!$F$4+Dashboard!D$10*SQRT(Dashboard!$F$4) * _xlfn.NORM.S.INV(RAND())</f>
        <v>3.2973717160034915E-2</v>
      </c>
    </row>
    <row r="4119" spans="18:21" x14ac:dyDescent="0.2">
      <c r="R4119" s="49">
        <v>4117</v>
      </c>
      <c r="S4119" s="59">
        <f ca="1">Dashboard!B$8* Dashboard!$F$4+Dashboard!B$10*SQRT(Dashboard!$F$4) * _xlfn.NORM.S.INV(RAND())</f>
        <v>3.0105356476902313E-4</v>
      </c>
      <c r="T4119" s="59">
        <f ca="1">Dashboard!C$8* Dashboard!$F$4+Dashboard!C$10*SQRT(Dashboard!$F$4) * _xlfn.NORM.S.INV(RAND())</f>
        <v>-1.753750097117669E-3</v>
      </c>
      <c r="U4119" s="59">
        <f ca="1">Dashboard!D$8* Dashboard!$F$4+Dashboard!D$10*SQRT(Dashboard!$F$4) * _xlfn.NORM.S.INV(RAND())</f>
        <v>-1.8127905354887064E-2</v>
      </c>
    </row>
    <row r="4120" spans="18:21" x14ac:dyDescent="0.2">
      <c r="R4120" s="49">
        <v>4118</v>
      </c>
      <c r="S4120" s="59">
        <f ca="1">Dashboard!B$8* Dashboard!$F$4+Dashboard!B$10*SQRT(Dashboard!$F$4) * _xlfn.NORM.S.INV(RAND())</f>
        <v>-2.9899722340181671E-2</v>
      </c>
      <c r="T4120" s="59">
        <f ca="1">Dashboard!C$8* Dashboard!$F$4+Dashboard!C$10*SQRT(Dashboard!$F$4) * _xlfn.NORM.S.INV(RAND())</f>
        <v>6.3687917307952641E-3</v>
      </c>
      <c r="U4120" s="59">
        <f ca="1">Dashboard!D$8* Dashboard!$F$4+Dashboard!D$10*SQRT(Dashboard!$F$4) * _xlfn.NORM.S.INV(RAND())</f>
        <v>-3.0046097011320074E-2</v>
      </c>
    </row>
    <row r="4121" spans="18:21" x14ac:dyDescent="0.2">
      <c r="R4121" s="49">
        <v>4119</v>
      </c>
      <c r="S4121" s="59">
        <f ca="1">Dashboard!B$8* Dashboard!$F$4+Dashboard!B$10*SQRT(Dashboard!$F$4) * _xlfn.NORM.S.INV(RAND())</f>
        <v>-1.9115819091465702E-2</v>
      </c>
      <c r="T4121" s="59">
        <f ca="1">Dashboard!C$8* Dashboard!$F$4+Dashboard!C$10*SQRT(Dashboard!$F$4) * _xlfn.NORM.S.INV(RAND())</f>
        <v>-1.788252847199617E-2</v>
      </c>
      <c r="U4121" s="59">
        <f ca="1">Dashboard!D$8* Dashboard!$F$4+Dashboard!D$10*SQRT(Dashboard!$F$4) * _xlfn.NORM.S.INV(RAND())</f>
        <v>-2.2216156594203597E-2</v>
      </c>
    </row>
    <row r="4122" spans="18:21" x14ac:dyDescent="0.2">
      <c r="R4122" s="49">
        <v>4120</v>
      </c>
      <c r="S4122" s="59">
        <f ca="1">Dashboard!B$8* Dashboard!$F$4+Dashboard!B$10*SQRT(Dashboard!$F$4) * _xlfn.NORM.S.INV(RAND())</f>
        <v>-4.4036794183381418E-2</v>
      </c>
      <c r="T4122" s="59">
        <f ca="1">Dashboard!C$8* Dashboard!$F$4+Dashboard!C$10*SQRT(Dashboard!$F$4) * _xlfn.NORM.S.INV(RAND())</f>
        <v>-3.5774347801414634E-2</v>
      </c>
      <c r="U4122" s="59">
        <f ca="1">Dashboard!D$8* Dashboard!$F$4+Dashboard!D$10*SQRT(Dashboard!$F$4) * _xlfn.NORM.S.INV(RAND())</f>
        <v>2.2717365930426846E-2</v>
      </c>
    </row>
    <row r="4123" spans="18:21" x14ac:dyDescent="0.2">
      <c r="R4123" s="49">
        <v>4121</v>
      </c>
      <c r="S4123" s="59">
        <f ca="1">Dashboard!B$8* Dashboard!$F$4+Dashboard!B$10*SQRT(Dashboard!$F$4) * _xlfn.NORM.S.INV(RAND())</f>
        <v>-2.8526797274438916E-2</v>
      </c>
      <c r="T4123" s="59">
        <f ca="1">Dashboard!C$8* Dashboard!$F$4+Dashboard!C$10*SQRT(Dashboard!$F$4) * _xlfn.NORM.S.INV(RAND())</f>
        <v>3.9207800387032504E-2</v>
      </c>
      <c r="U4123" s="59">
        <f ca="1">Dashboard!D$8* Dashboard!$F$4+Dashboard!D$10*SQRT(Dashboard!$F$4) * _xlfn.NORM.S.INV(RAND())</f>
        <v>-6.1973814945797895E-3</v>
      </c>
    </row>
    <row r="4124" spans="18:21" x14ac:dyDescent="0.2">
      <c r="R4124" s="49">
        <v>4122</v>
      </c>
      <c r="S4124" s="59">
        <f ca="1">Dashboard!B$8* Dashboard!$F$4+Dashboard!B$10*SQRT(Dashboard!$F$4) * _xlfn.NORM.S.INV(RAND())</f>
        <v>1.1832665878763159E-3</v>
      </c>
      <c r="T4124" s="59">
        <f ca="1">Dashboard!C$8* Dashboard!$F$4+Dashboard!C$10*SQRT(Dashboard!$F$4) * _xlfn.NORM.S.INV(RAND())</f>
        <v>1.5345098870839798E-2</v>
      </c>
      <c r="U4124" s="59">
        <f ca="1">Dashboard!D$8* Dashboard!$F$4+Dashboard!D$10*SQRT(Dashboard!$F$4) * _xlfn.NORM.S.INV(RAND())</f>
        <v>1.9454779889172002E-2</v>
      </c>
    </row>
    <row r="4125" spans="18:21" x14ac:dyDescent="0.2">
      <c r="R4125" s="49">
        <v>4123</v>
      </c>
      <c r="S4125" s="59">
        <f ca="1">Dashboard!B$8* Dashboard!$F$4+Dashboard!B$10*SQRT(Dashboard!$F$4) * _xlfn.NORM.S.INV(RAND())</f>
        <v>-6.1118843277440042E-2</v>
      </c>
      <c r="T4125" s="59">
        <f ca="1">Dashboard!C$8* Dashboard!$F$4+Dashboard!C$10*SQRT(Dashboard!$F$4) * _xlfn.NORM.S.INV(RAND())</f>
        <v>-7.8128416186479359E-3</v>
      </c>
      <c r="U4125" s="59">
        <f ca="1">Dashboard!D$8* Dashboard!$F$4+Dashboard!D$10*SQRT(Dashboard!$F$4) * _xlfn.NORM.S.INV(RAND())</f>
        <v>4.1800017295468207E-2</v>
      </c>
    </row>
    <row r="4126" spans="18:21" x14ac:dyDescent="0.2">
      <c r="R4126" s="49">
        <v>4124</v>
      </c>
      <c r="S4126" s="59">
        <f ca="1">Dashboard!B$8* Dashboard!$F$4+Dashboard!B$10*SQRT(Dashboard!$F$4) * _xlfn.NORM.S.INV(RAND())</f>
        <v>-7.9716639695326646E-3</v>
      </c>
      <c r="T4126" s="59">
        <f ca="1">Dashboard!C$8* Dashboard!$F$4+Dashboard!C$10*SQRT(Dashboard!$F$4) * _xlfn.NORM.S.INV(RAND())</f>
        <v>7.7199445186820967E-3</v>
      </c>
      <c r="U4126" s="59">
        <f ca="1">Dashboard!D$8* Dashboard!$F$4+Dashboard!D$10*SQRT(Dashboard!$F$4) * _xlfn.NORM.S.INV(RAND())</f>
        <v>-1.3330587967007737E-2</v>
      </c>
    </row>
    <row r="4127" spans="18:21" x14ac:dyDescent="0.2">
      <c r="R4127" s="49">
        <v>4125</v>
      </c>
      <c r="S4127" s="59">
        <f ca="1">Dashboard!B$8* Dashboard!$F$4+Dashboard!B$10*SQRT(Dashboard!$F$4) * _xlfn.NORM.S.INV(RAND())</f>
        <v>-2.4525746436582029E-2</v>
      </c>
      <c r="T4127" s="59">
        <f ca="1">Dashboard!C$8* Dashboard!$F$4+Dashboard!C$10*SQRT(Dashboard!$F$4) * _xlfn.NORM.S.INV(RAND())</f>
        <v>-5.0047692276482493E-3</v>
      </c>
      <c r="U4127" s="59">
        <f ca="1">Dashboard!D$8* Dashboard!$F$4+Dashboard!D$10*SQRT(Dashboard!$F$4) * _xlfn.NORM.S.INV(RAND())</f>
        <v>-2.1727444117066688E-2</v>
      </c>
    </row>
    <row r="4128" spans="18:21" x14ac:dyDescent="0.2">
      <c r="R4128" s="49">
        <v>4126</v>
      </c>
      <c r="S4128" s="59">
        <f ca="1">Dashboard!B$8* Dashboard!$F$4+Dashboard!B$10*SQRT(Dashboard!$F$4) * _xlfn.NORM.S.INV(RAND())</f>
        <v>4.5855575875216742E-2</v>
      </c>
      <c r="T4128" s="59">
        <f ca="1">Dashboard!C$8* Dashboard!$F$4+Dashboard!C$10*SQRT(Dashboard!$F$4) * _xlfn.NORM.S.INV(RAND())</f>
        <v>-1.7439591689903614E-2</v>
      </c>
      <c r="U4128" s="59">
        <f ca="1">Dashboard!D$8* Dashboard!$F$4+Dashboard!D$10*SQRT(Dashboard!$F$4) * _xlfn.NORM.S.INV(RAND())</f>
        <v>6.6951369166638672E-3</v>
      </c>
    </row>
    <row r="4129" spans="18:21" x14ac:dyDescent="0.2">
      <c r="R4129" s="49">
        <v>4127</v>
      </c>
      <c r="S4129" s="59">
        <f ca="1">Dashboard!B$8* Dashboard!$F$4+Dashboard!B$10*SQRT(Dashboard!$F$4) * _xlfn.NORM.S.INV(RAND())</f>
        <v>-1.3548599029382085E-2</v>
      </c>
      <c r="T4129" s="59">
        <f ca="1">Dashboard!C$8* Dashboard!$F$4+Dashboard!C$10*SQRT(Dashboard!$F$4) * _xlfn.NORM.S.INV(RAND())</f>
        <v>5.5100486909204272E-2</v>
      </c>
      <c r="U4129" s="59">
        <f ca="1">Dashboard!D$8* Dashboard!$F$4+Dashboard!D$10*SQRT(Dashboard!$F$4) * _xlfn.NORM.S.INV(RAND())</f>
        <v>-9.5782372730069051E-3</v>
      </c>
    </row>
    <row r="4130" spans="18:21" x14ac:dyDescent="0.2">
      <c r="R4130" s="49">
        <v>4128</v>
      </c>
      <c r="S4130" s="59">
        <f ca="1">Dashboard!B$8* Dashboard!$F$4+Dashboard!B$10*SQRT(Dashboard!$F$4) * _xlfn.NORM.S.INV(RAND())</f>
        <v>-3.2313148959635468E-2</v>
      </c>
      <c r="T4130" s="59">
        <f ca="1">Dashboard!C$8* Dashboard!$F$4+Dashboard!C$10*SQRT(Dashboard!$F$4) * _xlfn.NORM.S.INV(RAND())</f>
        <v>6.3402342322619112E-4</v>
      </c>
      <c r="U4130" s="59">
        <f ca="1">Dashboard!D$8* Dashboard!$F$4+Dashboard!D$10*SQRT(Dashboard!$F$4) * _xlfn.NORM.S.INV(RAND())</f>
        <v>2.2601046731618425E-2</v>
      </c>
    </row>
    <row r="4131" spans="18:21" x14ac:dyDescent="0.2">
      <c r="R4131" s="49">
        <v>4129</v>
      </c>
      <c r="S4131" s="59">
        <f ca="1">Dashboard!B$8* Dashboard!$F$4+Dashboard!B$10*SQRT(Dashboard!$F$4) * _xlfn.NORM.S.INV(RAND())</f>
        <v>-6.0432395150819489E-2</v>
      </c>
      <c r="T4131" s="59">
        <f ca="1">Dashboard!C$8* Dashboard!$F$4+Dashboard!C$10*SQRT(Dashboard!$F$4) * _xlfn.NORM.S.INV(RAND())</f>
        <v>-2.7232369440566267E-2</v>
      </c>
      <c r="U4131" s="59">
        <f ca="1">Dashboard!D$8* Dashboard!$F$4+Dashboard!D$10*SQRT(Dashboard!$F$4) * _xlfn.NORM.S.INV(RAND())</f>
        <v>4.8644870976124258E-3</v>
      </c>
    </row>
    <row r="4132" spans="18:21" x14ac:dyDescent="0.2">
      <c r="R4132" s="49">
        <v>4130</v>
      </c>
      <c r="S4132" s="59">
        <f ca="1">Dashboard!B$8* Dashboard!$F$4+Dashboard!B$10*SQRT(Dashboard!$F$4) * _xlfn.NORM.S.INV(RAND())</f>
        <v>-6.1432059843262912E-3</v>
      </c>
      <c r="T4132" s="59">
        <f ca="1">Dashboard!C$8* Dashboard!$F$4+Dashboard!C$10*SQRT(Dashboard!$F$4) * _xlfn.NORM.S.INV(RAND())</f>
        <v>1.2676560105105109E-2</v>
      </c>
      <c r="U4132" s="59">
        <f ca="1">Dashboard!D$8* Dashboard!$F$4+Dashboard!D$10*SQRT(Dashboard!$F$4) * _xlfn.NORM.S.INV(RAND())</f>
        <v>1.590655895225606E-2</v>
      </c>
    </row>
    <row r="4133" spans="18:21" x14ac:dyDescent="0.2">
      <c r="R4133" s="49">
        <v>4131</v>
      </c>
      <c r="S4133" s="59">
        <f ca="1">Dashboard!B$8* Dashboard!$F$4+Dashboard!B$10*SQRT(Dashboard!$F$4) * _xlfn.NORM.S.INV(RAND())</f>
        <v>-4.4986542725120281E-2</v>
      </c>
      <c r="T4133" s="59">
        <f ca="1">Dashboard!C$8* Dashboard!$F$4+Dashboard!C$10*SQRT(Dashboard!$F$4) * _xlfn.NORM.S.INV(RAND())</f>
        <v>-4.0685448184413074E-2</v>
      </c>
      <c r="U4133" s="59">
        <f ca="1">Dashboard!D$8* Dashboard!$F$4+Dashboard!D$10*SQRT(Dashboard!$F$4) * _xlfn.NORM.S.INV(RAND())</f>
        <v>1.0189747943252303E-2</v>
      </c>
    </row>
    <row r="4134" spans="18:21" x14ac:dyDescent="0.2">
      <c r="R4134" s="49">
        <v>4132</v>
      </c>
      <c r="S4134" s="59">
        <f ca="1">Dashboard!B$8* Dashboard!$F$4+Dashboard!B$10*SQRT(Dashboard!$F$4) * _xlfn.NORM.S.INV(RAND())</f>
        <v>1.2115069209418817E-2</v>
      </c>
      <c r="T4134" s="59">
        <f ca="1">Dashboard!C$8* Dashboard!$F$4+Dashboard!C$10*SQRT(Dashboard!$F$4) * _xlfn.NORM.S.INV(RAND())</f>
        <v>4.6506280861685477E-2</v>
      </c>
      <c r="U4134" s="59">
        <f ca="1">Dashboard!D$8* Dashboard!$F$4+Dashboard!D$10*SQRT(Dashboard!$F$4) * _xlfn.NORM.S.INV(RAND())</f>
        <v>4.5534133772320767E-2</v>
      </c>
    </row>
    <row r="4135" spans="18:21" x14ac:dyDescent="0.2">
      <c r="R4135" s="49">
        <v>4133</v>
      </c>
      <c r="S4135" s="59">
        <f ca="1">Dashboard!B$8* Dashboard!$F$4+Dashboard!B$10*SQRT(Dashboard!$F$4) * _xlfn.NORM.S.INV(RAND())</f>
        <v>3.8917787073861239E-2</v>
      </c>
      <c r="T4135" s="59">
        <f ca="1">Dashboard!C$8* Dashboard!$F$4+Dashboard!C$10*SQRT(Dashboard!$F$4) * _xlfn.NORM.S.INV(RAND())</f>
        <v>6.2286532361033389E-2</v>
      </c>
      <c r="U4135" s="59">
        <f ca="1">Dashboard!D$8* Dashboard!$F$4+Dashboard!D$10*SQRT(Dashboard!$F$4) * _xlfn.NORM.S.INV(RAND())</f>
        <v>2.16014518270194E-3</v>
      </c>
    </row>
    <row r="4136" spans="18:21" x14ac:dyDescent="0.2">
      <c r="R4136" s="49">
        <v>4134</v>
      </c>
      <c r="S4136" s="59">
        <f ca="1">Dashboard!B$8* Dashboard!$F$4+Dashboard!B$10*SQRT(Dashboard!$F$4) * _xlfn.NORM.S.INV(RAND())</f>
        <v>2.4784221129621031E-2</v>
      </c>
      <c r="T4136" s="59">
        <f ca="1">Dashboard!C$8* Dashboard!$F$4+Dashboard!C$10*SQRT(Dashboard!$F$4) * _xlfn.NORM.S.INV(RAND())</f>
        <v>6.8725567260205248E-2</v>
      </c>
      <c r="U4136" s="59">
        <f ca="1">Dashboard!D$8* Dashboard!$F$4+Dashboard!D$10*SQRT(Dashboard!$F$4) * _xlfn.NORM.S.INV(RAND())</f>
        <v>1.2474860815019407E-2</v>
      </c>
    </row>
    <row r="4137" spans="18:21" x14ac:dyDescent="0.2">
      <c r="R4137" s="49">
        <v>4135</v>
      </c>
      <c r="S4137" s="59">
        <f ca="1">Dashboard!B$8* Dashboard!$F$4+Dashboard!B$10*SQRT(Dashboard!$F$4) * _xlfn.NORM.S.INV(RAND())</f>
        <v>1.2984059715534816E-3</v>
      </c>
      <c r="T4137" s="59">
        <f ca="1">Dashboard!C$8* Dashboard!$F$4+Dashboard!C$10*SQRT(Dashboard!$F$4) * _xlfn.NORM.S.INV(RAND())</f>
        <v>2.1094278706853667E-2</v>
      </c>
      <c r="U4137" s="59">
        <f ca="1">Dashboard!D$8* Dashboard!$F$4+Dashboard!D$10*SQRT(Dashboard!$F$4) * _xlfn.NORM.S.INV(RAND())</f>
        <v>-1.1705085839772793E-2</v>
      </c>
    </row>
    <row r="4138" spans="18:21" x14ac:dyDescent="0.2">
      <c r="R4138" s="49">
        <v>4136</v>
      </c>
      <c r="S4138" s="59">
        <f ca="1">Dashboard!B$8* Dashboard!$F$4+Dashboard!B$10*SQRT(Dashboard!$F$4) * _xlfn.NORM.S.INV(RAND())</f>
        <v>1.1581948431891196E-2</v>
      </c>
      <c r="T4138" s="59">
        <f ca="1">Dashboard!C$8* Dashboard!$F$4+Dashboard!C$10*SQRT(Dashboard!$F$4) * _xlfn.NORM.S.INV(RAND())</f>
        <v>1.3515431225447756E-2</v>
      </c>
      <c r="U4138" s="59">
        <f ca="1">Dashboard!D$8* Dashboard!$F$4+Dashboard!D$10*SQRT(Dashboard!$F$4) * _xlfn.NORM.S.INV(RAND())</f>
        <v>3.3786572458653748E-2</v>
      </c>
    </row>
    <row r="4139" spans="18:21" x14ac:dyDescent="0.2">
      <c r="R4139" s="49">
        <v>4137</v>
      </c>
      <c r="S4139" s="59">
        <f ca="1">Dashboard!B$8* Dashboard!$F$4+Dashboard!B$10*SQRT(Dashboard!$F$4) * _xlfn.NORM.S.INV(RAND())</f>
        <v>-1.4041785983850079E-2</v>
      </c>
      <c r="T4139" s="59">
        <f ca="1">Dashboard!C$8* Dashboard!$F$4+Dashboard!C$10*SQRT(Dashboard!$F$4) * _xlfn.NORM.S.INV(RAND())</f>
        <v>-2.2828633799795474E-2</v>
      </c>
      <c r="U4139" s="59">
        <f ca="1">Dashboard!D$8* Dashboard!$F$4+Dashboard!D$10*SQRT(Dashboard!$F$4) * _xlfn.NORM.S.INV(RAND())</f>
        <v>-6.9540032287729809E-3</v>
      </c>
    </row>
    <row r="4140" spans="18:21" x14ac:dyDescent="0.2">
      <c r="R4140" s="49">
        <v>4138</v>
      </c>
      <c r="S4140" s="59">
        <f ca="1">Dashboard!B$8* Dashboard!$F$4+Dashboard!B$10*SQRT(Dashboard!$F$4) * _xlfn.NORM.S.INV(RAND())</f>
        <v>2.487519881830693E-2</v>
      </c>
      <c r="T4140" s="59">
        <f ca="1">Dashboard!C$8* Dashboard!$F$4+Dashboard!C$10*SQRT(Dashboard!$F$4) * _xlfn.NORM.S.INV(RAND())</f>
        <v>-9.6877405310372595E-3</v>
      </c>
      <c r="U4140" s="59">
        <f ca="1">Dashboard!D$8* Dashboard!$F$4+Dashboard!D$10*SQRT(Dashboard!$F$4) * _xlfn.NORM.S.INV(RAND())</f>
        <v>4.4281453082508873E-2</v>
      </c>
    </row>
    <row r="4141" spans="18:21" x14ac:dyDescent="0.2">
      <c r="R4141" s="49">
        <v>4139</v>
      </c>
      <c r="S4141" s="59">
        <f ca="1">Dashboard!B$8* Dashboard!$F$4+Dashboard!B$10*SQRT(Dashboard!$F$4) * _xlfn.NORM.S.INV(RAND())</f>
        <v>-6.9231908444869379E-3</v>
      </c>
      <c r="T4141" s="59">
        <f ca="1">Dashboard!C$8* Dashboard!$F$4+Dashboard!C$10*SQRT(Dashboard!$F$4) * _xlfn.NORM.S.INV(RAND())</f>
        <v>4.3943008947347977E-2</v>
      </c>
      <c r="U4141" s="59">
        <f ca="1">Dashboard!D$8* Dashboard!$F$4+Dashboard!D$10*SQRT(Dashboard!$F$4) * _xlfn.NORM.S.INV(RAND())</f>
        <v>-1.7600722509132548E-2</v>
      </c>
    </row>
    <row r="4142" spans="18:21" x14ac:dyDescent="0.2">
      <c r="R4142" s="49">
        <v>4140</v>
      </c>
      <c r="S4142" s="59">
        <f ca="1">Dashboard!B$8* Dashboard!$F$4+Dashboard!B$10*SQRT(Dashboard!$F$4) * _xlfn.NORM.S.INV(RAND())</f>
        <v>-1.0589198076854798E-2</v>
      </c>
      <c r="T4142" s="59">
        <f ca="1">Dashboard!C$8* Dashboard!$F$4+Dashboard!C$10*SQRT(Dashboard!$F$4) * _xlfn.NORM.S.INV(RAND())</f>
        <v>2.5409088323468696E-2</v>
      </c>
      <c r="U4142" s="59">
        <f ca="1">Dashboard!D$8* Dashboard!$F$4+Dashboard!D$10*SQRT(Dashboard!$F$4) * _xlfn.NORM.S.INV(RAND())</f>
        <v>4.6893551377405258E-2</v>
      </c>
    </row>
    <row r="4143" spans="18:21" x14ac:dyDescent="0.2">
      <c r="R4143" s="49">
        <v>4141</v>
      </c>
      <c r="S4143" s="59">
        <f ca="1">Dashboard!B$8* Dashboard!$F$4+Dashboard!B$10*SQRT(Dashboard!$F$4) * _xlfn.NORM.S.INV(RAND())</f>
        <v>-4.7935419670433899E-4</v>
      </c>
      <c r="T4143" s="59">
        <f ca="1">Dashboard!C$8* Dashboard!$F$4+Dashboard!C$10*SQRT(Dashboard!$F$4) * _xlfn.NORM.S.INV(RAND())</f>
        <v>2.2124360360800382E-2</v>
      </c>
      <c r="U4143" s="59">
        <f ca="1">Dashboard!D$8* Dashboard!$F$4+Dashboard!D$10*SQRT(Dashboard!$F$4) * _xlfn.NORM.S.INV(RAND())</f>
        <v>1.8451059277279205E-2</v>
      </c>
    </row>
    <row r="4144" spans="18:21" x14ac:dyDescent="0.2">
      <c r="R4144" s="49">
        <v>4142</v>
      </c>
      <c r="S4144" s="59">
        <f ca="1">Dashboard!B$8* Dashboard!$F$4+Dashboard!B$10*SQRT(Dashboard!$F$4) * _xlfn.NORM.S.INV(RAND())</f>
        <v>-1.9366796321572254E-2</v>
      </c>
      <c r="T4144" s="59">
        <f ca="1">Dashboard!C$8* Dashboard!$F$4+Dashboard!C$10*SQRT(Dashboard!$F$4) * _xlfn.NORM.S.INV(RAND())</f>
        <v>-6.5609188633335841E-5</v>
      </c>
      <c r="U4144" s="59">
        <f ca="1">Dashboard!D$8* Dashboard!$F$4+Dashboard!D$10*SQRT(Dashboard!$F$4) * _xlfn.NORM.S.INV(RAND())</f>
        <v>-2.1320546944975809E-2</v>
      </c>
    </row>
    <row r="4145" spans="18:21" x14ac:dyDescent="0.2">
      <c r="R4145" s="49">
        <v>4143</v>
      </c>
      <c r="S4145" s="59">
        <f ca="1">Dashboard!B$8* Dashboard!$F$4+Dashboard!B$10*SQRT(Dashboard!$F$4) * _xlfn.NORM.S.INV(RAND())</f>
        <v>-3.9373898970433856E-2</v>
      </c>
      <c r="T4145" s="59">
        <f ca="1">Dashboard!C$8* Dashboard!$F$4+Dashboard!C$10*SQRT(Dashboard!$F$4) * _xlfn.NORM.S.INV(RAND())</f>
        <v>1.3167387001945967E-2</v>
      </c>
      <c r="U4145" s="59">
        <f ca="1">Dashboard!D$8* Dashboard!$F$4+Dashboard!D$10*SQRT(Dashboard!$F$4) * _xlfn.NORM.S.INV(RAND())</f>
        <v>-3.7536132620736729E-3</v>
      </c>
    </row>
    <row r="4146" spans="18:21" x14ac:dyDescent="0.2">
      <c r="R4146" s="49">
        <v>4144</v>
      </c>
      <c r="S4146" s="59">
        <f ca="1">Dashboard!B$8* Dashboard!$F$4+Dashboard!B$10*SQRT(Dashboard!$F$4) * _xlfn.NORM.S.INV(RAND())</f>
        <v>-3.6640430169623379E-3</v>
      </c>
      <c r="T4146" s="59">
        <f ca="1">Dashboard!C$8* Dashboard!$F$4+Dashboard!C$10*SQRT(Dashboard!$F$4) * _xlfn.NORM.S.INV(RAND())</f>
        <v>-8.1396383736510002E-3</v>
      </c>
      <c r="U4146" s="59">
        <f ca="1">Dashboard!D$8* Dashboard!$F$4+Dashboard!D$10*SQRT(Dashboard!$F$4) * _xlfn.NORM.S.INV(RAND())</f>
        <v>-1.9390340969597748E-2</v>
      </c>
    </row>
    <row r="4147" spans="18:21" x14ac:dyDescent="0.2">
      <c r="R4147" s="49">
        <v>4145</v>
      </c>
      <c r="S4147" s="59">
        <f ca="1">Dashboard!B$8* Dashboard!$F$4+Dashboard!B$10*SQRT(Dashboard!$F$4) * _xlfn.NORM.S.INV(RAND())</f>
        <v>-4.2176766711302868E-2</v>
      </c>
      <c r="T4147" s="59">
        <f ca="1">Dashboard!C$8* Dashboard!$F$4+Dashboard!C$10*SQRT(Dashboard!$F$4) * _xlfn.NORM.S.INV(RAND())</f>
        <v>7.6900100398031329E-2</v>
      </c>
      <c r="U4147" s="59">
        <f ca="1">Dashboard!D$8* Dashboard!$F$4+Dashboard!D$10*SQRT(Dashboard!$F$4) * _xlfn.NORM.S.INV(RAND())</f>
        <v>-9.7839062900229954E-3</v>
      </c>
    </row>
    <row r="4148" spans="18:21" x14ac:dyDescent="0.2">
      <c r="R4148" s="49">
        <v>4146</v>
      </c>
      <c r="S4148" s="59">
        <f ca="1">Dashboard!B$8* Dashboard!$F$4+Dashboard!B$10*SQRT(Dashboard!$F$4) * _xlfn.NORM.S.INV(RAND())</f>
        <v>-3.3893865167313277E-2</v>
      </c>
      <c r="T4148" s="59">
        <f ca="1">Dashboard!C$8* Dashboard!$F$4+Dashboard!C$10*SQRT(Dashboard!$F$4) * _xlfn.NORM.S.INV(RAND())</f>
        <v>4.2437669231605172E-3</v>
      </c>
      <c r="U4148" s="59">
        <f ca="1">Dashboard!D$8* Dashboard!$F$4+Dashboard!D$10*SQRT(Dashboard!$F$4) * _xlfn.NORM.S.INV(RAND())</f>
        <v>3.4874271035245784E-2</v>
      </c>
    </row>
    <row r="4149" spans="18:21" x14ac:dyDescent="0.2">
      <c r="R4149" s="49">
        <v>4147</v>
      </c>
      <c r="S4149" s="59">
        <f ca="1">Dashboard!B$8* Dashboard!$F$4+Dashboard!B$10*SQRT(Dashboard!$F$4) * _xlfn.NORM.S.INV(RAND())</f>
        <v>1.0803068731103191E-2</v>
      </c>
      <c r="T4149" s="59">
        <f ca="1">Dashboard!C$8* Dashboard!$F$4+Dashboard!C$10*SQRT(Dashboard!$F$4) * _xlfn.NORM.S.INV(RAND())</f>
        <v>-4.0664523375391233E-2</v>
      </c>
      <c r="U4149" s="59">
        <f ca="1">Dashboard!D$8* Dashboard!$F$4+Dashboard!D$10*SQRT(Dashboard!$F$4) * _xlfn.NORM.S.INV(RAND())</f>
        <v>-6.7494472303198626E-3</v>
      </c>
    </row>
    <row r="4150" spans="18:21" x14ac:dyDescent="0.2">
      <c r="R4150" s="49">
        <v>4148</v>
      </c>
      <c r="S4150" s="59">
        <f ca="1">Dashboard!B$8* Dashboard!$F$4+Dashboard!B$10*SQRT(Dashboard!$F$4) * _xlfn.NORM.S.INV(RAND())</f>
        <v>-6.2158735457027818E-2</v>
      </c>
      <c r="T4150" s="59">
        <f ca="1">Dashboard!C$8* Dashboard!$F$4+Dashboard!C$10*SQRT(Dashboard!$F$4) * _xlfn.NORM.S.INV(RAND())</f>
        <v>2.8653600374685808E-2</v>
      </c>
      <c r="U4150" s="59">
        <f ca="1">Dashboard!D$8* Dashboard!$F$4+Dashboard!D$10*SQRT(Dashboard!$F$4) * _xlfn.NORM.S.INV(RAND())</f>
        <v>6.232326452076236E-2</v>
      </c>
    </row>
    <row r="4151" spans="18:21" x14ac:dyDescent="0.2">
      <c r="R4151" s="49">
        <v>4149</v>
      </c>
      <c r="S4151" s="59">
        <f ca="1">Dashboard!B$8* Dashboard!$F$4+Dashboard!B$10*SQRT(Dashboard!$F$4) * _xlfn.NORM.S.INV(RAND())</f>
        <v>7.9416014520170969E-2</v>
      </c>
      <c r="T4151" s="59">
        <f ca="1">Dashboard!C$8* Dashboard!$F$4+Dashboard!C$10*SQRT(Dashboard!$F$4) * _xlfn.NORM.S.INV(RAND())</f>
        <v>9.4146973229563488E-3</v>
      </c>
      <c r="U4151" s="59">
        <f ca="1">Dashboard!D$8* Dashboard!$F$4+Dashboard!D$10*SQRT(Dashboard!$F$4) * _xlfn.NORM.S.INV(RAND())</f>
        <v>4.9736659579978158E-2</v>
      </c>
    </row>
    <row r="4152" spans="18:21" x14ac:dyDescent="0.2">
      <c r="R4152" s="49">
        <v>4150</v>
      </c>
      <c r="S4152" s="59">
        <f ca="1">Dashboard!B$8* Dashboard!$F$4+Dashboard!B$10*SQRT(Dashboard!$F$4) * _xlfn.NORM.S.INV(RAND())</f>
        <v>2.4879047642124716E-2</v>
      </c>
      <c r="T4152" s="59">
        <f ca="1">Dashboard!C$8* Dashboard!$F$4+Dashboard!C$10*SQRT(Dashboard!$F$4) * _xlfn.NORM.S.INV(RAND())</f>
        <v>-5.1039654505532189E-2</v>
      </c>
      <c r="U4152" s="59">
        <f ca="1">Dashboard!D$8* Dashboard!$F$4+Dashboard!D$10*SQRT(Dashboard!$F$4) * _xlfn.NORM.S.INV(RAND())</f>
        <v>7.7052114753144205E-2</v>
      </c>
    </row>
    <row r="4153" spans="18:21" x14ac:dyDescent="0.2">
      <c r="R4153" s="49">
        <v>4151</v>
      </c>
      <c r="S4153" s="59">
        <f ca="1">Dashboard!B$8* Dashboard!$F$4+Dashboard!B$10*SQRT(Dashboard!$F$4) * _xlfn.NORM.S.INV(RAND())</f>
        <v>-6.652350937426274E-2</v>
      </c>
      <c r="T4153" s="59">
        <f ca="1">Dashboard!C$8* Dashboard!$F$4+Dashboard!C$10*SQRT(Dashboard!$F$4) * _xlfn.NORM.S.INV(RAND())</f>
        <v>-1.7750275232558784E-2</v>
      </c>
      <c r="U4153" s="59">
        <f ca="1">Dashboard!D$8* Dashboard!$F$4+Dashboard!D$10*SQRT(Dashboard!$F$4) * _xlfn.NORM.S.INV(RAND())</f>
        <v>-2.036239287522346E-2</v>
      </c>
    </row>
    <row r="4154" spans="18:21" x14ac:dyDescent="0.2">
      <c r="R4154" s="49">
        <v>4152</v>
      </c>
      <c r="S4154" s="59">
        <f ca="1">Dashboard!B$8* Dashboard!$F$4+Dashboard!B$10*SQRT(Dashboard!$F$4) * _xlfn.NORM.S.INV(RAND())</f>
        <v>-3.4049122848828842E-2</v>
      </c>
      <c r="T4154" s="59">
        <f ca="1">Dashboard!C$8* Dashboard!$F$4+Dashboard!C$10*SQRT(Dashboard!$F$4) * _xlfn.NORM.S.INV(RAND())</f>
        <v>4.4110657628735513E-3</v>
      </c>
      <c r="U4154" s="59">
        <f ca="1">Dashboard!D$8* Dashboard!$F$4+Dashboard!D$10*SQRT(Dashboard!$F$4) * _xlfn.NORM.S.INV(RAND())</f>
        <v>-1.3612111230737151E-2</v>
      </c>
    </row>
    <row r="4155" spans="18:21" x14ac:dyDescent="0.2">
      <c r="R4155" s="49">
        <v>4153</v>
      </c>
      <c r="S4155" s="59">
        <f ca="1">Dashboard!B$8* Dashboard!$F$4+Dashboard!B$10*SQRT(Dashboard!$F$4) * _xlfn.NORM.S.INV(RAND())</f>
        <v>-5.1736630265406716E-2</v>
      </c>
      <c r="T4155" s="59">
        <f ca="1">Dashboard!C$8* Dashboard!$F$4+Dashboard!C$10*SQRT(Dashboard!$F$4) * _xlfn.NORM.S.INV(RAND())</f>
        <v>1.2134526618435618E-2</v>
      </c>
      <c r="U4155" s="59">
        <f ca="1">Dashboard!D$8* Dashboard!$F$4+Dashboard!D$10*SQRT(Dashboard!$F$4) * _xlfn.NORM.S.INV(RAND())</f>
        <v>-2.2570260498187635E-2</v>
      </c>
    </row>
    <row r="4156" spans="18:21" x14ac:dyDescent="0.2">
      <c r="R4156" s="49">
        <v>4154</v>
      </c>
      <c r="S4156" s="59">
        <f ca="1">Dashboard!B$8* Dashboard!$F$4+Dashboard!B$10*SQRT(Dashboard!$F$4) * _xlfn.NORM.S.INV(RAND())</f>
        <v>-8.2934103672089726E-3</v>
      </c>
      <c r="T4156" s="59">
        <f ca="1">Dashboard!C$8* Dashboard!$F$4+Dashboard!C$10*SQRT(Dashboard!$F$4) * _xlfn.NORM.S.INV(RAND())</f>
        <v>-4.0637453722330789E-2</v>
      </c>
      <c r="U4156" s="59">
        <f ca="1">Dashboard!D$8* Dashboard!$F$4+Dashboard!D$10*SQRT(Dashboard!$F$4) * _xlfn.NORM.S.INV(RAND())</f>
        <v>8.9236767989197836E-4</v>
      </c>
    </row>
    <row r="4157" spans="18:21" x14ac:dyDescent="0.2">
      <c r="R4157" s="49">
        <v>4155</v>
      </c>
      <c r="S4157" s="59">
        <f ca="1">Dashboard!B$8* Dashboard!$F$4+Dashboard!B$10*SQRT(Dashboard!$F$4) * _xlfn.NORM.S.INV(RAND())</f>
        <v>2.2545601901566209E-2</v>
      </c>
      <c r="T4157" s="59">
        <f ca="1">Dashboard!C$8* Dashboard!$F$4+Dashboard!C$10*SQRT(Dashboard!$F$4) * _xlfn.NORM.S.INV(RAND())</f>
        <v>6.2430050334245604E-2</v>
      </c>
      <c r="U4157" s="59">
        <f ca="1">Dashboard!D$8* Dashboard!$F$4+Dashboard!D$10*SQRT(Dashboard!$F$4) * _xlfn.NORM.S.INV(RAND())</f>
        <v>-7.9858612949224137E-4</v>
      </c>
    </row>
    <row r="4158" spans="18:21" x14ac:dyDescent="0.2">
      <c r="R4158" s="49">
        <v>4156</v>
      </c>
      <c r="S4158" s="59">
        <f ca="1">Dashboard!B$8* Dashboard!$F$4+Dashboard!B$10*SQRT(Dashboard!$F$4) * _xlfn.NORM.S.INV(RAND())</f>
        <v>-3.5238755136603434E-2</v>
      </c>
      <c r="T4158" s="59">
        <f ca="1">Dashboard!C$8* Dashboard!$F$4+Dashboard!C$10*SQRT(Dashboard!$F$4) * _xlfn.NORM.S.INV(RAND())</f>
        <v>-9.8561982437620488E-3</v>
      </c>
      <c r="U4158" s="59">
        <f ca="1">Dashboard!D$8* Dashboard!$F$4+Dashboard!D$10*SQRT(Dashboard!$F$4) * _xlfn.NORM.S.INV(RAND())</f>
        <v>6.425299824716825E-3</v>
      </c>
    </row>
    <row r="4159" spans="18:21" x14ac:dyDescent="0.2">
      <c r="R4159" s="49">
        <v>4157</v>
      </c>
      <c r="S4159" s="59">
        <f ca="1">Dashboard!B$8* Dashboard!$F$4+Dashboard!B$10*SQRT(Dashboard!$F$4) * _xlfn.NORM.S.INV(RAND())</f>
        <v>1.6763944036137055E-2</v>
      </c>
      <c r="T4159" s="59">
        <f ca="1">Dashboard!C$8* Dashboard!$F$4+Dashboard!C$10*SQRT(Dashboard!$F$4) * _xlfn.NORM.S.INV(RAND())</f>
        <v>6.8507356366904706E-2</v>
      </c>
      <c r="U4159" s="59">
        <f ca="1">Dashboard!D$8* Dashboard!$F$4+Dashboard!D$10*SQRT(Dashboard!$F$4) * _xlfn.NORM.S.INV(RAND())</f>
        <v>-2.1654111072989795E-2</v>
      </c>
    </row>
    <row r="4160" spans="18:21" x14ac:dyDescent="0.2">
      <c r="R4160" s="49">
        <v>4158</v>
      </c>
      <c r="S4160" s="59">
        <f ca="1">Dashboard!B$8* Dashboard!$F$4+Dashboard!B$10*SQRT(Dashboard!$F$4) * _xlfn.NORM.S.INV(RAND())</f>
        <v>8.1116237418360021E-2</v>
      </c>
      <c r="T4160" s="59">
        <f ca="1">Dashboard!C$8* Dashboard!$F$4+Dashboard!C$10*SQRT(Dashboard!$F$4) * _xlfn.NORM.S.INV(RAND())</f>
        <v>-6.38985931076536E-3</v>
      </c>
      <c r="U4160" s="59">
        <f ca="1">Dashboard!D$8* Dashboard!$F$4+Dashboard!D$10*SQRT(Dashboard!$F$4) * _xlfn.NORM.S.INV(RAND())</f>
        <v>-1.1885023617591995E-2</v>
      </c>
    </row>
    <row r="4161" spans="18:21" x14ac:dyDescent="0.2">
      <c r="R4161" s="49">
        <v>4159</v>
      </c>
      <c r="S4161" s="59">
        <f ca="1">Dashboard!B$8* Dashboard!$F$4+Dashboard!B$10*SQRT(Dashboard!$F$4) * _xlfn.NORM.S.INV(RAND())</f>
        <v>9.2535005655909209E-3</v>
      </c>
      <c r="T4161" s="59">
        <f ca="1">Dashboard!C$8* Dashboard!$F$4+Dashboard!C$10*SQRT(Dashboard!$F$4) * _xlfn.NORM.S.INV(RAND())</f>
        <v>6.6207035292914052E-2</v>
      </c>
      <c r="U4161" s="59">
        <f ca="1">Dashboard!D$8* Dashboard!$F$4+Dashboard!D$10*SQRT(Dashboard!$F$4) * _xlfn.NORM.S.INV(RAND())</f>
        <v>2.660815873284892E-2</v>
      </c>
    </row>
    <row r="4162" spans="18:21" x14ac:dyDescent="0.2">
      <c r="R4162" s="49">
        <v>4160</v>
      </c>
      <c r="S4162" s="59">
        <f ca="1">Dashboard!B$8* Dashboard!$F$4+Dashboard!B$10*SQRT(Dashboard!$F$4) * _xlfn.NORM.S.INV(RAND())</f>
        <v>3.2090226982403804E-2</v>
      </c>
      <c r="T4162" s="59">
        <f ca="1">Dashboard!C$8* Dashboard!$F$4+Dashboard!C$10*SQRT(Dashboard!$F$4) * _xlfn.NORM.S.INV(RAND())</f>
        <v>-1.9873750803062737E-2</v>
      </c>
      <c r="U4162" s="59">
        <f ca="1">Dashboard!D$8* Dashboard!$F$4+Dashboard!D$10*SQRT(Dashboard!$F$4) * _xlfn.NORM.S.INV(RAND())</f>
        <v>9.6357678727918648E-3</v>
      </c>
    </row>
    <row r="4163" spans="18:21" x14ac:dyDescent="0.2">
      <c r="R4163" s="49">
        <v>4161</v>
      </c>
      <c r="S4163" s="59">
        <f ca="1">Dashboard!B$8* Dashboard!$F$4+Dashboard!B$10*SQRT(Dashboard!$F$4) * _xlfn.NORM.S.INV(RAND())</f>
        <v>-3.6300221290755441E-2</v>
      </c>
      <c r="T4163" s="59">
        <f ca="1">Dashboard!C$8* Dashboard!$F$4+Dashboard!C$10*SQRT(Dashboard!$F$4) * _xlfn.NORM.S.INV(RAND())</f>
        <v>-3.994929087814756E-2</v>
      </c>
      <c r="U4163" s="59">
        <f ca="1">Dashboard!D$8* Dashboard!$F$4+Dashboard!D$10*SQRT(Dashboard!$F$4) * _xlfn.NORM.S.INV(RAND())</f>
        <v>-1.2336971149583298E-2</v>
      </c>
    </row>
    <row r="4164" spans="18:21" x14ac:dyDescent="0.2">
      <c r="R4164" s="49">
        <v>4162</v>
      </c>
      <c r="S4164" s="59">
        <f ca="1">Dashboard!B$8* Dashboard!$F$4+Dashboard!B$10*SQRT(Dashboard!$F$4) * _xlfn.NORM.S.INV(RAND())</f>
        <v>8.403297909377546E-3</v>
      </c>
      <c r="T4164" s="59">
        <f ca="1">Dashboard!C$8* Dashboard!$F$4+Dashboard!C$10*SQRT(Dashboard!$F$4) * _xlfn.NORM.S.INV(RAND())</f>
        <v>2.1953587377155699E-2</v>
      </c>
      <c r="U4164" s="59">
        <f ca="1">Dashboard!D$8* Dashboard!$F$4+Dashboard!D$10*SQRT(Dashboard!$F$4) * _xlfn.NORM.S.INV(RAND())</f>
        <v>7.7879891354953826E-3</v>
      </c>
    </row>
    <row r="4165" spans="18:21" x14ac:dyDescent="0.2">
      <c r="R4165" s="49">
        <v>4163</v>
      </c>
      <c r="S4165" s="59">
        <f ca="1">Dashboard!B$8* Dashboard!$F$4+Dashboard!B$10*SQRT(Dashboard!$F$4) * _xlfn.NORM.S.INV(RAND())</f>
        <v>-1.8121409975755336E-2</v>
      </c>
      <c r="T4165" s="59">
        <f ca="1">Dashboard!C$8* Dashboard!$F$4+Dashboard!C$10*SQRT(Dashboard!$F$4) * _xlfn.NORM.S.INV(RAND())</f>
        <v>-8.4604599695353833E-2</v>
      </c>
      <c r="U4165" s="59">
        <f ca="1">Dashboard!D$8* Dashboard!$F$4+Dashboard!D$10*SQRT(Dashboard!$F$4) * _xlfn.NORM.S.INV(RAND())</f>
        <v>-2.4803477822145138E-2</v>
      </c>
    </row>
    <row r="4166" spans="18:21" x14ac:dyDescent="0.2">
      <c r="R4166" s="49">
        <v>4164</v>
      </c>
      <c r="S4166" s="59">
        <f ca="1">Dashboard!B$8* Dashboard!$F$4+Dashboard!B$10*SQRT(Dashboard!$F$4) * _xlfn.NORM.S.INV(RAND())</f>
        <v>-2.1725939876761108E-2</v>
      </c>
      <c r="T4166" s="59">
        <f ca="1">Dashboard!C$8* Dashboard!$F$4+Dashboard!C$10*SQRT(Dashboard!$F$4) * _xlfn.NORM.S.INV(RAND())</f>
        <v>-5.3125061514776072E-3</v>
      </c>
      <c r="U4166" s="59">
        <f ca="1">Dashboard!D$8* Dashboard!$F$4+Dashboard!D$10*SQRT(Dashboard!$F$4) * _xlfn.NORM.S.INV(RAND())</f>
        <v>-3.1493365478386888E-2</v>
      </c>
    </row>
    <row r="4167" spans="18:21" x14ac:dyDescent="0.2">
      <c r="R4167" s="49">
        <v>4165</v>
      </c>
      <c r="S4167" s="59">
        <f ca="1">Dashboard!B$8* Dashboard!$F$4+Dashboard!B$10*SQRT(Dashboard!$F$4) * _xlfn.NORM.S.INV(RAND())</f>
        <v>6.3273459164847005E-4</v>
      </c>
      <c r="T4167" s="59">
        <f ca="1">Dashboard!C$8* Dashboard!$F$4+Dashboard!C$10*SQRT(Dashboard!$F$4) * _xlfn.NORM.S.INV(RAND())</f>
        <v>3.0426589680023354E-2</v>
      </c>
      <c r="U4167" s="59">
        <f ca="1">Dashboard!D$8* Dashboard!$F$4+Dashboard!D$10*SQRT(Dashboard!$F$4) * _xlfn.NORM.S.INV(RAND())</f>
        <v>-4.0045670740959965E-2</v>
      </c>
    </row>
    <row r="4168" spans="18:21" x14ac:dyDescent="0.2">
      <c r="R4168" s="49">
        <v>4166</v>
      </c>
      <c r="S4168" s="59">
        <f ca="1">Dashboard!B$8* Dashboard!$F$4+Dashboard!B$10*SQRT(Dashboard!$F$4) * _xlfn.NORM.S.INV(RAND())</f>
        <v>1.0409250364846244E-2</v>
      </c>
      <c r="T4168" s="59">
        <f ca="1">Dashboard!C$8* Dashboard!$F$4+Dashboard!C$10*SQRT(Dashboard!$F$4) * _xlfn.NORM.S.INV(RAND())</f>
        <v>-1.202209924984696E-2</v>
      </c>
      <c r="U4168" s="59">
        <f ca="1">Dashboard!D$8* Dashboard!$F$4+Dashboard!D$10*SQRT(Dashboard!$F$4) * _xlfn.NORM.S.INV(RAND())</f>
        <v>-3.072163287952585E-2</v>
      </c>
    </row>
    <row r="4169" spans="18:21" x14ac:dyDescent="0.2">
      <c r="R4169" s="49">
        <v>4167</v>
      </c>
      <c r="S4169" s="59">
        <f ca="1">Dashboard!B$8* Dashboard!$F$4+Dashboard!B$10*SQRT(Dashboard!$F$4) * _xlfn.NORM.S.INV(RAND())</f>
        <v>-2.4234990602554601E-2</v>
      </c>
      <c r="T4169" s="59">
        <f ca="1">Dashboard!C$8* Dashboard!$F$4+Dashboard!C$10*SQRT(Dashboard!$F$4) * _xlfn.NORM.S.INV(RAND())</f>
        <v>3.2148230301744509E-3</v>
      </c>
      <c r="U4169" s="59">
        <f ca="1">Dashboard!D$8* Dashboard!$F$4+Dashboard!D$10*SQRT(Dashboard!$F$4) * _xlfn.NORM.S.INV(RAND())</f>
        <v>-2.1082722438072618E-2</v>
      </c>
    </row>
    <row r="4170" spans="18:21" x14ac:dyDescent="0.2">
      <c r="R4170" s="49">
        <v>4168</v>
      </c>
      <c r="S4170" s="59">
        <f ca="1">Dashboard!B$8* Dashboard!$F$4+Dashboard!B$10*SQRT(Dashboard!$F$4) * _xlfn.NORM.S.INV(RAND())</f>
        <v>2.834269569898339E-3</v>
      </c>
      <c r="T4170" s="59">
        <f ca="1">Dashboard!C$8* Dashboard!$F$4+Dashboard!C$10*SQRT(Dashboard!$F$4) * _xlfn.NORM.S.INV(RAND())</f>
        <v>2.1318515305224887E-2</v>
      </c>
      <c r="U4170" s="59">
        <f ca="1">Dashboard!D$8* Dashboard!$F$4+Dashboard!D$10*SQRT(Dashboard!$F$4) * _xlfn.NORM.S.INV(RAND())</f>
        <v>5.1947735176459897E-2</v>
      </c>
    </row>
    <row r="4171" spans="18:21" x14ac:dyDescent="0.2">
      <c r="R4171" s="49">
        <v>4169</v>
      </c>
      <c r="S4171" s="59">
        <f ca="1">Dashboard!B$8* Dashboard!$F$4+Dashboard!B$10*SQRT(Dashboard!$F$4) * _xlfn.NORM.S.INV(RAND())</f>
        <v>3.5871913449373165E-3</v>
      </c>
      <c r="T4171" s="59">
        <f ca="1">Dashboard!C$8* Dashboard!$F$4+Dashboard!C$10*SQRT(Dashboard!$F$4) * _xlfn.NORM.S.INV(RAND())</f>
        <v>4.8403050123622306E-3</v>
      </c>
      <c r="U4171" s="59">
        <f ca="1">Dashboard!D$8* Dashboard!$F$4+Dashboard!D$10*SQRT(Dashboard!$F$4) * _xlfn.NORM.S.INV(RAND())</f>
        <v>6.1304939352322681E-2</v>
      </c>
    </row>
    <row r="4172" spans="18:21" x14ac:dyDescent="0.2">
      <c r="R4172" s="49">
        <v>4170</v>
      </c>
      <c r="S4172" s="59">
        <f ca="1">Dashboard!B$8* Dashboard!$F$4+Dashboard!B$10*SQRT(Dashboard!$F$4) * _xlfn.NORM.S.INV(RAND())</f>
        <v>-4.8090813845460732E-2</v>
      </c>
      <c r="T4172" s="59">
        <f ca="1">Dashboard!C$8* Dashboard!$F$4+Dashboard!C$10*SQRT(Dashboard!$F$4) * _xlfn.NORM.S.INV(RAND())</f>
        <v>3.4761435598671522E-2</v>
      </c>
      <c r="U4172" s="59">
        <f ca="1">Dashboard!D$8* Dashboard!$F$4+Dashboard!D$10*SQRT(Dashboard!$F$4) * _xlfn.NORM.S.INV(RAND())</f>
        <v>1.1809619328691788E-2</v>
      </c>
    </row>
    <row r="4173" spans="18:21" x14ac:dyDescent="0.2">
      <c r="R4173" s="49">
        <v>4171</v>
      </c>
      <c r="S4173" s="59">
        <f ca="1">Dashboard!B$8* Dashboard!$F$4+Dashboard!B$10*SQRT(Dashboard!$F$4) * _xlfn.NORM.S.INV(RAND())</f>
        <v>-3.4948293459422575E-2</v>
      </c>
      <c r="T4173" s="59">
        <f ca="1">Dashboard!C$8* Dashboard!$F$4+Dashboard!C$10*SQRT(Dashboard!$F$4) * _xlfn.NORM.S.INV(RAND())</f>
        <v>-5.6973087045876962E-3</v>
      </c>
      <c r="U4173" s="59">
        <f ca="1">Dashboard!D$8* Dashboard!$F$4+Dashboard!D$10*SQRT(Dashboard!$F$4) * _xlfn.NORM.S.INV(RAND())</f>
        <v>1.1524038338234359E-2</v>
      </c>
    </row>
    <row r="4174" spans="18:21" x14ac:dyDescent="0.2">
      <c r="R4174" s="49">
        <v>4172</v>
      </c>
      <c r="S4174" s="59">
        <f ca="1">Dashboard!B$8* Dashboard!$F$4+Dashboard!B$10*SQRT(Dashboard!$F$4) * _xlfn.NORM.S.INV(RAND())</f>
        <v>8.0849608438508351E-3</v>
      </c>
      <c r="T4174" s="59">
        <f ca="1">Dashboard!C$8* Dashboard!$F$4+Dashboard!C$10*SQRT(Dashboard!$F$4) * _xlfn.NORM.S.INV(RAND())</f>
        <v>3.4342587084778761E-2</v>
      </c>
      <c r="U4174" s="59">
        <f ca="1">Dashboard!D$8* Dashboard!$F$4+Dashboard!D$10*SQRT(Dashboard!$F$4) * _xlfn.NORM.S.INV(RAND())</f>
        <v>-2.4442303840733846E-2</v>
      </c>
    </row>
    <row r="4175" spans="18:21" x14ac:dyDescent="0.2">
      <c r="R4175" s="49">
        <v>4173</v>
      </c>
      <c r="S4175" s="59">
        <f ca="1">Dashboard!B$8* Dashboard!$F$4+Dashboard!B$10*SQRT(Dashboard!$F$4) * _xlfn.NORM.S.INV(RAND())</f>
        <v>1.993596156852484E-2</v>
      </c>
      <c r="T4175" s="59">
        <f ca="1">Dashboard!C$8* Dashboard!$F$4+Dashboard!C$10*SQRT(Dashboard!$F$4) * _xlfn.NORM.S.INV(RAND())</f>
        <v>-4.935284344355189E-2</v>
      </c>
      <c r="U4175" s="59">
        <f ca="1">Dashboard!D$8* Dashboard!$F$4+Dashboard!D$10*SQRT(Dashboard!$F$4) * _xlfn.NORM.S.INV(RAND())</f>
        <v>-2.8846736746022802E-3</v>
      </c>
    </row>
    <row r="4176" spans="18:21" x14ac:dyDescent="0.2">
      <c r="R4176" s="49">
        <v>4174</v>
      </c>
      <c r="S4176" s="59">
        <f ca="1">Dashboard!B$8* Dashboard!$F$4+Dashboard!B$10*SQRT(Dashboard!$F$4) * _xlfn.NORM.S.INV(RAND())</f>
        <v>-7.8701586321735205E-3</v>
      </c>
      <c r="T4176" s="59">
        <f ca="1">Dashboard!C$8* Dashboard!$F$4+Dashboard!C$10*SQRT(Dashboard!$F$4) * _xlfn.NORM.S.INV(RAND())</f>
        <v>-1.1029179464728048E-2</v>
      </c>
      <c r="U4176" s="59">
        <f ca="1">Dashboard!D$8* Dashboard!$F$4+Dashboard!D$10*SQRT(Dashboard!$F$4) * _xlfn.NORM.S.INV(RAND())</f>
        <v>3.950004890766827E-2</v>
      </c>
    </row>
    <row r="4177" spans="18:21" x14ac:dyDescent="0.2">
      <c r="R4177" s="49">
        <v>4175</v>
      </c>
      <c r="S4177" s="59">
        <f ca="1">Dashboard!B$8* Dashboard!$F$4+Dashboard!B$10*SQRT(Dashboard!$F$4) * _xlfn.NORM.S.INV(RAND())</f>
        <v>-2.8378780045837805E-2</v>
      </c>
      <c r="T4177" s="59">
        <f ca="1">Dashboard!C$8* Dashboard!$F$4+Dashboard!C$10*SQRT(Dashboard!$F$4) * _xlfn.NORM.S.INV(RAND())</f>
        <v>-2.6887105975103746E-2</v>
      </c>
      <c r="U4177" s="59">
        <f ca="1">Dashboard!D$8* Dashboard!$F$4+Dashboard!D$10*SQRT(Dashboard!$F$4) * _xlfn.NORM.S.INV(RAND())</f>
        <v>2.4060405055694897E-2</v>
      </c>
    </row>
    <row r="4178" spans="18:21" x14ac:dyDescent="0.2">
      <c r="R4178" s="49">
        <v>4176</v>
      </c>
      <c r="S4178" s="59">
        <f ca="1">Dashboard!B$8* Dashboard!$F$4+Dashboard!B$10*SQRT(Dashboard!$F$4) * _xlfn.NORM.S.INV(RAND())</f>
        <v>-4.8482208620970217E-3</v>
      </c>
      <c r="T4178" s="59">
        <f ca="1">Dashboard!C$8* Dashboard!$F$4+Dashboard!C$10*SQRT(Dashboard!$F$4) * _xlfn.NORM.S.INV(RAND())</f>
        <v>-1.439725310871846E-2</v>
      </c>
      <c r="U4178" s="59">
        <f ca="1">Dashboard!D$8* Dashboard!$F$4+Dashboard!D$10*SQRT(Dashboard!$F$4) * _xlfn.NORM.S.INV(RAND())</f>
        <v>2.3733497767425445E-2</v>
      </c>
    </row>
    <row r="4179" spans="18:21" x14ac:dyDescent="0.2">
      <c r="R4179" s="49">
        <v>4177</v>
      </c>
      <c r="S4179" s="59">
        <f ca="1">Dashboard!B$8* Dashboard!$F$4+Dashboard!B$10*SQRT(Dashboard!$F$4) * _xlfn.NORM.S.INV(RAND())</f>
        <v>-2.7224395903774901E-2</v>
      </c>
      <c r="T4179" s="59">
        <f ca="1">Dashboard!C$8* Dashboard!$F$4+Dashboard!C$10*SQRT(Dashboard!$F$4) * _xlfn.NORM.S.INV(RAND())</f>
        <v>2.7450666102515339E-2</v>
      </c>
      <c r="U4179" s="59">
        <f ca="1">Dashboard!D$8* Dashboard!$F$4+Dashboard!D$10*SQRT(Dashboard!$F$4) * _xlfn.NORM.S.INV(RAND())</f>
        <v>-4.7484740151821053E-2</v>
      </c>
    </row>
    <row r="4180" spans="18:21" x14ac:dyDescent="0.2">
      <c r="R4180" s="49">
        <v>4178</v>
      </c>
      <c r="S4180" s="59">
        <f ca="1">Dashboard!B$8* Dashboard!$F$4+Dashboard!B$10*SQRT(Dashboard!$F$4) * _xlfn.NORM.S.INV(RAND())</f>
        <v>-8.0834449401813724E-3</v>
      </c>
      <c r="T4180" s="59">
        <f ca="1">Dashboard!C$8* Dashboard!$F$4+Dashboard!C$10*SQRT(Dashboard!$F$4) * _xlfn.NORM.S.INV(RAND())</f>
        <v>-5.6798452486014839E-2</v>
      </c>
      <c r="U4180" s="59">
        <f ca="1">Dashboard!D$8* Dashboard!$F$4+Dashboard!D$10*SQRT(Dashboard!$F$4) * _xlfn.NORM.S.INV(RAND())</f>
        <v>-2.3826573904507677E-2</v>
      </c>
    </row>
    <row r="4181" spans="18:21" x14ac:dyDescent="0.2">
      <c r="R4181" s="49">
        <v>4179</v>
      </c>
      <c r="S4181" s="59">
        <f ca="1">Dashboard!B$8* Dashboard!$F$4+Dashboard!B$10*SQRT(Dashboard!$F$4) * _xlfn.NORM.S.INV(RAND())</f>
        <v>5.7513764359192684E-3</v>
      </c>
      <c r="T4181" s="59">
        <f ca="1">Dashboard!C$8* Dashboard!$F$4+Dashboard!C$10*SQRT(Dashboard!$F$4) * _xlfn.NORM.S.INV(RAND())</f>
        <v>-5.8490858221779659E-3</v>
      </c>
      <c r="U4181" s="59">
        <f ca="1">Dashboard!D$8* Dashboard!$F$4+Dashboard!D$10*SQRT(Dashboard!$F$4) * _xlfn.NORM.S.INV(RAND())</f>
        <v>-9.5355107358862171E-3</v>
      </c>
    </row>
    <row r="4182" spans="18:21" x14ac:dyDescent="0.2">
      <c r="R4182" s="49">
        <v>4180</v>
      </c>
      <c r="S4182" s="59">
        <f ca="1">Dashboard!B$8* Dashboard!$F$4+Dashboard!B$10*SQRT(Dashboard!$F$4) * _xlfn.NORM.S.INV(RAND())</f>
        <v>-1.7842411222274486E-2</v>
      </c>
      <c r="T4182" s="59">
        <f ca="1">Dashboard!C$8* Dashboard!$F$4+Dashboard!C$10*SQRT(Dashboard!$F$4) * _xlfn.NORM.S.INV(RAND())</f>
        <v>-2.8679232230482809E-3</v>
      </c>
      <c r="U4182" s="59">
        <f ca="1">Dashboard!D$8* Dashboard!$F$4+Dashboard!D$10*SQRT(Dashboard!$F$4) * _xlfn.NORM.S.INV(RAND())</f>
        <v>1.1410799244927142E-2</v>
      </c>
    </row>
    <row r="4183" spans="18:21" x14ac:dyDescent="0.2">
      <c r="R4183" s="49">
        <v>4181</v>
      </c>
      <c r="S4183" s="59">
        <f ca="1">Dashboard!B$8* Dashboard!$F$4+Dashboard!B$10*SQRT(Dashboard!$F$4) * _xlfn.NORM.S.INV(RAND())</f>
        <v>-2.2653521603015897E-2</v>
      </c>
      <c r="T4183" s="59">
        <f ca="1">Dashboard!C$8* Dashboard!$F$4+Dashboard!C$10*SQRT(Dashboard!$F$4) * _xlfn.NORM.S.INV(RAND())</f>
        <v>4.3235805718741381E-2</v>
      </c>
      <c r="U4183" s="59">
        <f ca="1">Dashboard!D$8* Dashboard!$F$4+Dashboard!D$10*SQRT(Dashboard!$F$4) * _xlfn.NORM.S.INV(RAND())</f>
        <v>1.5367336575645412E-2</v>
      </c>
    </row>
    <row r="4184" spans="18:21" x14ac:dyDescent="0.2">
      <c r="R4184" s="49">
        <v>4182</v>
      </c>
      <c r="S4184" s="59">
        <f ca="1">Dashboard!B$8* Dashboard!$F$4+Dashboard!B$10*SQRT(Dashboard!$F$4) * _xlfn.NORM.S.INV(RAND())</f>
        <v>-1.6440861124369884E-2</v>
      </c>
      <c r="T4184" s="59">
        <f ca="1">Dashboard!C$8* Dashboard!$F$4+Dashboard!C$10*SQRT(Dashboard!$F$4) * _xlfn.NORM.S.INV(RAND())</f>
        <v>1.27053006635614E-2</v>
      </c>
      <c r="U4184" s="59">
        <f ca="1">Dashboard!D$8* Dashboard!$F$4+Dashboard!D$10*SQRT(Dashboard!$F$4) * _xlfn.NORM.S.INV(RAND())</f>
        <v>-1.4135398620932577E-2</v>
      </c>
    </row>
    <row r="4185" spans="18:21" x14ac:dyDescent="0.2">
      <c r="R4185" s="49">
        <v>4183</v>
      </c>
      <c r="S4185" s="59">
        <f ca="1">Dashboard!B$8* Dashboard!$F$4+Dashboard!B$10*SQRT(Dashboard!$F$4) * _xlfn.NORM.S.INV(RAND())</f>
        <v>-5.4941915500200299E-2</v>
      </c>
      <c r="T4185" s="59">
        <f ca="1">Dashboard!C$8* Dashboard!$F$4+Dashboard!C$10*SQRT(Dashboard!$F$4) * _xlfn.NORM.S.INV(RAND())</f>
        <v>5.3037024878789224E-2</v>
      </c>
      <c r="U4185" s="59">
        <f ca="1">Dashboard!D$8* Dashboard!$F$4+Dashboard!D$10*SQRT(Dashboard!$F$4) * _xlfn.NORM.S.INV(RAND())</f>
        <v>-1.1318531796672258E-4</v>
      </c>
    </row>
    <row r="4186" spans="18:21" x14ac:dyDescent="0.2">
      <c r="R4186" s="49">
        <v>4184</v>
      </c>
      <c r="S4186" s="59">
        <f ca="1">Dashboard!B$8* Dashboard!$F$4+Dashboard!B$10*SQRT(Dashboard!$F$4) * _xlfn.NORM.S.INV(RAND())</f>
        <v>-1.2195167297427232E-2</v>
      </c>
      <c r="T4186" s="59">
        <f ca="1">Dashboard!C$8* Dashboard!$F$4+Dashboard!C$10*SQRT(Dashboard!$F$4) * _xlfn.NORM.S.INV(RAND())</f>
        <v>1.0830278029393438E-2</v>
      </c>
      <c r="U4186" s="59">
        <f ca="1">Dashboard!D$8* Dashboard!$F$4+Dashboard!D$10*SQRT(Dashboard!$F$4) * _xlfn.NORM.S.INV(RAND())</f>
        <v>1.6559184550386328E-2</v>
      </c>
    </row>
    <row r="4187" spans="18:21" x14ac:dyDescent="0.2">
      <c r="R4187" s="49">
        <v>4185</v>
      </c>
      <c r="S4187" s="59">
        <f ca="1">Dashboard!B$8* Dashboard!$F$4+Dashboard!B$10*SQRT(Dashboard!$F$4) * _xlfn.NORM.S.INV(RAND())</f>
        <v>-3.0716369029774329E-2</v>
      </c>
      <c r="T4187" s="59">
        <f ca="1">Dashboard!C$8* Dashboard!$F$4+Dashboard!C$10*SQRT(Dashboard!$F$4) * _xlfn.NORM.S.INV(RAND())</f>
        <v>-2.8227041912047311E-2</v>
      </c>
      <c r="U4187" s="59">
        <f ca="1">Dashboard!D$8* Dashboard!$F$4+Dashboard!D$10*SQRT(Dashboard!$F$4) * _xlfn.NORM.S.INV(RAND())</f>
        <v>-6.4622991660322534E-3</v>
      </c>
    </row>
    <row r="4188" spans="18:21" x14ac:dyDescent="0.2">
      <c r="R4188" s="49">
        <v>4186</v>
      </c>
      <c r="S4188" s="59">
        <f ca="1">Dashboard!B$8* Dashboard!$F$4+Dashboard!B$10*SQRT(Dashboard!$F$4) * _xlfn.NORM.S.INV(RAND())</f>
        <v>1.0045658321919291E-2</v>
      </c>
      <c r="T4188" s="59">
        <f ca="1">Dashboard!C$8* Dashboard!$F$4+Dashboard!C$10*SQRT(Dashboard!$F$4) * _xlfn.NORM.S.INV(RAND())</f>
        <v>-7.0822481387989517E-3</v>
      </c>
      <c r="U4188" s="59">
        <f ca="1">Dashboard!D$8* Dashboard!$F$4+Dashboard!D$10*SQRT(Dashboard!$F$4) * _xlfn.NORM.S.INV(RAND())</f>
        <v>-3.6553616105000852E-2</v>
      </c>
    </row>
    <row r="4189" spans="18:21" x14ac:dyDescent="0.2">
      <c r="R4189" s="49">
        <v>4187</v>
      </c>
      <c r="S4189" s="59">
        <f ca="1">Dashboard!B$8* Dashboard!$F$4+Dashboard!B$10*SQRT(Dashboard!$F$4) * _xlfn.NORM.S.INV(RAND())</f>
        <v>-3.5899420923194342E-2</v>
      </c>
      <c r="T4189" s="59">
        <f ca="1">Dashboard!C$8* Dashboard!$F$4+Dashboard!C$10*SQRT(Dashboard!$F$4) * _xlfn.NORM.S.INV(RAND())</f>
        <v>1.8497382323683512E-3</v>
      </c>
      <c r="U4189" s="59">
        <f ca="1">Dashboard!D$8* Dashboard!$F$4+Dashboard!D$10*SQRT(Dashboard!$F$4) * _xlfn.NORM.S.INV(RAND())</f>
        <v>-5.5791822421439444E-2</v>
      </c>
    </row>
    <row r="4190" spans="18:21" x14ac:dyDescent="0.2">
      <c r="R4190" s="49">
        <v>4188</v>
      </c>
      <c r="S4190" s="59">
        <f ca="1">Dashboard!B$8* Dashboard!$F$4+Dashboard!B$10*SQRT(Dashboard!$F$4) * _xlfn.NORM.S.INV(RAND())</f>
        <v>1.0440159090323291E-3</v>
      </c>
      <c r="T4190" s="59">
        <f ca="1">Dashboard!C$8* Dashboard!$F$4+Dashboard!C$10*SQRT(Dashboard!$F$4) * _xlfn.NORM.S.INV(RAND())</f>
        <v>-6.280547297244774E-3</v>
      </c>
      <c r="U4190" s="59">
        <f ca="1">Dashboard!D$8* Dashboard!$F$4+Dashboard!D$10*SQRT(Dashboard!$F$4) * _xlfn.NORM.S.INV(RAND())</f>
        <v>3.5816848320846008E-3</v>
      </c>
    </row>
    <row r="4191" spans="18:21" x14ac:dyDescent="0.2">
      <c r="R4191" s="49">
        <v>4189</v>
      </c>
      <c r="S4191" s="59">
        <f ca="1">Dashboard!B$8* Dashboard!$F$4+Dashboard!B$10*SQRT(Dashboard!$F$4) * _xlfn.NORM.S.INV(RAND())</f>
        <v>9.4585844100368854E-3</v>
      </c>
      <c r="T4191" s="59">
        <f ca="1">Dashboard!C$8* Dashboard!$F$4+Dashboard!C$10*SQRT(Dashboard!$F$4) * _xlfn.NORM.S.INV(RAND())</f>
        <v>2.3829719680692725E-3</v>
      </c>
      <c r="U4191" s="59">
        <f ca="1">Dashboard!D$8* Dashboard!$F$4+Dashboard!D$10*SQRT(Dashboard!$F$4) * _xlfn.NORM.S.INV(RAND())</f>
        <v>-1.2164390711670863E-2</v>
      </c>
    </row>
    <row r="4192" spans="18:21" x14ac:dyDescent="0.2">
      <c r="R4192" s="49">
        <v>4190</v>
      </c>
      <c r="S4192" s="59">
        <f ca="1">Dashboard!B$8* Dashboard!$F$4+Dashboard!B$10*SQRT(Dashboard!$F$4) * _xlfn.NORM.S.INV(RAND())</f>
        <v>1.6042146153230796E-2</v>
      </c>
      <c r="T4192" s="59">
        <f ca="1">Dashboard!C$8* Dashboard!$F$4+Dashboard!C$10*SQRT(Dashboard!$F$4) * _xlfn.NORM.S.INV(RAND())</f>
        <v>-5.8645565022793916E-2</v>
      </c>
      <c r="U4192" s="59">
        <f ca="1">Dashboard!D$8* Dashboard!$F$4+Dashboard!D$10*SQRT(Dashboard!$F$4) * _xlfn.NORM.S.INV(RAND())</f>
        <v>3.5415262950699113E-2</v>
      </c>
    </row>
    <row r="4193" spans="18:21" x14ac:dyDescent="0.2">
      <c r="R4193" s="49">
        <v>4191</v>
      </c>
      <c r="S4193" s="59">
        <f ca="1">Dashboard!B$8* Dashboard!$F$4+Dashboard!B$10*SQRT(Dashboard!$F$4) * _xlfn.NORM.S.INV(RAND())</f>
        <v>-1.6799147644747523E-2</v>
      </c>
      <c r="T4193" s="59">
        <f ca="1">Dashboard!C$8* Dashboard!$F$4+Dashboard!C$10*SQRT(Dashboard!$F$4) * _xlfn.NORM.S.INV(RAND())</f>
        <v>4.3935599459862168E-2</v>
      </c>
      <c r="U4193" s="59">
        <f ca="1">Dashboard!D$8* Dashboard!$F$4+Dashboard!D$10*SQRT(Dashboard!$F$4) * _xlfn.NORM.S.INV(RAND())</f>
        <v>4.5245148207060597E-2</v>
      </c>
    </row>
    <row r="4194" spans="18:21" x14ac:dyDescent="0.2">
      <c r="R4194" s="49">
        <v>4192</v>
      </c>
      <c r="S4194" s="59">
        <f ca="1">Dashboard!B$8* Dashboard!$F$4+Dashboard!B$10*SQRT(Dashboard!$F$4) * _xlfn.NORM.S.INV(RAND())</f>
        <v>-2.228681523986243E-2</v>
      </c>
      <c r="T4194" s="59">
        <f ca="1">Dashboard!C$8* Dashboard!$F$4+Dashboard!C$10*SQRT(Dashboard!$F$4) * _xlfn.NORM.S.INV(RAND())</f>
        <v>1.5039897605072728E-2</v>
      </c>
      <c r="U4194" s="59">
        <f ca="1">Dashboard!D$8* Dashboard!$F$4+Dashboard!D$10*SQRT(Dashboard!$F$4) * _xlfn.NORM.S.INV(RAND())</f>
        <v>-3.3813209519490801E-2</v>
      </c>
    </row>
    <row r="4195" spans="18:21" x14ac:dyDescent="0.2">
      <c r="R4195" s="49">
        <v>4193</v>
      </c>
      <c r="S4195" s="59">
        <f ca="1">Dashboard!B$8* Dashboard!$F$4+Dashboard!B$10*SQRT(Dashboard!$F$4) * _xlfn.NORM.S.INV(RAND())</f>
        <v>2.848484465066E-2</v>
      </c>
      <c r="T4195" s="59">
        <f ca="1">Dashboard!C$8* Dashboard!$F$4+Dashboard!C$10*SQRT(Dashboard!$F$4) * _xlfn.NORM.S.INV(RAND())</f>
        <v>-1.3329568154455865E-2</v>
      </c>
      <c r="U4195" s="59">
        <f ca="1">Dashboard!D$8* Dashboard!$F$4+Dashboard!D$10*SQRT(Dashboard!$F$4) * _xlfn.NORM.S.INV(RAND())</f>
        <v>1.7869780628695767E-2</v>
      </c>
    </row>
    <row r="4196" spans="18:21" x14ac:dyDescent="0.2">
      <c r="R4196" s="49">
        <v>4194</v>
      </c>
      <c r="S4196" s="59">
        <f ca="1">Dashboard!B$8* Dashboard!$F$4+Dashboard!B$10*SQRT(Dashboard!$F$4) * _xlfn.NORM.S.INV(RAND())</f>
        <v>1.0052721284046861E-2</v>
      </c>
      <c r="T4196" s="59">
        <f ca="1">Dashboard!C$8* Dashboard!$F$4+Dashboard!C$10*SQRT(Dashboard!$F$4) * _xlfn.NORM.S.INV(RAND())</f>
        <v>1.8440388245922493E-2</v>
      </c>
      <c r="U4196" s="59">
        <f ca="1">Dashboard!D$8* Dashboard!$F$4+Dashboard!D$10*SQRT(Dashboard!$F$4) * _xlfn.NORM.S.INV(RAND())</f>
        <v>-1.6338408802136221E-2</v>
      </c>
    </row>
    <row r="4197" spans="18:21" x14ac:dyDescent="0.2">
      <c r="R4197" s="49">
        <v>4195</v>
      </c>
      <c r="S4197" s="59">
        <f ca="1">Dashboard!B$8* Dashboard!$F$4+Dashboard!B$10*SQRT(Dashboard!$F$4) * _xlfn.NORM.S.INV(RAND())</f>
        <v>-2.5457169483036793E-2</v>
      </c>
      <c r="T4197" s="59">
        <f ca="1">Dashboard!C$8* Dashboard!$F$4+Dashboard!C$10*SQRT(Dashboard!$F$4) * _xlfn.NORM.S.INV(RAND())</f>
        <v>-2.4205797832408824E-2</v>
      </c>
      <c r="U4197" s="59">
        <f ca="1">Dashboard!D$8* Dashboard!$F$4+Dashboard!D$10*SQRT(Dashboard!$F$4) * _xlfn.NORM.S.INV(RAND())</f>
        <v>3.8042092603183746E-2</v>
      </c>
    </row>
    <row r="4198" spans="18:21" x14ac:dyDescent="0.2">
      <c r="R4198" s="49">
        <v>4196</v>
      </c>
      <c r="S4198" s="59">
        <f ca="1">Dashboard!B$8* Dashboard!$F$4+Dashboard!B$10*SQRT(Dashboard!$F$4) * _xlfn.NORM.S.INV(RAND())</f>
        <v>-1.0720934503644683E-2</v>
      </c>
      <c r="T4198" s="59">
        <f ca="1">Dashboard!C$8* Dashboard!$F$4+Dashboard!C$10*SQRT(Dashboard!$F$4) * _xlfn.NORM.S.INV(RAND())</f>
        <v>-4.3501342710849683E-2</v>
      </c>
      <c r="U4198" s="59">
        <f ca="1">Dashboard!D$8* Dashboard!$F$4+Dashboard!D$10*SQRT(Dashboard!$F$4) * _xlfn.NORM.S.INV(RAND())</f>
        <v>-3.1008837876549122E-2</v>
      </c>
    </row>
    <row r="4199" spans="18:21" x14ac:dyDescent="0.2">
      <c r="R4199" s="49">
        <v>4197</v>
      </c>
      <c r="S4199" s="59">
        <f ca="1">Dashboard!B$8* Dashboard!$F$4+Dashboard!B$10*SQRT(Dashboard!$F$4) * _xlfn.NORM.S.INV(RAND())</f>
        <v>-1.0553354048186563E-2</v>
      </c>
      <c r="T4199" s="59">
        <f ca="1">Dashboard!C$8* Dashboard!$F$4+Dashboard!C$10*SQRT(Dashboard!$F$4) * _xlfn.NORM.S.INV(RAND())</f>
        <v>2.6886434911470806E-2</v>
      </c>
      <c r="U4199" s="59">
        <f ca="1">Dashboard!D$8* Dashboard!$F$4+Dashboard!D$10*SQRT(Dashboard!$F$4) * _xlfn.NORM.S.INV(RAND())</f>
        <v>7.106715926947911E-2</v>
      </c>
    </row>
    <row r="4200" spans="18:21" x14ac:dyDescent="0.2">
      <c r="R4200" s="49">
        <v>4198</v>
      </c>
      <c r="S4200" s="59">
        <f ca="1">Dashboard!B$8* Dashboard!$F$4+Dashboard!B$10*SQRT(Dashboard!$F$4) * _xlfn.NORM.S.INV(RAND())</f>
        <v>-8.6299821661732241E-4</v>
      </c>
      <c r="T4200" s="59">
        <f ca="1">Dashboard!C$8* Dashboard!$F$4+Dashboard!C$10*SQRT(Dashboard!$F$4) * _xlfn.NORM.S.INV(RAND())</f>
        <v>-1.3802431385173744E-3</v>
      </c>
      <c r="U4200" s="59">
        <f ca="1">Dashboard!D$8* Dashboard!$F$4+Dashboard!D$10*SQRT(Dashboard!$F$4) * _xlfn.NORM.S.INV(RAND())</f>
        <v>-7.0539445080036187E-3</v>
      </c>
    </row>
    <row r="4201" spans="18:21" x14ac:dyDescent="0.2">
      <c r="R4201" s="49">
        <v>4199</v>
      </c>
      <c r="S4201" s="59">
        <f ca="1">Dashboard!B$8* Dashboard!$F$4+Dashboard!B$10*SQRT(Dashboard!$F$4) * _xlfn.NORM.S.INV(RAND())</f>
        <v>5.7558946405158795E-2</v>
      </c>
      <c r="T4201" s="59">
        <f ca="1">Dashboard!C$8* Dashboard!$F$4+Dashboard!C$10*SQRT(Dashboard!$F$4) * _xlfn.NORM.S.INV(RAND())</f>
        <v>-4.1270771979103095E-2</v>
      </c>
      <c r="U4201" s="59">
        <f ca="1">Dashboard!D$8* Dashboard!$F$4+Dashboard!D$10*SQRT(Dashboard!$F$4) * _xlfn.NORM.S.INV(RAND())</f>
        <v>1.1551385400009323E-2</v>
      </c>
    </row>
    <row r="4202" spans="18:21" x14ac:dyDescent="0.2">
      <c r="R4202" s="49">
        <v>4200</v>
      </c>
      <c r="S4202" s="59">
        <f ca="1">Dashboard!B$8* Dashboard!$F$4+Dashboard!B$10*SQRT(Dashboard!$F$4) * _xlfn.NORM.S.INV(RAND())</f>
        <v>-2.1317762094322054E-2</v>
      </c>
      <c r="T4202" s="59">
        <f ca="1">Dashboard!C$8* Dashboard!$F$4+Dashboard!C$10*SQRT(Dashboard!$F$4) * _xlfn.NORM.S.INV(RAND())</f>
        <v>-1.1462027868378358E-2</v>
      </c>
      <c r="U4202" s="59">
        <f ca="1">Dashboard!D$8* Dashboard!$F$4+Dashboard!D$10*SQRT(Dashboard!$F$4) * _xlfn.NORM.S.INV(RAND())</f>
        <v>-2.7260712563867882E-2</v>
      </c>
    </row>
    <row r="4203" spans="18:21" x14ac:dyDescent="0.2">
      <c r="R4203" s="49">
        <v>4201</v>
      </c>
      <c r="S4203" s="59">
        <f ca="1">Dashboard!B$8* Dashboard!$F$4+Dashboard!B$10*SQRT(Dashboard!$F$4) * _xlfn.NORM.S.INV(RAND())</f>
        <v>4.2268553691349284E-2</v>
      </c>
      <c r="T4203" s="59">
        <f ca="1">Dashboard!C$8* Dashboard!$F$4+Dashboard!C$10*SQRT(Dashboard!$F$4) * _xlfn.NORM.S.INV(RAND())</f>
        <v>-3.0138252970021037E-2</v>
      </c>
      <c r="U4203" s="59">
        <f ca="1">Dashboard!D$8* Dashboard!$F$4+Dashboard!D$10*SQRT(Dashboard!$F$4) * _xlfn.NORM.S.INV(RAND())</f>
        <v>-1.8987600000027145E-2</v>
      </c>
    </row>
    <row r="4204" spans="18:21" x14ac:dyDescent="0.2">
      <c r="R4204" s="49">
        <v>4202</v>
      </c>
      <c r="S4204" s="59">
        <f ca="1">Dashboard!B$8* Dashboard!$F$4+Dashboard!B$10*SQRT(Dashboard!$F$4) * _xlfn.NORM.S.INV(RAND())</f>
        <v>-6.5224089095416993E-2</v>
      </c>
      <c r="T4204" s="59">
        <f ca="1">Dashboard!C$8* Dashboard!$F$4+Dashboard!C$10*SQRT(Dashboard!$F$4) * _xlfn.NORM.S.INV(RAND())</f>
        <v>1.1592920885518143E-2</v>
      </c>
      <c r="U4204" s="59">
        <f ca="1">Dashboard!D$8* Dashboard!$F$4+Dashboard!D$10*SQRT(Dashboard!$F$4) * _xlfn.NORM.S.INV(RAND())</f>
        <v>-1.3021014361246988E-2</v>
      </c>
    </row>
    <row r="4205" spans="18:21" x14ac:dyDescent="0.2">
      <c r="R4205" s="49">
        <v>4203</v>
      </c>
      <c r="S4205" s="59">
        <f ca="1">Dashboard!B$8* Dashboard!$F$4+Dashboard!B$10*SQRT(Dashboard!$F$4) * _xlfn.NORM.S.INV(RAND())</f>
        <v>-5.6044985185797251E-2</v>
      </c>
      <c r="T4205" s="59">
        <f ca="1">Dashboard!C$8* Dashboard!$F$4+Dashboard!C$10*SQRT(Dashboard!$F$4) * _xlfn.NORM.S.INV(RAND())</f>
        <v>-5.101843767329281E-2</v>
      </c>
      <c r="U4205" s="59">
        <f ca="1">Dashboard!D$8* Dashboard!$F$4+Dashboard!D$10*SQRT(Dashboard!$F$4) * _xlfn.NORM.S.INV(RAND())</f>
        <v>1.3290019102398114E-2</v>
      </c>
    </row>
    <row r="4206" spans="18:21" x14ac:dyDescent="0.2">
      <c r="R4206" s="49">
        <v>4204</v>
      </c>
      <c r="S4206" s="59">
        <f ca="1">Dashboard!B$8* Dashboard!$F$4+Dashboard!B$10*SQRT(Dashboard!$F$4) * _xlfn.NORM.S.INV(RAND())</f>
        <v>-2.651994902347999E-2</v>
      </c>
      <c r="T4206" s="59">
        <f ca="1">Dashboard!C$8* Dashboard!$F$4+Dashboard!C$10*SQRT(Dashboard!$F$4) * _xlfn.NORM.S.INV(RAND())</f>
        <v>-2.0307327470319467E-2</v>
      </c>
      <c r="U4206" s="59">
        <f ca="1">Dashboard!D$8* Dashboard!$F$4+Dashboard!D$10*SQRT(Dashboard!$F$4) * _xlfn.NORM.S.INV(RAND())</f>
        <v>3.144430535172326E-2</v>
      </c>
    </row>
    <row r="4207" spans="18:21" x14ac:dyDescent="0.2">
      <c r="R4207" s="49">
        <v>4205</v>
      </c>
      <c r="S4207" s="59">
        <f ca="1">Dashboard!B$8* Dashboard!$F$4+Dashboard!B$10*SQRT(Dashboard!$F$4) * _xlfn.NORM.S.INV(RAND())</f>
        <v>-4.4883394419328392E-2</v>
      </c>
      <c r="T4207" s="59">
        <f ca="1">Dashboard!C$8* Dashboard!$F$4+Dashboard!C$10*SQRT(Dashboard!$F$4) * _xlfn.NORM.S.INV(RAND())</f>
        <v>-5.8210151016863734E-2</v>
      </c>
      <c r="U4207" s="59">
        <f ca="1">Dashboard!D$8* Dashboard!$F$4+Dashboard!D$10*SQRT(Dashboard!$F$4) * _xlfn.NORM.S.INV(RAND())</f>
        <v>-6.5904871578286922E-2</v>
      </c>
    </row>
    <row r="4208" spans="18:21" x14ac:dyDescent="0.2">
      <c r="R4208" s="49">
        <v>4206</v>
      </c>
      <c r="S4208" s="59">
        <f ca="1">Dashboard!B$8* Dashboard!$F$4+Dashboard!B$10*SQRT(Dashboard!$F$4) * _xlfn.NORM.S.INV(RAND())</f>
        <v>-9.6530324044451308E-3</v>
      </c>
      <c r="T4208" s="59">
        <f ca="1">Dashboard!C$8* Dashboard!$F$4+Dashboard!C$10*SQRT(Dashboard!$F$4) * _xlfn.NORM.S.INV(RAND())</f>
        <v>-2.1981748748761042E-2</v>
      </c>
      <c r="U4208" s="59">
        <f ca="1">Dashboard!D$8* Dashboard!$F$4+Dashboard!D$10*SQRT(Dashboard!$F$4) * _xlfn.NORM.S.INV(RAND())</f>
        <v>-4.065081448467775E-3</v>
      </c>
    </row>
    <row r="4209" spans="18:21" x14ac:dyDescent="0.2">
      <c r="R4209" s="49">
        <v>4207</v>
      </c>
      <c r="S4209" s="59">
        <f ca="1">Dashboard!B$8* Dashboard!$F$4+Dashboard!B$10*SQRT(Dashboard!$F$4) * _xlfn.NORM.S.INV(RAND())</f>
        <v>3.0758564616808259E-2</v>
      </c>
      <c r="T4209" s="59">
        <f ca="1">Dashboard!C$8* Dashboard!$F$4+Dashboard!C$10*SQRT(Dashboard!$F$4) * _xlfn.NORM.S.INV(RAND())</f>
        <v>6.039481951791275E-2</v>
      </c>
      <c r="U4209" s="59">
        <f ca="1">Dashboard!D$8* Dashboard!$F$4+Dashboard!D$10*SQRT(Dashboard!$F$4) * _xlfn.NORM.S.INV(RAND())</f>
        <v>1.3183339753453597E-2</v>
      </c>
    </row>
    <row r="4210" spans="18:21" x14ac:dyDescent="0.2">
      <c r="R4210" s="49">
        <v>4208</v>
      </c>
      <c r="S4210" s="59">
        <f ca="1">Dashboard!B$8* Dashboard!$F$4+Dashboard!B$10*SQRT(Dashboard!$F$4) * _xlfn.NORM.S.INV(RAND())</f>
        <v>-1.8369399801782149E-2</v>
      </c>
      <c r="T4210" s="59">
        <f ca="1">Dashboard!C$8* Dashboard!$F$4+Dashboard!C$10*SQRT(Dashboard!$F$4) * _xlfn.NORM.S.INV(RAND())</f>
        <v>1.364729766275068E-2</v>
      </c>
      <c r="U4210" s="59">
        <f ca="1">Dashboard!D$8* Dashboard!$F$4+Dashboard!D$10*SQRT(Dashboard!$F$4) * _xlfn.NORM.S.INV(RAND())</f>
        <v>-3.0734372588334787E-2</v>
      </c>
    </row>
    <row r="4211" spans="18:21" x14ac:dyDescent="0.2">
      <c r="R4211" s="49">
        <v>4209</v>
      </c>
      <c r="S4211" s="59">
        <f ca="1">Dashboard!B$8* Dashboard!$F$4+Dashboard!B$10*SQRT(Dashboard!$F$4) * _xlfn.NORM.S.INV(RAND())</f>
        <v>-2.8243983280806059E-2</v>
      </c>
      <c r="T4211" s="59">
        <f ca="1">Dashboard!C$8* Dashboard!$F$4+Dashboard!C$10*SQRT(Dashboard!$F$4) * _xlfn.NORM.S.INV(RAND())</f>
        <v>-4.8590320864201446E-2</v>
      </c>
      <c r="U4211" s="59">
        <f ca="1">Dashboard!D$8* Dashboard!$F$4+Dashboard!D$10*SQRT(Dashboard!$F$4) * _xlfn.NORM.S.INV(RAND())</f>
        <v>-1.0610578759452875E-2</v>
      </c>
    </row>
    <row r="4212" spans="18:21" x14ac:dyDescent="0.2">
      <c r="R4212" s="49">
        <v>4210</v>
      </c>
      <c r="S4212" s="59">
        <f ca="1">Dashboard!B$8* Dashboard!$F$4+Dashboard!B$10*SQRT(Dashboard!$F$4) * _xlfn.NORM.S.INV(RAND())</f>
        <v>5.4865978129195865E-2</v>
      </c>
      <c r="T4212" s="59">
        <f ca="1">Dashboard!C$8* Dashboard!$F$4+Dashboard!C$10*SQRT(Dashboard!$F$4) * _xlfn.NORM.S.INV(RAND())</f>
        <v>-1.5989051930753083E-2</v>
      </c>
      <c r="U4212" s="59">
        <f ca="1">Dashboard!D$8* Dashboard!$F$4+Dashboard!D$10*SQRT(Dashboard!$F$4) * _xlfn.NORM.S.INV(RAND())</f>
        <v>5.3218554864339967E-3</v>
      </c>
    </row>
    <row r="4213" spans="18:21" x14ac:dyDescent="0.2">
      <c r="R4213" s="49">
        <v>4211</v>
      </c>
      <c r="S4213" s="59">
        <f ca="1">Dashboard!B$8* Dashboard!$F$4+Dashboard!B$10*SQRT(Dashboard!$F$4) * _xlfn.NORM.S.INV(RAND())</f>
        <v>-2.9373884402068305E-2</v>
      </c>
      <c r="T4213" s="59">
        <f ca="1">Dashboard!C$8* Dashboard!$F$4+Dashboard!C$10*SQRT(Dashboard!$F$4) * _xlfn.NORM.S.INV(RAND())</f>
        <v>1.5112432420149681E-2</v>
      </c>
      <c r="U4213" s="59">
        <f ca="1">Dashboard!D$8* Dashboard!$F$4+Dashboard!D$10*SQRT(Dashboard!$F$4) * _xlfn.NORM.S.INV(RAND())</f>
        <v>-3.1159568906660448E-3</v>
      </c>
    </row>
    <row r="4214" spans="18:21" x14ac:dyDescent="0.2">
      <c r="R4214" s="49">
        <v>4212</v>
      </c>
      <c r="S4214" s="59">
        <f ca="1">Dashboard!B$8* Dashboard!$F$4+Dashboard!B$10*SQRT(Dashboard!$F$4) * _xlfn.NORM.S.INV(RAND())</f>
        <v>1.1333313656898387E-2</v>
      </c>
      <c r="T4214" s="59">
        <f ca="1">Dashboard!C$8* Dashboard!$F$4+Dashboard!C$10*SQRT(Dashboard!$F$4) * _xlfn.NORM.S.INV(RAND())</f>
        <v>-7.6552201970709237E-3</v>
      </c>
      <c r="U4214" s="59">
        <f ca="1">Dashboard!D$8* Dashboard!$F$4+Dashboard!D$10*SQRT(Dashboard!$F$4) * _xlfn.NORM.S.INV(RAND())</f>
        <v>-1.0462553799254103E-2</v>
      </c>
    </row>
    <row r="4215" spans="18:21" x14ac:dyDescent="0.2">
      <c r="R4215" s="49">
        <v>4213</v>
      </c>
      <c r="S4215" s="59">
        <f ca="1">Dashboard!B$8* Dashboard!$F$4+Dashboard!B$10*SQRT(Dashboard!$F$4) * _xlfn.NORM.S.INV(RAND())</f>
        <v>5.7221347320659532E-3</v>
      </c>
      <c r="T4215" s="59">
        <f ca="1">Dashboard!C$8* Dashboard!$F$4+Dashboard!C$10*SQRT(Dashboard!$F$4) * _xlfn.NORM.S.INV(RAND())</f>
        <v>3.2296783964733518E-2</v>
      </c>
      <c r="U4215" s="59">
        <f ca="1">Dashboard!D$8* Dashboard!$F$4+Dashboard!D$10*SQRT(Dashboard!$F$4) * _xlfn.NORM.S.INV(RAND())</f>
        <v>3.9702463991577739E-3</v>
      </c>
    </row>
    <row r="4216" spans="18:21" x14ac:dyDescent="0.2">
      <c r="R4216" s="49">
        <v>4214</v>
      </c>
      <c r="S4216" s="59">
        <f ca="1">Dashboard!B$8* Dashboard!$F$4+Dashboard!B$10*SQRT(Dashboard!$F$4) * _xlfn.NORM.S.INV(RAND())</f>
        <v>2.2127111562541352E-2</v>
      </c>
      <c r="T4216" s="59">
        <f ca="1">Dashboard!C$8* Dashboard!$F$4+Dashboard!C$10*SQRT(Dashboard!$F$4) * _xlfn.NORM.S.INV(RAND())</f>
        <v>3.7002611325836418E-2</v>
      </c>
      <c r="U4216" s="59">
        <f ca="1">Dashboard!D$8* Dashboard!$F$4+Dashboard!D$10*SQRT(Dashboard!$F$4) * _xlfn.NORM.S.INV(RAND())</f>
        <v>-3.3177480560615438E-2</v>
      </c>
    </row>
    <row r="4217" spans="18:21" x14ac:dyDescent="0.2">
      <c r="R4217" s="49">
        <v>4215</v>
      </c>
      <c r="S4217" s="59">
        <f ca="1">Dashboard!B$8* Dashboard!$F$4+Dashboard!B$10*SQRT(Dashboard!$F$4) * _xlfn.NORM.S.INV(RAND())</f>
        <v>2.1404615972706272E-2</v>
      </c>
      <c r="T4217" s="59">
        <f ca="1">Dashboard!C$8* Dashboard!$F$4+Dashboard!C$10*SQRT(Dashboard!$F$4) * _xlfn.NORM.S.INV(RAND())</f>
        <v>2.3334383298261534E-2</v>
      </c>
      <c r="U4217" s="59">
        <f ca="1">Dashboard!D$8* Dashboard!$F$4+Dashboard!D$10*SQRT(Dashboard!$F$4) * _xlfn.NORM.S.INV(RAND())</f>
        <v>7.1748806849981851E-4</v>
      </c>
    </row>
    <row r="4218" spans="18:21" x14ac:dyDescent="0.2">
      <c r="R4218" s="49">
        <v>4216</v>
      </c>
      <c r="S4218" s="59">
        <f ca="1">Dashboard!B$8* Dashboard!$F$4+Dashboard!B$10*SQRT(Dashboard!$F$4) * _xlfn.NORM.S.INV(RAND())</f>
        <v>-9.5011349248611821E-3</v>
      </c>
      <c r="T4218" s="59">
        <f ca="1">Dashboard!C$8* Dashboard!$F$4+Dashboard!C$10*SQRT(Dashboard!$F$4) * _xlfn.NORM.S.INV(RAND())</f>
        <v>-3.9328003482219175E-2</v>
      </c>
      <c r="U4218" s="59">
        <f ca="1">Dashboard!D$8* Dashboard!$F$4+Dashboard!D$10*SQRT(Dashboard!$F$4) * _xlfn.NORM.S.INV(RAND())</f>
        <v>-2.0352621366780288E-2</v>
      </c>
    </row>
    <row r="4219" spans="18:21" x14ac:dyDescent="0.2">
      <c r="R4219" s="49">
        <v>4217</v>
      </c>
      <c r="S4219" s="59">
        <f ca="1">Dashboard!B$8* Dashboard!$F$4+Dashboard!B$10*SQRT(Dashboard!$F$4) * _xlfn.NORM.S.INV(RAND())</f>
        <v>-1.99700801685746E-2</v>
      </c>
      <c r="T4219" s="59">
        <f ca="1">Dashboard!C$8* Dashboard!$F$4+Dashboard!C$10*SQRT(Dashboard!$F$4) * _xlfn.NORM.S.INV(RAND())</f>
        <v>-4.6133729728715177E-2</v>
      </c>
      <c r="U4219" s="59">
        <f ca="1">Dashboard!D$8* Dashboard!$F$4+Dashboard!D$10*SQRT(Dashboard!$F$4) * _xlfn.NORM.S.INV(RAND())</f>
        <v>-2.5351672233082951E-2</v>
      </c>
    </row>
    <row r="4220" spans="18:21" x14ac:dyDescent="0.2">
      <c r="R4220" s="49">
        <v>4218</v>
      </c>
      <c r="S4220" s="59">
        <f ca="1">Dashboard!B$8* Dashboard!$F$4+Dashboard!B$10*SQRT(Dashboard!$F$4) * _xlfn.NORM.S.INV(RAND())</f>
        <v>-4.0503906506166129E-2</v>
      </c>
      <c r="T4220" s="59">
        <f ca="1">Dashboard!C$8* Dashboard!$F$4+Dashboard!C$10*SQRT(Dashboard!$F$4) * _xlfn.NORM.S.INV(RAND())</f>
        <v>-3.0412186344780292E-2</v>
      </c>
      <c r="U4220" s="59">
        <f ca="1">Dashboard!D$8* Dashboard!$F$4+Dashboard!D$10*SQRT(Dashboard!$F$4) * _xlfn.NORM.S.INV(RAND())</f>
        <v>-1.0175973267399737E-2</v>
      </c>
    </row>
    <row r="4221" spans="18:21" x14ac:dyDescent="0.2">
      <c r="R4221" s="49">
        <v>4219</v>
      </c>
      <c r="S4221" s="59">
        <f ca="1">Dashboard!B$8* Dashboard!$F$4+Dashboard!B$10*SQRT(Dashboard!$F$4) * _xlfn.NORM.S.INV(RAND())</f>
        <v>3.2072028902850803E-2</v>
      </c>
      <c r="T4221" s="59">
        <f ca="1">Dashboard!C$8* Dashboard!$F$4+Dashboard!C$10*SQRT(Dashboard!$F$4) * _xlfn.NORM.S.INV(RAND())</f>
        <v>-2.4889196468801323E-2</v>
      </c>
      <c r="U4221" s="59">
        <f ca="1">Dashboard!D$8* Dashboard!$F$4+Dashboard!D$10*SQRT(Dashboard!$F$4) * _xlfn.NORM.S.INV(RAND())</f>
        <v>1.2213227105256392E-2</v>
      </c>
    </row>
    <row r="4222" spans="18:21" x14ac:dyDescent="0.2">
      <c r="R4222" s="49">
        <v>4220</v>
      </c>
      <c r="S4222" s="59">
        <f ca="1">Dashboard!B$8* Dashboard!$F$4+Dashboard!B$10*SQRT(Dashboard!$F$4) * _xlfn.NORM.S.INV(RAND())</f>
        <v>-1.5024648103877681E-2</v>
      </c>
      <c r="T4222" s="59">
        <f ca="1">Dashboard!C$8* Dashboard!$F$4+Dashboard!C$10*SQRT(Dashboard!$F$4) * _xlfn.NORM.S.INV(RAND())</f>
        <v>1.737292981234238E-2</v>
      </c>
      <c r="U4222" s="59">
        <f ca="1">Dashboard!D$8* Dashboard!$F$4+Dashboard!D$10*SQRT(Dashboard!$F$4) * _xlfn.NORM.S.INV(RAND())</f>
        <v>-1.2220660132035733E-2</v>
      </c>
    </row>
    <row r="4223" spans="18:21" x14ac:dyDescent="0.2">
      <c r="R4223" s="49">
        <v>4221</v>
      </c>
      <c r="S4223" s="59">
        <f ca="1">Dashboard!B$8* Dashboard!$F$4+Dashboard!B$10*SQRT(Dashboard!$F$4) * _xlfn.NORM.S.INV(RAND())</f>
        <v>-1.4123703702981482E-2</v>
      </c>
      <c r="T4223" s="59">
        <f ca="1">Dashboard!C$8* Dashboard!$F$4+Dashboard!C$10*SQRT(Dashboard!$F$4) * _xlfn.NORM.S.INV(RAND())</f>
        <v>-4.7410138968139795E-2</v>
      </c>
      <c r="U4223" s="59">
        <f ca="1">Dashboard!D$8* Dashboard!$F$4+Dashboard!D$10*SQRT(Dashboard!$F$4) * _xlfn.NORM.S.INV(RAND())</f>
        <v>-2.0979471040398602E-3</v>
      </c>
    </row>
    <row r="4224" spans="18:21" x14ac:dyDescent="0.2">
      <c r="R4224" s="49">
        <v>4222</v>
      </c>
      <c r="S4224" s="59">
        <f ca="1">Dashboard!B$8* Dashboard!$F$4+Dashboard!B$10*SQRT(Dashboard!$F$4) * _xlfn.NORM.S.INV(RAND())</f>
        <v>4.3502792796712743E-3</v>
      </c>
      <c r="T4224" s="59">
        <f ca="1">Dashboard!C$8* Dashboard!$F$4+Dashboard!C$10*SQRT(Dashboard!$F$4) * _xlfn.NORM.S.INV(RAND())</f>
        <v>4.8725298379983448E-2</v>
      </c>
      <c r="U4224" s="59">
        <f ca="1">Dashboard!D$8* Dashboard!$F$4+Dashboard!D$10*SQRT(Dashboard!$F$4) * _xlfn.NORM.S.INV(RAND())</f>
        <v>9.8008012254374322E-3</v>
      </c>
    </row>
    <row r="4225" spans="18:21" x14ac:dyDescent="0.2">
      <c r="R4225" s="49">
        <v>4223</v>
      </c>
      <c r="S4225" s="59">
        <f ca="1">Dashboard!B$8* Dashboard!$F$4+Dashboard!B$10*SQRT(Dashboard!$F$4) * _xlfn.NORM.S.INV(RAND())</f>
        <v>-7.670068104923089E-2</v>
      </c>
      <c r="T4225" s="59">
        <f ca="1">Dashboard!C$8* Dashboard!$F$4+Dashboard!C$10*SQRT(Dashboard!$F$4) * _xlfn.NORM.S.INV(RAND())</f>
        <v>5.4981510008884023E-2</v>
      </c>
      <c r="U4225" s="59">
        <f ca="1">Dashboard!D$8* Dashboard!$F$4+Dashboard!D$10*SQRT(Dashboard!$F$4) * _xlfn.NORM.S.INV(RAND())</f>
        <v>-2.3886067615004319E-3</v>
      </c>
    </row>
    <row r="4226" spans="18:21" x14ac:dyDescent="0.2">
      <c r="R4226" s="49">
        <v>4224</v>
      </c>
      <c r="S4226" s="59">
        <f ca="1">Dashboard!B$8* Dashboard!$F$4+Dashboard!B$10*SQRT(Dashboard!$F$4) * _xlfn.NORM.S.INV(RAND())</f>
        <v>-2.1701782986560982E-2</v>
      </c>
      <c r="T4226" s="59">
        <f ca="1">Dashboard!C$8* Dashboard!$F$4+Dashboard!C$10*SQRT(Dashboard!$F$4) * _xlfn.NORM.S.INV(RAND())</f>
        <v>3.2974145610455079E-2</v>
      </c>
      <c r="U4226" s="59">
        <f ca="1">Dashboard!D$8* Dashboard!$F$4+Dashboard!D$10*SQRT(Dashboard!$F$4) * _xlfn.NORM.S.INV(RAND())</f>
        <v>1.6664450355158626E-2</v>
      </c>
    </row>
    <row r="4227" spans="18:21" x14ac:dyDescent="0.2">
      <c r="R4227" s="49">
        <v>4225</v>
      </c>
      <c r="S4227" s="59">
        <f ca="1">Dashboard!B$8* Dashboard!$F$4+Dashboard!B$10*SQRT(Dashboard!$F$4) * _xlfn.NORM.S.INV(RAND())</f>
        <v>5.7817041704030021E-2</v>
      </c>
      <c r="T4227" s="59">
        <f ca="1">Dashboard!C$8* Dashboard!$F$4+Dashboard!C$10*SQRT(Dashboard!$F$4) * _xlfn.NORM.S.INV(RAND())</f>
        <v>-1.6720806982435193E-2</v>
      </c>
      <c r="U4227" s="59">
        <f ca="1">Dashboard!D$8* Dashboard!$F$4+Dashboard!D$10*SQRT(Dashboard!$F$4) * _xlfn.NORM.S.INV(RAND())</f>
        <v>-4.0924933523337717E-2</v>
      </c>
    </row>
    <row r="4228" spans="18:21" x14ac:dyDescent="0.2">
      <c r="R4228" s="49">
        <v>4226</v>
      </c>
      <c r="S4228" s="59">
        <f ca="1">Dashboard!B$8* Dashboard!$F$4+Dashboard!B$10*SQRT(Dashboard!$F$4) * _xlfn.NORM.S.INV(RAND())</f>
        <v>2.2528390669723473E-2</v>
      </c>
      <c r="T4228" s="59">
        <f ca="1">Dashboard!C$8* Dashboard!$F$4+Dashboard!C$10*SQRT(Dashboard!$F$4) * _xlfn.NORM.S.INV(RAND())</f>
        <v>-2.3912900481207561E-2</v>
      </c>
      <c r="U4228" s="59">
        <f ca="1">Dashboard!D$8* Dashboard!$F$4+Dashboard!D$10*SQRT(Dashboard!$F$4) * _xlfn.NORM.S.INV(RAND())</f>
        <v>2.1883161493572195E-2</v>
      </c>
    </row>
    <row r="4229" spans="18:21" x14ac:dyDescent="0.2">
      <c r="R4229" s="49">
        <v>4227</v>
      </c>
      <c r="S4229" s="59">
        <f ca="1">Dashboard!B$8* Dashboard!$F$4+Dashboard!B$10*SQRT(Dashboard!$F$4) * _xlfn.NORM.S.INV(RAND())</f>
        <v>-2.061673359367109E-2</v>
      </c>
      <c r="T4229" s="59">
        <f ca="1">Dashboard!C$8* Dashboard!$F$4+Dashboard!C$10*SQRT(Dashboard!$F$4) * _xlfn.NORM.S.INV(RAND())</f>
        <v>2.6935710319431878E-3</v>
      </c>
      <c r="U4229" s="59">
        <f ca="1">Dashboard!D$8* Dashboard!$F$4+Dashboard!D$10*SQRT(Dashboard!$F$4) * _xlfn.NORM.S.INV(RAND())</f>
        <v>-4.2945402931086375E-2</v>
      </c>
    </row>
    <row r="4230" spans="18:21" x14ac:dyDescent="0.2">
      <c r="R4230" s="49">
        <v>4228</v>
      </c>
      <c r="S4230" s="59">
        <f ca="1">Dashboard!B$8* Dashboard!$F$4+Dashboard!B$10*SQRT(Dashboard!$F$4) * _xlfn.NORM.S.INV(RAND())</f>
        <v>-2.7253709566172034E-2</v>
      </c>
      <c r="T4230" s="59">
        <f ca="1">Dashboard!C$8* Dashboard!$F$4+Dashboard!C$10*SQRT(Dashboard!$F$4) * _xlfn.NORM.S.INV(RAND())</f>
        <v>1.0263906279535254E-2</v>
      </c>
      <c r="U4230" s="59">
        <f ca="1">Dashboard!D$8* Dashboard!$F$4+Dashboard!D$10*SQRT(Dashboard!$F$4) * _xlfn.NORM.S.INV(RAND())</f>
        <v>-5.26890668228783E-2</v>
      </c>
    </row>
    <row r="4231" spans="18:21" x14ac:dyDescent="0.2">
      <c r="R4231" s="49">
        <v>4229</v>
      </c>
      <c r="S4231" s="59">
        <f ca="1">Dashboard!B$8* Dashboard!$F$4+Dashboard!B$10*SQRT(Dashboard!$F$4) * _xlfn.NORM.S.INV(RAND())</f>
        <v>1.092603487445762E-2</v>
      </c>
      <c r="T4231" s="59">
        <f ca="1">Dashboard!C$8* Dashboard!$F$4+Dashboard!C$10*SQRT(Dashboard!$F$4) * _xlfn.NORM.S.INV(RAND())</f>
        <v>-3.2842416074372383E-2</v>
      </c>
      <c r="U4231" s="59">
        <f ca="1">Dashboard!D$8* Dashboard!$F$4+Dashboard!D$10*SQRT(Dashboard!$F$4) * _xlfn.NORM.S.INV(RAND())</f>
        <v>-2.8375283292754943E-2</v>
      </c>
    </row>
    <row r="4232" spans="18:21" x14ac:dyDescent="0.2">
      <c r="R4232" s="49">
        <v>4230</v>
      </c>
      <c r="S4232" s="59">
        <f ca="1">Dashboard!B$8* Dashboard!$F$4+Dashboard!B$10*SQRT(Dashboard!$F$4) * _xlfn.NORM.S.INV(RAND())</f>
        <v>7.9447071703889378E-4</v>
      </c>
      <c r="T4232" s="59">
        <f ca="1">Dashboard!C$8* Dashboard!$F$4+Dashboard!C$10*SQRT(Dashboard!$F$4) * _xlfn.NORM.S.INV(RAND())</f>
        <v>5.8537298874469955E-3</v>
      </c>
      <c r="U4232" s="59">
        <f ca="1">Dashboard!D$8* Dashboard!$F$4+Dashboard!D$10*SQRT(Dashboard!$F$4) * _xlfn.NORM.S.INV(RAND())</f>
        <v>-6.5769609642844812E-2</v>
      </c>
    </row>
    <row r="4233" spans="18:21" x14ac:dyDescent="0.2">
      <c r="R4233" s="49">
        <v>4231</v>
      </c>
      <c r="S4233" s="59">
        <f ca="1">Dashboard!B$8* Dashboard!$F$4+Dashboard!B$10*SQRT(Dashboard!$F$4) * _xlfn.NORM.S.INV(RAND())</f>
        <v>-1.0683549715459258E-2</v>
      </c>
      <c r="T4233" s="59">
        <f ca="1">Dashboard!C$8* Dashboard!$F$4+Dashboard!C$10*SQRT(Dashboard!$F$4) * _xlfn.NORM.S.INV(RAND())</f>
        <v>2.0015043522673536E-2</v>
      </c>
      <c r="U4233" s="59">
        <f ca="1">Dashboard!D$8* Dashboard!$F$4+Dashboard!D$10*SQRT(Dashboard!$F$4) * _xlfn.NORM.S.INV(RAND())</f>
        <v>-2.814378266075104E-2</v>
      </c>
    </row>
    <row r="4234" spans="18:21" x14ac:dyDescent="0.2">
      <c r="R4234" s="49">
        <v>4232</v>
      </c>
      <c r="S4234" s="59">
        <f ca="1">Dashboard!B$8* Dashboard!$F$4+Dashboard!B$10*SQRT(Dashboard!$F$4) * _xlfn.NORM.S.INV(RAND())</f>
        <v>7.1315424770478988E-3</v>
      </c>
      <c r="T4234" s="59">
        <f ca="1">Dashboard!C$8* Dashboard!$F$4+Dashboard!C$10*SQRT(Dashboard!$F$4) * _xlfn.NORM.S.INV(RAND())</f>
        <v>-1.7347282094878329E-3</v>
      </c>
      <c r="U4234" s="59">
        <f ca="1">Dashboard!D$8* Dashboard!$F$4+Dashboard!D$10*SQRT(Dashboard!$F$4) * _xlfn.NORM.S.INV(RAND())</f>
        <v>1.3683231033189494E-3</v>
      </c>
    </row>
    <row r="4235" spans="18:21" x14ac:dyDescent="0.2">
      <c r="R4235" s="49">
        <v>4233</v>
      </c>
      <c r="S4235" s="59">
        <f ca="1">Dashboard!B$8* Dashboard!$F$4+Dashboard!B$10*SQRT(Dashboard!$F$4) * _xlfn.NORM.S.INV(RAND())</f>
        <v>4.0840244144877011E-2</v>
      </c>
      <c r="T4235" s="59">
        <f ca="1">Dashboard!C$8* Dashboard!$F$4+Dashboard!C$10*SQRT(Dashboard!$F$4) * _xlfn.NORM.S.INV(RAND())</f>
        <v>-3.8123206282299864E-2</v>
      </c>
      <c r="U4235" s="59">
        <f ca="1">Dashboard!D$8* Dashboard!$F$4+Dashboard!D$10*SQRT(Dashboard!$F$4) * _xlfn.NORM.S.INV(RAND())</f>
        <v>-3.9182879112207573E-2</v>
      </c>
    </row>
    <row r="4236" spans="18:21" x14ac:dyDescent="0.2">
      <c r="R4236" s="49">
        <v>4234</v>
      </c>
      <c r="S4236" s="59">
        <f ca="1">Dashboard!B$8* Dashboard!$F$4+Dashboard!B$10*SQRT(Dashboard!$F$4) * _xlfn.NORM.S.INV(RAND())</f>
        <v>1.4104912681550336E-2</v>
      </c>
      <c r="T4236" s="59">
        <f ca="1">Dashboard!C$8* Dashboard!$F$4+Dashboard!C$10*SQRT(Dashboard!$F$4) * _xlfn.NORM.S.INV(RAND())</f>
        <v>-5.6082012393254714E-2</v>
      </c>
      <c r="U4236" s="59">
        <f ca="1">Dashboard!D$8* Dashboard!$F$4+Dashboard!D$10*SQRT(Dashboard!$F$4) * _xlfn.NORM.S.INV(RAND())</f>
        <v>-3.5963361590974352E-2</v>
      </c>
    </row>
    <row r="4237" spans="18:21" x14ac:dyDescent="0.2">
      <c r="R4237" s="49">
        <v>4235</v>
      </c>
      <c r="S4237" s="59">
        <f ca="1">Dashboard!B$8* Dashboard!$F$4+Dashboard!B$10*SQRT(Dashboard!$F$4) * _xlfn.NORM.S.INV(RAND())</f>
        <v>-3.775163717143238E-2</v>
      </c>
      <c r="T4237" s="59">
        <f ca="1">Dashboard!C$8* Dashboard!$F$4+Dashboard!C$10*SQRT(Dashboard!$F$4) * _xlfn.NORM.S.INV(RAND())</f>
        <v>-7.7499869046525796E-2</v>
      </c>
      <c r="U4237" s="59">
        <f ca="1">Dashboard!D$8* Dashboard!$F$4+Dashboard!D$10*SQRT(Dashboard!$F$4) * _xlfn.NORM.S.INV(RAND())</f>
        <v>-3.3032552706046145E-2</v>
      </c>
    </row>
    <row r="4238" spans="18:21" x14ac:dyDescent="0.2">
      <c r="R4238" s="49">
        <v>4236</v>
      </c>
      <c r="S4238" s="59">
        <f ca="1">Dashboard!B$8* Dashboard!$F$4+Dashboard!B$10*SQRT(Dashboard!$F$4) * _xlfn.NORM.S.INV(RAND())</f>
        <v>2.5450145010877841E-2</v>
      </c>
      <c r="T4238" s="59">
        <f ca="1">Dashboard!C$8* Dashboard!$F$4+Dashboard!C$10*SQRT(Dashboard!$F$4) * _xlfn.NORM.S.INV(RAND())</f>
        <v>2.6031697396017045E-2</v>
      </c>
      <c r="U4238" s="59">
        <f ca="1">Dashboard!D$8* Dashboard!$F$4+Dashboard!D$10*SQRT(Dashboard!$F$4) * _xlfn.NORM.S.INV(RAND())</f>
        <v>4.4085529408788272E-2</v>
      </c>
    </row>
    <row r="4239" spans="18:21" x14ac:dyDescent="0.2">
      <c r="R4239" s="49">
        <v>4237</v>
      </c>
      <c r="S4239" s="59">
        <f ca="1">Dashboard!B$8* Dashboard!$F$4+Dashboard!B$10*SQRT(Dashboard!$F$4) * _xlfn.NORM.S.INV(RAND())</f>
        <v>-3.9895737317508298E-4</v>
      </c>
      <c r="T4239" s="59">
        <f ca="1">Dashboard!C$8* Dashboard!$F$4+Dashboard!C$10*SQRT(Dashboard!$F$4) * _xlfn.NORM.S.INV(RAND())</f>
        <v>2.535454234711124E-2</v>
      </c>
      <c r="U4239" s="59">
        <f ca="1">Dashboard!D$8* Dashboard!$F$4+Dashboard!D$10*SQRT(Dashboard!$F$4) * _xlfn.NORM.S.INV(RAND())</f>
        <v>-1.3329019935437534E-2</v>
      </c>
    </row>
    <row r="4240" spans="18:21" x14ac:dyDescent="0.2">
      <c r="R4240" s="49">
        <v>4238</v>
      </c>
      <c r="S4240" s="59">
        <f ca="1">Dashboard!B$8* Dashboard!$F$4+Dashboard!B$10*SQRT(Dashboard!$F$4) * _xlfn.NORM.S.INV(RAND())</f>
        <v>-4.5399441211201319E-2</v>
      </c>
      <c r="T4240" s="59">
        <f ca="1">Dashboard!C$8* Dashboard!$F$4+Dashboard!C$10*SQRT(Dashboard!$F$4) * _xlfn.NORM.S.INV(RAND())</f>
        <v>3.3920738714923113E-2</v>
      </c>
      <c r="U4240" s="59">
        <f ca="1">Dashboard!D$8* Dashboard!$F$4+Dashboard!D$10*SQRT(Dashboard!$F$4) * _xlfn.NORM.S.INV(RAND())</f>
        <v>-1.7642120295654987E-2</v>
      </c>
    </row>
    <row r="4241" spans="18:21" x14ac:dyDescent="0.2">
      <c r="R4241" s="49">
        <v>4239</v>
      </c>
      <c r="S4241" s="59">
        <f ca="1">Dashboard!B$8* Dashboard!$F$4+Dashboard!B$10*SQRT(Dashboard!$F$4) * _xlfn.NORM.S.INV(RAND())</f>
        <v>2.3753547718829343E-2</v>
      </c>
      <c r="T4241" s="59">
        <f ca="1">Dashboard!C$8* Dashboard!$F$4+Dashboard!C$10*SQRT(Dashboard!$F$4) * _xlfn.NORM.S.INV(RAND())</f>
        <v>-7.2540034222200777E-3</v>
      </c>
      <c r="U4241" s="59">
        <f ca="1">Dashboard!D$8* Dashboard!$F$4+Dashboard!D$10*SQRT(Dashboard!$F$4) * _xlfn.NORM.S.INV(RAND())</f>
        <v>-2.2597240598537325E-3</v>
      </c>
    </row>
    <row r="4242" spans="18:21" x14ac:dyDescent="0.2">
      <c r="R4242" s="49">
        <v>4240</v>
      </c>
      <c r="S4242" s="59">
        <f ca="1">Dashboard!B$8* Dashboard!$F$4+Dashboard!B$10*SQRT(Dashboard!$F$4) * _xlfn.NORM.S.INV(RAND())</f>
        <v>-6.2596869693823498E-2</v>
      </c>
      <c r="T4242" s="59">
        <f ca="1">Dashboard!C$8* Dashboard!$F$4+Dashboard!C$10*SQRT(Dashboard!$F$4) * _xlfn.NORM.S.INV(RAND())</f>
        <v>9.8123901676990644E-2</v>
      </c>
      <c r="U4242" s="59">
        <f ca="1">Dashboard!D$8* Dashboard!$F$4+Dashboard!D$10*SQRT(Dashboard!$F$4) * _xlfn.NORM.S.INV(RAND())</f>
        <v>9.6682607585330351E-4</v>
      </c>
    </row>
    <row r="4243" spans="18:21" x14ac:dyDescent="0.2">
      <c r="R4243" s="49">
        <v>4241</v>
      </c>
      <c r="S4243" s="59">
        <f ca="1">Dashboard!B$8* Dashboard!$F$4+Dashboard!B$10*SQRT(Dashboard!$F$4) * _xlfn.NORM.S.INV(RAND())</f>
        <v>-5.3895774818087876E-2</v>
      </c>
      <c r="T4243" s="59">
        <f ca="1">Dashboard!C$8* Dashboard!$F$4+Dashboard!C$10*SQRT(Dashboard!$F$4) * _xlfn.NORM.S.INV(RAND())</f>
        <v>2.0839269060648643E-2</v>
      </c>
      <c r="U4243" s="59">
        <f ca="1">Dashboard!D$8* Dashboard!$F$4+Dashboard!D$10*SQRT(Dashboard!$F$4) * _xlfn.NORM.S.INV(RAND())</f>
        <v>4.3656953984966156E-2</v>
      </c>
    </row>
    <row r="4244" spans="18:21" x14ac:dyDescent="0.2">
      <c r="R4244" s="49">
        <v>4242</v>
      </c>
      <c r="S4244" s="59">
        <f ca="1">Dashboard!B$8* Dashboard!$F$4+Dashboard!B$10*SQRT(Dashboard!$F$4) * _xlfn.NORM.S.INV(RAND())</f>
        <v>8.7767652069650773E-2</v>
      </c>
      <c r="T4244" s="59">
        <f ca="1">Dashboard!C$8* Dashboard!$F$4+Dashboard!C$10*SQRT(Dashboard!$F$4) * _xlfn.NORM.S.INV(RAND())</f>
        <v>6.5648013223064711E-2</v>
      </c>
      <c r="U4244" s="59">
        <f ca="1">Dashboard!D$8* Dashboard!$F$4+Dashboard!D$10*SQRT(Dashboard!$F$4) * _xlfn.NORM.S.INV(RAND())</f>
        <v>5.6328312410783649E-2</v>
      </c>
    </row>
    <row r="4245" spans="18:21" x14ac:dyDescent="0.2">
      <c r="R4245" s="49">
        <v>4243</v>
      </c>
      <c r="S4245" s="59">
        <f ca="1">Dashboard!B$8* Dashboard!$F$4+Dashboard!B$10*SQRT(Dashboard!$F$4) * _xlfn.NORM.S.INV(RAND())</f>
        <v>7.3819594946507115E-3</v>
      </c>
      <c r="T4245" s="59">
        <f ca="1">Dashboard!C$8* Dashboard!$F$4+Dashboard!C$10*SQRT(Dashboard!$F$4) * _xlfn.NORM.S.INV(RAND())</f>
        <v>5.9618524218368059E-2</v>
      </c>
      <c r="U4245" s="59">
        <f ca="1">Dashboard!D$8* Dashboard!$F$4+Dashboard!D$10*SQRT(Dashboard!$F$4) * _xlfn.NORM.S.INV(RAND())</f>
        <v>-1.7031724016982122E-2</v>
      </c>
    </row>
    <row r="4246" spans="18:21" x14ac:dyDescent="0.2">
      <c r="R4246" s="49">
        <v>4244</v>
      </c>
      <c r="S4246" s="59">
        <f ca="1">Dashboard!B$8* Dashboard!$F$4+Dashboard!B$10*SQRT(Dashboard!$F$4) * _xlfn.NORM.S.INV(RAND())</f>
        <v>-2.1722067172995053E-2</v>
      </c>
      <c r="T4246" s="59">
        <f ca="1">Dashboard!C$8* Dashboard!$F$4+Dashboard!C$10*SQRT(Dashboard!$F$4) * _xlfn.NORM.S.INV(RAND())</f>
        <v>-3.8157013450803169E-2</v>
      </c>
      <c r="U4246" s="59">
        <f ca="1">Dashboard!D$8* Dashboard!$F$4+Dashboard!D$10*SQRT(Dashboard!$F$4) * _xlfn.NORM.S.INV(RAND())</f>
        <v>1.1389731923109712E-2</v>
      </c>
    </row>
    <row r="4247" spans="18:21" x14ac:dyDescent="0.2">
      <c r="R4247" s="49">
        <v>4245</v>
      </c>
      <c r="S4247" s="59">
        <f ca="1">Dashboard!B$8* Dashboard!$F$4+Dashboard!B$10*SQRT(Dashboard!$F$4) * _xlfn.NORM.S.INV(RAND())</f>
        <v>1.0144031668006077E-2</v>
      </c>
      <c r="T4247" s="59">
        <f ca="1">Dashboard!C$8* Dashboard!$F$4+Dashboard!C$10*SQRT(Dashboard!$F$4) * _xlfn.NORM.S.INV(RAND())</f>
        <v>-5.5892132462552334E-2</v>
      </c>
      <c r="U4247" s="59">
        <f ca="1">Dashboard!D$8* Dashboard!$F$4+Dashboard!D$10*SQRT(Dashboard!$F$4) * _xlfn.NORM.S.INV(RAND())</f>
        <v>2.2174362744537688E-2</v>
      </c>
    </row>
    <row r="4248" spans="18:21" x14ac:dyDescent="0.2">
      <c r="R4248" s="49">
        <v>4246</v>
      </c>
      <c r="S4248" s="59">
        <f ca="1">Dashboard!B$8* Dashboard!$F$4+Dashboard!B$10*SQRT(Dashboard!$F$4) * _xlfn.NORM.S.INV(RAND())</f>
        <v>-3.2889800802613674E-2</v>
      </c>
      <c r="T4248" s="59">
        <f ca="1">Dashboard!C$8* Dashboard!$F$4+Dashboard!C$10*SQRT(Dashboard!$F$4) * _xlfn.NORM.S.INV(RAND())</f>
        <v>-1.5495410140712304E-2</v>
      </c>
      <c r="U4248" s="59">
        <f ca="1">Dashboard!D$8* Dashboard!$F$4+Dashboard!D$10*SQRT(Dashboard!$F$4) * _xlfn.NORM.S.INV(RAND())</f>
        <v>-7.0939616478049111E-2</v>
      </c>
    </row>
    <row r="4249" spans="18:21" x14ac:dyDescent="0.2">
      <c r="R4249" s="49">
        <v>4247</v>
      </c>
      <c r="S4249" s="59">
        <f ca="1">Dashboard!B$8* Dashboard!$F$4+Dashboard!B$10*SQRT(Dashboard!$F$4) * _xlfn.NORM.S.INV(RAND())</f>
        <v>-2.4497465833196848E-2</v>
      </c>
      <c r="T4249" s="59">
        <f ca="1">Dashboard!C$8* Dashboard!$F$4+Dashboard!C$10*SQRT(Dashboard!$F$4) * _xlfn.NORM.S.INV(RAND())</f>
        <v>2.056446998245098E-2</v>
      </c>
      <c r="U4249" s="59">
        <f ca="1">Dashboard!D$8* Dashboard!$F$4+Dashboard!D$10*SQRT(Dashboard!$F$4) * _xlfn.NORM.S.INV(RAND())</f>
        <v>8.2659472159276586E-3</v>
      </c>
    </row>
    <row r="4250" spans="18:21" x14ac:dyDescent="0.2">
      <c r="R4250" s="49">
        <v>4248</v>
      </c>
      <c r="S4250" s="59">
        <f ca="1">Dashboard!B$8* Dashboard!$F$4+Dashboard!B$10*SQRT(Dashboard!$F$4) * _xlfn.NORM.S.INV(RAND())</f>
        <v>6.943957866837016E-3</v>
      </c>
      <c r="T4250" s="59">
        <f ca="1">Dashboard!C$8* Dashboard!$F$4+Dashboard!C$10*SQRT(Dashboard!$F$4) * _xlfn.NORM.S.INV(RAND())</f>
        <v>-6.7298570022467511E-3</v>
      </c>
      <c r="U4250" s="59">
        <f ca="1">Dashboard!D$8* Dashboard!$F$4+Dashboard!D$10*SQRT(Dashboard!$F$4) * _xlfn.NORM.S.INV(RAND())</f>
        <v>3.1441657595917523E-3</v>
      </c>
    </row>
    <row r="4251" spans="18:21" x14ac:dyDescent="0.2">
      <c r="R4251" s="49">
        <v>4249</v>
      </c>
      <c r="S4251" s="59">
        <f ca="1">Dashboard!B$8* Dashboard!$F$4+Dashboard!B$10*SQRT(Dashboard!$F$4) * _xlfn.NORM.S.INV(RAND())</f>
        <v>1.2658631002393375E-3</v>
      </c>
      <c r="T4251" s="59">
        <f ca="1">Dashboard!C$8* Dashboard!$F$4+Dashboard!C$10*SQRT(Dashboard!$F$4) * _xlfn.NORM.S.INV(RAND())</f>
        <v>8.820077785191556E-2</v>
      </c>
      <c r="U4251" s="59">
        <f ca="1">Dashboard!D$8* Dashboard!$F$4+Dashboard!D$10*SQRT(Dashboard!$F$4) * _xlfn.NORM.S.INV(RAND())</f>
        <v>-4.7532388990000889E-2</v>
      </c>
    </row>
    <row r="4252" spans="18:21" x14ac:dyDescent="0.2">
      <c r="R4252" s="49">
        <v>4250</v>
      </c>
      <c r="S4252" s="59">
        <f ca="1">Dashboard!B$8* Dashboard!$F$4+Dashboard!B$10*SQRT(Dashboard!$F$4) * _xlfn.NORM.S.INV(RAND())</f>
        <v>-7.3492282173694993E-3</v>
      </c>
      <c r="T4252" s="59">
        <f ca="1">Dashboard!C$8* Dashboard!$F$4+Dashboard!C$10*SQRT(Dashboard!$F$4) * _xlfn.NORM.S.INV(RAND())</f>
        <v>1.3425049347143274E-2</v>
      </c>
      <c r="U4252" s="59">
        <f ca="1">Dashboard!D$8* Dashboard!$F$4+Dashboard!D$10*SQRT(Dashboard!$F$4) * _xlfn.NORM.S.INV(RAND())</f>
        <v>-2.1765034113382532E-2</v>
      </c>
    </row>
    <row r="4253" spans="18:21" x14ac:dyDescent="0.2">
      <c r="R4253" s="49">
        <v>4251</v>
      </c>
      <c r="S4253" s="59">
        <f ca="1">Dashboard!B$8* Dashboard!$F$4+Dashboard!B$10*SQRT(Dashboard!$F$4) * _xlfn.NORM.S.INV(RAND())</f>
        <v>-1.5830531926273698E-2</v>
      </c>
      <c r="T4253" s="59">
        <f ca="1">Dashboard!C$8* Dashboard!$F$4+Dashboard!C$10*SQRT(Dashboard!$F$4) * _xlfn.NORM.S.INV(RAND())</f>
        <v>2.3789214681408141E-2</v>
      </c>
      <c r="U4253" s="59">
        <f ca="1">Dashboard!D$8* Dashboard!$F$4+Dashboard!D$10*SQRT(Dashboard!$F$4) * _xlfn.NORM.S.INV(RAND())</f>
        <v>4.6917638879794991E-2</v>
      </c>
    </row>
    <row r="4254" spans="18:21" x14ac:dyDescent="0.2">
      <c r="R4254" s="49">
        <v>4252</v>
      </c>
      <c r="S4254" s="59">
        <f ca="1">Dashboard!B$8* Dashboard!$F$4+Dashboard!B$10*SQRT(Dashboard!$F$4) * _xlfn.NORM.S.INV(RAND())</f>
        <v>3.4478316910775589E-2</v>
      </c>
      <c r="T4254" s="59">
        <f ca="1">Dashboard!C$8* Dashboard!$F$4+Dashboard!C$10*SQRT(Dashboard!$F$4) * _xlfn.NORM.S.INV(RAND())</f>
        <v>-7.2434275317541444E-2</v>
      </c>
      <c r="U4254" s="59">
        <f ca="1">Dashboard!D$8* Dashboard!$F$4+Dashboard!D$10*SQRT(Dashboard!$F$4) * _xlfn.NORM.S.INV(RAND())</f>
        <v>-4.3251066894408934E-2</v>
      </c>
    </row>
    <row r="4255" spans="18:21" x14ac:dyDescent="0.2">
      <c r="R4255" s="49">
        <v>4253</v>
      </c>
      <c r="S4255" s="59">
        <f ca="1">Dashboard!B$8* Dashboard!$F$4+Dashboard!B$10*SQRT(Dashboard!$F$4) * _xlfn.NORM.S.INV(RAND())</f>
        <v>2.309019384512969E-2</v>
      </c>
      <c r="T4255" s="59">
        <f ca="1">Dashboard!C$8* Dashboard!$F$4+Dashboard!C$10*SQRT(Dashboard!$F$4) * _xlfn.NORM.S.INV(RAND())</f>
        <v>3.689006226629795E-2</v>
      </c>
      <c r="U4255" s="59">
        <f ca="1">Dashboard!D$8* Dashboard!$F$4+Dashboard!D$10*SQRT(Dashboard!$F$4) * _xlfn.NORM.S.INV(RAND())</f>
        <v>-1.3258310702183218E-2</v>
      </c>
    </row>
    <row r="4256" spans="18:21" x14ac:dyDescent="0.2">
      <c r="R4256" s="49">
        <v>4254</v>
      </c>
      <c r="S4256" s="59">
        <f ca="1">Dashboard!B$8* Dashboard!$F$4+Dashboard!B$10*SQRT(Dashboard!$F$4) * _xlfn.NORM.S.INV(RAND())</f>
        <v>-2.5121499530932234E-2</v>
      </c>
      <c r="T4256" s="59">
        <f ca="1">Dashboard!C$8* Dashboard!$F$4+Dashboard!C$10*SQRT(Dashboard!$F$4) * _xlfn.NORM.S.INV(RAND())</f>
        <v>3.884437729097278E-2</v>
      </c>
      <c r="U4256" s="59">
        <f ca="1">Dashboard!D$8* Dashboard!$F$4+Dashboard!D$10*SQRT(Dashboard!$F$4) * _xlfn.NORM.S.INV(RAND())</f>
        <v>1.840115517120388E-2</v>
      </c>
    </row>
    <row r="4257" spans="18:21" x14ac:dyDescent="0.2">
      <c r="R4257" s="49">
        <v>4255</v>
      </c>
      <c r="S4257" s="59">
        <f ca="1">Dashboard!B$8* Dashboard!$F$4+Dashboard!B$10*SQRT(Dashboard!$F$4) * _xlfn.NORM.S.INV(RAND())</f>
        <v>-4.1865919127523007E-2</v>
      </c>
      <c r="T4257" s="59">
        <f ca="1">Dashboard!C$8* Dashboard!$F$4+Dashboard!C$10*SQRT(Dashboard!$F$4) * _xlfn.NORM.S.INV(RAND())</f>
        <v>3.4824734173268805E-2</v>
      </c>
      <c r="U4257" s="59">
        <f ca="1">Dashboard!D$8* Dashboard!$F$4+Dashboard!D$10*SQRT(Dashboard!$F$4) * _xlfn.NORM.S.INV(RAND())</f>
        <v>8.794648183331179E-4</v>
      </c>
    </row>
    <row r="4258" spans="18:21" x14ac:dyDescent="0.2">
      <c r="R4258" s="49">
        <v>4256</v>
      </c>
      <c r="S4258" s="59">
        <f ca="1">Dashboard!B$8* Dashboard!$F$4+Dashboard!B$10*SQRT(Dashboard!$F$4) * _xlfn.NORM.S.INV(RAND())</f>
        <v>1.0915846319671518E-2</v>
      </c>
      <c r="T4258" s="59">
        <f ca="1">Dashboard!C$8* Dashboard!$F$4+Dashboard!C$10*SQRT(Dashboard!$F$4) * _xlfn.NORM.S.INV(RAND())</f>
        <v>1.0977139438740975E-3</v>
      </c>
      <c r="U4258" s="59">
        <f ca="1">Dashboard!D$8* Dashboard!$F$4+Dashboard!D$10*SQRT(Dashboard!$F$4) * _xlfn.NORM.S.INV(RAND())</f>
        <v>-3.4593641932469887E-2</v>
      </c>
    </row>
    <row r="4259" spans="18:21" x14ac:dyDescent="0.2">
      <c r="R4259" s="49">
        <v>4257</v>
      </c>
      <c r="S4259" s="59">
        <f ca="1">Dashboard!B$8* Dashboard!$F$4+Dashboard!B$10*SQRT(Dashboard!$F$4) * _xlfn.NORM.S.INV(RAND())</f>
        <v>1.8686938908071367E-3</v>
      </c>
      <c r="T4259" s="59">
        <f ca="1">Dashboard!C$8* Dashboard!$F$4+Dashboard!C$10*SQRT(Dashboard!$F$4) * _xlfn.NORM.S.INV(RAND())</f>
        <v>2.3742627270408444E-2</v>
      </c>
      <c r="U4259" s="59">
        <f ca="1">Dashboard!D$8* Dashboard!$F$4+Dashboard!D$10*SQRT(Dashboard!$F$4) * _xlfn.NORM.S.INV(RAND())</f>
        <v>-1.2881894911643222E-2</v>
      </c>
    </row>
    <row r="4260" spans="18:21" x14ac:dyDescent="0.2">
      <c r="R4260" s="49">
        <v>4258</v>
      </c>
      <c r="S4260" s="59">
        <f ca="1">Dashboard!B$8* Dashboard!$F$4+Dashboard!B$10*SQRT(Dashboard!$F$4) * _xlfn.NORM.S.INV(RAND())</f>
        <v>2.4095624113566097E-2</v>
      </c>
      <c r="T4260" s="59">
        <f ca="1">Dashboard!C$8* Dashboard!$F$4+Dashboard!C$10*SQRT(Dashboard!$F$4) * _xlfn.NORM.S.INV(RAND())</f>
        <v>-1.7688230824198545E-2</v>
      </c>
      <c r="U4260" s="59">
        <f ca="1">Dashboard!D$8* Dashboard!$F$4+Dashboard!D$10*SQRT(Dashboard!$F$4) * _xlfn.NORM.S.INV(RAND())</f>
        <v>-2.4481453029963563E-2</v>
      </c>
    </row>
    <row r="4261" spans="18:21" x14ac:dyDescent="0.2">
      <c r="R4261" s="49">
        <v>4259</v>
      </c>
      <c r="S4261" s="59">
        <f ca="1">Dashboard!B$8* Dashboard!$F$4+Dashboard!B$10*SQRT(Dashboard!$F$4) * _xlfn.NORM.S.INV(RAND())</f>
        <v>-3.3312359879289578E-2</v>
      </c>
      <c r="T4261" s="59">
        <f ca="1">Dashboard!C$8* Dashboard!$F$4+Dashboard!C$10*SQRT(Dashboard!$F$4) * _xlfn.NORM.S.INV(RAND())</f>
        <v>2.4374459331207878E-2</v>
      </c>
      <c r="U4261" s="59">
        <f ca="1">Dashboard!D$8* Dashboard!$F$4+Dashboard!D$10*SQRT(Dashboard!$F$4) * _xlfn.NORM.S.INV(RAND())</f>
        <v>3.4707611043406299E-2</v>
      </c>
    </row>
    <row r="4262" spans="18:21" x14ac:dyDescent="0.2">
      <c r="R4262" s="49">
        <v>4260</v>
      </c>
      <c r="S4262" s="59">
        <f ca="1">Dashboard!B$8* Dashboard!$F$4+Dashboard!B$10*SQRT(Dashboard!$F$4) * _xlfn.NORM.S.INV(RAND())</f>
        <v>3.4960228344747657E-2</v>
      </c>
      <c r="T4262" s="59">
        <f ca="1">Dashboard!C$8* Dashboard!$F$4+Dashboard!C$10*SQRT(Dashboard!$F$4) * _xlfn.NORM.S.INV(RAND())</f>
        <v>-3.166174967774959E-3</v>
      </c>
      <c r="U4262" s="59">
        <f ca="1">Dashboard!D$8* Dashboard!$F$4+Dashboard!D$10*SQRT(Dashboard!$F$4) * _xlfn.NORM.S.INV(RAND())</f>
        <v>-2.3702347808095915E-2</v>
      </c>
    </row>
    <row r="4263" spans="18:21" x14ac:dyDescent="0.2">
      <c r="R4263" s="49">
        <v>4261</v>
      </c>
      <c r="S4263" s="59">
        <f ca="1">Dashboard!B$8* Dashboard!$F$4+Dashboard!B$10*SQRT(Dashboard!$F$4) * _xlfn.NORM.S.INV(RAND())</f>
        <v>-1.093399466477761E-3</v>
      </c>
      <c r="T4263" s="59">
        <f ca="1">Dashboard!C$8* Dashboard!$F$4+Dashboard!C$10*SQRT(Dashboard!$F$4) * _xlfn.NORM.S.INV(RAND())</f>
        <v>1.4059283756434136E-2</v>
      </c>
      <c r="U4263" s="59">
        <f ca="1">Dashboard!D$8* Dashboard!$F$4+Dashboard!D$10*SQRT(Dashboard!$F$4) * _xlfn.NORM.S.INV(RAND())</f>
        <v>2.9401012041345098E-2</v>
      </c>
    </row>
    <row r="4264" spans="18:21" x14ac:dyDescent="0.2">
      <c r="R4264" s="49">
        <v>4262</v>
      </c>
      <c r="S4264" s="59">
        <f ca="1">Dashboard!B$8* Dashboard!$F$4+Dashboard!B$10*SQRT(Dashboard!$F$4) * _xlfn.NORM.S.INV(RAND())</f>
        <v>-3.7976774139945298E-3</v>
      </c>
      <c r="T4264" s="59">
        <f ca="1">Dashboard!C$8* Dashboard!$F$4+Dashboard!C$10*SQRT(Dashboard!$F$4) * _xlfn.NORM.S.INV(RAND())</f>
        <v>5.2471523842041734E-3</v>
      </c>
      <c r="U4264" s="59">
        <f ca="1">Dashboard!D$8* Dashboard!$F$4+Dashboard!D$10*SQRT(Dashboard!$F$4) * _xlfn.NORM.S.INV(RAND())</f>
        <v>9.9262000628478099E-3</v>
      </c>
    </row>
    <row r="4265" spans="18:21" x14ac:dyDescent="0.2">
      <c r="R4265" s="49">
        <v>4263</v>
      </c>
      <c r="S4265" s="59">
        <f ca="1">Dashboard!B$8* Dashboard!$F$4+Dashboard!B$10*SQRT(Dashboard!$F$4) * _xlfn.NORM.S.INV(RAND())</f>
        <v>-1.6777973513733856E-2</v>
      </c>
      <c r="T4265" s="59">
        <f ca="1">Dashboard!C$8* Dashboard!$F$4+Dashboard!C$10*SQRT(Dashboard!$F$4) * _xlfn.NORM.S.INV(RAND())</f>
        <v>3.9544115324955297E-2</v>
      </c>
      <c r="U4265" s="59">
        <f ca="1">Dashboard!D$8* Dashboard!$F$4+Dashboard!D$10*SQRT(Dashboard!$F$4) * _xlfn.NORM.S.INV(RAND())</f>
        <v>2.6030515166127997E-2</v>
      </c>
    </row>
    <row r="4266" spans="18:21" x14ac:dyDescent="0.2">
      <c r="R4266" s="49">
        <v>4264</v>
      </c>
      <c r="S4266" s="59">
        <f ca="1">Dashboard!B$8* Dashboard!$F$4+Dashboard!B$10*SQRT(Dashboard!$F$4) * _xlfn.NORM.S.INV(RAND())</f>
        <v>-9.9693808077449056E-3</v>
      </c>
      <c r="T4266" s="59">
        <f ca="1">Dashboard!C$8* Dashboard!$F$4+Dashboard!C$10*SQRT(Dashboard!$F$4) * _xlfn.NORM.S.INV(RAND())</f>
        <v>7.6341237711008397E-2</v>
      </c>
      <c r="U4266" s="59">
        <f ca="1">Dashboard!D$8* Dashboard!$F$4+Dashboard!D$10*SQRT(Dashboard!$F$4) * _xlfn.NORM.S.INV(RAND())</f>
        <v>2.769848131846582E-2</v>
      </c>
    </row>
    <row r="4267" spans="18:21" x14ac:dyDescent="0.2">
      <c r="R4267" s="49">
        <v>4265</v>
      </c>
      <c r="S4267" s="59">
        <f ca="1">Dashboard!B$8* Dashboard!$F$4+Dashboard!B$10*SQRT(Dashboard!$F$4) * _xlfn.NORM.S.INV(RAND())</f>
        <v>-1.3827177844966641E-4</v>
      </c>
      <c r="T4267" s="59">
        <f ca="1">Dashboard!C$8* Dashboard!$F$4+Dashboard!C$10*SQRT(Dashboard!$F$4) * _xlfn.NORM.S.INV(RAND())</f>
        <v>-1.5871367416060857E-2</v>
      </c>
      <c r="U4267" s="59">
        <f ca="1">Dashboard!D$8* Dashboard!$F$4+Dashboard!D$10*SQRT(Dashboard!$F$4) * _xlfn.NORM.S.INV(RAND())</f>
        <v>4.8209765273742856E-2</v>
      </c>
    </row>
    <row r="4268" spans="18:21" x14ac:dyDescent="0.2">
      <c r="R4268" s="49">
        <v>4266</v>
      </c>
      <c r="S4268" s="59">
        <f ca="1">Dashboard!B$8* Dashboard!$F$4+Dashboard!B$10*SQRT(Dashboard!$F$4) * _xlfn.NORM.S.INV(RAND())</f>
        <v>2.1209280193300525E-3</v>
      </c>
      <c r="T4268" s="59">
        <f ca="1">Dashboard!C$8* Dashboard!$F$4+Dashboard!C$10*SQRT(Dashboard!$F$4) * _xlfn.NORM.S.INV(RAND())</f>
        <v>3.1505258895965353E-3</v>
      </c>
      <c r="U4268" s="59">
        <f ca="1">Dashboard!D$8* Dashboard!$F$4+Dashboard!D$10*SQRT(Dashboard!$F$4) * _xlfn.NORM.S.INV(RAND())</f>
        <v>3.1332751568644616E-2</v>
      </c>
    </row>
    <row r="4269" spans="18:21" x14ac:dyDescent="0.2">
      <c r="R4269" s="49">
        <v>4267</v>
      </c>
      <c r="S4269" s="59">
        <f ca="1">Dashboard!B$8* Dashboard!$F$4+Dashboard!B$10*SQRT(Dashboard!$F$4) * _xlfn.NORM.S.INV(RAND())</f>
        <v>-1.2329076545108959E-2</v>
      </c>
      <c r="T4269" s="59">
        <f ca="1">Dashboard!C$8* Dashboard!$F$4+Dashboard!C$10*SQRT(Dashboard!$F$4) * _xlfn.NORM.S.INV(RAND())</f>
        <v>4.7359795012169505E-2</v>
      </c>
      <c r="U4269" s="59">
        <f ca="1">Dashboard!D$8* Dashboard!$F$4+Dashboard!D$10*SQRT(Dashboard!$F$4) * _xlfn.NORM.S.INV(RAND())</f>
        <v>-4.3057692097341234E-2</v>
      </c>
    </row>
    <row r="4270" spans="18:21" x14ac:dyDescent="0.2">
      <c r="R4270" s="49">
        <v>4268</v>
      </c>
      <c r="S4270" s="59">
        <f ca="1">Dashboard!B$8* Dashboard!$F$4+Dashboard!B$10*SQRT(Dashboard!$F$4) * _xlfn.NORM.S.INV(RAND())</f>
        <v>1.2745752344871091E-2</v>
      </c>
      <c r="T4270" s="59">
        <f ca="1">Dashboard!C$8* Dashboard!$F$4+Dashboard!C$10*SQRT(Dashboard!$F$4) * _xlfn.NORM.S.INV(RAND())</f>
        <v>-3.8079720244056071E-2</v>
      </c>
      <c r="U4270" s="59">
        <f ca="1">Dashboard!D$8* Dashboard!$F$4+Dashboard!D$10*SQRT(Dashboard!$F$4) * _xlfn.NORM.S.INV(RAND())</f>
        <v>5.6937822726225398E-2</v>
      </c>
    </row>
    <row r="4271" spans="18:21" x14ac:dyDescent="0.2">
      <c r="R4271" s="49">
        <v>4269</v>
      </c>
      <c r="S4271" s="59">
        <f ca="1">Dashboard!B$8* Dashboard!$F$4+Dashboard!B$10*SQRT(Dashboard!$F$4) * _xlfn.NORM.S.INV(RAND())</f>
        <v>1.376585638086939E-2</v>
      </c>
      <c r="T4271" s="59">
        <f ca="1">Dashboard!C$8* Dashboard!$F$4+Dashboard!C$10*SQRT(Dashboard!$F$4) * _xlfn.NORM.S.INV(RAND())</f>
        <v>-1.3508529184129096E-2</v>
      </c>
      <c r="U4271" s="59">
        <f ca="1">Dashboard!D$8* Dashboard!$F$4+Dashboard!D$10*SQRT(Dashboard!$F$4) * _xlfn.NORM.S.INV(RAND())</f>
        <v>3.4382259946023452E-2</v>
      </c>
    </row>
    <row r="4272" spans="18:21" x14ac:dyDescent="0.2">
      <c r="R4272" s="49">
        <v>4270</v>
      </c>
      <c r="S4272" s="59">
        <f ca="1">Dashboard!B$8* Dashboard!$F$4+Dashboard!B$10*SQRT(Dashboard!$F$4) * _xlfn.NORM.S.INV(RAND())</f>
        <v>-4.6420220812161137E-3</v>
      </c>
      <c r="T4272" s="59">
        <f ca="1">Dashboard!C$8* Dashboard!$F$4+Dashboard!C$10*SQRT(Dashboard!$F$4) * _xlfn.NORM.S.INV(RAND())</f>
        <v>-3.3366355559931955E-2</v>
      </c>
      <c r="U4272" s="59">
        <f ca="1">Dashboard!D$8* Dashboard!$F$4+Dashboard!D$10*SQRT(Dashboard!$F$4) * _xlfn.NORM.S.INV(RAND())</f>
        <v>4.5089562688944908E-2</v>
      </c>
    </row>
    <row r="4273" spans="18:21" x14ac:dyDescent="0.2">
      <c r="R4273" s="49">
        <v>4271</v>
      </c>
      <c r="S4273" s="59">
        <f ca="1">Dashboard!B$8* Dashboard!$F$4+Dashboard!B$10*SQRT(Dashboard!$F$4) * _xlfn.NORM.S.INV(RAND())</f>
        <v>-3.7231436400500612E-2</v>
      </c>
      <c r="T4273" s="59">
        <f ca="1">Dashboard!C$8* Dashboard!$F$4+Dashboard!C$10*SQRT(Dashboard!$F$4) * _xlfn.NORM.S.INV(RAND())</f>
        <v>2.2289636526641479E-2</v>
      </c>
      <c r="U4273" s="59">
        <f ca="1">Dashboard!D$8* Dashboard!$F$4+Dashboard!D$10*SQRT(Dashboard!$F$4) * _xlfn.NORM.S.INV(RAND())</f>
        <v>5.2421715628426138E-2</v>
      </c>
    </row>
    <row r="4274" spans="18:21" x14ac:dyDescent="0.2">
      <c r="R4274" s="49">
        <v>4272</v>
      </c>
      <c r="S4274" s="59">
        <f ca="1">Dashboard!B$8* Dashboard!$F$4+Dashboard!B$10*SQRT(Dashboard!$F$4) * _xlfn.NORM.S.INV(RAND())</f>
        <v>-2.2247977269247449E-3</v>
      </c>
      <c r="T4274" s="59">
        <f ca="1">Dashboard!C$8* Dashboard!$F$4+Dashboard!C$10*SQRT(Dashboard!$F$4) * _xlfn.NORM.S.INV(RAND())</f>
        <v>-5.4264809632775426E-2</v>
      </c>
      <c r="U4274" s="59">
        <f ca="1">Dashboard!D$8* Dashboard!$F$4+Dashboard!D$10*SQRT(Dashboard!$F$4) * _xlfn.NORM.S.INV(RAND())</f>
        <v>4.678738963303561E-3</v>
      </c>
    </row>
    <row r="4275" spans="18:21" x14ac:dyDescent="0.2">
      <c r="R4275" s="49">
        <v>4273</v>
      </c>
      <c r="S4275" s="59">
        <f ca="1">Dashboard!B$8* Dashboard!$F$4+Dashboard!B$10*SQRT(Dashboard!$F$4) * _xlfn.NORM.S.INV(RAND())</f>
        <v>-2.7155020095948109E-3</v>
      </c>
      <c r="T4275" s="59">
        <f ca="1">Dashboard!C$8* Dashboard!$F$4+Dashboard!C$10*SQRT(Dashboard!$F$4) * _xlfn.NORM.S.INV(RAND())</f>
        <v>-5.6380417546307529E-2</v>
      </c>
      <c r="U4275" s="59">
        <f ca="1">Dashboard!D$8* Dashboard!$F$4+Dashboard!D$10*SQRT(Dashboard!$F$4) * _xlfn.NORM.S.INV(RAND())</f>
        <v>-4.4858631216942946E-2</v>
      </c>
    </row>
    <row r="4276" spans="18:21" x14ac:dyDescent="0.2">
      <c r="R4276" s="49">
        <v>4274</v>
      </c>
      <c r="S4276" s="59">
        <f ca="1">Dashboard!B$8* Dashboard!$F$4+Dashboard!B$10*SQRT(Dashboard!$F$4) * _xlfn.NORM.S.INV(RAND())</f>
        <v>2.2197238506830232E-2</v>
      </c>
      <c r="T4276" s="59">
        <f ca="1">Dashboard!C$8* Dashboard!$F$4+Dashboard!C$10*SQRT(Dashboard!$F$4) * _xlfn.NORM.S.INV(RAND())</f>
        <v>1.4120981320797102E-2</v>
      </c>
      <c r="U4276" s="59">
        <f ca="1">Dashboard!D$8* Dashboard!$F$4+Dashboard!D$10*SQRT(Dashboard!$F$4) * _xlfn.NORM.S.INV(RAND())</f>
        <v>7.9633604463984695E-3</v>
      </c>
    </row>
    <row r="4277" spans="18:21" x14ac:dyDescent="0.2">
      <c r="R4277" s="49">
        <v>4275</v>
      </c>
      <c r="S4277" s="59">
        <f ca="1">Dashboard!B$8* Dashboard!$F$4+Dashboard!B$10*SQRT(Dashboard!$F$4) * _xlfn.NORM.S.INV(RAND())</f>
        <v>-1.6393400121412854E-2</v>
      </c>
      <c r="T4277" s="59">
        <f ca="1">Dashboard!C$8* Dashboard!$F$4+Dashboard!C$10*SQRT(Dashboard!$F$4) * _xlfn.NORM.S.INV(RAND())</f>
        <v>3.7145093133059415E-2</v>
      </c>
      <c r="U4277" s="59">
        <f ca="1">Dashboard!D$8* Dashboard!$F$4+Dashboard!D$10*SQRT(Dashboard!$F$4) * _xlfn.NORM.S.INV(RAND())</f>
        <v>-1.273831113691125E-2</v>
      </c>
    </row>
    <row r="4278" spans="18:21" x14ac:dyDescent="0.2">
      <c r="R4278" s="49">
        <v>4276</v>
      </c>
      <c r="S4278" s="59">
        <f ca="1">Dashboard!B$8* Dashboard!$F$4+Dashboard!B$10*SQRT(Dashboard!$F$4) * _xlfn.NORM.S.INV(RAND())</f>
        <v>-6.3592142546109627E-3</v>
      </c>
      <c r="T4278" s="59">
        <f ca="1">Dashboard!C$8* Dashboard!$F$4+Dashboard!C$10*SQRT(Dashboard!$F$4) * _xlfn.NORM.S.INV(RAND())</f>
        <v>-2.3474444552281686E-2</v>
      </c>
      <c r="U4278" s="59">
        <f ca="1">Dashboard!D$8* Dashboard!$F$4+Dashboard!D$10*SQRT(Dashboard!$F$4) * _xlfn.NORM.S.INV(RAND())</f>
        <v>-4.9024135031976564E-2</v>
      </c>
    </row>
    <row r="4279" spans="18:21" x14ac:dyDescent="0.2">
      <c r="R4279" s="49">
        <v>4277</v>
      </c>
      <c r="S4279" s="59">
        <f ca="1">Dashboard!B$8* Dashboard!$F$4+Dashboard!B$10*SQRT(Dashboard!$F$4) * _xlfn.NORM.S.INV(RAND())</f>
        <v>-2.9413027475283578E-2</v>
      </c>
      <c r="T4279" s="59">
        <f ca="1">Dashboard!C$8* Dashboard!$F$4+Dashboard!C$10*SQRT(Dashboard!$F$4) * _xlfn.NORM.S.INV(RAND())</f>
        <v>2.6200540593366919E-2</v>
      </c>
      <c r="U4279" s="59">
        <f ca="1">Dashboard!D$8* Dashboard!$F$4+Dashboard!D$10*SQRT(Dashboard!$F$4) * _xlfn.NORM.S.INV(RAND())</f>
        <v>3.818073465780096E-2</v>
      </c>
    </row>
    <row r="4280" spans="18:21" x14ac:dyDescent="0.2">
      <c r="R4280" s="49">
        <v>4278</v>
      </c>
      <c r="S4280" s="59">
        <f ca="1">Dashboard!B$8* Dashboard!$F$4+Dashboard!B$10*SQRT(Dashboard!$F$4) * _xlfn.NORM.S.INV(RAND())</f>
        <v>8.5242284244912911E-3</v>
      </c>
      <c r="T4280" s="59">
        <f ca="1">Dashboard!C$8* Dashboard!$F$4+Dashboard!C$10*SQRT(Dashboard!$F$4) * _xlfn.NORM.S.INV(RAND())</f>
        <v>-5.3122901119413094E-4</v>
      </c>
      <c r="U4280" s="59">
        <f ca="1">Dashboard!D$8* Dashboard!$F$4+Dashboard!D$10*SQRT(Dashboard!$F$4) * _xlfn.NORM.S.INV(RAND())</f>
        <v>4.3073119195244959E-3</v>
      </c>
    </row>
    <row r="4281" spans="18:21" x14ac:dyDescent="0.2">
      <c r="R4281" s="49">
        <v>4279</v>
      </c>
      <c r="S4281" s="59">
        <f ca="1">Dashboard!B$8* Dashboard!$F$4+Dashboard!B$10*SQRT(Dashboard!$F$4) * _xlfn.NORM.S.INV(RAND())</f>
        <v>-2.2622790265805548E-2</v>
      </c>
      <c r="T4281" s="59">
        <f ca="1">Dashboard!C$8* Dashboard!$F$4+Dashboard!C$10*SQRT(Dashboard!$F$4) * _xlfn.NORM.S.INV(RAND())</f>
        <v>1.6958983846622065E-2</v>
      </c>
      <c r="U4281" s="59">
        <f ca="1">Dashboard!D$8* Dashboard!$F$4+Dashboard!D$10*SQRT(Dashboard!$F$4) * _xlfn.NORM.S.INV(RAND())</f>
        <v>1.014376766064063E-2</v>
      </c>
    </row>
    <row r="4282" spans="18:21" x14ac:dyDescent="0.2">
      <c r="R4282" s="49">
        <v>4280</v>
      </c>
      <c r="S4282" s="59">
        <f ca="1">Dashboard!B$8* Dashboard!$F$4+Dashboard!B$10*SQRT(Dashboard!$F$4) * _xlfn.NORM.S.INV(RAND())</f>
        <v>1.4440581030117803E-2</v>
      </c>
      <c r="T4282" s="59">
        <f ca="1">Dashboard!C$8* Dashboard!$F$4+Dashboard!C$10*SQRT(Dashboard!$F$4) * _xlfn.NORM.S.INV(RAND())</f>
        <v>1.6465341610524667E-2</v>
      </c>
      <c r="U4282" s="59">
        <f ca="1">Dashboard!D$8* Dashboard!$F$4+Dashboard!D$10*SQRT(Dashboard!$F$4) * _xlfn.NORM.S.INV(RAND())</f>
        <v>-2.9597223844394442E-2</v>
      </c>
    </row>
    <row r="4283" spans="18:21" x14ac:dyDescent="0.2">
      <c r="R4283" s="49">
        <v>4281</v>
      </c>
      <c r="S4283" s="59">
        <f ca="1">Dashboard!B$8* Dashboard!$F$4+Dashboard!B$10*SQRT(Dashboard!$F$4) * _xlfn.NORM.S.INV(RAND())</f>
        <v>-8.1804998548951832E-3</v>
      </c>
      <c r="T4283" s="59">
        <f ca="1">Dashboard!C$8* Dashboard!$F$4+Dashboard!C$10*SQRT(Dashboard!$F$4) * _xlfn.NORM.S.INV(RAND())</f>
        <v>2.423271990747904E-2</v>
      </c>
      <c r="U4283" s="59">
        <f ca="1">Dashboard!D$8* Dashboard!$F$4+Dashboard!D$10*SQRT(Dashboard!$F$4) * _xlfn.NORM.S.INV(RAND())</f>
        <v>5.3765846691659569E-2</v>
      </c>
    </row>
    <row r="4284" spans="18:21" x14ac:dyDescent="0.2">
      <c r="R4284" s="49">
        <v>4282</v>
      </c>
      <c r="S4284" s="59">
        <f ca="1">Dashboard!B$8* Dashboard!$F$4+Dashboard!B$10*SQRT(Dashboard!$F$4) * _xlfn.NORM.S.INV(RAND())</f>
        <v>3.7992950915798504E-2</v>
      </c>
      <c r="T4284" s="59">
        <f ca="1">Dashboard!C$8* Dashboard!$F$4+Dashboard!C$10*SQRT(Dashboard!$F$4) * _xlfn.NORM.S.INV(RAND())</f>
        <v>-1.1497765443587979E-2</v>
      </c>
      <c r="U4284" s="59">
        <f ca="1">Dashboard!D$8* Dashboard!$F$4+Dashboard!D$10*SQRT(Dashboard!$F$4) * _xlfn.NORM.S.INV(RAND())</f>
        <v>1.5575845592305805E-2</v>
      </c>
    </row>
    <row r="4285" spans="18:21" x14ac:dyDescent="0.2">
      <c r="R4285" s="49">
        <v>4283</v>
      </c>
      <c r="S4285" s="59">
        <f ca="1">Dashboard!B$8* Dashboard!$F$4+Dashboard!B$10*SQRT(Dashboard!$F$4) * _xlfn.NORM.S.INV(RAND())</f>
        <v>5.8957813918398119E-2</v>
      </c>
      <c r="T4285" s="59">
        <f ca="1">Dashboard!C$8* Dashboard!$F$4+Dashboard!C$10*SQRT(Dashboard!$F$4) * _xlfn.NORM.S.INV(RAND())</f>
        <v>2.2235075986376886E-2</v>
      </c>
      <c r="U4285" s="59">
        <f ca="1">Dashboard!D$8* Dashboard!$F$4+Dashboard!D$10*SQRT(Dashboard!$F$4) * _xlfn.NORM.S.INV(RAND())</f>
        <v>-3.6278775389990747E-2</v>
      </c>
    </row>
    <row r="4286" spans="18:21" x14ac:dyDescent="0.2">
      <c r="R4286" s="49">
        <v>4284</v>
      </c>
      <c r="S4286" s="59">
        <f ca="1">Dashboard!B$8* Dashboard!$F$4+Dashboard!B$10*SQRT(Dashboard!$F$4) * _xlfn.NORM.S.INV(RAND())</f>
        <v>-1.4442121534478264E-2</v>
      </c>
      <c r="T4286" s="59">
        <f ca="1">Dashboard!C$8* Dashboard!$F$4+Dashboard!C$10*SQRT(Dashboard!$F$4) * _xlfn.NORM.S.INV(RAND())</f>
        <v>2.7595019182653731E-2</v>
      </c>
      <c r="U4286" s="59">
        <f ca="1">Dashboard!D$8* Dashboard!$F$4+Dashboard!D$10*SQRT(Dashboard!$F$4) * _xlfn.NORM.S.INV(RAND())</f>
        <v>-3.5011354551415918E-3</v>
      </c>
    </row>
    <row r="4287" spans="18:21" x14ac:dyDescent="0.2">
      <c r="R4287" s="49">
        <v>4285</v>
      </c>
      <c r="S4287" s="59">
        <f ca="1">Dashboard!B$8* Dashboard!$F$4+Dashboard!B$10*SQRT(Dashboard!$F$4) * _xlfn.NORM.S.INV(RAND())</f>
        <v>-1.0165052686163935E-3</v>
      </c>
      <c r="T4287" s="59">
        <f ca="1">Dashboard!C$8* Dashboard!$F$4+Dashboard!C$10*SQRT(Dashboard!$F$4) * _xlfn.NORM.S.INV(RAND())</f>
        <v>-4.1207278953878232E-3</v>
      </c>
      <c r="U4287" s="59">
        <f ca="1">Dashboard!D$8* Dashboard!$F$4+Dashboard!D$10*SQRT(Dashboard!$F$4) * _xlfn.NORM.S.INV(RAND())</f>
        <v>-3.9003193155324224E-2</v>
      </c>
    </row>
    <row r="4288" spans="18:21" x14ac:dyDescent="0.2">
      <c r="R4288" s="49">
        <v>4286</v>
      </c>
      <c r="S4288" s="59">
        <f ca="1">Dashboard!B$8* Dashboard!$F$4+Dashboard!B$10*SQRT(Dashboard!$F$4) * _xlfn.NORM.S.INV(RAND())</f>
        <v>-1.0244670919465603E-2</v>
      </c>
      <c r="T4288" s="59">
        <f ca="1">Dashboard!C$8* Dashboard!$F$4+Dashboard!C$10*SQRT(Dashboard!$F$4) * _xlfn.NORM.S.INV(RAND())</f>
        <v>-2.1320974897836145E-2</v>
      </c>
      <c r="U4288" s="59">
        <f ca="1">Dashboard!D$8* Dashboard!$F$4+Dashboard!D$10*SQRT(Dashboard!$F$4) * _xlfn.NORM.S.INV(RAND())</f>
        <v>-3.5840598523811168E-3</v>
      </c>
    </row>
    <row r="4289" spans="18:21" x14ac:dyDescent="0.2">
      <c r="R4289" s="49">
        <v>4287</v>
      </c>
      <c r="S4289" s="59">
        <f ca="1">Dashboard!B$8* Dashboard!$F$4+Dashboard!B$10*SQRT(Dashboard!$F$4) * _xlfn.NORM.S.INV(RAND())</f>
        <v>5.5673536189838804E-3</v>
      </c>
      <c r="T4289" s="59">
        <f ca="1">Dashboard!C$8* Dashboard!$F$4+Dashboard!C$10*SQRT(Dashboard!$F$4) * _xlfn.NORM.S.INV(RAND())</f>
        <v>-3.6060810639870012E-3</v>
      </c>
      <c r="U4289" s="59">
        <f ca="1">Dashboard!D$8* Dashboard!$F$4+Dashboard!D$10*SQRT(Dashboard!$F$4) * _xlfn.NORM.S.INV(RAND())</f>
        <v>3.5746863255038293E-2</v>
      </c>
    </row>
    <row r="4290" spans="18:21" x14ac:dyDescent="0.2">
      <c r="R4290" s="49">
        <v>4288</v>
      </c>
      <c r="S4290" s="59">
        <f ca="1">Dashboard!B$8* Dashboard!$F$4+Dashboard!B$10*SQRT(Dashboard!$F$4) * _xlfn.NORM.S.INV(RAND())</f>
        <v>-3.9782958019169423E-2</v>
      </c>
      <c r="T4290" s="59">
        <f ca="1">Dashboard!C$8* Dashboard!$F$4+Dashboard!C$10*SQRT(Dashboard!$F$4) * _xlfn.NORM.S.INV(RAND())</f>
        <v>4.2710490113022151E-2</v>
      </c>
      <c r="U4290" s="59">
        <f ca="1">Dashboard!D$8* Dashboard!$F$4+Dashboard!D$10*SQRT(Dashboard!$F$4) * _xlfn.NORM.S.INV(RAND())</f>
        <v>2.9000077589634531E-2</v>
      </c>
    </row>
    <row r="4291" spans="18:21" x14ac:dyDescent="0.2">
      <c r="R4291" s="49">
        <v>4289</v>
      </c>
      <c r="S4291" s="59">
        <f ca="1">Dashboard!B$8* Dashboard!$F$4+Dashboard!B$10*SQRT(Dashboard!$F$4) * _xlfn.NORM.S.INV(RAND())</f>
        <v>-1.6170792514541739E-4</v>
      </c>
      <c r="T4291" s="59">
        <f ca="1">Dashboard!C$8* Dashboard!$F$4+Dashboard!C$10*SQRT(Dashboard!$F$4) * _xlfn.NORM.S.INV(RAND())</f>
        <v>3.3945995918756621E-3</v>
      </c>
      <c r="U4291" s="59">
        <f ca="1">Dashboard!D$8* Dashboard!$F$4+Dashboard!D$10*SQRT(Dashboard!$F$4) * _xlfn.NORM.S.INV(RAND())</f>
        <v>3.8638731604155263E-2</v>
      </c>
    </row>
    <row r="4292" spans="18:21" x14ac:dyDescent="0.2">
      <c r="R4292" s="49">
        <v>4290</v>
      </c>
      <c r="S4292" s="59">
        <f ca="1">Dashboard!B$8* Dashboard!$F$4+Dashboard!B$10*SQRT(Dashboard!$F$4) * _xlfn.NORM.S.INV(RAND())</f>
        <v>-2.2051014777494451E-2</v>
      </c>
      <c r="T4292" s="59">
        <f ca="1">Dashboard!C$8* Dashboard!$F$4+Dashboard!C$10*SQRT(Dashboard!$F$4) * _xlfn.NORM.S.INV(RAND())</f>
        <v>9.3287428989473412E-3</v>
      </c>
      <c r="U4292" s="59">
        <f ca="1">Dashboard!D$8* Dashboard!$F$4+Dashboard!D$10*SQRT(Dashboard!$F$4) * _xlfn.NORM.S.INV(RAND())</f>
        <v>1.0312190234599028E-2</v>
      </c>
    </row>
    <row r="4293" spans="18:21" x14ac:dyDescent="0.2">
      <c r="R4293" s="49">
        <v>4291</v>
      </c>
      <c r="S4293" s="59">
        <f ca="1">Dashboard!B$8* Dashboard!$F$4+Dashboard!B$10*SQRT(Dashboard!$F$4) * _xlfn.NORM.S.INV(RAND())</f>
        <v>-3.3110783368166273E-2</v>
      </c>
      <c r="T4293" s="59">
        <f ca="1">Dashboard!C$8* Dashboard!$F$4+Dashboard!C$10*SQRT(Dashboard!$F$4) * _xlfn.NORM.S.INV(RAND())</f>
        <v>-1.6899446869712887E-2</v>
      </c>
      <c r="U4293" s="59">
        <f ca="1">Dashboard!D$8* Dashboard!$F$4+Dashboard!D$10*SQRT(Dashboard!$F$4) * _xlfn.NORM.S.INV(RAND())</f>
        <v>-1.4874525443837419E-2</v>
      </c>
    </row>
    <row r="4294" spans="18:21" x14ac:dyDescent="0.2">
      <c r="R4294" s="49">
        <v>4292</v>
      </c>
      <c r="S4294" s="59">
        <f ca="1">Dashboard!B$8* Dashboard!$F$4+Dashboard!B$10*SQRT(Dashboard!$F$4) * _xlfn.NORM.S.INV(RAND())</f>
        <v>-2.2437423318323844E-2</v>
      </c>
      <c r="T4294" s="59">
        <f ca="1">Dashboard!C$8* Dashboard!$F$4+Dashboard!C$10*SQRT(Dashboard!$F$4) * _xlfn.NORM.S.INV(RAND())</f>
        <v>6.2841336768394387E-2</v>
      </c>
      <c r="U4294" s="59">
        <f ca="1">Dashboard!D$8* Dashboard!$F$4+Dashboard!D$10*SQRT(Dashboard!$F$4) * _xlfn.NORM.S.INV(RAND())</f>
        <v>2.3847631905224178E-2</v>
      </c>
    </row>
    <row r="4295" spans="18:21" x14ac:dyDescent="0.2">
      <c r="R4295" s="49">
        <v>4293</v>
      </c>
      <c r="S4295" s="59">
        <f ca="1">Dashboard!B$8* Dashboard!$F$4+Dashboard!B$10*SQRT(Dashboard!$F$4) * _xlfn.NORM.S.INV(RAND())</f>
        <v>4.9978223802686843E-2</v>
      </c>
      <c r="T4295" s="59">
        <f ca="1">Dashboard!C$8* Dashboard!$F$4+Dashboard!C$10*SQRT(Dashboard!$F$4) * _xlfn.NORM.S.INV(RAND())</f>
        <v>6.3896963309804516E-2</v>
      </c>
      <c r="U4295" s="59">
        <f ca="1">Dashboard!D$8* Dashboard!$F$4+Dashboard!D$10*SQRT(Dashboard!$F$4) * _xlfn.NORM.S.INV(RAND())</f>
        <v>-8.502353219582242E-3</v>
      </c>
    </row>
    <row r="4296" spans="18:21" x14ac:dyDescent="0.2">
      <c r="R4296" s="49">
        <v>4294</v>
      </c>
      <c r="S4296" s="59">
        <f ca="1">Dashboard!B$8* Dashboard!$F$4+Dashboard!B$10*SQRT(Dashboard!$F$4) * _xlfn.NORM.S.INV(RAND())</f>
        <v>-2.2537297668494494E-2</v>
      </c>
      <c r="T4296" s="59">
        <f ca="1">Dashboard!C$8* Dashboard!$F$4+Dashboard!C$10*SQRT(Dashboard!$F$4) * _xlfn.NORM.S.INV(RAND())</f>
        <v>2.4765157726802435E-3</v>
      </c>
      <c r="U4296" s="59">
        <f ca="1">Dashboard!D$8* Dashboard!$F$4+Dashboard!D$10*SQRT(Dashboard!$F$4) * _xlfn.NORM.S.INV(RAND())</f>
        <v>1.1469655950986103E-2</v>
      </c>
    </row>
    <row r="4297" spans="18:21" x14ac:dyDescent="0.2">
      <c r="R4297" s="49">
        <v>4295</v>
      </c>
      <c r="S4297" s="59">
        <f ca="1">Dashboard!B$8* Dashboard!$F$4+Dashboard!B$10*SQRT(Dashboard!$F$4) * _xlfn.NORM.S.INV(RAND())</f>
        <v>9.4318426649342372E-3</v>
      </c>
      <c r="T4297" s="59">
        <f ca="1">Dashboard!C$8* Dashboard!$F$4+Dashboard!C$10*SQRT(Dashboard!$F$4) * _xlfn.NORM.S.INV(RAND())</f>
        <v>-6.5099323378817214E-2</v>
      </c>
      <c r="U4297" s="59">
        <f ca="1">Dashboard!D$8* Dashboard!$F$4+Dashboard!D$10*SQRT(Dashboard!$F$4) * _xlfn.NORM.S.INV(RAND())</f>
        <v>-1.1246213229458726E-2</v>
      </c>
    </row>
    <row r="4298" spans="18:21" x14ac:dyDescent="0.2">
      <c r="R4298" s="49">
        <v>4296</v>
      </c>
      <c r="S4298" s="59">
        <f ca="1">Dashboard!B$8* Dashboard!$F$4+Dashboard!B$10*SQRT(Dashboard!$F$4) * _xlfn.NORM.S.INV(RAND())</f>
        <v>7.3237257697387134E-3</v>
      </c>
      <c r="T4298" s="59">
        <f ca="1">Dashboard!C$8* Dashboard!$F$4+Dashboard!C$10*SQRT(Dashboard!$F$4) * _xlfn.NORM.S.INV(RAND())</f>
        <v>-1.7223269972511265E-2</v>
      </c>
      <c r="U4298" s="59">
        <f ca="1">Dashboard!D$8* Dashboard!$F$4+Dashboard!D$10*SQRT(Dashboard!$F$4) * _xlfn.NORM.S.INV(RAND())</f>
        <v>3.4245251114582077E-2</v>
      </c>
    </row>
    <row r="4299" spans="18:21" x14ac:dyDescent="0.2">
      <c r="R4299" s="49">
        <v>4297</v>
      </c>
      <c r="S4299" s="59">
        <f ca="1">Dashboard!B$8* Dashboard!$F$4+Dashboard!B$10*SQRT(Dashboard!$F$4) * _xlfn.NORM.S.INV(RAND())</f>
        <v>-2.8440711229920732E-3</v>
      </c>
      <c r="T4299" s="59">
        <f ca="1">Dashboard!C$8* Dashboard!$F$4+Dashboard!C$10*SQRT(Dashboard!$F$4) * _xlfn.NORM.S.INV(RAND())</f>
        <v>-2.0911297352688259E-2</v>
      </c>
      <c r="U4299" s="59">
        <f ca="1">Dashboard!D$8* Dashboard!$F$4+Dashboard!D$10*SQRT(Dashboard!$F$4) * _xlfn.NORM.S.INV(RAND())</f>
        <v>7.9737657183848506E-3</v>
      </c>
    </row>
    <row r="4300" spans="18:21" x14ac:dyDescent="0.2">
      <c r="R4300" s="49">
        <v>4298</v>
      </c>
      <c r="S4300" s="59">
        <f ca="1">Dashboard!B$8* Dashboard!$F$4+Dashboard!B$10*SQRT(Dashboard!$F$4) * _xlfn.NORM.S.INV(RAND())</f>
        <v>-6.3238572263829207E-3</v>
      </c>
      <c r="T4300" s="59">
        <f ca="1">Dashboard!C$8* Dashboard!$F$4+Dashboard!C$10*SQRT(Dashboard!$F$4) * _xlfn.NORM.S.INV(RAND())</f>
        <v>2.9962150154511989E-3</v>
      </c>
      <c r="U4300" s="59">
        <f ca="1">Dashboard!D$8* Dashboard!$F$4+Dashboard!D$10*SQRT(Dashboard!$F$4) * _xlfn.NORM.S.INV(RAND())</f>
        <v>3.5396331869548599E-3</v>
      </c>
    </row>
    <row r="4301" spans="18:21" x14ac:dyDescent="0.2">
      <c r="R4301" s="49">
        <v>4299</v>
      </c>
      <c r="S4301" s="59">
        <f ca="1">Dashboard!B$8* Dashboard!$F$4+Dashboard!B$10*SQRT(Dashboard!$F$4) * _xlfn.NORM.S.INV(RAND())</f>
        <v>2.6133161822680133E-3</v>
      </c>
      <c r="T4301" s="59">
        <f ca="1">Dashboard!C$8* Dashboard!$F$4+Dashboard!C$10*SQRT(Dashboard!$F$4) * _xlfn.NORM.S.INV(RAND())</f>
        <v>-3.2987692235498307E-2</v>
      </c>
      <c r="U4301" s="59">
        <f ca="1">Dashboard!D$8* Dashboard!$F$4+Dashboard!D$10*SQRT(Dashboard!$F$4) * _xlfn.NORM.S.INV(RAND())</f>
        <v>3.4401773709090255E-2</v>
      </c>
    </row>
    <row r="4302" spans="18:21" x14ac:dyDescent="0.2">
      <c r="R4302" s="49">
        <v>4300</v>
      </c>
      <c r="S4302" s="59">
        <f ca="1">Dashboard!B$8* Dashboard!$F$4+Dashboard!B$10*SQRT(Dashboard!$F$4) * _xlfn.NORM.S.INV(RAND())</f>
        <v>1.6075512135285287E-3</v>
      </c>
      <c r="T4302" s="59">
        <f ca="1">Dashboard!C$8* Dashboard!$F$4+Dashboard!C$10*SQRT(Dashboard!$F$4) * _xlfn.NORM.S.INV(RAND())</f>
        <v>2.0362544457320712E-2</v>
      </c>
      <c r="U4302" s="59">
        <f ca="1">Dashboard!D$8* Dashboard!$F$4+Dashboard!D$10*SQRT(Dashboard!$F$4) * _xlfn.NORM.S.INV(RAND())</f>
        <v>1.0700345072024522E-2</v>
      </c>
    </row>
    <row r="4303" spans="18:21" x14ac:dyDescent="0.2">
      <c r="R4303" s="49">
        <v>4301</v>
      </c>
      <c r="S4303" s="59">
        <f ca="1">Dashboard!B$8* Dashboard!$F$4+Dashboard!B$10*SQRT(Dashboard!$F$4) * _xlfn.NORM.S.INV(RAND())</f>
        <v>2.7959315318411447E-3</v>
      </c>
      <c r="T4303" s="59">
        <f ca="1">Dashboard!C$8* Dashboard!$F$4+Dashboard!C$10*SQRT(Dashboard!$F$4) * _xlfn.NORM.S.INV(RAND())</f>
        <v>-6.7666688465590055E-2</v>
      </c>
      <c r="U4303" s="59">
        <f ca="1">Dashboard!D$8* Dashboard!$F$4+Dashboard!D$10*SQRT(Dashboard!$F$4) * _xlfn.NORM.S.INV(RAND())</f>
        <v>4.4485828538729864E-2</v>
      </c>
    </row>
    <row r="4304" spans="18:21" x14ac:dyDescent="0.2">
      <c r="R4304" s="49">
        <v>4302</v>
      </c>
      <c r="S4304" s="59">
        <f ca="1">Dashboard!B$8* Dashboard!$F$4+Dashboard!B$10*SQRT(Dashboard!$F$4) * _xlfn.NORM.S.INV(RAND())</f>
        <v>-6.6814722273548302E-2</v>
      </c>
      <c r="T4304" s="59">
        <f ca="1">Dashboard!C$8* Dashboard!$F$4+Dashboard!C$10*SQRT(Dashboard!$F$4) * _xlfn.NORM.S.INV(RAND())</f>
        <v>1.5138550053870242E-2</v>
      </c>
      <c r="U4304" s="59">
        <f ca="1">Dashboard!D$8* Dashboard!$F$4+Dashboard!D$10*SQRT(Dashboard!$F$4) * _xlfn.NORM.S.INV(RAND())</f>
        <v>-5.6110435749728176E-2</v>
      </c>
    </row>
    <row r="4305" spans="18:21" x14ac:dyDescent="0.2">
      <c r="R4305" s="49">
        <v>4303</v>
      </c>
      <c r="S4305" s="59">
        <f ca="1">Dashboard!B$8* Dashboard!$F$4+Dashboard!B$10*SQRT(Dashboard!$F$4) * _xlfn.NORM.S.INV(RAND())</f>
        <v>-8.3413193546948462E-3</v>
      </c>
      <c r="T4305" s="59">
        <f ca="1">Dashboard!C$8* Dashboard!$F$4+Dashboard!C$10*SQRT(Dashboard!$F$4) * _xlfn.NORM.S.INV(RAND())</f>
        <v>2.3586659257191351E-2</v>
      </c>
      <c r="U4305" s="59">
        <f ca="1">Dashboard!D$8* Dashboard!$F$4+Dashboard!D$10*SQRT(Dashboard!$F$4) * _xlfn.NORM.S.INV(RAND())</f>
        <v>5.3680477985953816E-3</v>
      </c>
    </row>
    <row r="4306" spans="18:21" x14ac:dyDescent="0.2">
      <c r="R4306" s="49">
        <v>4304</v>
      </c>
      <c r="S4306" s="59">
        <f ca="1">Dashboard!B$8* Dashboard!$F$4+Dashboard!B$10*SQRT(Dashboard!$F$4) * _xlfn.NORM.S.INV(RAND())</f>
        <v>-4.9995096704625396E-2</v>
      </c>
      <c r="T4306" s="59">
        <f ca="1">Dashboard!C$8* Dashboard!$F$4+Dashboard!C$10*SQRT(Dashboard!$F$4) * _xlfn.NORM.S.INV(RAND())</f>
        <v>7.124369819661415E-2</v>
      </c>
      <c r="U4306" s="59">
        <f ca="1">Dashboard!D$8* Dashboard!$F$4+Dashboard!D$10*SQRT(Dashboard!$F$4) * _xlfn.NORM.S.INV(RAND())</f>
        <v>-2.8332980432229368E-2</v>
      </c>
    </row>
    <row r="4307" spans="18:21" x14ac:dyDescent="0.2">
      <c r="R4307" s="49">
        <v>4305</v>
      </c>
      <c r="S4307" s="59">
        <f ca="1">Dashboard!B$8* Dashboard!$F$4+Dashboard!B$10*SQRT(Dashboard!$F$4) * _xlfn.NORM.S.INV(RAND())</f>
        <v>-1.1474098392625658E-2</v>
      </c>
      <c r="T4307" s="59">
        <f ca="1">Dashboard!C$8* Dashboard!$F$4+Dashboard!C$10*SQRT(Dashboard!$F$4) * _xlfn.NORM.S.INV(RAND())</f>
        <v>1.9957497733711506E-2</v>
      </c>
      <c r="U4307" s="59">
        <f ca="1">Dashboard!D$8* Dashboard!$F$4+Dashboard!D$10*SQRT(Dashboard!$F$4) * _xlfn.NORM.S.INV(RAND())</f>
        <v>1.5004680901829369E-2</v>
      </c>
    </row>
    <row r="4308" spans="18:21" x14ac:dyDescent="0.2">
      <c r="R4308" s="49">
        <v>4306</v>
      </c>
      <c r="S4308" s="59">
        <f ca="1">Dashboard!B$8* Dashboard!$F$4+Dashboard!B$10*SQRT(Dashboard!$F$4) * _xlfn.NORM.S.INV(RAND())</f>
        <v>-2.6516426829884801E-4</v>
      </c>
      <c r="T4308" s="59">
        <f ca="1">Dashboard!C$8* Dashboard!$F$4+Dashboard!C$10*SQRT(Dashboard!$F$4) * _xlfn.NORM.S.INV(RAND())</f>
        <v>2.7168805241627004E-2</v>
      </c>
      <c r="U4308" s="59">
        <f ca="1">Dashboard!D$8* Dashboard!$F$4+Dashboard!D$10*SQRT(Dashboard!$F$4) * _xlfn.NORM.S.INV(RAND())</f>
        <v>-2.675528191609932E-2</v>
      </c>
    </row>
    <row r="4309" spans="18:21" x14ac:dyDescent="0.2">
      <c r="R4309" s="49">
        <v>4307</v>
      </c>
      <c r="S4309" s="59">
        <f ca="1">Dashboard!B$8* Dashboard!$F$4+Dashboard!B$10*SQRT(Dashboard!$F$4) * _xlfn.NORM.S.INV(RAND())</f>
        <v>9.9246187724230731E-3</v>
      </c>
      <c r="T4309" s="59">
        <f ca="1">Dashboard!C$8* Dashboard!$F$4+Dashboard!C$10*SQRT(Dashboard!$F$4) * _xlfn.NORM.S.INV(RAND())</f>
        <v>4.2059587945237252E-2</v>
      </c>
      <c r="U4309" s="59">
        <f ca="1">Dashboard!D$8* Dashboard!$F$4+Dashboard!D$10*SQRT(Dashboard!$F$4) * _xlfn.NORM.S.INV(RAND())</f>
        <v>2.7576312553500935E-3</v>
      </c>
    </row>
    <row r="4310" spans="18:21" x14ac:dyDescent="0.2">
      <c r="R4310" s="49">
        <v>4308</v>
      </c>
      <c r="S4310" s="59">
        <f ca="1">Dashboard!B$8* Dashboard!$F$4+Dashboard!B$10*SQRT(Dashboard!$F$4) * _xlfn.NORM.S.INV(RAND())</f>
        <v>5.3908523708771056E-2</v>
      </c>
      <c r="T4310" s="59">
        <f ca="1">Dashboard!C$8* Dashboard!$F$4+Dashboard!C$10*SQRT(Dashboard!$F$4) * _xlfn.NORM.S.INV(RAND())</f>
        <v>3.0063246623014149E-2</v>
      </c>
      <c r="U4310" s="59">
        <f ca="1">Dashboard!D$8* Dashboard!$F$4+Dashboard!D$10*SQRT(Dashboard!$F$4) * _xlfn.NORM.S.INV(RAND())</f>
        <v>-2.7766904285093964E-2</v>
      </c>
    </row>
    <row r="4311" spans="18:21" x14ac:dyDescent="0.2">
      <c r="R4311" s="49">
        <v>4309</v>
      </c>
      <c r="S4311" s="59">
        <f ca="1">Dashboard!B$8* Dashboard!$F$4+Dashboard!B$10*SQRT(Dashboard!$F$4) * _xlfn.NORM.S.INV(RAND())</f>
        <v>1.5603116408111123E-2</v>
      </c>
      <c r="T4311" s="59">
        <f ca="1">Dashboard!C$8* Dashboard!$F$4+Dashboard!C$10*SQRT(Dashboard!$F$4) * _xlfn.NORM.S.INV(RAND())</f>
        <v>9.1458403169460117E-3</v>
      </c>
      <c r="U4311" s="59">
        <f ca="1">Dashboard!D$8* Dashboard!$F$4+Dashboard!D$10*SQRT(Dashboard!$F$4) * _xlfn.NORM.S.INV(RAND())</f>
        <v>5.9984657703709074E-2</v>
      </c>
    </row>
    <row r="4312" spans="18:21" x14ac:dyDescent="0.2">
      <c r="R4312" s="49">
        <v>4310</v>
      </c>
      <c r="S4312" s="59">
        <f ca="1">Dashboard!B$8* Dashboard!$F$4+Dashboard!B$10*SQRT(Dashboard!$F$4) * _xlfn.NORM.S.INV(RAND())</f>
        <v>2.4695369978589975E-2</v>
      </c>
      <c r="T4312" s="59">
        <f ca="1">Dashboard!C$8* Dashboard!$F$4+Dashboard!C$10*SQRT(Dashboard!$F$4) * _xlfn.NORM.S.INV(RAND())</f>
        <v>2.7433596880909562E-2</v>
      </c>
      <c r="U4312" s="59">
        <f ca="1">Dashboard!D$8* Dashboard!$F$4+Dashboard!D$10*SQRT(Dashboard!$F$4) * _xlfn.NORM.S.INV(RAND())</f>
        <v>-6.9926515611612216E-3</v>
      </c>
    </row>
    <row r="4313" spans="18:21" x14ac:dyDescent="0.2">
      <c r="R4313" s="49">
        <v>4311</v>
      </c>
      <c r="S4313" s="59">
        <f ca="1">Dashboard!B$8* Dashboard!$F$4+Dashboard!B$10*SQRT(Dashboard!$F$4) * _xlfn.NORM.S.INV(RAND())</f>
        <v>-5.2753985531070122E-2</v>
      </c>
      <c r="T4313" s="59">
        <f ca="1">Dashboard!C$8* Dashboard!$F$4+Dashboard!C$10*SQRT(Dashboard!$F$4) * _xlfn.NORM.S.INV(RAND())</f>
        <v>1.102920487980945E-2</v>
      </c>
      <c r="U4313" s="59">
        <f ca="1">Dashboard!D$8* Dashboard!$F$4+Dashboard!D$10*SQRT(Dashboard!$F$4) * _xlfn.NORM.S.INV(RAND())</f>
        <v>3.4575086801051064E-2</v>
      </c>
    </row>
    <row r="4314" spans="18:21" x14ac:dyDescent="0.2">
      <c r="R4314" s="49">
        <v>4312</v>
      </c>
      <c r="S4314" s="59">
        <f ca="1">Dashboard!B$8* Dashboard!$F$4+Dashboard!B$10*SQRT(Dashboard!$F$4) * _xlfn.NORM.S.INV(RAND())</f>
        <v>-6.7739233452521169E-2</v>
      </c>
      <c r="T4314" s="59">
        <f ca="1">Dashboard!C$8* Dashboard!$F$4+Dashboard!C$10*SQRT(Dashboard!$F$4) * _xlfn.NORM.S.INV(RAND())</f>
        <v>-8.8956034938214058E-3</v>
      </c>
      <c r="U4314" s="59">
        <f ca="1">Dashboard!D$8* Dashboard!$F$4+Dashboard!D$10*SQRT(Dashboard!$F$4) * _xlfn.NORM.S.INV(RAND())</f>
        <v>-1.6715754165001945E-2</v>
      </c>
    </row>
    <row r="4315" spans="18:21" x14ac:dyDescent="0.2">
      <c r="R4315" s="49">
        <v>4313</v>
      </c>
      <c r="S4315" s="59">
        <f ca="1">Dashboard!B$8* Dashboard!$F$4+Dashboard!B$10*SQRT(Dashboard!$F$4) * _xlfn.NORM.S.INV(RAND())</f>
        <v>-2.1200727878814496E-2</v>
      </c>
      <c r="T4315" s="59">
        <f ca="1">Dashboard!C$8* Dashboard!$F$4+Dashboard!C$10*SQRT(Dashboard!$F$4) * _xlfn.NORM.S.INV(RAND())</f>
        <v>1.7720399204218137E-2</v>
      </c>
      <c r="U4315" s="59">
        <f ca="1">Dashboard!D$8* Dashboard!$F$4+Dashboard!D$10*SQRT(Dashboard!$F$4) * _xlfn.NORM.S.INV(RAND())</f>
        <v>2.5875617020727958E-2</v>
      </c>
    </row>
    <row r="4316" spans="18:21" x14ac:dyDescent="0.2">
      <c r="R4316" s="49">
        <v>4314</v>
      </c>
      <c r="S4316" s="59">
        <f ca="1">Dashboard!B$8* Dashboard!$F$4+Dashboard!B$10*SQRT(Dashboard!$F$4) * _xlfn.NORM.S.INV(RAND())</f>
        <v>1.1531512404586207E-2</v>
      </c>
      <c r="T4316" s="59">
        <f ca="1">Dashboard!C$8* Dashboard!$F$4+Dashboard!C$10*SQRT(Dashboard!$F$4) * _xlfn.NORM.S.INV(RAND())</f>
        <v>-4.3213599878662017E-2</v>
      </c>
      <c r="U4316" s="59">
        <f ca="1">Dashboard!D$8* Dashboard!$F$4+Dashboard!D$10*SQRT(Dashboard!$F$4) * _xlfn.NORM.S.INV(RAND())</f>
        <v>-4.2973270435883421E-2</v>
      </c>
    </row>
    <row r="4317" spans="18:21" x14ac:dyDescent="0.2">
      <c r="R4317" s="49">
        <v>4315</v>
      </c>
      <c r="S4317" s="59">
        <f ca="1">Dashboard!B$8* Dashboard!$F$4+Dashboard!B$10*SQRT(Dashboard!$F$4) * _xlfn.NORM.S.INV(RAND())</f>
        <v>-2.7293672362930899E-2</v>
      </c>
      <c r="T4317" s="59">
        <f ca="1">Dashboard!C$8* Dashboard!$F$4+Dashboard!C$10*SQRT(Dashboard!$F$4) * _xlfn.NORM.S.INV(RAND())</f>
        <v>6.5205910808321166E-2</v>
      </c>
      <c r="U4317" s="59">
        <f ca="1">Dashboard!D$8* Dashboard!$F$4+Dashboard!D$10*SQRT(Dashboard!$F$4) * _xlfn.NORM.S.INV(RAND())</f>
        <v>-3.3571025421658116E-2</v>
      </c>
    </row>
    <row r="4318" spans="18:21" x14ac:dyDescent="0.2">
      <c r="R4318" s="49">
        <v>4316</v>
      </c>
      <c r="S4318" s="59">
        <f ca="1">Dashboard!B$8* Dashboard!$F$4+Dashboard!B$10*SQRT(Dashboard!$F$4) * _xlfn.NORM.S.INV(RAND())</f>
        <v>-9.2903689380729321E-3</v>
      </c>
      <c r="T4318" s="59">
        <f ca="1">Dashboard!C$8* Dashboard!$F$4+Dashboard!C$10*SQRT(Dashboard!$F$4) * _xlfn.NORM.S.INV(RAND())</f>
        <v>1.27070310443591E-2</v>
      </c>
      <c r="U4318" s="59">
        <f ca="1">Dashboard!D$8* Dashboard!$F$4+Dashboard!D$10*SQRT(Dashboard!$F$4) * _xlfn.NORM.S.INV(RAND())</f>
        <v>1.9285628589323318E-2</v>
      </c>
    </row>
    <row r="4319" spans="18:21" x14ac:dyDescent="0.2">
      <c r="R4319" s="49">
        <v>4317</v>
      </c>
      <c r="S4319" s="59">
        <f ca="1">Dashboard!B$8* Dashboard!$F$4+Dashboard!B$10*SQRT(Dashboard!$F$4) * _xlfn.NORM.S.INV(RAND())</f>
        <v>-2.7009011724184552E-2</v>
      </c>
      <c r="T4319" s="59">
        <f ca="1">Dashboard!C$8* Dashboard!$F$4+Dashboard!C$10*SQRT(Dashboard!$F$4) * _xlfn.NORM.S.INV(RAND())</f>
        <v>6.1073276039027924E-3</v>
      </c>
      <c r="U4319" s="59">
        <f ca="1">Dashboard!D$8* Dashboard!$F$4+Dashboard!D$10*SQRT(Dashboard!$F$4) * _xlfn.NORM.S.INV(RAND())</f>
        <v>-1.1589680811222433E-2</v>
      </c>
    </row>
    <row r="4320" spans="18:21" x14ac:dyDescent="0.2">
      <c r="R4320" s="49">
        <v>4318</v>
      </c>
      <c r="S4320" s="59">
        <f ca="1">Dashboard!B$8* Dashboard!$F$4+Dashboard!B$10*SQRT(Dashboard!$F$4) * _xlfn.NORM.S.INV(RAND())</f>
        <v>2.393555328308835E-2</v>
      </c>
      <c r="T4320" s="59">
        <f ca="1">Dashboard!C$8* Dashboard!$F$4+Dashboard!C$10*SQRT(Dashboard!$F$4) * _xlfn.NORM.S.INV(RAND())</f>
        <v>3.2607613843082368E-3</v>
      </c>
      <c r="U4320" s="59">
        <f ca="1">Dashboard!D$8* Dashboard!$F$4+Dashboard!D$10*SQRT(Dashboard!$F$4) * _xlfn.NORM.S.INV(RAND())</f>
        <v>6.5876055286495414E-2</v>
      </c>
    </row>
    <row r="4321" spans="18:21" x14ac:dyDescent="0.2">
      <c r="R4321" s="49">
        <v>4319</v>
      </c>
      <c r="S4321" s="59">
        <f ca="1">Dashboard!B$8* Dashboard!$F$4+Dashboard!B$10*SQRT(Dashboard!$F$4) * _xlfn.NORM.S.INV(RAND())</f>
        <v>1.751059590470129E-2</v>
      </c>
      <c r="T4321" s="59">
        <f ca="1">Dashboard!C$8* Dashboard!$F$4+Dashboard!C$10*SQRT(Dashboard!$F$4) * _xlfn.NORM.S.INV(RAND())</f>
        <v>-2.9527383248187673E-2</v>
      </c>
      <c r="U4321" s="59">
        <f ca="1">Dashboard!D$8* Dashboard!$F$4+Dashboard!D$10*SQRT(Dashboard!$F$4) * _xlfn.NORM.S.INV(RAND())</f>
        <v>-3.5724751926623586E-3</v>
      </c>
    </row>
    <row r="4322" spans="18:21" x14ac:dyDescent="0.2">
      <c r="R4322" s="49">
        <v>4320</v>
      </c>
      <c r="S4322" s="59">
        <f ca="1">Dashboard!B$8* Dashboard!$F$4+Dashboard!B$10*SQRT(Dashboard!$F$4) * _xlfn.NORM.S.INV(RAND())</f>
        <v>-1.9064789305389535E-2</v>
      </c>
      <c r="T4322" s="59">
        <f ca="1">Dashboard!C$8* Dashboard!$F$4+Dashboard!C$10*SQRT(Dashboard!$F$4) * _xlfn.NORM.S.INV(RAND())</f>
        <v>-1.1409692944791182E-2</v>
      </c>
      <c r="U4322" s="59">
        <f ca="1">Dashboard!D$8* Dashboard!$F$4+Dashboard!D$10*SQRT(Dashboard!$F$4) * _xlfn.NORM.S.INV(RAND())</f>
        <v>2.8752796232852547E-2</v>
      </c>
    </row>
    <row r="4323" spans="18:21" x14ac:dyDescent="0.2">
      <c r="R4323" s="49">
        <v>4321</v>
      </c>
      <c r="S4323" s="59">
        <f ca="1">Dashboard!B$8* Dashboard!$F$4+Dashboard!B$10*SQRT(Dashboard!$F$4) * _xlfn.NORM.S.INV(RAND())</f>
        <v>-6.2404823386635069E-2</v>
      </c>
      <c r="T4323" s="59">
        <f ca="1">Dashboard!C$8* Dashboard!$F$4+Dashboard!C$10*SQRT(Dashboard!$F$4) * _xlfn.NORM.S.INV(RAND())</f>
        <v>-1.0325338733308256E-3</v>
      </c>
      <c r="U4323" s="59">
        <f ca="1">Dashboard!D$8* Dashboard!$F$4+Dashboard!D$10*SQRT(Dashboard!$F$4) * _xlfn.NORM.S.INV(RAND())</f>
        <v>4.0200651328646017E-2</v>
      </c>
    </row>
    <row r="4324" spans="18:21" x14ac:dyDescent="0.2">
      <c r="R4324" s="49">
        <v>4322</v>
      </c>
      <c r="S4324" s="59">
        <f ca="1">Dashboard!B$8* Dashboard!$F$4+Dashboard!B$10*SQRT(Dashboard!$F$4) * _xlfn.NORM.S.INV(RAND())</f>
        <v>-4.4820032399138891E-2</v>
      </c>
      <c r="T4324" s="59">
        <f ca="1">Dashboard!C$8* Dashboard!$F$4+Dashboard!C$10*SQRT(Dashboard!$F$4) * _xlfn.NORM.S.INV(RAND())</f>
        <v>6.4588542373935673E-2</v>
      </c>
      <c r="U4324" s="59">
        <f ca="1">Dashboard!D$8* Dashboard!$F$4+Dashboard!D$10*SQRT(Dashboard!$F$4) * _xlfn.NORM.S.INV(RAND())</f>
        <v>6.3987946152391978E-2</v>
      </c>
    </row>
    <row r="4325" spans="18:21" x14ac:dyDescent="0.2">
      <c r="R4325" s="49">
        <v>4323</v>
      </c>
      <c r="S4325" s="59">
        <f ca="1">Dashboard!B$8* Dashboard!$F$4+Dashboard!B$10*SQRT(Dashboard!$F$4) * _xlfn.NORM.S.INV(RAND())</f>
        <v>3.546838013873909E-2</v>
      </c>
      <c r="T4325" s="59">
        <f ca="1">Dashboard!C$8* Dashboard!$F$4+Dashboard!C$10*SQRT(Dashboard!$F$4) * _xlfn.NORM.S.INV(RAND())</f>
        <v>-1.8781822652623799E-2</v>
      </c>
      <c r="U4325" s="59">
        <f ca="1">Dashboard!D$8* Dashboard!$F$4+Dashboard!D$10*SQRT(Dashboard!$F$4) * _xlfn.NORM.S.INV(RAND())</f>
        <v>-3.5638720149776842E-2</v>
      </c>
    </row>
    <row r="4326" spans="18:21" x14ac:dyDescent="0.2">
      <c r="R4326" s="49">
        <v>4324</v>
      </c>
      <c r="S4326" s="59">
        <f ca="1">Dashboard!B$8* Dashboard!$F$4+Dashboard!B$10*SQRT(Dashboard!$F$4) * _xlfn.NORM.S.INV(RAND())</f>
        <v>-2.353243375860975E-2</v>
      </c>
      <c r="T4326" s="59">
        <f ca="1">Dashboard!C$8* Dashboard!$F$4+Dashboard!C$10*SQRT(Dashboard!$F$4) * _xlfn.NORM.S.INV(RAND())</f>
        <v>-3.0074954913438531E-2</v>
      </c>
      <c r="U4326" s="59">
        <f ca="1">Dashboard!D$8* Dashboard!$F$4+Dashboard!D$10*SQRT(Dashboard!$F$4) * _xlfn.NORM.S.INV(RAND())</f>
        <v>6.2377601716292648E-2</v>
      </c>
    </row>
    <row r="4327" spans="18:21" x14ac:dyDescent="0.2">
      <c r="R4327" s="49">
        <v>4325</v>
      </c>
      <c r="S4327" s="59">
        <f ca="1">Dashboard!B$8* Dashboard!$F$4+Dashboard!B$10*SQRT(Dashboard!$F$4) * _xlfn.NORM.S.INV(RAND())</f>
        <v>3.7442359740033852E-3</v>
      </c>
      <c r="T4327" s="59">
        <f ca="1">Dashboard!C$8* Dashboard!$F$4+Dashboard!C$10*SQRT(Dashboard!$F$4) * _xlfn.NORM.S.INV(RAND())</f>
        <v>3.1842850591779694E-2</v>
      </c>
      <c r="U4327" s="59">
        <f ca="1">Dashboard!D$8* Dashboard!$F$4+Dashboard!D$10*SQRT(Dashboard!$F$4) * _xlfn.NORM.S.INV(RAND())</f>
        <v>-3.2830498312965015E-2</v>
      </c>
    </row>
    <row r="4328" spans="18:21" x14ac:dyDescent="0.2">
      <c r="R4328" s="49">
        <v>4326</v>
      </c>
      <c r="S4328" s="59">
        <f ca="1">Dashboard!B$8* Dashboard!$F$4+Dashboard!B$10*SQRT(Dashboard!$F$4) * _xlfn.NORM.S.INV(RAND())</f>
        <v>-3.2364520203881669E-2</v>
      </c>
      <c r="T4328" s="59">
        <f ca="1">Dashboard!C$8* Dashboard!$F$4+Dashboard!C$10*SQRT(Dashboard!$F$4) * _xlfn.NORM.S.INV(RAND())</f>
        <v>1.9948934470798808E-2</v>
      </c>
      <c r="U4328" s="59">
        <f ca="1">Dashboard!D$8* Dashboard!$F$4+Dashboard!D$10*SQRT(Dashboard!$F$4) * _xlfn.NORM.S.INV(RAND())</f>
        <v>3.3081253010070158E-2</v>
      </c>
    </row>
    <row r="4329" spans="18:21" x14ac:dyDescent="0.2">
      <c r="R4329" s="49">
        <v>4327</v>
      </c>
      <c r="S4329" s="59">
        <f ca="1">Dashboard!B$8* Dashboard!$F$4+Dashboard!B$10*SQRT(Dashboard!$F$4) * _xlfn.NORM.S.INV(RAND())</f>
        <v>-8.291772597302538E-2</v>
      </c>
      <c r="T4329" s="59">
        <f ca="1">Dashboard!C$8* Dashboard!$F$4+Dashboard!C$10*SQRT(Dashboard!$F$4) * _xlfn.NORM.S.INV(RAND())</f>
        <v>-4.6843222168845469E-2</v>
      </c>
      <c r="U4329" s="59">
        <f ca="1">Dashboard!D$8* Dashboard!$F$4+Dashboard!D$10*SQRT(Dashboard!$F$4) * _xlfn.NORM.S.INV(RAND())</f>
        <v>-1.8012793725096617E-2</v>
      </c>
    </row>
    <row r="4330" spans="18:21" x14ac:dyDescent="0.2">
      <c r="R4330" s="49">
        <v>4328</v>
      </c>
      <c r="S4330" s="59">
        <f ca="1">Dashboard!B$8* Dashboard!$F$4+Dashboard!B$10*SQRT(Dashboard!$F$4) * _xlfn.NORM.S.INV(RAND())</f>
        <v>1.847110663091997E-2</v>
      </c>
      <c r="T4330" s="59">
        <f ca="1">Dashboard!C$8* Dashboard!$F$4+Dashboard!C$10*SQRT(Dashboard!$F$4) * _xlfn.NORM.S.INV(RAND())</f>
        <v>-2.8897021176240423E-2</v>
      </c>
      <c r="U4330" s="59">
        <f ca="1">Dashboard!D$8* Dashboard!$F$4+Dashboard!D$10*SQRT(Dashboard!$F$4) * _xlfn.NORM.S.INV(RAND())</f>
        <v>3.618895805360918E-2</v>
      </c>
    </row>
    <row r="4331" spans="18:21" x14ac:dyDescent="0.2">
      <c r="R4331" s="49">
        <v>4329</v>
      </c>
      <c r="S4331" s="59">
        <f ca="1">Dashboard!B$8* Dashboard!$F$4+Dashboard!B$10*SQRT(Dashboard!$F$4) * _xlfn.NORM.S.INV(RAND())</f>
        <v>3.2360635977716455E-3</v>
      </c>
      <c r="T4331" s="59">
        <f ca="1">Dashboard!C$8* Dashboard!$F$4+Dashboard!C$10*SQRT(Dashboard!$F$4) * _xlfn.NORM.S.INV(RAND())</f>
        <v>2.6021551136729746E-2</v>
      </c>
      <c r="U4331" s="59">
        <f ca="1">Dashboard!D$8* Dashboard!$F$4+Dashboard!D$10*SQRT(Dashboard!$F$4) * _xlfn.NORM.S.INV(RAND())</f>
        <v>-5.3602136443718874E-3</v>
      </c>
    </row>
    <row r="4332" spans="18:21" x14ac:dyDescent="0.2">
      <c r="R4332" s="49">
        <v>4330</v>
      </c>
      <c r="S4332" s="59">
        <f ca="1">Dashboard!B$8* Dashboard!$F$4+Dashboard!B$10*SQRT(Dashboard!$F$4) * _xlfn.NORM.S.INV(RAND())</f>
        <v>1.9822768953354421E-2</v>
      </c>
      <c r="T4332" s="59">
        <f ca="1">Dashboard!C$8* Dashboard!$F$4+Dashboard!C$10*SQRT(Dashboard!$F$4) * _xlfn.NORM.S.INV(RAND())</f>
        <v>8.6940433615022E-3</v>
      </c>
      <c r="U4332" s="59">
        <f ca="1">Dashboard!D$8* Dashboard!$F$4+Dashboard!D$10*SQRT(Dashboard!$F$4) * _xlfn.NORM.S.INV(RAND())</f>
        <v>-3.1129412390801064E-2</v>
      </c>
    </row>
    <row r="4333" spans="18:21" x14ac:dyDescent="0.2">
      <c r="R4333" s="49">
        <v>4331</v>
      </c>
      <c r="S4333" s="59">
        <f ca="1">Dashboard!B$8* Dashboard!$F$4+Dashboard!B$10*SQRT(Dashboard!$F$4) * _xlfn.NORM.S.INV(RAND())</f>
        <v>-8.1822885022777864E-3</v>
      </c>
      <c r="T4333" s="59">
        <f ca="1">Dashboard!C$8* Dashboard!$F$4+Dashboard!C$10*SQRT(Dashboard!$F$4) * _xlfn.NORM.S.INV(RAND())</f>
        <v>-3.7270786110898936E-2</v>
      </c>
      <c r="U4333" s="59">
        <f ca="1">Dashboard!D$8* Dashboard!$F$4+Dashboard!D$10*SQRT(Dashboard!$F$4) * _xlfn.NORM.S.INV(RAND())</f>
        <v>4.245112590440285E-2</v>
      </c>
    </row>
    <row r="4334" spans="18:21" x14ac:dyDescent="0.2">
      <c r="R4334" s="49">
        <v>4332</v>
      </c>
      <c r="S4334" s="59">
        <f ca="1">Dashboard!B$8* Dashboard!$F$4+Dashboard!B$10*SQRT(Dashboard!$F$4) * _xlfn.NORM.S.INV(RAND())</f>
        <v>-2.7423900071992718E-2</v>
      </c>
      <c r="T4334" s="59">
        <f ca="1">Dashboard!C$8* Dashboard!$F$4+Dashboard!C$10*SQRT(Dashboard!$F$4) * _xlfn.NORM.S.INV(RAND())</f>
        <v>3.3466935960726592E-2</v>
      </c>
      <c r="U4334" s="59">
        <f ca="1">Dashboard!D$8* Dashboard!$F$4+Dashboard!D$10*SQRT(Dashboard!$F$4) * _xlfn.NORM.S.INV(RAND())</f>
        <v>1.3108357852196644E-2</v>
      </c>
    </row>
    <row r="4335" spans="18:21" x14ac:dyDescent="0.2">
      <c r="R4335" s="49">
        <v>4333</v>
      </c>
      <c r="S4335" s="59">
        <f ca="1">Dashboard!B$8* Dashboard!$F$4+Dashboard!B$10*SQRT(Dashboard!$F$4) * _xlfn.NORM.S.INV(RAND())</f>
        <v>-3.343436264661008E-2</v>
      </c>
      <c r="T4335" s="59">
        <f ca="1">Dashboard!C$8* Dashboard!$F$4+Dashboard!C$10*SQRT(Dashboard!$F$4) * _xlfn.NORM.S.INV(RAND())</f>
        <v>2.6950992047670808E-2</v>
      </c>
      <c r="U4335" s="59">
        <f ca="1">Dashboard!D$8* Dashboard!$F$4+Dashboard!D$10*SQRT(Dashboard!$F$4) * _xlfn.NORM.S.INV(RAND())</f>
        <v>-1.5563879929342949E-2</v>
      </c>
    </row>
    <row r="4336" spans="18:21" x14ac:dyDescent="0.2">
      <c r="R4336" s="49">
        <v>4334</v>
      </c>
      <c r="S4336" s="59">
        <f ca="1">Dashboard!B$8* Dashboard!$F$4+Dashboard!B$10*SQRT(Dashboard!$F$4) * _xlfn.NORM.S.INV(RAND())</f>
        <v>-2.5386787626555281E-2</v>
      </c>
      <c r="T4336" s="59">
        <f ca="1">Dashboard!C$8* Dashboard!$F$4+Dashboard!C$10*SQRT(Dashboard!$F$4) * _xlfn.NORM.S.INV(RAND())</f>
        <v>-2.2822667505961874E-2</v>
      </c>
      <c r="U4336" s="59">
        <f ca="1">Dashboard!D$8* Dashboard!$F$4+Dashboard!D$10*SQRT(Dashboard!$F$4) * _xlfn.NORM.S.INV(RAND())</f>
        <v>-3.7438937915205958E-2</v>
      </c>
    </row>
    <row r="4337" spans="18:21" x14ac:dyDescent="0.2">
      <c r="R4337" s="49">
        <v>4335</v>
      </c>
      <c r="S4337" s="59">
        <f ca="1">Dashboard!B$8* Dashboard!$F$4+Dashboard!B$10*SQRT(Dashboard!$F$4) * _xlfn.NORM.S.INV(RAND())</f>
        <v>-7.564845564708305E-3</v>
      </c>
      <c r="T4337" s="59">
        <f ca="1">Dashboard!C$8* Dashboard!$F$4+Dashboard!C$10*SQRT(Dashboard!$F$4) * _xlfn.NORM.S.INV(RAND())</f>
        <v>-1.9464441723189754E-2</v>
      </c>
      <c r="U4337" s="59">
        <f ca="1">Dashboard!D$8* Dashboard!$F$4+Dashboard!D$10*SQRT(Dashboard!$F$4) * _xlfn.NORM.S.INV(RAND())</f>
        <v>-4.0895377504770347E-2</v>
      </c>
    </row>
    <row r="4338" spans="18:21" x14ac:dyDescent="0.2">
      <c r="R4338" s="49">
        <v>4336</v>
      </c>
      <c r="S4338" s="59">
        <f ca="1">Dashboard!B$8* Dashboard!$F$4+Dashboard!B$10*SQRT(Dashboard!$F$4) * _xlfn.NORM.S.INV(RAND())</f>
        <v>1.7673307005418255E-2</v>
      </c>
      <c r="T4338" s="59">
        <f ca="1">Dashboard!C$8* Dashboard!$F$4+Dashboard!C$10*SQRT(Dashboard!$F$4) * _xlfn.NORM.S.INV(RAND())</f>
        <v>2.5512278676461296E-2</v>
      </c>
      <c r="U4338" s="59">
        <f ca="1">Dashboard!D$8* Dashboard!$F$4+Dashboard!D$10*SQRT(Dashboard!$F$4) * _xlfn.NORM.S.INV(RAND())</f>
        <v>-2.0707015976433065E-2</v>
      </c>
    </row>
    <row r="4339" spans="18:21" x14ac:dyDescent="0.2">
      <c r="R4339" s="49">
        <v>4337</v>
      </c>
      <c r="S4339" s="59">
        <f ca="1">Dashboard!B$8* Dashboard!$F$4+Dashboard!B$10*SQRT(Dashboard!$F$4) * _xlfn.NORM.S.INV(RAND())</f>
        <v>2.6247270160537333E-4</v>
      </c>
      <c r="T4339" s="59">
        <f ca="1">Dashboard!C$8* Dashboard!$F$4+Dashboard!C$10*SQRT(Dashboard!$F$4) * _xlfn.NORM.S.INV(RAND())</f>
        <v>7.850361715545523E-2</v>
      </c>
      <c r="U4339" s="59">
        <f ca="1">Dashboard!D$8* Dashboard!$F$4+Dashboard!D$10*SQRT(Dashboard!$F$4) * _xlfn.NORM.S.INV(RAND())</f>
        <v>-5.1945797526812089E-2</v>
      </c>
    </row>
    <row r="4340" spans="18:21" x14ac:dyDescent="0.2">
      <c r="R4340" s="49">
        <v>4338</v>
      </c>
      <c r="S4340" s="59">
        <f ca="1">Dashboard!B$8* Dashboard!$F$4+Dashboard!B$10*SQRT(Dashboard!$F$4) * _xlfn.NORM.S.INV(RAND())</f>
        <v>-5.0230652136541536E-2</v>
      </c>
      <c r="T4340" s="59">
        <f ca="1">Dashboard!C$8* Dashboard!$F$4+Dashboard!C$10*SQRT(Dashboard!$F$4) * _xlfn.NORM.S.INV(RAND())</f>
        <v>2.3737287972282133E-2</v>
      </c>
      <c r="U4340" s="59">
        <f ca="1">Dashboard!D$8* Dashboard!$F$4+Dashboard!D$10*SQRT(Dashboard!$F$4) * _xlfn.NORM.S.INV(RAND())</f>
        <v>4.2185044185182163E-3</v>
      </c>
    </row>
    <row r="4341" spans="18:21" x14ac:dyDescent="0.2">
      <c r="R4341" s="49">
        <v>4339</v>
      </c>
      <c r="S4341" s="59">
        <f ca="1">Dashboard!B$8* Dashboard!$F$4+Dashboard!B$10*SQRT(Dashboard!$F$4) * _xlfn.NORM.S.INV(RAND())</f>
        <v>-3.1678008858751161E-2</v>
      </c>
      <c r="T4341" s="59">
        <f ca="1">Dashboard!C$8* Dashboard!$F$4+Dashboard!C$10*SQRT(Dashboard!$F$4) * _xlfn.NORM.S.INV(RAND())</f>
        <v>-2.6725838235067068E-2</v>
      </c>
      <c r="U4341" s="59">
        <f ca="1">Dashboard!D$8* Dashboard!$F$4+Dashboard!D$10*SQRT(Dashboard!$F$4) * _xlfn.NORM.S.INV(RAND())</f>
        <v>-4.6810480890323893E-3</v>
      </c>
    </row>
    <row r="4342" spans="18:21" x14ac:dyDescent="0.2">
      <c r="R4342" s="49">
        <v>4340</v>
      </c>
      <c r="S4342" s="59">
        <f ca="1">Dashboard!B$8* Dashboard!$F$4+Dashboard!B$10*SQRT(Dashboard!$F$4) * _xlfn.NORM.S.INV(RAND())</f>
        <v>3.133888274779198E-2</v>
      </c>
      <c r="T4342" s="59">
        <f ca="1">Dashboard!C$8* Dashboard!$F$4+Dashboard!C$10*SQRT(Dashboard!$F$4) * _xlfn.NORM.S.INV(RAND())</f>
        <v>4.3026269461703464E-3</v>
      </c>
      <c r="U4342" s="59">
        <f ca="1">Dashboard!D$8* Dashboard!$F$4+Dashboard!D$10*SQRT(Dashboard!$F$4) * _xlfn.NORM.S.INV(RAND())</f>
        <v>-1.6469742358034108E-2</v>
      </c>
    </row>
    <row r="4343" spans="18:21" x14ac:dyDescent="0.2">
      <c r="R4343" s="49">
        <v>4341</v>
      </c>
      <c r="S4343" s="59">
        <f ca="1">Dashboard!B$8* Dashboard!$F$4+Dashboard!B$10*SQRT(Dashboard!$F$4) * _xlfn.NORM.S.INV(RAND())</f>
        <v>-2.1676831434928587E-2</v>
      </c>
      <c r="T4343" s="59">
        <f ca="1">Dashboard!C$8* Dashboard!$F$4+Dashboard!C$10*SQRT(Dashboard!$F$4) * _xlfn.NORM.S.INV(RAND())</f>
        <v>4.1352357003275497E-2</v>
      </c>
      <c r="U4343" s="59">
        <f ca="1">Dashboard!D$8* Dashboard!$F$4+Dashboard!D$10*SQRT(Dashboard!$F$4) * _xlfn.NORM.S.INV(RAND())</f>
        <v>1.3501954163300231E-2</v>
      </c>
    </row>
    <row r="4344" spans="18:21" x14ac:dyDescent="0.2">
      <c r="R4344" s="49">
        <v>4342</v>
      </c>
      <c r="S4344" s="59">
        <f ca="1">Dashboard!B$8* Dashboard!$F$4+Dashboard!B$10*SQRT(Dashboard!$F$4) * _xlfn.NORM.S.INV(RAND())</f>
        <v>6.0748271056396103E-2</v>
      </c>
      <c r="T4344" s="59">
        <f ca="1">Dashboard!C$8* Dashboard!$F$4+Dashboard!C$10*SQRT(Dashboard!$F$4) * _xlfn.NORM.S.INV(RAND())</f>
        <v>-4.5591717502873269E-3</v>
      </c>
      <c r="U4344" s="59">
        <f ca="1">Dashboard!D$8* Dashboard!$F$4+Dashboard!D$10*SQRT(Dashboard!$F$4) * _xlfn.NORM.S.INV(RAND())</f>
        <v>-1.0065622035281656E-2</v>
      </c>
    </row>
    <row r="4345" spans="18:21" x14ac:dyDescent="0.2">
      <c r="R4345" s="49">
        <v>4343</v>
      </c>
      <c r="S4345" s="59">
        <f ca="1">Dashboard!B$8* Dashboard!$F$4+Dashboard!B$10*SQRT(Dashboard!$F$4) * _xlfn.NORM.S.INV(RAND())</f>
        <v>-3.9414830593062708E-2</v>
      </c>
      <c r="T4345" s="59">
        <f ca="1">Dashboard!C$8* Dashboard!$F$4+Dashboard!C$10*SQRT(Dashboard!$F$4) * _xlfn.NORM.S.INV(RAND())</f>
        <v>2.0565140587566234E-2</v>
      </c>
      <c r="U4345" s="59">
        <f ca="1">Dashboard!D$8* Dashboard!$F$4+Dashboard!D$10*SQRT(Dashboard!$F$4) * _xlfn.NORM.S.INV(RAND())</f>
        <v>-3.3048560097318817E-2</v>
      </c>
    </row>
    <row r="4346" spans="18:21" x14ac:dyDescent="0.2">
      <c r="R4346" s="49">
        <v>4344</v>
      </c>
      <c r="S4346" s="59">
        <f ca="1">Dashboard!B$8* Dashboard!$F$4+Dashboard!B$10*SQRT(Dashboard!$F$4) * _xlfn.NORM.S.INV(RAND())</f>
        <v>-4.4947020677708123E-2</v>
      </c>
      <c r="T4346" s="59">
        <f ca="1">Dashboard!C$8* Dashboard!$F$4+Dashboard!C$10*SQRT(Dashboard!$F$4) * _xlfn.NORM.S.INV(RAND())</f>
        <v>1.6592556783072001E-2</v>
      </c>
      <c r="U4346" s="59">
        <f ca="1">Dashboard!D$8* Dashboard!$F$4+Dashboard!D$10*SQRT(Dashboard!$F$4) * _xlfn.NORM.S.INV(RAND())</f>
        <v>-1.6236784983572029E-3</v>
      </c>
    </row>
    <row r="4347" spans="18:21" x14ac:dyDescent="0.2">
      <c r="R4347" s="49">
        <v>4345</v>
      </c>
      <c r="S4347" s="59">
        <f ca="1">Dashboard!B$8* Dashboard!$F$4+Dashboard!B$10*SQRT(Dashboard!$F$4) * _xlfn.NORM.S.INV(RAND())</f>
        <v>1.2067795935125013E-2</v>
      </c>
      <c r="T4347" s="59">
        <f ca="1">Dashboard!C$8* Dashboard!$F$4+Dashboard!C$10*SQRT(Dashboard!$F$4) * _xlfn.NORM.S.INV(RAND())</f>
        <v>2.6532780278676098E-2</v>
      </c>
      <c r="U4347" s="59">
        <f ca="1">Dashboard!D$8* Dashboard!$F$4+Dashboard!D$10*SQRT(Dashboard!$F$4) * _xlfn.NORM.S.INV(RAND())</f>
        <v>5.1160303247774305E-2</v>
      </c>
    </row>
    <row r="4348" spans="18:21" x14ac:dyDescent="0.2">
      <c r="R4348" s="49">
        <v>4346</v>
      </c>
      <c r="S4348" s="59">
        <f ca="1">Dashboard!B$8* Dashboard!$F$4+Dashboard!B$10*SQRT(Dashboard!$F$4) * _xlfn.NORM.S.INV(RAND())</f>
        <v>1.0550195369600165E-2</v>
      </c>
      <c r="T4348" s="59">
        <f ca="1">Dashboard!C$8* Dashboard!$F$4+Dashboard!C$10*SQRT(Dashboard!$F$4) * _xlfn.NORM.S.INV(RAND())</f>
        <v>-2.2106919126887361E-3</v>
      </c>
      <c r="U4348" s="59">
        <f ca="1">Dashboard!D$8* Dashboard!$F$4+Dashboard!D$10*SQRT(Dashboard!$F$4) * _xlfn.NORM.S.INV(RAND())</f>
        <v>-1.9976507412476623E-2</v>
      </c>
    </row>
    <row r="4349" spans="18:21" x14ac:dyDescent="0.2">
      <c r="R4349" s="49">
        <v>4347</v>
      </c>
      <c r="S4349" s="59">
        <f ca="1">Dashboard!B$8* Dashboard!$F$4+Dashboard!B$10*SQRT(Dashboard!$F$4) * _xlfn.NORM.S.INV(RAND())</f>
        <v>2.9806217674086741E-3</v>
      </c>
      <c r="T4349" s="59">
        <f ca="1">Dashboard!C$8* Dashboard!$F$4+Dashboard!C$10*SQRT(Dashboard!$F$4) * _xlfn.NORM.S.INV(RAND())</f>
        <v>2.6943898496665911E-2</v>
      </c>
      <c r="U4349" s="59">
        <f ca="1">Dashboard!D$8* Dashboard!$F$4+Dashboard!D$10*SQRT(Dashboard!$F$4) * _xlfn.NORM.S.INV(RAND())</f>
        <v>8.2146170936978884E-3</v>
      </c>
    </row>
    <row r="4350" spans="18:21" x14ac:dyDescent="0.2">
      <c r="R4350" s="49">
        <v>4348</v>
      </c>
      <c r="S4350" s="59">
        <f ca="1">Dashboard!B$8* Dashboard!$F$4+Dashboard!B$10*SQRT(Dashboard!$F$4) * _xlfn.NORM.S.INV(RAND())</f>
        <v>2.7593303566307549E-2</v>
      </c>
      <c r="T4350" s="59">
        <f ca="1">Dashboard!C$8* Dashboard!$F$4+Dashboard!C$10*SQRT(Dashboard!$F$4) * _xlfn.NORM.S.INV(RAND())</f>
        <v>-2.3796866049633561E-2</v>
      </c>
      <c r="U4350" s="59">
        <f ca="1">Dashboard!D$8* Dashboard!$F$4+Dashboard!D$10*SQRT(Dashboard!$F$4) * _xlfn.NORM.S.INV(RAND())</f>
        <v>-1.398054242453429E-2</v>
      </c>
    </row>
    <row r="4351" spans="18:21" x14ac:dyDescent="0.2">
      <c r="R4351" s="49">
        <v>4349</v>
      </c>
      <c r="S4351" s="59">
        <f ca="1">Dashboard!B$8* Dashboard!$F$4+Dashboard!B$10*SQRT(Dashboard!$F$4) * _xlfn.NORM.S.INV(RAND())</f>
        <v>1.1911174347221063E-2</v>
      </c>
      <c r="T4351" s="59">
        <f ca="1">Dashboard!C$8* Dashboard!$F$4+Dashboard!C$10*SQRT(Dashboard!$F$4) * _xlfn.NORM.S.INV(RAND())</f>
        <v>2.3225793970853597E-2</v>
      </c>
      <c r="U4351" s="59">
        <f ca="1">Dashboard!D$8* Dashboard!$F$4+Dashboard!D$10*SQRT(Dashboard!$F$4) * _xlfn.NORM.S.INV(RAND())</f>
        <v>-2.3651864070654168E-2</v>
      </c>
    </row>
    <row r="4352" spans="18:21" x14ac:dyDescent="0.2">
      <c r="R4352" s="49">
        <v>4350</v>
      </c>
      <c r="S4352" s="59">
        <f ca="1">Dashboard!B$8* Dashboard!$F$4+Dashboard!B$10*SQRT(Dashboard!$F$4) * _xlfn.NORM.S.INV(RAND())</f>
        <v>-4.4117195553106836E-2</v>
      </c>
      <c r="T4352" s="59">
        <f ca="1">Dashboard!C$8* Dashboard!$F$4+Dashboard!C$10*SQRT(Dashboard!$F$4) * _xlfn.NORM.S.INV(RAND())</f>
        <v>-1.4240849495703034E-2</v>
      </c>
      <c r="U4352" s="59">
        <f ca="1">Dashboard!D$8* Dashboard!$F$4+Dashboard!D$10*SQRT(Dashboard!$F$4) * _xlfn.NORM.S.INV(RAND())</f>
        <v>-2.1354457620379987E-2</v>
      </c>
    </row>
    <row r="4353" spans="18:21" x14ac:dyDescent="0.2">
      <c r="R4353" s="49">
        <v>4351</v>
      </c>
      <c r="S4353" s="59">
        <f ca="1">Dashboard!B$8* Dashboard!$F$4+Dashboard!B$10*SQRT(Dashboard!$F$4) * _xlfn.NORM.S.INV(RAND())</f>
        <v>-3.2845375359491696E-2</v>
      </c>
      <c r="T4353" s="59">
        <f ca="1">Dashboard!C$8* Dashboard!$F$4+Dashboard!C$10*SQRT(Dashboard!$F$4) * _xlfn.NORM.S.INV(RAND())</f>
        <v>-1.650604093150328E-2</v>
      </c>
      <c r="U4353" s="59">
        <f ca="1">Dashboard!D$8* Dashboard!$F$4+Dashboard!D$10*SQRT(Dashboard!$F$4) * _xlfn.NORM.S.INV(RAND())</f>
        <v>-2.8493679440424413E-2</v>
      </c>
    </row>
    <row r="4354" spans="18:21" x14ac:dyDescent="0.2">
      <c r="R4354" s="49">
        <v>4352</v>
      </c>
      <c r="S4354" s="59">
        <f ca="1">Dashboard!B$8* Dashboard!$F$4+Dashboard!B$10*SQRT(Dashboard!$F$4) * _xlfn.NORM.S.INV(RAND())</f>
        <v>-5.1244766231478098E-2</v>
      </c>
      <c r="T4354" s="59">
        <f ca="1">Dashboard!C$8* Dashboard!$F$4+Dashboard!C$10*SQRT(Dashboard!$F$4) * _xlfn.NORM.S.INV(RAND())</f>
        <v>8.4213810478083323E-3</v>
      </c>
      <c r="U4354" s="59">
        <f ca="1">Dashboard!D$8* Dashboard!$F$4+Dashboard!D$10*SQRT(Dashboard!$F$4) * _xlfn.NORM.S.INV(RAND())</f>
        <v>-3.2038097420056498E-3</v>
      </c>
    </row>
    <row r="4355" spans="18:21" x14ac:dyDescent="0.2">
      <c r="R4355" s="49">
        <v>4353</v>
      </c>
      <c r="S4355" s="59">
        <f ca="1">Dashboard!B$8* Dashboard!$F$4+Dashboard!B$10*SQRT(Dashboard!$F$4) * _xlfn.NORM.S.INV(RAND())</f>
        <v>-2.7266240859771668E-2</v>
      </c>
      <c r="T4355" s="59">
        <f ca="1">Dashboard!C$8* Dashboard!$F$4+Dashboard!C$10*SQRT(Dashboard!$F$4) * _xlfn.NORM.S.INV(RAND())</f>
        <v>4.0635576856175956E-2</v>
      </c>
      <c r="U4355" s="59">
        <f ca="1">Dashboard!D$8* Dashboard!$F$4+Dashboard!D$10*SQRT(Dashboard!$F$4) * _xlfn.NORM.S.INV(RAND())</f>
        <v>5.4033730517825257E-3</v>
      </c>
    </row>
    <row r="4356" spans="18:21" x14ac:dyDescent="0.2">
      <c r="R4356" s="49">
        <v>4354</v>
      </c>
      <c r="S4356" s="59">
        <f ca="1">Dashboard!B$8* Dashboard!$F$4+Dashboard!B$10*SQRT(Dashboard!$F$4) * _xlfn.NORM.S.INV(RAND())</f>
        <v>2.6752120129336684E-2</v>
      </c>
      <c r="T4356" s="59">
        <f ca="1">Dashboard!C$8* Dashboard!$F$4+Dashboard!C$10*SQRT(Dashboard!$F$4) * _xlfn.NORM.S.INV(RAND())</f>
        <v>3.5310832586018985E-3</v>
      </c>
      <c r="U4356" s="59">
        <f ca="1">Dashboard!D$8* Dashboard!$F$4+Dashboard!D$10*SQRT(Dashboard!$F$4) * _xlfn.NORM.S.INV(RAND())</f>
        <v>5.0646319629148919E-3</v>
      </c>
    </row>
    <row r="4357" spans="18:21" x14ac:dyDescent="0.2">
      <c r="R4357" s="49">
        <v>4355</v>
      </c>
      <c r="S4357" s="59">
        <f ca="1">Dashboard!B$8* Dashboard!$F$4+Dashboard!B$10*SQRT(Dashboard!$F$4) * _xlfn.NORM.S.INV(RAND())</f>
        <v>-3.3761546405665414E-3</v>
      </c>
      <c r="T4357" s="59">
        <f ca="1">Dashboard!C$8* Dashboard!$F$4+Dashboard!C$10*SQRT(Dashboard!$F$4) * _xlfn.NORM.S.INV(RAND())</f>
        <v>3.6477568450924286E-2</v>
      </c>
      <c r="U4357" s="59">
        <f ca="1">Dashboard!D$8* Dashboard!$F$4+Dashboard!D$10*SQRT(Dashboard!$F$4) * _xlfn.NORM.S.INV(RAND())</f>
        <v>1.3748068748603451E-4</v>
      </c>
    </row>
    <row r="4358" spans="18:21" x14ac:dyDescent="0.2">
      <c r="R4358" s="49">
        <v>4356</v>
      </c>
      <c r="S4358" s="59">
        <f ca="1">Dashboard!B$8* Dashboard!$F$4+Dashboard!B$10*SQRT(Dashboard!$F$4) * _xlfn.NORM.S.INV(RAND())</f>
        <v>-1.7594099031427817E-2</v>
      </c>
      <c r="T4358" s="59">
        <f ca="1">Dashboard!C$8* Dashboard!$F$4+Dashboard!C$10*SQRT(Dashboard!$F$4) * _xlfn.NORM.S.INV(RAND())</f>
        <v>5.8911166093173449E-2</v>
      </c>
      <c r="U4358" s="59">
        <f ca="1">Dashboard!D$8* Dashboard!$F$4+Dashboard!D$10*SQRT(Dashboard!$F$4) * _xlfn.NORM.S.INV(RAND())</f>
        <v>-1.4612804615446798E-2</v>
      </c>
    </row>
    <row r="4359" spans="18:21" x14ac:dyDescent="0.2">
      <c r="R4359" s="49">
        <v>4357</v>
      </c>
      <c r="S4359" s="59">
        <f ca="1">Dashboard!B$8* Dashboard!$F$4+Dashboard!B$10*SQRT(Dashboard!$F$4) * _xlfn.NORM.S.INV(RAND())</f>
        <v>-3.1473930221521539E-3</v>
      </c>
      <c r="T4359" s="59">
        <f ca="1">Dashboard!C$8* Dashboard!$F$4+Dashboard!C$10*SQRT(Dashboard!$F$4) * _xlfn.NORM.S.INV(RAND())</f>
        <v>3.1635012354332512E-2</v>
      </c>
      <c r="U4359" s="59">
        <f ca="1">Dashboard!D$8* Dashboard!$F$4+Dashboard!D$10*SQRT(Dashboard!$F$4) * _xlfn.NORM.S.INV(RAND())</f>
        <v>2.89190360012598E-2</v>
      </c>
    </row>
    <row r="4360" spans="18:21" x14ac:dyDescent="0.2">
      <c r="R4360" s="49">
        <v>4358</v>
      </c>
      <c r="S4360" s="59">
        <f ca="1">Dashboard!B$8* Dashboard!$F$4+Dashboard!B$10*SQRT(Dashboard!$F$4) * _xlfn.NORM.S.INV(RAND())</f>
        <v>2.6735952465962373E-2</v>
      </c>
      <c r="T4360" s="59">
        <f ca="1">Dashboard!C$8* Dashboard!$F$4+Dashboard!C$10*SQRT(Dashboard!$F$4) * _xlfn.NORM.S.INV(RAND())</f>
        <v>-1.4850416486306101E-2</v>
      </c>
      <c r="U4360" s="59">
        <f ca="1">Dashboard!D$8* Dashboard!$F$4+Dashboard!D$10*SQRT(Dashboard!$F$4) * _xlfn.NORM.S.INV(RAND())</f>
        <v>2.4024254793187177E-2</v>
      </c>
    </row>
    <row r="4361" spans="18:21" x14ac:dyDescent="0.2">
      <c r="R4361" s="49">
        <v>4359</v>
      </c>
      <c r="S4361" s="59">
        <f ca="1">Dashboard!B$8* Dashboard!$F$4+Dashboard!B$10*SQRT(Dashboard!$F$4) * _xlfn.NORM.S.INV(RAND())</f>
        <v>-3.5438701568980655E-3</v>
      </c>
      <c r="T4361" s="59">
        <f ca="1">Dashboard!C$8* Dashboard!$F$4+Dashboard!C$10*SQRT(Dashboard!$F$4) * _xlfn.NORM.S.INV(RAND())</f>
        <v>9.14400704989329E-3</v>
      </c>
      <c r="U4361" s="59">
        <f ca="1">Dashboard!D$8* Dashboard!$F$4+Dashboard!D$10*SQRT(Dashboard!$F$4) * _xlfn.NORM.S.INV(RAND())</f>
        <v>3.6063544350102344E-3</v>
      </c>
    </row>
    <row r="4362" spans="18:21" x14ac:dyDescent="0.2">
      <c r="R4362" s="49">
        <v>4360</v>
      </c>
      <c r="S4362" s="59">
        <f ca="1">Dashboard!B$8* Dashboard!$F$4+Dashboard!B$10*SQRT(Dashboard!$F$4) * _xlfn.NORM.S.INV(RAND())</f>
        <v>1.3803271538731511E-2</v>
      </c>
      <c r="T4362" s="59">
        <f ca="1">Dashboard!C$8* Dashboard!$F$4+Dashboard!C$10*SQRT(Dashboard!$F$4) * _xlfn.NORM.S.INV(RAND())</f>
        <v>2.6318283644769978E-2</v>
      </c>
      <c r="U4362" s="59">
        <f ca="1">Dashboard!D$8* Dashboard!$F$4+Dashboard!D$10*SQRT(Dashboard!$F$4) * _xlfn.NORM.S.INV(RAND())</f>
        <v>-2.9302547952555758E-2</v>
      </c>
    </row>
    <row r="4363" spans="18:21" x14ac:dyDescent="0.2">
      <c r="R4363" s="49">
        <v>4361</v>
      </c>
      <c r="S4363" s="59">
        <f ca="1">Dashboard!B$8* Dashboard!$F$4+Dashboard!B$10*SQRT(Dashboard!$F$4) * _xlfn.NORM.S.INV(RAND())</f>
        <v>-2.1360763266163776E-2</v>
      </c>
      <c r="T4363" s="59">
        <f ca="1">Dashboard!C$8* Dashboard!$F$4+Dashboard!C$10*SQRT(Dashboard!$F$4) * _xlfn.NORM.S.INV(RAND())</f>
        <v>7.2114206289752084E-3</v>
      </c>
      <c r="U4363" s="59">
        <f ca="1">Dashboard!D$8* Dashboard!$F$4+Dashboard!D$10*SQRT(Dashboard!$F$4) * _xlfn.NORM.S.INV(RAND())</f>
        <v>2.5660633152276461E-2</v>
      </c>
    </row>
    <row r="4364" spans="18:21" x14ac:dyDescent="0.2">
      <c r="R4364" s="49">
        <v>4362</v>
      </c>
      <c r="S4364" s="59">
        <f ca="1">Dashboard!B$8* Dashboard!$F$4+Dashboard!B$10*SQRT(Dashboard!$F$4) * _xlfn.NORM.S.INV(RAND())</f>
        <v>-4.3939095415956787E-2</v>
      </c>
      <c r="T4364" s="59">
        <f ca="1">Dashboard!C$8* Dashboard!$F$4+Dashboard!C$10*SQRT(Dashboard!$F$4) * _xlfn.NORM.S.INV(RAND())</f>
        <v>-5.194512776686154E-2</v>
      </c>
      <c r="U4364" s="59">
        <f ca="1">Dashboard!D$8* Dashboard!$F$4+Dashboard!D$10*SQRT(Dashboard!$F$4) * _xlfn.NORM.S.INV(RAND())</f>
        <v>4.975046936272174E-2</v>
      </c>
    </row>
    <row r="4365" spans="18:21" x14ac:dyDescent="0.2">
      <c r="R4365" s="49">
        <v>4363</v>
      </c>
      <c r="S4365" s="59">
        <f ca="1">Dashboard!B$8* Dashboard!$F$4+Dashboard!B$10*SQRT(Dashboard!$F$4) * _xlfn.NORM.S.INV(RAND())</f>
        <v>-8.6583766343835869E-2</v>
      </c>
      <c r="T4365" s="59">
        <f ca="1">Dashboard!C$8* Dashboard!$F$4+Dashboard!C$10*SQRT(Dashboard!$F$4) * _xlfn.NORM.S.INV(RAND())</f>
        <v>6.180843197522274E-2</v>
      </c>
      <c r="U4365" s="59">
        <f ca="1">Dashboard!D$8* Dashboard!$F$4+Dashboard!D$10*SQRT(Dashboard!$F$4) * _xlfn.NORM.S.INV(RAND())</f>
        <v>-2.8690206531120671E-2</v>
      </c>
    </row>
    <row r="4366" spans="18:21" x14ac:dyDescent="0.2">
      <c r="R4366" s="49">
        <v>4364</v>
      </c>
      <c r="S4366" s="59">
        <f ca="1">Dashboard!B$8* Dashboard!$F$4+Dashboard!B$10*SQRT(Dashboard!$F$4) * _xlfn.NORM.S.INV(RAND())</f>
        <v>4.9282409575245184E-3</v>
      </c>
      <c r="T4366" s="59">
        <f ca="1">Dashboard!C$8* Dashboard!$F$4+Dashboard!C$10*SQRT(Dashboard!$F$4) * _xlfn.NORM.S.INV(RAND())</f>
        <v>2.6377525897623166E-2</v>
      </c>
      <c r="U4366" s="59">
        <f ca="1">Dashboard!D$8* Dashboard!$F$4+Dashboard!D$10*SQRT(Dashboard!$F$4) * _xlfn.NORM.S.INV(RAND())</f>
        <v>-1.0440020002359071E-2</v>
      </c>
    </row>
    <row r="4367" spans="18:21" x14ac:dyDescent="0.2">
      <c r="R4367" s="49">
        <v>4365</v>
      </c>
      <c r="S4367" s="59">
        <f ca="1">Dashboard!B$8* Dashboard!$F$4+Dashboard!B$10*SQRT(Dashboard!$F$4) * _xlfn.NORM.S.INV(RAND())</f>
        <v>4.209852650792727E-3</v>
      </c>
      <c r="T4367" s="59">
        <f ca="1">Dashboard!C$8* Dashboard!$F$4+Dashboard!C$10*SQRT(Dashboard!$F$4) * _xlfn.NORM.S.INV(RAND())</f>
        <v>2.8586192402265696E-2</v>
      </c>
      <c r="U4367" s="59">
        <f ca="1">Dashboard!D$8* Dashboard!$F$4+Dashboard!D$10*SQRT(Dashboard!$F$4) * _xlfn.NORM.S.INV(RAND())</f>
        <v>7.3770388052360652E-3</v>
      </c>
    </row>
    <row r="4368" spans="18:21" x14ac:dyDescent="0.2">
      <c r="R4368" s="49">
        <v>4366</v>
      </c>
      <c r="S4368" s="59">
        <f ca="1">Dashboard!B$8* Dashboard!$F$4+Dashboard!B$10*SQRT(Dashboard!$F$4) * _xlfn.NORM.S.INV(RAND())</f>
        <v>-2.2569042774722957E-2</v>
      </c>
      <c r="T4368" s="59">
        <f ca="1">Dashboard!C$8* Dashboard!$F$4+Dashboard!C$10*SQRT(Dashboard!$F$4) * _xlfn.NORM.S.INV(RAND())</f>
        <v>0.10159254606749046</v>
      </c>
      <c r="U4368" s="59">
        <f ca="1">Dashboard!D$8* Dashboard!$F$4+Dashboard!D$10*SQRT(Dashboard!$F$4) * _xlfn.NORM.S.INV(RAND())</f>
        <v>-2.4643988572566649E-2</v>
      </c>
    </row>
    <row r="4369" spans="18:21" x14ac:dyDescent="0.2">
      <c r="R4369" s="49">
        <v>4367</v>
      </c>
      <c r="S4369" s="59">
        <f ca="1">Dashboard!B$8* Dashboard!$F$4+Dashboard!B$10*SQRT(Dashboard!$F$4) * _xlfn.NORM.S.INV(RAND())</f>
        <v>1.3846302298244581E-2</v>
      </c>
      <c r="T4369" s="59">
        <f ca="1">Dashboard!C$8* Dashboard!$F$4+Dashboard!C$10*SQRT(Dashboard!$F$4) * _xlfn.NORM.S.INV(RAND())</f>
        <v>-1.4073612669528446E-2</v>
      </c>
      <c r="U4369" s="59">
        <f ca="1">Dashboard!D$8* Dashboard!$F$4+Dashboard!D$10*SQRT(Dashboard!$F$4) * _xlfn.NORM.S.INV(RAND())</f>
        <v>3.8222817594622295E-2</v>
      </c>
    </row>
    <row r="4370" spans="18:21" x14ac:dyDescent="0.2">
      <c r="R4370" s="49">
        <v>4368</v>
      </c>
      <c r="S4370" s="59">
        <f ca="1">Dashboard!B$8* Dashboard!$F$4+Dashboard!B$10*SQRT(Dashboard!$F$4) * _xlfn.NORM.S.INV(RAND())</f>
        <v>-3.0766133000655053E-2</v>
      </c>
      <c r="T4370" s="59">
        <f ca="1">Dashboard!C$8* Dashboard!$F$4+Dashboard!C$10*SQRT(Dashboard!$F$4) * _xlfn.NORM.S.INV(RAND())</f>
        <v>-1.3946035724621855E-2</v>
      </c>
      <c r="U4370" s="59">
        <f ca="1">Dashboard!D$8* Dashboard!$F$4+Dashboard!D$10*SQRT(Dashboard!$F$4) * _xlfn.NORM.S.INV(RAND())</f>
        <v>-2.9031146284773785E-2</v>
      </c>
    </row>
    <row r="4371" spans="18:21" x14ac:dyDescent="0.2">
      <c r="R4371" s="49">
        <v>4369</v>
      </c>
      <c r="S4371" s="59">
        <f ca="1">Dashboard!B$8* Dashboard!$F$4+Dashboard!B$10*SQRT(Dashboard!$F$4) * _xlfn.NORM.S.INV(RAND())</f>
        <v>-3.585566181964045E-2</v>
      </c>
      <c r="T4371" s="59">
        <f ca="1">Dashboard!C$8* Dashboard!$F$4+Dashboard!C$10*SQRT(Dashboard!$F$4) * _xlfn.NORM.S.INV(RAND())</f>
        <v>5.562972892157772E-2</v>
      </c>
      <c r="U4371" s="59">
        <f ca="1">Dashboard!D$8* Dashboard!$F$4+Dashboard!D$10*SQRT(Dashboard!$F$4) * _xlfn.NORM.S.INV(RAND())</f>
        <v>2.390001847616207E-2</v>
      </c>
    </row>
    <row r="4372" spans="18:21" x14ac:dyDescent="0.2">
      <c r="R4372" s="49">
        <v>4370</v>
      </c>
      <c r="S4372" s="59">
        <f ca="1">Dashboard!B$8* Dashboard!$F$4+Dashboard!B$10*SQRT(Dashboard!$F$4) * _xlfn.NORM.S.INV(RAND())</f>
        <v>-4.5064061231802691E-2</v>
      </c>
      <c r="T4372" s="59">
        <f ca="1">Dashboard!C$8* Dashboard!$F$4+Dashboard!C$10*SQRT(Dashboard!$F$4) * _xlfn.NORM.S.INV(RAND())</f>
        <v>9.7333265190697911E-3</v>
      </c>
      <c r="U4372" s="59">
        <f ca="1">Dashboard!D$8* Dashboard!$F$4+Dashboard!D$10*SQRT(Dashboard!$F$4) * _xlfn.NORM.S.INV(RAND())</f>
        <v>-3.7434286792004119E-2</v>
      </c>
    </row>
    <row r="4373" spans="18:21" x14ac:dyDescent="0.2">
      <c r="R4373" s="49">
        <v>4371</v>
      </c>
      <c r="S4373" s="59">
        <f ca="1">Dashboard!B$8* Dashboard!$F$4+Dashboard!B$10*SQRT(Dashboard!$F$4) * _xlfn.NORM.S.INV(RAND())</f>
        <v>-3.7675987952913895E-2</v>
      </c>
      <c r="T4373" s="59">
        <f ca="1">Dashboard!C$8* Dashboard!$F$4+Dashboard!C$10*SQRT(Dashboard!$F$4) * _xlfn.NORM.S.INV(RAND())</f>
        <v>-1.5445645778994328E-2</v>
      </c>
      <c r="U4373" s="59">
        <f ca="1">Dashboard!D$8* Dashboard!$F$4+Dashboard!D$10*SQRT(Dashboard!$F$4) * _xlfn.NORM.S.INV(RAND())</f>
        <v>-2.2088514747808388E-2</v>
      </c>
    </row>
    <row r="4374" spans="18:21" x14ac:dyDescent="0.2">
      <c r="R4374" s="49">
        <v>4372</v>
      </c>
      <c r="S4374" s="59">
        <f ca="1">Dashboard!B$8* Dashboard!$F$4+Dashboard!B$10*SQRT(Dashboard!$F$4) * _xlfn.NORM.S.INV(RAND())</f>
        <v>-1.3204568650587859E-2</v>
      </c>
      <c r="T4374" s="59">
        <f ca="1">Dashboard!C$8* Dashboard!$F$4+Dashboard!C$10*SQRT(Dashboard!$F$4) * _xlfn.NORM.S.INV(RAND())</f>
        <v>-1.1898303503313844E-2</v>
      </c>
      <c r="U4374" s="59">
        <f ca="1">Dashboard!D$8* Dashboard!$F$4+Dashboard!D$10*SQRT(Dashboard!$F$4) * _xlfn.NORM.S.INV(RAND())</f>
        <v>4.7359327183325042E-2</v>
      </c>
    </row>
    <row r="4375" spans="18:21" x14ac:dyDescent="0.2">
      <c r="R4375" s="49">
        <v>4373</v>
      </c>
      <c r="S4375" s="59">
        <f ca="1">Dashboard!B$8* Dashboard!$F$4+Dashboard!B$10*SQRT(Dashboard!$F$4) * _xlfn.NORM.S.INV(RAND())</f>
        <v>-1.0466191683173223E-2</v>
      </c>
      <c r="T4375" s="59">
        <f ca="1">Dashboard!C$8* Dashboard!$F$4+Dashboard!C$10*SQRT(Dashboard!$F$4) * _xlfn.NORM.S.INV(RAND())</f>
        <v>-1.9711456190713215E-2</v>
      </c>
      <c r="U4375" s="59">
        <f ca="1">Dashboard!D$8* Dashboard!$F$4+Dashboard!D$10*SQRT(Dashboard!$F$4) * _xlfn.NORM.S.INV(RAND())</f>
        <v>3.3018954419586015E-2</v>
      </c>
    </row>
    <row r="4376" spans="18:21" x14ac:dyDescent="0.2">
      <c r="R4376" s="49">
        <v>4374</v>
      </c>
      <c r="S4376" s="59">
        <f ca="1">Dashboard!B$8* Dashboard!$F$4+Dashboard!B$10*SQRT(Dashboard!$F$4) * _xlfn.NORM.S.INV(RAND())</f>
        <v>-1.4240871520743131E-2</v>
      </c>
      <c r="T4376" s="59">
        <f ca="1">Dashboard!C$8* Dashboard!$F$4+Dashboard!C$10*SQRT(Dashboard!$F$4) * _xlfn.NORM.S.INV(RAND())</f>
        <v>6.1625477604182258E-2</v>
      </c>
      <c r="U4376" s="59">
        <f ca="1">Dashboard!D$8* Dashboard!$F$4+Dashboard!D$10*SQRT(Dashboard!$F$4) * _xlfn.NORM.S.INV(RAND())</f>
        <v>1.2230571906070631E-2</v>
      </c>
    </row>
    <row r="4377" spans="18:21" x14ac:dyDescent="0.2">
      <c r="R4377" s="49">
        <v>4375</v>
      </c>
      <c r="S4377" s="59">
        <f ca="1">Dashboard!B$8* Dashboard!$F$4+Dashboard!B$10*SQRT(Dashboard!$F$4) * _xlfn.NORM.S.INV(RAND())</f>
        <v>3.4747230467309723E-3</v>
      </c>
      <c r="T4377" s="59">
        <f ca="1">Dashboard!C$8* Dashboard!$F$4+Dashboard!C$10*SQRT(Dashboard!$F$4) * _xlfn.NORM.S.INV(RAND())</f>
        <v>4.3228130788473526E-2</v>
      </c>
      <c r="U4377" s="59">
        <f ca="1">Dashboard!D$8* Dashboard!$F$4+Dashboard!D$10*SQRT(Dashboard!$F$4) * _xlfn.NORM.S.INV(RAND())</f>
        <v>3.8253261534429E-4</v>
      </c>
    </row>
    <row r="4378" spans="18:21" x14ac:dyDescent="0.2">
      <c r="R4378" s="49">
        <v>4376</v>
      </c>
      <c r="S4378" s="59">
        <f ca="1">Dashboard!B$8* Dashboard!$F$4+Dashboard!B$10*SQRT(Dashboard!$F$4) * _xlfn.NORM.S.INV(RAND())</f>
        <v>1.9998499788003096E-2</v>
      </c>
      <c r="T4378" s="59">
        <f ca="1">Dashboard!C$8* Dashboard!$F$4+Dashboard!C$10*SQRT(Dashboard!$F$4) * _xlfn.NORM.S.INV(RAND())</f>
        <v>-5.4589922417267636E-2</v>
      </c>
      <c r="U4378" s="59">
        <f ca="1">Dashboard!D$8* Dashboard!$F$4+Dashboard!D$10*SQRT(Dashboard!$F$4) * _xlfn.NORM.S.INV(RAND())</f>
        <v>-3.1752658251738029E-2</v>
      </c>
    </row>
    <row r="4379" spans="18:21" x14ac:dyDescent="0.2">
      <c r="R4379" s="49">
        <v>4377</v>
      </c>
      <c r="S4379" s="59">
        <f ca="1">Dashboard!B$8* Dashboard!$F$4+Dashboard!B$10*SQRT(Dashboard!$F$4) * _xlfn.NORM.S.INV(RAND())</f>
        <v>-6.0331775964186287E-3</v>
      </c>
      <c r="T4379" s="59">
        <f ca="1">Dashboard!C$8* Dashboard!$F$4+Dashboard!C$10*SQRT(Dashboard!$F$4) * _xlfn.NORM.S.INV(RAND())</f>
        <v>1.6196926489688516E-2</v>
      </c>
      <c r="U4379" s="59">
        <f ca="1">Dashboard!D$8* Dashboard!$F$4+Dashboard!D$10*SQRT(Dashboard!$F$4) * _xlfn.NORM.S.INV(RAND())</f>
        <v>1.048390507606471E-2</v>
      </c>
    </row>
    <row r="4380" spans="18:21" x14ac:dyDescent="0.2">
      <c r="R4380" s="49">
        <v>4378</v>
      </c>
      <c r="S4380" s="59">
        <f ca="1">Dashboard!B$8* Dashboard!$F$4+Dashboard!B$10*SQRT(Dashboard!$F$4) * _xlfn.NORM.S.INV(RAND())</f>
        <v>-2.8807021550091412E-2</v>
      </c>
      <c r="T4380" s="59">
        <f ca="1">Dashboard!C$8* Dashboard!$F$4+Dashboard!C$10*SQRT(Dashboard!$F$4) * _xlfn.NORM.S.INV(RAND())</f>
        <v>-2.3545899846983218E-3</v>
      </c>
      <c r="U4380" s="59">
        <f ca="1">Dashboard!D$8* Dashboard!$F$4+Dashboard!D$10*SQRT(Dashboard!$F$4) * _xlfn.NORM.S.INV(RAND())</f>
        <v>1.2297658964118318E-2</v>
      </c>
    </row>
    <row r="4381" spans="18:21" x14ac:dyDescent="0.2">
      <c r="R4381" s="49">
        <v>4379</v>
      </c>
      <c r="S4381" s="59">
        <f ca="1">Dashboard!B$8* Dashboard!$F$4+Dashboard!B$10*SQRT(Dashboard!$F$4) * _xlfn.NORM.S.INV(RAND())</f>
        <v>2.6662449066534637E-2</v>
      </c>
      <c r="T4381" s="59">
        <f ca="1">Dashboard!C$8* Dashboard!$F$4+Dashboard!C$10*SQRT(Dashboard!$F$4) * _xlfn.NORM.S.INV(RAND())</f>
        <v>-2.0756227981457775E-2</v>
      </c>
      <c r="U4381" s="59">
        <f ca="1">Dashboard!D$8* Dashboard!$F$4+Dashboard!D$10*SQRT(Dashboard!$F$4) * _xlfn.NORM.S.INV(RAND())</f>
        <v>2.1901768506638424E-2</v>
      </c>
    </row>
    <row r="4382" spans="18:21" x14ac:dyDescent="0.2">
      <c r="R4382" s="49">
        <v>4380</v>
      </c>
      <c r="S4382" s="59">
        <f ca="1">Dashboard!B$8* Dashboard!$F$4+Dashboard!B$10*SQRT(Dashboard!$F$4) * _xlfn.NORM.S.INV(RAND())</f>
        <v>1.0787123220699428E-2</v>
      </c>
      <c r="T4382" s="59">
        <f ca="1">Dashboard!C$8* Dashboard!$F$4+Dashboard!C$10*SQRT(Dashboard!$F$4) * _xlfn.NORM.S.INV(RAND())</f>
        <v>2.5424335179385044E-2</v>
      </c>
      <c r="U4382" s="59">
        <f ca="1">Dashboard!D$8* Dashboard!$F$4+Dashboard!D$10*SQRT(Dashboard!$F$4) * _xlfn.NORM.S.INV(RAND())</f>
        <v>6.3043188585190472E-3</v>
      </c>
    </row>
    <row r="4383" spans="18:21" x14ac:dyDescent="0.2">
      <c r="R4383" s="49">
        <v>4381</v>
      </c>
      <c r="S4383" s="59">
        <f ca="1">Dashboard!B$8* Dashboard!$F$4+Dashboard!B$10*SQRT(Dashboard!$F$4) * _xlfn.NORM.S.INV(RAND())</f>
        <v>1.0373162469020451E-2</v>
      </c>
      <c r="T4383" s="59">
        <f ca="1">Dashboard!C$8* Dashboard!$F$4+Dashboard!C$10*SQRT(Dashboard!$F$4) * _xlfn.NORM.S.INV(RAND())</f>
        <v>1.4820196642636514E-2</v>
      </c>
      <c r="U4383" s="59">
        <f ca="1">Dashboard!D$8* Dashboard!$F$4+Dashboard!D$10*SQRT(Dashboard!$F$4) * _xlfn.NORM.S.INV(RAND())</f>
        <v>-2.2462791931942266E-2</v>
      </c>
    </row>
    <row r="4384" spans="18:21" x14ac:dyDescent="0.2">
      <c r="R4384" s="49">
        <v>4382</v>
      </c>
      <c r="S4384" s="59">
        <f ca="1">Dashboard!B$8* Dashboard!$F$4+Dashboard!B$10*SQRT(Dashboard!$F$4) * _xlfn.NORM.S.INV(RAND())</f>
        <v>-7.3343029309621194E-2</v>
      </c>
      <c r="T4384" s="59">
        <f ca="1">Dashboard!C$8* Dashboard!$F$4+Dashboard!C$10*SQRT(Dashboard!$F$4) * _xlfn.NORM.S.INV(RAND())</f>
        <v>1.3913387670939633E-2</v>
      </c>
      <c r="U4384" s="59">
        <f ca="1">Dashboard!D$8* Dashboard!$F$4+Dashboard!D$10*SQRT(Dashboard!$F$4) * _xlfn.NORM.S.INV(RAND())</f>
        <v>1.8199155191182834E-3</v>
      </c>
    </row>
    <row r="4385" spans="18:21" x14ac:dyDescent="0.2">
      <c r="R4385" s="49">
        <v>4383</v>
      </c>
      <c r="S4385" s="59">
        <f ca="1">Dashboard!B$8* Dashboard!$F$4+Dashboard!B$10*SQRT(Dashboard!$F$4) * _xlfn.NORM.S.INV(RAND())</f>
        <v>-2.0965322540792843E-2</v>
      </c>
      <c r="T4385" s="59">
        <f ca="1">Dashboard!C$8* Dashboard!$F$4+Dashboard!C$10*SQRT(Dashboard!$F$4) * _xlfn.NORM.S.INV(RAND())</f>
        <v>4.262900859759799E-3</v>
      </c>
      <c r="U4385" s="59">
        <f ca="1">Dashboard!D$8* Dashboard!$F$4+Dashboard!D$10*SQRT(Dashboard!$F$4) * _xlfn.NORM.S.INV(RAND())</f>
        <v>-1.0602497985513198E-2</v>
      </c>
    </row>
    <row r="4386" spans="18:21" x14ac:dyDescent="0.2">
      <c r="R4386" s="49">
        <v>4384</v>
      </c>
      <c r="S4386" s="59">
        <f ca="1">Dashboard!B$8* Dashboard!$F$4+Dashboard!B$10*SQRT(Dashboard!$F$4) * _xlfn.NORM.S.INV(RAND())</f>
        <v>-5.897327265427918E-2</v>
      </c>
      <c r="T4386" s="59">
        <f ca="1">Dashboard!C$8* Dashboard!$F$4+Dashboard!C$10*SQRT(Dashboard!$F$4) * _xlfn.NORM.S.INV(RAND())</f>
        <v>6.9633388065391969E-3</v>
      </c>
      <c r="U4386" s="59">
        <f ca="1">Dashboard!D$8* Dashboard!$F$4+Dashboard!D$10*SQRT(Dashboard!$F$4) * _xlfn.NORM.S.INV(RAND())</f>
        <v>5.0020005930000539E-3</v>
      </c>
    </row>
    <row r="4387" spans="18:21" x14ac:dyDescent="0.2">
      <c r="R4387" s="49">
        <v>4385</v>
      </c>
      <c r="S4387" s="59">
        <f ca="1">Dashboard!B$8* Dashboard!$F$4+Dashboard!B$10*SQRT(Dashboard!$F$4) * _xlfn.NORM.S.INV(RAND())</f>
        <v>-2.4645193801100633E-2</v>
      </c>
      <c r="T4387" s="59">
        <f ca="1">Dashboard!C$8* Dashboard!$F$4+Dashboard!C$10*SQRT(Dashboard!$F$4) * _xlfn.NORM.S.INV(RAND())</f>
        <v>-3.8174546157378537E-2</v>
      </c>
      <c r="U4387" s="59">
        <f ca="1">Dashboard!D$8* Dashboard!$F$4+Dashboard!D$10*SQRT(Dashboard!$F$4) * _xlfn.NORM.S.INV(RAND())</f>
        <v>1.112460578962093E-2</v>
      </c>
    </row>
    <row r="4388" spans="18:21" x14ac:dyDescent="0.2">
      <c r="R4388" s="49">
        <v>4386</v>
      </c>
      <c r="S4388" s="59">
        <f ca="1">Dashboard!B$8* Dashboard!$F$4+Dashboard!B$10*SQRT(Dashboard!$F$4) * _xlfn.NORM.S.INV(RAND())</f>
        <v>-6.5730787035139446E-3</v>
      </c>
      <c r="T4388" s="59">
        <f ca="1">Dashboard!C$8* Dashboard!$F$4+Dashboard!C$10*SQRT(Dashboard!$F$4) * _xlfn.NORM.S.INV(RAND())</f>
        <v>-1.5526377725349682E-3</v>
      </c>
      <c r="U4388" s="59">
        <f ca="1">Dashboard!D$8* Dashboard!$F$4+Dashboard!D$10*SQRT(Dashboard!$F$4) * _xlfn.NORM.S.INV(RAND())</f>
        <v>1.3803932578372849E-3</v>
      </c>
    </row>
    <row r="4389" spans="18:21" x14ac:dyDescent="0.2">
      <c r="R4389" s="49">
        <v>4387</v>
      </c>
      <c r="S4389" s="59">
        <f ca="1">Dashboard!B$8* Dashboard!$F$4+Dashboard!B$10*SQRT(Dashboard!$F$4) * _xlfn.NORM.S.INV(RAND())</f>
        <v>1.53862005783143E-2</v>
      </c>
      <c r="T4389" s="59">
        <f ca="1">Dashboard!C$8* Dashboard!$F$4+Dashboard!C$10*SQRT(Dashboard!$F$4) * _xlfn.NORM.S.INV(RAND())</f>
        <v>4.2136070934591506E-2</v>
      </c>
      <c r="U4389" s="59">
        <f ca="1">Dashboard!D$8* Dashboard!$F$4+Dashboard!D$10*SQRT(Dashboard!$F$4) * _xlfn.NORM.S.INV(RAND())</f>
        <v>1.2289700297556983E-2</v>
      </c>
    </row>
    <row r="4390" spans="18:21" x14ac:dyDescent="0.2">
      <c r="R4390" s="49">
        <v>4388</v>
      </c>
      <c r="S4390" s="59">
        <f ca="1">Dashboard!B$8* Dashboard!$F$4+Dashboard!B$10*SQRT(Dashboard!$F$4) * _xlfn.NORM.S.INV(RAND())</f>
        <v>2.0506876242726575E-2</v>
      </c>
      <c r="T4390" s="59">
        <f ca="1">Dashboard!C$8* Dashboard!$F$4+Dashboard!C$10*SQRT(Dashboard!$F$4) * _xlfn.NORM.S.INV(RAND())</f>
        <v>2.3229885259591646E-2</v>
      </c>
      <c r="U4390" s="59">
        <f ca="1">Dashboard!D$8* Dashboard!$F$4+Dashboard!D$10*SQRT(Dashboard!$F$4) * _xlfn.NORM.S.INV(RAND())</f>
        <v>3.6320804470506958E-2</v>
      </c>
    </row>
    <row r="4391" spans="18:21" x14ac:dyDescent="0.2">
      <c r="R4391" s="49">
        <v>4389</v>
      </c>
      <c r="S4391" s="59">
        <f ca="1">Dashboard!B$8* Dashboard!$F$4+Dashboard!B$10*SQRT(Dashboard!$F$4) * _xlfn.NORM.S.INV(RAND())</f>
        <v>1.5867515808946492E-2</v>
      </c>
      <c r="T4391" s="59">
        <f ca="1">Dashboard!C$8* Dashboard!$F$4+Dashboard!C$10*SQRT(Dashboard!$F$4) * _xlfn.NORM.S.INV(RAND())</f>
        <v>2.9205880370486291E-2</v>
      </c>
      <c r="U4391" s="59">
        <f ca="1">Dashboard!D$8* Dashboard!$F$4+Dashboard!D$10*SQRT(Dashboard!$F$4) * _xlfn.NORM.S.INV(RAND())</f>
        <v>-2.5531008469075772E-2</v>
      </c>
    </row>
    <row r="4392" spans="18:21" x14ac:dyDescent="0.2">
      <c r="R4392" s="49">
        <v>4390</v>
      </c>
      <c r="S4392" s="59">
        <f ca="1">Dashboard!B$8* Dashboard!$F$4+Dashboard!B$10*SQRT(Dashboard!$F$4) * _xlfn.NORM.S.INV(RAND())</f>
        <v>6.9456711879333402E-2</v>
      </c>
      <c r="T4392" s="59">
        <f ca="1">Dashboard!C$8* Dashboard!$F$4+Dashboard!C$10*SQRT(Dashboard!$F$4) * _xlfn.NORM.S.INV(RAND())</f>
        <v>1.6054276250107306E-2</v>
      </c>
      <c r="U4392" s="59">
        <f ca="1">Dashboard!D$8* Dashboard!$F$4+Dashboard!D$10*SQRT(Dashboard!$F$4) * _xlfn.NORM.S.INV(RAND())</f>
        <v>-4.5294041947371801E-4</v>
      </c>
    </row>
    <row r="4393" spans="18:21" x14ac:dyDescent="0.2">
      <c r="R4393" s="49">
        <v>4391</v>
      </c>
      <c r="S4393" s="59">
        <f ca="1">Dashboard!B$8* Dashboard!$F$4+Dashboard!B$10*SQRT(Dashboard!$F$4) * _xlfn.NORM.S.INV(RAND())</f>
        <v>-6.2701114673073308E-2</v>
      </c>
      <c r="T4393" s="59">
        <f ca="1">Dashboard!C$8* Dashboard!$F$4+Dashboard!C$10*SQRT(Dashboard!$F$4) * _xlfn.NORM.S.INV(RAND())</f>
        <v>-5.4075350744080689E-3</v>
      </c>
      <c r="U4393" s="59">
        <f ca="1">Dashboard!D$8* Dashboard!$F$4+Dashboard!D$10*SQRT(Dashboard!$F$4) * _xlfn.NORM.S.INV(RAND())</f>
        <v>1.5042026303521734E-2</v>
      </c>
    </row>
    <row r="4394" spans="18:21" x14ac:dyDescent="0.2">
      <c r="R4394" s="49">
        <v>4392</v>
      </c>
      <c r="S4394" s="59">
        <f ca="1">Dashboard!B$8* Dashboard!$F$4+Dashboard!B$10*SQRT(Dashboard!$F$4) * _xlfn.NORM.S.INV(RAND())</f>
        <v>3.468959228829735E-2</v>
      </c>
      <c r="T4394" s="59">
        <f ca="1">Dashboard!C$8* Dashboard!$F$4+Dashboard!C$10*SQRT(Dashboard!$F$4) * _xlfn.NORM.S.INV(RAND())</f>
        <v>2.4800854214058088E-2</v>
      </c>
      <c r="U4394" s="59">
        <f ca="1">Dashboard!D$8* Dashboard!$F$4+Dashboard!D$10*SQRT(Dashboard!$F$4) * _xlfn.NORM.S.INV(RAND())</f>
        <v>-1.7767532288561184E-2</v>
      </c>
    </row>
    <row r="4395" spans="18:21" x14ac:dyDescent="0.2">
      <c r="R4395" s="49">
        <v>4393</v>
      </c>
      <c r="S4395" s="59">
        <f ca="1">Dashboard!B$8* Dashboard!$F$4+Dashboard!B$10*SQRT(Dashboard!$F$4) * _xlfn.NORM.S.INV(RAND())</f>
        <v>-4.75024554506852E-4</v>
      </c>
      <c r="T4395" s="59">
        <f ca="1">Dashboard!C$8* Dashboard!$F$4+Dashboard!C$10*SQRT(Dashboard!$F$4) * _xlfn.NORM.S.INV(RAND())</f>
        <v>2.3133760598836796E-2</v>
      </c>
      <c r="U4395" s="59">
        <f ca="1">Dashboard!D$8* Dashboard!$F$4+Dashboard!D$10*SQRT(Dashboard!$F$4) * _xlfn.NORM.S.INV(RAND())</f>
        <v>-6.6961086146906088E-2</v>
      </c>
    </row>
    <row r="4396" spans="18:21" x14ac:dyDescent="0.2">
      <c r="R4396" s="49">
        <v>4394</v>
      </c>
      <c r="S4396" s="59">
        <f ca="1">Dashboard!B$8* Dashboard!$F$4+Dashboard!B$10*SQRT(Dashboard!$F$4) * _xlfn.NORM.S.INV(RAND())</f>
        <v>-3.9925603978321574E-2</v>
      </c>
      <c r="T4396" s="59">
        <f ca="1">Dashboard!C$8* Dashboard!$F$4+Dashboard!C$10*SQRT(Dashboard!$F$4) * _xlfn.NORM.S.INV(RAND())</f>
        <v>4.9131933258575438E-3</v>
      </c>
      <c r="U4396" s="59">
        <f ca="1">Dashboard!D$8* Dashboard!$F$4+Dashboard!D$10*SQRT(Dashboard!$F$4) * _xlfn.NORM.S.INV(RAND())</f>
        <v>-3.7074662690536201E-3</v>
      </c>
    </row>
    <row r="4397" spans="18:21" x14ac:dyDescent="0.2">
      <c r="R4397" s="49">
        <v>4395</v>
      </c>
      <c r="S4397" s="59">
        <f ca="1">Dashboard!B$8* Dashboard!$F$4+Dashboard!B$10*SQRT(Dashboard!$F$4) * _xlfn.NORM.S.INV(RAND())</f>
        <v>-5.2298309718503506E-3</v>
      </c>
      <c r="T4397" s="59">
        <f ca="1">Dashboard!C$8* Dashboard!$F$4+Dashboard!C$10*SQRT(Dashboard!$F$4) * _xlfn.NORM.S.INV(RAND())</f>
        <v>-4.541827835592608E-2</v>
      </c>
      <c r="U4397" s="59">
        <f ca="1">Dashboard!D$8* Dashboard!$F$4+Dashboard!D$10*SQRT(Dashboard!$F$4) * _xlfn.NORM.S.INV(RAND())</f>
        <v>3.3627001034677119E-2</v>
      </c>
    </row>
    <row r="4398" spans="18:21" x14ac:dyDescent="0.2">
      <c r="R4398" s="49">
        <v>4396</v>
      </c>
      <c r="S4398" s="59">
        <f ca="1">Dashboard!B$8* Dashboard!$F$4+Dashboard!B$10*SQRT(Dashboard!$F$4) * _xlfn.NORM.S.INV(RAND())</f>
        <v>-1.3366554550132971E-2</v>
      </c>
      <c r="T4398" s="59">
        <f ca="1">Dashboard!C$8* Dashboard!$F$4+Dashboard!C$10*SQRT(Dashboard!$F$4) * _xlfn.NORM.S.INV(RAND())</f>
        <v>3.7935357359243832E-2</v>
      </c>
      <c r="U4398" s="59">
        <f ca="1">Dashboard!D$8* Dashboard!$F$4+Dashboard!D$10*SQRT(Dashboard!$F$4) * _xlfn.NORM.S.INV(RAND())</f>
        <v>4.7183225487869268E-2</v>
      </c>
    </row>
    <row r="4399" spans="18:21" x14ac:dyDescent="0.2">
      <c r="R4399" s="49">
        <v>4397</v>
      </c>
      <c r="S4399" s="59">
        <f ca="1">Dashboard!B$8* Dashboard!$F$4+Dashboard!B$10*SQRT(Dashboard!$F$4) * _xlfn.NORM.S.INV(RAND())</f>
        <v>2.170110970248558E-2</v>
      </c>
      <c r="T4399" s="59">
        <f ca="1">Dashboard!C$8* Dashboard!$F$4+Dashboard!C$10*SQRT(Dashboard!$F$4) * _xlfn.NORM.S.INV(RAND())</f>
        <v>4.066875721075635E-2</v>
      </c>
      <c r="U4399" s="59">
        <f ca="1">Dashboard!D$8* Dashboard!$F$4+Dashboard!D$10*SQRT(Dashboard!$F$4) * _xlfn.NORM.S.INV(RAND())</f>
        <v>9.2760958031102413E-3</v>
      </c>
    </row>
    <row r="4400" spans="18:21" x14ac:dyDescent="0.2">
      <c r="R4400" s="49">
        <v>4398</v>
      </c>
      <c r="S4400" s="59">
        <f ca="1">Dashboard!B$8* Dashboard!$F$4+Dashboard!B$10*SQRT(Dashboard!$F$4) * _xlfn.NORM.S.INV(RAND())</f>
        <v>-1.4798984819529057E-2</v>
      </c>
      <c r="T4400" s="59">
        <f ca="1">Dashboard!C$8* Dashboard!$F$4+Dashboard!C$10*SQRT(Dashboard!$F$4) * _xlfn.NORM.S.INV(RAND())</f>
        <v>5.2259538568038541E-2</v>
      </c>
      <c r="U4400" s="59">
        <f ca="1">Dashboard!D$8* Dashboard!$F$4+Dashboard!D$10*SQRT(Dashboard!$F$4) * _xlfn.NORM.S.INV(RAND())</f>
        <v>-1.6541259494725149E-2</v>
      </c>
    </row>
    <row r="4401" spans="18:21" x14ac:dyDescent="0.2">
      <c r="R4401" s="49">
        <v>4399</v>
      </c>
      <c r="S4401" s="59">
        <f ca="1">Dashboard!B$8* Dashboard!$F$4+Dashboard!B$10*SQRT(Dashboard!$F$4) * _xlfn.NORM.S.INV(RAND())</f>
        <v>-7.7309656678709844E-3</v>
      </c>
      <c r="T4401" s="59">
        <f ca="1">Dashboard!C$8* Dashboard!$F$4+Dashboard!C$10*SQRT(Dashboard!$F$4) * _xlfn.NORM.S.INV(RAND())</f>
        <v>1.4324186366017757E-2</v>
      </c>
      <c r="U4401" s="59">
        <f ca="1">Dashboard!D$8* Dashboard!$F$4+Dashboard!D$10*SQRT(Dashboard!$F$4) * _xlfn.NORM.S.INV(RAND())</f>
        <v>1.7928047410836975E-2</v>
      </c>
    </row>
    <row r="4402" spans="18:21" x14ac:dyDescent="0.2">
      <c r="R4402" s="49">
        <v>4400</v>
      </c>
      <c r="S4402" s="59">
        <f ca="1">Dashboard!B$8* Dashboard!$F$4+Dashboard!B$10*SQRT(Dashboard!$F$4) * _xlfn.NORM.S.INV(RAND())</f>
        <v>5.3990766809061876E-2</v>
      </c>
      <c r="T4402" s="59">
        <f ca="1">Dashboard!C$8* Dashboard!$F$4+Dashboard!C$10*SQRT(Dashboard!$F$4) * _xlfn.NORM.S.INV(RAND())</f>
        <v>5.7587455416774389E-2</v>
      </c>
      <c r="U4402" s="59">
        <f ca="1">Dashboard!D$8* Dashboard!$F$4+Dashboard!D$10*SQRT(Dashboard!$F$4) * _xlfn.NORM.S.INV(RAND())</f>
        <v>-6.790066766032981E-3</v>
      </c>
    </row>
    <row r="4403" spans="18:21" x14ac:dyDescent="0.2">
      <c r="R4403" s="49">
        <v>4401</v>
      </c>
      <c r="S4403" s="59">
        <f ca="1">Dashboard!B$8* Dashboard!$F$4+Dashboard!B$10*SQRT(Dashboard!$F$4) * _xlfn.NORM.S.INV(RAND())</f>
        <v>-3.081083790984207E-3</v>
      </c>
      <c r="T4403" s="59">
        <f ca="1">Dashboard!C$8* Dashboard!$F$4+Dashboard!C$10*SQRT(Dashboard!$F$4) * _xlfn.NORM.S.INV(RAND())</f>
        <v>1.5079158489601167E-2</v>
      </c>
      <c r="U4403" s="59">
        <f ca="1">Dashboard!D$8* Dashboard!$F$4+Dashboard!D$10*SQRT(Dashboard!$F$4) * _xlfn.NORM.S.INV(RAND())</f>
        <v>3.370707280111386E-2</v>
      </c>
    </row>
    <row r="4404" spans="18:21" x14ac:dyDescent="0.2">
      <c r="R4404" s="49">
        <v>4402</v>
      </c>
      <c r="S4404" s="59">
        <f ca="1">Dashboard!B$8* Dashboard!$F$4+Dashboard!B$10*SQRT(Dashboard!$F$4) * _xlfn.NORM.S.INV(RAND())</f>
        <v>4.2219557413262589E-2</v>
      </c>
      <c r="T4404" s="59">
        <f ca="1">Dashboard!C$8* Dashboard!$F$4+Dashboard!C$10*SQRT(Dashboard!$F$4) * _xlfn.NORM.S.INV(RAND())</f>
        <v>2.8046370662806503E-3</v>
      </c>
      <c r="U4404" s="59">
        <f ca="1">Dashboard!D$8* Dashboard!$F$4+Dashboard!D$10*SQRT(Dashboard!$F$4) * _xlfn.NORM.S.INV(RAND())</f>
        <v>-4.3678653024828436E-2</v>
      </c>
    </row>
    <row r="4405" spans="18:21" x14ac:dyDescent="0.2">
      <c r="R4405" s="49">
        <v>4403</v>
      </c>
      <c r="S4405" s="59">
        <f ca="1">Dashboard!B$8* Dashboard!$F$4+Dashboard!B$10*SQRT(Dashboard!$F$4) * _xlfn.NORM.S.INV(RAND())</f>
        <v>-5.355260850265596E-2</v>
      </c>
      <c r="T4405" s="59">
        <f ca="1">Dashboard!C$8* Dashboard!$F$4+Dashboard!C$10*SQRT(Dashboard!$F$4) * _xlfn.NORM.S.INV(RAND())</f>
        <v>-2.2719313257088564E-2</v>
      </c>
      <c r="U4405" s="59">
        <f ca="1">Dashboard!D$8* Dashboard!$F$4+Dashboard!D$10*SQRT(Dashboard!$F$4) * _xlfn.NORM.S.INV(RAND())</f>
        <v>-1.2426464703783332E-2</v>
      </c>
    </row>
    <row r="4406" spans="18:21" x14ac:dyDescent="0.2">
      <c r="R4406" s="49">
        <v>4404</v>
      </c>
      <c r="S4406" s="59">
        <f ca="1">Dashboard!B$8* Dashboard!$F$4+Dashboard!B$10*SQRT(Dashboard!$F$4) * _xlfn.NORM.S.INV(RAND())</f>
        <v>7.3094045964140333E-2</v>
      </c>
      <c r="T4406" s="59">
        <f ca="1">Dashboard!C$8* Dashboard!$F$4+Dashboard!C$10*SQRT(Dashboard!$F$4) * _xlfn.NORM.S.INV(RAND())</f>
        <v>1.92564606704764E-2</v>
      </c>
      <c r="U4406" s="59">
        <f ca="1">Dashboard!D$8* Dashboard!$F$4+Dashboard!D$10*SQRT(Dashboard!$F$4) * _xlfn.NORM.S.INV(RAND())</f>
        <v>2.6745621232417575E-2</v>
      </c>
    </row>
    <row r="4407" spans="18:21" x14ac:dyDescent="0.2">
      <c r="R4407" s="49">
        <v>4405</v>
      </c>
      <c r="S4407" s="59">
        <f ca="1">Dashboard!B$8* Dashboard!$F$4+Dashboard!B$10*SQRT(Dashboard!$F$4) * _xlfn.NORM.S.INV(RAND())</f>
        <v>-4.1297649989704345E-2</v>
      </c>
      <c r="T4407" s="59">
        <f ca="1">Dashboard!C$8* Dashboard!$F$4+Dashboard!C$10*SQRT(Dashboard!$F$4) * _xlfn.NORM.S.INV(RAND())</f>
        <v>-5.6310572972096885E-2</v>
      </c>
      <c r="U4407" s="59">
        <f ca="1">Dashboard!D$8* Dashboard!$F$4+Dashboard!D$10*SQRT(Dashboard!$F$4) * _xlfn.NORM.S.INV(RAND())</f>
        <v>-2.9582174398062624E-2</v>
      </c>
    </row>
    <row r="4408" spans="18:21" x14ac:dyDescent="0.2">
      <c r="R4408" s="49">
        <v>4406</v>
      </c>
      <c r="S4408" s="59">
        <f ca="1">Dashboard!B$8* Dashboard!$F$4+Dashboard!B$10*SQRT(Dashboard!$F$4) * _xlfn.NORM.S.INV(RAND())</f>
        <v>1.3981477055620204E-2</v>
      </c>
      <c r="T4408" s="59">
        <f ca="1">Dashboard!C$8* Dashboard!$F$4+Dashboard!C$10*SQRT(Dashboard!$F$4) * _xlfn.NORM.S.INV(RAND())</f>
        <v>1.797860095347889E-2</v>
      </c>
      <c r="U4408" s="59">
        <f ca="1">Dashboard!D$8* Dashboard!$F$4+Dashboard!D$10*SQRT(Dashboard!$F$4) * _xlfn.NORM.S.INV(RAND())</f>
        <v>7.2852684771759066E-3</v>
      </c>
    </row>
    <row r="4409" spans="18:21" x14ac:dyDescent="0.2">
      <c r="R4409" s="49">
        <v>4407</v>
      </c>
      <c r="S4409" s="59">
        <f ca="1">Dashboard!B$8* Dashboard!$F$4+Dashboard!B$10*SQRT(Dashboard!$F$4) * _xlfn.NORM.S.INV(RAND())</f>
        <v>-4.6483953864186493E-3</v>
      </c>
      <c r="T4409" s="59">
        <f ca="1">Dashboard!C$8* Dashboard!$F$4+Dashboard!C$10*SQRT(Dashboard!$F$4) * _xlfn.NORM.S.INV(RAND())</f>
        <v>-4.1431838096664658E-4</v>
      </c>
      <c r="U4409" s="59">
        <f ca="1">Dashboard!D$8* Dashboard!$F$4+Dashboard!D$10*SQRT(Dashboard!$F$4) * _xlfn.NORM.S.INV(RAND())</f>
        <v>2.3782690045269235E-2</v>
      </c>
    </row>
    <row r="4410" spans="18:21" x14ac:dyDescent="0.2">
      <c r="R4410" s="49">
        <v>4408</v>
      </c>
      <c r="S4410" s="59">
        <f ca="1">Dashboard!B$8* Dashboard!$F$4+Dashboard!B$10*SQRT(Dashboard!$F$4) * _xlfn.NORM.S.INV(RAND())</f>
        <v>4.1884106206933037E-2</v>
      </c>
      <c r="T4410" s="59">
        <f ca="1">Dashboard!C$8* Dashboard!$F$4+Dashboard!C$10*SQRT(Dashboard!$F$4) * _xlfn.NORM.S.INV(RAND())</f>
        <v>-1.4602367041288367E-2</v>
      </c>
      <c r="U4410" s="59">
        <f ca="1">Dashboard!D$8* Dashboard!$F$4+Dashboard!D$10*SQRT(Dashboard!$F$4) * _xlfn.NORM.S.INV(RAND())</f>
        <v>-9.5228917687714383E-5</v>
      </c>
    </row>
    <row r="4411" spans="18:21" x14ac:dyDescent="0.2">
      <c r="R4411" s="49">
        <v>4409</v>
      </c>
      <c r="S4411" s="59">
        <f ca="1">Dashboard!B$8* Dashboard!$F$4+Dashboard!B$10*SQRT(Dashboard!$F$4) * _xlfn.NORM.S.INV(RAND())</f>
        <v>3.4716602912228729E-2</v>
      </c>
      <c r="T4411" s="59">
        <f ca="1">Dashboard!C$8* Dashboard!$F$4+Dashboard!C$10*SQRT(Dashboard!$F$4) * _xlfn.NORM.S.INV(RAND())</f>
        <v>-1.4474653423229879E-3</v>
      </c>
      <c r="U4411" s="59">
        <f ca="1">Dashboard!D$8* Dashboard!$F$4+Dashboard!D$10*SQRT(Dashboard!$F$4) * _xlfn.NORM.S.INV(RAND())</f>
        <v>-8.1047611802816236E-2</v>
      </c>
    </row>
    <row r="4412" spans="18:21" x14ac:dyDescent="0.2">
      <c r="R4412" s="49">
        <v>4410</v>
      </c>
      <c r="S4412" s="59">
        <f ca="1">Dashboard!B$8* Dashboard!$F$4+Dashboard!B$10*SQRT(Dashboard!$F$4) * _xlfn.NORM.S.INV(RAND())</f>
        <v>-4.2973128648755334E-2</v>
      </c>
      <c r="T4412" s="59">
        <f ca="1">Dashboard!C$8* Dashboard!$F$4+Dashboard!C$10*SQRT(Dashboard!$F$4) * _xlfn.NORM.S.INV(RAND())</f>
        <v>3.2169577592594599E-3</v>
      </c>
      <c r="U4412" s="59">
        <f ca="1">Dashboard!D$8* Dashboard!$F$4+Dashboard!D$10*SQRT(Dashboard!$F$4) * _xlfn.NORM.S.INV(RAND())</f>
        <v>-5.3547330376363035E-2</v>
      </c>
    </row>
    <row r="4413" spans="18:21" x14ac:dyDescent="0.2">
      <c r="R4413" s="49">
        <v>4411</v>
      </c>
      <c r="S4413" s="59">
        <f ca="1">Dashboard!B$8* Dashboard!$F$4+Dashboard!B$10*SQRT(Dashboard!$F$4) * _xlfn.NORM.S.INV(RAND())</f>
        <v>2.2101959698725693E-2</v>
      </c>
      <c r="T4413" s="59">
        <f ca="1">Dashboard!C$8* Dashboard!$F$4+Dashboard!C$10*SQRT(Dashboard!$F$4) * _xlfn.NORM.S.INV(RAND())</f>
        <v>9.9368113800748521E-3</v>
      </c>
      <c r="U4413" s="59">
        <f ca="1">Dashboard!D$8* Dashboard!$F$4+Dashboard!D$10*SQRT(Dashboard!$F$4) * _xlfn.NORM.S.INV(RAND())</f>
        <v>-8.8344887792025321E-3</v>
      </c>
    </row>
    <row r="4414" spans="18:21" x14ac:dyDescent="0.2">
      <c r="R4414" s="49">
        <v>4412</v>
      </c>
      <c r="S4414" s="59">
        <f ca="1">Dashboard!B$8* Dashboard!$F$4+Dashboard!B$10*SQRT(Dashboard!$F$4) * _xlfn.NORM.S.INV(RAND())</f>
        <v>2.1871735032888265E-2</v>
      </c>
      <c r="T4414" s="59">
        <f ca="1">Dashboard!C$8* Dashboard!$F$4+Dashboard!C$10*SQRT(Dashboard!$F$4) * _xlfn.NORM.S.INV(RAND())</f>
        <v>4.7056308292956997E-2</v>
      </c>
      <c r="U4414" s="59">
        <f ca="1">Dashboard!D$8* Dashboard!$F$4+Dashboard!D$10*SQRT(Dashboard!$F$4) * _xlfn.NORM.S.INV(RAND())</f>
        <v>-1.6298336518084888E-2</v>
      </c>
    </row>
    <row r="4415" spans="18:21" x14ac:dyDescent="0.2">
      <c r="R4415" s="49">
        <v>4413</v>
      </c>
      <c r="S4415" s="59">
        <f ca="1">Dashboard!B$8* Dashboard!$F$4+Dashboard!B$10*SQRT(Dashboard!$F$4) * _xlfn.NORM.S.INV(RAND())</f>
        <v>4.5353433301101684E-2</v>
      </c>
      <c r="T4415" s="59">
        <f ca="1">Dashboard!C$8* Dashboard!$F$4+Dashboard!C$10*SQRT(Dashboard!$F$4) * _xlfn.NORM.S.INV(RAND())</f>
        <v>2.9009626099652568E-2</v>
      </c>
      <c r="U4415" s="59">
        <f ca="1">Dashboard!D$8* Dashboard!$F$4+Dashboard!D$10*SQRT(Dashboard!$F$4) * _xlfn.NORM.S.INV(RAND())</f>
        <v>1.2153822117068813E-3</v>
      </c>
    </row>
    <row r="4416" spans="18:21" x14ac:dyDescent="0.2">
      <c r="R4416" s="49">
        <v>4414</v>
      </c>
      <c r="S4416" s="59">
        <f ca="1">Dashboard!B$8* Dashboard!$F$4+Dashboard!B$10*SQRT(Dashboard!$F$4) * _xlfn.NORM.S.INV(RAND())</f>
        <v>-4.6030417017627889E-3</v>
      </c>
      <c r="T4416" s="59">
        <f ca="1">Dashboard!C$8* Dashboard!$F$4+Dashboard!C$10*SQRT(Dashboard!$F$4) * _xlfn.NORM.S.INV(RAND())</f>
        <v>-3.9061998050336139E-2</v>
      </c>
      <c r="U4416" s="59">
        <f ca="1">Dashboard!D$8* Dashboard!$F$4+Dashboard!D$10*SQRT(Dashboard!$F$4) * _xlfn.NORM.S.INV(RAND())</f>
        <v>-1.2183240321879608E-2</v>
      </c>
    </row>
    <row r="4417" spans="18:21" x14ac:dyDescent="0.2">
      <c r="R4417" s="49">
        <v>4415</v>
      </c>
      <c r="S4417" s="59">
        <f ca="1">Dashboard!B$8* Dashboard!$F$4+Dashboard!B$10*SQRT(Dashboard!$F$4) * _xlfn.NORM.S.INV(RAND())</f>
        <v>4.6031293921576018E-2</v>
      </c>
      <c r="T4417" s="59">
        <f ca="1">Dashboard!C$8* Dashboard!$F$4+Dashboard!C$10*SQRT(Dashboard!$F$4) * _xlfn.NORM.S.INV(RAND())</f>
        <v>-3.2341883649361851E-2</v>
      </c>
      <c r="U4417" s="59">
        <f ca="1">Dashboard!D$8* Dashboard!$F$4+Dashboard!D$10*SQRT(Dashboard!$F$4) * _xlfn.NORM.S.INV(RAND())</f>
        <v>-3.3675677802825739E-3</v>
      </c>
    </row>
    <row r="4418" spans="18:21" x14ac:dyDescent="0.2">
      <c r="R4418" s="49">
        <v>4416</v>
      </c>
      <c r="S4418" s="59">
        <f ca="1">Dashboard!B$8* Dashboard!$F$4+Dashboard!B$10*SQRT(Dashboard!$F$4) * _xlfn.NORM.S.INV(RAND())</f>
        <v>-4.4868344059960007E-2</v>
      </c>
      <c r="T4418" s="59">
        <f ca="1">Dashboard!C$8* Dashboard!$F$4+Dashboard!C$10*SQRT(Dashboard!$F$4) * _xlfn.NORM.S.INV(RAND())</f>
        <v>7.994327257614782E-2</v>
      </c>
      <c r="U4418" s="59">
        <f ca="1">Dashboard!D$8* Dashboard!$F$4+Dashboard!D$10*SQRT(Dashboard!$F$4) * _xlfn.NORM.S.INV(RAND())</f>
        <v>6.7194127572216388E-3</v>
      </c>
    </row>
    <row r="4419" spans="18:21" x14ac:dyDescent="0.2">
      <c r="R4419" s="49">
        <v>4417</v>
      </c>
      <c r="S4419" s="59">
        <f ca="1">Dashboard!B$8* Dashboard!$F$4+Dashboard!B$10*SQRT(Dashboard!$F$4) * _xlfn.NORM.S.INV(RAND())</f>
        <v>-8.2657329260831785E-3</v>
      </c>
      <c r="T4419" s="59">
        <f ca="1">Dashboard!C$8* Dashboard!$F$4+Dashboard!C$10*SQRT(Dashboard!$F$4) * _xlfn.NORM.S.INV(RAND())</f>
        <v>-1.122804555513696E-2</v>
      </c>
      <c r="U4419" s="59">
        <f ca="1">Dashboard!D$8* Dashboard!$F$4+Dashboard!D$10*SQRT(Dashboard!$F$4) * _xlfn.NORM.S.INV(RAND())</f>
        <v>1.1707741339037556E-2</v>
      </c>
    </row>
    <row r="4420" spans="18:21" x14ac:dyDescent="0.2">
      <c r="R4420" s="49">
        <v>4418</v>
      </c>
      <c r="S4420" s="59">
        <f ca="1">Dashboard!B$8* Dashboard!$F$4+Dashboard!B$10*SQRT(Dashboard!$F$4) * _xlfn.NORM.S.INV(RAND())</f>
        <v>-4.984103644665426E-2</v>
      </c>
      <c r="T4420" s="59">
        <f ca="1">Dashboard!C$8* Dashboard!$F$4+Dashboard!C$10*SQRT(Dashboard!$F$4) * _xlfn.NORM.S.INV(RAND())</f>
        <v>6.2935466202750107E-3</v>
      </c>
      <c r="U4420" s="59">
        <f ca="1">Dashboard!D$8* Dashboard!$F$4+Dashboard!D$10*SQRT(Dashboard!$F$4) * _xlfn.NORM.S.INV(RAND())</f>
        <v>-8.4484151041789857E-3</v>
      </c>
    </row>
    <row r="4421" spans="18:21" x14ac:dyDescent="0.2">
      <c r="R4421" s="49">
        <v>4419</v>
      </c>
      <c r="S4421" s="59">
        <f ca="1">Dashboard!B$8* Dashboard!$F$4+Dashboard!B$10*SQRT(Dashboard!$F$4) * _xlfn.NORM.S.INV(RAND())</f>
        <v>-2.7251320040919125E-2</v>
      </c>
      <c r="T4421" s="59">
        <f ca="1">Dashboard!C$8* Dashboard!$F$4+Dashboard!C$10*SQRT(Dashboard!$F$4) * _xlfn.NORM.S.INV(RAND())</f>
        <v>4.3121710163405616E-2</v>
      </c>
      <c r="U4421" s="59">
        <f ca="1">Dashboard!D$8* Dashboard!$F$4+Dashboard!D$10*SQRT(Dashboard!$F$4) * _xlfn.NORM.S.INV(RAND())</f>
        <v>6.6605869643417054E-2</v>
      </c>
    </row>
    <row r="4422" spans="18:21" x14ac:dyDescent="0.2">
      <c r="R4422" s="49">
        <v>4420</v>
      </c>
      <c r="S4422" s="59">
        <f ca="1">Dashboard!B$8* Dashboard!$F$4+Dashboard!B$10*SQRT(Dashboard!$F$4) * _xlfn.NORM.S.INV(RAND())</f>
        <v>8.245584357464017E-3</v>
      </c>
      <c r="T4422" s="59">
        <f ca="1">Dashboard!C$8* Dashboard!$F$4+Dashboard!C$10*SQRT(Dashboard!$F$4) * _xlfn.NORM.S.INV(RAND())</f>
        <v>1.3144974083155545E-2</v>
      </c>
      <c r="U4422" s="59">
        <f ca="1">Dashboard!D$8* Dashboard!$F$4+Dashboard!D$10*SQRT(Dashboard!$F$4) * _xlfn.NORM.S.INV(RAND())</f>
        <v>-5.5676297511163118E-2</v>
      </c>
    </row>
    <row r="4423" spans="18:21" x14ac:dyDescent="0.2">
      <c r="R4423" s="49">
        <v>4421</v>
      </c>
      <c r="S4423" s="59">
        <f ca="1">Dashboard!B$8* Dashboard!$F$4+Dashboard!B$10*SQRT(Dashboard!$F$4) * _xlfn.NORM.S.INV(RAND())</f>
        <v>-2.0946403712763448E-2</v>
      </c>
      <c r="T4423" s="59">
        <f ca="1">Dashboard!C$8* Dashboard!$F$4+Dashboard!C$10*SQRT(Dashboard!$F$4) * _xlfn.NORM.S.INV(RAND())</f>
        <v>1.7731866386928734E-2</v>
      </c>
      <c r="U4423" s="59">
        <f ca="1">Dashboard!D$8* Dashboard!$F$4+Dashboard!D$10*SQRT(Dashboard!$F$4) * _xlfn.NORM.S.INV(RAND())</f>
        <v>8.0318757017687398E-2</v>
      </c>
    </row>
    <row r="4424" spans="18:21" x14ac:dyDescent="0.2">
      <c r="R4424" s="49">
        <v>4422</v>
      </c>
      <c r="S4424" s="59">
        <f ca="1">Dashboard!B$8* Dashboard!$F$4+Dashboard!B$10*SQRT(Dashboard!$F$4) * _xlfn.NORM.S.INV(RAND())</f>
        <v>-2.6077338037483926E-3</v>
      </c>
      <c r="T4424" s="59">
        <f ca="1">Dashboard!C$8* Dashboard!$F$4+Dashboard!C$10*SQRT(Dashboard!$F$4) * _xlfn.NORM.S.INV(RAND())</f>
        <v>-2.6748742088449556E-2</v>
      </c>
      <c r="U4424" s="59">
        <f ca="1">Dashboard!D$8* Dashboard!$F$4+Dashboard!D$10*SQRT(Dashboard!$F$4) * _xlfn.NORM.S.INV(RAND())</f>
        <v>-2.0606256608106795E-4</v>
      </c>
    </row>
    <row r="4425" spans="18:21" x14ac:dyDescent="0.2">
      <c r="R4425" s="49">
        <v>4423</v>
      </c>
      <c r="S4425" s="59">
        <f ca="1">Dashboard!B$8* Dashboard!$F$4+Dashboard!B$10*SQRT(Dashboard!$F$4) * _xlfn.NORM.S.INV(RAND())</f>
        <v>-1.042806695149071E-3</v>
      </c>
      <c r="T4425" s="59">
        <f ca="1">Dashboard!C$8* Dashboard!$F$4+Dashboard!C$10*SQRT(Dashboard!$F$4) * _xlfn.NORM.S.INV(RAND())</f>
        <v>-4.7378426670518546E-3</v>
      </c>
      <c r="U4425" s="59">
        <f ca="1">Dashboard!D$8* Dashboard!$F$4+Dashboard!D$10*SQRT(Dashboard!$F$4) * _xlfn.NORM.S.INV(RAND())</f>
        <v>4.7940181959554753E-2</v>
      </c>
    </row>
    <row r="4426" spans="18:21" x14ac:dyDescent="0.2">
      <c r="R4426" s="49">
        <v>4424</v>
      </c>
      <c r="S4426" s="59">
        <f ca="1">Dashboard!B$8* Dashboard!$F$4+Dashboard!B$10*SQRT(Dashboard!$F$4) * _xlfn.NORM.S.INV(RAND())</f>
        <v>-2.1427044780445471E-2</v>
      </c>
      <c r="T4426" s="59">
        <f ca="1">Dashboard!C$8* Dashboard!$F$4+Dashboard!C$10*SQRT(Dashboard!$F$4) * _xlfn.NORM.S.INV(RAND())</f>
        <v>7.3238351147488959E-2</v>
      </c>
      <c r="U4426" s="59">
        <f ca="1">Dashboard!D$8* Dashboard!$F$4+Dashboard!D$10*SQRT(Dashboard!$F$4) * _xlfn.NORM.S.INV(RAND())</f>
        <v>-3.7981468973933286E-3</v>
      </c>
    </row>
    <row r="4427" spans="18:21" x14ac:dyDescent="0.2">
      <c r="R4427" s="49">
        <v>4425</v>
      </c>
      <c r="S4427" s="59">
        <f ca="1">Dashboard!B$8* Dashboard!$F$4+Dashboard!B$10*SQRT(Dashboard!$F$4) * _xlfn.NORM.S.INV(RAND())</f>
        <v>1.4845205000711023E-2</v>
      </c>
      <c r="T4427" s="59">
        <f ca="1">Dashboard!C$8* Dashboard!$F$4+Dashboard!C$10*SQRT(Dashboard!$F$4) * _xlfn.NORM.S.INV(RAND())</f>
        <v>8.351697022116699E-3</v>
      </c>
      <c r="U4427" s="59">
        <f ca="1">Dashboard!D$8* Dashboard!$F$4+Dashboard!D$10*SQRT(Dashboard!$F$4) * _xlfn.NORM.S.INV(RAND())</f>
        <v>1.7839318915161571E-2</v>
      </c>
    </row>
    <row r="4428" spans="18:21" x14ac:dyDescent="0.2">
      <c r="R4428" s="49">
        <v>4426</v>
      </c>
      <c r="S4428" s="59">
        <f ca="1">Dashboard!B$8* Dashboard!$F$4+Dashboard!B$10*SQRT(Dashboard!$F$4) * _xlfn.NORM.S.INV(RAND())</f>
        <v>3.2549931200273767E-2</v>
      </c>
      <c r="T4428" s="59">
        <f ca="1">Dashboard!C$8* Dashboard!$F$4+Dashboard!C$10*SQRT(Dashboard!$F$4) * _xlfn.NORM.S.INV(RAND())</f>
        <v>1.1529087007011303E-2</v>
      </c>
      <c r="U4428" s="59">
        <f ca="1">Dashboard!D$8* Dashboard!$F$4+Dashboard!D$10*SQRT(Dashboard!$F$4) * _xlfn.NORM.S.INV(RAND())</f>
        <v>-4.531751484783697E-2</v>
      </c>
    </row>
    <row r="4429" spans="18:21" x14ac:dyDescent="0.2">
      <c r="R4429" s="49">
        <v>4427</v>
      </c>
      <c r="S4429" s="59">
        <f ca="1">Dashboard!B$8* Dashboard!$F$4+Dashboard!B$10*SQRT(Dashboard!$F$4) * _xlfn.NORM.S.INV(RAND())</f>
        <v>-1.8942244787882388E-2</v>
      </c>
      <c r="T4429" s="59">
        <f ca="1">Dashboard!C$8* Dashboard!$F$4+Dashboard!C$10*SQRT(Dashboard!$F$4) * _xlfn.NORM.S.INV(RAND())</f>
        <v>3.6955337140022956E-2</v>
      </c>
      <c r="U4429" s="59">
        <f ca="1">Dashboard!D$8* Dashboard!$F$4+Dashboard!D$10*SQRT(Dashboard!$F$4) * _xlfn.NORM.S.INV(RAND())</f>
        <v>-3.2256696904297624E-2</v>
      </c>
    </row>
    <row r="4430" spans="18:21" x14ac:dyDescent="0.2">
      <c r="R4430" s="49">
        <v>4428</v>
      </c>
      <c r="S4430" s="59">
        <f ca="1">Dashboard!B$8* Dashboard!$F$4+Dashboard!B$10*SQRT(Dashboard!$F$4) * _xlfn.NORM.S.INV(RAND())</f>
        <v>3.9852235287440394E-3</v>
      </c>
      <c r="T4430" s="59">
        <f ca="1">Dashboard!C$8* Dashboard!$F$4+Dashboard!C$10*SQRT(Dashboard!$F$4) * _xlfn.NORM.S.INV(RAND())</f>
        <v>2.7768825299779249E-3</v>
      </c>
      <c r="U4430" s="59">
        <f ca="1">Dashboard!D$8* Dashboard!$F$4+Dashboard!D$10*SQRT(Dashboard!$F$4) * _xlfn.NORM.S.INV(RAND())</f>
        <v>-4.7377548651847175E-3</v>
      </c>
    </row>
    <row r="4431" spans="18:21" x14ac:dyDescent="0.2">
      <c r="R4431" s="49">
        <v>4429</v>
      </c>
      <c r="S4431" s="59">
        <f ca="1">Dashboard!B$8* Dashboard!$F$4+Dashboard!B$10*SQRT(Dashboard!$F$4) * _xlfn.NORM.S.INV(RAND())</f>
        <v>3.8074256784139775E-2</v>
      </c>
      <c r="T4431" s="59">
        <f ca="1">Dashboard!C$8* Dashboard!$F$4+Dashboard!C$10*SQRT(Dashboard!$F$4) * _xlfn.NORM.S.INV(RAND())</f>
        <v>1.4442236916304063E-3</v>
      </c>
      <c r="U4431" s="59">
        <f ca="1">Dashboard!D$8* Dashboard!$F$4+Dashboard!D$10*SQRT(Dashboard!$F$4) * _xlfn.NORM.S.INV(RAND())</f>
        <v>2.0872062338892203E-2</v>
      </c>
    </row>
    <row r="4432" spans="18:21" x14ac:dyDescent="0.2">
      <c r="R4432" s="49">
        <v>4430</v>
      </c>
      <c r="S4432" s="59">
        <f ca="1">Dashboard!B$8* Dashboard!$F$4+Dashboard!B$10*SQRT(Dashboard!$F$4) * _xlfn.NORM.S.INV(RAND())</f>
        <v>-9.0756916807679666E-3</v>
      </c>
      <c r="T4432" s="59">
        <f ca="1">Dashboard!C$8* Dashboard!$F$4+Dashboard!C$10*SQRT(Dashboard!$F$4) * _xlfn.NORM.S.INV(RAND())</f>
        <v>4.2299953706265965E-3</v>
      </c>
      <c r="U4432" s="59">
        <f ca="1">Dashboard!D$8* Dashboard!$F$4+Dashboard!D$10*SQRT(Dashboard!$F$4) * _xlfn.NORM.S.INV(RAND())</f>
        <v>-6.5083314869693789E-3</v>
      </c>
    </row>
    <row r="4433" spans="18:21" x14ac:dyDescent="0.2">
      <c r="R4433" s="49">
        <v>4431</v>
      </c>
      <c r="S4433" s="59">
        <f ca="1">Dashboard!B$8* Dashboard!$F$4+Dashboard!B$10*SQRT(Dashboard!$F$4) * _xlfn.NORM.S.INV(RAND())</f>
        <v>-4.5285197141933367E-2</v>
      </c>
      <c r="T4433" s="59">
        <f ca="1">Dashboard!C$8* Dashboard!$F$4+Dashboard!C$10*SQRT(Dashboard!$F$4) * _xlfn.NORM.S.INV(RAND())</f>
        <v>-1.3762925996441841E-2</v>
      </c>
      <c r="U4433" s="59">
        <f ca="1">Dashboard!D$8* Dashboard!$F$4+Dashboard!D$10*SQRT(Dashboard!$F$4) * _xlfn.NORM.S.INV(RAND())</f>
        <v>8.8743769071703037E-4</v>
      </c>
    </row>
    <row r="4434" spans="18:21" x14ac:dyDescent="0.2">
      <c r="R4434" s="49">
        <v>4432</v>
      </c>
      <c r="S4434" s="59">
        <f ca="1">Dashboard!B$8* Dashboard!$F$4+Dashboard!B$10*SQRT(Dashboard!$F$4) * _xlfn.NORM.S.INV(RAND())</f>
        <v>-5.3121167507592854E-2</v>
      </c>
      <c r="T4434" s="59">
        <f ca="1">Dashboard!C$8* Dashboard!$F$4+Dashboard!C$10*SQRT(Dashboard!$F$4) * _xlfn.NORM.S.INV(RAND())</f>
        <v>1.6994788840171825E-2</v>
      </c>
      <c r="U4434" s="59">
        <f ca="1">Dashboard!D$8* Dashboard!$F$4+Dashboard!D$10*SQRT(Dashboard!$F$4) * _xlfn.NORM.S.INV(RAND())</f>
        <v>2.9853284087539993E-2</v>
      </c>
    </row>
    <row r="4435" spans="18:21" x14ac:dyDescent="0.2">
      <c r="R4435" s="49">
        <v>4433</v>
      </c>
      <c r="S4435" s="59">
        <f ca="1">Dashboard!B$8* Dashboard!$F$4+Dashboard!B$10*SQRT(Dashboard!$F$4) * _xlfn.NORM.S.INV(RAND())</f>
        <v>-8.31940328991123E-3</v>
      </c>
      <c r="T4435" s="59">
        <f ca="1">Dashboard!C$8* Dashboard!$F$4+Dashboard!C$10*SQRT(Dashboard!$F$4) * _xlfn.NORM.S.INV(RAND())</f>
        <v>9.3489012675588984E-3</v>
      </c>
      <c r="U4435" s="59">
        <f ca="1">Dashboard!D$8* Dashboard!$F$4+Dashboard!D$10*SQRT(Dashboard!$F$4) * _xlfn.NORM.S.INV(RAND())</f>
        <v>-8.3402105098241315E-3</v>
      </c>
    </row>
    <row r="4436" spans="18:21" x14ac:dyDescent="0.2">
      <c r="R4436" s="49">
        <v>4434</v>
      </c>
      <c r="S4436" s="59">
        <f ca="1">Dashboard!B$8* Dashboard!$F$4+Dashboard!B$10*SQRT(Dashboard!$F$4) * _xlfn.NORM.S.INV(RAND())</f>
        <v>1.0317355890367379E-2</v>
      </c>
      <c r="T4436" s="59">
        <f ca="1">Dashboard!C$8* Dashboard!$F$4+Dashboard!C$10*SQRT(Dashboard!$F$4) * _xlfn.NORM.S.INV(RAND())</f>
        <v>-2.6726617266064488E-2</v>
      </c>
      <c r="U4436" s="59">
        <f ca="1">Dashboard!D$8* Dashboard!$F$4+Dashboard!D$10*SQRT(Dashboard!$F$4) * _xlfn.NORM.S.INV(RAND())</f>
        <v>2.3531566442302138E-3</v>
      </c>
    </row>
    <row r="4437" spans="18:21" x14ac:dyDescent="0.2">
      <c r="R4437" s="49">
        <v>4435</v>
      </c>
      <c r="S4437" s="59">
        <f ca="1">Dashboard!B$8* Dashboard!$F$4+Dashboard!B$10*SQRT(Dashboard!$F$4) * _xlfn.NORM.S.INV(RAND())</f>
        <v>-9.3962764734158502E-2</v>
      </c>
      <c r="T4437" s="59">
        <f ca="1">Dashboard!C$8* Dashboard!$F$4+Dashboard!C$10*SQRT(Dashboard!$F$4) * _xlfn.NORM.S.INV(RAND())</f>
        <v>2.2313029069121363E-2</v>
      </c>
      <c r="U4437" s="59">
        <f ca="1">Dashboard!D$8* Dashboard!$F$4+Dashboard!D$10*SQRT(Dashboard!$F$4) * _xlfn.NORM.S.INV(RAND())</f>
        <v>-4.1746487045144455E-3</v>
      </c>
    </row>
    <row r="4438" spans="18:21" x14ac:dyDescent="0.2">
      <c r="R4438" s="49">
        <v>4436</v>
      </c>
      <c r="S4438" s="59">
        <f ca="1">Dashboard!B$8* Dashboard!$F$4+Dashboard!B$10*SQRT(Dashboard!$F$4) * _xlfn.NORM.S.INV(RAND())</f>
        <v>5.4991451037444211E-2</v>
      </c>
      <c r="T4438" s="59">
        <f ca="1">Dashboard!C$8* Dashboard!$F$4+Dashboard!C$10*SQRT(Dashboard!$F$4) * _xlfn.NORM.S.INV(RAND())</f>
        <v>-4.5261906604171134E-2</v>
      </c>
      <c r="U4438" s="59">
        <f ca="1">Dashboard!D$8* Dashboard!$F$4+Dashboard!D$10*SQRT(Dashboard!$F$4) * _xlfn.NORM.S.INV(RAND())</f>
        <v>-2.8240199349704165E-2</v>
      </c>
    </row>
    <row r="4439" spans="18:21" x14ac:dyDescent="0.2">
      <c r="R4439" s="49">
        <v>4437</v>
      </c>
      <c r="S4439" s="59">
        <f ca="1">Dashboard!B$8* Dashboard!$F$4+Dashboard!B$10*SQRT(Dashboard!$F$4) * _xlfn.NORM.S.INV(RAND())</f>
        <v>-1.5679220351373587E-2</v>
      </c>
      <c r="T4439" s="59">
        <f ca="1">Dashboard!C$8* Dashboard!$F$4+Dashboard!C$10*SQRT(Dashboard!$F$4) * _xlfn.NORM.S.INV(RAND())</f>
        <v>2.2908825131320188E-3</v>
      </c>
      <c r="U4439" s="59">
        <f ca="1">Dashboard!D$8* Dashboard!$F$4+Dashboard!D$10*SQRT(Dashboard!$F$4) * _xlfn.NORM.S.INV(RAND())</f>
        <v>-3.7297335001483444E-3</v>
      </c>
    </row>
    <row r="4440" spans="18:21" x14ac:dyDescent="0.2">
      <c r="R4440" s="49">
        <v>4438</v>
      </c>
      <c r="S4440" s="59">
        <f ca="1">Dashboard!B$8* Dashboard!$F$4+Dashboard!B$10*SQRT(Dashboard!$F$4) * _xlfn.NORM.S.INV(RAND())</f>
        <v>-2.4088902229442821E-2</v>
      </c>
      <c r="T4440" s="59">
        <f ca="1">Dashboard!C$8* Dashboard!$F$4+Dashboard!C$10*SQRT(Dashboard!$F$4) * _xlfn.NORM.S.INV(RAND())</f>
        <v>-2.9523464689910569E-2</v>
      </c>
      <c r="U4440" s="59">
        <f ca="1">Dashboard!D$8* Dashboard!$F$4+Dashboard!D$10*SQRT(Dashboard!$F$4) * _xlfn.NORM.S.INV(RAND())</f>
        <v>-3.9880630280073499E-2</v>
      </c>
    </row>
    <row r="4441" spans="18:21" x14ac:dyDescent="0.2">
      <c r="R4441" s="49">
        <v>4439</v>
      </c>
      <c r="S4441" s="59">
        <f ca="1">Dashboard!B$8* Dashboard!$F$4+Dashboard!B$10*SQRT(Dashboard!$F$4) * _xlfn.NORM.S.INV(RAND())</f>
        <v>1.6272982197953346E-2</v>
      </c>
      <c r="T4441" s="59">
        <f ca="1">Dashboard!C$8* Dashboard!$F$4+Dashboard!C$10*SQRT(Dashboard!$F$4) * _xlfn.NORM.S.INV(RAND())</f>
        <v>-1.8787490541982539E-2</v>
      </c>
      <c r="U4441" s="59">
        <f ca="1">Dashboard!D$8* Dashboard!$F$4+Dashboard!D$10*SQRT(Dashboard!$F$4) * _xlfn.NORM.S.INV(RAND())</f>
        <v>1.1322702508778834E-2</v>
      </c>
    </row>
    <row r="4442" spans="18:21" x14ac:dyDescent="0.2">
      <c r="R4442" s="49">
        <v>4440</v>
      </c>
      <c r="S4442" s="59">
        <f ca="1">Dashboard!B$8* Dashboard!$F$4+Dashboard!B$10*SQRT(Dashboard!$F$4) * _xlfn.NORM.S.INV(RAND())</f>
        <v>2.5939408649404486E-2</v>
      </c>
      <c r="T4442" s="59">
        <f ca="1">Dashboard!C$8* Dashboard!$F$4+Dashboard!C$10*SQRT(Dashboard!$F$4) * _xlfn.NORM.S.INV(RAND())</f>
        <v>1.3691360210800189E-2</v>
      </c>
      <c r="U4442" s="59">
        <f ca="1">Dashboard!D$8* Dashboard!$F$4+Dashboard!D$10*SQRT(Dashboard!$F$4) * _xlfn.NORM.S.INV(RAND())</f>
        <v>-4.6263714485863257E-2</v>
      </c>
    </row>
    <row r="4443" spans="18:21" x14ac:dyDescent="0.2">
      <c r="R4443" s="49">
        <v>4441</v>
      </c>
      <c r="S4443" s="59">
        <f ca="1">Dashboard!B$8* Dashboard!$F$4+Dashboard!B$10*SQRT(Dashboard!$F$4) * _xlfn.NORM.S.INV(RAND())</f>
        <v>-1.7569228771076362E-2</v>
      </c>
      <c r="T4443" s="59">
        <f ca="1">Dashboard!C$8* Dashboard!$F$4+Dashboard!C$10*SQRT(Dashboard!$F$4) * _xlfn.NORM.S.INV(RAND())</f>
        <v>5.9129788078573033E-2</v>
      </c>
      <c r="U4443" s="59">
        <f ca="1">Dashboard!D$8* Dashboard!$F$4+Dashboard!D$10*SQRT(Dashboard!$F$4) * _xlfn.NORM.S.INV(RAND())</f>
        <v>3.7099750455041644E-2</v>
      </c>
    </row>
    <row r="4444" spans="18:21" x14ac:dyDescent="0.2">
      <c r="R4444" s="49">
        <v>4442</v>
      </c>
      <c r="S4444" s="59">
        <f ca="1">Dashboard!B$8* Dashboard!$F$4+Dashboard!B$10*SQRT(Dashboard!$F$4) * _xlfn.NORM.S.INV(RAND())</f>
        <v>7.9170767718391294E-3</v>
      </c>
      <c r="T4444" s="59">
        <f ca="1">Dashboard!C$8* Dashboard!$F$4+Dashboard!C$10*SQRT(Dashboard!$F$4) * _xlfn.NORM.S.INV(RAND())</f>
        <v>9.0276506086477346E-2</v>
      </c>
      <c r="U4444" s="59">
        <f ca="1">Dashboard!D$8* Dashboard!$F$4+Dashboard!D$10*SQRT(Dashboard!$F$4) * _xlfn.NORM.S.INV(RAND())</f>
        <v>-2.5279866968540881E-2</v>
      </c>
    </row>
    <row r="4445" spans="18:21" x14ac:dyDescent="0.2">
      <c r="R4445" s="49">
        <v>4443</v>
      </c>
      <c r="S4445" s="59">
        <f ca="1">Dashboard!B$8* Dashboard!$F$4+Dashboard!B$10*SQRT(Dashboard!$F$4) * _xlfn.NORM.S.INV(RAND())</f>
        <v>-2.646768667378073E-2</v>
      </c>
      <c r="T4445" s="59">
        <f ca="1">Dashboard!C$8* Dashboard!$F$4+Dashboard!C$10*SQRT(Dashboard!$F$4) * _xlfn.NORM.S.INV(RAND())</f>
        <v>-2.7686934887125019E-3</v>
      </c>
      <c r="U4445" s="59">
        <f ca="1">Dashboard!D$8* Dashboard!$F$4+Dashboard!D$10*SQRT(Dashboard!$F$4) * _xlfn.NORM.S.INV(RAND())</f>
        <v>-3.5761260998445569E-3</v>
      </c>
    </row>
    <row r="4446" spans="18:21" x14ac:dyDescent="0.2">
      <c r="R4446" s="49">
        <v>4444</v>
      </c>
      <c r="S4446" s="59">
        <f ca="1">Dashboard!B$8* Dashboard!$F$4+Dashboard!B$10*SQRT(Dashboard!$F$4) * _xlfn.NORM.S.INV(RAND())</f>
        <v>-4.0093291596188976E-2</v>
      </c>
      <c r="T4446" s="59">
        <f ca="1">Dashboard!C$8* Dashboard!$F$4+Dashboard!C$10*SQRT(Dashboard!$F$4) * _xlfn.NORM.S.INV(RAND())</f>
        <v>-1.551672104711849E-2</v>
      </c>
      <c r="U4446" s="59">
        <f ca="1">Dashboard!D$8* Dashboard!$F$4+Dashboard!D$10*SQRT(Dashboard!$F$4) * _xlfn.NORM.S.INV(RAND())</f>
        <v>-1.5772093435331696E-3</v>
      </c>
    </row>
    <row r="4447" spans="18:21" x14ac:dyDescent="0.2">
      <c r="R4447" s="49">
        <v>4445</v>
      </c>
      <c r="S4447" s="59">
        <f ca="1">Dashboard!B$8* Dashboard!$F$4+Dashboard!B$10*SQRT(Dashboard!$F$4) * _xlfn.NORM.S.INV(RAND())</f>
        <v>-8.9106382533737961E-3</v>
      </c>
      <c r="T4447" s="59">
        <f ca="1">Dashboard!C$8* Dashboard!$F$4+Dashboard!C$10*SQRT(Dashboard!$F$4) * _xlfn.NORM.S.INV(RAND())</f>
        <v>-7.9691482111404685E-3</v>
      </c>
      <c r="U4447" s="59">
        <f ca="1">Dashboard!D$8* Dashboard!$F$4+Dashboard!D$10*SQRT(Dashboard!$F$4) * _xlfn.NORM.S.INV(RAND())</f>
        <v>-1.0410296707764876E-2</v>
      </c>
    </row>
    <row r="4448" spans="18:21" x14ac:dyDescent="0.2">
      <c r="R4448" s="49">
        <v>4446</v>
      </c>
      <c r="S4448" s="59">
        <f ca="1">Dashboard!B$8* Dashboard!$F$4+Dashboard!B$10*SQRT(Dashboard!$F$4) * _xlfn.NORM.S.INV(RAND())</f>
        <v>-5.1415199859739469E-2</v>
      </c>
      <c r="T4448" s="59">
        <f ca="1">Dashboard!C$8* Dashboard!$F$4+Dashboard!C$10*SQRT(Dashboard!$F$4) * _xlfn.NORM.S.INV(RAND())</f>
        <v>1.6094059102989375E-2</v>
      </c>
      <c r="U4448" s="59">
        <f ca="1">Dashboard!D$8* Dashboard!$F$4+Dashboard!D$10*SQRT(Dashboard!$F$4) * _xlfn.NORM.S.INV(RAND())</f>
        <v>-2.8523563838070972E-2</v>
      </c>
    </row>
    <row r="4449" spans="18:21" x14ac:dyDescent="0.2">
      <c r="R4449" s="49">
        <v>4447</v>
      </c>
      <c r="S4449" s="59">
        <f ca="1">Dashboard!B$8* Dashboard!$F$4+Dashboard!B$10*SQRT(Dashboard!$F$4) * _xlfn.NORM.S.INV(RAND())</f>
        <v>-3.4713683049044041E-3</v>
      </c>
      <c r="T4449" s="59">
        <f ca="1">Dashboard!C$8* Dashboard!$F$4+Dashboard!C$10*SQRT(Dashboard!$F$4) * _xlfn.NORM.S.INV(RAND())</f>
        <v>-2.4185279908577363E-3</v>
      </c>
      <c r="U4449" s="59">
        <f ca="1">Dashboard!D$8* Dashboard!$F$4+Dashboard!D$10*SQRT(Dashboard!$F$4) * _xlfn.NORM.S.INV(RAND())</f>
        <v>-2.9321201134360549E-2</v>
      </c>
    </row>
    <row r="4450" spans="18:21" x14ac:dyDescent="0.2">
      <c r="R4450" s="49">
        <v>4448</v>
      </c>
      <c r="S4450" s="59">
        <f ca="1">Dashboard!B$8* Dashboard!$F$4+Dashboard!B$10*SQRT(Dashboard!$F$4) * _xlfn.NORM.S.INV(RAND())</f>
        <v>-9.7089889755738431E-4</v>
      </c>
      <c r="T4450" s="59">
        <f ca="1">Dashboard!C$8* Dashboard!$F$4+Dashboard!C$10*SQRT(Dashboard!$F$4) * _xlfn.NORM.S.INV(RAND())</f>
        <v>1.440740399995684E-3</v>
      </c>
      <c r="U4450" s="59">
        <f ca="1">Dashboard!D$8* Dashboard!$F$4+Dashboard!D$10*SQRT(Dashboard!$F$4) * _xlfn.NORM.S.INV(RAND())</f>
        <v>1.6874965385436939E-3</v>
      </c>
    </row>
    <row r="4451" spans="18:21" x14ac:dyDescent="0.2">
      <c r="R4451" s="49">
        <v>4449</v>
      </c>
      <c r="S4451" s="59">
        <f ca="1">Dashboard!B$8* Dashboard!$F$4+Dashboard!B$10*SQRT(Dashboard!$F$4) * _xlfn.NORM.S.INV(RAND())</f>
        <v>-4.0837951698940979E-2</v>
      </c>
      <c r="T4451" s="59">
        <f ca="1">Dashboard!C$8* Dashboard!$F$4+Dashboard!C$10*SQRT(Dashboard!$F$4) * _xlfn.NORM.S.INV(RAND())</f>
        <v>1.5142342626957961E-2</v>
      </c>
      <c r="U4451" s="59">
        <f ca="1">Dashboard!D$8* Dashboard!$F$4+Dashboard!D$10*SQRT(Dashboard!$F$4) * _xlfn.NORM.S.INV(RAND())</f>
        <v>2.487661906269922E-2</v>
      </c>
    </row>
    <row r="4452" spans="18:21" x14ac:dyDescent="0.2">
      <c r="R4452" s="49">
        <v>4450</v>
      </c>
      <c r="S4452" s="59">
        <f ca="1">Dashboard!B$8* Dashboard!$F$4+Dashboard!B$10*SQRT(Dashboard!$F$4) * _xlfn.NORM.S.INV(RAND())</f>
        <v>2.338218071006401E-2</v>
      </c>
      <c r="T4452" s="59">
        <f ca="1">Dashboard!C$8* Dashboard!$F$4+Dashboard!C$10*SQRT(Dashboard!$F$4) * _xlfn.NORM.S.INV(RAND())</f>
        <v>-1.6928152803034561E-2</v>
      </c>
      <c r="U4452" s="59">
        <f ca="1">Dashboard!D$8* Dashboard!$F$4+Dashboard!D$10*SQRT(Dashboard!$F$4) * _xlfn.NORM.S.INV(RAND())</f>
        <v>-1.7769952662342107E-2</v>
      </c>
    </row>
    <row r="4453" spans="18:21" x14ac:dyDescent="0.2">
      <c r="R4453" s="49">
        <v>4451</v>
      </c>
      <c r="S4453" s="59">
        <f ca="1">Dashboard!B$8* Dashboard!$F$4+Dashboard!B$10*SQRT(Dashboard!$F$4) * _xlfn.NORM.S.INV(RAND())</f>
        <v>-2.3948726827740421E-2</v>
      </c>
      <c r="T4453" s="59">
        <f ca="1">Dashboard!C$8* Dashboard!$F$4+Dashboard!C$10*SQRT(Dashboard!$F$4) * _xlfn.NORM.S.INV(RAND())</f>
        <v>2.5754172753846158E-2</v>
      </c>
      <c r="U4453" s="59">
        <f ca="1">Dashboard!D$8* Dashboard!$F$4+Dashboard!D$10*SQRT(Dashboard!$F$4) * _xlfn.NORM.S.INV(RAND())</f>
        <v>-1.282388261624026E-2</v>
      </c>
    </row>
    <row r="4454" spans="18:21" x14ac:dyDescent="0.2">
      <c r="R4454" s="49">
        <v>4452</v>
      </c>
      <c r="S4454" s="59">
        <f ca="1">Dashboard!B$8* Dashboard!$F$4+Dashboard!B$10*SQRT(Dashboard!$F$4) * _xlfn.NORM.S.INV(RAND())</f>
        <v>4.3062350841518139E-2</v>
      </c>
      <c r="T4454" s="59">
        <f ca="1">Dashboard!C$8* Dashboard!$F$4+Dashboard!C$10*SQRT(Dashboard!$F$4) * _xlfn.NORM.S.INV(RAND())</f>
        <v>-4.7686060473431491E-2</v>
      </c>
      <c r="U4454" s="59">
        <f ca="1">Dashboard!D$8* Dashboard!$F$4+Dashboard!D$10*SQRT(Dashboard!$F$4) * _xlfn.NORM.S.INV(RAND())</f>
        <v>2.2392026822451106E-2</v>
      </c>
    </row>
    <row r="4455" spans="18:21" x14ac:dyDescent="0.2">
      <c r="R4455" s="49">
        <v>4453</v>
      </c>
      <c r="S4455" s="59">
        <f ca="1">Dashboard!B$8* Dashboard!$F$4+Dashboard!B$10*SQRT(Dashboard!$F$4) * _xlfn.NORM.S.INV(RAND())</f>
        <v>1.2555155253356782E-3</v>
      </c>
      <c r="T4455" s="59">
        <f ca="1">Dashboard!C$8* Dashboard!$F$4+Dashboard!C$10*SQRT(Dashboard!$F$4) * _xlfn.NORM.S.INV(RAND())</f>
        <v>1.3106772519013415E-2</v>
      </c>
      <c r="U4455" s="59">
        <f ca="1">Dashboard!D$8* Dashboard!$F$4+Dashboard!D$10*SQRT(Dashboard!$F$4) * _xlfn.NORM.S.INV(RAND())</f>
        <v>-1.5271156857518181E-3</v>
      </c>
    </row>
    <row r="4456" spans="18:21" x14ac:dyDescent="0.2">
      <c r="R4456" s="49">
        <v>4454</v>
      </c>
      <c r="S4456" s="59">
        <f ca="1">Dashboard!B$8* Dashboard!$F$4+Dashboard!B$10*SQRT(Dashboard!$F$4) * _xlfn.NORM.S.INV(RAND())</f>
        <v>-5.2547410242920495E-3</v>
      </c>
      <c r="T4456" s="59">
        <f ca="1">Dashboard!C$8* Dashboard!$F$4+Dashboard!C$10*SQRT(Dashboard!$F$4) * _xlfn.NORM.S.INV(RAND())</f>
        <v>-9.3393839968311035E-3</v>
      </c>
      <c r="U4456" s="59">
        <f ca="1">Dashboard!D$8* Dashboard!$F$4+Dashboard!D$10*SQRT(Dashboard!$F$4) * _xlfn.NORM.S.INV(RAND())</f>
        <v>-2.1298916090608425E-2</v>
      </c>
    </row>
    <row r="4457" spans="18:21" x14ac:dyDescent="0.2">
      <c r="R4457" s="49">
        <v>4455</v>
      </c>
      <c r="S4457" s="59">
        <f ca="1">Dashboard!B$8* Dashboard!$F$4+Dashboard!B$10*SQRT(Dashboard!$F$4) * _xlfn.NORM.S.INV(RAND())</f>
        <v>1.9406478277403452E-2</v>
      </c>
      <c r="T4457" s="59">
        <f ca="1">Dashboard!C$8* Dashboard!$F$4+Dashboard!C$10*SQRT(Dashboard!$F$4) * _xlfn.NORM.S.INV(RAND())</f>
        <v>2.0680669030227822E-2</v>
      </c>
      <c r="U4457" s="59">
        <f ca="1">Dashboard!D$8* Dashboard!$F$4+Dashboard!D$10*SQRT(Dashboard!$F$4) * _xlfn.NORM.S.INV(RAND())</f>
        <v>-1.5454733624166196E-2</v>
      </c>
    </row>
    <row r="4458" spans="18:21" x14ac:dyDescent="0.2">
      <c r="R4458" s="49">
        <v>4456</v>
      </c>
      <c r="S4458" s="59">
        <f ca="1">Dashboard!B$8* Dashboard!$F$4+Dashboard!B$10*SQRT(Dashboard!$F$4) * _xlfn.NORM.S.INV(RAND())</f>
        <v>-2.33495309471239E-2</v>
      </c>
      <c r="T4458" s="59">
        <f ca="1">Dashboard!C$8* Dashboard!$F$4+Dashboard!C$10*SQRT(Dashboard!$F$4) * _xlfn.NORM.S.INV(RAND())</f>
        <v>6.8727022223701636E-3</v>
      </c>
      <c r="U4458" s="59">
        <f ca="1">Dashboard!D$8* Dashboard!$F$4+Dashboard!D$10*SQRT(Dashboard!$F$4) * _xlfn.NORM.S.INV(RAND())</f>
        <v>-1.5063735130566684E-2</v>
      </c>
    </row>
    <row r="4459" spans="18:21" x14ac:dyDescent="0.2">
      <c r="R4459" s="49">
        <v>4457</v>
      </c>
      <c r="S4459" s="59">
        <f ca="1">Dashboard!B$8* Dashboard!$F$4+Dashboard!B$10*SQRT(Dashboard!$F$4) * _xlfn.NORM.S.INV(RAND())</f>
        <v>5.9216845847065464E-2</v>
      </c>
      <c r="T4459" s="59">
        <f ca="1">Dashboard!C$8* Dashboard!$F$4+Dashboard!C$10*SQRT(Dashboard!$F$4) * _xlfn.NORM.S.INV(RAND())</f>
        <v>1.6726832324554302E-3</v>
      </c>
      <c r="U4459" s="59">
        <f ca="1">Dashboard!D$8* Dashboard!$F$4+Dashboard!D$10*SQRT(Dashboard!$F$4) * _xlfn.NORM.S.INV(RAND())</f>
        <v>1.6289032106655901E-2</v>
      </c>
    </row>
    <row r="4460" spans="18:21" x14ac:dyDescent="0.2">
      <c r="R4460" s="49">
        <v>4458</v>
      </c>
      <c r="S4460" s="59">
        <f ca="1">Dashboard!B$8* Dashboard!$F$4+Dashboard!B$10*SQRT(Dashboard!$F$4) * _xlfn.NORM.S.INV(RAND())</f>
        <v>-1.3255619340200113E-2</v>
      </c>
      <c r="T4460" s="59">
        <f ca="1">Dashboard!C$8* Dashboard!$F$4+Dashboard!C$10*SQRT(Dashboard!$F$4) * _xlfn.NORM.S.INV(RAND())</f>
        <v>3.5214991148863569E-3</v>
      </c>
      <c r="U4460" s="59">
        <f ca="1">Dashboard!D$8* Dashboard!$F$4+Dashboard!D$10*SQRT(Dashboard!$F$4) * _xlfn.NORM.S.INV(RAND())</f>
        <v>-5.1718840234921265E-3</v>
      </c>
    </row>
    <row r="4461" spans="18:21" x14ac:dyDescent="0.2">
      <c r="R4461" s="49">
        <v>4459</v>
      </c>
      <c r="S4461" s="59">
        <f ca="1">Dashboard!B$8* Dashboard!$F$4+Dashboard!B$10*SQRT(Dashboard!$F$4) * _xlfn.NORM.S.INV(RAND())</f>
        <v>1.0692088653725104E-2</v>
      </c>
      <c r="T4461" s="59">
        <f ca="1">Dashboard!C$8* Dashboard!$F$4+Dashboard!C$10*SQRT(Dashboard!$F$4) * _xlfn.NORM.S.INV(RAND())</f>
        <v>-5.5189463586760015E-3</v>
      </c>
      <c r="U4461" s="59">
        <f ca="1">Dashboard!D$8* Dashboard!$F$4+Dashboard!D$10*SQRT(Dashboard!$F$4) * _xlfn.NORM.S.INV(RAND())</f>
        <v>-2.8877173318035351E-2</v>
      </c>
    </row>
    <row r="4462" spans="18:21" x14ac:dyDescent="0.2">
      <c r="R4462" s="49">
        <v>4460</v>
      </c>
      <c r="S4462" s="59">
        <f ca="1">Dashboard!B$8* Dashboard!$F$4+Dashboard!B$10*SQRT(Dashboard!$F$4) * _xlfn.NORM.S.INV(RAND())</f>
        <v>-3.7897394364629231E-2</v>
      </c>
      <c r="T4462" s="59">
        <f ca="1">Dashboard!C$8* Dashboard!$F$4+Dashboard!C$10*SQRT(Dashboard!$F$4) * _xlfn.NORM.S.INV(RAND())</f>
        <v>6.3956312049282607E-3</v>
      </c>
      <c r="U4462" s="59">
        <f ca="1">Dashboard!D$8* Dashboard!$F$4+Dashboard!D$10*SQRT(Dashboard!$F$4) * _xlfn.NORM.S.INV(RAND())</f>
        <v>5.7323785485096281E-3</v>
      </c>
    </row>
    <row r="4463" spans="18:21" x14ac:dyDescent="0.2">
      <c r="R4463" s="49">
        <v>4461</v>
      </c>
      <c r="S4463" s="59">
        <f ca="1">Dashboard!B$8* Dashboard!$F$4+Dashboard!B$10*SQRT(Dashboard!$F$4) * _xlfn.NORM.S.INV(RAND())</f>
        <v>9.292389306597662E-3</v>
      </c>
      <c r="T4463" s="59">
        <f ca="1">Dashboard!C$8* Dashboard!$F$4+Dashboard!C$10*SQRT(Dashboard!$F$4) * _xlfn.NORM.S.INV(RAND())</f>
        <v>1.0033611458137566E-2</v>
      </c>
      <c r="U4463" s="59">
        <f ca="1">Dashboard!D$8* Dashboard!$F$4+Dashboard!D$10*SQRT(Dashboard!$F$4) * _xlfn.NORM.S.INV(RAND())</f>
        <v>-7.2070018303149169E-3</v>
      </c>
    </row>
    <row r="4464" spans="18:21" x14ac:dyDescent="0.2">
      <c r="R4464" s="49">
        <v>4462</v>
      </c>
      <c r="S4464" s="59">
        <f ca="1">Dashboard!B$8* Dashboard!$F$4+Dashboard!B$10*SQRT(Dashboard!$F$4) * _xlfn.NORM.S.INV(RAND())</f>
        <v>-3.3721005537895213E-2</v>
      </c>
      <c r="T4464" s="59">
        <f ca="1">Dashboard!C$8* Dashboard!$F$4+Dashboard!C$10*SQRT(Dashboard!$F$4) * _xlfn.NORM.S.INV(RAND())</f>
        <v>-5.509232885170301E-2</v>
      </c>
      <c r="U4464" s="59">
        <f ca="1">Dashboard!D$8* Dashboard!$F$4+Dashboard!D$10*SQRT(Dashboard!$F$4) * _xlfn.NORM.S.INV(RAND())</f>
        <v>2.2421344423962559E-2</v>
      </c>
    </row>
    <row r="4465" spans="18:21" x14ac:dyDescent="0.2">
      <c r="R4465" s="49">
        <v>4463</v>
      </c>
      <c r="S4465" s="59">
        <f ca="1">Dashboard!B$8* Dashboard!$F$4+Dashboard!B$10*SQRT(Dashboard!$F$4) * _xlfn.NORM.S.INV(RAND())</f>
        <v>1.6048068316794006E-2</v>
      </c>
      <c r="T4465" s="59">
        <f ca="1">Dashboard!C$8* Dashboard!$F$4+Dashboard!C$10*SQRT(Dashboard!$F$4) * _xlfn.NORM.S.INV(RAND())</f>
        <v>-1.0231284957357006E-2</v>
      </c>
      <c r="U4465" s="59">
        <f ca="1">Dashboard!D$8* Dashboard!$F$4+Dashboard!D$10*SQRT(Dashboard!$F$4) * _xlfn.NORM.S.INV(RAND())</f>
        <v>-5.3615514494973066E-2</v>
      </c>
    </row>
    <row r="4466" spans="18:21" x14ac:dyDescent="0.2">
      <c r="R4466" s="49">
        <v>4464</v>
      </c>
      <c r="S4466" s="59">
        <f ca="1">Dashboard!B$8* Dashboard!$F$4+Dashboard!B$10*SQRT(Dashboard!$F$4) * _xlfn.NORM.S.INV(RAND())</f>
        <v>1.7765576643232146E-2</v>
      </c>
      <c r="T4466" s="59">
        <f ca="1">Dashboard!C$8* Dashboard!$F$4+Dashboard!C$10*SQRT(Dashboard!$F$4) * _xlfn.NORM.S.INV(RAND())</f>
        <v>-8.1712319680725155E-3</v>
      </c>
      <c r="U4466" s="59">
        <f ca="1">Dashboard!D$8* Dashboard!$F$4+Dashboard!D$10*SQRT(Dashboard!$F$4) * _xlfn.NORM.S.INV(RAND())</f>
        <v>-8.2901496349738982E-3</v>
      </c>
    </row>
    <row r="4467" spans="18:21" x14ac:dyDescent="0.2">
      <c r="R4467" s="49">
        <v>4465</v>
      </c>
      <c r="S4467" s="59">
        <f ca="1">Dashboard!B$8* Dashboard!$F$4+Dashboard!B$10*SQRT(Dashboard!$F$4) * _xlfn.NORM.S.INV(RAND())</f>
        <v>-4.4242847301334536E-2</v>
      </c>
      <c r="T4467" s="59">
        <f ca="1">Dashboard!C$8* Dashboard!$F$4+Dashboard!C$10*SQRT(Dashboard!$F$4) * _xlfn.NORM.S.INV(RAND())</f>
        <v>-1.8814895662180385E-2</v>
      </c>
      <c r="U4467" s="59">
        <f ca="1">Dashboard!D$8* Dashboard!$F$4+Dashboard!D$10*SQRT(Dashboard!$F$4) * _xlfn.NORM.S.INV(RAND())</f>
        <v>-2.993908045226366E-3</v>
      </c>
    </row>
    <row r="4468" spans="18:21" x14ac:dyDescent="0.2">
      <c r="R4468" s="49">
        <v>4466</v>
      </c>
      <c r="S4468" s="59">
        <f ca="1">Dashboard!B$8* Dashboard!$F$4+Dashboard!B$10*SQRT(Dashboard!$F$4) * _xlfn.NORM.S.INV(RAND())</f>
        <v>-8.1915400100326559E-3</v>
      </c>
      <c r="T4468" s="59">
        <f ca="1">Dashboard!C$8* Dashboard!$F$4+Dashboard!C$10*SQRT(Dashboard!$F$4) * _xlfn.NORM.S.INV(RAND())</f>
        <v>2.8796925704974E-2</v>
      </c>
      <c r="U4468" s="59">
        <f ca="1">Dashboard!D$8* Dashboard!$F$4+Dashboard!D$10*SQRT(Dashboard!$F$4) * _xlfn.NORM.S.INV(RAND())</f>
        <v>8.0342395437008503E-3</v>
      </c>
    </row>
    <row r="4469" spans="18:21" x14ac:dyDescent="0.2">
      <c r="R4469" s="49">
        <v>4467</v>
      </c>
      <c r="S4469" s="59">
        <f ca="1">Dashboard!B$8* Dashboard!$F$4+Dashboard!B$10*SQRT(Dashboard!$F$4) * _xlfn.NORM.S.INV(RAND())</f>
        <v>-4.3790813727667792E-2</v>
      </c>
      <c r="T4469" s="59">
        <f ca="1">Dashboard!C$8* Dashboard!$F$4+Dashboard!C$10*SQRT(Dashboard!$F$4) * _xlfn.NORM.S.INV(RAND())</f>
        <v>1.1424825662104558E-2</v>
      </c>
      <c r="U4469" s="59">
        <f ca="1">Dashboard!D$8* Dashboard!$F$4+Dashboard!D$10*SQRT(Dashboard!$F$4) * _xlfn.NORM.S.INV(RAND())</f>
        <v>1.1507808697888543E-2</v>
      </c>
    </row>
    <row r="4470" spans="18:21" x14ac:dyDescent="0.2">
      <c r="R4470" s="49">
        <v>4468</v>
      </c>
      <c r="S4470" s="59">
        <f ca="1">Dashboard!B$8* Dashboard!$F$4+Dashboard!B$10*SQRT(Dashboard!$F$4) * _xlfn.NORM.S.INV(RAND())</f>
        <v>5.6196864794998292E-3</v>
      </c>
      <c r="T4470" s="59">
        <f ca="1">Dashboard!C$8* Dashboard!$F$4+Dashboard!C$10*SQRT(Dashboard!$F$4) * _xlfn.NORM.S.INV(RAND())</f>
        <v>5.0141582608043654E-3</v>
      </c>
      <c r="U4470" s="59">
        <f ca="1">Dashboard!D$8* Dashboard!$F$4+Dashboard!D$10*SQRT(Dashboard!$F$4) * _xlfn.NORM.S.INV(RAND())</f>
        <v>-3.499053820377758E-2</v>
      </c>
    </row>
    <row r="4471" spans="18:21" x14ac:dyDescent="0.2">
      <c r="R4471" s="49">
        <v>4469</v>
      </c>
      <c r="S4471" s="59">
        <f ca="1">Dashboard!B$8* Dashboard!$F$4+Dashboard!B$10*SQRT(Dashboard!$F$4) * _xlfn.NORM.S.INV(RAND())</f>
        <v>3.713776337843552E-3</v>
      </c>
      <c r="T4471" s="59">
        <f ca="1">Dashboard!C$8* Dashboard!$F$4+Dashboard!C$10*SQRT(Dashboard!$F$4) * _xlfn.NORM.S.INV(RAND())</f>
        <v>1.4805418767739477E-2</v>
      </c>
      <c r="U4471" s="59">
        <f ca="1">Dashboard!D$8* Dashboard!$F$4+Dashboard!D$10*SQRT(Dashboard!$F$4) * _xlfn.NORM.S.INV(RAND())</f>
        <v>-4.1413512728085342E-2</v>
      </c>
    </row>
    <row r="4472" spans="18:21" x14ac:dyDescent="0.2">
      <c r="R4472" s="49">
        <v>4470</v>
      </c>
      <c r="S4472" s="59">
        <f ca="1">Dashboard!B$8* Dashboard!$F$4+Dashboard!B$10*SQRT(Dashboard!$F$4) * _xlfn.NORM.S.INV(RAND())</f>
        <v>-7.5217089013140505E-3</v>
      </c>
      <c r="T4472" s="59">
        <f ca="1">Dashboard!C$8* Dashboard!$F$4+Dashboard!C$10*SQRT(Dashboard!$F$4) * _xlfn.NORM.S.INV(RAND())</f>
        <v>-3.4854000704773484E-3</v>
      </c>
      <c r="U4472" s="59">
        <f ca="1">Dashboard!D$8* Dashboard!$F$4+Dashboard!D$10*SQRT(Dashboard!$F$4) * _xlfn.NORM.S.INV(RAND())</f>
        <v>2.4663290016721771E-2</v>
      </c>
    </row>
    <row r="4473" spans="18:21" x14ac:dyDescent="0.2">
      <c r="R4473" s="49">
        <v>4471</v>
      </c>
      <c r="S4473" s="59">
        <f ca="1">Dashboard!B$8* Dashboard!$F$4+Dashboard!B$10*SQRT(Dashboard!$F$4) * _xlfn.NORM.S.INV(RAND())</f>
        <v>-1.2732675170435604E-2</v>
      </c>
      <c r="T4473" s="59">
        <f ca="1">Dashboard!C$8* Dashboard!$F$4+Dashboard!C$10*SQRT(Dashboard!$F$4) * _xlfn.NORM.S.INV(RAND())</f>
        <v>-2.2642050176270322E-2</v>
      </c>
      <c r="U4473" s="59">
        <f ca="1">Dashboard!D$8* Dashboard!$F$4+Dashboard!D$10*SQRT(Dashboard!$F$4) * _xlfn.NORM.S.INV(RAND())</f>
        <v>-1.7624385904313367E-2</v>
      </c>
    </row>
    <row r="4474" spans="18:21" x14ac:dyDescent="0.2">
      <c r="R4474" s="49">
        <v>4472</v>
      </c>
      <c r="S4474" s="59">
        <f ca="1">Dashboard!B$8* Dashboard!$F$4+Dashboard!B$10*SQRT(Dashboard!$F$4) * _xlfn.NORM.S.INV(RAND())</f>
        <v>-3.5358307480557703E-2</v>
      </c>
      <c r="T4474" s="59">
        <f ca="1">Dashboard!C$8* Dashboard!$F$4+Dashboard!C$10*SQRT(Dashboard!$F$4) * _xlfn.NORM.S.INV(RAND())</f>
        <v>6.913421261615523E-4</v>
      </c>
      <c r="U4474" s="59">
        <f ca="1">Dashboard!D$8* Dashboard!$F$4+Dashboard!D$10*SQRT(Dashboard!$F$4) * _xlfn.NORM.S.INV(RAND())</f>
        <v>2.6325445039381895E-3</v>
      </c>
    </row>
    <row r="4475" spans="18:21" x14ac:dyDescent="0.2">
      <c r="R4475" s="49">
        <v>4473</v>
      </c>
      <c r="S4475" s="59">
        <f ca="1">Dashboard!B$8* Dashboard!$F$4+Dashboard!B$10*SQRT(Dashboard!$F$4) * _xlfn.NORM.S.INV(RAND())</f>
        <v>1.7276233852345363E-3</v>
      </c>
      <c r="T4475" s="59">
        <f ca="1">Dashboard!C$8* Dashboard!$F$4+Dashboard!C$10*SQRT(Dashboard!$F$4) * _xlfn.NORM.S.INV(RAND())</f>
        <v>3.9724799660484358E-3</v>
      </c>
      <c r="U4475" s="59">
        <f ca="1">Dashboard!D$8* Dashboard!$F$4+Dashboard!D$10*SQRT(Dashboard!$F$4) * _xlfn.NORM.S.INV(RAND())</f>
        <v>1.4948920064768662E-2</v>
      </c>
    </row>
    <row r="4476" spans="18:21" x14ac:dyDescent="0.2">
      <c r="R4476" s="49">
        <v>4474</v>
      </c>
      <c r="S4476" s="59">
        <f ca="1">Dashboard!B$8* Dashboard!$F$4+Dashboard!B$10*SQRT(Dashboard!$F$4) * _xlfn.NORM.S.INV(RAND())</f>
        <v>-1.7979617830069371E-2</v>
      </c>
      <c r="T4476" s="59">
        <f ca="1">Dashboard!C$8* Dashboard!$F$4+Dashboard!C$10*SQRT(Dashboard!$F$4) * _xlfn.NORM.S.INV(RAND())</f>
        <v>1.9558122222374939E-2</v>
      </c>
      <c r="U4476" s="59">
        <f ca="1">Dashboard!D$8* Dashboard!$F$4+Dashboard!D$10*SQRT(Dashboard!$F$4) * _xlfn.NORM.S.INV(RAND())</f>
        <v>-4.6027279564741438E-2</v>
      </c>
    </row>
    <row r="4477" spans="18:21" x14ac:dyDescent="0.2">
      <c r="R4477" s="49">
        <v>4475</v>
      </c>
      <c r="S4477" s="59">
        <f ca="1">Dashboard!B$8* Dashboard!$F$4+Dashboard!B$10*SQRT(Dashboard!$F$4) * _xlfn.NORM.S.INV(RAND())</f>
        <v>-5.2008622789925137E-2</v>
      </c>
      <c r="T4477" s="59">
        <f ca="1">Dashboard!C$8* Dashboard!$F$4+Dashboard!C$10*SQRT(Dashboard!$F$4) * _xlfn.NORM.S.INV(RAND())</f>
        <v>3.9477335395146945E-2</v>
      </c>
      <c r="U4477" s="59">
        <f ca="1">Dashboard!D$8* Dashboard!$F$4+Dashboard!D$10*SQRT(Dashboard!$F$4) * _xlfn.NORM.S.INV(RAND())</f>
        <v>-9.5202409393968686E-3</v>
      </c>
    </row>
    <row r="4478" spans="18:21" x14ac:dyDescent="0.2">
      <c r="R4478" s="49">
        <v>4476</v>
      </c>
      <c r="S4478" s="59">
        <f ca="1">Dashboard!B$8* Dashboard!$F$4+Dashboard!B$10*SQRT(Dashboard!$F$4) * _xlfn.NORM.S.INV(RAND())</f>
        <v>1.5202660757441646E-2</v>
      </c>
      <c r="T4478" s="59">
        <f ca="1">Dashboard!C$8* Dashboard!$F$4+Dashboard!C$10*SQRT(Dashboard!$F$4) * _xlfn.NORM.S.INV(RAND())</f>
        <v>-7.1727587973310211E-3</v>
      </c>
      <c r="U4478" s="59">
        <f ca="1">Dashboard!D$8* Dashboard!$F$4+Dashboard!D$10*SQRT(Dashboard!$F$4) * _xlfn.NORM.S.INV(RAND())</f>
        <v>5.9085916379939592E-3</v>
      </c>
    </row>
    <row r="4479" spans="18:21" x14ac:dyDescent="0.2">
      <c r="R4479" s="49">
        <v>4477</v>
      </c>
      <c r="S4479" s="59">
        <f ca="1">Dashboard!B$8* Dashboard!$F$4+Dashboard!B$10*SQRT(Dashboard!$F$4) * _xlfn.NORM.S.INV(RAND())</f>
        <v>2.3349150654736688E-2</v>
      </c>
      <c r="T4479" s="59">
        <f ca="1">Dashboard!C$8* Dashboard!$F$4+Dashboard!C$10*SQRT(Dashboard!$F$4) * _xlfn.NORM.S.INV(RAND())</f>
        <v>2.1310266283565513E-2</v>
      </c>
      <c r="U4479" s="59">
        <f ca="1">Dashboard!D$8* Dashboard!$F$4+Dashboard!D$10*SQRT(Dashboard!$F$4) * _xlfn.NORM.S.INV(RAND())</f>
        <v>-1.8817559346745085E-2</v>
      </c>
    </row>
    <row r="4480" spans="18:21" x14ac:dyDescent="0.2">
      <c r="R4480" s="49">
        <v>4478</v>
      </c>
      <c r="S4480" s="59">
        <f ca="1">Dashboard!B$8* Dashboard!$F$4+Dashboard!B$10*SQRT(Dashboard!$F$4) * _xlfn.NORM.S.INV(RAND())</f>
        <v>1.4335745694615924E-3</v>
      </c>
      <c r="T4480" s="59">
        <f ca="1">Dashboard!C$8* Dashboard!$F$4+Dashboard!C$10*SQRT(Dashboard!$F$4) * _xlfn.NORM.S.INV(RAND())</f>
        <v>-7.6778744477304416E-3</v>
      </c>
      <c r="U4480" s="59">
        <f ca="1">Dashboard!D$8* Dashboard!$F$4+Dashboard!D$10*SQRT(Dashboard!$F$4) * _xlfn.NORM.S.INV(RAND())</f>
        <v>3.0863348563674956E-2</v>
      </c>
    </row>
    <row r="4481" spans="18:21" x14ac:dyDescent="0.2">
      <c r="R4481" s="49">
        <v>4479</v>
      </c>
      <c r="S4481" s="59">
        <f ca="1">Dashboard!B$8* Dashboard!$F$4+Dashboard!B$10*SQRT(Dashboard!$F$4) * _xlfn.NORM.S.INV(RAND())</f>
        <v>2.2752225497236711E-2</v>
      </c>
      <c r="T4481" s="59">
        <f ca="1">Dashboard!C$8* Dashboard!$F$4+Dashboard!C$10*SQRT(Dashboard!$F$4) * _xlfn.NORM.S.INV(RAND())</f>
        <v>4.3940697192422816E-3</v>
      </c>
      <c r="U4481" s="59">
        <f ca="1">Dashboard!D$8* Dashboard!$F$4+Dashboard!D$10*SQRT(Dashboard!$F$4) * _xlfn.NORM.S.INV(RAND())</f>
        <v>-4.1680300196477567E-2</v>
      </c>
    </row>
    <row r="4482" spans="18:21" x14ac:dyDescent="0.2">
      <c r="R4482" s="49">
        <v>4480</v>
      </c>
      <c r="S4482" s="59">
        <f ca="1">Dashboard!B$8* Dashboard!$F$4+Dashboard!B$10*SQRT(Dashboard!$F$4) * _xlfn.NORM.S.INV(RAND())</f>
        <v>-3.5108006435758607E-2</v>
      </c>
      <c r="T4482" s="59">
        <f ca="1">Dashboard!C$8* Dashboard!$F$4+Dashboard!C$10*SQRT(Dashboard!$F$4) * _xlfn.NORM.S.INV(RAND())</f>
        <v>1.4025489358712218E-2</v>
      </c>
      <c r="U4482" s="59">
        <f ca="1">Dashboard!D$8* Dashboard!$F$4+Dashboard!D$10*SQRT(Dashboard!$F$4) * _xlfn.NORM.S.INV(RAND())</f>
        <v>-8.5802110544254198E-3</v>
      </c>
    </row>
    <row r="4483" spans="18:21" x14ac:dyDescent="0.2">
      <c r="R4483" s="49">
        <v>4481</v>
      </c>
      <c r="S4483" s="59">
        <f ca="1">Dashboard!B$8* Dashboard!$F$4+Dashboard!B$10*SQRT(Dashboard!$F$4) * _xlfn.NORM.S.INV(RAND())</f>
        <v>-9.0143582578385666E-3</v>
      </c>
      <c r="T4483" s="59">
        <f ca="1">Dashboard!C$8* Dashboard!$F$4+Dashboard!C$10*SQRT(Dashboard!$F$4) * _xlfn.NORM.S.INV(RAND())</f>
        <v>-4.9311968008592395E-2</v>
      </c>
      <c r="U4483" s="59">
        <f ca="1">Dashboard!D$8* Dashboard!$F$4+Dashboard!D$10*SQRT(Dashboard!$F$4) * _xlfn.NORM.S.INV(RAND())</f>
        <v>4.1040937969869282E-2</v>
      </c>
    </row>
    <row r="4484" spans="18:21" x14ac:dyDescent="0.2">
      <c r="R4484" s="49">
        <v>4482</v>
      </c>
      <c r="S4484" s="59">
        <f ca="1">Dashboard!B$8* Dashboard!$F$4+Dashboard!B$10*SQRT(Dashboard!$F$4) * _xlfn.NORM.S.INV(RAND())</f>
        <v>7.7117580623294133E-3</v>
      </c>
      <c r="T4484" s="59">
        <f ca="1">Dashboard!C$8* Dashboard!$F$4+Dashboard!C$10*SQRT(Dashboard!$F$4) * _xlfn.NORM.S.INV(RAND())</f>
        <v>6.1803313728902215E-2</v>
      </c>
      <c r="U4484" s="59">
        <f ca="1">Dashboard!D$8* Dashboard!$F$4+Dashboard!D$10*SQRT(Dashboard!$F$4) * _xlfn.NORM.S.INV(RAND())</f>
        <v>4.2894935130214543E-2</v>
      </c>
    </row>
    <row r="4485" spans="18:21" x14ac:dyDescent="0.2">
      <c r="R4485" s="49">
        <v>4483</v>
      </c>
      <c r="S4485" s="59">
        <f ca="1">Dashboard!B$8* Dashboard!$F$4+Dashboard!B$10*SQRT(Dashboard!$F$4) * _xlfn.NORM.S.INV(RAND())</f>
        <v>-1.8559168514688071E-2</v>
      </c>
      <c r="T4485" s="59">
        <f ca="1">Dashboard!C$8* Dashboard!$F$4+Dashboard!C$10*SQRT(Dashboard!$F$4) * _xlfn.NORM.S.INV(RAND())</f>
        <v>4.7197531086269007E-2</v>
      </c>
      <c r="U4485" s="59">
        <f ca="1">Dashboard!D$8* Dashboard!$F$4+Dashboard!D$10*SQRT(Dashboard!$F$4) * _xlfn.NORM.S.INV(RAND())</f>
        <v>-2.6496411464282908E-2</v>
      </c>
    </row>
    <row r="4486" spans="18:21" x14ac:dyDescent="0.2">
      <c r="R4486" s="49">
        <v>4484</v>
      </c>
      <c r="S4486" s="59">
        <f ca="1">Dashboard!B$8* Dashboard!$F$4+Dashboard!B$10*SQRT(Dashboard!$F$4) * _xlfn.NORM.S.INV(RAND())</f>
        <v>-5.8375018322921683E-2</v>
      </c>
      <c r="T4486" s="59">
        <f ca="1">Dashboard!C$8* Dashboard!$F$4+Dashboard!C$10*SQRT(Dashboard!$F$4) * _xlfn.NORM.S.INV(RAND())</f>
        <v>-3.783682960018072E-2</v>
      </c>
      <c r="U4486" s="59">
        <f ca="1">Dashboard!D$8* Dashboard!$F$4+Dashboard!D$10*SQRT(Dashboard!$F$4) * _xlfn.NORM.S.INV(RAND())</f>
        <v>4.1136030836364822E-2</v>
      </c>
    </row>
    <row r="4487" spans="18:21" x14ac:dyDescent="0.2">
      <c r="R4487" s="49">
        <v>4485</v>
      </c>
      <c r="S4487" s="59">
        <f ca="1">Dashboard!B$8* Dashboard!$F$4+Dashboard!B$10*SQRT(Dashboard!$F$4) * _xlfn.NORM.S.INV(RAND())</f>
        <v>-8.7490737452444768E-3</v>
      </c>
      <c r="T4487" s="59">
        <f ca="1">Dashboard!C$8* Dashboard!$F$4+Dashboard!C$10*SQRT(Dashboard!$F$4) * _xlfn.NORM.S.INV(RAND())</f>
        <v>-1.6635404182527961E-2</v>
      </c>
      <c r="U4487" s="59">
        <f ca="1">Dashboard!D$8* Dashboard!$F$4+Dashboard!D$10*SQRT(Dashboard!$F$4) * _xlfn.NORM.S.INV(RAND())</f>
        <v>4.3199794829272699E-2</v>
      </c>
    </row>
    <row r="4488" spans="18:21" x14ac:dyDescent="0.2">
      <c r="R4488" s="49">
        <v>4486</v>
      </c>
      <c r="S4488" s="59">
        <f ca="1">Dashboard!B$8* Dashboard!$F$4+Dashboard!B$10*SQRT(Dashboard!$F$4) * _xlfn.NORM.S.INV(RAND())</f>
        <v>2.3985955780308307E-2</v>
      </c>
      <c r="T4488" s="59">
        <f ca="1">Dashboard!C$8* Dashboard!$F$4+Dashboard!C$10*SQRT(Dashboard!$F$4) * _xlfn.NORM.S.INV(RAND())</f>
        <v>1.9126510112881918E-2</v>
      </c>
      <c r="U4488" s="59">
        <f ca="1">Dashboard!D$8* Dashboard!$F$4+Dashboard!D$10*SQRT(Dashboard!$F$4) * _xlfn.NORM.S.INV(RAND())</f>
        <v>-3.8313521713333716E-3</v>
      </c>
    </row>
    <row r="4489" spans="18:21" x14ac:dyDescent="0.2">
      <c r="R4489" s="49">
        <v>4487</v>
      </c>
      <c r="S4489" s="59">
        <f ca="1">Dashboard!B$8* Dashboard!$F$4+Dashboard!B$10*SQRT(Dashboard!$F$4) * _xlfn.NORM.S.INV(RAND())</f>
        <v>-3.8295263197354552E-2</v>
      </c>
      <c r="T4489" s="59">
        <f ca="1">Dashboard!C$8* Dashboard!$F$4+Dashboard!C$10*SQRT(Dashboard!$F$4) * _xlfn.NORM.S.INV(RAND())</f>
        <v>5.2938282464065581E-2</v>
      </c>
      <c r="U4489" s="59">
        <f ca="1">Dashboard!D$8* Dashboard!$F$4+Dashboard!D$10*SQRT(Dashboard!$F$4) * _xlfn.NORM.S.INV(RAND())</f>
        <v>-2.8652823262239488E-2</v>
      </c>
    </row>
    <row r="4490" spans="18:21" x14ac:dyDescent="0.2">
      <c r="R4490" s="49">
        <v>4488</v>
      </c>
      <c r="S4490" s="59">
        <f ca="1">Dashboard!B$8* Dashboard!$F$4+Dashboard!B$10*SQRT(Dashboard!$F$4) * _xlfn.NORM.S.INV(RAND())</f>
        <v>-2.0534603535457774E-2</v>
      </c>
      <c r="T4490" s="59">
        <f ca="1">Dashboard!C$8* Dashboard!$F$4+Dashboard!C$10*SQRT(Dashboard!$F$4) * _xlfn.NORM.S.INV(RAND())</f>
        <v>4.5427313952292755E-2</v>
      </c>
      <c r="U4490" s="59">
        <f ca="1">Dashboard!D$8* Dashboard!$F$4+Dashboard!D$10*SQRT(Dashboard!$F$4) * _xlfn.NORM.S.INV(RAND())</f>
        <v>1.2874969623235713E-2</v>
      </c>
    </row>
    <row r="4491" spans="18:21" x14ac:dyDescent="0.2">
      <c r="R4491" s="49">
        <v>4489</v>
      </c>
      <c r="S4491" s="59">
        <f ca="1">Dashboard!B$8* Dashboard!$F$4+Dashboard!B$10*SQRT(Dashboard!$F$4) * _xlfn.NORM.S.INV(RAND())</f>
        <v>-3.0928804544807779E-2</v>
      </c>
      <c r="T4491" s="59">
        <f ca="1">Dashboard!C$8* Dashboard!$F$4+Dashboard!C$10*SQRT(Dashboard!$F$4) * _xlfn.NORM.S.INV(RAND())</f>
        <v>3.4803342030672167E-2</v>
      </c>
      <c r="U4491" s="59">
        <f ca="1">Dashboard!D$8* Dashboard!$F$4+Dashboard!D$10*SQRT(Dashboard!$F$4) * _xlfn.NORM.S.INV(RAND())</f>
        <v>3.5761593635146569E-2</v>
      </c>
    </row>
    <row r="4492" spans="18:21" x14ac:dyDescent="0.2">
      <c r="R4492" s="49">
        <v>4490</v>
      </c>
      <c r="S4492" s="59">
        <f ca="1">Dashboard!B$8* Dashboard!$F$4+Dashboard!B$10*SQRT(Dashboard!$F$4) * _xlfn.NORM.S.INV(RAND())</f>
        <v>-3.7122236646354154E-2</v>
      </c>
      <c r="T4492" s="59">
        <f ca="1">Dashboard!C$8* Dashboard!$F$4+Dashboard!C$10*SQRT(Dashboard!$F$4) * _xlfn.NORM.S.INV(RAND())</f>
        <v>2.2811503355182994E-2</v>
      </c>
      <c r="U4492" s="59">
        <f ca="1">Dashboard!D$8* Dashboard!$F$4+Dashboard!D$10*SQRT(Dashboard!$F$4) * _xlfn.NORM.S.INV(RAND())</f>
        <v>-3.9758348980616608E-4</v>
      </c>
    </row>
    <row r="4493" spans="18:21" x14ac:dyDescent="0.2">
      <c r="R4493" s="49">
        <v>4491</v>
      </c>
      <c r="S4493" s="59">
        <f ca="1">Dashboard!B$8* Dashboard!$F$4+Dashboard!B$10*SQRT(Dashboard!$F$4) * _xlfn.NORM.S.INV(RAND())</f>
        <v>7.2817999021204758E-3</v>
      </c>
      <c r="T4493" s="59">
        <f ca="1">Dashboard!C$8* Dashboard!$F$4+Dashboard!C$10*SQRT(Dashboard!$F$4) * _xlfn.NORM.S.INV(RAND())</f>
        <v>6.3297148676081244E-2</v>
      </c>
      <c r="U4493" s="59">
        <f ca="1">Dashboard!D$8* Dashboard!$F$4+Dashboard!D$10*SQRT(Dashboard!$F$4) * _xlfn.NORM.S.INV(RAND())</f>
        <v>5.336890353472773E-2</v>
      </c>
    </row>
    <row r="4494" spans="18:21" x14ac:dyDescent="0.2">
      <c r="R4494" s="49">
        <v>4492</v>
      </c>
      <c r="S4494" s="59">
        <f ca="1">Dashboard!B$8* Dashboard!$F$4+Dashboard!B$10*SQRT(Dashboard!$F$4) * _xlfn.NORM.S.INV(RAND())</f>
        <v>-1.6929897644853007E-2</v>
      </c>
      <c r="T4494" s="59">
        <f ca="1">Dashboard!C$8* Dashboard!$F$4+Dashboard!C$10*SQRT(Dashboard!$F$4) * _xlfn.NORM.S.INV(RAND())</f>
        <v>9.0593815198963291E-3</v>
      </c>
      <c r="U4494" s="59">
        <f ca="1">Dashboard!D$8* Dashboard!$F$4+Dashboard!D$10*SQRT(Dashboard!$F$4) * _xlfn.NORM.S.INV(RAND())</f>
        <v>-3.9257184109847014E-2</v>
      </c>
    </row>
    <row r="4495" spans="18:21" x14ac:dyDescent="0.2">
      <c r="R4495" s="49">
        <v>4493</v>
      </c>
      <c r="S4495" s="59">
        <f ca="1">Dashboard!B$8* Dashboard!$F$4+Dashboard!B$10*SQRT(Dashboard!$F$4) * _xlfn.NORM.S.INV(RAND())</f>
        <v>1.7134635253431847E-2</v>
      </c>
      <c r="T4495" s="59">
        <f ca="1">Dashboard!C$8* Dashboard!$F$4+Dashboard!C$10*SQRT(Dashboard!$F$4) * _xlfn.NORM.S.INV(RAND())</f>
        <v>-9.5778875902533082E-3</v>
      </c>
      <c r="U4495" s="59">
        <f ca="1">Dashboard!D$8* Dashboard!$F$4+Dashboard!D$10*SQRT(Dashboard!$F$4) * _xlfn.NORM.S.INV(RAND())</f>
        <v>8.0113183127282408E-4</v>
      </c>
    </row>
    <row r="4496" spans="18:21" x14ac:dyDescent="0.2">
      <c r="R4496" s="49">
        <v>4494</v>
      </c>
      <c r="S4496" s="59">
        <f ca="1">Dashboard!B$8* Dashboard!$F$4+Dashboard!B$10*SQRT(Dashboard!$F$4) * _xlfn.NORM.S.INV(RAND())</f>
        <v>2.0191411041663408E-2</v>
      </c>
      <c r="T4496" s="59">
        <f ca="1">Dashboard!C$8* Dashboard!$F$4+Dashboard!C$10*SQRT(Dashboard!$F$4) * _xlfn.NORM.S.INV(RAND())</f>
        <v>-1.4011793866117242E-2</v>
      </c>
      <c r="U4496" s="59">
        <f ca="1">Dashboard!D$8* Dashboard!$F$4+Dashboard!D$10*SQRT(Dashboard!$F$4) * _xlfn.NORM.S.INV(RAND())</f>
        <v>1.5098941960318028E-2</v>
      </c>
    </row>
    <row r="4497" spans="18:21" x14ac:dyDescent="0.2">
      <c r="R4497" s="49">
        <v>4495</v>
      </c>
      <c r="S4497" s="59">
        <f ca="1">Dashboard!B$8* Dashboard!$F$4+Dashboard!B$10*SQRT(Dashboard!$F$4) * _xlfn.NORM.S.INV(RAND())</f>
        <v>8.0537756592775119E-3</v>
      </c>
      <c r="T4497" s="59">
        <f ca="1">Dashboard!C$8* Dashboard!$F$4+Dashboard!C$10*SQRT(Dashboard!$F$4) * _xlfn.NORM.S.INV(RAND())</f>
        <v>-2.9720059054881634E-3</v>
      </c>
      <c r="U4497" s="59">
        <f ca="1">Dashboard!D$8* Dashboard!$F$4+Dashboard!D$10*SQRT(Dashboard!$F$4) * _xlfn.NORM.S.INV(RAND())</f>
        <v>4.7350253405417327E-2</v>
      </c>
    </row>
    <row r="4498" spans="18:21" x14ac:dyDescent="0.2">
      <c r="R4498" s="49">
        <v>4496</v>
      </c>
      <c r="S4498" s="59">
        <f ca="1">Dashboard!B$8* Dashboard!$F$4+Dashboard!B$10*SQRT(Dashboard!$F$4) * _xlfn.NORM.S.INV(RAND())</f>
        <v>-6.2132409880888577E-2</v>
      </c>
      <c r="T4498" s="59">
        <f ca="1">Dashboard!C$8* Dashboard!$F$4+Dashboard!C$10*SQRT(Dashboard!$F$4) * _xlfn.NORM.S.INV(RAND())</f>
        <v>5.8236603229728012E-2</v>
      </c>
      <c r="U4498" s="59">
        <f ca="1">Dashboard!D$8* Dashboard!$F$4+Dashboard!D$10*SQRT(Dashboard!$F$4) * _xlfn.NORM.S.INV(RAND())</f>
        <v>3.4093491582029803E-2</v>
      </c>
    </row>
    <row r="4499" spans="18:21" x14ac:dyDescent="0.2">
      <c r="R4499" s="49">
        <v>4497</v>
      </c>
      <c r="S4499" s="59">
        <f ca="1">Dashboard!B$8* Dashboard!$F$4+Dashboard!B$10*SQRT(Dashboard!$F$4) * _xlfn.NORM.S.INV(RAND())</f>
        <v>1.7502049274559072E-3</v>
      </c>
      <c r="T4499" s="59">
        <f ca="1">Dashboard!C$8* Dashboard!$F$4+Dashboard!C$10*SQRT(Dashboard!$F$4) * _xlfn.NORM.S.INV(RAND())</f>
        <v>7.905697511816262E-2</v>
      </c>
      <c r="U4499" s="59">
        <f ca="1">Dashboard!D$8* Dashboard!$F$4+Dashboard!D$10*SQRT(Dashboard!$F$4) * _xlfn.NORM.S.INV(RAND())</f>
        <v>5.0323815735673273E-2</v>
      </c>
    </row>
    <row r="4500" spans="18:21" x14ac:dyDescent="0.2">
      <c r="R4500" s="49">
        <v>4498</v>
      </c>
      <c r="S4500" s="59">
        <f ca="1">Dashboard!B$8* Dashboard!$F$4+Dashboard!B$10*SQRT(Dashboard!$F$4) * _xlfn.NORM.S.INV(RAND())</f>
        <v>-3.2911511437332917E-2</v>
      </c>
      <c r="T4500" s="59">
        <f ca="1">Dashboard!C$8* Dashboard!$F$4+Dashboard!C$10*SQRT(Dashboard!$F$4) * _xlfn.NORM.S.INV(RAND())</f>
        <v>5.1092735267756567E-2</v>
      </c>
      <c r="U4500" s="59">
        <f ca="1">Dashboard!D$8* Dashboard!$F$4+Dashboard!D$10*SQRT(Dashboard!$F$4) * _xlfn.NORM.S.INV(RAND())</f>
        <v>2.2204310274268686E-2</v>
      </c>
    </row>
    <row r="4501" spans="18:21" x14ac:dyDescent="0.2">
      <c r="R4501" s="49">
        <v>4499</v>
      </c>
      <c r="S4501" s="59">
        <f ca="1">Dashboard!B$8* Dashboard!$F$4+Dashboard!B$10*SQRT(Dashboard!$F$4) * _xlfn.NORM.S.INV(RAND())</f>
        <v>-2.1592660278942473E-2</v>
      </c>
      <c r="T4501" s="59">
        <f ca="1">Dashboard!C$8* Dashboard!$F$4+Dashboard!C$10*SQRT(Dashboard!$F$4) * _xlfn.NORM.S.INV(RAND())</f>
        <v>-7.8046446975154737E-4</v>
      </c>
      <c r="U4501" s="59">
        <f ca="1">Dashboard!D$8* Dashboard!$F$4+Dashboard!D$10*SQRT(Dashboard!$F$4) * _xlfn.NORM.S.INV(RAND())</f>
        <v>7.5978822629586412E-2</v>
      </c>
    </row>
    <row r="4502" spans="18:21" x14ac:dyDescent="0.2">
      <c r="R4502" s="49">
        <v>4500</v>
      </c>
      <c r="S4502" s="59">
        <f ca="1">Dashboard!B$8* Dashboard!$F$4+Dashboard!B$10*SQRT(Dashboard!$F$4) * _xlfn.NORM.S.INV(RAND())</f>
        <v>1.2865359759100612E-3</v>
      </c>
      <c r="T4502" s="59">
        <f ca="1">Dashboard!C$8* Dashboard!$F$4+Dashboard!C$10*SQRT(Dashboard!$F$4) * _xlfn.NORM.S.INV(RAND())</f>
        <v>-3.5373886219812788E-3</v>
      </c>
      <c r="U4502" s="59">
        <f ca="1">Dashboard!D$8* Dashboard!$F$4+Dashboard!D$10*SQRT(Dashboard!$F$4) * _xlfn.NORM.S.INV(RAND())</f>
        <v>6.1999204719837449E-3</v>
      </c>
    </row>
    <row r="4503" spans="18:21" x14ac:dyDescent="0.2">
      <c r="R4503" s="49">
        <v>4501</v>
      </c>
      <c r="S4503" s="59">
        <f ca="1">Dashboard!B$8* Dashboard!$F$4+Dashboard!B$10*SQRT(Dashboard!$F$4) * _xlfn.NORM.S.INV(RAND())</f>
        <v>-3.9106755185482289E-2</v>
      </c>
      <c r="T4503" s="59">
        <f ca="1">Dashboard!C$8* Dashboard!$F$4+Dashboard!C$10*SQRT(Dashboard!$F$4) * _xlfn.NORM.S.INV(RAND())</f>
        <v>-6.7181024465792641E-3</v>
      </c>
      <c r="U4503" s="59">
        <f ca="1">Dashboard!D$8* Dashboard!$F$4+Dashboard!D$10*SQRT(Dashboard!$F$4) * _xlfn.NORM.S.INV(RAND())</f>
        <v>1.510971176950531E-2</v>
      </c>
    </row>
    <row r="4504" spans="18:21" x14ac:dyDescent="0.2">
      <c r="R4504" s="49">
        <v>4502</v>
      </c>
      <c r="S4504" s="59">
        <f ca="1">Dashboard!B$8* Dashboard!$F$4+Dashboard!B$10*SQRT(Dashboard!$F$4) * _xlfn.NORM.S.INV(RAND())</f>
        <v>-1.579806537115528E-2</v>
      </c>
      <c r="T4504" s="59">
        <f ca="1">Dashboard!C$8* Dashboard!$F$4+Dashboard!C$10*SQRT(Dashboard!$F$4) * _xlfn.NORM.S.INV(RAND())</f>
        <v>2.4274059320935085E-2</v>
      </c>
      <c r="U4504" s="59">
        <f ca="1">Dashboard!D$8* Dashboard!$F$4+Dashboard!D$10*SQRT(Dashboard!$F$4) * _xlfn.NORM.S.INV(RAND())</f>
        <v>3.8931550083851255E-2</v>
      </c>
    </row>
    <row r="4505" spans="18:21" x14ac:dyDescent="0.2">
      <c r="R4505" s="49">
        <v>4503</v>
      </c>
      <c r="S4505" s="59">
        <f ca="1">Dashboard!B$8* Dashboard!$F$4+Dashboard!B$10*SQRT(Dashboard!$F$4) * _xlfn.NORM.S.INV(RAND())</f>
        <v>-1.3599135608509259E-2</v>
      </c>
      <c r="T4505" s="59">
        <f ca="1">Dashboard!C$8* Dashboard!$F$4+Dashboard!C$10*SQRT(Dashboard!$F$4) * _xlfn.NORM.S.INV(RAND())</f>
        <v>1.495525157704496E-2</v>
      </c>
      <c r="U4505" s="59">
        <f ca="1">Dashboard!D$8* Dashboard!$F$4+Dashboard!D$10*SQRT(Dashboard!$F$4) * _xlfn.NORM.S.INV(RAND())</f>
        <v>3.6126962169151872E-2</v>
      </c>
    </row>
    <row r="4506" spans="18:21" x14ac:dyDescent="0.2">
      <c r="R4506" s="49">
        <v>4504</v>
      </c>
      <c r="S4506" s="59">
        <f ca="1">Dashboard!B$8* Dashboard!$F$4+Dashboard!B$10*SQRT(Dashboard!$F$4) * _xlfn.NORM.S.INV(RAND())</f>
        <v>-2.7205451137099129E-2</v>
      </c>
      <c r="T4506" s="59">
        <f ca="1">Dashboard!C$8* Dashboard!$F$4+Dashboard!C$10*SQRT(Dashboard!$F$4) * _xlfn.NORM.S.INV(RAND())</f>
        <v>2.4397397639552346E-2</v>
      </c>
      <c r="U4506" s="59">
        <f ca="1">Dashboard!D$8* Dashboard!$F$4+Dashboard!D$10*SQRT(Dashboard!$F$4) * _xlfn.NORM.S.INV(RAND())</f>
        <v>1.5693197550129427E-2</v>
      </c>
    </row>
    <row r="4507" spans="18:21" x14ac:dyDescent="0.2">
      <c r="R4507" s="49">
        <v>4505</v>
      </c>
      <c r="S4507" s="59">
        <f ca="1">Dashboard!B$8* Dashboard!$F$4+Dashboard!B$10*SQRT(Dashboard!$F$4) * _xlfn.NORM.S.INV(RAND())</f>
        <v>3.605311119891063E-2</v>
      </c>
      <c r="T4507" s="59">
        <f ca="1">Dashboard!C$8* Dashboard!$F$4+Dashboard!C$10*SQRT(Dashboard!$F$4) * _xlfn.NORM.S.INV(RAND())</f>
        <v>-4.8426873282535086E-3</v>
      </c>
      <c r="U4507" s="59">
        <f ca="1">Dashboard!D$8* Dashboard!$F$4+Dashboard!D$10*SQRT(Dashboard!$F$4) * _xlfn.NORM.S.INV(RAND())</f>
        <v>-8.7072246213813348E-3</v>
      </c>
    </row>
    <row r="4508" spans="18:21" x14ac:dyDescent="0.2">
      <c r="R4508" s="49">
        <v>4506</v>
      </c>
      <c r="S4508" s="59">
        <f ca="1">Dashboard!B$8* Dashboard!$F$4+Dashboard!B$10*SQRT(Dashboard!$F$4) * _xlfn.NORM.S.INV(RAND())</f>
        <v>-5.1110835181155626E-2</v>
      </c>
      <c r="T4508" s="59">
        <f ca="1">Dashboard!C$8* Dashboard!$F$4+Dashboard!C$10*SQRT(Dashboard!$F$4) * _xlfn.NORM.S.INV(RAND())</f>
        <v>6.0479060085081356E-4</v>
      </c>
      <c r="U4508" s="59">
        <f ca="1">Dashboard!D$8* Dashboard!$F$4+Dashboard!D$10*SQRT(Dashboard!$F$4) * _xlfn.NORM.S.INV(RAND())</f>
        <v>2.7662818044098911E-2</v>
      </c>
    </row>
    <row r="4509" spans="18:21" x14ac:dyDescent="0.2">
      <c r="R4509" s="49">
        <v>4507</v>
      </c>
      <c r="S4509" s="59">
        <f ca="1">Dashboard!B$8* Dashboard!$F$4+Dashboard!B$10*SQRT(Dashboard!$F$4) * _xlfn.NORM.S.INV(RAND())</f>
        <v>-9.1145663223923448E-3</v>
      </c>
      <c r="T4509" s="59">
        <f ca="1">Dashboard!C$8* Dashboard!$F$4+Dashboard!C$10*SQRT(Dashboard!$F$4) * _xlfn.NORM.S.INV(RAND())</f>
        <v>-3.0221092662576932E-2</v>
      </c>
      <c r="U4509" s="59">
        <f ca="1">Dashboard!D$8* Dashboard!$F$4+Dashboard!D$10*SQRT(Dashboard!$F$4) * _xlfn.NORM.S.INV(RAND())</f>
        <v>-3.2623015408148201E-2</v>
      </c>
    </row>
    <row r="4510" spans="18:21" x14ac:dyDescent="0.2">
      <c r="R4510" s="49">
        <v>4508</v>
      </c>
      <c r="S4510" s="59">
        <f ca="1">Dashboard!B$8* Dashboard!$F$4+Dashboard!B$10*SQRT(Dashboard!$F$4) * _xlfn.NORM.S.INV(RAND())</f>
        <v>-3.6834926952971199E-2</v>
      </c>
      <c r="T4510" s="59">
        <f ca="1">Dashboard!C$8* Dashboard!$F$4+Dashboard!C$10*SQRT(Dashboard!$F$4) * _xlfn.NORM.S.INV(RAND())</f>
        <v>-5.040228055798541E-3</v>
      </c>
      <c r="U4510" s="59">
        <f ca="1">Dashboard!D$8* Dashboard!$F$4+Dashboard!D$10*SQRT(Dashboard!$F$4) * _xlfn.NORM.S.INV(RAND())</f>
        <v>5.8182802744759433E-2</v>
      </c>
    </row>
    <row r="4511" spans="18:21" x14ac:dyDescent="0.2">
      <c r="R4511" s="49">
        <v>4509</v>
      </c>
      <c r="S4511" s="59">
        <f ca="1">Dashboard!B$8* Dashboard!$F$4+Dashboard!B$10*SQRT(Dashboard!$F$4) * _xlfn.NORM.S.INV(RAND())</f>
        <v>-3.8984798674890922E-2</v>
      </c>
      <c r="T4511" s="59">
        <f ca="1">Dashboard!C$8* Dashboard!$F$4+Dashboard!C$10*SQRT(Dashboard!$F$4) * _xlfn.NORM.S.INV(RAND())</f>
        <v>7.5075420882819863E-2</v>
      </c>
      <c r="U4511" s="59">
        <f ca="1">Dashboard!D$8* Dashboard!$F$4+Dashboard!D$10*SQRT(Dashboard!$F$4) * _xlfn.NORM.S.INV(RAND())</f>
        <v>-6.0359657936551535E-2</v>
      </c>
    </row>
    <row r="4512" spans="18:21" x14ac:dyDescent="0.2">
      <c r="R4512" s="49">
        <v>4510</v>
      </c>
      <c r="S4512" s="59">
        <f ca="1">Dashboard!B$8* Dashboard!$F$4+Dashboard!B$10*SQRT(Dashboard!$F$4) * _xlfn.NORM.S.INV(RAND())</f>
        <v>-3.5399905959677723E-3</v>
      </c>
      <c r="T4512" s="59">
        <f ca="1">Dashboard!C$8* Dashboard!$F$4+Dashboard!C$10*SQRT(Dashboard!$F$4) * _xlfn.NORM.S.INV(RAND())</f>
        <v>7.0216509274568586E-2</v>
      </c>
      <c r="U4512" s="59">
        <f ca="1">Dashboard!D$8* Dashboard!$F$4+Dashboard!D$10*SQRT(Dashboard!$F$4) * _xlfn.NORM.S.INV(RAND())</f>
        <v>-7.9199203530151627E-3</v>
      </c>
    </row>
    <row r="4513" spans="18:21" x14ac:dyDescent="0.2">
      <c r="R4513" s="49">
        <v>4511</v>
      </c>
      <c r="S4513" s="59">
        <f ca="1">Dashboard!B$8* Dashboard!$F$4+Dashboard!B$10*SQRT(Dashboard!$F$4) * _xlfn.NORM.S.INV(RAND())</f>
        <v>2.3616430183819474E-2</v>
      </c>
      <c r="T4513" s="59">
        <f ca="1">Dashboard!C$8* Dashboard!$F$4+Dashboard!C$10*SQRT(Dashboard!$F$4) * _xlfn.NORM.S.INV(RAND())</f>
        <v>4.0730643396610115E-3</v>
      </c>
      <c r="U4513" s="59">
        <f ca="1">Dashboard!D$8* Dashboard!$F$4+Dashboard!D$10*SQRT(Dashboard!$F$4) * _xlfn.NORM.S.INV(RAND())</f>
        <v>3.1192965637089773E-2</v>
      </c>
    </row>
    <row r="4514" spans="18:21" x14ac:dyDescent="0.2">
      <c r="R4514" s="49">
        <v>4512</v>
      </c>
      <c r="S4514" s="59">
        <f ca="1">Dashboard!B$8* Dashboard!$F$4+Dashboard!B$10*SQRT(Dashboard!$F$4) * _xlfn.NORM.S.INV(RAND())</f>
        <v>1.0261307794933288E-2</v>
      </c>
      <c r="T4514" s="59">
        <f ca="1">Dashboard!C$8* Dashboard!$F$4+Dashboard!C$10*SQRT(Dashboard!$F$4) * _xlfn.NORM.S.INV(RAND())</f>
        <v>4.4768135507347782E-2</v>
      </c>
      <c r="U4514" s="59">
        <f ca="1">Dashboard!D$8* Dashboard!$F$4+Dashboard!D$10*SQRT(Dashboard!$F$4) * _xlfn.NORM.S.INV(RAND())</f>
        <v>-6.5573399324808268E-2</v>
      </c>
    </row>
    <row r="4515" spans="18:21" x14ac:dyDescent="0.2">
      <c r="R4515" s="49">
        <v>4513</v>
      </c>
      <c r="S4515" s="59">
        <f ca="1">Dashboard!B$8* Dashboard!$F$4+Dashboard!B$10*SQRT(Dashboard!$F$4) * _xlfn.NORM.S.INV(RAND())</f>
        <v>1.8396257150904677E-2</v>
      </c>
      <c r="T4515" s="59">
        <f ca="1">Dashboard!C$8* Dashboard!$F$4+Dashboard!C$10*SQRT(Dashboard!$F$4) * _xlfn.NORM.S.INV(RAND())</f>
        <v>-1.1171671512931084E-2</v>
      </c>
      <c r="U4515" s="59">
        <f ca="1">Dashboard!D$8* Dashboard!$F$4+Dashboard!D$10*SQRT(Dashboard!$F$4) * _xlfn.NORM.S.INV(RAND())</f>
        <v>-1.6744330432469885E-2</v>
      </c>
    </row>
    <row r="4516" spans="18:21" x14ac:dyDescent="0.2">
      <c r="R4516" s="49">
        <v>4514</v>
      </c>
      <c r="S4516" s="59">
        <f ca="1">Dashboard!B$8* Dashboard!$F$4+Dashboard!B$10*SQRT(Dashboard!$F$4) * _xlfn.NORM.S.INV(RAND())</f>
        <v>4.0932507327488293E-2</v>
      </c>
      <c r="T4516" s="59">
        <f ca="1">Dashboard!C$8* Dashboard!$F$4+Dashboard!C$10*SQRT(Dashboard!$F$4) * _xlfn.NORM.S.INV(RAND())</f>
        <v>8.9128444199929782E-2</v>
      </c>
      <c r="U4516" s="59">
        <f ca="1">Dashboard!D$8* Dashboard!$F$4+Dashboard!D$10*SQRT(Dashboard!$F$4) * _xlfn.NORM.S.INV(RAND())</f>
        <v>-1.0236077059396049E-2</v>
      </c>
    </row>
    <row r="4517" spans="18:21" x14ac:dyDescent="0.2">
      <c r="R4517" s="49">
        <v>4515</v>
      </c>
      <c r="S4517" s="59">
        <f ca="1">Dashboard!B$8* Dashboard!$F$4+Dashboard!B$10*SQRT(Dashboard!$F$4) * _xlfn.NORM.S.INV(RAND())</f>
        <v>-1.2720051851106895E-2</v>
      </c>
      <c r="T4517" s="59">
        <f ca="1">Dashboard!C$8* Dashboard!$F$4+Dashboard!C$10*SQRT(Dashboard!$F$4) * _xlfn.NORM.S.INV(RAND())</f>
        <v>-3.0872042698291361E-2</v>
      </c>
      <c r="U4517" s="59">
        <f ca="1">Dashboard!D$8* Dashboard!$F$4+Dashboard!D$10*SQRT(Dashboard!$F$4) * _xlfn.NORM.S.INV(RAND())</f>
        <v>-2.6115873772173212E-2</v>
      </c>
    </row>
    <row r="4518" spans="18:21" x14ac:dyDescent="0.2">
      <c r="R4518" s="49">
        <v>4516</v>
      </c>
      <c r="S4518" s="59">
        <f ca="1">Dashboard!B$8* Dashboard!$F$4+Dashboard!B$10*SQRT(Dashboard!$F$4) * _xlfn.NORM.S.INV(RAND())</f>
        <v>-3.305159841129534E-2</v>
      </c>
      <c r="T4518" s="59">
        <f ca="1">Dashboard!C$8* Dashboard!$F$4+Dashboard!C$10*SQRT(Dashboard!$F$4) * _xlfn.NORM.S.INV(RAND())</f>
        <v>-5.1890068975119392E-2</v>
      </c>
      <c r="U4518" s="59">
        <f ca="1">Dashboard!D$8* Dashboard!$F$4+Dashboard!D$10*SQRT(Dashboard!$F$4) * _xlfn.NORM.S.INV(RAND())</f>
        <v>-2.3120961837473388E-2</v>
      </c>
    </row>
    <row r="4519" spans="18:21" x14ac:dyDescent="0.2">
      <c r="R4519" s="49">
        <v>4517</v>
      </c>
      <c r="S4519" s="59">
        <f ca="1">Dashboard!B$8* Dashboard!$F$4+Dashboard!B$10*SQRT(Dashboard!$F$4) * _xlfn.NORM.S.INV(RAND())</f>
        <v>-2.904342414177976E-2</v>
      </c>
      <c r="T4519" s="59">
        <f ca="1">Dashboard!C$8* Dashboard!$F$4+Dashboard!C$10*SQRT(Dashboard!$F$4) * _xlfn.NORM.S.INV(RAND())</f>
        <v>-3.792915318404929E-2</v>
      </c>
      <c r="U4519" s="59">
        <f ca="1">Dashboard!D$8* Dashboard!$F$4+Dashboard!D$10*SQRT(Dashboard!$F$4) * _xlfn.NORM.S.INV(RAND())</f>
        <v>-4.9447999187577661E-2</v>
      </c>
    </row>
    <row r="4520" spans="18:21" x14ac:dyDescent="0.2">
      <c r="R4520" s="49">
        <v>4518</v>
      </c>
      <c r="S4520" s="59">
        <f ca="1">Dashboard!B$8* Dashboard!$F$4+Dashboard!B$10*SQRT(Dashboard!$F$4) * _xlfn.NORM.S.INV(RAND())</f>
        <v>-2.2193376726857228E-2</v>
      </c>
      <c r="T4520" s="59">
        <f ca="1">Dashboard!C$8* Dashboard!$F$4+Dashboard!C$10*SQRT(Dashboard!$F$4) * _xlfn.NORM.S.INV(RAND())</f>
        <v>-1.3524931409857721E-2</v>
      </c>
      <c r="U4520" s="59">
        <f ca="1">Dashboard!D$8* Dashboard!$F$4+Dashboard!D$10*SQRT(Dashboard!$F$4) * _xlfn.NORM.S.INV(RAND())</f>
        <v>1.8004540696433258E-2</v>
      </c>
    </row>
    <row r="4521" spans="18:21" x14ac:dyDescent="0.2">
      <c r="R4521" s="49">
        <v>4519</v>
      </c>
      <c r="S4521" s="59">
        <f ca="1">Dashboard!B$8* Dashboard!$F$4+Dashboard!B$10*SQRT(Dashboard!$F$4) * _xlfn.NORM.S.INV(RAND())</f>
        <v>-5.9356374489917671E-3</v>
      </c>
      <c r="T4521" s="59">
        <f ca="1">Dashboard!C$8* Dashboard!$F$4+Dashboard!C$10*SQRT(Dashboard!$F$4) * _xlfn.NORM.S.INV(RAND())</f>
        <v>1.1721732496158821E-2</v>
      </c>
      <c r="U4521" s="59">
        <f ca="1">Dashboard!D$8* Dashboard!$F$4+Dashboard!D$10*SQRT(Dashboard!$F$4) * _xlfn.NORM.S.INV(RAND())</f>
        <v>8.6239025713063504E-3</v>
      </c>
    </row>
    <row r="4522" spans="18:21" x14ac:dyDescent="0.2">
      <c r="R4522" s="49">
        <v>4520</v>
      </c>
      <c r="S4522" s="59">
        <f ca="1">Dashboard!B$8* Dashboard!$F$4+Dashboard!B$10*SQRT(Dashboard!$F$4) * _xlfn.NORM.S.INV(RAND())</f>
        <v>-2.0231449809260268E-2</v>
      </c>
      <c r="T4522" s="59">
        <f ca="1">Dashboard!C$8* Dashboard!$F$4+Dashboard!C$10*SQRT(Dashboard!$F$4) * _xlfn.NORM.S.INV(RAND())</f>
        <v>2.1823190184899609E-2</v>
      </c>
      <c r="U4522" s="59">
        <f ca="1">Dashboard!D$8* Dashboard!$F$4+Dashboard!D$10*SQRT(Dashboard!$F$4) * _xlfn.NORM.S.INV(RAND())</f>
        <v>-4.3839733534768811E-2</v>
      </c>
    </row>
    <row r="4523" spans="18:21" x14ac:dyDescent="0.2">
      <c r="R4523" s="49">
        <v>4521</v>
      </c>
      <c r="S4523" s="59">
        <f ca="1">Dashboard!B$8* Dashboard!$F$4+Dashboard!B$10*SQRT(Dashboard!$F$4) * _xlfn.NORM.S.INV(RAND())</f>
        <v>-2.6765266895138723E-2</v>
      </c>
      <c r="T4523" s="59">
        <f ca="1">Dashboard!C$8* Dashboard!$F$4+Dashboard!C$10*SQRT(Dashboard!$F$4) * _xlfn.NORM.S.INV(RAND())</f>
        <v>3.1085909099803313E-2</v>
      </c>
      <c r="U4523" s="59">
        <f ca="1">Dashboard!D$8* Dashboard!$F$4+Dashboard!D$10*SQRT(Dashboard!$F$4) * _xlfn.NORM.S.INV(RAND())</f>
        <v>-3.063366534324422E-3</v>
      </c>
    </row>
    <row r="4524" spans="18:21" x14ac:dyDescent="0.2">
      <c r="R4524" s="49">
        <v>4522</v>
      </c>
      <c r="S4524" s="59">
        <f ca="1">Dashboard!B$8* Dashboard!$F$4+Dashboard!B$10*SQRT(Dashboard!$F$4) * _xlfn.NORM.S.INV(RAND())</f>
        <v>-1.9323592580331693E-2</v>
      </c>
      <c r="T4524" s="59">
        <f ca="1">Dashboard!C$8* Dashboard!$F$4+Dashboard!C$10*SQRT(Dashboard!$F$4) * _xlfn.NORM.S.INV(RAND())</f>
        <v>2.9464377284945603E-3</v>
      </c>
      <c r="U4524" s="59">
        <f ca="1">Dashboard!D$8* Dashboard!$F$4+Dashboard!D$10*SQRT(Dashboard!$F$4) * _xlfn.NORM.S.INV(RAND())</f>
        <v>-1.2914553391164128E-2</v>
      </c>
    </row>
    <row r="4525" spans="18:21" x14ac:dyDescent="0.2">
      <c r="R4525" s="49">
        <v>4523</v>
      </c>
      <c r="S4525" s="59">
        <f ca="1">Dashboard!B$8* Dashboard!$F$4+Dashboard!B$10*SQRT(Dashboard!$F$4) * _xlfn.NORM.S.INV(RAND())</f>
        <v>-3.5507487595635399E-2</v>
      </c>
      <c r="T4525" s="59">
        <f ca="1">Dashboard!C$8* Dashboard!$F$4+Dashboard!C$10*SQRT(Dashboard!$F$4) * _xlfn.NORM.S.INV(RAND())</f>
        <v>-1.1737359996731322E-2</v>
      </c>
      <c r="U4525" s="59">
        <f ca="1">Dashboard!D$8* Dashboard!$F$4+Dashboard!D$10*SQRT(Dashboard!$F$4) * _xlfn.NORM.S.INV(RAND())</f>
        <v>2.6606018888440931E-2</v>
      </c>
    </row>
    <row r="4526" spans="18:21" x14ac:dyDescent="0.2">
      <c r="R4526" s="49">
        <v>4524</v>
      </c>
      <c r="S4526" s="59">
        <f ca="1">Dashboard!B$8* Dashboard!$F$4+Dashboard!B$10*SQRT(Dashboard!$F$4) * _xlfn.NORM.S.INV(RAND())</f>
        <v>3.2631901661020979E-2</v>
      </c>
      <c r="T4526" s="59">
        <f ca="1">Dashboard!C$8* Dashboard!$F$4+Dashboard!C$10*SQRT(Dashboard!$F$4) * _xlfn.NORM.S.INV(RAND())</f>
        <v>-2.9614199356791947E-2</v>
      </c>
      <c r="U4526" s="59">
        <f ca="1">Dashboard!D$8* Dashboard!$F$4+Dashboard!D$10*SQRT(Dashboard!$F$4) * _xlfn.NORM.S.INV(RAND())</f>
        <v>-3.5314524574621219E-2</v>
      </c>
    </row>
    <row r="4527" spans="18:21" x14ac:dyDescent="0.2">
      <c r="R4527" s="49">
        <v>4525</v>
      </c>
      <c r="S4527" s="59">
        <f ca="1">Dashboard!B$8* Dashboard!$F$4+Dashboard!B$10*SQRT(Dashboard!$F$4) * _xlfn.NORM.S.INV(RAND())</f>
        <v>1.9933539846894943E-2</v>
      </c>
      <c r="T4527" s="59">
        <f ca="1">Dashboard!C$8* Dashboard!$F$4+Dashboard!C$10*SQRT(Dashboard!$F$4) * _xlfn.NORM.S.INV(RAND())</f>
        <v>1.2637222111315332E-2</v>
      </c>
      <c r="U4527" s="59">
        <f ca="1">Dashboard!D$8* Dashboard!$F$4+Dashboard!D$10*SQRT(Dashboard!$F$4) * _xlfn.NORM.S.INV(RAND())</f>
        <v>2.4093688356860866E-2</v>
      </c>
    </row>
    <row r="4528" spans="18:21" x14ac:dyDescent="0.2">
      <c r="R4528" s="49">
        <v>4526</v>
      </c>
      <c r="S4528" s="59">
        <f ca="1">Dashboard!B$8* Dashboard!$F$4+Dashboard!B$10*SQRT(Dashboard!$F$4) * _xlfn.NORM.S.INV(RAND())</f>
        <v>-3.5389975598780814E-2</v>
      </c>
      <c r="T4528" s="59">
        <f ca="1">Dashboard!C$8* Dashboard!$F$4+Dashboard!C$10*SQRT(Dashboard!$F$4) * _xlfn.NORM.S.INV(RAND())</f>
        <v>-4.361954182381142E-2</v>
      </c>
      <c r="U4528" s="59">
        <f ca="1">Dashboard!D$8* Dashboard!$F$4+Dashboard!D$10*SQRT(Dashboard!$F$4) * _xlfn.NORM.S.INV(RAND())</f>
        <v>-1.6301900105620888E-2</v>
      </c>
    </row>
    <row r="4529" spans="18:21" x14ac:dyDescent="0.2">
      <c r="R4529" s="49">
        <v>4527</v>
      </c>
      <c r="S4529" s="59">
        <f ca="1">Dashboard!B$8* Dashboard!$F$4+Dashboard!B$10*SQRT(Dashboard!$F$4) * _xlfn.NORM.S.INV(RAND())</f>
        <v>3.0225077907879198E-2</v>
      </c>
      <c r="T4529" s="59">
        <f ca="1">Dashboard!C$8* Dashboard!$F$4+Dashboard!C$10*SQRT(Dashboard!$F$4) * _xlfn.NORM.S.INV(RAND())</f>
        <v>4.872865256003963E-2</v>
      </c>
      <c r="U4529" s="59">
        <f ca="1">Dashboard!D$8* Dashboard!$F$4+Dashboard!D$10*SQRT(Dashboard!$F$4) * _xlfn.NORM.S.INV(RAND())</f>
        <v>3.972458391861269E-3</v>
      </c>
    </row>
    <row r="4530" spans="18:21" x14ac:dyDescent="0.2">
      <c r="R4530" s="49">
        <v>4528</v>
      </c>
      <c r="S4530" s="59">
        <f ca="1">Dashboard!B$8* Dashboard!$F$4+Dashboard!B$10*SQRT(Dashboard!$F$4) * _xlfn.NORM.S.INV(RAND())</f>
        <v>-8.8912122407288404E-3</v>
      </c>
      <c r="T4530" s="59">
        <f ca="1">Dashboard!C$8* Dashboard!$F$4+Dashboard!C$10*SQRT(Dashboard!$F$4) * _xlfn.NORM.S.INV(RAND())</f>
        <v>5.5661283206392041E-2</v>
      </c>
      <c r="U4530" s="59">
        <f ca="1">Dashboard!D$8* Dashboard!$F$4+Dashboard!D$10*SQRT(Dashboard!$F$4) * _xlfn.NORM.S.INV(RAND())</f>
        <v>-2.0924338982828489E-2</v>
      </c>
    </row>
    <row r="4531" spans="18:21" x14ac:dyDescent="0.2">
      <c r="R4531" s="49">
        <v>4529</v>
      </c>
      <c r="S4531" s="59">
        <f ca="1">Dashboard!B$8* Dashboard!$F$4+Dashboard!B$10*SQRT(Dashboard!$F$4) * _xlfn.NORM.S.INV(RAND())</f>
        <v>-1.4453384224836661E-2</v>
      </c>
      <c r="T4531" s="59">
        <f ca="1">Dashboard!C$8* Dashboard!$F$4+Dashboard!C$10*SQRT(Dashboard!$F$4) * _xlfn.NORM.S.INV(RAND())</f>
        <v>-3.2490319552734258E-2</v>
      </c>
      <c r="U4531" s="59">
        <f ca="1">Dashboard!D$8* Dashboard!$F$4+Dashboard!D$10*SQRT(Dashboard!$F$4) * _xlfn.NORM.S.INV(RAND())</f>
        <v>-4.6118985820737604E-2</v>
      </c>
    </row>
    <row r="4532" spans="18:21" x14ac:dyDescent="0.2">
      <c r="R4532" s="49">
        <v>4530</v>
      </c>
      <c r="S4532" s="59">
        <f ca="1">Dashboard!B$8* Dashboard!$F$4+Dashboard!B$10*SQRT(Dashboard!$F$4) * _xlfn.NORM.S.INV(RAND())</f>
        <v>1.0055839143587294E-2</v>
      </c>
      <c r="T4532" s="59">
        <f ca="1">Dashboard!C$8* Dashboard!$F$4+Dashboard!C$10*SQRT(Dashboard!$F$4) * _xlfn.NORM.S.INV(RAND())</f>
        <v>6.5363799582013994E-3</v>
      </c>
      <c r="U4532" s="59">
        <f ca="1">Dashboard!D$8* Dashboard!$F$4+Dashboard!D$10*SQRT(Dashboard!$F$4) * _xlfn.NORM.S.INV(RAND())</f>
        <v>1.0027913226418763E-2</v>
      </c>
    </row>
    <row r="4533" spans="18:21" x14ac:dyDescent="0.2">
      <c r="R4533" s="49">
        <v>4531</v>
      </c>
      <c r="S4533" s="59">
        <f ca="1">Dashboard!B$8* Dashboard!$F$4+Dashboard!B$10*SQRT(Dashboard!$F$4) * _xlfn.NORM.S.INV(RAND())</f>
        <v>2.4439386892439775E-2</v>
      </c>
      <c r="T4533" s="59">
        <f ca="1">Dashboard!C$8* Dashboard!$F$4+Dashboard!C$10*SQRT(Dashboard!$F$4) * _xlfn.NORM.S.INV(RAND())</f>
        <v>-4.7429123171845111E-2</v>
      </c>
      <c r="U4533" s="59">
        <f ca="1">Dashboard!D$8* Dashboard!$F$4+Dashboard!D$10*SQRT(Dashboard!$F$4) * _xlfn.NORM.S.INV(RAND())</f>
        <v>-6.1626039991402037E-3</v>
      </c>
    </row>
    <row r="4534" spans="18:21" x14ac:dyDescent="0.2">
      <c r="R4534" s="49">
        <v>4532</v>
      </c>
      <c r="S4534" s="59">
        <f ca="1">Dashboard!B$8* Dashboard!$F$4+Dashboard!B$10*SQRT(Dashboard!$F$4) * _xlfn.NORM.S.INV(RAND())</f>
        <v>3.0338443377112612E-2</v>
      </c>
      <c r="T4534" s="59">
        <f ca="1">Dashboard!C$8* Dashboard!$F$4+Dashboard!C$10*SQRT(Dashboard!$F$4) * _xlfn.NORM.S.INV(RAND())</f>
        <v>-1.1025340671166037E-2</v>
      </c>
      <c r="U4534" s="59">
        <f ca="1">Dashboard!D$8* Dashboard!$F$4+Dashboard!D$10*SQRT(Dashboard!$F$4) * _xlfn.NORM.S.INV(RAND())</f>
        <v>2.022545887314478E-2</v>
      </c>
    </row>
    <row r="4535" spans="18:21" x14ac:dyDescent="0.2">
      <c r="R4535" s="49">
        <v>4533</v>
      </c>
      <c r="S4535" s="59">
        <f ca="1">Dashboard!B$8* Dashboard!$F$4+Dashboard!B$10*SQRT(Dashboard!$F$4) * _xlfn.NORM.S.INV(RAND())</f>
        <v>3.4171135858756509E-2</v>
      </c>
      <c r="T4535" s="59">
        <f ca="1">Dashboard!C$8* Dashboard!$F$4+Dashboard!C$10*SQRT(Dashboard!$F$4) * _xlfn.NORM.S.INV(RAND())</f>
        <v>-8.0451879513415876E-3</v>
      </c>
      <c r="U4535" s="59">
        <f ca="1">Dashboard!D$8* Dashboard!$F$4+Dashboard!D$10*SQRT(Dashboard!$F$4) * _xlfn.NORM.S.INV(RAND())</f>
        <v>2.6517030377379472E-2</v>
      </c>
    </row>
    <row r="4536" spans="18:21" x14ac:dyDescent="0.2">
      <c r="R4536" s="49">
        <v>4534</v>
      </c>
      <c r="S4536" s="59">
        <f ca="1">Dashboard!B$8* Dashboard!$F$4+Dashboard!B$10*SQRT(Dashboard!$F$4) * _xlfn.NORM.S.INV(RAND())</f>
        <v>-2.8020326221894973E-2</v>
      </c>
      <c r="T4536" s="59">
        <f ca="1">Dashboard!C$8* Dashboard!$F$4+Dashboard!C$10*SQRT(Dashboard!$F$4) * _xlfn.NORM.S.INV(RAND())</f>
        <v>4.7697112741968681E-2</v>
      </c>
      <c r="U4536" s="59">
        <f ca="1">Dashboard!D$8* Dashboard!$F$4+Dashboard!D$10*SQRT(Dashboard!$F$4) * _xlfn.NORM.S.INV(RAND())</f>
        <v>3.6117219641044737E-2</v>
      </c>
    </row>
    <row r="4537" spans="18:21" x14ac:dyDescent="0.2">
      <c r="R4537" s="49">
        <v>4535</v>
      </c>
      <c r="S4537" s="59">
        <f ca="1">Dashboard!B$8* Dashboard!$F$4+Dashboard!B$10*SQRT(Dashboard!$F$4) * _xlfn.NORM.S.INV(RAND())</f>
        <v>8.5378469775427485E-2</v>
      </c>
      <c r="T4537" s="59">
        <f ca="1">Dashboard!C$8* Dashboard!$F$4+Dashboard!C$10*SQRT(Dashboard!$F$4) * _xlfn.NORM.S.INV(RAND())</f>
        <v>1.1399533954342535E-2</v>
      </c>
      <c r="U4537" s="59">
        <f ca="1">Dashboard!D$8* Dashboard!$F$4+Dashboard!D$10*SQRT(Dashboard!$F$4) * _xlfn.NORM.S.INV(RAND())</f>
        <v>-9.2449503940411158E-3</v>
      </c>
    </row>
    <row r="4538" spans="18:21" x14ac:dyDescent="0.2">
      <c r="R4538" s="49">
        <v>4536</v>
      </c>
      <c r="S4538" s="59">
        <f ca="1">Dashboard!B$8* Dashboard!$F$4+Dashboard!B$10*SQRT(Dashboard!$F$4) * _xlfn.NORM.S.INV(RAND())</f>
        <v>-2.903858439804468E-2</v>
      </c>
      <c r="T4538" s="59">
        <f ca="1">Dashboard!C$8* Dashboard!$F$4+Dashboard!C$10*SQRT(Dashboard!$F$4) * _xlfn.NORM.S.INV(RAND())</f>
        <v>-1.3866106811123734E-2</v>
      </c>
      <c r="U4538" s="59">
        <f ca="1">Dashboard!D$8* Dashboard!$F$4+Dashboard!D$10*SQRT(Dashboard!$F$4) * _xlfn.NORM.S.INV(RAND())</f>
        <v>-4.6878085076518736E-2</v>
      </c>
    </row>
    <row r="4539" spans="18:21" x14ac:dyDescent="0.2">
      <c r="R4539" s="49">
        <v>4537</v>
      </c>
      <c r="S4539" s="59">
        <f ca="1">Dashboard!B$8* Dashboard!$F$4+Dashboard!B$10*SQRT(Dashboard!$F$4) * _xlfn.NORM.S.INV(RAND())</f>
        <v>-3.5313585043408712E-3</v>
      </c>
      <c r="T4539" s="59">
        <f ca="1">Dashboard!C$8* Dashboard!$F$4+Dashboard!C$10*SQRT(Dashboard!$F$4) * _xlfn.NORM.S.INV(RAND())</f>
        <v>1.321910059194778E-2</v>
      </c>
      <c r="U4539" s="59">
        <f ca="1">Dashboard!D$8* Dashboard!$F$4+Dashboard!D$10*SQRT(Dashboard!$F$4) * _xlfn.NORM.S.INV(RAND())</f>
        <v>-5.6443198542347979E-2</v>
      </c>
    </row>
    <row r="4540" spans="18:21" x14ac:dyDescent="0.2">
      <c r="R4540" s="49">
        <v>4538</v>
      </c>
      <c r="S4540" s="59">
        <f ca="1">Dashboard!B$8* Dashboard!$F$4+Dashboard!B$10*SQRT(Dashboard!$F$4) * _xlfn.NORM.S.INV(RAND())</f>
        <v>-5.5695176556454944E-2</v>
      </c>
      <c r="T4540" s="59">
        <f ca="1">Dashboard!C$8* Dashboard!$F$4+Dashboard!C$10*SQRT(Dashboard!$F$4) * _xlfn.NORM.S.INV(RAND())</f>
        <v>-8.5544725775853099E-3</v>
      </c>
      <c r="U4540" s="59">
        <f ca="1">Dashboard!D$8* Dashboard!$F$4+Dashboard!D$10*SQRT(Dashboard!$F$4) * _xlfn.NORM.S.INV(RAND())</f>
        <v>-4.5380373630640554E-3</v>
      </c>
    </row>
    <row r="4541" spans="18:21" x14ac:dyDescent="0.2">
      <c r="R4541" s="49">
        <v>4539</v>
      </c>
      <c r="S4541" s="59">
        <f ca="1">Dashboard!B$8* Dashboard!$F$4+Dashboard!B$10*SQRT(Dashboard!$F$4) * _xlfn.NORM.S.INV(RAND())</f>
        <v>1.57413127475097E-2</v>
      </c>
      <c r="T4541" s="59">
        <f ca="1">Dashboard!C$8* Dashboard!$F$4+Dashboard!C$10*SQRT(Dashboard!$F$4) * _xlfn.NORM.S.INV(RAND())</f>
        <v>-1.3609960281862803E-3</v>
      </c>
      <c r="U4541" s="59">
        <f ca="1">Dashboard!D$8* Dashboard!$F$4+Dashboard!D$10*SQRT(Dashboard!$F$4) * _xlfn.NORM.S.INV(RAND())</f>
        <v>2.0846084528505018E-2</v>
      </c>
    </row>
    <row r="4542" spans="18:21" x14ac:dyDescent="0.2">
      <c r="R4542" s="49">
        <v>4540</v>
      </c>
      <c r="S4542" s="59">
        <f ca="1">Dashboard!B$8* Dashboard!$F$4+Dashboard!B$10*SQRT(Dashboard!$F$4) * _xlfn.NORM.S.INV(RAND())</f>
        <v>2.2697706804893775E-4</v>
      </c>
      <c r="T4542" s="59">
        <f ca="1">Dashboard!C$8* Dashboard!$F$4+Dashboard!C$10*SQRT(Dashboard!$F$4) * _xlfn.NORM.S.INV(RAND())</f>
        <v>-9.4416466194397197E-3</v>
      </c>
      <c r="U4542" s="59">
        <f ca="1">Dashboard!D$8* Dashboard!$F$4+Dashboard!D$10*SQRT(Dashboard!$F$4) * _xlfn.NORM.S.INV(RAND())</f>
        <v>-4.8299662614274645E-2</v>
      </c>
    </row>
    <row r="4543" spans="18:21" x14ac:dyDescent="0.2">
      <c r="R4543" s="49">
        <v>4541</v>
      </c>
      <c r="S4543" s="59">
        <f ca="1">Dashboard!B$8* Dashboard!$F$4+Dashboard!B$10*SQRT(Dashboard!$F$4) * _xlfn.NORM.S.INV(RAND())</f>
        <v>-1.1578171673035022E-2</v>
      </c>
      <c r="T4543" s="59">
        <f ca="1">Dashboard!C$8* Dashboard!$F$4+Dashboard!C$10*SQRT(Dashboard!$F$4) * _xlfn.NORM.S.INV(RAND())</f>
        <v>2.8572976466954884E-2</v>
      </c>
      <c r="U4543" s="59">
        <f ca="1">Dashboard!D$8* Dashboard!$F$4+Dashboard!D$10*SQRT(Dashboard!$F$4) * _xlfn.NORM.S.INV(RAND())</f>
        <v>-1.8394206789598362E-2</v>
      </c>
    </row>
    <row r="4544" spans="18:21" x14ac:dyDescent="0.2">
      <c r="R4544" s="49">
        <v>4542</v>
      </c>
      <c r="S4544" s="59">
        <f ca="1">Dashboard!B$8* Dashboard!$F$4+Dashboard!B$10*SQRT(Dashboard!$F$4) * _xlfn.NORM.S.INV(RAND())</f>
        <v>-3.3007088691164289E-2</v>
      </c>
      <c r="T4544" s="59">
        <f ca="1">Dashboard!C$8* Dashboard!$F$4+Dashboard!C$10*SQRT(Dashboard!$F$4) * _xlfn.NORM.S.INV(RAND())</f>
        <v>3.1834240142087467E-2</v>
      </c>
      <c r="U4544" s="59">
        <f ca="1">Dashboard!D$8* Dashboard!$F$4+Dashboard!D$10*SQRT(Dashboard!$F$4) * _xlfn.NORM.S.INV(RAND())</f>
        <v>-5.5081119709990044E-2</v>
      </c>
    </row>
    <row r="4545" spans="18:21" x14ac:dyDescent="0.2">
      <c r="R4545" s="49">
        <v>4543</v>
      </c>
      <c r="S4545" s="59">
        <f ca="1">Dashboard!B$8* Dashboard!$F$4+Dashboard!B$10*SQRT(Dashboard!$F$4) * _xlfn.NORM.S.INV(RAND())</f>
        <v>-1.2844422167558602E-2</v>
      </c>
      <c r="T4545" s="59">
        <f ca="1">Dashboard!C$8* Dashboard!$F$4+Dashboard!C$10*SQRT(Dashboard!$F$4) * _xlfn.NORM.S.INV(RAND())</f>
        <v>-2.4154677821319886E-2</v>
      </c>
      <c r="U4545" s="59">
        <f ca="1">Dashboard!D$8* Dashboard!$F$4+Dashboard!D$10*SQRT(Dashboard!$F$4) * _xlfn.NORM.S.INV(RAND())</f>
        <v>-2.1957911024800388E-2</v>
      </c>
    </row>
    <row r="4546" spans="18:21" x14ac:dyDescent="0.2">
      <c r="R4546" s="49">
        <v>4544</v>
      </c>
      <c r="S4546" s="59">
        <f ca="1">Dashboard!B$8* Dashboard!$F$4+Dashboard!B$10*SQRT(Dashboard!$F$4) * _xlfn.NORM.S.INV(RAND())</f>
        <v>-3.1261315128647077E-2</v>
      </c>
      <c r="T4546" s="59">
        <f ca="1">Dashboard!C$8* Dashboard!$F$4+Dashboard!C$10*SQRT(Dashboard!$F$4) * _xlfn.NORM.S.INV(RAND())</f>
        <v>4.4173608843215556E-2</v>
      </c>
      <c r="U4546" s="59">
        <f ca="1">Dashboard!D$8* Dashboard!$F$4+Dashboard!D$10*SQRT(Dashboard!$F$4) * _xlfn.NORM.S.INV(RAND())</f>
        <v>3.3453754887568611E-2</v>
      </c>
    </row>
    <row r="4547" spans="18:21" x14ac:dyDescent="0.2">
      <c r="R4547" s="49">
        <v>4545</v>
      </c>
      <c r="S4547" s="59">
        <f ca="1">Dashboard!B$8* Dashboard!$F$4+Dashboard!B$10*SQRT(Dashboard!$F$4) * _xlfn.NORM.S.INV(RAND())</f>
        <v>-7.2980599966293632E-3</v>
      </c>
      <c r="T4547" s="59">
        <f ca="1">Dashboard!C$8* Dashboard!$F$4+Dashboard!C$10*SQRT(Dashboard!$F$4) * _xlfn.NORM.S.INV(RAND())</f>
        <v>-3.3206108778508978E-2</v>
      </c>
      <c r="U4547" s="59">
        <f ca="1">Dashboard!D$8* Dashboard!$F$4+Dashboard!D$10*SQRT(Dashboard!$F$4) * _xlfn.NORM.S.INV(RAND())</f>
        <v>2.3406314343149315E-2</v>
      </c>
    </row>
    <row r="4548" spans="18:21" x14ac:dyDescent="0.2">
      <c r="R4548" s="49">
        <v>4546</v>
      </c>
      <c r="S4548" s="59">
        <f ca="1">Dashboard!B$8* Dashboard!$F$4+Dashboard!B$10*SQRT(Dashboard!$F$4) * _xlfn.NORM.S.INV(RAND())</f>
        <v>-4.331933323515935E-3</v>
      </c>
      <c r="T4548" s="59">
        <f ca="1">Dashboard!C$8* Dashboard!$F$4+Dashboard!C$10*SQRT(Dashboard!$F$4) * _xlfn.NORM.S.INV(RAND())</f>
        <v>-2.7704909072039513E-3</v>
      </c>
      <c r="U4548" s="59">
        <f ca="1">Dashboard!D$8* Dashboard!$F$4+Dashboard!D$10*SQRT(Dashboard!$F$4) * _xlfn.NORM.S.INV(RAND())</f>
        <v>-8.9182363542361781E-3</v>
      </c>
    </row>
    <row r="4549" spans="18:21" x14ac:dyDescent="0.2">
      <c r="R4549" s="49">
        <v>4547</v>
      </c>
      <c r="S4549" s="59">
        <f ca="1">Dashboard!B$8* Dashboard!$F$4+Dashboard!B$10*SQRT(Dashboard!$F$4) * _xlfn.NORM.S.INV(RAND())</f>
        <v>-5.3606740395556747E-2</v>
      </c>
      <c r="T4549" s="59">
        <f ca="1">Dashboard!C$8* Dashboard!$F$4+Dashboard!C$10*SQRT(Dashboard!$F$4) * _xlfn.NORM.S.INV(RAND())</f>
        <v>6.2225905660717928E-3</v>
      </c>
      <c r="U4549" s="59">
        <f ca="1">Dashboard!D$8* Dashboard!$F$4+Dashboard!D$10*SQRT(Dashboard!$F$4) * _xlfn.NORM.S.INV(RAND())</f>
        <v>-8.5787456817593959E-3</v>
      </c>
    </row>
    <row r="4550" spans="18:21" x14ac:dyDescent="0.2">
      <c r="R4550" s="49">
        <v>4548</v>
      </c>
      <c r="S4550" s="59">
        <f ca="1">Dashboard!B$8* Dashboard!$F$4+Dashboard!B$10*SQRT(Dashboard!$F$4) * _xlfn.NORM.S.INV(RAND())</f>
        <v>1.4012909724755789E-2</v>
      </c>
      <c r="T4550" s="59">
        <f ca="1">Dashboard!C$8* Dashboard!$F$4+Dashboard!C$10*SQRT(Dashboard!$F$4) * _xlfn.NORM.S.INV(RAND())</f>
        <v>9.2187844671386583E-3</v>
      </c>
      <c r="U4550" s="59">
        <f ca="1">Dashboard!D$8* Dashboard!$F$4+Dashboard!D$10*SQRT(Dashboard!$F$4) * _xlfn.NORM.S.INV(RAND())</f>
        <v>-3.4727098559327443E-2</v>
      </c>
    </row>
    <row r="4551" spans="18:21" x14ac:dyDescent="0.2">
      <c r="R4551" s="49">
        <v>4549</v>
      </c>
      <c r="S4551" s="59">
        <f ca="1">Dashboard!B$8* Dashboard!$F$4+Dashboard!B$10*SQRT(Dashboard!$F$4) * _xlfn.NORM.S.INV(RAND())</f>
        <v>2.0256232651645533E-3</v>
      </c>
      <c r="T4551" s="59">
        <f ca="1">Dashboard!C$8* Dashboard!$F$4+Dashboard!C$10*SQRT(Dashboard!$F$4) * _xlfn.NORM.S.INV(RAND())</f>
        <v>-1.5115345993793106E-2</v>
      </c>
      <c r="U4551" s="59">
        <f ca="1">Dashboard!D$8* Dashboard!$F$4+Dashboard!D$10*SQRT(Dashboard!$F$4) * _xlfn.NORM.S.INV(RAND())</f>
        <v>-3.9827569871282104E-3</v>
      </c>
    </row>
    <row r="4552" spans="18:21" x14ac:dyDescent="0.2">
      <c r="R4552" s="49">
        <v>4550</v>
      </c>
      <c r="S4552" s="59">
        <f ca="1">Dashboard!B$8* Dashboard!$F$4+Dashboard!B$10*SQRT(Dashboard!$F$4) * _xlfn.NORM.S.INV(RAND())</f>
        <v>1.6571217327596761E-2</v>
      </c>
      <c r="T4552" s="59">
        <f ca="1">Dashboard!C$8* Dashboard!$F$4+Dashboard!C$10*SQRT(Dashboard!$F$4) * _xlfn.NORM.S.INV(RAND())</f>
        <v>-4.6825926119048761E-2</v>
      </c>
      <c r="U4552" s="59">
        <f ca="1">Dashboard!D$8* Dashboard!$F$4+Dashboard!D$10*SQRT(Dashboard!$F$4) * _xlfn.NORM.S.INV(RAND())</f>
        <v>2.7083703204866125E-2</v>
      </c>
    </row>
    <row r="4553" spans="18:21" x14ac:dyDescent="0.2">
      <c r="R4553" s="49">
        <v>4551</v>
      </c>
      <c r="S4553" s="59">
        <f ca="1">Dashboard!B$8* Dashboard!$F$4+Dashboard!B$10*SQRT(Dashboard!$F$4) * _xlfn.NORM.S.INV(RAND())</f>
        <v>5.8661438183502473E-2</v>
      </c>
      <c r="T4553" s="59">
        <f ca="1">Dashboard!C$8* Dashboard!$F$4+Dashboard!C$10*SQRT(Dashboard!$F$4) * _xlfn.NORM.S.INV(RAND())</f>
        <v>-1.7427284567938295E-2</v>
      </c>
      <c r="U4553" s="59">
        <f ca="1">Dashboard!D$8* Dashboard!$F$4+Dashboard!D$10*SQRT(Dashboard!$F$4) * _xlfn.NORM.S.INV(RAND())</f>
        <v>-0.12630221082474519</v>
      </c>
    </row>
    <row r="4554" spans="18:21" x14ac:dyDescent="0.2">
      <c r="R4554" s="49">
        <v>4552</v>
      </c>
      <c r="S4554" s="59">
        <f ca="1">Dashboard!B$8* Dashboard!$F$4+Dashboard!B$10*SQRT(Dashboard!$F$4) * _xlfn.NORM.S.INV(RAND())</f>
        <v>4.4821048186234225E-2</v>
      </c>
      <c r="T4554" s="59">
        <f ca="1">Dashboard!C$8* Dashboard!$F$4+Dashboard!C$10*SQRT(Dashboard!$F$4) * _xlfn.NORM.S.INV(RAND())</f>
        <v>2.7677479482336665E-2</v>
      </c>
      <c r="U4554" s="59">
        <f ca="1">Dashboard!D$8* Dashboard!$F$4+Dashboard!D$10*SQRT(Dashboard!$F$4) * _xlfn.NORM.S.INV(RAND())</f>
        <v>-1.9562006250399638E-2</v>
      </c>
    </row>
    <row r="4555" spans="18:21" x14ac:dyDescent="0.2">
      <c r="R4555" s="49">
        <v>4553</v>
      </c>
      <c r="S4555" s="59">
        <f ca="1">Dashboard!B$8* Dashboard!$F$4+Dashboard!B$10*SQRT(Dashboard!$F$4) * _xlfn.NORM.S.INV(RAND())</f>
        <v>-1.9148425592666898E-2</v>
      </c>
      <c r="T4555" s="59">
        <f ca="1">Dashboard!C$8* Dashboard!$F$4+Dashboard!C$10*SQRT(Dashboard!$F$4) * _xlfn.NORM.S.INV(RAND())</f>
        <v>-2.7242894967574583E-2</v>
      </c>
      <c r="U4555" s="59">
        <f ca="1">Dashboard!D$8* Dashboard!$F$4+Dashboard!D$10*SQRT(Dashboard!$F$4) * _xlfn.NORM.S.INV(RAND())</f>
        <v>-3.8691298847239627E-4</v>
      </c>
    </row>
    <row r="4556" spans="18:21" x14ac:dyDescent="0.2">
      <c r="R4556" s="49">
        <v>4554</v>
      </c>
      <c r="S4556" s="59">
        <f ca="1">Dashboard!B$8* Dashboard!$F$4+Dashboard!B$10*SQRT(Dashboard!$F$4) * _xlfn.NORM.S.INV(RAND())</f>
        <v>2.1406749253664037E-2</v>
      </c>
      <c r="T4556" s="59">
        <f ca="1">Dashboard!C$8* Dashboard!$F$4+Dashboard!C$10*SQRT(Dashboard!$F$4) * _xlfn.NORM.S.INV(RAND())</f>
        <v>5.038431140572925E-2</v>
      </c>
      <c r="U4556" s="59">
        <f ca="1">Dashboard!D$8* Dashboard!$F$4+Dashboard!D$10*SQRT(Dashboard!$F$4) * _xlfn.NORM.S.INV(RAND())</f>
        <v>-1.211783047260113E-2</v>
      </c>
    </row>
    <row r="4557" spans="18:21" x14ac:dyDescent="0.2">
      <c r="R4557" s="49">
        <v>4555</v>
      </c>
      <c r="S4557" s="59">
        <f ca="1">Dashboard!B$8* Dashboard!$F$4+Dashboard!B$10*SQRT(Dashboard!$F$4) * _xlfn.NORM.S.INV(RAND())</f>
        <v>1.3554317142604031E-2</v>
      </c>
      <c r="T4557" s="59">
        <f ca="1">Dashboard!C$8* Dashboard!$F$4+Dashboard!C$10*SQRT(Dashboard!$F$4) * _xlfn.NORM.S.INV(RAND())</f>
        <v>1.5770779024121769E-2</v>
      </c>
      <c r="U4557" s="59">
        <f ca="1">Dashboard!D$8* Dashboard!$F$4+Dashboard!D$10*SQRT(Dashboard!$F$4) * _xlfn.NORM.S.INV(RAND())</f>
        <v>2.2456519542326005E-2</v>
      </c>
    </row>
    <row r="4558" spans="18:21" x14ac:dyDescent="0.2">
      <c r="R4558" s="49">
        <v>4556</v>
      </c>
      <c r="S4558" s="59">
        <f ca="1">Dashboard!B$8* Dashboard!$F$4+Dashboard!B$10*SQRT(Dashboard!$F$4) * _xlfn.NORM.S.INV(RAND())</f>
        <v>-5.1475868843165559E-2</v>
      </c>
      <c r="T4558" s="59">
        <f ca="1">Dashboard!C$8* Dashboard!$F$4+Dashboard!C$10*SQRT(Dashboard!$F$4) * _xlfn.NORM.S.INV(RAND())</f>
        <v>4.2369737062521499E-2</v>
      </c>
      <c r="U4558" s="59">
        <f ca="1">Dashboard!D$8* Dashboard!$F$4+Dashboard!D$10*SQRT(Dashboard!$F$4) * _xlfn.NORM.S.INV(RAND())</f>
        <v>-1.3455616207023985E-2</v>
      </c>
    </row>
    <row r="4559" spans="18:21" x14ac:dyDescent="0.2">
      <c r="R4559" s="49">
        <v>4557</v>
      </c>
      <c r="S4559" s="59">
        <f ca="1">Dashboard!B$8* Dashboard!$F$4+Dashboard!B$10*SQRT(Dashboard!$F$4) * _xlfn.NORM.S.INV(RAND())</f>
        <v>-3.2125795907895972E-2</v>
      </c>
      <c r="T4559" s="59">
        <f ca="1">Dashboard!C$8* Dashboard!$F$4+Dashboard!C$10*SQRT(Dashboard!$F$4) * _xlfn.NORM.S.INV(RAND())</f>
        <v>-2.480328664810209E-2</v>
      </c>
      <c r="U4559" s="59">
        <f ca="1">Dashboard!D$8* Dashboard!$F$4+Dashboard!D$10*SQRT(Dashboard!$F$4) * _xlfn.NORM.S.INV(RAND())</f>
        <v>-1.382996323697745E-2</v>
      </c>
    </row>
    <row r="4560" spans="18:21" x14ac:dyDescent="0.2">
      <c r="R4560" s="49">
        <v>4558</v>
      </c>
      <c r="S4560" s="59">
        <f ca="1">Dashboard!B$8* Dashboard!$F$4+Dashboard!B$10*SQRT(Dashboard!$F$4) * _xlfn.NORM.S.INV(RAND())</f>
        <v>5.1203411273885696E-2</v>
      </c>
      <c r="T4560" s="59">
        <f ca="1">Dashboard!C$8* Dashboard!$F$4+Dashboard!C$10*SQRT(Dashboard!$F$4) * _xlfn.NORM.S.INV(RAND())</f>
        <v>3.8224484822967697E-2</v>
      </c>
      <c r="U4560" s="59">
        <f ca="1">Dashboard!D$8* Dashboard!$F$4+Dashboard!D$10*SQRT(Dashboard!$F$4) * _xlfn.NORM.S.INV(RAND())</f>
        <v>-4.3712193096740973E-2</v>
      </c>
    </row>
    <row r="4561" spans="18:21" x14ac:dyDescent="0.2">
      <c r="R4561" s="49">
        <v>4559</v>
      </c>
      <c r="S4561" s="59">
        <f ca="1">Dashboard!B$8* Dashboard!$F$4+Dashboard!B$10*SQRT(Dashboard!$F$4) * _xlfn.NORM.S.INV(RAND())</f>
        <v>-1.4788429601853975E-2</v>
      </c>
      <c r="T4561" s="59">
        <f ca="1">Dashboard!C$8* Dashboard!$F$4+Dashboard!C$10*SQRT(Dashboard!$F$4) * _xlfn.NORM.S.INV(RAND())</f>
        <v>-3.7158523141554003E-2</v>
      </c>
      <c r="U4561" s="59">
        <f ca="1">Dashboard!D$8* Dashboard!$F$4+Dashboard!D$10*SQRT(Dashboard!$F$4) * _xlfn.NORM.S.INV(RAND())</f>
        <v>-1.970201484790891E-3</v>
      </c>
    </row>
    <row r="4562" spans="18:21" x14ac:dyDescent="0.2">
      <c r="R4562" s="49">
        <v>4560</v>
      </c>
      <c r="S4562" s="59">
        <f ca="1">Dashboard!B$8* Dashboard!$F$4+Dashboard!B$10*SQRT(Dashboard!$F$4) * _xlfn.NORM.S.INV(RAND())</f>
        <v>1.8921862679528459E-2</v>
      </c>
      <c r="T4562" s="59">
        <f ca="1">Dashboard!C$8* Dashboard!$F$4+Dashboard!C$10*SQRT(Dashboard!$F$4) * _xlfn.NORM.S.INV(RAND())</f>
        <v>-2.6264833515015421E-3</v>
      </c>
      <c r="U4562" s="59">
        <f ca="1">Dashboard!D$8* Dashboard!$F$4+Dashboard!D$10*SQRT(Dashboard!$F$4) * _xlfn.NORM.S.INV(RAND())</f>
        <v>-4.2382399210977424E-2</v>
      </c>
    </row>
    <row r="4563" spans="18:21" x14ac:dyDescent="0.2">
      <c r="R4563" s="49">
        <v>4561</v>
      </c>
      <c r="S4563" s="59">
        <f ca="1">Dashboard!B$8* Dashboard!$F$4+Dashboard!B$10*SQRT(Dashboard!$F$4) * _xlfn.NORM.S.INV(RAND())</f>
        <v>6.6958224702343486E-3</v>
      </c>
      <c r="T4563" s="59">
        <f ca="1">Dashboard!C$8* Dashboard!$F$4+Dashboard!C$10*SQRT(Dashboard!$F$4) * _xlfn.NORM.S.INV(RAND())</f>
        <v>-3.066707462535816E-2</v>
      </c>
      <c r="U4563" s="59">
        <f ca="1">Dashboard!D$8* Dashboard!$F$4+Dashboard!D$10*SQRT(Dashboard!$F$4) * _xlfn.NORM.S.INV(RAND())</f>
        <v>1.1822679564303563E-2</v>
      </c>
    </row>
    <row r="4564" spans="18:21" x14ac:dyDescent="0.2">
      <c r="R4564" s="49">
        <v>4562</v>
      </c>
      <c r="S4564" s="59">
        <f ca="1">Dashboard!B$8* Dashboard!$F$4+Dashboard!B$10*SQRT(Dashboard!$F$4) * _xlfn.NORM.S.INV(RAND())</f>
        <v>-4.6405614571245694E-2</v>
      </c>
      <c r="T4564" s="59">
        <f ca="1">Dashboard!C$8* Dashboard!$F$4+Dashboard!C$10*SQRT(Dashboard!$F$4) * _xlfn.NORM.S.INV(RAND())</f>
        <v>-2.3668145818678144E-2</v>
      </c>
      <c r="U4564" s="59">
        <f ca="1">Dashboard!D$8* Dashboard!$F$4+Dashboard!D$10*SQRT(Dashboard!$F$4) * _xlfn.NORM.S.INV(RAND())</f>
        <v>-7.5401989609082077E-3</v>
      </c>
    </row>
    <row r="4565" spans="18:21" x14ac:dyDescent="0.2">
      <c r="R4565" s="49">
        <v>4563</v>
      </c>
      <c r="S4565" s="59">
        <f ca="1">Dashboard!B$8* Dashboard!$F$4+Dashboard!B$10*SQRT(Dashboard!$F$4) * _xlfn.NORM.S.INV(RAND())</f>
        <v>-6.8601364782266893E-3</v>
      </c>
      <c r="T4565" s="59">
        <f ca="1">Dashboard!C$8* Dashboard!$F$4+Dashboard!C$10*SQRT(Dashboard!$F$4) * _xlfn.NORM.S.INV(RAND())</f>
        <v>-4.1909644058633143E-2</v>
      </c>
      <c r="U4565" s="59">
        <f ca="1">Dashboard!D$8* Dashboard!$F$4+Dashboard!D$10*SQRT(Dashboard!$F$4) * _xlfn.NORM.S.INV(RAND())</f>
        <v>-8.9070382691182181E-3</v>
      </c>
    </row>
    <row r="4566" spans="18:21" x14ac:dyDescent="0.2">
      <c r="R4566" s="49">
        <v>4564</v>
      </c>
      <c r="S4566" s="59">
        <f ca="1">Dashboard!B$8* Dashboard!$F$4+Dashboard!B$10*SQRT(Dashboard!$F$4) * _xlfn.NORM.S.INV(RAND())</f>
        <v>1.3765127357996803E-2</v>
      </c>
      <c r="T4566" s="59">
        <f ca="1">Dashboard!C$8* Dashboard!$F$4+Dashboard!C$10*SQRT(Dashboard!$F$4) * _xlfn.NORM.S.INV(RAND())</f>
        <v>4.7342074897320542E-2</v>
      </c>
      <c r="U4566" s="59">
        <f ca="1">Dashboard!D$8* Dashboard!$F$4+Dashboard!D$10*SQRT(Dashboard!$F$4) * _xlfn.NORM.S.INV(RAND())</f>
        <v>-1.2501570434469766E-2</v>
      </c>
    </row>
    <row r="4567" spans="18:21" x14ac:dyDescent="0.2">
      <c r="R4567" s="49">
        <v>4565</v>
      </c>
      <c r="S4567" s="59">
        <f ca="1">Dashboard!B$8* Dashboard!$F$4+Dashboard!B$10*SQRT(Dashboard!$F$4) * _xlfn.NORM.S.INV(RAND())</f>
        <v>-1.531053306369046E-2</v>
      </c>
      <c r="T4567" s="59">
        <f ca="1">Dashboard!C$8* Dashboard!$F$4+Dashboard!C$10*SQRT(Dashboard!$F$4) * _xlfn.NORM.S.INV(RAND())</f>
        <v>5.1528584292645924E-2</v>
      </c>
      <c r="U4567" s="59">
        <f ca="1">Dashboard!D$8* Dashboard!$F$4+Dashboard!D$10*SQRT(Dashboard!$F$4) * _xlfn.NORM.S.INV(RAND())</f>
        <v>4.4696420303903951E-2</v>
      </c>
    </row>
    <row r="4568" spans="18:21" x14ac:dyDescent="0.2">
      <c r="R4568" s="49">
        <v>4566</v>
      </c>
      <c r="S4568" s="59">
        <f ca="1">Dashboard!B$8* Dashboard!$F$4+Dashboard!B$10*SQRT(Dashboard!$F$4) * _xlfn.NORM.S.INV(RAND())</f>
        <v>8.3900494312063589E-2</v>
      </c>
      <c r="T4568" s="59">
        <f ca="1">Dashboard!C$8* Dashboard!$F$4+Dashboard!C$10*SQRT(Dashboard!$F$4) * _xlfn.NORM.S.INV(RAND())</f>
        <v>-5.9246211999543177E-2</v>
      </c>
      <c r="U4568" s="59">
        <f ca="1">Dashboard!D$8* Dashboard!$F$4+Dashboard!D$10*SQRT(Dashboard!$F$4) * _xlfn.NORM.S.INV(RAND())</f>
        <v>-3.8067126357363597E-2</v>
      </c>
    </row>
    <row r="4569" spans="18:21" x14ac:dyDescent="0.2">
      <c r="R4569" s="49">
        <v>4567</v>
      </c>
      <c r="S4569" s="59">
        <f ca="1">Dashboard!B$8* Dashboard!$F$4+Dashboard!B$10*SQRT(Dashboard!$F$4) * _xlfn.NORM.S.INV(RAND())</f>
        <v>-4.3376382759498906E-2</v>
      </c>
      <c r="T4569" s="59">
        <f ca="1">Dashboard!C$8* Dashboard!$F$4+Dashboard!C$10*SQRT(Dashboard!$F$4) * _xlfn.NORM.S.INV(RAND())</f>
        <v>3.7402331060443453E-2</v>
      </c>
      <c r="U4569" s="59">
        <f ca="1">Dashboard!D$8* Dashboard!$F$4+Dashboard!D$10*SQRT(Dashboard!$F$4) * _xlfn.NORM.S.INV(RAND())</f>
        <v>-1.8944879298387517E-2</v>
      </c>
    </row>
    <row r="4570" spans="18:21" x14ac:dyDescent="0.2">
      <c r="R4570" s="49">
        <v>4568</v>
      </c>
      <c r="S4570" s="59">
        <f ca="1">Dashboard!B$8* Dashboard!$F$4+Dashboard!B$10*SQRT(Dashboard!$F$4) * _xlfn.NORM.S.INV(RAND())</f>
        <v>-1.1626276998523047E-2</v>
      </c>
      <c r="T4570" s="59">
        <f ca="1">Dashboard!C$8* Dashboard!$F$4+Dashboard!C$10*SQRT(Dashboard!$F$4) * _xlfn.NORM.S.INV(RAND())</f>
        <v>-2.5390705778158646E-3</v>
      </c>
      <c r="U4570" s="59">
        <f ca="1">Dashboard!D$8* Dashboard!$F$4+Dashboard!D$10*SQRT(Dashboard!$F$4) * _xlfn.NORM.S.INV(RAND())</f>
        <v>2.9992742270361087E-2</v>
      </c>
    </row>
    <row r="4571" spans="18:21" x14ac:dyDescent="0.2">
      <c r="R4571" s="49">
        <v>4569</v>
      </c>
      <c r="S4571" s="59">
        <f ca="1">Dashboard!B$8* Dashboard!$F$4+Dashboard!B$10*SQRT(Dashboard!$F$4) * _xlfn.NORM.S.INV(RAND())</f>
        <v>1.6814704714780207E-3</v>
      </c>
      <c r="T4571" s="59">
        <f ca="1">Dashboard!C$8* Dashboard!$F$4+Dashboard!C$10*SQRT(Dashboard!$F$4) * _xlfn.NORM.S.INV(RAND())</f>
        <v>2.5051496737517675E-2</v>
      </c>
      <c r="U4571" s="59">
        <f ca="1">Dashboard!D$8* Dashboard!$F$4+Dashboard!D$10*SQRT(Dashboard!$F$4) * _xlfn.NORM.S.INV(RAND())</f>
        <v>4.2370679926359379E-2</v>
      </c>
    </row>
    <row r="4572" spans="18:21" x14ac:dyDescent="0.2">
      <c r="R4572" s="49">
        <v>4570</v>
      </c>
      <c r="S4572" s="59">
        <f ca="1">Dashboard!B$8* Dashboard!$F$4+Dashboard!B$10*SQRT(Dashboard!$F$4) * _xlfn.NORM.S.INV(RAND())</f>
        <v>4.0418212129186247E-3</v>
      </c>
      <c r="T4572" s="59">
        <f ca="1">Dashboard!C$8* Dashboard!$F$4+Dashboard!C$10*SQRT(Dashboard!$F$4) * _xlfn.NORM.S.INV(RAND())</f>
        <v>-3.3521904113966904E-2</v>
      </c>
      <c r="U4572" s="59">
        <f ca="1">Dashboard!D$8* Dashboard!$F$4+Dashboard!D$10*SQRT(Dashboard!$F$4) * _xlfn.NORM.S.INV(RAND())</f>
        <v>8.5246858454716308E-3</v>
      </c>
    </row>
    <row r="4573" spans="18:21" x14ac:dyDescent="0.2">
      <c r="R4573" s="49">
        <v>4571</v>
      </c>
      <c r="S4573" s="59">
        <f ca="1">Dashboard!B$8* Dashboard!$F$4+Dashboard!B$10*SQRT(Dashboard!$F$4) * _xlfn.NORM.S.INV(RAND())</f>
        <v>-9.5806238817786882E-3</v>
      </c>
      <c r="T4573" s="59">
        <f ca="1">Dashboard!C$8* Dashboard!$F$4+Dashboard!C$10*SQRT(Dashboard!$F$4) * _xlfn.NORM.S.INV(RAND())</f>
        <v>4.3137759805796927E-2</v>
      </c>
      <c r="U4573" s="59">
        <f ca="1">Dashboard!D$8* Dashboard!$F$4+Dashboard!D$10*SQRT(Dashboard!$F$4) * _xlfn.NORM.S.INV(RAND())</f>
        <v>-2.9530747589110808E-2</v>
      </c>
    </row>
    <row r="4574" spans="18:21" x14ac:dyDescent="0.2">
      <c r="R4574" s="49">
        <v>4572</v>
      </c>
      <c r="S4574" s="59">
        <f ca="1">Dashboard!B$8* Dashboard!$F$4+Dashboard!B$10*SQRT(Dashboard!$F$4) * _xlfn.NORM.S.INV(RAND())</f>
        <v>-1.032675800550999E-2</v>
      </c>
      <c r="T4574" s="59">
        <f ca="1">Dashboard!C$8* Dashboard!$F$4+Dashboard!C$10*SQRT(Dashboard!$F$4) * _xlfn.NORM.S.INV(RAND())</f>
        <v>-3.3376453595775568E-2</v>
      </c>
      <c r="U4574" s="59">
        <f ca="1">Dashboard!D$8* Dashboard!$F$4+Dashboard!D$10*SQRT(Dashboard!$F$4) * _xlfn.NORM.S.INV(RAND())</f>
        <v>2.8193149877702203E-2</v>
      </c>
    </row>
    <row r="4575" spans="18:21" x14ac:dyDescent="0.2">
      <c r="R4575" s="49">
        <v>4573</v>
      </c>
      <c r="S4575" s="59">
        <f ca="1">Dashboard!B$8* Dashboard!$F$4+Dashboard!B$10*SQRT(Dashboard!$F$4) * _xlfn.NORM.S.INV(RAND())</f>
        <v>-2.6216432984216165E-2</v>
      </c>
      <c r="T4575" s="59">
        <f ca="1">Dashboard!C$8* Dashboard!$F$4+Dashboard!C$10*SQRT(Dashboard!$F$4) * _xlfn.NORM.S.INV(RAND())</f>
        <v>-4.2431975609455226E-2</v>
      </c>
      <c r="U4575" s="59">
        <f ca="1">Dashboard!D$8* Dashboard!$F$4+Dashboard!D$10*SQRT(Dashboard!$F$4) * _xlfn.NORM.S.INV(RAND())</f>
        <v>2.5611660466626048E-2</v>
      </c>
    </row>
    <row r="4576" spans="18:21" x14ac:dyDescent="0.2">
      <c r="R4576" s="49">
        <v>4574</v>
      </c>
      <c r="S4576" s="59">
        <f ca="1">Dashboard!B$8* Dashboard!$F$4+Dashboard!B$10*SQRT(Dashboard!$F$4) * _xlfn.NORM.S.INV(RAND())</f>
        <v>1.8172187059193864E-2</v>
      </c>
      <c r="T4576" s="59">
        <f ca="1">Dashboard!C$8* Dashboard!$F$4+Dashboard!C$10*SQRT(Dashboard!$F$4) * _xlfn.NORM.S.INV(RAND())</f>
        <v>-3.6079136985408813E-3</v>
      </c>
      <c r="U4576" s="59">
        <f ca="1">Dashboard!D$8* Dashboard!$F$4+Dashboard!D$10*SQRT(Dashboard!$F$4) * _xlfn.NORM.S.INV(RAND())</f>
        <v>2.6823523817591836E-2</v>
      </c>
    </row>
    <row r="4577" spans="18:21" x14ac:dyDescent="0.2">
      <c r="R4577" s="49">
        <v>4575</v>
      </c>
      <c r="S4577" s="59">
        <f ca="1">Dashboard!B$8* Dashboard!$F$4+Dashboard!B$10*SQRT(Dashboard!$F$4) * _xlfn.NORM.S.INV(RAND())</f>
        <v>3.0392277294820212E-2</v>
      </c>
      <c r="T4577" s="59">
        <f ca="1">Dashboard!C$8* Dashboard!$F$4+Dashboard!C$10*SQRT(Dashboard!$F$4) * _xlfn.NORM.S.INV(RAND())</f>
        <v>2.193696601567271E-3</v>
      </c>
      <c r="U4577" s="59">
        <f ca="1">Dashboard!D$8* Dashboard!$F$4+Dashboard!D$10*SQRT(Dashboard!$F$4) * _xlfn.NORM.S.INV(RAND())</f>
        <v>-1.1645945109508596E-2</v>
      </c>
    </row>
    <row r="4578" spans="18:21" x14ac:dyDescent="0.2">
      <c r="R4578" s="49">
        <v>4576</v>
      </c>
      <c r="S4578" s="59">
        <f ca="1">Dashboard!B$8* Dashboard!$F$4+Dashboard!B$10*SQRT(Dashboard!$F$4) * _xlfn.NORM.S.INV(RAND())</f>
        <v>2.7990869546123225E-2</v>
      </c>
      <c r="T4578" s="59">
        <f ca="1">Dashboard!C$8* Dashboard!$F$4+Dashboard!C$10*SQRT(Dashboard!$F$4) * _xlfn.NORM.S.INV(RAND())</f>
        <v>-2.7449921941687539E-2</v>
      </c>
      <c r="U4578" s="59">
        <f ca="1">Dashboard!D$8* Dashboard!$F$4+Dashboard!D$10*SQRT(Dashboard!$F$4) * _xlfn.NORM.S.INV(RAND())</f>
        <v>-4.2135522520360923E-3</v>
      </c>
    </row>
    <row r="4579" spans="18:21" x14ac:dyDescent="0.2">
      <c r="R4579" s="49">
        <v>4577</v>
      </c>
      <c r="S4579" s="59">
        <f ca="1">Dashboard!B$8* Dashboard!$F$4+Dashboard!B$10*SQRT(Dashboard!$F$4) * _xlfn.NORM.S.INV(RAND())</f>
        <v>1.9106136356033462E-2</v>
      </c>
      <c r="T4579" s="59">
        <f ca="1">Dashboard!C$8* Dashboard!$F$4+Dashboard!C$10*SQRT(Dashboard!$F$4) * _xlfn.NORM.S.INV(RAND())</f>
        <v>7.7127734334206059E-3</v>
      </c>
      <c r="U4579" s="59">
        <f ca="1">Dashboard!D$8* Dashboard!$F$4+Dashboard!D$10*SQRT(Dashboard!$F$4) * _xlfn.NORM.S.INV(RAND())</f>
        <v>-4.2183263454736705E-2</v>
      </c>
    </row>
    <row r="4580" spans="18:21" x14ac:dyDescent="0.2">
      <c r="R4580" s="49">
        <v>4578</v>
      </c>
      <c r="S4580" s="59">
        <f ca="1">Dashboard!B$8* Dashboard!$F$4+Dashboard!B$10*SQRT(Dashboard!$F$4) * _xlfn.NORM.S.INV(RAND())</f>
        <v>5.0409556145092335E-2</v>
      </c>
      <c r="T4580" s="59">
        <f ca="1">Dashboard!C$8* Dashboard!$F$4+Dashboard!C$10*SQRT(Dashboard!$F$4) * _xlfn.NORM.S.INV(RAND())</f>
        <v>4.3816663438638159E-2</v>
      </c>
      <c r="U4580" s="59">
        <f ca="1">Dashboard!D$8* Dashboard!$F$4+Dashboard!D$10*SQRT(Dashboard!$F$4) * _xlfn.NORM.S.INV(RAND())</f>
        <v>-6.3405691930942668E-4</v>
      </c>
    </row>
    <row r="4581" spans="18:21" x14ac:dyDescent="0.2">
      <c r="R4581" s="49">
        <v>4579</v>
      </c>
      <c r="S4581" s="59">
        <f ca="1">Dashboard!B$8* Dashboard!$F$4+Dashboard!B$10*SQRT(Dashboard!$F$4) * _xlfn.NORM.S.INV(RAND())</f>
        <v>3.7777538940326517E-2</v>
      </c>
      <c r="T4581" s="59">
        <f ca="1">Dashboard!C$8* Dashboard!$F$4+Dashboard!C$10*SQRT(Dashboard!$F$4) * _xlfn.NORM.S.INV(RAND())</f>
        <v>3.3551164860984826E-2</v>
      </c>
      <c r="U4581" s="59">
        <f ca="1">Dashboard!D$8* Dashboard!$F$4+Dashboard!D$10*SQRT(Dashboard!$F$4) * _xlfn.NORM.S.INV(RAND())</f>
        <v>5.0771843896363937E-3</v>
      </c>
    </row>
    <row r="4582" spans="18:21" x14ac:dyDescent="0.2">
      <c r="R4582" s="49">
        <v>4580</v>
      </c>
      <c r="S4582" s="59">
        <f ca="1">Dashboard!B$8* Dashboard!$F$4+Dashboard!B$10*SQRT(Dashboard!$F$4) * _xlfn.NORM.S.INV(RAND())</f>
        <v>9.7385754864508633E-3</v>
      </c>
      <c r="T4582" s="59">
        <f ca="1">Dashboard!C$8* Dashboard!$F$4+Dashboard!C$10*SQRT(Dashboard!$F$4) * _xlfn.NORM.S.INV(RAND())</f>
        <v>-1.4877177615464823E-2</v>
      </c>
      <c r="U4582" s="59">
        <f ca="1">Dashboard!D$8* Dashboard!$F$4+Dashboard!D$10*SQRT(Dashboard!$F$4) * _xlfn.NORM.S.INV(RAND())</f>
        <v>3.2777330340800319E-2</v>
      </c>
    </row>
    <row r="4583" spans="18:21" x14ac:dyDescent="0.2">
      <c r="R4583" s="49">
        <v>4581</v>
      </c>
      <c r="S4583" s="59">
        <f ca="1">Dashboard!B$8* Dashboard!$F$4+Dashboard!B$10*SQRT(Dashboard!$F$4) * _xlfn.NORM.S.INV(RAND())</f>
        <v>-2.5017428474231794E-2</v>
      </c>
      <c r="T4583" s="59">
        <f ca="1">Dashboard!C$8* Dashboard!$F$4+Dashboard!C$10*SQRT(Dashboard!$F$4) * _xlfn.NORM.S.INV(RAND())</f>
        <v>-1.5154389486718742E-2</v>
      </c>
      <c r="U4583" s="59">
        <f ca="1">Dashboard!D$8* Dashboard!$F$4+Dashboard!D$10*SQRT(Dashboard!$F$4) * _xlfn.NORM.S.INV(RAND())</f>
        <v>-3.8228011729086686E-2</v>
      </c>
    </row>
    <row r="4584" spans="18:21" x14ac:dyDescent="0.2">
      <c r="R4584" s="49">
        <v>4582</v>
      </c>
      <c r="S4584" s="59">
        <f ca="1">Dashboard!B$8* Dashboard!$F$4+Dashboard!B$10*SQRT(Dashboard!$F$4) * _xlfn.NORM.S.INV(RAND())</f>
        <v>-1.6421586805842797E-2</v>
      </c>
      <c r="T4584" s="59">
        <f ca="1">Dashboard!C$8* Dashboard!$F$4+Dashboard!C$10*SQRT(Dashboard!$F$4) * _xlfn.NORM.S.INV(RAND())</f>
        <v>-1.3115831899850966E-2</v>
      </c>
      <c r="U4584" s="59">
        <f ca="1">Dashboard!D$8* Dashboard!$F$4+Dashboard!D$10*SQRT(Dashboard!$F$4) * _xlfn.NORM.S.INV(RAND())</f>
        <v>5.3984732376995605E-3</v>
      </c>
    </row>
    <row r="4585" spans="18:21" x14ac:dyDescent="0.2">
      <c r="R4585" s="49">
        <v>4583</v>
      </c>
      <c r="S4585" s="59">
        <f ca="1">Dashboard!B$8* Dashboard!$F$4+Dashboard!B$10*SQRT(Dashboard!$F$4) * _xlfn.NORM.S.INV(RAND())</f>
        <v>-2.6303382318833772E-2</v>
      </c>
      <c r="T4585" s="59">
        <f ca="1">Dashboard!C$8* Dashboard!$F$4+Dashboard!C$10*SQRT(Dashboard!$F$4) * _xlfn.NORM.S.INV(RAND())</f>
        <v>-7.3702243111387579E-3</v>
      </c>
      <c r="U4585" s="59">
        <f ca="1">Dashboard!D$8* Dashboard!$F$4+Dashboard!D$10*SQRT(Dashboard!$F$4) * _xlfn.NORM.S.INV(RAND())</f>
        <v>3.2356029217702524E-2</v>
      </c>
    </row>
    <row r="4586" spans="18:21" x14ac:dyDescent="0.2">
      <c r="R4586" s="49">
        <v>4584</v>
      </c>
      <c r="S4586" s="59">
        <f ca="1">Dashboard!B$8* Dashboard!$F$4+Dashboard!B$10*SQRT(Dashboard!$F$4) * _xlfn.NORM.S.INV(RAND())</f>
        <v>-6.3965363831160662E-3</v>
      </c>
      <c r="T4586" s="59">
        <f ca="1">Dashboard!C$8* Dashboard!$F$4+Dashboard!C$10*SQRT(Dashboard!$F$4) * _xlfn.NORM.S.INV(RAND())</f>
        <v>1.6342862918342034E-2</v>
      </c>
      <c r="U4586" s="59">
        <f ca="1">Dashboard!D$8* Dashboard!$F$4+Dashboard!D$10*SQRT(Dashboard!$F$4) * _xlfn.NORM.S.INV(RAND())</f>
        <v>-1.0301282682602299E-2</v>
      </c>
    </row>
    <row r="4587" spans="18:21" x14ac:dyDescent="0.2">
      <c r="R4587" s="49">
        <v>4585</v>
      </c>
      <c r="S4587" s="59">
        <f ca="1">Dashboard!B$8* Dashboard!$F$4+Dashboard!B$10*SQRT(Dashboard!$F$4) * _xlfn.NORM.S.INV(RAND())</f>
        <v>-3.8002986788286099E-2</v>
      </c>
      <c r="T4587" s="59">
        <f ca="1">Dashboard!C$8* Dashboard!$F$4+Dashboard!C$10*SQRT(Dashboard!$F$4) * _xlfn.NORM.S.INV(RAND())</f>
        <v>3.3548719142022449E-3</v>
      </c>
      <c r="U4587" s="59">
        <f ca="1">Dashboard!D$8* Dashboard!$F$4+Dashboard!D$10*SQRT(Dashboard!$F$4) * _xlfn.NORM.S.INV(RAND())</f>
        <v>-1.6880774650795717E-2</v>
      </c>
    </row>
    <row r="4588" spans="18:21" x14ac:dyDescent="0.2">
      <c r="R4588" s="49">
        <v>4586</v>
      </c>
      <c r="S4588" s="59">
        <f ca="1">Dashboard!B$8* Dashboard!$F$4+Dashboard!B$10*SQRT(Dashboard!$F$4) * _xlfn.NORM.S.INV(RAND())</f>
        <v>3.7308660543830592E-2</v>
      </c>
      <c r="T4588" s="59">
        <f ca="1">Dashboard!C$8* Dashboard!$F$4+Dashboard!C$10*SQRT(Dashboard!$F$4) * _xlfn.NORM.S.INV(RAND())</f>
        <v>4.0574278352006214E-2</v>
      </c>
      <c r="U4588" s="59">
        <f ca="1">Dashboard!D$8* Dashboard!$F$4+Dashboard!D$10*SQRT(Dashboard!$F$4) * _xlfn.NORM.S.INV(RAND())</f>
        <v>1.4780482547429788E-2</v>
      </c>
    </row>
    <row r="4589" spans="18:21" x14ac:dyDescent="0.2">
      <c r="R4589" s="49">
        <v>4587</v>
      </c>
      <c r="S4589" s="59">
        <f ca="1">Dashboard!B$8* Dashboard!$F$4+Dashboard!B$10*SQRT(Dashboard!$F$4) * _xlfn.NORM.S.INV(RAND())</f>
        <v>-6.860789878202872E-2</v>
      </c>
      <c r="T4589" s="59">
        <f ca="1">Dashboard!C$8* Dashboard!$F$4+Dashboard!C$10*SQRT(Dashboard!$F$4) * _xlfn.NORM.S.INV(RAND())</f>
        <v>4.1368935998349256E-3</v>
      </c>
      <c r="U4589" s="59">
        <f ca="1">Dashboard!D$8* Dashboard!$F$4+Dashboard!D$10*SQRT(Dashboard!$F$4) * _xlfn.NORM.S.INV(RAND())</f>
        <v>2.0256532653470062E-3</v>
      </c>
    </row>
    <row r="4590" spans="18:21" x14ac:dyDescent="0.2">
      <c r="R4590" s="49">
        <v>4588</v>
      </c>
      <c r="S4590" s="59">
        <f ca="1">Dashboard!B$8* Dashboard!$F$4+Dashboard!B$10*SQRT(Dashboard!$F$4) * _xlfn.NORM.S.INV(RAND())</f>
        <v>-2.2715322437400695E-2</v>
      </c>
      <c r="T4590" s="59">
        <f ca="1">Dashboard!C$8* Dashboard!$F$4+Dashboard!C$10*SQRT(Dashboard!$F$4) * _xlfn.NORM.S.INV(RAND())</f>
        <v>-4.770534311111229E-2</v>
      </c>
      <c r="U4590" s="59">
        <f ca="1">Dashboard!D$8* Dashboard!$F$4+Dashboard!D$10*SQRT(Dashboard!$F$4) * _xlfn.NORM.S.INV(RAND())</f>
        <v>4.8659596290893482E-2</v>
      </c>
    </row>
    <row r="4591" spans="18:21" x14ac:dyDescent="0.2">
      <c r="R4591" s="49">
        <v>4589</v>
      </c>
      <c r="S4591" s="59">
        <f ca="1">Dashboard!B$8* Dashboard!$F$4+Dashboard!B$10*SQRT(Dashboard!$F$4) * _xlfn.NORM.S.INV(RAND())</f>
        <v>-2.1688763847467728E-2</v>
      </c>
      <c r="T4591" s="59">
        <f ca="1">Dashboard!C$8* Dashboard!$F$4+Dashboard!C$10*SQRT(Dashboard!$F$4) * _xlfn.NORM.S.INV(RAND())</f>
        <v>3.1561421205282124E-2</v>
      </c>
      <c r="U4591" s="59">
        <f ca="1">Dashboard!D$8* Dashboard!$F$4+Dashboard!D$10*SQRT(Dashboard!$F$4) * _xlfn.NORM.S.INV(RAND())</f>
        <v>3.523122822910843E-2</v>
      </c>
    </row>
    <row r="4592" spans="18:21" x14ac:dyDescent="0.2">
      <c r="R4592" s="49">
        <v>4590</v>
      </c>
      <c r="S4592" s="59">
        <f ca="1">Dashboard!B$8* Dashboard!$F$4+Dashboard!B$10*SQRT(Dashboard!$F$4) * _xlfn.NORM.S.INV(RAND())</f>
        <v>-3.6299100493594069E-2</v>
      </c>
      <c r="T4592" s="59">
        <f ca="1">Dashboard!C$8* Dashboard!$F$4+Dashboard!C$10*SQRT(Dashboard!$F$4) * _xlfn.NORM.S.INV(RAND())</f>
        <v>1.7670086080129349E-2</v>
      </c>
      <c r="U4592" s="59">
        <f ca="1">Dashboard!D$8* Dashboard!$F$4+Dashboard!D$10*SQRT(Dashboard!$F$4) * _xlfn.NORM.S.INV(RAND())</f>
        <v>-3.1898828259876061E-5</v>
      </c>
    </row>
    <row r="4593" spans="18:21" x14ac:dyDescent="0.2">
      <c r="R4593" s="49">
        <v>4591</v>
      </c>
      <c r="S4593" s="59">
        <f ca="1">Dashboard!B$8* Dashboard!$F$4+Dashboard!B$10*SQRT(Dashboard!$F$4) * _xlfn.NORM.S.INV(RAND())</f>
        <v>7.9639465409582777E-3</v>
      </c>
      <c r="T4593" s="59">
        <f ca="1">Dashboard!C$8* Dashboard!$F$4+Dashboard!C$10*SQRT(Dashboard!$F$4) * _xlfn.NORM.S.INV(RAND())</f>
        <v>-3.2843104790908371E-2</v>
      </c>
      <c r="U4593" s="59">
        <f ca="1">Dashboard!D$8* Dashboard!$F$4+Dashboard!D$10*SQRT(Dashboard!$F$4) * _xlfn.NORM.S.INV(RAND())</f>
        <v>4.2206567162848992E-2</v>
      </c>
    </row>
    <row r="4594" spans="18:21" x14ac:dyDescent="0.2">
      <c r="R4594" s="49">
        <v>4592</v>
      </c>
      <c r="S4594" s="59">
        <f ca="1">Dashboard!B$8* Dashboard!$F$4+Dashboard!B$10*SQRT(Dashboard!$F$4) * _xlfn.NORM.S.INV(RAND())</f>
        <v>-7.0598493591483957E-2</v>
      </c>
      <c r="T4594" s="59">
        <f ca="1">Dashboard!C$8* Dashboard!$F$4+Dashboard!C$10*SQRT(Dashboard!$F$4) * _xlfn.NORM.S.INV(RAND())</f>
        <v>2.8094546317164761E-2</v>
      </c>
      <c r="U4594" s="59">
        <f ca="1">Dashboard!D$8* Dashboard!$F$4+Dashboard!D$10*SQRT(Dashboard!$F$4) * _xlfn.NORM.S.INV(RAND())</f>
        <v>2.2771929494418929E-2</v>
      </c>
    </row>
    <row r="4595" spans="18:21" x14ac:dyDescent="0.2">
      <c r="R4595" s="49">
        <v>4593</v>
      </c>
      <c r="S4595" s="59">
        <f ca="1">Dashboard!B$8* Dashboard!$F$4+Dashboard!B$10*SQRT(Dashboard!$F$4) * _xlfn.NORM.S.INV(RAND())</f>
        <v>-1.3513682905694076E-2</v>
      </c>
      <c r="T4595" s="59">
        <f ca="1">Dashboard!C$8* Dashboard!$F$4+Dashboard!C$10*SQRT(Dashboard!$F$4) * _xlfn.NORM.S.INV(RAND())</f>
        <v>2.9986178820019038E-2</v>
      </c>
      <c r="U4595" s="59">
        <f ca="1">Dashboard!D$8* Dashboard!$F$4+Dashboard!D$10*SQRT(Dashboard!$F$4) * _xlfn.NORM.S.INV(RAND())</f>
        <v>3.1276414099752528E-2</v>
      </c>
    </row>
    <row r="4596" spans="18:21" x14ac:dyDescent="0.2">
      <c r="R4596" s="49">
        <v>4594</v>
      </c>
      <c r="S4596" s="59">
        <f ca="1">Dashboard!B$8* Dashboard!$F$4+Dashboard!B$10*SQRT(Dashboard!$F$4) * _xlfn.NORM.S.INV(RAND())</f>
        <v>1.6965070985812861E-2</v>
      </c>
      <c r="T4596" s="59">
        <f ca="1">Dashboard!C$8* Dashboard!$F$4+Dashboard!C$10*SQRT(Dashboard!$F$4) * _xlfn.NORM.S.INV(RAND())</f>
        <v>4.8180920637405922E-2</v>
      </c>
      <c r="U4596" s="59">
        <f ca="1">Dashboard!D$8* Dashboard!$F$4+Dashboard!D$10*SQRT(Dashboard!$F$4) * _xlfn.NORM.S.INV(RAND())</f>
        <v>-1.7689063629489066E-2</v>
      </c>
    </row>
    <row r="4597" spans="18:21" x14ac:dyDescent="0.2">
      <c r="R4597" s="49">
        <v>4595</v>
      </c>
      <c r="S4597" s="59">
        <f ca="1">Dashboard!B$8* Dashboard!$F$4+Dashboard!B$10*SQRT(Dashboard!$F$4) * _xlfn.NORM.S.INV(RAND())</f>
        <v>-3.275300448060204E-2</v>
      </c>
      <c r="T4597" s="59">
        <f ca="1">Dashboard!C$8* Dashboard!$F$4+Dashboard!C$10*SQRT(Dashboard!$F$4) * _xlfn.NORM.S.INV(RAND())</f>
        <v>-6.5461391285146484E-2</v>
      </c>
      <c r="U4597" s="59">
        <f ca="1">Dashboard!D$8* Dashboard!$F$4+Dashboard!D$10*SQRT(Dashboard!$F$4) * _xlfn.NORM.S.INV(RAND())</f>
        <v>-2.5731976771929749E-2</v>
      </c>
    </row>
    <row r="4598" spans="18:21" x14ac:dyDescent="0.2">
      <c r="R4598" s="49">
        <v>4596</v>
      </c>
      <c r="S4598" s="59">
        <f ca="1">Dashboard!B$8* Dashboard!$F$4+Dashboard!B$10*SQRT(Dashboard!$F$4) * _xlfn.NORM.S.INV(RAND())</f>
        <v>4.7124283039956995E-3</v>
      </c>
      <c r="T4598" s="59">
        <f ca="1">Dashboard!C$8* Dashboard!$F$4+Dashboard!C$10*SQRT(Dashboard!$F$4) * _xlfn.NORM.S.INV(RAND())</f>
        <v>-3.3834309899419823E-2</v>
      </c>
      <c r="U4598" s="59">
        <f ca="1">Dashboard!D$8* Dashboard!$F$4+Dashboard!D$10*SQRT(Dashboard!$F$4) * _xlfn.NORM.S.INV(RAND())</f>
        <v>4.7101385697881195E-3</v>
      </c>
    </row>
    <row r="4599" spans="18:21" x14ac:dyDescent="0.2">
      <c r="R4599" s="49">
        <v>4597</v>
      </c>
      <c r="S4599" s="59">
        <f ca="1">Dashboard!B$8* Dashboard!$F$4+Dashboard!B$10*SQRT(Dashboard!$F$4) * _xlfn.NORM.S.INV(RAND())</f>
        <v>-9.4776229477718001E-3</v>
      </c>
      <c r="T4599" s="59">
        <f ca="1">Dashboard!C$8* Dashboard!$F$4+Dashboard!C$10*SQRT(Dashboard!$F$4) * _xlfn.NORM.S.INV(RAND())</f>
        <v>6.5978624215937434E-2</v>
      </c>
      <c r="U4599" s="59">
        <f ca="1">Dashboard!D$8* Dashboard!$F$4+Dashboard!D$10*SQRT(Dashboard!$F$4) * _xlfn.NORM.S.INV(RAND())</f>
        <v>2.1707250438700539E-2</v>
      </c>
    </row>
    <row r="4600" spans="18:21" x14ac:dyDescent="0.2">
      <c r="R4600" s="49">
        <v>4598</v>
      </c>
      <c r="S4600" s="59">
        <f ca="1">Dashboard!B$8* Dashboard!$F$4+Dashboard!B$10*SQRT(Dashboard!$F$4) * _xlfn.NORM.S.INV(RAND())</f>
        <v>7.589049643781676E-3</v>
      </c>
      <c r="T4600" s="59">
        <f ca="1">Dashboard!C$8* Dashboard!$F$4+Dashboard!C$10*SQRT(Dashboard!$F$4) * _xlfn.NORM.S.INV(RAND())</f>
        <v>-1.9110599306672197E-2</v>
      </c>
      <c r="U4600" s="59">
        <f ca="1">Dashboard!D$8* Dashboard!$F$4+Dashboard!D$10*SQRT(Dashboard!$F$4) * _xlfn.NORM.S.INV(RAND())</f>
        <v>2.1647288907431114E-2</v>
      </c>
    </row>
    <row r="4601" spans="18:21" x14ac:dyDescent="0.2">
      <c r="R4601" s="49">
        <v>4599</v>
      </c>
      <c r="S4601" s="59">
        <f ca="1">Dashboard!B$8* Dashboard!$F$4+Dashboard!B$10*SQRT(Dashboard!$F$4) * _xlfn.NORM.S.INV(RAND())</f>
        <v>-4.1618220304432728E-3</v>
      </c>
      <c r="T4601" s="59">
        <f ca="1">Dashboard!C$8* Dashboard!$F$4+Dashboard!C$10*SQRT(Dashboard!$F$4) * _xlfn.NORM.S.INV(RAND())</f>
        <v>-5.2315160733938252E-3</v>
      </c>
      <c r="U4601" s="59">
        <f ca="1">Dashboard!D$8* Dashboard!$F$4+Dashboard!D$10*SQRT(Dashboard!$F$4) * _xlfn.NORM.S.INV(RAND())</f>
        <v>1.8911058460821348E-2</v>
      </c>
    </row>
    <row r="4602" spans="18:21" x14ac:dyDescent="0.2">
      <c r="R4602" s="49">
        <v>4600</v>
      </c>
      <c r="S4602" s="59">
        <f ca="1">Dashboard!B$8* Dashboard!$F$4+Dashboard!B$10*SQRT(Dashboard!$F$4) * _xlfn.NORM.S.INV(RAND())</f>
        <v>1.0982101901902325E-2</v>
      </c>
      <c r="T4602" s="59">
        <f ca="1">Dashboard!C$8* Dashboard!$F$4+Dashboard!C$10*SQRT(Dashboard!$F$4) * _xlfn.NORM.S.INV(RAND())</f>
        <v>-4.5463257531419145E-2</v>
      </c>
      <c r="U4602" s="59">
        <f ca="1">Dashboard!D$8* Dashboard!$F$4+Dashboard!D$10*SQRT(Dashboard!$F$4) * _xlfn.NORM.S.INV(RAND())</f>
        <v>-8.037756701245978E-3</v>
      </c>
    </row>
    <row r="4603" spans="18:21" x14ac:dyDescent="0.2">
      <c r="R4603" s="49">
        <v>4601</v>
      </c>
      <c r="S4603" s="59">
        <f ca="1">Dashboard!B$8* Dashboard!$F$4+Dashboard!B$10*SQRT(Dashboard!$F$4) * _xlfn.NORM.S.INV(RAND())</f>
        <v>-1.4488101094230274E-2</v>
      </c>
      <c r="T4603" s="59">
        <f ca="1">Dashboard!C$8* Dashboard!$F$4+Dashboard!C$10*SQRT(Dashboard!$F$4) * _xlfn.NORM.S.INV(RAND())</f>
        <v>2.5624323739797311E-2</v>
      </c>
      <c r="U4603" s="59">
        <f ca="1">Dashboard!D$8* Dashboard!$F$4+Dashboard!D$10*SQRT(Dashboard!$F$4) * _xlfn.NORM.S.INV(RAND())</f>
        <v>-2.5825234998319197E-2</v>
      </c>
    </row>
    <row r="4604" spans="18:21" x14ac:dyDescent="0.2">
      <c r="R4604" s="49">
        <v>4602</v>
      </c>
      <c r="S4604" s="59">
        <f ca="1">Dashboard!B$8* Dashboard!$F$4+Dashboard!B$10*SQRT(Dashboard!$F$4) * _xlfn.NORM.S.INV(RAND())</f>
        <v>1.0691014888928277E-2</v>
      </c>
      <c r="T4604" s="59">
        <f ca="1">Dashboard!C$8* Dashboard!$F$4+Dashboard!C$10*SQRT(Dashboard!$F$4) * _xlfn.NORM.S.INV(RAND())</f>
        <v>1.1456258356950751E-3</v>
      </c>
      <c r="U4604" s="59">
        <f ca="1">Dashboard!D$8* Dashboard!$F$4+Dashboard!D$10*SQRT(Dashboard!$F$4) * _xlfn.NORM.S.INV(RAND())</f>
        <v>-2.7052210574067041E-2</v>
      </c>
    </row>
    <row r="4605" spans="18:21" x14ac:dyDescent="0.2">
      <c r="R4605" s="49">
        <v>4603</v>
      </c>
      <c r="S4605" s="59">
        <f ca="1">Dashboard!B$8* Dashboard!$F$4+Dashboard!B$10*SQRT(Dashboard!$F$4) * _xlfn.NORM.S.INV(RAND())</f>
        <v>-4.2088488277836428E-2</v>
      </c>
      <c r="T4605" s="59">
        <f ca="1">Dashboard!C$8* Dashboard!$F$4+Dashboard!C$10*SQRT(Dashboard!$F$4) * _xlfn.NORM.S.INV(RAND())</f>
        <v>3.1590153819647367E-2</v>
      </c>
      <c r="U4605" s="59">
        <f ca="1">Dashboard!D$8* Dashboard!$F$4+Dashboard!D$10*SQRT(Dashboard!$F$4) * _xlfn.NORM.S.INV(RAND())</f>
        <v>-2.3022082815334355E-2</v>
      </c>
    </row>
    <row r="4606" spans="18:21" x14ac:dyDescent="0.2">
      <c r="R4606" s="49">
        <v>4604</v>
      </c>
      <c r="S4606" s="59">
        <f ca="1">Dashboard!B$8* Dashboard!$F$4+Dashboard!B$10*SQRT(Dashboard!$F$4) * _xlfn.NORM.S.INV(RAND())</f>
        <v>-2.7980163205665147E-2</v>
      </c>
      <c r="T4606" s="59">
        <f ca="1">Dashboard!C$8* Dashboard!$F$4+Dashboard!C$10*SQRT(Dashboard!$F$4) * _xlfn.NORM.S.INV(RAND())</f>
        <v>5.1967381905479185E-2</v>
      </c>
      <c r="U4606" s="59">
        <f ca="1">Dashboard!D$8* Dashboard!$F$4+Dashboard!D$10*SQRT(Dashboard!$F$4) * _xlfn.NORM.S.INV(RAND())</f>
        <v>1.9222097507457278E-2</v>
      </c>
    </row>
    <row r="4607" spans="18:21" x14ac:dyDescent="0.2">
      <c r="R4607" s="49">
        <v>4605</v>
      </c>
      <c r="S4607" s="59">
        <f ca="1">Dashboard!B$8* Dashboard!$F$4+Dashboard!B$10*SQRT(Dashboard!$F$4) * _xlfn.NORM.S.INV(RAND())</f>
        <v>1.9271000836901912E-2</v>
      </c>
      <c r="T4607" s="59">
        <f ca="1">Dashboard!C$8* Dashboard!$F$4+Dashboard!C$10*SQRT(Dashboard!$F$4) * _xlfn.NORM.S.INV(RAND())</f>
        <v>6.26942837925784E-3</v>
      </c>
      <c r="U4607" s="59">
        <f ca="1">Dashboard!D$8* Dashboard!$F$4+Dashboard!D$10*SQRT(Dashboard!$F$4) * _xlfn.NORM.S.INV(RAND())</f>
        <v>2.3802604363235802E-4</v>
      </c>
    </row>
    <row r="4608" spans="18:21" x14ac:dyDescent="0.2">
      <c r="R4608" s="49">
        <v>4606</v>
      </c>
      <c r="S4608" s="59">
        <f ca="1">Dashboard!B$8* Dashboard!$F$4+Dashboard!B$10*SQRT(Dashboard!$F$4) * _xlfn.NORM.S.INV(RAND())</f>
        <v>2.3103514083530202E-3</v>
      </c>
      <c r="T4608" s="59">
        <f ca="1">Dashboard!C$8* Dashboard!$F$4+Dashboard!C$10*SQRT(Dashboard!$F$4) * _xlfn.NORM.S.INV(RAND())</f>
        <v>5.4776081083286077E-2</v>
      </c>
      <c r="U4608" s="59">
        <f ca="1">Dashboard!D$8* Dashboard!$F$4+Dashboard!D$10*SQRT(Dashboard!$F$4) * _xlfn.NORM.S.INV(RAND())</f>
        <v>2.0451778208232841E-2</v>
      </c>
    </row>
    <row r="4609" spans="18:21" x14ac:dyDescent="0.2">
      <c r="R4609" s="49">
        <v>4607</v>
      </c>
      <c r="S4609" s="59">
        <f ca="1">Dashboard!B$8* Dashboard!$F$4+Dashboard!B$10*SQRT(Dashboard!$F$4) * _xlfn.NORM.S.INV(RAND())</f>
        <v>-2.7943956282401018E-2</v>
      </c>
      <c r="T4609" s="59">
        <f ca="1">Dashboard!C$8* Dashboard!$F$4+Dashboard!C$10*SQRT(Dashboard!$F$4) * _xlfn.NORM.S.INV(RAND())</f>
        <v>-1.6325029382760013E-3</v>
      </c>
      <c r="U4609" s="59">
        <f ca="1">Dashboard!D$8* Dashboard!$F$4+Dashboard!D$10*SQRT(Dashboard!$F$4) * _xlfn.NORM.S.INV(RAND())</f>
        <v>-8.4052146369711037E-3</v>
      </c>
    </row>
    <row r="4610" spans="18:21" x14ac:dyDescent="0.2">
      <c r="R4610" s="49">
        <v>4608</v>
      </c>
      <c r="S4610" s="59">
        <f ca="1">Dashboard!B$8* Dashboard!$F$4+Dashboard!B$10*SQRT(Dashboard!$F$4) * _xlfn.NORM.S.INV(RAND())</f>
        <v>4.4446202603960552E-2</v>
      </c>
      <c r="T4610" s="59">
        <f ca="1">Dashboard!C$8* Dashboard!$F$4+Dashboard!C$10*SQRT(Dashboard!$F$4) * _xlfn.NORM.S.INV(RAND())</f>
        <v>-2.1720266282058111E-2</v>
      </c>
      <c r="U4610" s="59">
        <f ca="1">Dashboard!D$8* Dashboard!$F$4+Dashboard!D$10*SQRT(Dashboard!$F$4) * _xlfn.NORM.S.INV(RAND())</f>
        <v>2.6228037908195116E-2</v>
      </c>
    </row>
    <row r="4611" spans="18:21" x14ac:dyDescent="0.2">
      <c r="R4611" s="49">
        <v>4609</v>
      </c>
      <c r="S4611" s="59">
        <f ca="1">Dashboard!B$8* Dashboard!$F$4+Dashboard!B$10*SQRT(Dashboard!$F$4) * _xlfn.NORM.S.INV(RAND())</f>
        <v>-1.2361660775735524E-2</v>
      </c>
      <c r="T4611" s="59">
        <f ca="1">Dashboard!C$8* Dashboard!$F$4+Dashboard!C$10*SQRT(Dashboard!$F$4) * _xlfn.NORM.S.INV(RAND())</f>
        <v>-2.3202519399034362E-2</v>
      </c>
      <c r="U4611" s="59">
        <f ca="1">Dashboard!D$8* Dashboard!$F$4+Dashboard!D$10*SQRT(Dashboard!$F$4) * _xlfn.NORM.S.INV(RAND())</f>
        <v>-2.4267215455031068E-3</v>
      </c>
    </row>
    <row r="4612" spans="18:21" x14ac:dyDescent="0.2">
      <c r="R4612" s="49">
        <v>4610</v>
      </c>
      <c r="S4612" s="59">
        <f ca="1">Dashboard!B$8* Dashboard!$F$4+Dashboard!B$10*SQRT(Dashboard!$F$4) * _xlfn.NORM.S.INV(RAND())</f>
        <v>5.8134390831129375E-2</v>
      </c>
      <c r="T4612" s="59">
        <f ca="1">Dashboard!C$8* Dashboard!$F$4+Dashboard!C$10*SQRT(Dashboard!$F$4) * _xlfn.NORM.S.INV(RAND())</f>
        <v>8.0581257626162871E-3</v>
      </c>
      <c r="U4612" s="59">
        <f ca="1">Dashboard!D$8* Dashboard!$F$4+Dashboard!D$10*SQRT(Dashboard!$F$4) * _xlfn.NORM.S.INV(RAND())</f>
        <v>2.7508745983177756E-2</v>
      </c>
    </row>
    <row r="4613" spans="18:21" x14ac:dyDescent="0.2">
      <c r="R4613" s="49">
        <v>4611</v>
      </c>
      <c r="S4613" s="59">
        <f ca="1">Dashboard!B$8* Dashboard!$F$4+Dashboard!B$10*SQRT(Dashboard!$F$4) * _xlfn.NORM.S.INV(RAND())</f>
        <v>-3.299982258275852E-2</v>
      </c>
      <c r="T4613" s="59">
        <f ca="1">Dashboard!C$8* Dashboard!$F$4+Dashboard!C$10*SQRT(Dashboard!$F$4) * _xlfn.NORM.S.INV(RAND())</f>
        <v>8.0223551470071618E-4</v>
      </c>
      <c r="U4613" s="59">
        <f ca="1">Dashboard!D$8* Dashboard!$F$4+Dashboard!D$10*SQRT(Dashboard!$F$4) * _xlfn.NORM.S.INV(RAND())</f>
        <v>-7.0321342393656089E-2</v>
      </c>
    </row>
    <row r="4614" spans="18:21" x14ac:dyDescent="0.2">
      <c r="R4614" s="49">
        <v>4612</v>
      </c>
      <c r="S4614" s="59">
        <f ca="1">Dashboard!B$8* Dashboard!$F$4+Dashboard!B$10*SQRT(Dashboard!$F$4) * _xlfn.NORM.S.INV(RAND())</f>
        <v>9.3900834896584462E-3</v>
      </c>
      <c r="T4614" s="59">
        <f ca="1">Dashboard!C$8* Dashboard!$F$4+Dashboard!C$10*SQRT(Dashboard!$F$4) * _xlfn.NORM.S.INV(RAND())</f>
        <v>5.3004459384351013E-2</v>
      </c>
      <c r="U4614" s="59">
        <f ca="1">Dashboard!D$8* Dashboard!$F$4+Dashboard!D$10*SQRT(Dashboard!$F$4) * _xlfn.NORM.S.INV(RAND())</f>
        <v>-3.3970425881596203E-3</v>
      </c>
    </row>
    <row r="4615" spans="18:21" x14ac:dyDescent="0.2">
      <c r="R4615" s="49">
        <v>4613</v>
      </c>
      <c r="S4615" s="59">
        <f ca="1">Dashboard!B$8* Dashboard!$F$4+Dashboard!B$10*SQRT(Dashboard!$F$4) * _xlfn.NORM.S.INV(RAND())</f>
        <v>-7.2822407431340011E-2</v>
      </c>
      <c r="T4615" s="59">
        <f ca="1">Dashboard!C$8* Dashboard!$F$4+Dashboard!C$10*SQRT(Dashboard!$F$4) * _xlfn.NORM.S.INV(RAND())</f>
        <v>-5.2891472431931463E-3</v>
      </c>
      <c r="U4615" s="59">
        <f ca="1">Dashboard!D$8* Dashboard!$F$4+Dashboard!D$10*SQRT(Dashboard!$F$4) * _xlfn.NORM.S.INV(RAND())</f>
        <v>-4.4528833037386587E-3</v>
      </c>
    </row>
    <row r="4616" spans="18:21" x14ac:dyDescent="0.2">
      <c r="R4616" s="49">
        <v>4614</v>
      </c>
      <c r="S4616" s="59">
        <f ca="1">Dashboard!B$8* Dashboard!$F$4+Dashboard!B$10*SQRT(Dashboard!$F$4) * _xlfn.NORM.S.INV(RAND())</f>
        <v>2.1392865101524779E-2</v>
      </c>
      <c r="T4616" s="59">
        <f ca="1">Dashboard!C$8* Dashboard!$F$4+Dashboard!C$10*SQRT(Dashboard!$F$4) * _xlfn.NORM.S.INV(RAND())</f>
        <v>-3.2518103606446226E-2</v>
      </c>
      <c r="U4616" s="59">
        <f ca="1">Dashboard!D$8* Dashboard!$F$4+Dashboard!D$10*SQRT(Dashboard!$F$4) * _xlfn.NORM.S.INV(RAND())</f>
        <v>-1.4070909852789911E-2</v>
      </c>
    </row>
    <row r="4617" spans="18:21" x14ac:dyDescent="0.2">
      <c r="R4617" s="49">
        <v>4615</v>
      </c>
      <c r="S4617" s="59">
        <f ca="1">Dashboard!B$8* Dashboard!$F$4+Dashboard!B$10*SQRT(Dashboard!$F$4) * _xlfn.NORM.S.INV(RAND())</f>
        <v>3.0031653778042844E-2</v>
      </c>
      <c r="T4617" s="59">
        <f ca="1">Dashboard!C$8* Dashboard!$F$4+Dashboard!C$10*SQRT(Dashboard!$F$4) * _xlfn.NORM.S.INV(RAND())</f>
        <v>8.3314793854925018E-3</v>
      </c>
      <c r="U4617" s="59">
        <f ca="1">Dashboard!D$8* Dashboard!$F$4+Dashboard!D$10*SQRT(Dashboard!$F$4) * _xlfn.NORM.S.INV(RAND())</f>
        <v>2.2694068829339923E-3</v>
      </c>
    </row>
    <row r="4618" spans="18:21" x14ac:dyDescent="0.2">
      <c r="R4618" s="49">
        <v>4616</v>
      </c>
      <c r="S4618" s="59">
        <f ca="1">Dashboard!B$8* Dashboard!$F$4+Dashboard!B$10*SQRT(Dashboard!$F$4) * _xlfn.NORM.S.INV(RAND())</f>
        <v>2.0141328607627858E-3</v>
      </c>
      <c r="T4618" s="59">
        <f ca="1">Dashboard!C$8* Dashboard!$F$4+Dashboard!C$10*SQRT(Dashboard!$F$4) * _xlfn.NORM.S.INV(RAND())</f>
        <v>8.5954795681462762E-3</v>
      </c>
      <c r="U4618" s="59">
        <f ca="1">Dashboard!D$8* Dashboard!$F$4+Dashboard!D$10*SQRT(Dashboard!$F$4) * _xlfn.NORM.S.INV(RAND())</f>
        <v>-2.5140792884005954E-2</v>
      </c>
    </row>
    <row r="4619" spans="18:21" x14ac:dyDescent="0.2">
      <c r="R4619" s="49">
        <v>4617</v>
      </c>
      <c r="S4619" s="59">
        <f ca="1">Dashboard!B$8* Dashboard!$F$4+Dashboard!B$10*SQRT(Dashboard!$F$4) * _xlfn.NORM.S.INV(RAND())</f>
        <v>7.66522507510305E-3</v>
      </c>
      <c r="T4619" s="59">
        <f ca="1">Dashboard!C$8* Dashboard!$F$4+Dashboard!C$10*SQRT(Dashboard!$F$4) * _xlfn.NORM.S.INV(RAND())</f>
        <v>-2.7586882488267021E-2</v>
      </c>
      <c r="U4619" s="59">
        <f ca="1">Dashboard!D$8* Dashboard!$F$4+Dashboard!D$10*SQRT(Dashboard!$F$4) * _xlfn.NORM.S.INV(RAND())</f>
        <v>7.8032485952677269E-2</v>
      </c>
    </row>
    <row r="4620" spans="18:21" x14ac:dyDescent="0.2">
      <c r="R4620" s="49">
        <v>4618</v>
      </c>
      <c r="S4620" s="59">
        <f ca="1">Dashboard!B$8* Dashboard!$F$4+Dashboard!B$10*SQRT(Dashboard!$F$4) * _xlfn.NORM.S.INV(RAND())</f>
        <v>1.7682004415087951E-2</v>
      </c>
      <c r="T4620" s="59">
        <f ca="1">Dashboard!C$8* Dashboard!$F$4+Dashboard!C$10*SQRT(Dashboard!$F$4) * _xlfn.NORM.S.INV(RAND())</f>
        <v>-1.2889066970686341E-2</v>
      </c>
      <c r="U4620" s="59">
        <f ca="1">Dashboard!D$8* Dashboard!$F$4+Dashboard!D$10*SQRT(Dashboard!$F$4) * _xlfn.NORM.S.INV(RAND())</f>
        <v>4.4325831443441141E-2</v>
      </c>
    </row>
    <row r="4621" spans="18:21" x14ac:dyDescent="0.2">
      <c r="R4621" s="49">
        <v>4619</v>
      </c>
      <c r="S4621" s="59">
        <f ca="1">Dashboard!B$8* Dashboard!$F$4+Dashboard!B$10*SQRT(Dashboard!$F$4) * _xlfn.NORM.S.INV(RAND())</f>
        <v>1.9186803395259223E-2</v>
      </c>
      <c r="T4621" s="59">
        <f ca="1">Dashboard!C$8* Dashboard!$F$4+Dashboard!C$10*SQRT(Dashboard!$F$4) * _xlfn.NORM.S.INV(RAND())</f>
        <v>-5.3698846826300918E-2</v>
      </c>
      <c r="U4621" s="59">
        <f ca="1">Dashboard!D$8* Dashboard!$F$4+Dashboard!D$10*SQRT(Dashboard!$F$4) * _xlfn.NORM.S.INV(RAND())</f>
        <v>2.2497260478037261E-2</v>
      </c>
    </row>
    <row r="4622" spans="18:21" x14ac:dyDescent="0.2">
      <c r="R4622" s="49">
        <v>4620</v>
      </c>
      <c r="S4622" s="59">
        <f ca="1">Dashboard!B$8* Dashboard!$F$4+Dashboard!B$10*SQRT(Dashboard!$F$4) * _xlfn.NORM.S.INV(RAND())</f>
        <v>-6.3256111106389942E-2</v>
      </c>
      <c r="T4622" s="59">
        <f ca="1">Dashboard!C$8* Dashboard!$F$4+Dashboard!C$10*SQRT(Dashboard!$F$4) * _xlfn.NORM.S.INV(RAND())</f>
        <v>-3.349528583462149E-2</v>
      </c>
      <c r="U4622" s="59">
        <f ca="1">Dashboard!D$8* Dashboard!$F$4+Dashboard!D$10*SQRT(Dashboard!$F$4) * _xlfn.NORM.S.INV(RAND())</f>
        <v>-9.6021608296724386E-3</v>
      </c>
    </row>
    <row r="4623" spans="18:21" x14ac:dyDescent="0.2">
      <c r="R4623" s="49">
        <v>4621</v>
      </c>
      <c r="S4623" s="59">
        <f ca="1">Dashboard!B$8* Dashboard!$F$4+Dashboard!B$10*SQRT(Dashboard!$F$4) * _xlfn.NORM.S.INV(RAND())</f>
        <v>7.4359761875515351E-2</v>
      </c>
      <c r="T4623" s="59">
        <f ca="1">Dashboard!C$8* Dashboard!$F$4+Dashboard!C$10*SQRT(Dashboard!$F$4) * _xlfn.NORM.S.INV(RAND())</f>
        <v>2.0362638087859458E-2</v>
      </c>
      <c r="U4623" s="59">
        <f ca="1">Dashboard!D$8* Dashboard!$F$4+Dashboard!D$10*SQRT(Dashboard!$F$4) * _xlfn.NORM.S.INV(RAND())</f>
        <v>-1.7569715558364455E-2</v>
      </c>
    </row>
    <row r="4624" spans="18:21" x14ac:dyDescent="0.2">
      <c r="R4624" s="49">
        <v>4622</v>
      </c>
      <c r="S4624" s="59">
        <f ca="1">Dashboard!B$8* Dashboard!$F$4+Dashboard!B$10*SQRT(Dashboard!$F$4) * _xlfn.NORM.S.INV(RAND())</f>
        <v>1.8272330817126264E-3</v>
      </c>
      <c r="T4624" s="59">
        <f ca="1">Dashboard!C$8* Dashboard!$F$4+Dashboard!C$10*SQRT(Dashboard!$F$4) * _xlfn.NORM.S.INV(RAND())</f>
        <v>2.2458523342736507E-2</v>
      </c>
      <c r="U4624" s="59">
        <f ca="1">Dashboard!D$8* Dashboard!$F$4+Dashboard!D$10*SQRT(Dashboard!$F$4) * _xlfn.NORM.S.INV(RAND())</f>
        <v>-1.9390211210639396E-2</v>
      </c>
    </row>
    <row r="4625" spans="18:21" x14ac:dyDescent="0.2">
      <c r="R4625" s="49">
        <v>4623</v>
      </c>
      <c r="S4625" s="59">
        <f ca="1">Dashboard!B$8* Dashboard!$F$4+Dashboard!B$10*SQRT(Dashboard!$F$4) * _xlfn.NORM.S.INV(RAND())</f>
        <v>-1.8258916689086096E-3</v>
      </c>
      <c r="T4625" s="59">
        <f ca="1">Dashboard!C$8* Dashboard!$F$4+Dashboard!C$10*SQRT(Dashboard!$F$4) * _xlfn.NORM.S.INV(RAND())</f>
        <v>3.7925695883205969E-2</v>
      </c>
      <c r="U4625" s="59">
        <f ca="1">Dashboard!D$8* Dashboard!$F$4+Dashboard!D$10*SQRT(Dashboard!$F$4) * _xlfn.NORM.S.INV(RAND())</f>
        <v>2.8655299341070837E-2</v>
      </c>
    </row>
    <row r="4626" spans="18:21" x14ac:dyDescent="0.2">
      <c r="R4626" s="49">
        <v>4624</v>
      </c>
      <c r="S4626" s="59">
        <f ca="1">Dashboard!B$8* Dashboard!$F$4+Dashboard!B$10*SQRT(Dashboard!$F$4) * _xlfn.NORM.S.INV(RAND())</f>
        <v>-2.4170331751122057E-2</v>
      </c>
      <c r="T4626" s="59">
        <f ca="1">Dashboard!C$8* Dashboard!$F$4+Dashboard!C$10*SQRT(Dashboard!$F$4) * _xlfn.NORM.S.INV(RAND())</f>
        <v>-5.6047145353649566E-3</v>
      </c>
      <c r="U4626" s="59">
        <f ca="1">Dashboard!D$8* Dashboard!$F$4+Dashboard!D$10*SQRT(Dashboard!$F$4) * _xlfn.NORM.S.INV(RAND())</f>
        <v>4.1476493165341154E-2</v>
      </c>
    </row>
    <row r="4627" spans="18:21" x14ac:dyDescent="0.2">
      <c r="R4627" s="49">
        <v>4625</v>
      </c>
      <c r="S4627" s="59">
        <f ca="1">Dashboard!B$8* Dashboard!$F$4+Dashboard!B$10*SQRT(Dashboard!$F$4) * _xlfn.NORM.S.INV(RAND())</f>
        <v>-3.8854917407437475E-2</v>
      </c>
      <c r="T4627" s="59">
        <f ca="1">Dashboard!C$8* Dashboard!$F$4+Dashboard!C$10*SQRT(Dashboard!$F$4) * _xlfn.NORM.S.INV(RAND())</f>
        <v>-1.2991511443959863E-2</v>
      </c>
      <c r="U4627" s="59">
        <f ca="1">Dashboard!D$8* Dashboard!$F$4+Dashboard!D$10*SQRT(Dashboard!$F$4) * _xlfn.NORM.S.INV(RAND())</f>
        <v>1.0428877124567505E-2</v>
      </c>
    </row>
    <row r="4628" spans="18:21" x14ac:dyDescent="0.2">
      <c r="R4628" s="49">
        <v>4626</v>
      </c>
      <c r="S4628" s="59">
        <f ca="1">Dashboard!B$8* Dashboard!$F$4+Dashboard!B$10*SQRT(Dashboard!$F$4) * _xlfn.NORM.S.INV(RAND())</f>
        <v>3.9652658863844531E-2</v>
      </c>
      <c r="T4628" s="59">
        <f ca="1">Dashboard!C$8* Dashboard!$F$4+Dashboard!C$10*SQRT(Dashboard!$F$4) * _xlfn.NORM.S.INV(RAND())</f>
        <v>-1.9394115665757709E-3</v>
      </c>
      <c r="U4628" s="59">
        <f ca="1">Dashboard!D$8* Dashboard!$F$4+Dashboard!D$10*SQRT(Dashboard!$F$4) * _xlfn.NORM.S.INV(RAND())</f>
        <v>-4.3596461944249251E-2</v>
      </c>
    </row>
    <row r="4629" spans="18:21" x14ac:dyDescent="0.2">
      <c r="R4629" s="49">
        <v>4627</v>
      </c>
      <c r="S4629" s="59">
        <f ca="1">Dashboard!B$8* Dashboard!$F$4+Dashboard!B$10*SQRT(Dashboard!$F$4) * _xlfn.NORM.S.INV(RAND())</f>
        <v>-2.0750511071256014E-2</v>
      </c>
      <c r="T4629" s="59">
        <f ca="1">Dashboard!C$8* Dashboard!$F$4+Dashboard!C$10*SQRT(Dashboard!$F$4) * _xlfn.NORM.S.INV(RAND())</f>
        <v>-2.8809511681734835E-2</v>
      </c>
      <c r="U4629" s="59">
        <f ca="1">Dashboard!D$8* Dashboard!$F$4+Dashboard!D$10*SQRT(Dashboard!$F$4) * _xlfn.NORM.S.INV(RAND())</f>
        <v>3.8825521247286152E-2</v>
      </c>
    </row>
    <row r="4630" spans="18:21" x14ac:dyDescent="0.2">
      <c r="R4630" s="49">
        <v>4628</v>
      </c>
      <c r="S4630" s="59">
        <f ca="1">Dashboard!B$8* Dashboard!$F$4+Dashboard!B$10*SQRT(Dashboard!$F$4) * _xlfn.NORM.S.INV(RAND())</f>
        <v>1.1366262274744063E-2</v>
      </c>
      <c r="T4630" s="59">
        <f ca="1">Dashboard!C$8* Dashboard!$F$4+Dashboard!C$10*SQRT(Dashboard!$F$4) * _xlfn.NORM.S.INV(RAND())</f>
        <v>-6.2459387766706481E-2</v>
      </c>
      <c r="U4630" s="59">
        <f ca="1">Dashboard!D$8* Dashboard!$F$4+Dashboard!D$10*SQRT(Dashboard!$F$4) * _xlfn.NORM.S.INV(RAND())</f>
        <v>7.0187488137755192E-3</v>
      </c>
    </row>
    <row r="4631" spans="18:21" x14ac:dyDescent="0.2">
      <c r="R4631" s="49">
        <v>4629</v>
      </c>
      <c r="S4631" s="59">
        <f ca="1">Dashboard!B$8* Dashboard!$F$4+Dashboard!B$10*SQRT(Dashboard!$F$4) * _xlfn.NORM.S.INV(RAND())</f>
        <v>-5.5635779313087871E-2</v>
      </c>
      <c r="T4631" s="59">
        <f ca="1">Dashboard!C$8* Dashboard!$F$4+Dashboard!C$10*SQRT(Dashboard!$F$4) * _xlfn.NORM.S.INV(RAND())</f>
        <v>-2.6523719887113932E-2</v>
      </c>
      <c r="U4631" s="59">
        <f ca="1">Dashboard!D$8* Dashboard!$F$4+Dashboard!D$10*SQRT(Dashboard!$F$4) * _xlfn.NORM.S.INV(RAND())</f>
        <v>2.7529657584511088E-3</v>
      </c>
    </row>
    <row r="4632" spans="18:21" x14ac:dyDescent="0.2">
      <c r="R4632" s="49">
        <v>4630</v>
      </c>
      <c r="S4632" s="59">
        <f ca="1">Dashboard!B$8* Dashboard!$F$4+Dashboard!B$10*SQRT(Dashboard!$F$4) * _xlfn.NORM.S.INV(RAND())</f>
        <v>2.2762920726936857E-2</v>
      </c>
      <c r="T4632" s="59">
        <f ca="1">Dashboard!C$8* Dashboard!$F$4+Dashboard!C$10*SQRT(Dashboard!$F$4) * _xlfn.NORM.S.INV(RAND())</f>
        <v>-1.1787641913600058E-2</v>
      </c>
      <c r="U4632" s="59">
        <f ca="1">Dashboard!D$8* Dashboard!$F$4+Dashboard!D$10*SQRT(Dashboard!$F$4) * _xlfn.NORM.S.INV(RAND())</f>
        <v>1.106245495150612E-2</v>
      </c>
    </row>
    <row r="4633" spans="18:21" x14ac:dyDescent="0.2">
      <c r="R4633" s="49">
        <v>4631</v>
      </c>
      <c r="S4633" s="59">
        <f ca="1">Dashboard!B$8* Dashboard!$F$4+Dashboard!B$10*SQRT(Dashboard!$F$4) * _xlfn.NORM.S.INV(RAND())</f>
        <v>-1.2778997731481079E-2</v>
      </c>
      <c r="T4633" s="59">
        <f ca="1">Dashboard!C$8* Dashboard!$F$4+Dashboard!C$10*SQRT(Dashboard!$F$4) * _xlfn.NORM.S.INV(RAND())</f>
        <v>6.3154807630656465E-2</v>
      </c>
      <c r="U4633" s="59">
        <f ca="1">Dashboard!D$8* Dashboard!$F$4+Dashboard!D$10*SQRT(Dashboard!$F$4) * _xlfn.NORM.S.INV(RAND())</f>
        <v>-1.6934463358575763E-2</v>
      </c>
    </row>
    <row r="4634" spans="18:21" x14ac:dyDescent="0.2">
      <c r="R4634" s="49">
        <v>4632</v>
      </c>
      <c r="S4634" s="59">
        <f ca="1">Dashboard!B$8* Dashboard!$F$4+Dashboard!B$10*SQRT(Dashboard!$F$4) * _xlfn.NORM.S.INV(RAND())</f>
        <v>-1.337771819001091E-2</v>
      </c>
      <c r="T4634" s="59">
        <f ca="1">Dashboard!C$8* Dashboard!$F$4+Dashboard!C$10*SQRT(Dashboard!$F$4) * _xlfn.NORM.S.INV(RAND())</f>
        <v>-2.1994752418114067E-2</v>
      </c>
      <c r="U4634" s="59">
        <f ca="1">Dashboard!D$8* Dashboard!$F$4+Dashboard!D$10*SQRT(Dashboard!$F$4) * _xlfn.NORM.S.INV(RAND())</f>
        <v>6.6303234789351559E-2</v>
      </c>
    </row>
    <row r="4635" spans="18:21" x14ac:dyDescent="0.2">
      <c r="R4635" s="49">
        <v>4633</v>
      </c>
      <c r="S4635" s="59">
        <f ca="1">Dashboard!B$8* Dashboard!$F$4+Dashboard!B$10*SQRT(Dashboard!$F$4) * _xlfn.NORM.S.INV(RAND())</f>
        <v>1.7849696213720831E-2</v>
      </c>
      <c r="T4635" s="59">
        <f ca="1">Dashboard!C$8* Dashboard!$F$4+Dashboard!C$10*SQRT(Dashboard!$F$4) * _xlfn.NORM.S.INV(RAND())</f>
        <v>-3.6720902019577305E-2</v>
      </c>
      <c r="U4635" s="59">
        <f ca="1">Dashboard!D$8* Dashboard!$F$4+Dashboard!D$10*SQRT(Dashboard!$F$4) * _xlfn.NORM.S.INV(RAND())</f>
        <v>1.6491087093686432E-2</v>
      </c>
    </row>
    <row r="4636" spans="18:21" x14ac:dyDescent="0.2">
      <c r="R4636" s="49">
        <v>4634</v>
      </c>
      <c r="S4636" s="59">
        <f ca="1">Dashboard!B$8* Dashboard!$F$4+Dashboard!B$10*SQRT(Dashboard!$F$4) * _xlfn.NORM.S.INV(RAND())</f>
        <v>-5.9491676321914509E-2</v>
      </c>
      <c r="T4636" s="59">
        <f ca="1">Dashboard!C$8* Dashboard!$F$4+Dashboard!C$10*SQRT(Dashboard!$F$4) * _xlfn.NORM.S.INV(RAND())</f>
        <v>-2.225806498244301E-2</v>
      </c>
      <c r="U4636" s="59">
        <f ca="1">Dashboard!D$8* Dashboard!$F$4+Dashboard!D$10*SQRT(Dashboard!$F$4) * _xlfn.NORM.S.INV(RAND())</f>
        <v>5.9896593445904867E-2</v>
      </c>
    </row>
    <row r="4637" spans="18:21" x14ac:dyDescent="0.2">
      <c r="R4637" s="49">
        <v>4635</v>
      </c>
      <c r="S4637" s="59">
        <f ca="1">Dashboard!B$8* Dashboard!$F$4+Dashboard!B$10*SQRT(Dashboard!$F$4) * _xlfn.NORM.S.INV(RAND())</f>
        <v>-5.5910116353419484E-2</v>
      </c>
      <c r="T4637" s="59">
        <f ca="1">Dashboard!C$8* Dashboard!$F$4+Dashboard!C$10*SQRT(Dashboard!$F$4) * _xlfn.NORM.S.INV(RAND())</f>
        <v>-1.6619636208962882E-2</v>
      </c>
      <c r="U4637" s="59">
        <f ca="1">Dashboard!D$8* Dashboard!$F$4+Dashboard!D$10*SQRT(Dashboard!$F$4) * _xlfn.NORM.S.INV(RAND())</f>
        <v>3.136872081081285E-2</v>
      </c>
    </row>
    <row r="4638" spans="18:21" x14ac:dyDescent="0.2">
      <c r="R4638" s="49">
        <v>4636</v>
      </c>
      <c r="S4638" s="59">
        <f ca="1">Dashboard!B$8* Dashboard!$F$4+Dashboard!B$10*SQRT(Dashboard!$F$4) * _xlfn.NORM.S.INV(RAND())</f>
        <v>-9.0021886496337508E-3</v>
      </c>
      <c r="T4638" s="59">
        <f ca="1">Dashboard!C$8* Dashboard!$F$4+Dashboard!C$10*SQRT(Dashboard!$F$4) * _xlfn.NORM.S.INV(RAND())</f>
        <v>-2.281289752088312E-2</v>
      </c>
      <c r="U4638" s="59">
        <f ca="1">Dashboard!D$8* Dashboard!$F$4+Dashboard!D$10*SQRT(Dashboard!$F$4) * _xlfn.NORM.S.INV(RAND())</f>
        <v>1.7309407539144327E-3</v>
      </c>
    </row>
    <row r="4639" spans="18:21" x14ac:dyDescent="0.2">
      <c r="R4639" s="49">
        <v>4637</v>
      </c>
      <c r="S4639" s="59">
        <f ca="1">Dashboard!B$8* Dashboard!$F$4+Dashboard!B$10*SQRT(Dashboard!$F$4) * _xlfn.NORM.S.INV(RAND())</f>
        <v>3.3359710914588935E-3</v>
      </c>
      <c r="T4639" s="59">
        <f ca="1">Dashboard!C$8* Dashboard!$F$4+Dashboard!C$10*SQRT(Dashboard!$F$4) * _xlfn.NORM.S.INV(RAND())</f>
        <v>-3.3982819389042331E-2</v>
      </c>
      <c r="U4639" s="59">
        <f ca="1">Dashboard!D$8* Dashboard!$F$4+Dashboard!D$10*SQRT(Dashboard!$F$4) * _xlfn.NORM.S.INV(RAND())</f>
        <v>-1.0938236002084566E-2</v>
      </c>
    </row>
    <row r="4640" spans="18:21" x14ac:dyDescent="0.2">
      <c r="R4640" s="49">
        <v>4638</v>
      </c>
      <c r="S4640" s="59">
        <f ca="1">Dashboard!B$8* Dashboard!$F$4+Dashboard!B$10*SQRT(Dashboard!$F$4) * _xlfn.NORM.S.INV(RAND())</f>
        <v>4.3026513193506664E-2</v>
      </c>
      <c r="T4640" s="59">
        <f ca="1">Dashboard!C$8* Dashboard!$F$4+Dashboard!C$10*SQRT(Dashboard!$F$4) * _xlfn.NORM.S.INV(RAND())</f>
        <v>-2.7632589944261158E-2</v>
      </c>
      <c r="U4640" s="59">
        <f ca="1">Dashboard!D$8* Dashboard!$F$4+Dashboard!D$10*SQRT(Dashboard!$F$4) * _xlfn.NORM.S.INV(RAND())</f>
        <v>-2.3396562169848537E-2</v>
      </c>
    </row>
    <row r="4641" spans="18:21" x14ac:dyDescent="0.2">
      <c r="R4641" s="49">
        <v>4639</v>
      </c>
      <c r="S4641" s="59">
        <f ca="1">Dashboard!B$8* Dashboard!$F$4+Dashboard!B$10*SQRT(Dashboard!$F$4) * _xlfn.NORM.S.INV(RAND())</f>
        <v>-3.0117847132353402E-2</v>
      </c>
      <c r="T4641" s="59">
        <f ca="1">Dashboard!C$8* Dashboard!$F$4+Dashboard!C$10*SQRT(Dashboard!$F$4) * _xlfn.NORM.S.INV(RAND())</f>
        <v>2.4730839696981931E-2</v>
      </c>
      <c r="U4641" s="59">
        <f ca="1">Dashboard!D$8* Dashboard!$F$4+Dashboard!D$10*SQRT(Dashboard!$F$4) * _xlfn.NORM.S.INV(RAND())</f>
        <v>3.598448293060702E-2</v>
      </c>
    </row>
    <row r="4642" spans="18:21" x14ac:dyDescent="0.2">
      <c r="R4642" s="49">
        <v>4640</v>
      </c>
      <c r="S4642" s="59">
        <f ca="1">Dashboard!B$8* Dashboard!$F$4+Dashboard!B$10*SQRT(Dashboard!$F$4) * _xlfn.NORM.S.INV(RAND())</f>
        <v>1.2492415702967333E-3</v>
      </c>
      <c r="T4642" s="59">
        <f ca="1">Dashboard!C$8* Dashboard!$F$4+Dashboard!C$10*SQRT(Dashboard!$F$4) * _xlfn.NORM.S.INV(RAND())</f>
        <v>-9.0461499818604574E-3</v>
      </c>
      <c r="U4642" s="59">
        <f ca="1">Dashboard!D$8* Dashboard!$F$4+Dashboard!D$10*SQRT(Dashboard!$F$4) * _xlfn.NORM.S.INV(RAND())</f>
        <v>-1.3799727719748321E-2</v>
      </c>
    </row>
    <row r="4643" spans="18:21" x14ac:dyDescent="0.2">
      <c r="R4643" s="49">
        <v>4641</v>
      </c>
      <c r="S4643" s="59">
        <f ca="1">Dashboard!B$8* Dashboard!$F$4+Dashboard!B$10*SQRT(Dashboard!$F$4) * _xlfn.NORM.S.INV(RAND())</f>
        <v>9.9591204301654416E-3</v>
      </c>
      <c r="T4643" s="59">
        <f ca="1">Dashboard!C$8* Dashboard!$F$4+Dashboard!C$10*SQRT(Dashboard!$F$4) * _xlfn.NORM.S.INV(RAND())</f>
        <v>-1.7363240838373303E-4</v>
      </c>
      <c r="U4643" s="59">
        <f ca="1">Dashboard!D$8* Dashboard!$F$4+Dashboard!D$10*SQRT(Dashboard!$F$4) * _xlfn.NORM.S.INV(RAND())</f>
        <v>2.8850204450290235E-3</v>
      </c>
    </row>
    <row r="4644" spans="18:21" x14ac:dyDescent="0.2">
      <c r="R4644" s="49">
        <v>4642</v>
      </c>
      <c r="S4644" s="59">
        <f ca="1">Dashboard!B$8* Dashboard!$F$4+Dashboard!B$10*SQRT(Dashboard!$F$4) * _xlfn.NORM.S.INV(RAND())</f>
        <v>-1.1400106444099261E-2</v>
      </c>
      <c r="T4644" s="59">
        <f ca="1">Dashboard!C$8* Dashboard!$F$4+Dashboard!C$10*SQRT(Dashboard!$F$4) * _xlfn.NORM.S.INV(RAND())</f>
        <v>2.5120179613345381E-2</v>
      </c>
      <c r="U4644" s="59">
        <f ca="1">Dashboard!D$8* Dashboard!$F$4+Dashboard!D$10*SQRT(Dashboard!$F$4) * _xlfn.NORM.S.INV(RAND())</f>
        <v>-1.6597920196000652E-2</v>
      </c>
    </row>
    <row r="4645" spans="18:21" x14ac:dyDescent="0.2">
      <c r="R4645" s="49">
        <v>4643</v>
      </c>
      <c r="S4645" s="59">
        <f ca="1">Dashboard!B$8* Dashboard!$F$4+Dashboard!B$10*SQRT(Dashboard!$F$4) * _xlfn.NORM.S.INV(RAND())</f>
        <v>-2.7460286239431947E-2</v>
      </c>
      <c r="T4645" s="59">
        <f ca="1">Dashboard!C$8* Dashboard!$F$4+Dashboard!C$10*SQRT(Dashboard!$F$4) * _xlfn.NORM.S.INV(RAND())</f>
        <v>1.0086627262768492E-2</v>
      </c>
      <c r="U4645" s="59">
        <f ca="1">Dashboard!D$8* Dashboard!$F$4+Dashboard!D$10*SQRT(Dashboard!$F$4) * _xlfn.NORM.S.INV(RAND())</f>
        <v>-3.2613882812232445E-2</v>
      </c>
    </row>
    <row r="4646" spans="18:21" x14ac:dyDescent="0.2">
      <c r="R4646" s="49">
        <v>4644</v>
      </c>
      <c r="S4646" s="59">
        <f ca="1">Dashboard!B$8* Dashboard!$F$4+Dashboard!B$10*SQRT(Dashboard!$F$4) * _xlfn.NORM.S.INV(RAND())</f>
        <v>2.7547480714448083E-2</v>
      </c>
      <c r="T4646" s="59">
        <f ca="1">Dashboard!C$8* Dashboard!$F$4+Dashboard!C$10*SQRT(Dashboard!$F$4) * _xlfn.NORM.S.INV(RAND())</f>
        <v>-1.9917668087512486E-2</v>
      </c>
      <c r="U4646" s="59">
        <f ca="1">Dashboard!D$8* Dashboard!$F$4+Dashboard!D$10*SQRT(Dashboard!$F$4) * _xlfn.NORM.S.INV(RAND())</f>
        <v>9.1948843281830818E-3</v>
      </c>
    </row>
    <row r="4647" spans="18:21" x14ac:dyDescent="0.2">
      <c r="R4647" s="49">
        <v>4645</v>
      </c>
      <c r="S4647" s="59">
        <f ca="1">Dashboard!B$8* Dashboard!$F$4+Dashboard!B$10*SQRT(Dashboard!$F$4) * _xlfn.NORM.S.INV(RAND())</f>
        <v>3.5922906181935312E-2</v>
      </c>
      <c r="T4647" s="59">
        <f ca="1">Dashboard!C$8* Dashboard!$F$4+Dashboard!C$10*SQRT(Dashboard!$F$4) * _xlfn.NORM.S.INV(RAND())</f>
        <v>3.7932328135065592E-2</v>
      </c>
      <c r="U4647" s="59">
        <f ca="1">Dashboard!D$8* Dashboard!$F$4+Dashboard!D$10*SQRT(Dashboard!$F$4) * _xlfn.NORM.S.INV(RAND())</f>
        <v>-9.883567897647617E-3</v>
      </c>
    </row>
    <row r="4648" spans="18:21" x14ac:dyDescent="0.2">
      <c r="R4648" s="49">
        <v>4646</v>
      </c>
      <c r="S4648" s="59">
        <f ca="1">Dashboard!B$8* Dashboard!$F$4+Dashboard!B$10*SQRT(Dashboard!$F$4) * _xlfn.NORM.S.INV(RAND())</f>
        <v>-1.8725595504282818E-2</v>
      </c>
      <c r="T4648" s="59">
        <f ca="1">Dashboard!C$8* Dashboard!$F$4+Dashboard!C$10*SQRT(Dashboard!$F$4) * _xlfn.NORM.S.INV(RAND())</f>
        <v>3.6569559513579208E-2</v>
      </c>
      <c r="U4648" s="59">
        <f ca="1">Dashboard!D$8* Dashboard!$F$4+Dashboard!D$10*SQRT(Dashboard!$F$4) * _xlfn.NORM.S.INV(RAND())</f>
        <v>1.3380302003861094E-2</v>
      </c>
    </row>
    <row r="4649" spans="18:21" x14ac:dyDescent="0.2">
      <c r="R4649" s="49">
        <v>4647</v>
      </c>
      <c r="S4649" s="59">
        <f ca="1">Dashboard!B$8* Dashboard!$F$4+Dashboard!B$10*SQRT(Dashboard!$F$4) * _xlfn.NORM.S.INV(RAND())</f>
        <v>-3.7815917542822239E-3</v>
      </c>
      <c r="T4649" s="59">
        <f ca="1">Dashboard!C$8* Dashboard!$F$4+Dashboard!C$10*SQRT(Dashboard!$F$4) * _xlfn.NORM.S.INV(RAND())</f>
        <v>4.4862083964724034E-2</v>
      </c>
      <c r="U4649" s="59">
        <f ca="1">Dashboard!D$8* Dashboard!$F$4+Dashboard!D$10*SQRT(Dashboard!$F$4) * _xlfn.NORM.S.INV(RAND())</f>
        <v>2.2008953441160141E-2</v>
      </c>
    </row>
    <row r="4650" spans="18:21" x14ac:dyDescent="0.2">
      <c r="R4650" s="49">
        <v>4648</v>
      </c>
      <c r="S4650" s="59">
        <f ca="1">Dashboard!B$8* Dashboard!$F$4+Dashboard!B$10*SQRT(Dashboard!$F$4) * _xlfn.NORM.S.INV(RAND())</f>
        <v>2.3071884774922474E-2</v>
      </c>
      <c r="T4650" s="59">
        <f ca="1">Dashboard!C$8* Dashboard!$F$4+Dashboard!C$10*SQRT(Dashboard!$F$4) * _xlfn.NORM.S.INV(RAND())</f>
        <v>-2.1688099872973921E-2</v>
      </c>
      <c r="U4650" s="59">
        <f ca="1">Dashboard!D$8* Dashboard!$F$4+Dashboard!D$10*SQRT(Dashboard!$F$4) * _xlfn.NORM.S.INV(RAND())</f>
        <v>2.0695610014498121E-2</v>
      </c>
    </row>
    <row r="4651" spans="18:21" x14ac:dyDescent="0.2">
      <c r="R4651" s="49">
        <v>4649</v>
      </c>
      <c r="S4651" s="59">
        <f ca="1">Dashboard!B$8* Dashboard!$F$4+Dashboard!B$10*SQRT(Dashboard!$F$4) * _xlfn.NORM.S.INV(RAND())</f>
        <v>-1.5005097850370018E-2</v>
      </c>
      <c r="T4651" s="59">
        <f ca="1">Dashboard!C$8* Dashboard!$F$4+Dashboard!C$10*SQRT(Dashboard!$F$4) * _xlfn.NORM.S.INV(RAND())</f>
        <v>-2.500228276175321E-2</v>
      </c>
      <c r="U4651" s="59">
        <f ca="1">Dashboard!D$8* Dashboard!$F$4+Dashboard!D$10*SQRT(Dashboard!$F$4) * _xlfn.NORM.S.INV(RAND())</f>
        <v>-6.3115629881876259E-2</v>
      </c>
    </row>
    <row r="4652" spans="18:21" x14ac:dyDescent="0.2">
      <c r="R4652" s="49">
        <v>4650</v>
      </c>
      <c r="S4652" s="59">
        <f ca="1">Dashboard!B$8* Dashboard!$F$4+Dashboard!B$10*SQRT(Dashboard!$F$4) * _xlfn.NORM.S.INV(RAND())</f>
        <v>5.84134639068489E-2</v>
      </c>
      <c r="T4652" s="59">
        <f ca="1">Dashboard!C$8* Dashboard!$F$4+Dashboard!C$10*SQRT(Dashboard!$F$4) * _xlfn.NORM.S.INV(RAND())</f>
        <v>-5.8144923176860616E-3</v>
      </c>
      <c r="U4652" s="59">
        <f ca="1">Dashboard!D$8* Dashboard!$F$4+Dashboard!D$10*SQRT(Dashboard!$F$4) * _xlfn.NORM.S.INV(RAND())</f>
        <v>-4.2815453616634684E-2</v>
      </c>
    </row>
    <row r="4653" spans="18:21" x14ac:dyDescent="0.2">
      <c r="R4653" s="49">
        <v>4651</v>
      </c>
      <c r="S4653" s="59">
        <f ca="1">Dashboard!B$8* Dashboard!$F$4+Dashboard!B$10*SQRT(Dashboard!$F$4) * _xlfn.NORM.S.INV(RAND())</f>
        <v>-1.8840817123864432E-2</v>
      </c>
      <c r="T4653" s="59">
        <f ca="1">Dashboard!C$8* Dashboard!$F$4+Dashboard!C$10*SQRT(Dashboard!$F$4) * _xlfn.NORM.S.INV(RAND())</f>
        <v>-7.1427381874912864E-3</v>
      </c>
      <c r="U4653" s="59">
        <f ca="1">Dashboard!D$8* Dashboard!$F$4+Dashboard!D$10*SQRT(Dashboard!$F$4) * _xlfn.NORM.S.INV(RAND())</f>
        <v>-6.9018654279565175E-2</v>
      </c>
    </row>
    <row r="4654" spans="18:21" x14ac:dyDescent="0.2">
      <c r="R4654" s="49">
        <v>4652</v>
      </c>
      <c r="S4654" s="59">
        <f ca="1">Dashboard!B$8* Dashboard!$F$4+Dashboard!B$10*SQRT(Dashboard!$F$4) * _xlfn.NORM.S.INV(RAND())</f>
        <v>-3.7427115440864878E-3</v>
      </c>
      <c r="T4654" s="59">
        <f ca="1">Dashboard!C$8* Dashboard!$F$4+Dashboard!C$10*SQRT(Dashboard!$F$4) * _xlfn.NORM.S.INV(RAND())</f>
        <v>-3.1766447900702016E-2</v>
      </c>
      <c r="U4654" s="59">
        <f ca="1">Dashboard!D$8* Dashboard!$F$4+Dashboard!D$10*SQRT(Dashboard!$F$4) * _xlfn.NORM.S.INV(RAND())</f>
        <v>-7.1080845083049765E-2</v>
      </c>
    </row>
    <row r="4655" spans="18:21" x14ac:dyDescent="0.2">
      <c r="R4655" s="49">
        <v>4653</v>
      </c>
      <c r="S4655" s="59">
        <f ca="1">Dashboard!B$8* Dashboard!$F$4+Dashboard!B$10*SQRT(Dashboard!$F$4) * _xlfn.NORM.S.INV(RAND())</f>
        <v>3.5982504303704616E-2</v>
      </c>
      <c r="T4655" s="59">
        <f ca="1">Dashboard!C$8* Dashboard!$F$4+Dashboard!C$10*SQRT(Dashboard!$F$4) * _xlfn.NORM.S.INV(RAND())</f>
        <v>-4.075474908988666E-2</v>
      </c>
      <c r="U4655" s="59">
        <f ca="1">Dashboard!D$8* Dashboard!$F$4+Dashboard!D$10*SQRT(Dashboard!$F$4) * _xlfn.NORM.S.INV(RAND())</f>
        <v>-2.5654428762654866E-2</v>
      </c>
    </row>
    <row r="4656" spans="18:21" x14ac:dyDescent="0.2">
      <c r="R4656" s="49">
        <v>4654</v>
      </c>
      <c r="S4656" s="59">
        <f ca="1">Dashboard!B$8* Dashboard!$F$4+Dashboard!B$10*SQRT(Dashboard!$F$4) * _xlfn.NORM.S.INV(RAND())</f>
        <v>5.1741488770832202E-3</v>
      </c>
      <c r="T4656" s="59">
        <f ca="1">Dashboard!C$8* Dashboard!$F$4+Dashboard!C$10*SQRT(Dashboard!$F$4) * _xlfn.NORM.S.INV(RAND())</f>
        <v>-4.2542662376796568E-2</v>
      </c>
      <c r="U4656" s="59">
        <f ca="1">Dashboard!D$8* Dashboard!$F$4+Dashboard!D$10*SQRT(Dashboard!$F$4) * _xlfn.NORM.S.INV(RAND())</f>
        <v>1.0320199640665006E-2</v>
      </c>
    </row>
    <row r="4657" spans="18:21" x14ac:dyDescent="0.2">
      <c r="R4657" s="49">
        <v>4655</v>
      </c>
      <c r="S4657" s="59">
        <f ca="1">Dashboard!B$8* Dashboard!$F$4+Dashboard!B$10*SQRT(Dashboard!$F$4) * _xlfn.NORM.S.INV(RAND())</f>
        <v>-4.4885906903791468E-2</v>
      </c>
      <c r="T4657" s="59">
        <f ca="1">Dashboard!C$8* Dashboard!$F$4+Dashboard!C$10*SQRT(Dashboard!$F$4) * _xlfn.NORM.S.INV(RAND())</f>
        <v>-2.1548636592714577E-3</v>
      </c>
      <c r="U4657" s="59">
        <f ca="1">Dashboard!D$8* Dashboard!$F$4+Dashboard!D$10*SQRT(Dashboard!$F$4) * _xlfn.NORM.S.INV(RAND())</f>
        <v>4.5904028493674795E-3</v>
      </c>
    </row>
    <row r="4658" spans="18:21" x14ac:dyDescent="0.2">
      <c r="R4658" s="49">
        <v>4656</v>
      </c>
      <c r="S4658" s="59">
        <f ca="1">Dashboard!B$8* Dashboard!$F$4+Dashboard!B$10*SQRT(Dashboard!$F$4) * _xlfn.NORM.S.INV(RAND())</f>
        <v>-7.3078469214902506E-2</v>
      </c>
      <c r="T4658" s="59">
        <f ca="1">Dashboard!C$8* Dashboard!$F$4+Dashboard!C$10*SQRT(Dashboard!$F$4) * _xlfn.NORM.S.INV(RAND())</f>
        <v>2.6674538585942332E-3</v>
      </c>
      <c r="U4658" s="59">
        <f ca="1">Dashboard!D$8* Dashboard!$F$4+Dashboard!D$10*SQRT(Dashboard!$F$4) * _xlfn.NORM.S.INV(RAND())</f>
        <v>2.265203632029757E-2</v>
      </c>
    </row>
    <row r="4659" spans="18:21" x14ac:dyDescent="0.2">
      <c r="R4659" s="49">
        <v>4657</v>
      </c>
      <c r="S4659" s="59">
        <f ca="1">Dashboard!B$8* Dashboard!$F$4+Dashboard!B$10*SQRT(Dashboard!$F$4) * _xlfn.NORM.S.INV(RAND())</f>
        <v>-7.6577347562593419E-3</v>
      </c>
      <c r="T4659" s="59">
        <f ca="1">Dashboard!C$8* Dashboard!$F$4+Dashboard!C$10*SQRT(Dashboard!$F$4) * _xlfn.NORM.S.INV(RAND())</f>
        <v>3.2271279097803932E-4</v>
      </c>
      <c r="U4659" s="59">
        <f ca="1">Dashboard!D$8* Dashboard!$F$4+Dashboard!D$10*SQRT(Dashboard!$F$4) * _xlfn.NORM.S.INV(RAND())</f>
        <v>2.5047595206269646E-2</v>
      </c>
    </row>
    <row r="4660" spans="18:21" x14ac:dyDescent="0.2">
      <c r="R4660" s="49">
        <v>4658</v>
      </c>
      <c r="S4660" s="59">
        <f ca="1">Dashboard!B$8* Dashboard!$F$4+Dashboard!B$10*SQRT(Dashboard!$F$4) * _xlfn.NORM.S.INV(RAND())</f>
        <v>-6.4301269277886153E-2</v>
      </c>
      <c r="T4660" s="59">
        <f ca="1">Dashboard!C$8* Dashboard!$F$4+Dashboard!C$10*SQRT(Dashboard!$F$4) * _xlfn.NORM.S.INV(RAND())</f>
        <v>2.7325430045254995E-2</v>
      </c>
      <c r="U4660" s="59">
        <f ca="1">Dashboard!D$8* Dashboard!$F$4+Dashboard!D$10*SQRT(Dashboard!$F$4) * _xlfn.NORM.S.INV(RAND())</f>
        <v>3.0925534702865035E-2</v>
      </c>
    </row>
    <row r="4661" spans="18:21" x14ac:dyDescent="0.2">
      <c r="R4661" s="49">
        <v>4659</v>
      </c>
      <c r="S4661" s="59">
        <f ca="1">Dashboard!B$8* Dashboard!$F$4+Dashboard!B$10*SQRT(Dashboard!$F$4) * _xlfn.NORM.S.INV(RAND())</f>
        <v>-2.3784796773261174E-2</v>
      </c>
      <c r="T4661" s="59">
        <f ca="1">Dashboard!C$8* Dashboard!$F$4+Dashboard!C$10*SQRT(Dashboard!$F$4) * _xlfn.NORM.S.INV(RAND())</f>
        <v>5.8643393067238536E-2</v>
      </c>
      <c r="U4661" s="59">
        <f ca="1">Dashboard!D$8* Dashboard!$F$4+Dashboard!D$10*SQRT(Dashboard!$F$4) * _xlfn.NORM.S.INV(RAND())</f>
        <v>1.6161015655391187E-2</v>
      </c>
    </row>
    <row r="4662" spans="18:21" x14ac:dyDescent="0.2">
      <c r="R4662" s="49">
        <v>4660</v>
      </c>
      <c r="S4662" s="59">
        <f ca="1">Dashboard!B$8* Dashboard!$F$4+Dashboard!B$10*SQRT(Dashboard!$F$4) * _xlfn.NORM.S.INV(RAND())</f>
        <v>-4.5852508498679841E-2</v>
      </c>
      <c r="T4662" s="59">
        <f ca="1">Dashboard!C$8* Dashboard!$F$4+Dashboard!C$10*SQRT(Dashboard!$F$4) * _xlfn.NORM.S.INV(RAND())</f>
        <v>-3.2979360204846491E-3</v>
      </c>
      <c r="U4662" s="59">
        <f ca="1">Dashboard!D$8* Dashboard!$F$4+Dashboard!D$10*SQRT(Dashboard!$F$4) * _xlfn.NORM.S.INV(RAND())</f>
        <v>3.238968316524856E-2</v>
      </c>
    </row>
    <row r="4663" spans="18:21" x14ac:dyDescent="0.2">
      <c r="R4663" s="49">
        <v>4661</v>
      </c>
      <c r="S4663" s="59">
        <f ca="1">Dashboard!B$8* Dashboard!$F$4+Dashboard!B$10*SQRT(Dashboard!$F$4) * _xlfn.NORM.S.INV(RAND())</f>
        <v>2.9966515722011963E-2</v>
      </c>
      <c r="T4663" s="59">
        <f ca="1">Dashboard!C$8* Dashboard!$F$4+Dashboard!C$10*SQRT(Dashboard!$F$4) * _xlfn.NORM.S.INV(RAND())</f>
        <v>-3.9278638289095939E-2</v>
      </c>
      <c r="U4663" s="59">
        <f ca="1">Dashboard!D$8* Dashboard!$F$4+Dashboard!D$10*SQRT(Dashboard!$F$4) * _xlfn.NORM.S.INV(RAND())</f>
        <v>-6.8596675639408505E-3</v>
      </c>
    </row>
    <row r="4664" spans="18:21" x14ac:dyDescent="0.2">
      <c r="R4664" s="49">
        <v>4662</v>
      </c>
      <c r="S4664" s="59">
        <f ca="1">Dashboard!B$8* Dashboard!$F$4+Dashboard!B$10*SQRT(Dashboard!$F$4) * _xlfn.NORM.S.INV(RAND())</f>
        <v>1.1790745657057284E-2</v>
      </c>
      <c r="T4664" s="59">
        <f ca="1">Dashboard!C$8* Dashboard!$F$4+Dashboard!C$10*SQRT(Dashboard!$F$4) * _xlfn.NORM.S.INV(RAND())</f>
        <v>3.8899876731215602E-2</v>
      </c>
      <c r="U4664" s="59">
        <f ca="1">Dashboard!D$8* Dashboard!$F$4+Dashboard!D$10*SQRT(Dashboard!$F$4) * _xlfn.NORM.S.INV(RAND())</f>
        <v>-1.1472687834754754E-2</v>
      </c>
    </row>
    <row r="4665" spans="18:21" x14ac:dyDescent="0.2">
      <c r="R4665" s="49">
        <v>4663</v>
      </c>
      <c r="S4665" s="59">
        <f ca="1">Dashboard!B$8* Dashboard!$F$4+Dashboard!B$10*SQRT(Dashboard!$F$4) * _xlfn.NORM.S.INV(RAND())</f>
        <v>9.7990099716910306E-3</v>
      </c>
      <c r="T4665" s="59">
        <f ca="1">Dashboard!C$8* Dashboard!$F$4+Dashboard!C$10*SQRT(Dashboard!$F$4) * _xlfn.NORM.S.INV(RAND())</f>
        <v>2.2957180598537852E-2</v>
      </c>
      <c r="U4665" s="59">
        <f ca="1">Dashboard!D$8* Dashboard!$F$4+Dashboard!D$10*SQRT(Dashboard!$F$4) * _xlfn.NORM.S.INV(RAND())</f>
        <v>1.2691186808504798E-2</v>
      </c>
    </row>
    <row r="4666" spans="18:21" x14ac:dyDescent="0.2">
      <c r="R4666" s="49">
        <v>4664</v>
      </c>
      <c r="S4666" s="59">
        <f ca="1">Dashboard!B$8* Dashboard!$F$4+Dashboard!B$10*SQRT(Dashboard!$F$4) * _xlfn.NORM.S.INV(RAND())</f>
        <v>-2.943106308997314E-2</v>
      </c>
      <c r="T4666" s="59">
        <f ca="1">Dashboard!C$8* Dashboard!$F$4+Dashboard!C$10*SQRT(Dashboard!$F$4) * _xlfn.NORM.S.INV(RAND())</f>
        <v>-5.5707929276102167E-3</v>
      </c>
      <c r="U4666" s="59">
        <f ca="1">Dashboard!D$8* Dashboard!$F$4+Dashboard!D$10*SQRT(Dashboard!$F$4) * _xlfn.NORM.S.INV(RAND())</f>
        <v>-5.6535271430766705E-3</v>
      </c>
    </row>
    <row r="4667" spans="18:21" x14ac:dyDescent="0.2">
      <c r="R4667" s="49">
        <v>4665</v>
      </c>
      <c r="S4667" s="59">
        <f ca="1">Dashboard!B$8* Dashboard!$F$4+Dashboard!B$10*SQRT(Dashboard!$F$4) * _xlfn.NORM.S.INV(RAND())</f>
        <v>1.2862105682594016E-2</v>
      </c>
      <c r="T4667" s="59">
        <f ca="1">Dashboard!C$8* Dashboard!$F$4+Dashboard!C$10*SQRT(Dashboard!$F$4) * _xlfn.NORM.S.INV(RAND())</f>
        <v>6.0568063901089639E-2</v>
      </c>
      <c r="U4667" s="59">
        <f ca="1">Dashboard!D$8* Dashboard!$F$4+Dashboard!D$10*SQRT(Dashboard!$F$4) * _xlfn.NORM.S.INV(RAND())</f>
        <v>2.0869579797590139E-2</v>
      </c>
    </row>
    <row r="4668" spans="18:21" x14ac:dyDescent="0.2">
      <c r="R4668" s="49">
        <v>4666</v>
      </c>
      <c r="S4668" s="59">
        <f ca="1">Dashboard!B$8* Dashboard!$F$4+Dashboard!B$10*SQRT(Dashboard!$F$4) * _xlfn.NORM.S.INV(RAND())</f>
        <v>-1.4123675683888281E-3</v>
      </c>
      <c r="T4668" s="59">
        <f ca="1">Dashboard!C$8* Dashboard!$F$4+Dashboard!C$10*SQRT(Dashboard!$F$4) * _xlfn.NORM.S.INV(RAND())</f>
        <v>-4.1049043595907324E-2</v>
      </c>
      <c r="U4668" s="59">
        <f ca="1">Dashboard!D$8* Dashboard!$F$4+Dashboard!D$10*SQRT(Dashboard!$F$4) * _xlfn.NORM.S.INV(RAND())</f>
        <v>-6.2886895804377726E-3</v>
      </c>
    </row>
    <row r="4669" spans="18:21" x14ac:dyDescent="0.2">
      <c r="R4669" s="49">
        <v>4667</v>
      </c>
      <c r="S4669" s="59">
        <f ca="1">Dashboard!B$8* Dashboard!$F$4+Dashboard!B$10*SQRT(Dashboard!$F$4) * _xlfn.NORM.S.INV(RAND())</f>
        <v>3.5669795816839711E-2</v>
      </c>
      <c r="T4669" s="59">
        <f ca="1">Dashboard!C$8* Dashboard!$F$4+Dashboard!C$10*SQRT(Dashboard!$F$4) * _xlfn.NORM.S.INV(RAND())</f>
        <v>-1.2508585510314528E-3</v>
      </c>
      <c r="U4669" s="59">
        <f ca="1">Dashboard!D$8* Dashboard!$F$4+Dashboard!D$10*SQRT(Dashboard!$F$4) * _xlfn.NORM.S.INV(RAND())</f>
        <v>1.8914449675155171E-2</v>
      </c>
    </row>
    <row r="4670" spans="18:21" x14ac:dyDescent="0.2">
      <c r="R4670" s="49">
        <v>4668</v>
      </c>
      <c r="S4670" s="59">
        <f ca="1">Dashboard!B$8* Dashboard!$F$4+Dashboard!B$10*SQRT(Dashboard!$F$4) * _xlfn.NORM.S.INV(RAND())</f>
        <v>-4.0593611969852318E-2</v>
      </c>
      <c r="T4670" s="59">
        <f ca="1">Dashboard!C$8* Dashboard!$F$4+Dashboard!C$10*SQRT(Dashboard!$F$4) * _xlfn.NORM.S.INV(RAND())</f>
        <v>5.2799923644848007E-2</v>
      </c>
      <c r="U4670" s="59">
        <f ca="1">Dashboard!D$8* Dashboard!$F$4+Dashboard!D$10*SQRT(Dashboard!$F$4) * _xlfn.NORM.S.INV(RAND())</f>
        <v>7.8013934087536457E-3</v>
      </c>
    </row>
    <row r="4671" spans="18:21" x14ac:dyDescent="0.2">
      <c r="R4671" s="49">
        <v>4669</v>
      </c>
      <c r="S4671" s="59">
        <f ca="1">Dashboard!B$8* Dashboard!$F$4+Dashboard!B$10*SQRT(Dashboard!$F$4) * _xlfn.NORM.S.INV(RAND())</f>
        <v>-2.2193577129419502E-2</v>
      </c>
      <c r="T4671" s="59">
        <f ca="1">Dashboard!C$8* Dashboard!$F$4+Dashboard!C$10*SQRT(Dashboard!$F$4) * _xlfn.NORM.S.INV(RAND())</f>
        <v>-1.5882768854028759E-2</v>
      </c>
      <c r="U4671" s="59">
        <f ca="1">Dashboard!D$8* Dashboard!$F$4+Dashboard!D$10*SQRT(Dashboard!$F$4) * _xlfn.NORM.S.INV(RAND())</f>
        <v>-2.8614574451624387E-2</v>
      </c>
    </row>
    <row r="4672" spans="18:21" x14ac:dyDescent="0.2">
      <c r="R4672" s="49">
        <v>4670</v>
      </c>
      <c r="S4672" s="59">
        <f ca="1">Dashboard!B$8* Dashboard!$F$4+Dashboard!B$10*SQRT(Dashboard!$F$4) * _xlfn.NORM.S.INV(RAND())</f>
        <v>2.0034747203905655E-2</v>
      </c>
      <c r="T4672" s="59">
        <f ca="1">Dashboard!C$8* Dashboard!$F$4+Dashboard!C$10*SQRT(Dashboard!$F$4) * _xlfn.NORM.S.INV(RAND())</f>
        <v>-2.4505351190495402E-2</v>
      </c>
      <c r="U4672" s="59">
        <f ca="1">Dashboard!D$8* Dashboard!$F$4+Dashboard!D$10*SQRT(Dashboard!$F$4) * _xlfn.NORM.S.INV(RAND())</f>
        <v>3.1465737822784987E-2</v>
      </c>
    </row>
    <row r="4673" spans="18:21" x14ac:dyDescent="0.2">
      <c r="R4673" s="49">
        <v>4671</v>
      </c>
      <c r="S4673" s="59">
        <f ca="1">Dashboard!B$8* Dashboard!$F$4+Dashboard!B$10*SQRT(Dashboard!$F$4) * _xlfn.NORM.S.INV(RAND())</f>
        <v>-2.340408035589344E-2</v>
      </c>
      <c r="T4673" s="59">
        <f ca="1">Dashboard!C$8* Dashboard!$F$4+Dashboard!C$10*SQRT(Dashboard!$F$4) * _xlfn.NORM.S.INV(RAND())</f>
        <v>0.1124003861121534</v>
      </c>
      <c r="U4673" s="59">
        <f ca="1">Dashboard!D$8* Dashboard!$F$4+Dashboard!D$10*SQRT(Dashboard!$F$4) * _xlfn.NORM.S.INV(RAND())</f>
        <v>-3.6455970161131994E-2</v>
      </c>
    </row>
    <row r="4674" spans="18:21" x14ac:dyDescent="0.2">
      <c r="R4674" s="49">
        <v>4672</v>
      </c>
      <c r="S4674" s="59">
        <f ca="1">Dashboard!B$8* Dashboard!$F$4+Dashboard!B$10*SQRT(Dashboard!$F$4) * _xlfn.NORM.S.INV(RAND())</f>
        <v>-4.6297941555157986E-3</v>
      </c>
      <c r="T4674" s="59">
        <f ca="1">Dashboard!C$8* Dashboard!$F$4+Dashboard!C$10*SQRT(Dashboard!$F$4) * _xlfn.NORM.S.INV(RAND())</f>
        <v>-3.0963224408570775E-2</v>
      </c>
      <c r="U4674" s="59">
        <f ca="1">Dashboard!D$8* Dashboard!$F$4+Dashboard!D$10*SQRT(Dashboard!$F$4) * _xlfn.NORM.S.INV(RAND())</f>
        <v>3.074722665386654E-2</v>
      </c>
    </row>
    <row r="4675" spans="18:21" x14ac:dyDescent="0.2">
      <c r="R4675" s="49">
        <v>4673</v>
      </c>
      <c r="S4675" s="59">
        <f ca="1">Dashboard!B$8* Dashboard!$F$4+Dashboard!B$10*SQRT(Dashboard!$F$4) * _xlfn.NORM.S.INV(RAND())</f>
        <v>3.4636247196618765E-2</v>
      </c>
      <c r="T4675" s="59">
        <f ca="1">Dashboard!C$8* Dashboard!$F$4+Dashboard!C$10*SQRT(Dashboard!$F$4) * _xlfn.NORM.S.INV(RAND())</f>
        <v>4.9585588482014293E-3</v>
      </c>
      <c r="U4675" s="59">
        <f ca="1">Dashboard!D$8* Dashboard!$F$4+Dashboard!D$10*SQRT(Dashboard!$F$4) * _xlfn.NORM.S.INV(RAND())</f>
        <v>1.2316826100801162E-3</v>
      </c>
    </row>
    <row r="4676" spans="18:21" x14ac:dyDescent="0.2">
      <c r="R4676" s="49">
        <v>4674</v>
      </c>
      <c r="S4676" s="59">
        <f ca="1">Dashboard!B$8* Dashboard!$F$4+Dashboard!B$10*SQRT(Dashboard!$F$4) * _xlfn.NORM.S.INV(RAND())</f>
        <v>-6.3115307714913874E-2</v>
      </c>
      <c r="T4676" s="59">
        <f ca="1">Dashboard!C$8* Dashboard!$F$4+Dashboard!C$10*SQRT(Dashboard!$F$4) * _xlfn.NORM.S.INV(RAND())</f>
        <v>2.1964923049938207E-2</v>
      </c>
      <c r="U4676" s="59">
        <f ca="1">Dashboard!D$8* Dashboard!$F$4+Dashboard!D$10*SQRT(Dashboard!$F$4) * _xlfn.NORM.S.INV(RAND())</f>
        <v>-2.2519056037482232E-2</v>
      </c>
    </row>
    <row r="4677" spans="18:21" x14ac:dyDescent="0.2">
      <c r="R4677" s="49">
        <v>4675</v>
      </c>
      <c r="S4677" s="59">
        <f ca="1">Dashboard!B$8* Dashboard!$F$4+Dashboard!B$10*SQRT(Dashboard!$F$4) * _xlfn.NORM.S.INV(RAND())</f>
        <v>-7.777328492754608E-3</v>
      </c>
      <c r="T4677" s="59">
        <f ca="1">Dashboard!C$8* Dashboard!$F$4+Dashboard!C$10*SQRT(Dashboard!$F$4) * _xlfn.NORM.S.INV(RAND())</f>
        <v>-1.4009534307550826E-3</v>
      </c>
      <c r="U4677" s="59">
        <f ca="1">Dashboard!D$8* Dashboard!$F$4+Dashboard!D$10*SQRT(Dashboard!$F$4) * _xlfn.NORM.S.INV(RAND())</f>
        <v>-2.6269906088673993E-3</v>
      </c>
    </row>
    <row r="4678" spans="18:21" x14ac:dyDescent="0.2">
      <c r="R4678" s="49">
        <v>4676</v>
      </c>
      <c r="S4678" s="59">
        <f ca="1">Dashboard!B$8* Dashboard!$F$4+Dashboard!B$10*SQRT(Dashboard!$F$4) * _xlfn.NORM.S.INV(RAND())</f>
        <v>-9.1234992291121791E-3</v>
      </c>
      <c r="T4678" s="59">
        <f ca="1">Dashboard!C$8* Dashboard!$F$4+Dashboard!C$10*SQRT(Dashboard!$F$4) * _xlfn.NORM.S.INV(RAND())</f>
        <v>2.9161742244058323E-2</v>
      </c>
      <c r="U4678" s="59">
        <f ca="1">Dashboard!D$8* Dashboard!$F$4+Dashboard!D$10*SQRT(Dashboard!$F$4) * _xlfn.NORM.S.INV(RAND())</f>
        <v>1.4224591893941613E-2</v>
      </c>
    </row>
    <row r="4679" spans="18:21" x14ac:dyDescent="0.2">
      <c r="R4679" s="49">
        <v>4677</v>
      </c>
      <c r="S4679" s="59">
        <f ca="1">Dashboard!B$8* Dashboard!$F$4+Dashboard!B$10*SQRT(Dashboard!$F$4) * _xlfn.NORM.S.INV(RAND())</f>
        <v>-4.7376850194942081E-2</v>
      </c>
      <c r="T4679" s="59">
        <f ca="1">Dashboard!C$8* Dashboard!$F$4+Dashboard!C$10*SQRT(Dashboard!$F$4) * _xlfn.NORM.S.INV(RAND())</f>
        <v>4.4239790797557563E-2</v>
      </c>
      <c r="U4679" s="59">
        <f ca="1">Dashboard!D$8* Dashboard!$F$4+Dashboard!D$10*SQRT(Dashboard!$F$4) * _xlfn.NORM.S.INV(RAND())</f>
        <v>4.9420328398400853E-2</v>
      </c>
    </row>
    <row r="4680" spans="18:21" x14ac:dyDescent="0.2">
      <c r="R4680" s="49">
        <v>4678</v>
      </c>
      <c r="S4680" s="59">
        <f ca="1">Dashboard!B$8* Dashboard!$F$4+Dashboard!B$10*SQRT(Dashboard!$F$4) * _xlfn.NORM.S.INV(RAND())</f>
        <v>-2.4958737973623607E-2</v>
      </c>
      <c r="T4680" s="59">
        <f ca="1">Dashboard!C$8* Dashboard!$F$4+Dashboard!C$10*SQRT(Dashboard!$F$4) * _xlfn.NORM.S.INV(RAND())</f>
        <v>1.9738565988980349E-2</v>
      </c>
      <c r="U4680" s="59">
        <f ca="1">Dashboard!D$8* Dashboard!$F$4+Dashboard!D$10*SQRT(Dashboard!$F$4) * _xlfn.NORM.S.INV(RAND())</f>
        <v>-2.078264802661137E-2</v>
      </c>
    </row>
    <row r="4681" spans="18:21" x14ac:dyDescent="0.2">
      <c r="R4681" s="49">
        <v>4679</v>
      </c>
      <c r="S4681" s="59">
        <f ca="1">Dashboard!B$8* Dashboard!$F$4+Dashboard!B$10*SQRT(Dashboard!$F$4) * _xlfn.NORM.S.INV(RAND())</f>
        <v>-3.8930891681386005E-2</v>
      </c>
      <c r="T4681" s="59">
        <f ca="1">Dashboard!C$8* Dashboard!$F$4+Dashboard!C$10*SQRT(Dashboard!$F$4) * _xlfn.NORM.S.INV(RAND())</f>
        <v>1.9615049586482823E-2</v>
      </c>
      <c r="U4681" s="59">
        <f ca="1">Dashboard!D$8* Dashboard!$F$4+Dashboard!D$10*SQRT(Dashboard!$F$4) * _xlfn.NORM.S.INV(RAND())</f>
        <v>-2.4054956571564166E-2</v>
      </c>
    </row>
    <row r="4682" spans="18:21" x14ac:dyDescent="0.2">
      <c r="R4682" s="49">
        <v>4680</v>
      </c>
      <c r="S4682" s="59">
        <f ca="1">Dashboard!B$8* Dashboard!$F$4+Dashboard!B$10*SQRT(Dashboard!$F$4) * _xlfn.NORM.S.INV(RAND())</f>
        <v>-2.840370338152215E-2</v>
      </c>
      <c r="T4682" s="59">
        <f ca="1">Dashboard!C$8* Dashboard!$F$4+Dashboard!C$10*SQRT(Dashboard!$F$4) * _xlfn.NORM.S.INV(RAND())</f>
        <v>5.9895243421790034E-2</v>
      </c>
      <c r="U4682" s="59">
        <f ca="1">Dashboard!D$8* Dashboard!$F$4+Dashboard!D$10*SQRT(Dashboard!$F$4) * _xlfn.NORM.S.INV(RAND())</f>
        <v>-1.4746777017360748E-4</v>
      </c>
    </row>
    <row r="4683" spans="18:21" x14ac:dyDescent="0.2">
      <c r="R4683" s="49">
        <v>4681</v>
      </c>
      <c r="S4683" s="59">
        <f ca="1">Dashboard!B$8* Dashboard!$F$4+Dashboard!B$10*SQRT(Dashboard!$F$4) * _xlfn.NORM.S.INV(RAND())</f>
        <v>-8.040196883481527E-3</v>
      </c>
      <c r="T4683" s="59">
        <f ca="1">Dashboard!C$8* Dashboard!$F$4+Dashboard!C$10*SQRT(Dashboard!$F$4) * _xlfn.NORM.S.INV(RAND())</f>
        <v>7.0854561332632127E-2</v>
      </c>
      <c r="U4683" s="59">
        <f ca="1">Dashboard!D$8* Dashboard!$F$4+Dashboard!D$10*SQRT(Dashboard!$F$4) * _xlfn.NORM.S.INV(RAND())</f>
        <v>-3.9720562292463726E-3</v>
      </c>
    </row>
    <row r="4684" spans="18:21" x14ac:dyDescent="0.2">
      <c r="R4684" s="49">
        <v>4682</v>
      </c>
      <c r="S4684" s="59">
        <f ca="1">Dashboard!B$8* Dashboard!$F$4+Dashboard!B$10*SQRT(Dashboard!$F$4) * _xlfn.NORM.S.INV(RAND())</f>
        <v>-3.4098707300250011E-2</v>
      </c>
      <c r="T4684" s="59">
        <f ca="1">Dashboard!C$8* Dashboard!$F$4+Dashboard!C$10*SQRT(Dashboard!$F$4) * _xlfn.NORM.S.INV(RAND())</f>
        <v>2.1365357713478946E-3</v>
      </c>
      <c r="U4684" s="59">
        <f ca="1">Dashboard!D$8* Dashboard!$F$4+Dashboard!D$10*SQRT(Dashboard!$F$4) * _xlfn.NORM.S.INV(RAND())</f>
        <v>1.9466736766825127E-3</v>
      </c>
    </row>
    <row r="4685" spans="18:21" x14ac:dyDescent="0.2">
      <c r="R4685" s="49">
        <v>4683</v>
      </c>
      <c r="S4685" s="59">
        <f ca="1">Dashboard!B$8* Dashboard!$F$4+Dashboard!B$10*SQRT(Dashboard!$F$4) * _xlfn.NORM.S.INV(RAND())</f>
        <v>-7.5508993614764354E-3</v>
      </c>
      <c r="T4685" s="59">
        <f ca="1">Dashboard!C$8* Dashboard!$F$4+Dashboard!C$10*SQRT(Dashboard!$F$4) * _xlfn.NORM.S.INV(RAND())</f>
        <v>1.4819080687244655E-2</v>
      </c>
      <c r="U4685" s="59">
        <f ca="1">Dashboard!D$8* Dashboard!$F$4+Dashboard!D$10*SQRT(Dashboard!$F$4) * _xlfn.NORM.S.INV(RAND())</f>
        <v>1.7108304995079017E-2</v>
      </c>
    </row>
    <row r="4686" spans="18:21" x14ac:dyDescent="0.2">
      <c r="R4686" s="49">
        <v>4684</v>
      </c>
      <c r="S4686" s="59">
        <f ca="1">Dashboard!B$8* Dashboard!$F$4+Dashboard!B$10*SQRT(Dashboard!$F$4) * _xlfn.NORM.S.INV(RAND())</f>
        <v>-5.3192626995797491E-3</v>
      </c>
      <c r="T4686" s="59">
        <f ca="1">Dashboard!C$8* Dashboard!$F$4+Dashboard!C$10*SQRT(Dashboard!$F$4) * _xlfn.NORM.S.INV(RAND())</f>
        <v>2.9884078171467252E-2</v>
      </c>
      <c r="U4686" s="59">
        <f ca="1">Dashboard!D$8* Dashboard!$F$4+Dashboard!D$10*SQRT(Dashboard!$F$4) * _xlfn.NORM.S.INV(RAND())</f>
        <v>2.5781221078421082E-2</v>
      </c>
    </row>
    <row r="4687" spans="18:21" x14ac:dyDescent="0.2">
      <c r="R4687" s="49">
        <v>4685</v>
      </c>
      <c r="S4687" s="59">
        <f ca="1">Dashboard!B$8* Dashboard!$F$4+Dashboard!B$10*SQRT(Dashboard!$F$4) * _xlfn.NORM.S.INV(RAND())</f>
        <v>4.7077901948599215E-3</v>
      </c>
      <c r="T4687" s="59">
        <f ca="1">Dashboard!C$8* Dashboard!$F$4+Dashboard!C$10*SQRT(Dashboard!$F$4) * _xlfn.NORM.S.INV(RAND())</f>
        <v>-9.5094203821207667E-3</v>
      </c>
      <c r="U4687" s="59">
        <f ca="1">Dashboard!D$8* Dashboard!$F$4+Dashboard!D$10*SQRT(Dashboard!$F$4) * _xlfn.NORM.S.INV(RAND())</f>
        <v>-4.579391446806224E-2</v>
      </c>
    </row>
    <row r="4688" spans="18:21" x14ac:dyDescent="0.2">
      <c r="R4688" s="49">
        <v>4686</v>
      </c>
      <c r="S4688" s="59">
        <f ca="1">Dashboard!B$8* Dashboard!$F$4+Dashboard!B$10*SQRT(Dashboard!$F$4) * _xlfn.NORM.S.INV(RAND())</f>
        <v>5.9175240781386182E-2</v>
      </c>
      <c r="T4688" s="59">
        <f ca="1">Dashboard!C$8* Dashboard!$F$4+Dashboard!C$10*SQRT(Dashboard!$F$4) * _xlfn.NORM.S.INV(RAND())</f>
        <v>-3.183404144995159E-2</v>
      </c>
      <c r="U4688" s="59">
        <f ca="1">Dashboard!D$8* Dashboard!$F$4+Dashboard!D$10*SQRT(Dashboard!$F$4) * _xlfn.NORM.S.INV(RAND())</f>
        <v>3.3569847601452448E-3</v>
      </c>
    </row>
    <row r="4689" spans="18:21" x14ac:dyDescent="0.2">
      <c r="R4689" s="49">
        <v>4687</v>
      </c>
      <c r="S4689" s="59">
        <f ca="1">Dashboard!B$8* Dashboard!$F$4+Dashboard!B$10*SQRT(Dashboard!$F$4) * _xlfn.NORM.S.INV(RAND())</f>
        <v>-1.3865033616683739E-3</v>
      </c>
      <c r="T4689" s="59">
        <f ca="1">Dashboard!C$8* Dashboard!$F$4+Dashboard!C$10*SQRT(Dashboard!$F$4) * _xlfn.NORM.S.INV(RAND())</f>
        <v>-2.314110092712051E-2</v>
      </c>
      <c r="U4689" s="59">
        <f ca="1">Dashboard!D$8* Dashboard!$F$4+Dashboard!D$10*SQRT(Dashboard!$F$4) * _xlfn.NORM.S.INV(RAND())</f>
        <v>-7.1625428310398642E-2</v>
      </c>
    </row>
    <row r="4690" spans="18:21" x14ac:dyDescent="0.2">
      <c r="R4690" s="49">
        <v>4688</v>
      </c>
      <c r="S4690" s="59">
        <f ca="1">Dashboard!B$8* Dashboard!$F$4+Dashboard!B$10*SQRT(Dashboard!$F$4) * _xlfn.NORM.S.INV(RAND())</f>
        <v>-1.7225076388939754E-2</v>
      </c>
      <c r="T4690" s="59">
        <f ca="1">Dashboard!C$8* Dashboard!$F$4+Dashboard!C$10*SQRT(Dashboard!$F$4) * _xlfn.NORM.S.INV(RAND())</f>
        <v>-2.2242783827670209E-2</v>
      </c>
      <c r="U4690" s="59">
        <f ca="1">Dashboard!D$8* Dashboard!$F$4+Dashboard!D$10*SQRT(Dashboard!$F$4) * _xlfn.NORM.S.INV(RAND())</f>
        <v>-1.1453994559966825E-2</v>
      </c>
    </row>
    <row r="4691" spans="18:21" x14ac:dyDescent="0.2">
      <c r="R4691" s="49">
        <v>4689</v>
      </c>
      <c r="S4691" s="59">
        <f ca="1">Dashboard!B$8* Dashboard!$F$4+Dashboard!B$10*SQRT(Dashboard!$F$4) * _xlfn.NORM.S.INV(RAND())</f>
        <v>-2.1912872392810666E-2</v>
      </c>
      <c r="T4691" s="59">
        <f ca="1">Dashboard!C$8* Dashboard!$F$4+Dashboard!C$10*SQRT(Dashboard!$F$4) * _xlfn.NORM.S.INV(RAND())</f>
        <v>4.9787892726893416E-3</v>
      </c>
      <c r="U4691" s="59">
        <f ca="1">Dashboard!D$8* Dashboard!$F$4+Dashboard!D$10*SQRT(Dashboard!$F$4) * _xlfn.NORM.S.INV(RAND())</f>
        <v>-6.521755047788718E-3</v>
      </c>
    </row>
    <row r="4692" spans="18:21" x14ac:dyDescent="0.2">
      <c r="R4692" s="49">
        <v>4690</v>
      </c>
      <c r="S4692" s="59">
        <f ca="1">Dashboard!B$8* Dashboard!$F$4+Dashboard!B$10*SQRT(Dashboard!$F$4) * _xlfn.NORM.S.INV(RAND())</f>
        <v>1.1071214341838819E-2</v>
      </c>
      <c r="T4692" s="59">
        <f ca="1">Dashboard!C$8* Dashboard!$F$4+Dashboard!C$10*SQRT(Dashboard!$F$4) * _xlfn.NORM.S.INV(RAND())</f>
        <v>5.9391374554295884E-2</v>
      </c>
      <c r="U4692" s="59">
        <f ca="1">Dashboard!D$8* Dashboard!$F$4+Dashboard!D$10*SQRT(Dashboard!$F$4) * _xlfn.NORM.S.INV(RAND())</f>
        <v>4.5087549889823086E-3</v>
      </c>
    </row>
    <row r="4693" spans="18:21" x14ac:dyDescent="0.2">
      <c r="R4693" s="49">
        <v>4691</v>
      </c>
      <c r="S4693" s="59">
        <f ca="1">Dashboard!B$8* Dashboard!$F$4+Dashboard!B$10*SQRT(Dashboard!$F$4) * _xlfn.NORM.S.INV(RAND())</f>
        <v>6.1592865737118419E-3</v>
      </c>
      <c r="T4693" s="59">
        <f ca="1">Dashboard!C$8* Dashboard!$F$4+Dashboard!C$10*SQRT(Dashboard!$F$4) * _xlfn.NORM.S.INV(RAND())</f>
        <v>1.0761408265801461E-2</v>
      </c>
      <c r="U4693" s="59">
        <f ca="1">Dashboard!D$8* Dashboard!$F$4+Dashboard!D$10*SQRT(Dashboard!$F$4) * _xlfn.NORM.S.INV(RAND())</f>
        <v>-4.9399769878476774E-2</v>
      </c>
    </row>
    <row r="4694" spans="18:21" x14ac:dyDescent="0.2">
      <c r="R4694" s="49">
        <v>4692</v>
      </c>
      <c r="S4694" s="59">
        <f ca="1">Dashboard!B$8* Dashboard!$F$4+Dashboard!B$10*SQRT(Dashboard!$F$4) * _xlfn.NORM.S.INV(RAND())</f>
        <v>-1.0898504165764555E-2</v>
      </c>
      <c r="T4694" s="59">
        <f ca="1">Dashboard!C$8* Dashboard!$F$4+Dashboard!C$10*SQRT(Dashboard!$F$4) * _xlfn.NORM.S.INV(RAND())</f>
        <v>2.2590864920236896E-2</v>
      </c>
      <c r="U4694" s="59">
        <f ca="1">Dashboard!D$8* Dashboard!$F$4+Dashboard!D$10*SQRT(Dashboard!$F$4) * _xlfn.NORM.S.INV(RAND())</f>
        <v>3.119235248175567E-2</v>
      </c>
    </row>
    <row r="4695" spans="18:21" x14ac:dyDescent="0.2">
      <c r="R4695" s="49">
        <v>4693</v>
      </c>
      <c r="S4695" s="59">
        <f ca="1">Dashboard!B$8* Dashboard!$F$4+Dashboard!B$10*SQRT(Dashboard!$F$4) * _xlfn.NORM.S.INV(RAND())</f>
        <v>-4.2573138959407952E-2</v>
      </c>
      <c r="T4695" s="59">
        <f ca="1">Dashboard!C$8* Dashboard!$F$4+Dashboard!C$10*SQRT(Dashboard!$F$4) * _xlfn.NORM.S.INV(RAND())</f>
        <v>4.9400135403989416E-2</v>
      </c>
      <c r="U4695" s="59">
        <f ca="1">Dashboard!D$8* Dashboard!$F$4+Dashboard!D$10*SQRT(Dashboard!$F$4) * _xlfn.NORM.S.INV(RAND())</f>
        <v>-1.2433547212440524E-3</v>
      </c>
    </row>
    <row r="4696" spans="18:21" x14ac:dyDescent="0.2">
      <c r="R4696" s="49">
        <v>4694</v>
      </c>
      <c r="S4696" s="59">
        <f ca="1">Dashboard!B$8* Dashboard!$F$4+Dashboard!B$10*SQRT(Dashboard!$F$4) * _xlfn.NORM.S.INV(RAND())</f>
        <v>-4.6859172205600368E-2</v>
      </c>
      <c r="T4696" s="59">
        <f ca="1">Dashboard!C$8* Dashboard!$F$4+Dashboard!C$10*SQRT(Dashboard!$F$4) * _xlfn.NORM.S.INV(RAND())</f>
        <v>3.4926981993900698E-3</v>
      </c>
      <c r="U4696" s="59">
        <f ca="1">Dashboard!D$8* Dashboard!$F$4+Dashboard!D$10*SQRT(Dashboard!$F$4) * _xlfn.NORM.S.INV(RAND())</f>
        <v>-2.1729429856775173E-2</v>
      </c>
    </row>
    <row r="4697" spans="18:21" x14ac:dyDescent="0.2">
      <c r="R4697" s="49">
        <v>4695</v>
      </c>
      <c r="S4697" s="59">
        <f ca="1">Dashboard!B$8* Dashboard!$F$4+Dashboard!B$10*SQRT(Dashboard!$F$4) * _xlfn.NORM.S.INV(RAND())</f>
        <v>1.3864644753892961E-3</v>
      </c>
      <c r="T4697" s="59">
        <f ca="1">Dashboard!C$8* Dashboard!$F$4+Dashboard!C$10*SQRT(Dashboard!$F$4) * _xlfn.NORM.S.INV(RAND())</f>
        <v>-3.8371642120206453E-2</v>
      </c>
      <c r="U4697" s="59">
        <f ca="1">Dashboard!D$8* Dashboard!$F$4+Dashboard!D$10*SQRT(Dashboard!$F$4) * _xlfn.NORM.S.INV(RAND())</f>
        <v>-3.1847686710931473E-2</v>
      </c>
    </row>
    <row r="4698" spans="18:21" x14ac:dyDescent="0.2">
      <c r="R4698" s="49">
        <v>4696</v>
      </c>
      <c r="S4698" s="59">
        <f ca="1">Dashboard!B$8* Dashboard!$F$4+Dashboard!B$10*SQRT(Dashboard!$F$4) * _xlfn.NORM.S.INV(RAND())</f>
        <v>-1.86343888184223E-2</v>
      </c>
      <c r="T4698" s="59">
        <f ca="1">Dashboard!C$8* Dashboard!$F$4+Dashboard!C$10*SQRT(Dashboard!$F$4) * _xlfn.NORM.S.INV(RAND())</f>
        <v>6.8487352378408278E-2</v>
      </c>
      <c r="U4698" s="59">
        <f ca="1">Dashboard!D$8* Dashboard!$F$4+Dashboard!D$10*SQRT(Dashboard!$F$4) * _xlfn.NORM.S.INV(RAND())</f>
        <v>-1.844825968460044E-2</v>
      </c>
    </row>
    <row r="4699" spans="18:21" x14ac:dyDescent="0.2">
      <c r="R4699" s="49">
        <v>4697</v>
      </c>
      <c r="S4699" s="59">
        <f ca="1">Dashboard!B$8* Dashboard!$F$4+Dashboard!B$10*SQRT(Dashboard!$F$4) * _xlfn.NORM.S.INV(RAND())</f>
        <v>-5.712942989381227E-2</v>
      </c>
      <c r="T4699" s="59">
        <f ca="1">Dashboard!C$8* Dashboard!$F$4+Dashboard!C$10*SQRT(Dashboard!$F$4) * _xlfn.NORM.S.INV(RAND())</f>
        <v>5.7850182618836558E-2</v>
      </c>
      <c r="U4699" s="59">
        <f ca="1">Dashboard!D$8* Dashboard!$F$4+Dashboard!D$10*SQRT(Dashboard!$F$4) * _xlfn.NORM.S.INV(RAND())</f>
        <v>5.2174894532129867E-2</v>
      </c>
    </row>
    <row r="4700" spans="18:21" x14ac:dyDescent="0.2">
      <c r="R4700" s="49">
        <v>4698</v>
      </c>
      <c r="S4700" s="59">
        <f ca="1">Dashboard!B$8* Dashboard!$F$4+Dashboard!B$10*SQRT(Dashboard!$F$4) * _xlfn.NORM.S.INV(RAND())</f>
        <v>-1.5287317785311496E-2</v>
      </c>
      <c r="T4700" s="59">
        <f ca="1">Dashboard!C$8* Dashboard!$F$4+Dashboard!C$10*SQRT(Dashboard!$F$4) * _xlfn.NORM.S.INV(RAND())</f>
        <v>-6.0664689503004049E-2</v>
      </c>
      <c r="U4700" s="59">
        <f ca="1">Dashboard!D$8* Dashboard!$F$4+Dashboard!D$10*SQRT(Dashboard!$F$4) * _xlfn.NORM.S.INV(RAND())</f>
        <v>8.4858128322848527E-3</v>
      </c>
    </row>
    <row r="4701" spans="18:21" x14ac:dyDescent="0.2">
      <c r="R4701" s="49">
        <v>4699</v>
      </c>
      <c r="S4701" s="59">
        <f ca="1">Dashboard!B$8* Dashboard!$F$4+Dashboard!B$10*SQRT(Dashboard!$F$4) * _xlfn.NORM.S.INV(RAND())</f>
        <v>-5.5274435335403167E-2</v>
      </c>
      <c r="T4701" s="59">
        <f ca="1">Dashboard!C$8* Dashboard!$F$4+Dashboard!C$10*SQRT(Dashboard!$F$4) * _xlfn.NORM.S.INV(RAND())</f>
        <v>6.511341478919494E-2</v>
      </c>
      <c r="U4701" s="59">
        <f ca="1">Dashboard!D$8* Dashboard!$F$4+Dashboard!D$10*SQRT(Dashboard!$F$4) * _xlfn.NORM.S.INV(RAND())</f>
        <v>1.7646116677400375E-2</v>
      </c>
    </row>
    <row r="4702" spans="18:21" x14ac:dyDescent="0.2">
      <c r="R4702" s="49">
        <v>4700</v>
      </c>
      <c r="S4702" s="59">
        <f ca="1">Dashboard!B$8* Dashboard!$F$4+Dashboard!B$10*SQRT(Dashboard!$F$4) * _xlfn.NORM.S.INV(RAND())</f>
        <v>6.5558132838755542E-2</v>
      </c>
      <c r="T4702" s="59">
        <f ca="1">Dashboard!C$8* Dashboard!$F$4+Dashboard!C$10*SQRT(Dashboard!$F$4) * _xlfn.NORM.S.INV(RAND())</f>
        <v>2.4252643210795725E-2</v>
      </c>
      <c r="U4702" s="59">
        <f ca="1">Dashboard!D$8* Dashboard!$F$4+Dashboard!D$10*SQRT(Dashboard!$F$4) * _xlfn.NORM.S.INV(RAND())</f>
        <v>-9.3311577330551024E-2</v>
      </c>
    </row>
    <row r="4703" spans="18:21" x14ac:dyDescent="0.2">
      <c r="R4703" s="49">
        <v>4701</v>
      </c>
      <c r="S4703" s="59">
        <f ca="1">Dashboard!B$8* Dashboard!$F$4+Dashboard!B$10*SQRT(Dashboard!$F$4) * _xlfn.NORM.S.INV(RAND())</f>
        <v>-8.7305802947717191E-3</v>
      </c>
      <c r="T4703" s="59">
        <f ca="1">Dashboard!C$8* Dashboard!$F$4+Dashboard!C$10*SQRT(Dashboard!$F$4) * _xlfn.NORM.S.INV(RAND())</f>
        <v>1.7443197808764163E-3</v>
      </c>
      <c r="U4703" s="59">
        <f ca="1">Dashboard!D$8* Dashboard!$F$4+Dashboard!D$10*SQRT(Dashboard!$F$4) * _xlfn.NORM.S.INV(RAND())</f>
        <v>-4.1547749084218481E-2</v>
      </c>
    </row>
    <row r="4704" spans="18:21" x14ac:dyDescent="0.2">
      <c r="R4704" s="49">
        <v>4702</v>
      </c>
      <c r="S4704" s="59">
        <f ca="1">Dashboard!B$8* Dashboard!$F$4+Dashboard!B$10*SQRT(Dashboard!$F$4) * _xlfn.NORM.S.INV(RAND())</f>
        <v>2.07875326076188E-2</v>
      </c>
      <c r="T4704" s="59">
        <f ca="1">Dashboard!C$8* Dashboard!$F$4+Dashboard!C$10*SQRT(Dashboard!$F$4) * _xlfn.NORM.S.INV(RAND())</f>
        <v>-2.3004861231525293E-2</v>
      </c>
      <c r="U4704" s="59">
        <f ca="1">Dashboard!D$8* Dashboard!$F$4+Dashboard!D$10*SQRT(Dashboard!$F$4) * _xlfn.NORM.S.INV(RAND())</f>
        <v>-7.7654358964779372E-3</v>
      </c>
    </row>
    <row r="4705" spans="18:21" x14ac:dyDescent="0.2">
      <c r="R4705" s="49">
        <v>4703</v>
      </c>
      <c r="S4705" s="59">
        <f ca="1">Dashboard!B$8* Dashboard!$F$4+Dashboard!B$10*SQRT(Dashboard!$F$4) * _xlfn.NORM.S.INV(RAND())</f>
        <v>8.4692221848360338E-3</v>
      </c>
      <c r="T4705" s="59">
        <f ca="1">Dashboard!C$8* Dashboard!$F$4+Dashboard!C$10*SQRT(Dashboard!$F$4) * _xlfn.NORM.S.INV(RAND())</f>
        <v>-3.152854734985807E-2</v>
      </c>
      <c r="U4705" s="59">
        <f ca="1">Dashboard!D$8* Dashboard!$F$4+Dashboard!D$10*SQRT(Dashboard!$F$4) * _xlfn.NORM.S.INV(RAND())</f>
        <v>1.7598450360953772E-2</v>
      </c>
    </row>
    <row r="4706" spans="18:21" x14ac:dyDescent="0.2">
      <c r="R4706" s="49">
        <v>4704</v>
      </c>
      <c r="S4706" s="59">
        <f ca="1">Dashboard!B$8* Dashboard!$F$4+Dashboard!B$10*SQRT(Dashboard!$F$4) * _xlfn.NORM.S.INV(RAND())</f>
        <v>-2.4960625845895E-2</v>
      </c>
      <c r="T4706" s="59">
        <f ca="1">Dashboard!C$8* Dashboard!$F$4+Dashboard!C$10*SQRT(Dashboard!$F$4) * _xlfn.NORM.S.INV(RAND())</f>
        <v>-1.6830552592675067E-2</v>
      </c>
      <c r="U4706" s="59">
        <f ca="1">Dashboard!D$8* Dashboard!$F$4+Dashboard!D$10*SQRT(Dashboard!$F$4) * _xlfn.NORM.S.INV(RAND())</f>
        <v>-2.032052911702247E-3</v>
      </c>
    </row>
    <row r="4707" spans="18:21" x14ac:dyDescent="0.2">
      <c r="R4707" s="49">
        <v>4705</v>
      </c>
      <c r="S4707" s="59">
        <f ca="1">Dashboard!B$8* Dashboard!$F$4+Dashboard!B$10*SQRT(Dashboard!$F$4) * _xlfn.NORM.S.INV(RAND())</f>
        <v>2.1307040891118276E-2</v>
      </c>
      <c r="T4707" s="59">
        <f ca="1">Dashboard!C$8* Dashboard!$F$4+Dashboard!C$10*SQRT(Dashboard!$F$4) * _xlfn.NORM.S.INV(RAND())</f>
        <v>5.8486066677654588E-2</v>
      </c>
      <c r="U4707" s="59">
        <f ca="1">Dashboard!D$8* Dashboard!$F$4+Dashboard!D$10*SQRT(Dashboard!$F$4) * _xlfn.NORM.S.INV(RAND())</f>
        <v>-4.5482826165978825E-2</v>
      </c>
    </row>
    <row r="4708" spans="18:21" x14ac:dyDescent="0.2">
      <c r="R4708" s="49">
        <v>4706</v>
      </c>
      <c r="S4708" s="59">
        <f ca="1">Dashboard!B$8* Dashboard!$F$4+Dashboard!B$10*SQRT(Dashboard!$F$4) * _xlfn.NORM.S.INV(RAND())</f>
        <v>1.0660364072993646E-2</v>
      </c>
      <c r="T4708" s="59">
        <f ca="1">Dashboard!C$8* Dashboard!$F$4+Dashboard!C$10*SQRT(Dashboard!$F$4) * _xlfn.NORM.S.INV(RAND())</f>
        <v>1.7266864465556073E-2</v>
      </c>
      <c r="U4708" s="59">
        <f ca="1">Dashboard!D$8* Dashboard!$F$4+Dashboard!D$10*SQRT(Dashboard!$F$4) * _xlfn.NORM.S.INV(RAND())</f>
        <v>-2.2617479403821441E-2</v>
      </c>
    </row>
    <row r="4709" spans="18:21" x14ac:dyDescent="0.2">
      <c r="R4709" s="49">
        <v>4707</v>
      </c>
      <c r="S4709" s="59">
        <f ca="1">Dashboard!B$8* Dashboard!$F$4+Dashboard!B$10*SQRT(Dashboard!$F$4) * _xlfn.NORM.S.INV(RAND())</f>
        <v>-9.1281275535781206E-3</v>
      </c>
      <c r="T4709" s="59">
        <f ca="1">Dashboard!C$8* Dashboard!$F$4+Dashboard!C$10*SQRT(Dashboard!$F$4) * _xlfn.NORM.S.INV(RAND())</f>
        <v>-2.3505373563870818E-2</v>
      </c>
      <c r="U4709" s="59">
        <f ca="1">Dashboard!D$8* Dashboard!$F$4+Dashboard!D$10*SQRT(Dashboard!$F$4) * _xlfn.NORM.S.INV(RAND())</f>
        <v>-1.360770287960464E-2</v>
      </c>
    </row>
    <row r="4710" spans="18:21" x14ac:dyDescent="0.2">
      <c r="R4710" s="49">
        <v>4708</v>
      </c>
      <c r="S4710" s="59">
        <f ca="1">Dashboard!B$8* Dashboard!$F$4+Dashboard!B$10*SQRT(Dashboard!$F$4) * _xlfn.NORM.S.INV(RAND())</f>
        <v>-2.3641833964406209E-2</v>
      </c>
      <c r="T4710" s="59">
        <f ca="1">Dashboard!C$8* Dashboard!$F$4+Dashboard!C$10*SQRT(Dashboard!$F$4) * _xlfn.NORM.S.INV(RAND())</f>
        <v>-1.2541149317464376E-2</v>
      </c>
      <c r="U4710" s="59">
        <f ca="1">Dashboard!D$8* Dashboard!$F$4+Dashboard!D$10*SQRT(Dashboard!$F$4) * _xlfn.NORM.S.INV(RAND())</f>
        <v>1.8282434212734643E-2</v>
      </c>
    </row>
    <row r="4711" spans="18:21" x14ac:dyDescent="0.2">
      <c r="R4711" s="49">
        <v>4709</v>
      </c>
      <c r="S4711" s="59">
        <f ca="1">Dashboard!B$8* Dashboard!$F$4+Dashboard!B$10*SQRT(Dashboard!$F$4) * _xlfn.NORM.S.INV(RAND())</f>
        <v>1.9954452932690984E-2</v>
      </c>
      <c r="T4711" s="59">
        <f ca="1">Dashboard!C$8* Dashboard!$F$4+Dashboard!C$10*SQRT(Dashboard!$F$4) * _xlfn.NORM.S.INV(RAND())</f>
        <v>5.3342038594116487E-2</v>
      </c>
      <c r="U4711" s="59">
        <f ca="1">Dashboard!D$8* Dashboard!$F$4+Dashboard!D$10*SQRT(Dashboard!$F$4) * _xlfn.NORM.S.INV(RAND())</f>
        <v>-4.5717779965394967E-3</v>
      </c>
    </row>
    <row r="4712" spans="18:21" x14ac:dyDescent="0.2">
      <c r="R4712" s="49">
        <v>4710</v>
      </c>
      <c r="S4712" s="59">
        <f ca="1">Dashboard!B$8* Dashboard!$F$4+Dashboard!B$10*SQRT(Dashboard!$F$4) * _xlfn.NORM.S.INV(RAND())</f>
        <v>-2.1953499735756492E-2</v>
      </c>
      <c r="T4712" s="59">
        <f ca="1">Dashboard!C$8* Dashboard!$F$4+Dashboard!C$10*SQRT(Dashboard!$F$4) * _xlfn.NORM.S.INV(RAND())</f>
        <v>-8.2211980723451247E-2</v>
      </c>
      <c r="U4712" s="59">
        <f ca="1">Dashboard!D$8* Dashboard!$F$4+Dashboard!D$10*SQRT(Dashboard!$F$4) * _xlfn.NORM.S.INV(RAND())</f>
        <v>5.2423581620858976E-3</v>
      </c>
    </row>
    <row r="4713" spans="18:21" x14ac:dyDescent="0.2">
      <c r="R4713" s="49">
        <v>4711</v>
      </c>
      <c r="S4713" s="59">
        <f ca="1">Dashboard!B$8* Dashboard!$F$4+Dashboard!B$10*SQRT(Dashboard!$F$4) * _xlfn.NORM.S.INV(RAND())</f>
        <v>3.3892504628280036E-2</v>
      </c>
      <c r="T4713" s="59">
        <f ca="1">Dashboard!C$8* Dashboard!$F$4+Dashboard!C$10*SQRT(Dashboard!$F$4) * _xlfn.NORM.S.INV(RAND())</f>
        <v>-8.1082660993792577E-3</v>
      </c>
      <c r="U4713" s="59">
        <f ca="1">Dashboard!D$8* Dashboard!$F$4+Dashboard!D$10*SQRT(Dashboard!$F$4) * _xlfn.NORM.S.INV(RAND())</f>
        <v>-8.6960102250651945E-3</v>
      </c>
    </row>
    <row r="4714" spans="18:21" x14ac:dyDescent="0.2">
      <c r="R4714" s="49">
        <v>4712</v>
      </c>
      <c r="S4714" s="59">
        <f ca="1">Dashboard!B$8* Dashboard!$F$4+Dashboard!B$10*SQRT(Dashboard!$F$4) * _xlfn.NORM.S.INV(RAND())</f>
        <v>-1.1923660967980587E-2</v>
      </c>
      <c r="T4714" s="59">
        <f ca="1">Dashboard!C$8* Dashboard!$F$4+Dashboard!C$10*SQRT(Dashboard!$F$4) * _xlfn.NORM.S.INV(RAND())</f>
        <v>-2.083803610489535E-2</v>
      </c>
      <c r="U4714" s="59">
        <f ca="1">Dashboard!D$8* Dashboard!$F$4+Dashboard!D$10*SQRT(Dashboard!$F$4) * _xlfn.NORM.S.INV(RAND())</f>
        <v>-9.2873028808807562E-3</v>
      </c>
    </row>
    <row r="4715" spans="18:21" x14ac:dyDescent="0.2">
      <c r="R4715" s="49">
        <v>4713</v>
      </c>
      <c r="S4715" s="59">
        <f ca="1">Dashboard!B$8* Dashboard!$F$4+Dashboard!B$10*SQRT(Dashboard!$F$4) * _xlfn.NORM.S.INV(RAND())</f>
        <v>-1.3095817272273042E-2</v>
      </c>
      <c r="T4715" s="59">
        <f ca="1">Dashboard!C$8* Dashboard!$F$4+Dashboard!C$10*SQRT(Dashboard!$F$4) * _xlfn.NORM.S.INV(RAND())</f>
        <v>1.1715269511863311E-3</v>
      </c>
      <c r="U4715" s="59">
        <f ca="1">Dashboard!D$8* Dashboard!$F$4+Dashboard!D$10*SQRT(Dashboard!$F$4) * _xlfn.NORM.S.INV(RAND())</f>
        <v>4.2792210290669777E-2</v>
      </c>
    </row>
    <row r="4716" spans="18:21" x14ac:dyDescent="0.2">
      <c r="R4716" s="49">
        <v>4714</v>
      </c>
      <c r="S4716" s="59">
        <f ca="1">Dashboard!B$8* Dashboard!$F$4+Dashboard!B$10*SQRT(Dashboard!$F$4) * _xlfn.NORM.S.INV(RAND())</f>
        <v>-7.6562974943188665E-4</v>
      </c>
      <c r="T4716" s="59">
        <f ca="1">Dashboard!C$8* Dashboard!$F$4+Dashboard!C$10*SQRT(Dashboard!$F$4) * _xlfn.NORM.S.INV(RAND())</f>
        <v>-1.9246369003322232E-3</v>
      </c>
      <c r="U4716" s="59">
        <f ca="1">Dashboard!D$8* Dashboard!$F$4+Dashboard!D$10*SQRT(Dashboard!$F$4) * _xlfn.NORM.S.INV(RAND())</f>
        <v>4.2060468735882137E-2</v>
      </c>
    </row>
    <row r="4717" spans="18:21" x14ac:dyDescent="0.2">
      <c r="R4717" s="49">
        <v>4715</v>
      </c>
      <c r="S4717" s="59">
        <f ca="1">Dashboard!B$8* Dashboard!$F$4+Dashboard!B$10*SQRT(Dashboard!$F$4) * _xlfn.NORM.S.INV(RAND())</f>
        <v>-9.0769308343142674E-3</v>
      </c>
      <c r="T4717" s="59">
        <f ca="1">Dashboard!C$8* Dashboard!$F$4+Dashboard!C$10*SQRT(Dashboard!$F$4) * _xlfn.NORM.S.INV(RAND())</f>
        <v>3.8746514412897934E-2</v>
      </c>
      <c r="U4717" s="59">
        <f ca="1">Dashboard!D$8* Dashboard!$F$4+Dashboard!D$10*SQRT(Dashboard!$F$4) * _xlfn.NORM.S.INV(RAND())</f>
        <v>-0.10801408580547796</v>
      </c>
    </row>
    <row r="4718" spans="18:21" x14ac:dyDescent="0.2">
      <c r="R4718" s="49">
        <v>4716</v>
      </c>
      <c r="S4718" s="59">
        <f ca="1">Dashboard!B$8* Dashboard!$F$4+Dashboard!B$10*SQRT(Dashboard!$F$4) * _xlfn.NORM.S.INV(RAND())</f>
        <v>-2.7920538897350938E-3</v>
      </c>
      <c r="T4718" s="59">
        <f ca="1">Dashboard!C$8* Dashboard!$F$4+Dashboard!C$10*SQRT(Dashboard!$F$4) * _xlfn.NORM.S.INV(RAND())</f>
        <v>-4.9193076989578607E-3</v>
      </c>
      <c r="U4718" s="59">
        <f ca="1">Dashboard!D$8* Dashboard!$F$4+Dashboard!D$10*SQRT(Dashboard!$F$4) * _xlfn.NORM.S.INV(RAND())</f>
        <v>-8.4657375790698022E-4</v>
      </c>
    </row>
    <row r="4719" spans="18:21" x14ac:dyDescent="0.2">
      <c r="R4719" s="49">
        <v>4717</v>
      </c>
      <c r="S4719" s="59">
        <f ca="1">Dashboard!B$8* Dashboard!$F$4+Dashboard!B$10*SQRT(Dashboard!$F$4) * _xlfn.NORM.S.INV(RAND())</f>
        <v>5.851067419078762E-2</v>
      </c>
      <c r="T4719" s="59">
        <f ca="1">Dashboard!C$8* Dashboard!$F$4+Dashboard!C$10*SQRT(Dashboard!$F$4) * _xlfn.NORM.S.INV(RAND())</f>
        <v>-7.8314535397430371E-3</v>
      </c>
      <c r="U4719" s="59">
        <f ca="1">Dashboard!D$8* Dashboard!$F$4+Dashboard!D$10*SQRT(Dashboard!$F$4) * _xlfn.NORM.S.INV(RAND())</f>
        <v>2.1109381339586099E-2</v>
      </c>
    </row>
    <row r="4720" spans="18:21" x14ac:dyDescent="0.2">
      <c r="R4720" s="49">
        <v>4718</v>
      </c>
      <c r="S4720" s="59">
        <f ca="1">Dashboard!B$8* Dashboard!$F$4+Dashboard!B$10*SQRT(Dashboard!$F$4) * _xlfn.NORM.S.INV(RAND())</f>
        <v>-1.4303471971532492E-2</v>
      </c>
      <c r="T4720" s="59">
        <f ca="1">Dashboard!C$8* Dashboard!$F$4+Dashboard!C$10*SQRT(Dashboard!$F$4) * _xlfn.NORM.S.INV(RAND())</f>
        <v>4.1585310017113464E-3</v>
      </c>
      <c r="U4720" s="59">
        <f ca="1">Dashboard!D$8* Dashboard!$F$4+Dashboard!D$10*SQRT(Dashboard!$F$4) * _xlfn.NORM.S.INV(RAND())</f>
        <v>4.6548604848596631E-3</v>
      </c>
    </row>
    <row r="4721" spans="18:21" x14ac:dyDescent="0.2">
      <c r="R4721" s="49">
        <v>4719</v>
      </c>
      <c r="S4721" s="59">
        <f ca="1">Dashboard!B$8* Dashboard!$F$4+Dashboard!B$10*SQRT(Dashboard!$F$4) * _xlfn.NORM.S.INV(RAND())</f>
        <v>-3.1642995224501702E-2</v>
      </c>
      <c r="T4721" s="59">
        <f ca="1">Dashboard!C$8* Dashboard!$F$4+Dashboard!C$10*SQRT(Dashboard!$F$4) * _xlfn.NORM.S.INV(RAND())</f>
        <v>-2.7752056340511453E-2</v>
      </c>
      <c r="U4721" s="59">
        <f ca="1">Dashboard!D$8* Dashboard!$F$4+Dashboard!D$10*SQRT(Dashboard!$F$4) * _xlfn.NORM.S.INV(RAND())</f>
        <v>4.5496184300684505E-3</v>
      </c>
    </row>
    <row r="4722" spans="18:21" x14ac:dyDescent="0.2">
      <c r="R4722" s="49">
        <v>4720</v>
      </c>
      <c r="S4722" s="59">
        <f ca="1">Dashboard!B$8* Dashboard!$F$4+Dashboard!B$10*SQRT(Dashboard!$F$4) * _xlfn.NORM.S.INV(RAND())</f>
        <v>-1.8874987896935386E-2</v>
      </c>
      <c r="T4722" s="59">
        <f ca="1">Dashboard!C$8* Dashboard!$F$4+Dashboard!C$10*SQRT(Dashboard!$F$4) * _xlfn.NORM.S.INV(RAND())</f>
        <v>-1.9065581026057555E-3</v>
      </c>
      <c r="U4722" s="59">
        <f ca="1">Dashboard!D$8* Dashboard!$F$4+Dashboard!D$10*SQRT(Dashboard!$F$4) * _xlfn.NORM.S.INV(RAND())</f>
        <v>3.3750474556011522E-3</v>
      </c>
    </row>
    <row r="4723" spans="18:21" x14ac:dyDescent="0.2">
      <c r="R4723" s="49">
        <v>4721</v>
      </c>
      <c r="S4723" s="59">
        <f ca="1">Dashboard!B$8* Dashboard!$F$4+Dashboard!B$10*SQRT(Dashboard!$F$4) * _xlfn.NORM.S.INV(RAND())</f>
        <v>-2.9825073703431147E-2</v>
      </c>
      <c r="T4723" s="59">
        <f ca="1">Dashboard!C$8* Dashboard!$F$4+Dashboard!C$10*SQRT(Dashboard!$F$4) * _xlfn.NORM.S.INV(RAND())</f>
        <v>5.058909724111197E-2</v>
      </c>
      <c r="U4723" s="59">
        <f ca="1">Dashboard!D$8* Dashboard!$F$4+Dashboard!D$10*SQRT(Dashboard!$F$4) * _xlfn.NORM.S.INV(RAND())</f>
        <v>-2.4091135234985652E-2</v>
      </c>
    </row>
    <row r="4724" spans="18:21" x14ac:dyDescent="0.2">
      <c r="R4724" s="49">
        <v>4722</v>
      </c>
      <c r="S4724" s="59">
        <f ca="1">Dashboard!B$8* Dashboard!$F$4+Dashboard!B$10*SQRT(Dashboard!$F$4) * _xlfn.NORM.S.INV(RAND())</f>
        <v>7.2919924590997848E-3</v>
      </c>
      <c r="T4724" s="59">
        <f ca="1">Dashboard!C$8* Dashboard!$F$4+Dashboard!C$10*SQRT(Dashboard!$F$4) * _xlfn.NORM.S.INV(RAND())</f>
        <v>-4.1784960447258102E-2</v>
      </c>
      <c r="U4724" s="59">
        <f ca="1">Dashboard!D$8* Dashboard!$F$4+Dashboard!D$10*SQRT(Dashboard!$F$4) * _xlfn.NORM.S.INV(RAND())</f>
        <v>9.8623341585510806E-3</v>
      </c>
    </row>
    <row r="4725" spans="18:21" x14ac:dyDescent="0.2">
      <c r="R4725" s="49">
        <v>4723</v>
      </c>
      <c r="S4725" s="59">
        <f ca="1">Dashboard!B$8* Dashboard!$F$4+Dashboard!B$10*SQRT(Dashboard!$F$4) * _xlfn.NORM.S.INV(RAND())</f>
        <v>-1.965149216869664E-2</v>
      </c>
      <c r="T4725" s="59">
        <f ca="1">Dashboard!C$8* Dashboard!$F$4+Dashboard!C$10*SQRT(Dashboard!$F$4) * _xlfn.NORM.S.INV(RAND())</f>
        <v>1.3007374289892718E-3</v>
      </c>
      <c r="U4725" s="59">
        <f ca="1">Dashboard!D$8* Dashboard!$F$4+Dashboard!D$10*SQRT(Dashboard!$F$4) * _xlfn.NORM.S.INV(RAND())</f>
        <v>3.4066092841507967E-2</v>
      </c>
    </row>
    <row r="4726" spans="18:21" x14ac:dyDescent="0.2">
      <c r="R4726" s="49">
        <v>4724</v>
      </c>
      <c r="S4726" s="59">
        <f ca="1">Dashboard!B$8* Dashboard!$F$4+Dashboard!B$10*SQRT(Dashboard!$F$4) * _xlfn.NORM.S.INV(RAND())</f>
        <v>-6.2482750797076252E-3</v>
      </c>
      <c r="T4726" s="59">
        <f ca="1">Dashboard!C$8* Dashboard!$F$4+Dashboard!C$10*SQRT(Dashboard!$F$4) * _xlfn.NORM.S.INV(RAND())</f>
        <v>9.3872392747330682E-2</v>
      </c>
      <c r="U4726" s="59">
        <f ca="1">Dashboard!D$8* Dashboard!$F$4+Dashboard!D$10*SQRT(Dashboard!$F$4) * _xlfn.NORM.S.INV(RAND())</f>
        <v>1.8316035544528875E-2</v>
      </c>
    </row>
    <row r="4727" spans="18:21" x14ac:dyDescent="0.2">
      <c r="R4727" s="49">
        <v>4725</v>
      </c>
      <c r="S4727" s="59">
        <f ca="1">Dashboard!B$8* Dashboard!$F$4+Dashboard!B$10*SQRT(Dashboard!$F$4) * _xlfn.NORM.S.INV(RAND())</f>
        <v>2.115606645790595E-2</v>
      </c>
      <c r="T4727" s="59">
        <f ca="1">Dashboard!C$8* Dashboard!$F$4+Dashboard!C$10*SQRT(Dashboard!$F$4) * _xlfn.NORM.S.INV(RAND())</f>
        <v>8.5929248650230029E-3</v>
      </c>
      <c r="U4727" s="59">
        <f ca="1">Dashboard!D$8* Dashboard!$F$4+Dashboard!D$10*SQRT(Dashboard!$F$4) * _xlfn.NORM.S.INV(RAND())</f>
        <v>5.4512736185292211E-2</v>
      </c>
    </row>
    <row r="4728" spans="18:21" x14ac:dyDescent="0.2">
      <c r="R4728" s="49">
        <v>4726</v>
      </c>
      <c r="S4728" s="59">
        <f ca="1">Dashboard!B$8* Dashboard!$F$4+Dashboard!B$10*SQRT(Dashboard!$F$4) * _xlfn.NORM.S.INV(RAND())</f>
        <v>9.4313964782254456E-2</v>
      </c>
      <c r="T4728" s="59">
        <f ca="1">Dashboard!C$8* Dashboard!$F$4+Dashboard!C$10*SQRT(Dashboard!$F$4) * _xlfn.NORM.S.INV(RAND())</f>
        <v>3.4503980724295225E-2</v>
      </c>
      <c r="U4728" s="59">
        <f ca="1">Dashboard!D$8* Dashboard!$F$4+Dashboard!D$10*SQRT(Dashboard!$F$4) * _xlfn.NORM.S.INV(RAND())</f>
        <v>-1.5168055304772277E-2</v>
      </c>
    </row>
    <row r="4729" spans="18:21" x14ac:dyDescent="0.2">
      <c r="R4729" s="49">
        <v>4727</v>
      </c>
      <c r="S4729" s="59">
        <f ca="1">Dashboard!B$8* Dashboard!$F$4+Dashboard!B$10*SQRT(Dashboard!$F$4) * _xlfn.NORM.S.INV(RAND())</f>
        <v>4.7748926924604182E-2</v>
      </c>
      <c r="T4729" s="59">
        <f ca="1">Dashboard!C$8* Dashboard!$F$4+Dashboard!C$10*SQRT(Dashboard!$F$4) * _xlfn.NORM.S.INV(RAND())</f>
        <v>-4.046066187002495E-2</v>
      </c>
      <c r="U4729" s="59">
        <f ca="1">Dashboard!D$8* Dashboard!$F$4+Dashboard!D$10*SQRT(Dashboard!$F$4) * _xlfn.NORM.S.INV(RAND())</f>
        <v>-1.9473720160368777E-2</v>
      </c>
    </row>
    <row r="4730" spans="18:21" x14ac:dyDescent="0.2">
      <c r="R4730" s="49">
        <v>4728</v>
      </c>
      <c r="S4730" s="59">
        <f ca="1">Dashboard!B$8* Dashboard!$F$4+Dashboard!B$10*SQRT(Dashboard!$F$4) * _xlfn.NORM.S.INV(RAND())</f>
        <v>-3.8116349311065278E-2</v>
      </c>
      <c r="T4730" s="59">
        <f ca="1">Dashboard!C$8* Dashboard!$F$4+Dashboard!C$10*SQRT(Dashboard!$F$4) * _xlfn.NORM.S.INV(RAND())</f>
        <v>-5.3315005292298073E-2</v>
      </c>
      <c r="U4730" s="59">
        <f ca="1">Dashboard!D$8* Dashboard!$F$4+Dashboard!D$10*SQRT(Dashboard!$F$4) * _xlfn.NORM.S.INV(RAND())</f>
        <v>-1.2810232835263119E-2</v>
      </c>
    </row>
    <row r="4731" spans="18:21" x14ac:dyDescent="0.2">
      <c r="R4731" s="49">
        <v>4729</v>
      </c>
      <c r="S4731" s="59">
        <f ca="1">Dashboard!B$8* Dashboard!$F$4+Dashboard!B$10*SQRT(Dashboard!$F$4) * _xlfn.NORM.S.INV(RAND())</f>
        <v>-5.8411474546767879E-2</v>
      </c>
      <c r="T4731" s="59">
        <f ca="1">Dashboard!C$8* Dashboard!$F$4+Dashboard!C$10*SQRT(Dashboard!$F$4) * _xlfn.NORM.S.INV(RAND())</f>
        <v>9.569520784469078E-3</v>
      </c>
      <c r="U4731" s="59">
        <f ca="1">Dashboard!D$8* Dashboard!$F$4+Dashboard!D$10*SQRT(Dashboard!$F$4) * _xlfn.NORM.S.INV(RAND())</f>
        <v>-2.821356386241964E-2</v>
      </c>
    </row>
    <row r="4732" spans="18:21" x14ac:dyDescent="0.2">
      <c r="R4732" s="49">
        <v>4730</v>
      </c>
      <c r="S4732" s="59">
        <f ca="1">Dashboard!B$8* Dashboard!$F$4+Dashboard!B$10*SQRT(Dashboard!$F$4) * _xlfn.NORM.S.INV(RAND())</f>
        <v>-3.4292343967078795E-2</v>
      </c>
      <c r="T4732" s="59">
        <f ca="1">Dashboard!C$8* Dashboard!$F$4+Dashboard!C$10*SQRT(Dashboard!$F$4) * _xlfn.NORM.S.INV(RAND())</f>
        <v>-2.7562450402233003E-2</v>
      </c>
      <c r="U4732" s="59">
        <f ca="1">Dashboard!D$8* Dashboard!$F$4+Dashboard!D$10*SQRT(Dashboard!$F$4) * _xlfn.NORM.S.INV(RAND())</f>
        <v>1.461737247971372E-2</v>
      </c>
    </row>
    <row r="4733" spans="18:21" x14ac:dyDescent="0.2">
      <c r="R4733" s="49">
        <v>4731</v>
      </c>
      <c r="S4733" s="59">
        <f ca="1">Dashboard!B$8* Dashboard!$F$4+Dashboard!B$10*SQRT(Dashboard!$F$4) * _xlfn.NORM.S.INV(RAND())</f>
        <v>4.6520358184584994E-3</v>
      </c>
      <c r="T4733" s="59">
        <f ca="1">Dashboard!C$8* Dashboard!$F$4+Dashboard!C$10*SQRT(Dashboard!$F$4) * _xlfn.NORM.S.INV(RAND())</f>
        <v>3.7976106262218902E-2</v>
      </c>
      <c r="U4733" s="59">
        <f ca="1">Dashboard!D$8* Dashboard!$F$4+Dashboard!D$10*SQRT(Dashboard!$F$4) * _xlfn.NORM.S.INV(RAND())</f>
        <v>4.8628250451219907E-2</v>
      </c>
    </row>
    <row r="4734" spans="18:21" x14ac:dyDescent="0.2">
      <c r="R4734" s="49">
        <v>4732</v>
      </c>
      <c r="S4734" s="59">
        <f ca="1">Dashboard!B$8* Dashboard!$F$4+Dashboard!B$10*SQRT(Dashboard!$F$4) * _xlfn.NORM.S.INV(RAND())</f>
        <v>-1.2004003627786985E-2</v>
      </c>
      <c r="T4734" s="59">
        <f ca="1">Dashboard!C$8* Dashboard!$F$4+Dashboard!C$10*SQRT(Dashboard!$F$4) * _xlfn.NORM.S.INV(RAND())</f>
        <v>-2.0867774746322811E-2</v>
      </c>
      <c r="U4734" s="59">
        <f ca="1">Dashboard!D$8* Dashboard!$F$4+Dashboard!D$10*SQRT(Dashboard!$F$4) * _xlfn.NORM.S.INV(RAND())</f>
        <v>1.6414049186064067E-2</v>
      </c>
    </row>
    <row r="4735" spans="18:21" x14ac:dyDescent="0.2">
      <c r="R4735" s="49">
        <v>4733</v>
      </c>
      <c r="S4735" s="59">
        <f ca="1">Dashboard!B$8* Dashboard!$F$4+Dashboard!B$10*SQRT(Dashboard!$F$4) * _xlfn.NORM.S.INV(RAND())</f>
        <v>3.8378073770868465E-2</v>
      </c>
      <c r="T4735" s="59">
        <f ca="1">Dashboard!C$8* Dashboard!$F$4+Dashboard!C$10*SQRT(Dashboard!$F$4) * _xlfn.NORM.S.INV(RAND())</f>
        <v>2.8998544976964965E-2</v>
      </c>
      <c r="U4735" s="59">
        <f ca="1">Dashboard!D$8* Dashboard!$F$4+Dashboard!D$10*SQRT(Dashboard!$F$4) * _xlfn.NORM.S.INV(RAND())</f>
        <v>-4.8491852409563184E-2</v>
      </c>
    </row>
    <row r="4736" spans="18:21" x14ac:dyDescent="0.2">
      <c r="R4736" s="49">
        <v>4734</v>
      </c>
      <c r="S4736" s="59">
        <f ca="1">Dashboard!B$8* Dashboard!$F$4+Dashboard!B$10*SQRT(Dashboard!$F$4) * _xlfn.NORM.S.INV(RAND())</f>
        <v>9.2028982334358203E-3</v>
      </c>
      <c r="T4736" s="59">
        <f ca="1">Dashboard!C$8* Dashboard!$F$4+Dashboard!C$10*SQRT(Dashboard!$F$4) * _xlfn.NORM.S.INV(RAND())</f>
        <v>-2.3794681367426577E-2</v>
      </c>
      <c r="U4736" s="59">
        <f ca="1">Dashboard!D$8* Dashboard!$F$4+Dashboard!D$10*SQRT(Dashboard!$F$4) * _xlfn.NORM.S.INV(RAND())</f>
        <v>-4.3098378033246182E-3</v>
      </c>
    </row>
    <row r="4737" spans="18:21" x14ac:dyDescent="0.2">
      <c r="R4737" s="49">
        <v>4735</v>
      </c>
      <c r="S4737" s="59">
        <f ca="1">Dashboard!B$8* Dashboard!$F$4+Dashboard!B$10*SQRT(Dashboard!$F$4) * _xlfn.NORM.S.INV(RAND())</f>
        <v>1.8318497374333869E-3</v>
      </c>
      <c r="T4737" s="59">
        <f ca="1">Dashboard!C$8* Dashboard!$F$4+Dashboard!C$10*SQRT(Dashboard!$F$4) * _xlfn.NORM.S.INV(RAND())</f>
        <v>9.9300222610829627E-3</v>
      </c>
      <c r="U4737" s="59">
        <f ca="1">Dashboard!D$8* Dashboard!$F$4+Dashboard!D$10*SQRT(Dashboard!$F$4) * _xlfn.NORM.S.INV(RAND())</f>
        <v>5.6290912241953907E-2</v>
      </c>
    </row>
    <row r="4738" spans="18:21" x14ac:dyDescent="0.2">
      <c r="R4738" s="49">
        <v>4736</v>
      </c>
      <c r="S4738" s="59">
        <f ca="1">Dashboard!B$8* Dashboard!$F$4+Dashboard!B$10*SQRT(Dashboard!$F$4) * _xlfn.NORM.S.INV(RAND())</f>
        <v>2.0105710689404546E-2</v>
      </c>
      <c r="T4738" s="59">
        <f ca="1">Dashboard!C$8* Dashboard!$F$4+Dashboard!C$10*SQRT(Dashboard!$F$4) * _xlfn.NORM.S.INV(RAND())</f>
        <v>-3.661900182614141E-2</v>
      </c>
      <c r="U4738" s="59">
        <f ca="1">Dashboard!D$8* Dashboard!$F$4+Dashboard!D$10*SQRT(Dashboard!$F$4) * _xlfn.NORM.S.INV(RAND())</f>
        <v>-6.5400494910394416E-2</v>
      </c>
    </row>
    <row r="4739" spans="18:21" x14ac:dyDescent="0.2">
      <c r="R4739" s="49">
        <v>4737</v>
      </c>
      <c r="S4739" s="59">
        <f ca="1">Dashboard!B$8* Dashboard!$F$4+Dashboard!B$10*SQRT(Dashboard!$F$4) * _xlfn.NORM.S.INV(RAND())</f>
        <v>-1.0426410408041093E-2</v>
      </c>
      <c r="T4739" s="59">
        <f ca="1">Dashboard!C$8* Dashboard!$F$4+Dashboard!C$10*SQRT(Dashboard!$F$4) * _xlfn.NORM.S.INV(RAND())</f>
        <v>4.7019522763556296E-2</v>
      </c>
      <c r="U4739" s="59">
        <f ca="1">Dashboard!D$8* Dashboard!$F$4+Dashboard!D$10*SQRT(Dashboard!$F$4) * _xlfn.NORM.S.INV(RAND())</f>
        <v>7.2441371223530657E-2</v>
      </c>
    </row>
    <row r="4740" spans="18:21" x14ac:dyDescent="0.2">
      <c r="R4740" s="49">
        <v>4738</v>
      </c>
      <c r="S4740" s="59">
        <f ca="1">Dashboard!B$8* Dashboard!$F$4+Dashboard!B$10*SQRT(Dashboard!$F$4) * _xlfn.NORM.S.INV(RAND())</f>
        <v>-4.6216628370391094E-3</v>
      </c>
      <c r="T4740" s="59">
        <f ca="1">Dashboard!C$8* Dashboard!$F$4+Dashboard!C$10*SQRT(Dashboard!$F$4) * _xlfn.NORM.S.INV(RAND())</f>
        <v>-2.8534071712058785E-2</v>
      </c>
      <c r="U4740" s="59">
        <f ca="1">Dashboard!D$8* Dashboard!$F$4+Dashboard!D$10*SQRT(Dashboard!$F$4) * _xlfn.NORM.S.INV(RAND())</f>
        <v>6.0318808304566244E-3</v>
      </c>
    </row>
    <row r="4741" spans="18:21" x14ac:dyDescent="0.2">
      <c r="R4741" s="49">
        <v>4739</v>
      </c>
      <c r="S4741" s="59">
        <f ca="1">Dashboard!B$8* Dashboard!$F$4+Dashboard!B$10*SQRT(Dashboard!$F$4) * _xlfn.NORM.S.INV(RAND())</f>
        <v>-9.6147942630387118E-3</v>
      </c>
      <c r="T4741" s="59">
        <f ca="1">Dashboard!C$8* Dashboard!$F$4+Dashboard!C$10*SQRT(Dashboard!$F$4) * _xlfn.NORM.S.INV(RAND())</f>
        <v>-3.9815194373193875E-3</v>
      </c>
      <c r="U4741" s="59">
        <f ca="1">Dashboard!D$8* Dashboard!$F$4+Dashboard!D$10*SQRT(Dashboard!$F$4) * _xlfn.NORM.S.INV(RAND())</f>
        <v>7.3103520848794706E-3</v>
      </c>
    </row>
    <row r="4742" spans="18:21" x14ac:dyDescent="0.2">
      <c r="R4742" s="49">
        <v>4740</v>
      </c>
      <c r="S4742" s="59">
        <f ca="1">Dashboard!B$8* Dashboard!$F$4+Dashboard!B$10*SQRT(Dashboard!$F$4) * _xlfn.NORM.S.INV(RAND())</f>
        <v>-9.3804159684289963E-3</v>
      </c>
      <c r="T4742" s="59">
        <f ca="1">Dashboard!C$8* Dashboard!$F$4+Dashboard!C$10*SQRT(Dashboard!$F$4) * _xlfn.NORM.S.INV(RAND())</f>
        <v>-5.0660384872673082E-2</v>
      </c>
      <c r="U4742" s="59">
        <f ca="1">Dashboard!D$8* Dashboard!$F$4+Dashboard!D$10*SQRT(Dashboard!$F$4) * _xlfn.NORM.S.INV(RAND())</f>
        <v>-1.5539732867934544E-2</v>
      </c>
    </row>
    <row r="4743" spans="18:21" x14ac:dyDescent="0.2">
      <c r="R4743" s="49">
        <v>4741</v>
      </c>
      <c r="S4743" s="59">
        <f ca="1">Dashboard!B$8* Dashboard!$F$4+Dashboard!B$10*SQRT(Dashboard!$F$4) * _xlfn.NORM.S.INV(RAND())</f>
        <v>-5.2147274611487916E-2</v>
      </c>
      <c r="T4743" s="59">
        <f ca="1">Dashboard!C$8* Dashboard!$F$4+Dashboard!C$10*SQRT(Dashboard!$F$4) * _xlfn.NORM.S.INV(RAND())</f>
        <v>-4.4577108446291244E-2</v>
      </c>
      <c r="U4743" s="59">
        <f ca="1">Dashboard!D$8* Dashboard!$F$4+Dashboard!D$10*SQRT(Dashboard!$F$4) * _xlfn.NORM.S.INV(RAND())</f>
        <v>-1.3330588417357233E-3</v>
      </c>
    </row>
    <row r="4744" spans="18:21" x14ac:dyDescent="0.2">
      <c r="R4744" s="49">
        <v>4742</v>
      </c>
      <c r="S4744" s="59">
        <f ca="1">Dashboard!B$8* Dashboard!$F$4+Dashboard!B$10*SQRT(Dashboard!$F$4) * _xlfn.NORM.S.INV(RAND())</f>
        <v>-1.7951906897172663E-3</v>
      </c>
      <c r="T4744" s="59">
        <f ca="1">Dashboard!C$8* Dashboard!$F$4+Dashboard!C$10*SQRT(Dashboard!$F$4) * _xlfn.NORM.S.INV(RAND())</f>
        <v>1.1372375815353197E-2</v>
      </c>
      <c r="U4744" s="59">
        <f ca="1">Dashboard!D$8* Dashboard!$F$4+Dashboard!D$10*SQRT(Dashboard!$F$4) * _xlfn.NORM.S.INV(RAND())</f>
        <v>-6.9985963823378627E-2</v>
      </c>
    </row>
    <row r="4745" spans="18:21" x14ac:dyDescent="0.2">
      <c r="R4745" s="49">
        <v>4743</v>
      </c>
      <c r="S4745" s="59">
        <f ca="1">Dashboard!B$8* Dashboard!$F$4+Dashboard!B$10*SQRT(Dashboard!$F$4) * _xlfn.NORM.S.INV(RAND())</f>
        <v>-2.6323857843238686E-2</v>
      </c>
      <c r="T4745" s="59">
        <f ca="1">Dashboard!C$8* Dashboard!$F$4+Dashboard!C$10*SQRT(Dashboard!$F$4) * _xlfn.NORM.S.INV(RAND())</f>
        <v>4.8578621625182533E-2</v>
      </c>
      <c r="U4745" s="59">
        <f ca="1">Dashboard!D$8* Dashboard!$F$4+Dashboard!D$10*SQRT(Dashboard!$F$4) * _xlfn.NORM.S.INV(RAND())</f>
        <v>-3.6354051250819114E-2</v>
      </c>
    </row>
    <row r="4746" spans="18:21" x14ac:dyDescent="0.2">
      <c r="R4746" s="49">
        <v>4744</v>
      </c>
      <c r="S4746" s="59">
        <f ca="1">Dashboard!B$8* Dashboard!$F$4+Dashboard!B$10*SQRT(Dashboard!$F$4) * _xlfn.NORM.S.INV(RAND())</f>
        <v>2.6005936299812585E-2</v>
      </c>
      <c r="T4746" s="59">
        <f ca="1">Dashboard!C$8* Dashboard!$F$4+Dashboard!C$10*SQRT(Dashboard!$F$4) * _xlfn.NORM.S.INV(RAND())</f>
        <v>-3.7900493247305232E-2</v>
      </c>
      <c r="U4746" s="59">
        <f ca="1">Dashboard!D$8* Dashboard!$F$4+Dashboard!D$10*SQRT(Dashboard!$F$4) * _xlfn.NORM.S.INV(RAND())</f>
        <v>-1.4234174583890648E-2</v>
      </c>
    </row>
    <row r="4747" spans="18:21" x14ac:dyDescent="0.2">
      <c r="R4747" s="49">
        <v>4745</v>
      </c>
      <c r="S4747" s="59">
        <f ca="1">Dashboard!B$8* Dashboard!$F$4+Dashboard!B$10*SQRT(Dashboard!$F$4) * _xlfn.NORM.S.INV(RAND())</f>
        <v>4.3047880198962128E-2</v>
      </c>
      <c r="T4747" s="59">
        <f ca="1">Dashboard!C$8* Dashboard!$F$4+Dashboard!C$10*SQRT(Dashboard!$F$4) * _xlfn.NORM.S.INV(RAND())</f>
        <v>3.324902240662439E-2</v>
      </c>
      <c r="U4747" s="59">
        <f ca="1">Dashboard!D$8* Dashboard!$F$4+Dashboard!D$10*SQRT(Dashboard!$F$4) * _xlfn.NORM.S.INV(RAND())</f>
        <v>-3.9173169568643439E-2</v>
      </c>
    </row>
    <row r="4748" spans="18:21" x14ac:dyDescent="0.2">
      <c r="R4748" s="49">
        <v>4746</v>
      </c>
      <c r="S4748" s="59">
        <f ca="1">Dashboard!B$8* Dashboard!$F$4+Dashboard!B$10*SQRT(Dashboard!$F$4) * _xlfn.NORM.S.INV(RAND())</f>
        <v>8.5237749232701786E-3</v>
      </c>
      <c r="T4748" s="59">
        <f ca="1">Dashboard!C$8* Dashboard!$F$4+Dashboard!C$10*SQRT(Dashboard!$F$4) * _xlfn.NORM.S.INV(RAND())</f>
        <v>1.935415986268129E-3</v>
      </c>
      <c r="U4748" s="59">
        <f ca="1">Dashboard!D$8* Dashboard!$F$4+Dashboard!D$10*SQRT(Dashboard!$F$4) * _xlfn.NORM.S.INV(RAND())</f>
        <v>1.523503280220145E-2</v>
      </c>
    </row>
    <row r="4749" spans="18:21" x14ac:dyDescent="0.2">
      <c r="R4749" s="49">
        <v>4747</v>
      </c>
      <c r="S4749" s="59">
        <f ca="1">Dashboard!B$8* Dashboard!$F$4+Dashboard!B$10*SQRT(Dashboard!$F$4) * _xlfn.NORM.S.INV(RAND())</f>
        <v>-3.2372165886969652E-2</v>
      </c>
      <c r="T4749" s="59">
        <f ca="1">Dashboard!C$8* Dashboard!$F$4+Dashboard!C$10*SQRT(Dashboard!$F$4) * _xlfn.NORM.S.INV(RAND())</f>
        <v>-4.2267021659819971E-2</v>
      </c>
      <c r="U4749" s="59">
        <f ca="1">Dashboard!D$8* Dashboard!$F$4+Dashboard!D$10*SQRT(Dashboard!$F$4) * _xlfn.NORM.S.INV(RAND())</f>
        <v>-5.4632645247094736E-3</v>
      </c>
    </row>
    <row r="4750" spans="18:21" x14ac:dyDescent="0.2">
      <c r="R4750" s="49">
        <v>4748</v>
      </c>
      <c r="S4750" s="59">
        <f ca="1">Dashboard!B$8* Dashboard!$F$4+Dashboard!B$10*SQRT(Dashboard!$F$4) * _xlfn.NORM.S.INV(RAND())</f>
        <v>3.8835342278501016E-2</v>
      </c>
      <c r="T4750" s="59">
        <f ca="1">Dashboard!C$8* Dashboard!$F$4+Dashboard!C$10*SQRT(Dashboard!$F$4) * _xlfn.NORM.S.INV(RAND())</f>
        <v>-7.1949978179164584E-2</v>
      </c>
      <c r="U4750" s="59">
        <f ca="1">Dashboard!D$8* Dashboard!$F$4+Dashboard!D$10*SQRT(Dashboard!$F$4) * _xlfn.NORM.S.INV(RAND())</f>
        <v>5.1735005306080738E-2</v>
      </c>
    </row>
    <row r="4751" spans="18:21" x14ac:dyDescent="0.2">
      <c r="R4751" s="49">
        <v>4749</v>
      </c>
      <c r="S4751" s="59">
        <f ca="1">Dashboard!B$8* Dashboard!$F$4+Dashboard!B$10*SQRT(Dashboard!$F$4) * _xlfn.NORM.S.INV(RAND())</f>
        <v>-4.8234853399611949E-2</v>
      </c>
      <c r="T4751" s="59">
        <f ca="1">Dashboard!C$8* Dashboard!$F$4+Dashboard!C$10*SQRT(Dashboard!$F$4) * _xlfn.NORM.S.INV(RAND())</f>
        <v>-2.4523214165972449E-2</v>
      </c>
      <c r="U4751" s="59">
        <f ca="1">Dashboard!D$8* Dashboard!$F$4+Dashboard!D$10*SQRT(Dashboard!$F$4) * _xlfn.NORM.S.INV(RAND())</f>
        <v>2.2821089829467376E-2</v>
      </c>
    </row>
    <row r="4752" spans="18:21" x14ac:dyDescent="0.2">
      <c r="R4752" s="49">
        <v>4750</v>
      </c>
      <c r="S4752" s="59">
        <f ca="1">Dashboard!B$8* Dashboard!$F$4+Dashboard!B$10*SQRT(Dashboard!$F$4) * _xlfn.NORM.S.INV(RAND())</f>
        <v>-7.8288751142957282E-3</v>
      </c>
      <c r="T4752" s="59">
        <f ca="1">Dashboard!C$8* Dashboard!$F$4+Dashboard!C$10*SQRT(Dashboard!$F$4) * _xlfn.NORM.S.INV(RAND())</f>
        <v>1.383235785901404E-2</v>
      </c>
      <c r="U4752" s="59">
        <f ca="1">Dashboard!D$8* Dashboard!$F$4+Dashboard!D$10*SQRT(Dashboard!$F$4) * _xlfn.NORM.S.INV(RAND())</f>
        <v>1.1919022852132536E-2</v>
      </c>
    </row>
    <row r="4753" spans="18:21" x14ac:dyDescent="0.2">
      <c r="R4753" s="49">
        <v>4751</v>
      </c>
      <c r="S4753" s="59">
        <f ca="1">Dashboard!B$8* Dashboard!$F$4+Dashboard!B$10*SQRT(Dashboard!$F$4) * _xlfn.NORM.S.INV(RAND())</f>
        <v>1.1603567022314345E-2</v>
      </c>
      <c r="T4753" s="59">
        <f ca="1">Dashboard!C$8* Dashboard!$F$4+Dashboard!C$10*SQRT(Dashboard!$F$4) * _xlfn.NORM.S.INV(RAND())</f>
        <v>8.9451027656116205E-2</v>
      </c>
      <c r="U4753" s="59">
        <f ca="1">Dashboard!D$8* Dashboard!$F$4+Dashboard!D$10*SQRT(Dashboard!$F$4) * _xlfn.NORM.S.INV(RAND())</f>
        <v>3.4958671825033517E-2</v>
      </c>
    </row>
    <row r="4754" spans="18:21" x14ac:dyDescent="0.2">
      <c r="R4754" s="49">
        <v>4752</v>
      </c>
      <c r="S4754" s="59">
        <f ca="1">Dashboard!B$8* Dashboard!$F$4+Dashboard!B$10*SQRT(Dashboard!$F$4) * _xlfn.NORM.S.INV(RAND())</f>
        <v>4.8224229154684939E-2</v>
      </c>
      <c r="T4754" s="59">
        <f ca="1">Dashboard!C$8* Dashboard!$F$4+Dashboard!C$10*SQRT(Dashboard!$F$4) * _xlfn.NORM.S.INV(RAND())</f>
        <v>3.9621692447393109E-2</v>
      </c>
      <c r="U4754" s="59">
        <f ca="1">Dashboard!D$8* Dashboard!$F$4+Dashboard!D$10*SQRT(Dashboard!$F$4) * _xlfn.NORM.S.INV(RAND())</f>
        <v>-1.1480001609322007E-3</v>
      </c>
    </row>
    <row r="4755" spans="18:21" x14ac:dyDescent="0.2">
      <c r="R4755" s="49">
        <v>4753</v>
      </c>
      <c r="S4755" s="59">
        <f ca="1">Dashboard!B$8* Dashboard!$F$4+Dashboard!B$10*SQRT(Dashboard!$F$4) * _xlfn.NORM.S.INV(RAND())</f>
        <v>7.2708503377244618E-3</v>
      </c>
      <c r="T4755" s="59">
        <f ca="1">Dashboard!C$8* Dashboard!$F$4+Dashboard!C$10*SQRT(Dashboard!$F$4) * _xlfn.NORM.S.INV(RAND())</f>
        <v>1.7247501543609194E-2</v>
      </c>
      <c r="U4755" s="59">
        <f ca="1">Dashboard!D$8* Dashboard!$F$4+Dashboard!D$10*SQRT(Dashboard!$F$4) * _xlfn.NORM.S.INV(RAND())</f>
        <v>3.3940115748460474E-2</v>
      </c>
    </row>
    <row r="4756" spans="18:21" x14ac:dyDescent="0.2">
      <c r="R4756" s="49">
        <v>4754</v>
      </c>
      <c r="S4756" s="59">
        <f ca="1">Dashboard!B$8* Dashboard!$F$4+Dashboard!B$10*SQRT(Dashboard!$F$4) * _xlfn.NORM.S.INV(RAND())</f>
        <v>3.9650597675952165E-2</v>
      </c>
      <c r="T4756" s="59">
        <f ca="1">Dashboard!C$8* Dashboard!$F$4+Dashboard!C$10*SQRT(Dashboard!$F$4) * _xlfn.NORM.S.INV(RAND())</f>
        <v>-4.1086493855374558E-2</v>
      </c>
      <c r="U4756" s="59">
        <f ca="1">Dashboard!D$8* Dashboard!$F$4+Dashboard!D$10*SQRT(Dashboard!$F$4) * _xlfn.NORM.S.INV(RAND())</f>
        <v>-9.5355784451266589E-3</v>
      </c>
    </row>
    <row r="4757" spans="18:21" x14ac:dyDescent="0.2">
      <c r="R4757" s="49">
        <v>4755</v>
      </c>
      <c r="S4757" s="59">
        <f ca="1">Dashboard!B$8* Dashboard!$F$4+Dashboard!B$10*SQRT(Dashboard!$F$4) * _xlfn.NORM.S.INV(RAND())</f>
        <v>-2.2054076274378005E-2</v>
      </c>
      <c r="T4757" s="59">
        <f ca="1">Dashboard!C$8* Dashboard!$F$4+Dashboard!C$10*SQRT(Dashboard!$F$4) * _xlfn.NORM.S.INV(RAND())</f>
        <v>-1.2671193653349299E-2</v>
      </c>
      <c r="U4757" s="59">
        <f ca="1">Dashboard!D$8* Dashboard!$F$4+Dashboard!D$10*SQRT(Dashboard!$F$4) * _xlfn.NORM.S.INV(RAND())</f>
        <v>-6.6780754502360679E-2</v>
      </c>
    </row>
    <row r="4758" spans="18:21" x14ac:dyDescent="0.2">
      <c r="R4758" s="49">
        <v>4756</v>
      </c>
      <c r="S4758" s="59">
        <f ca="1">Dashboard!B$8* Dashboard!$F$4+Dashboard!B$10*SQRT(Dashboard!$F$4) * _xlfn.NORM.S.INV(RAND())</f>
        <v>4.3876463252448105E-3</v>
      </c>
      <c r="T4758" s="59">
        <f ca="1">Dashboard!C$8* Dashboard!$F$4+Dashboard!C$10*SQRT(Dashboard!$F$4) * _xlfn.NORM.S.INV(RAND())</f>
        <v>4.1183247488896922E-2</v>
      </c>
      <c r="U4758" s="59">
        <f ca="1">Dashboard!D$8* Dashboard!$F$4+Dashboard!D$10*SQRT(Dashboard!$F$4) * _xlfn.NORM.S.INV(RAND())</f>
        <v>-3.1503938765019612E-2</v>
      </c>
    </row>
    <row r="4759" spans="18:21" x14ac:dyDescent="0.2">
      <c r="R4759" s="49">
        <v>4757</v>
      </c>
      <c r="S4759" s="59">
        <f ca="1">Dashboard!B$8* Dashboard!$F$4+Dashboard!B$10*SQRT(Dashboard!$F$4) * _xlfn.NORM.S.INV(RAND())</f>
        <v>-1.7787051334057613E-2</v>
      </c>
      <c r="T4759" s="59">
        <f ca="1">Dashboard!C$8* Dashboard!$F$4+Dashboard!C$10*SQRT(Dashboard!$F$4) * _xlfn.NORM.S.INV(RAND())</f>
        <v>-2.9979586621295146E-4</v>
      </c>
      <c r="U4759" s="59">
        <f ca="1">Dashboard!D$8* Dashboard!$F$4+Dashboard!D$10*SQRT(Dashboard!$F$4) * _xlfn.NORM.S.INV(RAND())</f>
        <v>4.4662520752106458E-2</v>
      </c>
    </row>
    <row r="4760" spans="18:21" x14ac:dyDescent="0.2">
      <c r="R4760" s="49">
        <v>4758</v>
      </c>
      <c r="S4760" s="59">
        <f ca="1">Dashboard!B$8* Dashboard!$F$4+Dashboard!B$10*SQRT(Dashboard!$F$4) * _xlfn.NORM.S.INV(RAND())</f>
        <v>-2.3994395717087669E-2</v>
      </c>
      <c r="T4760" s="59">
        <f ca="1">Dashboard!C$8* Dashboard!$F$4+Dashboard!C$10*SQRT(Dashboard!$F$4) * _xlfn.NORM.S.INV(RAND())</f>
        <v>1.1064405803088373E-2</v>
      </c>
      <c r="U4760" s="59">
        <f ca="1">Dashboard!D$8* Dashboard!$F$4+Dashboard!D$10*SQRT(Dashboard!$F$4) * _xlfn.NORM.S.INV(RAND())</f>
        <v>2.6492518273214308E-2</v>
      </c>
    </row>
    <row r="4761" spans="18:21" x14ac:dyDescent="0.2">
      <c r="R4761" s="49">
        <v>4759</v>
      </c>
      <c r="S4761" s="59">
        <f ca="1">Dashboard!B$8* Dashboard!$F$4+Dashboard!B$10*SQRT(Dashboard!$F$4) * _xlfn.NORM.S.INV(RAND())</f>
        <v>-1.9524548451395167E-2</v>
      </c>
      <c r="T4761" s="59">
        <f ca="1">Dashboard!C$8* Dashboard!$F$4+Dashboard!C$10*SQRT(Dashboard!$F$4) * _xlfn.NORM.S.INV(RAND())</f>
        <v>1.791040221761963E-2</v>
      </c>
      <c r="U4761" s="59">
        <f ca="1">Dashboard!D$8* Dashboard!$F$4+Dashboard!D$10*SQRT(Dashboard!$F$4) * _xlfn.NORM.S.INV(RAND())</f>
        <v>-6.8396636173017221E-3</v>
      </c>
    </row>
    <row r="4762" spans="18:21" x14ac:dyDescent="0.2">
      <c r="R4762" s="49">
        <v>4760</v>
      </c>
      <c r="S4762" s="59">
        <f ca="1">Dashboard!B$8* Dashboard!$F$4+Dashboard!B$10*SQRT(Dashboard!$F$4) * _xlfn.NORM.S.INV(RAND())</f>
        <v>1.4079564627357736E-2</v>
      </c>
      <c r="T4762" s="59">
        <f ca="1">Dashboard!C$8* Dashboard!$F$4+Dashboard!C$10*SQRT(Dashboard!$F$4) * _xlfn.NORM.S.INV(RAND())</f>
        <v>5.2627953925108502E-2</v>
      </c>
      <c r="U4762" s="59">
        <f ca="1">Dashboard!D$8* Dashboard!$F$4+Dashboard!D$10*SQRT(Dashboard!$F$4) * _xlfn.NORM.S.INV(RAND())</f>
        <v>2.1557916239491543E-3</v>
      </c>
    </row>
    <row r="4763" spans="18:21" x14ac:dyDescent="0.2">
      <c r="R4763" s="49">
        <v>4761</v>
      </c>
      <c r="S4763" s="59">
        <f ca="1">Dashboard!B$8* Dashboard!$F$4+Dashboard!B$10*SQRT(Dashboard!$F$4) * _xlfn.NORM.S.INV(RAND())</f>
        <v>2.7862041353854783E-2</v>
      </c>
      <c r="T4763" s="59">
        <f ca="1">Dashboard!C$8* Dashboard!$F$4+Dashboard!C$10*SQRT(Dashboard!$F$4) * _xlfn.NORM.S.INV(RAND())</f>
        <v>-1.1926523968656674E-2</v>
      </c>
      <c r="U4763" s="59">
        <f ca="1">Dashboard!D$8* Dashboard!$F$4+Dashboard!D$10*SQRT(Dashboard!$F$4) * _xlfn.NORM.S.INV(RAND())</f>
        <v>-2.6496165958165573E-2</v>
      </c>
    </row>
    <row r="4764" spans="18:21" x14ac:dyDescent="0.2">
      <c r="R4764" s="49">
        <v>4762</v>
      </c>
      <c r="S4764" s="59">
        <f ca="1">Dashboard!B$8* Dashboard!$F$4+Dashboard!B$10*SQRT(Dashboard!$F$4) * _xlfn.NORM.S.INV(RAND())</f>
        <v>-3.5345279004823295E-2</v>
      </c>
      <c r="T4764" s="59">
        <f ca="1">Dashboard!C$8* Dashboard!$F$4+Dashboard!C$10*SQRT(Dashboard!$F$4) * _xlfn.NORM.S.INV(RAND())</f>
        <v>-3.2252478836469978E-2</v>
      </c>
      <c r="U4764" s="59">
        <f ca="1">Dashboard!D$8* Dashboard!$F$4+Dashboard!D$10*SQRT(Dashboard!$F$4) * _xlfn.NORM.S.INV(RAND())</f>
        <v>-1.6216220457603115E-2</v>
      </c>
    </row>
    <row r="4765" spans="18:21" x14ac:dyDescent="0.2">
      <c r="R4765" s="49">
        <v>4763</v>
      </c>
      <c r="S4765" s="59">
        <f ca="1">Dashboard!B$8* Dashboard!$F$4+Dashboard!B$10*SQRT(Dashboard!$F$4) * _xlfn.NORM.S.INV(RAND())</f>
        <v>-4.5426002686113059E-3</v>
      </c>
      <c r="T4765" s="59">
        <f ca="1">Dashboard!C$8* Dashboard!$F$4+Dashboard!C$10*SQRT(Dashboard!$F$4) * _xlfn.NORM.S.INV(RAND())</f>
        <v>2.4768086303361778E-2</v>
      </c>
      <c r="U4765" s="59">
        <f ca="1">Dashboard!D$8* Dashboard!$F$4+Dashboard!D$10*SQRT(Dashboard!$F$4) * _xlfn.NORM.S.INV(RAND())</f>
        <v>-1.9237729431411651E-2</v>
      </c>
    </row>
    <row r="4766" spans="18:21" x14ac:dyDescent="0.2">
      <c r="R4766" s="49">
        <v>4764</v>
      </c>
      <c r="S4766" s="59">
        <f ca="1">Dashboard!B$8* Dashboard!$F$4+Dashboard!B$10*SQRT(Dashboard!$F$4) * _xlfn.NORM.S.INV(RAND())</f>
        <v>1.168870778973435E-3</v>
      </c>
      <c r="T4766" s="59">
        <f ca="1">Dashboard!C$8* Dashboard!$F$4+Dashboard!C$10*SQRT(Dashboard!$F$4) * _xlfn.NORM.S.INV(RAND())</f>
        <v>-6.1049761734745826E-3</v>
      </c>
      <c r="U4766" s="59">
        <f ca="1">Dashboard!D$8* Dashboard!$F$4+Dashboard!D$10*SQRT(Dashboard!$F$4) * _xlfn.NORM.S.INV(RAND())</f>
        <v>-6.2400185149594813E-2</v>
      </c>
    </row>
    <row r="4767" spans="18:21" x14ac:dyDescent="0.2">
      <c r="R4767" s="49">
        <v>4765</v>
      </c>
      <c r="S4767" s="59">
        <f ca="1">Dashboard!B$8* Dashboard!$F$4+Dashboard!B$10*SQRT(Dashboard!$F$4) * _xlfn.NORM.S.INV(RAND())</f>
        <v>4.9346841911669465E-2</v>
      </c>
      <c r="T4767" s="59">
        <f ca="1">Dashboard!C$8* Dashboard!$F$4+Dashboard!C$10*SQRT(Dashboard!$F$4) * _xlfn.NORM.S.INV(RAND())</f>
        <v>-1.8600132687358148E-2</v>
      </c>
      <c r="U4767" s="59">
        <f ca="1">Dashboard!D$8* Dashboard!$F$4+Dashboard!D$10*SQRT(Dashboard!$F$4) * _xlfn.NORM.S.INV(RAND())</f>
        <v>1.2886250027174802E-2</v>
      </c>
    </row>
    <row r="4768" spans="18:21" x14ac:dyDescent="0.2">
      <c r="R4768" s="49">
        <v>4766</v>
      </c>
      <c r="S4768" s="59">
        <f ca="1">Dashboard!B$8* Dashboard!$F$4+Dashboard!B$10*SQRT(Dashboard!$F$4) * _xlfn.NORM.S.INV(RAND())</f>
        <v>1.6759625790474263E-2</v>
      </c>
      <c r="T4768" s="59">
        <f ca="1">Dashboard!C$8* Dashboard!$F$4+Dashboard!C$10*SQRT(Dashboard!$F$4) * _xlfn.NORM.S.INV(RAND())</f>
        <v>-5.5604553374255785E-3</v>
      </c>
      <c r="U4768" s="59">
        <f ca="1">Dashboard!D$8* Dashboard!$F$4+Dashboard!D$10*SQRT(Dashboard!$F$4) * _xlfn.NORM.S.INV(RAND())</f>
        <v>-5.2678910134027805E-2</v>
      </c>
    </row>
    <row r="4769" spans="18:21" x14ac:dyDescent="0.2">
      <c r="R4769" s="49">
        <v>4767</v>
      </c>
      <c r="S4769" s="59">
        <f ca="1">Dashboard!B$8* Dashboard!$F$4+Dashboard!B$10*SQRT(Dashboard!$F$4) * _xlfn.NORM.S.INV(RAND())</f>
        <v>-1.6168331367445714E-2</v>
      </c>
      <c r="T4769" s="59">
        <f ca="1">Dashboard!C$8* Dashboard!$F$4+Dashboard!C$10*SQRT(Dashboard!$F$4) * _xlfn.NORM.S.INV(RAND())</f>
        <v>1.5595319506526348E-2</v>
      </c>
      <c r="U4769" s="59">
        <f ca="1">Dashboard!D$8* Dashboard!$F$4+Dashboard!D$10*SQRT(Dashboard!$F$4) * _xlfn.NORM.S.INV(RAND())</f>
        <v>6.5982568966104077E-2</v>
      </c>
    </row>
    <row r="4770" spans="18:21" x14ac:dyDescent="0.2">
      <c r="R4770" s="49">
        <v>4768</v>
      </c>
      <c r="S4770" s="59">
        <f ca="1">Dashboard!B$8* Dashboard!$F$4+Dashboard!B$10*SQRT(Dashboard!$F$4) * _xlfn.NORM.S.INV(RAND())</f>
        <v>1.1261269541231019E-2</v>
      </c>
      <c r="T4770" s="59">
        <f ca="1">Dashboard!C$8* Dashboard!$F$4+Dashboard!C$10*SQRT(Dashboard!$F$4) * _xlfn.NORM.S.INV(RAND())</f>
        <v>3.8278136895857025E-2</v>
      </c>
      <c r="U4770" s="59">
        <f ca="1">Dashboard!D$8* Dashboard!$F$4+Dashboard!D$10*SQRT(Dashboard!$F$4) * _xlfn.NORM.S.INV(RAND())</f>
        <v>-3.0110417634938887E-2</v>
      </c>
    </row>
    <row r="4771" spans="18:21" x14ac:dyDescent="0.2">
      <c r="R4771" s="49">
        <v>4769</v>
      </c>
      <c r="S4771" s="59">
        <f ca="1">Dashboard!B$8* Dashboard!$F$4+Dashboard!B$10*SQRT(Dashboard!$F$4) * _xlfn.NORM.S.INV(RAND())</f>
        <v>-9.3565822449031173E-3</v>
      </c>
      <c r="T4771" s="59">
        <f ca="1">Dashboard!C$8* Dashboard!$F$4+Dashboard!C$10*SQRT(Dashboard!$F$4) * _xlfn.NORM.S.INV(RAND())</f>
        <v>-9.8798730422994772E-3</v>
      </c>
      <c r="U4771" s="59">
        <f ca="1">Dashboard!D$8* Dashboard!$F$4+Dashboard!D$10*SQRT(Dashboard!$F$4) * _xlfn.NORM.S.INV(RAND())</f>
        <v>4.4722704763293895E-3</v>
      </c>
    </row>
    <row r="4772" spans="18:21" x14ac:dyDescent="0.2">
      <c r="R4772" s="49">
        <v>4770</v>
      </c>
      <c r="S4772" s="59">
        <f ca="1">Dashboard!B$8* Dashboard!$F$4+Dashboard!B$10*SQRT(Dashboard!$F$4) * _xlfn.NORM.S.INV(RAND())</f>
        <v>-1.680984384301823E-2</v>
      </c>
      <c r="T4772" s="59">
        <f ca="1">Dashboard!C$8* Dashboard!$F$4+Dashboard!C$10*SQRT(Dashboard!$F$4) * _xlfn.NORM.S.INV(RAND())</f>
        <v>4.300768169161473E-2</v>
      </c>
      <c r="U4772" s="59">
        <f ca="1">Dashboard!D$8* Dashboard!$F$4+Dashboard!D$10*SQRT(Dashboard!$F$4) * _xlfn.NORM.S.INV(RAND())</f>
        <v>3.0955525407257382E-3</v>
      </c>
    </row>
    <row r="4773" spans="18:21" x14ac:dyDescent="0.2">
      <c r="R4773" s="49">
        <v>4771</v>
      </c>
      <c r="S4773" s="59">
        <f ca="1">Dashboard!B$8* Dashboard!$F$4+Dashboard!B$10*SQRT(Dashboard!$F$4) * _xlfn.NORM.S.INV(RAND())</f>
        <v>9.408194792330099E-3</v>
      </c>
      <c r="T4773" s="59">
        <f ca="1">Dashboard!C$8* Dashboard!$F$4+Dashboard!C$10*SQRT(Dashboard!$F$4) * _xlfn.NORM.S.INV(RAND())</f>
        <v>-1.1913131277842687E-2</v>
      </c>
      <c r="U4773" s="59">
        <f ca="1">Dashboard!D$8* Dashboard!$F$4+Dashboard!D$10*SQRT(Dashboard!$F$4) * _xlfn.NORM.S.INV(RAND())</f>
        <v>4.0409225726263584E-2</v>
      </c>
    </row>
    <row r="4774" spans="18:21" x14ac:dyDescent="0.2">
      <c r="R4774" s="49">
        <v>4772</v>
      </c>
      <c r="S4774" s="59">
        <f ca="1">Dashboard!B$8* Dashboard!$F$4+Dashboard!B$10*SQRT(Dashboard!$F$4) * _xlfn.NORM.S.INV(RAND())</f>
        <v>-3.6390591767114115E-2</v>
      </c>
      <c r="T4774" s="59">
        <f ca="1">Dashboard!C$8* Dashboard!$F$4+Dashboard!C$10*SQRT(Dashboard!$F$4) * _xlfn.NORM.S.INV(RAND())</f>
        <v>5.4012511375017683E-2</v>
      </c>
      <c r="U4774" s="59">
        <f ca="1">Dashboard!D$8* Dashboard!$F$4+Dashboard!D$10*SQRT(Dashboard!$F$4) * _xlfn.NORM.S.INV(RAND())</f>
        <v>-2.0144380261788121E-3</v>
      </c>
    </row>
    <row r="4775" spans="18:21" x14ac:dyDescent="0.2">
      <c r="R4775" s="49">
        <v>4773</v>
      </c>
      <c r="S4775" s="59">
        <f ca="1">Dashboard!B$8* Dashboard!$F$4+Dashboard!B$10*SQRT(Dashboard!$F$4) * _xlfn.NORM.S.INV(RAND())</f>
        <v>-3.9156031648687757E-2</v>
      </c>
      <c r="T4775" s="59">
        <f ca="1">Dashboard!C$8* Dashboard!$F$4+Dashboard!C$10*SQRT(Dashboard!$F$4) * _xlfn.NORM.S.INV(RAND())</f>
        <v>-4.5328052298566346E-2</v>
      </c>
      <c r="U4775" s="59">
        <f ca="1">Dashboard!D$8* Dashboard!$F$4+Dashboard!D$10*SQRT(Dashboard!$F$4) * _xlfn.NORM.S.INV(RAND())</f>
        <v>2.399276940290607E-2</v>
      </c>
    </row>
    <row r="4776" spans="18:21" x14ac:dyDescent="0.2">
      <c r="R4776" s="49">
        <v>4774</v>
      </c>
      <c r="S4776" s="59">
        <f ca="1">Dashboard!B$8* Dashboard!$F$4+Dashboard!B$10*SQRT(Dashboard!$F$4) * _xlfn.NORM.S.INV(RAND())</f>
        <v>-1.5444700058738686E-2</v>
      </c>
      <c r="T4776" s="59">
        <f ca="1">Dashboard!C$8* Dashboard!$F$4+Dashboard!C$10*SQRT(Dashboard!$F$4) * _xlfn.NORM.S.INV(RAND())</f>
        <v>-1.5328812303405624E-2</v>
      </c>
      <c r="U4776" s="59">
        <f ca="1">Dashboard!D$8* Dashboard!$F$4+Dashboard!D$10*SQRT(Dashboard!$F$4) * _xlfn.NORM.S.INV(RAND())</f>
        <v>-2.9159355701275933E-3</v>
      </c>
    </row>
    <row r="4777" spans="18:21" x14ac:dyDescent="0.2">
      <c r="R4777" s="49">
        <v>4775</v>
      </c>
      <c r="S4777" s="59">
        <f ca="1">Dashboard!B$8* Dashboard!$F$4+Dashboard!B$10*SQRT(Dashboard!$F$4) * _xlfn.NORM.S.INV(RAND())</f>
        <v>-8.3333725903542641E-3</v>
      </c>
      <c r="T4777" s="59">
        <f ca="1">Dashboard!C$8* Dashboard!$F$4+Dashboard!C$10*SQRT(Dashboard!$F$4) * _xlfn.NORM.S.INV(RAND())</f>
        <v>3.9399377644310701E-2</v>
      </c>
      <c r="U4777" s="59">
        <f ca="1">Dashboard!D$8* Dashboard!$F$4+Dashboard!D$10*SQRT(Dashboard!$F$4) * _xlfn.NORM.S.INV(RAND())</f>
        <v>-2.2873185325020799E-2</v>
      </c>
    </row>
    <row r="4778" spans="18:21" x14ac:dyDescent="0.2">
      <c r="R4778" s="49">
        <v>4776</v>
      </c>
      <c r="S4778" s="59">
        <f ca="1">Dashboard!B$8* Dashboard!$F$4+Dashboard!B$10*SQRT(Dashboard!$F$4) * _xlfn.NORM.S.INV(RAND())</f>
        <v>2.2560660785575698E-2</v>
      </c>
      <c r="T4778" s="59">
        <f ca="1">Dashboard!C$8* Dashboard!$F$4+Dashboard!C$10*SQRT(Dashboard!$F$4) * _xlfn.NORM.S.INV(RAND())</f>
        <v>5.857847150223864E-2</v>
      </c>
      <c r="U4778" s="59">
        <f ca="1">Dashboard!D$8* Dashboard!$F$4+Dashboard!D$10*SQRT(Dashboard!$F$4) * _xlfn.NORM.S.INV(RAND())</f>
        <v>5.2350203509637042E-3</v>
      </c>
    </row>
    <row r="4779" spans="18:21" x14ac:dyDescent="0.2">
      <c r="R4779" s="49">
        <v>4777</v>
      </c>
      <c r="S4779" s="59">
        <f ca="1">Dashboard!B$8* Dashboard!$F$4+Dashboard!B$10*SQRT(Dashboard!$F$4) * _xlfn.NORM.S.INV(RAND())</f>
        <v>-1.5443150206199195E-3</v>
      </c>
      <c r="T4779" s="59">
        <f ca="1">Dashboard!C$8* Dashboard!$F$4+Dashboard!C$10*SQRT(Dashboard!$F$4) * _xlfn.NORM.S.INV(RAND())</f>
        <v>1.0170321626127275E-2</v>
      </c>
      <c r="U4779" s="59">
        <f ca="1">Dashboard!D$8* Dashboard!$F$4+Dashboard!D$10*SQRT(Dashboard!$F$4) * _xlfn.NORM.S.INV(RAND())</f>
        <v>-4.1623623046683107E-3</v>
      </c>
    </row>
    <row r="4780" spans="18:21" x14ac:dyDescent="0.2">
      <c r="R4780" s="49">
        <v>4778</v>
      </c>
      <c r="S4780" s="59">
        <f ca="1">Dashboard!B$8* Dashboard!$F$4+Dashboard!B$10*SQRT(Dashboard!$F$4) * _xlfn.NORM.S.INV(RAND())</f>
        <v>-4.9228449231930815E-2</v>
      </c>
      <c r="T4780" s="59">
        <f ca="1">Dashboard!C$8* Dashboard!$F$4+Dashboard!C$10*SQRT(Dashboard!$F$4) * _xlfn.NORM.S.INV(RAND())</f>
        <v>-3.125500426269516E-2</v>
      </c>
      <c r="U4780" s="59">
        <f ca="1">Dashboard!D$8* Dashboard!$F$4+Dashboard!D$10*SQRT(Dashboard!$F$4) * _xlfn.NORM.S.INV(RAND())</f>
        <v>1.1116154608864394E-2</v>
      </c>
    </row>
    <row r="4781" spans="18:21" x14ac:dyDescent="0.2">
      <c r="R4781" s="49">
        <v>4779</v>
      </c>
      <c r="S4781" s="59">
        <f ca="1">Dashboard!B$8* Dashboard!$F$4+Dashboard!B$10*SQRT(Dashboard!$F$4) * _xlfn.NORM.S.INV(RAND())</f>
        <v>1.6281189902235697E-2</v>
      </c>
      <c r="T4781" s="59">
        <f ca="1">Dashboard!C$8* Dashboard!$F$4+Dashboard!C$10*SQRT(Dashboard!$F$4) * _xlfn.NORM.S.INV(RAND())</f>
        <v>7.1798743528673298E-2</v>
      </c>
      <c r="U4781" s="59">
        <f ca="1">Dashboard!D$8* Dashboard!$F$4+Dashboard!D$10*SQRT(Dashboard!$F$4) * _xlfn.NORM.S.INV(RAND())</f>
        <v>-5.977651537789181E-2</v>
      </c>
    </row>
    <row r="4782" spans="18:21" x14ac:dyDescent="0.2">
      <c r="R4782" s="49">
        <v>4780</v>
      </c>
      <c r="S4782" s="59">
        <f ca="1">Dashboard!B$8* Dashboard!$F$4+Dashboard!B$10*SQRT(Dashboard!$F$4) * _xlfn.NORM.S.INV(RAND())</f>
        <v>4.2710588557408675E-2</v>
      </c>
      <c r="T4782" s="59">
        <f ca="1">Dashboard!C$8* Dashboard!$F$4+Dashboard!C$10*SQRT(Dashboard!$F$4) * _xlfn.NORM.S.INV(RAND())</f>
        <v>4.450665567233425E-2</v>
      </c>
      <c r="U4782" s="59">
        <f ca="1">Dashboard!D$8* Dashboard!$F$4+Dashboard!D$10*SQRT(Dashboard!$F$4) * _xlfn.NORM.S.INV(RAND())</f>
        <v>-9.016209083315975E-2</v>
      </c>
    </row>
    <row r="4783" spans="18:21" x14ac:dyDescent="0.2">
      <c r="R4783" s="49">
        <v>4781</v>
      </c>
      <c r="S4783" s="59">
        <f ca="1">Dashboard!B$8* Dashboard!$F$4+Dashboard!B$10*SQRT(Dashboard!$F$4) * _xlfn.NORM.S.INV(RAND())</f>
        <v>-2.245269237100808E-3</v>
      </c>
      <c r="T4783" s="59">
        <f ca="1">Dashboard!C$8* Dashboard!$F$4+Dashboard!C$10*SQRT(Dashboard!$F$4) * _xlfn.NORM.S.INV(RAND())</f>
        <v>4.4340450298589351E-2</v>
      </c>
      <c r="U4783" s="59">
        <f ca="1">Dashboard!D$8* Dashboard!$F$4+Dashboard!D$10*SQRT(Dashboard!$F$4) * _xlfn.NORM.S.INV(RAND())</f>
        <v>-8.834616601840423E-3</v>
      </c>
    </row>
    <row r="4784" spans="18:21" x14ac:dyDescent="0.2">
      <c r="R4784" s="49">
        <v>4782</v>
      </c>
      <c r="S4784" s="59">
        <f ca="1">Dashboard!B$8* Dashboard!$F$4+Dashboard!B$10*SQRT(Dashboard!$F$4) * _xlfn.NORM.S.INV(RAND())</f>
        <v>-2.2005497861268285E-2</v>
      </c>
      <c r="T4784" s="59">
        <f ca="1">Dashboard!C$8* Dashboard!$F$4+Dashboard!C$10*SQRT(Dashboard!$F$4) * _xlfn.NORM.S.INV(RAND())</f>
        <v>6.1806319546934864E-3</v>
      </c>
      <c r="U4784" s="59">
        <f ca="1">Dashboard!D$8* Dashboard!$F$4+Dashboard!D$10*SQRT(Dashboard!$F$4) * _xlfn.NORM.S.INV(RAND())</f>
        <v>-1.3307693576442018E-2</v>
      </c>
    </row>
    <row r="4785" spans="18:21" x14ac:dyDescent="0.2">
      <c r="R4785" s="49">
        <v>4783</v>
      </c>
      <c r="S4785" s="59">
        <f ca="1">Dashboard!B$8* Dashboard!$F$4+Dashboard!B$10*SQRT(Dashboard!$F$4) * _xlfn.NORM.S.INV(RAND())</f>
        <v>-9.7067321603514327E-3</v>
      </c>
      <c r="T4785" s="59">
        <f ca="1">Dashboard!C$8* Dashboard!$F$4+Dashboard!C$10*SQRT(Dashboard!$F$4) * _xlfn.NORM.S.INV(RAND())</f>
        <v>-1.9006250283124571E-2</v>
      </c>
      <c r="U4785" s="59">
        <f ca="1">Dashboard!D$8* Dashboard!$F$4+Dashboard!D$10*SQRT(Dashboard!$F$4) * _xlfn.NORM.S.INV(RAND())</f>
        <v>3.2966120044766734E-2</v>
      </c>
    </row>
    <row r="4786" spans="18:21" x14ac:dyDescent="0.2">
      <c r="R4786" s="49">
        <v>4784</v>
      </c>
      <c r="S4786" s="59">
        <f ca="1">Dashboard!B$8* Dashboard!$F$4+Dashboard!B$10*SQRT(Dashboard!$F$4) * _xlfn.NORM.S.INV(RAND())</f>
        <v>5.4812660983756846E-2</v>
      </c>
      <c r="T4786" s="59">
        <f ca="1">Dashboard!C$8* Dashboard!$F$4+Dashboard!C$10*SQRT(Dashboard!$F$4) * _xlfn.NORM.S.INV(RAND())</f>
        <v>-2.0115889868950364E-2</v>
      </c>
      <c r="U4786" s="59">
        <f ca="1">Dashboard!D$8* Dashboard!$F$4+Dashboard!D$10*SQRT(Dashboard!$F$4) * _xlfn.NORM.S.INV(RAND())</f>
        <v>-1.1734932812943286E-2</v>
      </c>
    </row>
    <row r="4787" spans="18:21" x14ac:dyDescent="0.2">
      <c r="R4787" s="49">
        <v>4785</v>
      </c>
      <c r="S4787" s="59">
        <f ca="1">Dashboard!B$8* Dashboard!$F$4+Dashboard!B$10*SQRT(Dashboard!$F$4) * _xlfn.NORM.S.INV(RAND())</f>
        <v>-1.0498592151691159E-2</v>
      </c>
      <c r="T4787" s="59">
        <f ca="1">Dashboard!C$8* Dashboard!$F$4+Dashboard!C$10*SQRT(Dashboard!$F$4) * _xlfn.NORM.S.INV(RAND())</f>
        <v>3.5161635938120037E-2</v>
      </c>
      <c r="U4787" s="59">
        <f ca="1">Dashboard!D$8* Dashboard!$F$4+Dashboard!D$10*SQRT(Dashboard!$F$4) * _xlfn.NORM.S.INV(RAND())</f>
        <v>7.0756222686556292E-2</v>
      </c>
    </row>
    <row r="4788" spans="18:21" x14ac:dyDescent="0.2">
      <c r="R4788" s="49">
        <v>4786</v>
      </c>
      <c r="S4788" s="59">
        <f ca="1">Dashboard!B$8* Dashboard!$F$4+Dashboard!B$10*SQRT(Dashboard!$F$4) * _xlfn.NORM.S.INV(RAND())</f>
        <v>-2.0686548617791702E-4</v>
      </c>
      <c r="T4788" s="59">
        <f ca="1">Dashboard!C$8* Dashboard!$F$4+Dashboard!C$10*SQRT(Dashboard!$F$4) * _xlfn.NORM.S.INV(RAND())</f>
        <v>-5.2987328729212968E-2</v>
      </c>
      <c r="U4788" s="59">
        <f ca="1">Dashboard!D$8* Dashboard!$F$4+Dashboard!D$10*SQRT(Dashboard!$F$4) * _xlfn.NORM.S.INV(RAND())</f>
        <v>-6.2775170832505825E-3</v>
      </c>
    </row>
    <row r="4789" spans="18:21" x14ac:dyDescent="0.2">
      <c r="R4789" s="49">
        <v>4787</v>
      </c>
      <c r="S4789" s="59">
        <f ca="1">Dashboard!B$8* Dashboard!$F$4+Dashboard!B$10*SQRT(Dashboard!$F$4) * _xlfn.NORM.S.INV(RAND())</f>
        <v>-3.0950086346816737E-2</v>
      </c>
      <c r="T4789" s="59">
        <f ca="1">Dashboard!C$8* Dashboard!$F$4+Dashboard!C$10*SQRT(Dashboard!$F$4) * _xlfn.NORM.S.INV(RAND())</f>
        <v>2.8160246564954326E-2</v>
      </c>
      <c r="U4789" s="59">
        <f ca="1">Dashboard!D$8* Dashboard!$F$4+Dashboard!D$10*SQRT(Dashboard!$F$4) * _xlfn.NORM.S.INV(RAND())</f>
        <v>-3.6723756229616086E-2</v>
      </c>
    </row>
    <row r="4790" spans="18:21" x14ac:dyDescent="0.2">
      <c r="R4790" s="49">
        <v>4788</v>
      </c>
      <c r="S4790" s="59">
        <f ca="1">Dashboard!B$8* Dashboard!$F$4+Dashboard!B$10*SQRT(Dashboard!$F$4) * _xlfn.NORM.S.INV(RAND())</f>
        <v>-5.7533364733144465E-2</v>
      </c>
      <c r="T4790" s="59">
        <f ca="1">Dashboard!C$8* Dashboard!$F$4+Dashboard!C$10*SQRT(Dashboard!$F$4) * _xlfn.NORM.S.INV(RAND())</f>
        <v>-8.2376155435146564E-2</v>
      </c>
      <c r="U4790" s="59">
        <f ca="1">Dashboard!D$8* Dashboard!$F$4+Dashboard!D$10*SQRT(Dashboard!$F$4) * _xlfn.NORM.S.INV(RAND())</f>
        <v>-1.7845875826028652E-2</v>
      </c>
    </row>
    <row r="4791" spans="18:21" x14ac:dyDescent="0.2">
      <c r="R4791" s="49">
        <v>4789</v>
      </c>
      <c r="S4791" s="59">
        <f ca="1">Dashboard!B$8* Dashboard!$F$4+Dashboard!B$10*SQRT(Dashboard!$F$4) * _xlfn.NORM.S.INV(RAND())</f>
        <v>-6.8428244469001753E-2</v>
      </c>
      <c r="T4791" s="59">
        <f ca="1">Dashboard!C$8* Dashboard!$F$4+Dashboard!C$10*SQRT(Dashboard!$F$4) * _xlfn.NORM.S.INV(RAND())</f>
        <v>1.4623627534667413E-3</v>
      </c>
      <c r="U4791" s="59">
        <f ca="1">Dashboard!D$8* Dashboard!$F$4+Dashboard!D$10*SQRT(Dashboard!$F$4) * _xlfn.NORM.S.INV(RAND())</f>
        <v>2.285718593795856E-2</v>
      </c>
    </row>
    <row r="4792" spans="18:21" x14ac:dyDescent="0.2">
      <c r="R4792" s="49">
        <v>4790</v>
      </c>
      <c r="S4792" s="59">
        <f ca="1">Dashboard!B$8* Dashboard!$F$4+Dashboard!B$10*SQRT(Dashboard!$F$4) * _xlfn.NORM.S.INV(RAND())</f>
        <v>-2.8314275244025078E-2</v>
      </c>
      <c r="T4792" s="59">
        <f ca="1">Dashboard!C$8* Dashboard!$F$4+Dashboard!C$10*SQRT(Dashboard!$F$4) * _xlfn.NORM.S.INV(RAND())</f>
        <v>-5.803361420170948E-2</v>
      </c>
      <c r="U4792" s="59">
        <f ca="1">Dashboard!D$8* Dashboard!$F$4+Dashboard!D$10*SQRT(Dashboard!$F$4) * _xlfn.NORM.S.INV(RAND())</f>
        <v>9.9558436426059077E-2</v>
      </c>
    </row>
    <row r="4793" spans="18:21" x14ac:dyDescent="0.2">
      <c r="R4793" s="49">
        <v>4791</v>
      </c>
      <c r="S4793" s="59">
        <f ca="1">Dashboard!B$8* Dashboard!$F$4+Dashboard!B$10*SQRT(Dashboard!$F$4) * _xlfn.NORM.S.INV(RAND())</f>
        <v>-4.3613765413577657E-2</v>
      </c>
      <c r="T4793" s="59">
        <f ca="1">Dashboard!C$8* Dashboard!$F$4+Dashboard!C$10*SQRT(Dashboard!$F$4) * _xlfn.NORM.S.INV(RAND())</f>
        <v>1.2502580491989119E-2</v>
      </c>
      <c r="U4793" s="59">
        <f ca="1">Dashboard!D$8* Dashboard!$F$4+Dashboard!D$10*SQRT(Dashboard!$F$4) * _xlfn.NORM.S.INV(RAND())</f>
        <v>3.6222565331917186E-2</v>
      </c>
    </row>
    <row r="4794" spans="18:21" x14ac:dyDescent="0.2">
      <c r="R4794" s="49">
        <v>4792</v>
      </c>
      <c r="S4794" s="59">
        <f ca="1">Dashboard!B$8* Dashboard!$F$4+Dashboard!B$10*SQRT(Dashboard!$F$4) * _xlfn.NORM.S.INV(RAND())</f>
        <v>-2.0158061378874423E-2</v>
      </c>
      <c r="T4794" s="59">
        <f ca="1">Dashboard!C$8* Dashboard!$F$4+Dashboard!C$10*SQRT(Dashboard!$F$4) * _xlfn.NORM.S.INV(RAND())</f>
        <v>-3.2063409279003814E-2</v>
      </c>
      <c r="U4794" s="59">
        <f ca="1">Dashboard!D$8* Dashboard!$F$4+Dashboard!D$10*SQRT(Dashboard!$F$4) * _xlfn.NORM.S.INV(RAND())</f>
        <v>-7.3927671764038071E-3</v>
      </c>
    </row>
    <row r="4795" spans="18:21" x14ac:dyDescent="0.2">
      <c r="R4795" s="49">
        <v>4793</v>
      </c>
      <c r="S4795" s="59">
        <f ca="1">Dashboard!B$8* Dashboard!$F$4+Dashboard!B$10*SQRT(Dashboard!$F$4) * _xlfn.NORM.S.INV(RAND())</f>
        <v>-1.1644136220983488E-2</v>
      </c>
      <c r="T4795" s="59">
        <f ca="1">Dashboard!C$8* Dashboard!$F$4+Dashboard!C$10*SQRT(Dashboard!$F$4) * _xlfn.NORM.S.INV(RAND())</f>
        <v>-3.201900179864868E-2</v>
      </c>
      <c r="U4795" s="59">
        <f ca="1">Dashboard!D$8* Dashboard!$F$4+Dashboard!D$10*SQRT(Dashboard!$F$4) * _xlfn.NORM.S.INV(RAND())</f>
        <v>-2.0635339490602117E-2</v>
      </c>
    </row>
    <row r="4796" spans="18:21" x14ac:dyDescent="0.2">
      <c r="R4796" s="49">
        <v>4794</v>
      </c>
      <c r="S4796" s="59">
        <f ca="1">Dashboard!B$8* Dashboard!$F$4+Dashboard!B$10*SQRT(Dashboard!$F$4) * _xlfn.NORM.S.INV(RAND())</f>
        <v>-3.0433032358114911E-2</v>
      </c>
      <c r="T4796" s="59">
        <f ca="1">Dashboard!C$8* Dashboard!$F$4+Dashboard!C$10*SQRT(Dashboard!$F$4) * _xlfn.NORM.S.INV(RAND())</f>
        <v>-3.011017217645141E-2</v>
      </c>
      <c r="U4796" s="59">
        <f ca="1">Dashboard!D$8* Dashboard!$F$4+Dashboard!D$10*SQRT(Dashboard!$F$4) * _xlfn.NORM.S.INV(RAND())</f>
        <v>-3.9739873476384871E-2</v>
      </c>
    </row>
    <row r="4797" spans="18:21" x14ac:dyDescent="0.2">
      <c r="R4797" s="49">
        <v>4795</v>
      </c>
      <c r="S4797" s="59">
        <f ca="1">Dashboard!B$8* Dashboard!$F$4+Dashboard!B$10*SQRT(Dashboard!$F$4) * _xlfn.NORM.S.INV(RAND())</f>
        <v>2.8068683051316524E-2</v>
      </c>
      <c r="T4797" s="59">
        <f ca="1">Dashboard!C$8* Dashboard!$F$4+Dashboard!C$10*SQRT(Dashboard!$F$4) * _xlfn.NORM.S.INV(RAND())</f>
        <v>-1.0783575606157149E-2</v>
      </c>
      <c r="U4797" s="59">
        <f ca="1">Dashboard!D$8* Dashboard!$F$4+Dashboard!D$10*SQRT(Dashboard!$F$4) * _xlfn.NORM.S.INV(RAND())</f>
        <v>1.3539984598512215E-2</v>
      </c>
    </row>
    <row r="4798" spans="18:21" x14ac:dyDescent="0.2">
      <c r="R4798" s="49">
        <v>4796</v>
      </c>
      <c r="S4798" s="59">
        <f ca="1">Dashboard!B$8* Dashboard!$F$4+Dashboard!B$10*SQRT(Dashboard!$F$4) * _xlfn.NORM.S.INV(RAND())</f>
        <v>-1.6951986280553145E-2</v>
      </c>
      <c r="T4798" s="59">
        <f ca="1">Dashboard!C$8* Dashboard!$F$4+Dashboard!C$10*SQRT(Dashboard!$F$4) * _xlfn.NORM.S.INV(RAND())</f>
        <v>2.4419444591013084E-2</v>
      </c>
      <c r="U4798" s="59">
        <f ca="1">Dashboard!D$8* Dashboard!$F$4+Dashboard!D$10*SQRT(Dashboard!$F$4) * _xlfn.NORM.S.INV(RAND())</f>
        <v>-1.028922810982103E-2</v>
      </c>
    </row>
    <row r="4799" spans="18:21" x14ac:dyDescent="0.2">
      <c r="R4799" s="49">
        <v>4797</v>
      </c>
      <c r="S4799" s="59">
        <f ca="1">Dashboard!B$8* Dashboard!$F$4+Dashboard!B$10*SQRT(Dashboard!$F$4) * _xlfn.NORM.S.INV(RAND())</f>
        <v>8.6832545598964153E-4</v>
      </c>
      <c r="T4799" s="59">
        <f ca="1">Dashboard!C$8* Dashboard!$F$4+Dashboard!C$10*SQRT(Dashboard!$F$4) * _xlfn.NORM.S.INV(RAND())</f>
        <v>1.1617659073136043E-2</v>
      </c>
      <c r="U4799" s="59">
        <f ca="1">Dashboard!D$8* Dashboard!$F$4+Dashboard!D$10*SQRT(Dashboard!$F$4) * _xlfn.NORM.S.INV(RAND())</f>
        <v>-1.3927174870277026E-2</v>
      </c>
    </row>
    <row r="4800" spans="18:21" x14ac:dyDescent="0.2">
      <c r="R4800" s="49">
        <v>4798</v>
      </c>
      <c r="S4800" s="59">
        <f ca="1">Dashboard!B$8* Dashboard!$F$4+Dashboard!B$10*SQRT(Dashboard!$F$4) * _xlfn.NORM.S.INV(RAND())</f>
        <v>-2.0944853675776823E-2</v>
      </c>
      <c r="T4800" s="59">
        <f ca="1">Dashboard!C$8* Dashboard!$F$4+Dashboard!C$10*SQRT(Dashboard!$F$4) * _xlfn.NORM.S.INV(RAND())</f>
        <v>1.1927007342607229E-2</v>
      </c>
      <c r="U4800" s="59">
        <f ca="1">Dashboard!D$8* Dashboard!$F$4+Dashboard!D$10*SQRT(Dashboard!$F$4) * _xlfn.NORM.S.INV(RAND())</f>
        <v>-2.3739001652288993E-2</v>
      </c>
    </row>
    <row r="4801" spans="18:21" x14ac:dyDescent="0.2">
      <c r="R4801" s="49">
        <v>4799</v>
      </c>
      <c r="S4801" s="59">
        <f ca="1">Dashboard!B$8* Dashboard!$F$4+Dashboard!B$10*SQRT(Dashboard!$F$4) * _xlfn.NORM.S.INV(RAND())</f>
        <v>1.4018024013998194E-2</v>
      </c>
      <c r="T4801" s="59">
        <f ca="1">Dashboard!C$8* Dashboard!$F$4+Dashboard!C$10*SQRT(Dashboard!$F$4) * _xlfn.NORM.S.INV(RAND())</f>
        <v>3.6124143749437308E-2</v>
      </c>
      <c r="U4801" s="59">
        <f ca="1">Dashboard!D$8* Dashboard!$F$4+Dashboard!D$10*SQRT(Dashboard!$F$4) * _xlfn.NORM.S.INV(RAND())</f>
        <v>-1.6001352726325022E-3</v>
      </c>
    </row>
    <row r="4802" spans="18:21" x14ac:dyDescent="0.2">
      <c r="R4802" s="49">
        <v>4800</v>
      </c>
      <c r="S4802" s="59">
        <f ca="1">Dashboard!B$8* Dashboard!$F$4+Dashboard!B$10*SQRT(Dashboard!$F$4) * _xlfn.NORM.S.INV(RAND())</f>
        <v>-1.4102152859971811E-2</v>
      </c>
      <c r="T4802" s="59">
        <f ca="1">Dashboard!C$8* Dashboard!$F$4+Dashboard!C$10*SQRT(Dashboard!$F$4) * _xlfn.NORM.S.INV(RAND())</f>
        <v>4.1983367367918162E-2</v>
      </c>
      <c r="U4802" s="59">
        <f ca="1">Dashboard!D$8* Dashboard!$F$4+Dashboard!D$10*SQRT(Dashboard!$F$4) * _xlfn.NORM.S.INV(RAND())</f>
        <v>-2.3157752675376404E-2</v>
      </c>
    </row>
    <row r="4803" spans="18:21" x14ac:dyDescent="0.2">
      <c r="R4803" s="49">
        <v>4801</v>
      </c>
      <c r="S4803" s="59">
        <f ca="1">Dashboard!B$8* Dashboard!$F$4+Dashboard!B$10*SQRT(Dashboard!$F$4) * _xlfn.NORM.S.INV(RAND())</f>
        <v>2.7405861737957657E-2</v>
      </c>
      <c r="T4803" s="59">
        <f ca="1">Dashboard!C$8* Dashboard!$F$4+Dashboard!C$10*SQRT(Dashboard!$F$4) * _xlfn.NORM.S.INV(RAND())</f>
        <v>-3.0526823409593399E-2</v>
      </c>
      <c r="U4803" s="59">
        <f ca="1">Dashboard!D$8* Dashboard!$F$4+Dashboard!D$10*SQRT(Dashboard!$F$4) * _xlfn.NORM.S.INV(RAND())</f>
        <v>-1.9937734626667036E-2</v>
      </c>
    </row>
    <row r="4804" spans="18:21" x14ac:dyDescent="0.2">
      <c r="R4804" s="49">
        <v>4802</v>
      </c>
      <c r="S4804" s="59">
        <f ca="1">Dashboard!B$8* Dashboard!$F$4+Dashboard!B$10*SQRT(Dashboard!$F$4) * _xlfn.NORM.S.INV(RAND())</f>
        <v>3.3258288312730325E-2</v>
      </c>
      <c r="T4804" s="59">
        <f ca="1">Dashboard!C$8* Dashboard!$F$4+Dashboard!C$10*SQRT(Dashboard!$F$4) * _xlfn.NORM.S.INV(RAND())</f>
        <v>-8.5117735123149442E-3</v>
      </c>
      <c r="U4804" s="59">
        <f ca="1">Dashboard!D$8* Dashboard!$F$4+Dashboard!D$10*SQRT(Dashboard!$F$4) * _xlfn.NORM.S.INV(RAND())</f>
        <v>3.3336797293919959E-2</v>
      </c>
    </row>
    <row r="4805" spans="18:21" x14ac:dyDescent="0.2">
      <c r="R4805" s="49">
        <v>4803</v>
      </c>
      <c r="S4805" s="59">
        <f ca="1">Dashboard!B$8* Dashboard!$F$4+Dashboard!B$10*SQRT(Dashboard!$F$4) * _xlfn.NORM.S.INV(RAND())</f>
        <v>-4.8668439205722938E-3</v>
      </c>
      <c r="T4805" s="59">
        <f ca="1">Dashboard!C$8* Dashboard!$F$4+Dashboard!C$10*SQRT(Dashboard!$F$4) * _xlfn.NORM.S.INV(RAND())</f>
        <v>-3.0257316951603146E-2</v>
      </c>
      <c r="U4805" s="59">
        <f ca="1">Dashboard!D$8* Dashboard!$F$4+Dashboard!D$10*SQRT(Dashboard!$F$4) * _xlfn.NORM.S.INV(RAND())</f>
        <v>1.880430306959387E-2</v>
      </c>
    </row>
    <row r="4806" spans="18:21" x14ac:dyDescent="0.2">
      <c r="R4806" s="49">
        <v>4804</v>
      </c>
      <c r="S4806" s="59">
        <f ca="1">Dashboard!B$8* Dashboard!$F$4+Dashboard!B$10*SQRT(Dashboard!$F$4) * _xlfn.NORM.S.INV(RAND())</f>
        <v>-1.6847114864809759E-3</v>
      </c>
      <c r="T4806" s="59">
        <f ca="1">Dashboard!C$8* Dashboard!$F$4+Dashboard!C$10*SQRT(Dashboard!$F$4) * _xlfn.NORM.S.INV(RAND())</f>
        <v>3.9882907773636685E-2</v>
      </c>
      <c r="U4806" s="59">
        <f ca="1">Dashboard!D$8* Dashboard!$F$4+Dashboard!D$10*SQRT(Dashboard!$F$4) * _xlfn.NORM.S.INV(RAND())</f>
        <v>2.6306213697306114E-2</v>
      </c>
    </row>
    <row r="4807" spans="18:21" x14ac:dyDescent="0.2">
      <c r="R4807" s="49">
        <v>4805</v>
      </c>
      <c r="S4807" s="59">
        <f ca="1">Dashboard!B$8* Dashboard!$F$4+Dashboard!B$10*SQRT(Dashboard!$F$4) * _xlfn.NORM.S.INV(RAND())</f>
        <v>6.5290439467628372E-2</v>
      </c>
      <c r="T4807" s="59">
        <f ca="1">Dashboard!C$8* Dashboard!$F$4+Dashboard!C$10*SQRT(Dashboard!$F$4) * _xlfn.NORM.S.INV(RAND())</f>
        <v>-4.5941391819090308E-2</v>
      </c>
      <c r="U4807" s="59">
        <f ca="1">Dashboard!D$8* Dashboard!$F$4+Dashboard!D$10*SQRT(Dashboard!$F$4) * _xlfn.NORM.S.INV(RAND())</f>
        <v>-2.2634769521445715E-2</v>
      </c>
    </row>
    <row r="4808" spans="18:21" x14ac:dyDescent="0.2">
      <c r="R4808" s="49">
        <v>4806</v>
      </c>
      <c r="S4808" s="59">
        <f ca="1">Dashboard!B$8* Dashboard!$F$4+Dashboard!B$10*SQRT(Dashboard!$F$4) * _xlfn.NORM.S.INV(RAND())</f>
        <v>1.5261951216551566E-2</v>
      </c>
      <c r="T4808" s="59">
        <f ca="1">Dashboard!C$8* Dashboard!$F$4+Dashboard!C$10*SQRT(Dashboard!$F$4) * _xlfn.NORM.S.INV(RAND())</f>
        <v>3.893214496587994E-2</v>
      </c>
      <c r="U4808" s="59">
        <f ca="1">Dashboard!D$8* Dashboard!$F$4+Dashboard!D$10*SQRT(Dashboard!$F$4) * _xlfn.NORM.S.INV(RAND())</f>
        <v>3.7710296138723794E-2</v>
      </c>
    </row>
    <row r="4809" spans="18:21" x14ac:dyDescent="0.2">
      <c r="R4809" s="49">
        <v>4807</v>
      </c>
      <c r="S4809" s="59">
        <f ca="1">Dashboard!B$8* Dashboard!$F$4+Dashboard!B$10*SQRT(Dashboard!$F$4) * _xlfn.NORM.S.INV(RAND())</f>
        <v>4.9355214337518528E-2</v>
      </c>
      <c r="T4809" s="59">
        <f ca="1">Dashboard!C$8* Dashboard!$F$4+Dashboard!C$10*SQRT(Dashboard!$F$4) * _xlfn.NORM.S.INV(RAND())</f>
        <v>-1.258765094079287E-2</v>
      </c>
      <c r="U4809" s="59">
        <f ca="1">Dashboard!D$8* Dashboard!$F$4+Dashboard!D$10*SQRT(Dashboard!$F$4) * _xlfn.NORM.S.INV(RAND())</f>
        <v>2.6649453445315267E-2</v>
      </c>
    </row>
    <row r="4810" spans="18:21" x14ac:dyDescent="0.2">
      <c r="R4810" s="49">
        <v>4808</v>
      </c>
      <c r="S4810" s="59">
        <f ca="1">Dashboard!B$8* Dashboard!$F$4+Dashboard!B$10*SQRT(Dashboard!$F$4) * _xlfn.NORM.S.INV(RAND())</f>
        <v>-7.471996831899079E-3</v>
      </c>
      <c r="T4810" s="59">
        <f ca="1">Dashboard!C$8* Dashboard!$F$4+Dashboard!C$10*SQRT(Dashboard!$F$4) * _xlfn.NORM.S.INV(RAND())</f>
        <v>1.4645809667951919E-2</v>
      </c>
      <c r="U4810" s="59">
        <f ca="1">Dashboard!D$8* Dashboard!$F$4+Dashboard!D$10*SQRT(Dashboard!$F$4) * _xlfn.NORM.S.INV(RAND())</f>
        <v>-2.3059492343554883E-2</v>
      </c>
    </row>
    <row r="4811" spans="18:21" x14ac:dyDescent="0.2">
      <c r="R4811" s="49">
        <v>4809</v>
      </c>
      <c r="S4811" s="59">
        <f ca="1">Dashboard!B$8* Dashboard!$F$4+Dashboard!B$10*SQRT(Dashboard!$F$4) * _xlfn.NORM.S.INV(RAND())</f>
        <v>1.6923424130261933E-2</v>
      </c>
      <c r="T4811" s="59">
        <f ca="1">Dashboard!C$8* Dashboard!$F$4+Dashboard!C$10*SQRT(Dashboard!$F$4) * _xlfn.NORM.S.INV(RAND())</f>
        <v>-2.5162829146540416E-4</v>
      </c>
      <c r="U4811" s="59">
        <f ca="1">Dashboard!D$8* Dashboard!$F$4+Dashboard!D$10*SQRT(Dashboard!$F$4) * _xlfn.NORM.S.INV(RAND())</f>
        <v>-1.3279875694606993E-2</v>
      </c>
    </row>
    <row r="4812" spans="18:21" x14ac:dyDescent="0.2">
      <c r="R4812" s="49">
        <v>4810</v>
      </c>
      <c r="S4812" s="59">
        <f ca="1">Dashboard!B$8* Dashboard!$F$4+Dashboard!B$10*SQRT(Dashboard!$F$4) * _xlfn.NORM.S.INV(RAND())</f>
        <v>3.0952284753181812E-2</v>
      </c>
      <c r="T4812" s="59">
        <f ca="1">Dashboard!C$8* Dashboard!$F$4+Dashboard!C$10*SQRT(Dashboard!$F$4) * _xlfn.NORM.S.INV(RAND())</f>
        <v>8.9462186423084067E-3</v>
      </c>
      <c r="U4812" s="59">
        <f ca="1">Dashboard!D$8* Dashboard!$F$4+Dashboard!D$10*SQRT(Dashboard!$F$4) * _xlfn.NORM.S.INV(RAND())</f>
        <v>-4.6829009632896448E-2</v>
      </c>
    </row>
    <row r="4813" spans="18:21" x14ac:dyDescent="0.2">
      <c r="R4813" s="49">
        <v>4811</v>
      </c>
      <c r="S4813" s="59">
        <f ca="1">Dashboard!B$8* Dashboard!$F$4+Dashboard!B$10*SQRT(Dashboard!$F$4) * _xlfn.NORM.S.INV(RAND())</f>
        <v>-3.8411079297866629E-3</v>
      </c>
      <c r="T4813" s="59">
        <f ca="1">Dashboard!C$8* Dashboard!$F$4+Dashboard!C$10*SQRT(Dashboard!$F$4) * _xlfn.NORM.S.INV(RAND())</f>
        <v>2.5032737134992857E-2</v>
      </c>
      <c r="U4813" s="59">
        <f ca="1">Dashboard!D$8* Dashboard!$F$4+Dashboard!D$10*SQRT(Dashboard!$F$4) * _xlfn.NORM.S.INV(RAND())</f>
        <v>-3.0628741426752839E-2</v>
      </c>
    </row>
    <row r="4814" spans="18:21" x14ac:dyDescent="0.2">
      <c r="R4814" s="49">
        <v>4812</v>
      </c>
      <c r="S4814" s="59">
        <f ca="1">Dashboard!B$8* Dashboard!$F$4+Dashboard!B$10*SQRT(Dashboard!$F$4) * _xlfn.NORM.S.INV(RAND())</f>
        <v>-5.4852572782330203E-2</v>
      </c>
      <c r="T4814" s="59">
        <f ca="1">Dashboard!C$8* Dashboard!$F$4+Dashboard!C$10*SQRT(Dashboard!$F$4) * _xlfn.NORM.S.INV(RAND())</f>
        <v>-1.9544155316811397E-2</v>
      </c>
      <c r="U4814" s="59">
        <f ca="1">Dashboard!D$8* Dashboard!$F$4+Dashboard!D$10*SQRT(Dashboard!$F$4) * _xlfn.NORM.S.INV(RAND())</f>
        <v>-4.5155513950322509E-2</v>
      </c>
    </row>
    <row r="4815" spans="18:21" x14ac:dyDescent="0.2">
      <c r="R4815" s="49">
        <v>4813</v>
      </c>
      <c r="S4815" s="59">
        <f ca="1">Dashboard!B$8* Dashboard!$F$4+Dashboard!B$10*SQRT(Dashboard!$F$4) * _xlfn.NORM.S.INV(RAND())</f>
        <v>2.0831423553578074E-2</v>
      </c>
      <c r="T4815" s="59">
        <f ca="1">Dashboard!C$8* Dashboard!$F$4+Dashboard!C$10*SQRT(Dashboard!$F$4) * _xlfn.NORM.S.INV(RAND())</f>
        <v>-1.1102034247681719E-2</v>
      </c>
      <c r="U4815" s="59">
        <f ca="1">Dashboard!D$8* Dashboard!$F$4+Dashboard!D$10*SQRT(Dashboard!$F$4) * _xlfn.NORM.S.INV(RAND())</f>
        <v>-5.6559400122441197E-3</v>
      </c>
    </row>
    <row r="4816" spans="18:21" x14ac:dyDescent="0.2">
      <c r="R4816" s="49">
        <v>4814</v>
      </c>
      <c r="S4816" s="59">
        <f ca="1">Dashboard!B$8* Dashboard!$F$4+Dashboard!B$10*SQRT(Dashboard!$F$4) * _xlfn.NORM.S.INV(RAND())</f>
        <v>-1.1543624245668141E-2</v>
      </c>
      <c r="T4816" s="59">
        <f ca="1">Dashboard!C$8* Dashboard!$F$4+Dashboard!C$10*SQRT(Dashboard!$F$4) * _xlfn.NORM.S.INV(RAND())</f>
        <v>-5.2645990417636769E-2</v>
      </c>
      <c r="U4816" s="59">
        <f ca="1">Dashboard!D$8* Dashboard!$F$4+Dashboard!D$10*SQRT(Dashboard!$F$4) * _xlfn.NORM.S.INV(RAND())</f>
        <v>6.1520402868952898E-2</v>
      </c>
    </row>
    <row r="4817" spans="18:21" x14ac:dyDescent="0.2">
      <c r="R4817" s="49">
        <v>4815</v>
      </c>
      <c r="S4817" s="59">
        <f ca="1">Dashboard!B$8* Dashboard!$F$4+Dashboard!B$10*SQRT(Dashboard!$F$4) * _xlfn.NORM.S.INV(RAND())</f>
        <v>3.847976358154799E-2</v>
      </c>
      <c r="T4817" s="59">
        <f ca="1">Dashboard!C$8* Dashboard!$F$4+Dashboard!C$10*SQRT(Dashboard!$F$4) * _xlfn.NORM.S.INV(RAND())</f>
        <v>-7.6679312024625955E-3</v>
      </c>
      <c r="U4817" s="59">
        <f ca="1">Dashboard!D$8* Dashboard!$F$4+Dashboard!D$10*SQRT(Dashboard!$F$4) * _xlfn.NORM.S.INV(RAND())</f>
        <v>-3.1433098660579604E-2</v>
      </c>
    </row>
    <row r="4818" spans="18:21" x14ac:dyDescent="0.2">
      <c r="R4818" s="49">
        <v>4816</v>
      </c>
      <c r="S4818" s="59">
        <f ca="1">Dashboard!B$8* Dashboard!$F$4+Dashboard!B$10*SQRT(Dashboard!$F$4) * _xlfn.NORM.S.INV(RAND())</f>
        <v>-1.8930698763690627E-2</v>
      </c>
      <c r="T4818" s="59">
        <f ca="1">Dashboard!C$8* Dashboard!$F$4+Dashboard!C$10*SQRT(Dashboard!$F$4) * _xlfn.NORM.S.INV(RAND())</f>
        <v>1.6650833805693967E-3</v>
      </c>
      <c r="U4818" s="59">
        <f ca="1">Dashboard!D$8* Dashboard!$F$4+Dashboard!D$10*SQRT(Dashboard!$F$4) * _xlfn.NORM.S.INV(RAND())</f>
        <v>-5.0760084496412838E-2</v>
      </c>
    </row>
    <row r="4819" spans="18:21" x14ac:dyDescent="0.2">
      <c r="R4819" s="49">
        <v>4817</v>
      </c>
      <c r="S4819" s="59">
        <f ca="1">Dashboard!B$8* Dashboard!$F$4+Dashboard!B$10*SQRT(Dashboard!$F$4) * _xlfn.NORM.S.INV(RAND())</f>
        <v>1.5571714043962794E-2</v>
      </c>
      <c r="T4819" s="59">
        <f ca="1">Dashboard!C$8* Dashboard!$F$4+Dashboard!C$10*SQRT(Dashboard!$F$4) * _xlfn.NORM.S.INV(RAND())</f>
        <v>-9.8899424946865752E-3</v>
      </c>
      <c r="U4819" s="59">
        <f ca="1">Dashboard!D$8* Dashboard!$F$4+Dashboard!D$10*SQRT(Dashboard!$F$4) * _xlfn.NORM.S.INV(RAND())</f>
        <v>5.2360542901159039E-2</v>
      </c>
    </row>
    <row r="4820" spans="18:21" x14ac:dyDescent="0.2">
      <c r="R4820" s="49">
        <v>4818</v>
      </c>
      <c r="S4820" s="59">
        <f ca="1">Dashboard!B$8* Dashboard!$F$4+Dashboard!B$10*SQRT(Dashboard!$F$4) * _xlfn.NORM.S.INV(RAND())</f>
        <v>-1.2329118910926357E-2</v>
      </c>
      <c r="T4820" s="59">
        <f ca="1">Dashboard!C$8* Dashboard!$F$4+Dashboard!C$10*SQRT(Dashboard!$F$4) * _xlfn.NORM.S.INV(RAND())</f>
        <v>-1.6986046242429546E-2</v>
      </c>
      <c r="U4820" s="59">
        <f ca="1">Dashboard!D$8* Dashboard!$F$4+Dashboard!D$10*SQRT(Dashboard!$F$4) * _xlfn.NORM.S.INV(RAND())</f>
        <v>-6.9236490969978677E-3</v>
      </c>
    </row>
    <row r="4821" spans="18:21" x14ac:dyDescent="0.2">
      <c r="R4821" s="49">
        <v>4819</v>
      </c>
      <c r="S4821" s="59">
        <f ca="1">Dashboard!B$8* Dashboard!$F$4+Dashboard!B$10*SQRT(Dashboard!$F$4) * _xlfn.NORM.S.INV(RAND())</f>
        <v>-1.0882052408260592E-2</v>
      </c>
      <c r="T4821" s="59">
        <f ca="1">Dashboard!C$8* Dashboard!$F$4+Dashboard!C$10*SQRT(Dashboard!$F$4) * _xlfn.NORM.S.INV(RAND())</f>
        <v>1.0673761785517887E-2</v>
      </c>
      <c r="U4821" s="59">
        <f ca="1">Dashboard!D$8* Dashboard!$F$4+Dashboard!D$10*SQRT(Dashboard!$F$4) * _xlfn.NORM.S.INV(RAND())</f>
        <v>-5.9992840089276231E-2</v>
      </c>
    </row>
    <row r="4822" spans="18:21" x14ac:dyDescent="0.2">
      <c r="R4822" s="49">
        <v>4820</v>
      </c>
      <c r="S4822" s="59">
        <f ca="1">Dashboard!B$8* Dashboard!$F$4+Dashboard!B$10*SQRT(Dashboard!$F$4) * _xlfn.NORM.S.INV(RAND())</f>
        <v>3.3374934411703916E-2</v>
      </c>
      <c r="T4822" s="59">
        <f ca="1">Dashboard!C$8* Dashboard!$F$4+Dashboard!C$10*SQRT(Dashboard!$F$4) * _xlfn.NORM.S.INV(RAND())</f>
        <v>6.8381569942809362E-2</v>
      </c>
      <c r="U4822" s="59">
        <f ca="1">Dashboard!D$8* Dashboard!$F$4+Dashboard!D$10*SQRT(Dashboard!$F$4) * _xlfn.NORM.S.INV(RAND())</f>
        <v>2.1725412334025935E-2</v>
      </c>
    </row>
    <row r="4823" spans="18:21" x14ac:dyDescent="0.2">
      <c r="R4823" s="49">
        <v>4821</v>
      </c>
      <c r="S4823" s="59">
        <f ca="1">Dashboard!B$8* Dashboard!$F$4+Dashboard!B$10*SQRT(Dashboard!$F$4) * _xlfn.NORM.S.INV(RAND())</f>
        <v>-2.4052874958648295E-2</v>
      </c>
      <c r="T4823" s="59">
        <f ca="1">Dashboard!C$8* Dashboard!$F$4+Dashboard!C$10*SQRT(Dashboard!$F$4) * _xlfn.NORM.S.INV(RAND())</f>
        <v>2.7340418060941524E-2</v>
      </c>
      <c r="U4823" s="59">
        <f ca="1">Dashboard!D$8* Dashboard!$F$4+Dashboard!D$10*SQRT(Dashboard!$F$4) * _xlfn.NORM.S.INV(RAND())</f>
        <v>1.100414547883545E-2</v>
      </c>
    </row>
    <row r="4824" spans="18:21" x14ac:dyDescent="0.2">
      <c r="R4824" s="49">
        <v>4822</v>
      </c>
      <c r="S4824" s="59">
        <f ca="1">Dashboard!B$8* Dashboard!$F$4+Dashboard!B$10*SQRT(Dashboard!$F$4) * _xlfn.NORM.S.INV(RAND())</f>
        <v>5.1614864628454972E-2</v>
      </c>
      <c r="T4824" s="59">
        <f ca="1">Dashboard!C$8* Dashboard!$F$4+Dashboard!C$10*SQRT(Dashboard!$F$4) * _xlfn.NORM.S.INV(RAND())</f>
        <v>-3.0720602926566584E-2</v>
      </c>
      <c r="U4824" s="59">
        <f ca="1">Dashboard!D$8* Dashboard!$F$4+Dashboard!D$10*SQRT(Dashboard!$F$4) * _xlfn.NORM.S.INV(RAND())</f>
        <v>-1.0594524439848789E-2</v>
      </c>
    </row>
    <row r="4825" spans="18:21" x14ac:dyDescent="0.2">
      <c r="R4825" s="49">
        <v>4823</v>
      </c>
      <c r="S4825" s="59">
        <f ca="1">Dashboard!B$8* Dashboard!$F$4+Dashboard!B$10*SQRT(Dashboard!$F$4) * _xlfn.NORM.S.INV(RAND())</f>
        <v>8.7121076085251783E-3</v>
      </c>
      <c r="T4825" s="59">
        <f ca="1">Dashboard!C$8* Dashboard!$F$4+Dashboard!C$10*SQRT(Dashboard!$F$4) * _xlfn.NORM.S.INV(RAND())</f>
        <v>3.7523863200975963E-3</v>
      </c>
      <c r="U4825" s="59">
        <f ca="1">Dashboard!D$8* Dashboard!$F$4+Dashboard!D$10*SQRT(Dashboard!$F$4) * _xlfn.NORM.S.INV(RAND())</f>
        <v>3.1976325997124687E-3</v>
      </c>
    </row>
    <row r="4826" spans="18:21" x14ac:dyDescent="0.2">
      <c r="R4826" s="49">
        <v>4824</v>
      </c>
      <c r="S4826" s="59">
        <f ca="1">Dashboard!B$8* Dashboard!$F$4+Dashboard!B$10*SQRT(Dashboard!$F$4) * _xlfn.NORM.S.INV(RAND())</f>
        <v>1.5373143359254158E-2</v>
      </c>
      <c r="T4826" s="59">
        <f ca="1">Dashboard!C$8* Dashboard!$F$4+Dashboard!C$10*SQRT(Dashboard!$F$4) * _xlfn.NORM.S.INV(RAND())</f>
        <v>1.4164052921109477E-2</v>
      </c>
      <c r="U4826" s="59">
        <f ca="1">Dashboard!D$8* Dashboard!$F$4+Dashboard!D$10*SQRT(Dashboard!$F$4) * _xlfn.NORM.S.INV(RAND())</f>
        <v>6.9230272222814623E-3</v>
      </c>
    </row>
    <row r="4827" spans="18:21" x14ac:dyDescent="0.2">
      <c r="R4827" s="49">
        <v>4825</v>
      </c>
      <c r="S4827" s="59">
        <f ca="1">Dashboard!B$8* Dashboard!$F$4+Dashboard!B$10*SQRT(Dashboard!$F$4) * _xlfn.NORM.S.INV(RAND())</f>
        <v>2.5258486312017873E-2</v>
      </c>
      <c r="T4827" s="59">
        <f ca="1">Dashboard!C$8* Dashboard!$F$4+Dashboard!C$10*SQRT(Dashboard!$F$4) * _xlfn.NORM.S.INV(RAND())</f>
        <v>-2.3715834833389626E-3</v>
      </c>
      <c r="U4827" s="59">
        <f ca="1">Dashboard!D$8* Dashboard!$F$4+Dashboard!D$10*SQRT(Dashboard!$F$4) * _xlfn.NORM.S.INV(RAND())</f>
        <v>-3.2597793153328218E-2</v>
      </c>
    </row>
    <row r="4828" spans="18:21" x14ac:dyDescent="0.2">
      <c r="R4828" s="49">
        <v>4826</v>
      </c>
      <c r="S4828" s="59">
        <f ca="1">Dashboard!B$8* Dashboard!$F$4+Dashboard!B$10*SQRT(Dashboard!$F$4) * _xlfn.NORM.S.INV(RAND())</f>
        <v>7.2601045578314524E-2</v>
      </c>
      <c r="T4828" s="59">
        <f ca="1">Dashboard!C$8* Dashboard!$F$4+Dashboard!C$10*SQRT(Dashboard!$F$4) * _xlfn.NORM.S.INV(RAND())</f>
        <v>1.11191215942055E-2</v>
      </c>
      <c r="U4828" s="59">
        <f ca="1">Dashboard!D$8* Dashboard!$F$4+Dashboard!D$10*SQRT(Dashboard!$F$4) * _xlfn.NORM.S.INV(RAND())</f>
        <v>5.6896596595401401E-3</v>
      </c>
    </row>
    <row r="4829" spans="18:21" x14ac:dyDescent="0.2">
      <c r="R4829" s="49">
        <v>4827</v>
      </c>
      <c r="S4829" s="59">
        <f ca="1">Dashboard!B$8* Dashboard!$F$4+Dashboard!B$10*SQRT(Dashboard!$F$4) * _xlfn.NORM.S.INV(RAND())</f>
        <v>-1.0803077409714843E-2</v>
      </c>
      <c r="T4829" s="59">
        <f ca="1">Dashboard!C$8* Dashboard!$F$4+Dashboard!C$10*SQRT(Dashboard!$F$4) * _xlfn.NORM.S.INV(RAND())</f>
        <v>-2.7365126348957384E-2</v>
      </c>
      <c r="U4829" s="59">
        <f ca="1">Dashboard!D$8* Dashboard!$F$4+Dashboard!D$10*SQRT(Dashboard!$F$4) * _xlfn.NORM.S.INV(RAND())</f>
        <v>-2.7068223183383876E-2</v>
      </c>
    </row>
    <row r="4830" spans="18:21" x14ac:dyDescent="0.2">
      <c r="R4830" s="49">
        <v>4828</v>
      </c>
      <c r="S4830" s="59">
        <f ca="1">Dashboard!B$8* Dashboard!$F$4+Dashboard!B$10*SQRT(Dashboard!$F$4) * _xlfn.NORM.S.INV(RAND())</f>
        <v>-2.6689220835845281E-2</v>
      </c>
      <c r="T4830" s="59">
        <f ca="1">Dashboard!C$8* Dashboard!$F$4+Dashboard!C$10*SQRT(Dashboard!$F$4) * _xlfn.NORM.S.INV(RAND())</f>
        <v>-8.747354314148293E-3</v>
      </c>
      <c r="U4830" s="59">
        <f ca="1">Dashboard!D$8* Dashboard!$F$4+Dashboard!D$10*SQRT(Dashboard!$F$4) * _xlfn.NORM.S.INV(RAND())</f>
        <v>-3.9972362466423252E-2</v>
      </c>
    </row>
    <row r="4831" spans="18:21" x14ac:dyDescent="0.2">
      <c r="R4831" s="49">
        <v>4829</v>
      </c>
      <c r="S4831" s="59">
        <f ca="1">Dashboard!B$8* Dashboard!$F$4+Dashboard!B$10*SQRT(Dashboard!$F$4) * _xlfn.NORM.S.INV(RAND())</f>
        <v>-9.3498557643231464E-2</v>
      </c>
      <c r="T4831" s="59">
        <f ca="1">Dashboard!C$8* Dashboard!$F$4+Dashboard!C$10*SQRT(Dashboard!$F$4) * _xlfn.NORM.S.INV(RAND())</f>
        <v>8.329042846414547E-4</v>
      </c>
      <c r="U4831" s="59">
        <f ca="1">Dashboard!D$8* Dashboard!$F$4+Dashboard!D$10*SQRT(Dashboard!$F$4) * _xlfn.NORM.S.INV(RAND())</f>
        <v>7.2584164322028162E-3</v>
      </c>
    </row>
    <row r="4832" spans="18:21" x14ac:dyDescent="0.2">
      <c r="R4832" s="49">
        <v>4830</v>
      </c>
      <c r="S4832" s="59">
        <f ca="1">Dashboard!B$8* Dashboard!$F$4+Dashboard!B$10*SQRT(Dashboard!$F$4) * _xlfn.NORM.S.INV(RAND())</f>
        <v>-1.126080931040613E-2</v>
      </c>
      <c r="T4832" s="59">
        <f ca="1">Dashboard!C$8* Dashboard!$F$4+Dashboard!C$10*SQRT(Dashboard!$F$4) * _xlfn.NORM.S.INV(RAND())</f>
        <v>5.2577553967422426E-2</v>
      </c>
      <c r="U4832" s="59">
        <f ca="1">Dashboard!D$8* Dashboard!$F$4+Dashboard!D$10*SQRT(Dashboard!$F$4) * _xlfn.NORM.S.INV(RAND())</f>
        <v>1.829373803158367E-2</v>
      </c>
    </row>
    <row r="4833" spans="18:21" x14ac:dyDescent="0.2">
      <c r="R4833" s="49">
        <v>4831</v>
      </c>
      <c r="S4833" s="59">
        <f ca="1">Dashboard!B$8* Dashboard!$F$4+Dashboard!B$10*SQRT(Dashboard!$F$4) * _xlfn.NORM.S.INV(RAND())</f>
        <v>-2.3811004649732057E-2</v>
      </c>
      <c r="T4833" s="59">
        <f ca="1">Dashboard!C$8* Dashboard!$F$4+Dashboard!C$10*SQRT(Dashboard!$F$4) * _xlfn.NORM.S.INV(RAND())</f>
        <v>-1.9024709180852344E-2</v>
      </c>
      <c r="U4833" s="59">
        <f ca="1">Dashboard!D$8* Dashboard!$F$4+Dashboard!D$10*SQRT(Dashboard!$F$4) * _xlfn.NORM.S.INV(RAND())</f>
        <v>-2.0840210205749672E-2</v>
      </c>
    </row>
    <row r="4834" spans="18:21" x14ac:dyDescent="0.2">
      <c r="R4834" s="49">
        <v>4832</v>
      </c>
      <c r="S4834" s="59">
        <f ca="1">Dashboard!B$8* Dashboard!$F$4+Dashboard!B$10*SQRT(Dashboard!$F$4) * _xlfn.NORM.S.INV(RAND())</f>
        <v>-7.1714995852230727E-3</v>
      </c>
      <c r="T4834" s="59">
        <f ca="1">Dashboard!C$8* Dashboard!$F$4+Dashboard!C$10*SQRT(Dashboard!$F$4) * _xlfn.NORM.S.INV(RAND())</f>
        <v>-9.951222677058974E-3</v>
      </c>
      <c r="U4834" s="59">
        <f ca="1">Dashboard!D$8* Dashboard!$F$4+Dashboard!D$10*SQRT(Dashboard!$F$4) * _xlfn.NORM.S.INV(RAND())</f>
        <v>2.9146508514123547E-2</v>
      </c>
    </row>
    <row r="4835" spans="18:21" x14ac:dyDescent="0.2">
      <c r="R4835" s="49">
        <v>4833</v>
      </c>
      <c r="S4835" s="59">
        <f ca="1">Dashboard!B$8* Dashboard!$F$4+Dashboard!B$10*SQRT(Dashboard!$F$4) * _xlfn.NORM.S.INV(RAND())</f>
        <v>-2.9361877326676528E-2</v>
      </c>
      <c r="T4835" s="59">
        <f ca="1">Dashboard!C$8* Dashboard!$F$4+Dashboard!C$10*SQRT(Dashboard!$F$4) * _xlfn.NORM.S.INV(RAND())</f>
        <v>-2.4740856154571479E-3</v>
      </c>
      <c r="U4835" s="59">
        <f ca="1">Dashboard!D$8* Dashboard!$F$4+Dashboard!D$10*SQRT(Dashboard!$F$4) * _xlfn.NORM.S.INV(RAND())</f>
        <v>-1.1877182316536733E-2</v>
      </c>
    </row>
    <row r="4836" spans="18:21" x14ac:dyDescent="0.2">
      <c r="R4836" s="49">
        <v>4834</v>
      </c>
      <c r="S4836" s="59">
        <f ca="1">Dashboard!B$8* Dashboard!$F$4+Dashboard!B$10*SQRT(Dashboard!$F$4) * _xlfn.NORM.S.INV(RAND())</f>
        <v>2.7042467135682237E-2</v>
      </c>
      <c r="T4836" s="59">
        <f ca="1">Dashboard!C$8* Dashboard!$F$4+Dashboard!C$10*SQRT(Dashboard!$F$4) * _xlfn.NORM.S.INV(RAND())</f>
        <v>4.7833474813482525E-2</v>
      </c>
      <c r="U4836" s="59">
        <f ca="1">Dashboard!D$8* Dashboard!$F$4+Dashboard!D$10*SQRT(Dashboard!$F$4) * _xlfn.NORM.S.INV(RAND())</f>
        <v>-4.4995798461846858E-3</v>
      </c>
    </row>
    <row r="4837" spans="18:21" x14ac:dyDescent="0.2">
      <c r="R4837" s="49">
        <v>4835</v>
      </c>
      <c r="S4837" s="59">
        <f ca="1">Dashboard!B$8* Dashboard!$F$4+Dashboard!B$10*SQRT(Dashboard!$F$4) * _xlfn.NORM.S.INV(RAND())</f>
        <v>-3.5439623497739818E-2</v>
      </c>
      <c r="T4837" s="59">
        <f ca="1">Dashboard!C$8* Dashboard!$F$4+Dashboard!C$10*SQRT(Dashboard!$F$4) * _xlfn.NORM.S.INV(RAND())</f>
        <v>8.4107553007757678E-3</v>
      </c>
      <c r="U4837" s="59">
        <f ca="1">Dashboard!D$8* Dashboard!$F$4+Dashboard!D$10*SQRT(Dashboard!$F$4) * _xlfn.NORM.S.INV(RAND())</f>
        <v>3.6215209053789922E-2</v>
      </c>
    </row>
    <row r="4838" spans="18:21" x14ac:dyDescent="0.2">
      <c r="R4838" s="49">
        <v>4836</v>
      </c>
      <c r="S4838" s="59">
        <f ca="1">Dashboard!B$8* Dashboard!$F$4+Dashboard!B$10*SQRT(Dashboard!$F$4) * _xlfn.NORM.S.INV(RAND())</f>
        <v>4.2384405037392634E-3</v>
      </c>
      <c r="T4838" s="59">
        <f ca="1">Dashboard!C$8* Dashboard!$F$4+Dashboard!C$10*SQRT(Dashboard!$F$4) * _xlfn.NORM.S.INV(RAND())</f>
        <v>-3.392912464733013E-3</v>
      </c>
      <c r="U4838" s="59">
        <f ca="1">Dashboard!D$8* Dashboard!$F$4+Dashboard!D$10*SQRT(Dashboard!$F$4) * _xlfn.NORM.S.INV(RAND())</f>
        <v>-1.9192196357287961E-2</v>
      </c>
    </row>
    <row r="4839" spans="18:21" x14ac:dyDescent="0.2">
      <c r="R4839" s="49">
        <v>4837</v>
      </c>
      <c r="S4839" s="59">
        <f ca="1">Dashboard!B$8* Dashboard!$F$4+Dashboard!B$10*SQRT(Dashboard!$F$4) * _xlfn.NORM.S.INV(RAND())</f>
        <v>3.2461816448697826E-2</v>
      </c>
      <c r="T4839" s="59">
        <f ca="1">Dashboard!C$8* Dashboard!$F$4+Dashboard!C$10*SQRT(Dashboard!$F$4) * _xlfn.NORM.S.INV(RAND())</f>
        <v>-2.229072459412303E-2</v>
      </c>
      <c r="U4839" s="59">
        <f ca="1">Dashboard!D$8* Dashboard!$F$4+Dashboard!D$10*SQRT(Dashboard!$F$4) * _xlfn.NORM.S.INV(RAND())</f>
        <v>-7.9548330616703827E-2</v>
      </c>
    </row>
    <row r="4840" spans="18:21" x14ac:dyDescent="0.2">
      <c r="R4840" s="49">
        <v>4838</v>
      </c>
      <c r="S4840" s="59">
        <f ca="1">Dashboard!B$8* Dashboard!$F$4+Dashboard!B$10*SQRT(Dashboard!$F$4) * _xlfn.NORM.S.INV(RAND())</f>
        <v>-5.300315553764736E-2</v>
      </c>
      <c r="T4840" s="59">
        <f ca="1">Dashboard!C$8* Dashboard!$F$4+Dashboard!C$10*SQRT(Dashboard!$F$4) * _xlfn.NORM.S.INV(RAND())</f>
        <v>5.8307050657378581E-3</v>
      </c>
      <c r="U4840" s="59">
        <f ca="1">Dashboard!D$8* Dashboard!$F$4+Dashboard!D$10*SQRT(Dashboard!$F$4) * _xlfn.NORM.S.INV(RAND())</f>
        <v>-4.223317153805633E-3</v>
      </c>
    </row>
    <row r="4841" spans="18:21" x14ac:dyDescent="0.2">
      <c r="R4841" s="49">
        <v>4839</v>
      </c>
      <c r="S4841" s="59">
        <f ca="1">Dashboard!B$8* Dashboard!$F$4+Dashboard!B$10*SQRT(Dashboard!$F$4) * _xlfn.NORM.S.INV(RAND())</f>
        <v>-6.6922673841854435E-2</v>
      </c>
      <c r="T4841" s="59">
        <f ca="1">Dashboard!C$8* Dashboard!$F$4+Dashboard!C$10*SQRT(Dashboard!$F$4) * _xlfn.NORM.S.INV(RAND())</f>
        <v>1.2253837533919329E-2</v>
      </c>
      <c r="U4841" s="59">
        <f ca="1">Dashboard!D$8* Dashboard!$F$4+Dashboard!D$10*SQRT(Dashboard!$F$4) * _xlfn.NORM.S.INV(RAND())</f>
        <v>4.0084431146741824E-2</v>
      </c>
    </row>
    <row r="4842" spans="18:21" x14ac:dyDescent="0.2">
      <c r="R4842" s="49">
        <v>4840</v>
      </c>
      <c r="S4842" s="59">
        <f ca="1">Dashboard!B$8* Dashboard!$F$4+Dashboard!B$10*SQRT(Dashboard!$F$4) * _xlfn.NORM.S.INV(RAND())</f>
        <v>-1.1583027404352512E-2</v>
      </c>
      <c r="T4842" s="59">
        <f ca="1">Dashboard!C$8* Dashboard!$F$4+Dashboard!C$10*SQRT(Dashboard!$F$4) * _xlfn.NORM.S.INV(RAND())</f>
        <v>-6.1953739387309885E-3</v>
      </c>
      <c r="U4842" s="59">
        <f ca="1">Dashboard!D$8* Dashboard!$F$4+Dashboard!D$10*SQRT(Dashboard!$F$4) * _xlfn.NORM.S.INV(RAND())</f>
        <v>-7.1437495362938419E-2</v>
      </c>
    </row>
    <row r="4843" spans="18:21" x14ac:dyDescent="0.2">
      <c r="R4843" s="49">
        <v>4841</v>
      </c>
      <c r="S4843" s="59">
        <f ca="1">Dashboard!B$8* Dashboard!$F$4+Dashboard!B$10*SQRT(Dashboard!$F$4) * _xlfn.NORM.S.INV(RAND())</f>
        <v>-8.6358394426781657E-2</v>
      </c>
      <c r="T4843" s="59">
        <f ca="1">Dashboard!C$8* Dashboard!$F$4+Dashboard!C$10*SQRT(Dashboard!$F$4) * _xlfn.NORM.S.INV(RAND())</f>
        <v>3.165034704164963E-2</v>
      </c>
      <c r="U4843" s="59">
        <f ca="1">Dashboard!D$8* Dashboard!$F$4+Dashboard!D$10*SQRT(Dashboard!$F$4) * _xlfn.NORM.S.INV(RAND())</f>
        <v>1.6282353947805377E-3</v>
      </c>
    </row>
    <row r="4844" spans="18:21" x14ac:dyDescent="0.2">
      <c r="R4844" s="49">
        <v>4842</v>
      </c>
      <c r="S4844" s="59">
        <f ca="1">Dashboard!B$8* Dashboard!$F$4+Dashboard!B$10*SQRT(Dashboard!$F$4) * _xlfn.NORM.S.INV(RAND())</f>
        <v>-2.3353849358508386E-2</v>
      </c>
      <c r="T4844" s="59">
        <f ca="1">Dashboard!C$8* Dashboard!$F$4+Dashboard!C$10*SQRT(Dashboard!$F$4) * _xlfn.NORM.S.INV(RAND())</f>
        <v>-4.5247541884474779E-3</v>
      </c>
      <c r="U4844" s="59">
        <f ca="1">Dashboard!D$8* Dashboard!$F$4+Dashboard!D$10*SQRT(Dashboard!$F$4) * _xlfn.NORM.S.INV(RAND())</f>
        <v>1.0390419371940077E-2</v>
      </c>
    </row>
    <row r="4845" spans="18:21" x14ac:dyDescent="0.2">
      <c r="R4845" s="49">
        <v>4843</v>
      </c>
      <c r="S4845" s="59">
        <f ca="1">Dashboard!B$8* Dashboard!$F$4+Dashboard!B$10*SQRT(Dashboard!$F$4) * _xlfn.NORM.S.INV(RAND())</f>
        <v>3.726028906762438E-2</v>
      </c>
      <c r="T4845" s="59">
        <f ca="1">Dashboard!C$8* Dashboard!$F$4+Dashboard!C$10*SQRT(Dashboard!$F$4) * _xlfn.NORM.S.INV(RAND())</f>
        <v>-3.347621204459624E-3</v>
      </c>
      <c r="U4845" s="59">
        <f ca="1">Dashboard!D$8* Dashboard!$F$4+Dashboard!D$10*SQRT(Dashboard!$F$4) * _xlfn.NORM.S.INV(RAND())</f>
        <v>-3.670079310755487E-2</v>
      </c>
    </row>
    <row r="4846" spans="18:21" x14ac:dyDescent="0.2">
      <c r="R4846" s="49">
        <v>4844</v>
      </c>
      <c r="S4846" s="59">
        <f ca="1">Dashboard!B$8* Dashboard!$F$4+Dashboard!B$10*SQRT(Dashboard!$F$4) * _xlfn.NORM.S.INV(RAND())</f>
        <v>-1.3740608191283725E-2</v>
      </c>
      <c r="T4846" s="59">
        <f ca="1">Dashboard!C$8* Dashboard!$F$4+Dashboard!C$10*SQRT(Dashboard!$F$4) * _xlfn.NORM.S.INV(RAND())</f>
        <v>1.2185036204634429E-2</v>
      </c>
      <c r="U4846" s="59">
        <f ca="1">Dashboard!D$8* Dashboard!$F$4+Dashboard!D$10*SQRT(Dashboard!$F$4) * _xlfn.NORM.S.INV(RAND())</f>
        <v>-7.6210524245282065E-3</v>
      </c>
    </row>
    <row r="4847" spans="18:21" x14ac:dyDescent="0.2">
      <c r="R4847" s="49">
        <v>4845</v>
      </c>
      <c r="S4847" s="59">
        <f ca="1">Dashboard!B$8* Dashboard!$F$4+Dashboard!B$10*SQRT(Dashboard!$F$4) * _xlfn.NORM.S.INV(RAND())</f>
        <v>1.3182618674300683E-2</v>
      </c>
      <c r="T4847" s="59">
        <f ca="1">Dashboard!C$8* Dashboard!$F$4+Dashboard!C$10*SQRT(Dashboard!$F$4) * _xlfn.NORM.S.INV(RAND())</f>
        <v>-7.119063030214072E-2</v>
      </c>
      <c r="U4847" s="59">
        <f ca="1">Dashboard!D$8* Dashboard!$F$4+Dashboard!D$10*SQRT(Dashboard!$F$4) * _xlfn.NORM.S.INV(RAND())</f>
        <v>-8.6707389139184451E-2</v>
      </c>
    </row>
    <row r="4848" spans="18:21" x14ac:dyDescent="0.2">
      <c r="R4848" s="49">
        <v>4846</v>
      </c>
      <c r="S4848" s="59">
        <f ca="1">Dashboard!B$8* Dashboard!$F$4+Dashboard!B$10*SQRT(Dashboard!$F$4) * _xlfn.NORM.S.INV(RAND())</f>
        <v>2.5422223814069202E-3</v>
      </c>
      <c r="T4848" s="59">
        <f ca="1">Dashboard!C$8* Dashboard!$F$4+Dashboard!C$10*SQRT(Dashboard!$F$4) * _xlfn.NORM.S.INV(RAND())</f>
        <v>1.7687559645997102E-2</v>
      </c>
      <c r="U4848" s="59">
        <f ca="1">Dashboard!D$8* Dashboard!$F$4+Dashboard!D$10*SQRT(Dashboard!$F$4) * _xlfn.NORM.S.INV(RAND())</f>
        <v>9.3341175827511471E-3</v>
      </c>
    </row>
    <row r="4849" spans="18:21" x14ac:dyDescent="0.2">
      <c r="R4849" s="49">
        <v>4847</v>
      </c>
      <c r="S4849" s="59">
        <f ca="1">Dashboard!B$8* Dashboard!$F$4+Dashboard!B$10*SQRT(Dashboard!$F$4) * _xlfn.NORM.S.INV(RAND())</f>
        <v>-9.0138061201750566E-3</v>
      </c>
      <c r="T4849" s="59">
        <f ca="1">Dashboard!C$8* Dashboard!$F$4+Dashboard!C$10*SQRT(Dashboard!$F$4) * _xlfn.NORM.S.INV(RAND())</f>
        <v>-4.7334745990281184E-4</v>
      </c>
      <c r="U4849" s="59">
        <f ca="1">Dashboard!D$8* Dashboard!$F$4+Dashboard!D$10*SQRT(Dashboard!$F$4) * _xlfn.NORM.S.INV(RAND())</f>
        <v>-1.920545717084075E-2</v>
      </c>
    </row>
    <row r="4850" spans="18:21" x14ac:dyDescent="0.2">
      <c r="R4850" s="49">
        <v>4848</v>
      </c>
      <c r="S4850" s="59">
        <f ca="1">Dashboard!B$8* Dashboard!$F$4+Dashboard!B$10*SQRT(Dashboard!$F$4) * _xlfn.NORM.S.INV(RAND())</f>
        <v>2.9033380968166961E-2</v>
      </c>
      <c r="T4850" s="59">
        <f ca="1">Dashboard!C$8* Dashboard!$F$4+Dashboard!C$10*SQRT(Dashboard!$F$4) * _xlfn.NORM.S.INV(RAND())</f>
        <v>3.7603397593959483E-2</v>
      </c>
      <c r="U4850" s="59">
        <f ca="1">Dashboard!D$8* Dashboard!$F$4+Dashboard!D$10*SQRT(Dashboard!$F$4) * _xlfn.NORM.S.INV(RAND())</f>
        <v>2.4563101918958292E-2</v>
      </c>
    </row>
    <row r="4851" spans="18:21" x14ac:dyDescent="0.2">
      <c r="R4851" s="49">
        <v>4849</v>
      </c>
      <c r="S4851" s="59">
        <f ca="1">Dashboard!B$8* Dashboard!$F$4+Dashboard!B$10*SQRT(Dashboard!$F$4) * _xlfn.NORM.S.INV(RAND())</f>
        <v>4.8816735264672881E-2</v>
      </c>
      <c r="T4851" s="59">
        <f ca="1">Dashboard!C$8* Dashboard!$F$4+Dashboard!C$10*SQRT(Dashboard!$F$4) * _xlfn.NORM.S.INV(RAND())</f>
        <v>-1.7731649636800132E-3</v>
      </c>
      <c r="U4851" s="59">
        <f ca="1">Dashboard!D$8* Dashboard!$F$4+Dashboard!D$10*SQRT(Dashboard!$F$4) * _xlfn.NORM.S.INV(RAND())</f>
        <v>-0.1043771474824305</v>
      </c>
    </row>
    <row r="4852" spans="18:21" x14ac:dyDescent="0.2">
      <c r="R4852" s="49">
        <v>4850</v>
      </c>
      <c r="S4852" s="59">
        <f ca="1">Dashboard!B$8* Dashboard!$F$4+Dashboard!B$10*SQRT(Dashboard!$F$4) * _xlfn.NORM.S.INV(RAND())</f>
        <v>-4.3245909839864316E-2</v>
      </c>
      <c r="T4852" s="59">
        <f ca="1">Dashboard!C$8* Dashboard!$F$4+Dashboard!C$10*SQRT(Dashboard!$F$4) * _xlfn.NORM.S.INV(RAND())</f>
        <v>1.5406117772268517E-2</v>
      </c>
      <c r="U4852" s="59">
        <f ca="1">Dashboard!D$8* Dashboard!$F$4+Dashboard!D$10*SQRT(Dashboard!$F$4) * _xlfn.NORM.S.INV(RAND())</f>
        <v>4.8779181693462743E-2</v>
      </c>
    </row>
    <row r="4853" spans="18:21" x14ac:dyDescent="0.2">
      <c r="R4853" s="49">
        <v>4851</v>
      </c>
      <c r="S4853" s="59">
        <f ca="1">Dashboard!B$8* Dashboard!$F$4+Dashboard!B$10*SQRT(Dashboard!$F$4) * _xlfn.NORM.S.INV(RAND())</f>
        <v>1.292465808991443E-2</v>
      </c>
      <c r="T4853" s="59">
        <f ca="1">Dashboard!C$8* Dashboard!$F$4+Dashboard!C$10*SQRT(Dashboard!$F$4) * _xlfn.NORM.S.INV(RAND())</f>
        <v>1.9700443857586555E-2</v>
      </c>
      <c r="U4853" s="59">
        <f ca="1">Dashboard!D$8* Dashboard!$F$4+Dashboard!D$10*SQRT(Dashboard!$F$4) * _xlfn.NORM.S.INV(RAND())</f>
        <v>-4.3766049581767351E-2</v>
      </c>
    </row>
    <row r="4854" spans="18:21" x14ac:dyDescent="0.2">
      <c r="R4854" s="49">
        <v>4852</v>
      </c>
      <c r="S4854" s="59">
        <f ca="1">Dashboard!B$8* Dashboard!$F$4+Dashboard!B$10*SQRT(Dashboard!$F$4) * _xlfn.NORM.S.INV(RAND())</f>
        <v>-2.6018087568448804E-2</v>
      </c>
      <c r="T4854" s="59">
        <f ca="1">Dashboard!C$8* Dashboard!$F$4+Dashboard!C$10*SQRT(Dashboard!$F$4) * _xlfn.NORM.S.INV(RAND())</f>
        <v>-3.9181912410035562E-3</v>
      </c>
      <c r="U4854" s="59">
        <f ca="1">Dashboard!D$8* Dashboard!$F$4+Dashboard!D$10*SQRT(Dashboard!$F$4) * _xlfn.NORM.S.INV(RAND())</f>
        <v>1.5861376154143972E-2</v>
      </c>
    </row>
    <row r="4855" spans="18:21" x14ac:dyDescent="0.2">
      <c r="R4855" s="49">
        <v>4853</v>
      </c>
      <c r="S4855" s="59">
        <f ca="1">Dashboard!B$8* Dashboard!$F$4+Dashboard!B$10*SQRT(Dashboard!$F$4) * _xlfn.NORM.S.INV(RAND())</f>
        <v>-1.4507627751492486E-3</v>
      </c>
      <c r="T4855" s="59">
        <f ca="1">Dashboard!C$8* Dashboard!$F$4+Dashboard!C$10*SQRT(Dashboard!$F$4) * _xlfn.NORM.S.INV(RAND())</f>
        <v>4.1528497435840604E-2</v>
      </c>
      <c r="U4855" s="59">
        <f ca="1">Dashboard!D$8* Dashboard!$F$4+Dashboard!D$10*SQRT(Dashboard!$F$4) * _xlfn.NORM.S.INV(RAND())</f>
        <v>2.6873998302110975E-2</v>
      </c>
    </row>
    <row r="4856" spans="18:21" x14ac:dyDescent="0.2">
      <c r="R4856" s="49">
        <v>4854</v>
      </c>
      <c r="S4856" s="59">
        <f ca="1">Dashboard!B$8* Dashboard!$F$4+Dashboard!B$10*SQRT(Dashboard!$F$4) * _xlfn.NORM.S.INV(RAND())</f>
        <v>7.3046010754101637E-2</v>
      </c>
      <c r="T4856" s="59">
        <f ca="1">Dashboard!C$8* Dashboard!$F$4+Dashboard!C$10*SQRT(Dashboard!$F$4) * _xlfn.NORM.S.INV(RAND())</f>
        <v>-5.1161360118705994E-3</v>
      </c>
      <c r="U4856" s="59">
        <f ca="1">Dashboard!D$8* Dashboard!$F$4+Dashboard!D$10*SQRT(Dashboard!$F$4) * _xlfn.NORM.S.INV(RAND())</f>
        <v>-4.2950876707347596E-2</v>
      </c>
    </row>
    <row r="4857" spans="18:21" x14ac:dyDescent="0.2">
      <c r="R4857" s="49">
        <v>4855</v>
      </c>
      <c r="S4857" s="59">
        <f ca="1">Dashboard!B$8* Dashboard!$F$4+Dashboard!B$10*SQRT(Dashboard!$F$4) * _xlfn.NORM.S.INV(RAND())</f>
        <v>2.3472018869496875E-2</v>
      </c>
      <c r="T4857" s="59">
        <f ca="1">Dashboard!C$8* Dashboard!$F$4+Dashboard!C$10*SQRT(Dashboard!$F$4) * _xlfn.NORM.S.INV(RAND())</f>
        <v>8.3196862392755366E-3</v>
      </c>
      <c r="U4857" s="59">
        <f ca="1">Dashboard!D$8* Dashboard!$F$4+Dashboard!D$10*SQRT(Dashboard!$F$4) * _xlfn.NORM.S.INV(RAND())</f>
        <v>-2.1606004290814954E-2</v>
      </c>
    </row>
    <row r="4858" spans="18:21" x14ac:dyDescent="0.2">
      <c r="R4858" s="49">
        <v>4856</v>
      </c>
      <c r="S4858" s="59">
        <f ca="1">Dashboard!B$8* Dashboard!$F$4+Dashboard!B$10*SQRT(Dashboard!$F$4) * _xlfn.NORM.S.INV(RAND())</f>
        <v>-5.3946763338882556E-2</v>
      </c>
      <c r="T4858" s="59">
        <f ca="1">Dashboard!C$8* Dashboard!$F$4+Dashboard!C$10*SQRT(Dashboard!$F$4) * _xlfn.NORM.S.INV(RAND())</f>
        <v>2.5376715053962245E-2</v>
      </c>
      <c r="U4858" s="59">
        <f ca="1">Dashboard!D$8* Dashboard!$F$4+Dashboard!D$10*SQRT(Dashboard!$F$4) * _xlfn.NORM.S.INV(RAND())</f>
        <v>-2.0819176300123331E-2</v>
      </c>
    </row>
    <row r="4859" spans="18:21" x14ac:dyDescent="0.2">
      <c r="R4859" s="49">
        <v>4857</v>
      </c>
      <c r="S4859" s="59">
        <f ca="1">Dashboard!B$8* Dashboard!$F$4+Dashboard!B$10*SQRT(Dashboard!$F$4) * _xlfn.NORM.S.INV(RAND())</f>
        <v>-1.7851876720957248E-2</v>
      </c>
      <c r="T4859" s="59">
        <f ca="1">Dashboard!C$8* Dashboard!$F$4+Dashboard!C$10*SQRT(Dashboard!$F$4) * _xlfn.NORM.S.INV(RAND())</f>
        <v>1.1050939716971173E-2</v>
      </c>
      <c r="U4859" s="59">
        <f ca="1">Dashboard!D$8* Dashboard!$F$4+Dashboard!D$10*SQRT(Dashboard!$F$4) * _xlfn.NORM.S.INV(RAND())</f>
        <v>4.9183659866001879E-2</v>
      </c>
    </row>
    <row r="4860" spans="18:21" x14ac:dyDescent="0.2">
      <c r="R4860" s="49">
        <v>4858</v>
      </c>
      <c r="S4860" s="59">
        <f ca="1">Dashboard!B$8* Dashboard!$F$4+Dashboard!B$10*SQRT(Dashboard!$F$4) * _xlfn.NORM.S.INV(RAND())</f>
        <v>2.9645475188374647E-2</v>
      </c>
      <c r="T4860" s="59">
        <f ca="1">Dashboard!C$8* Dashboard!$F$4+Dashboard!C$10*SQRT(Dashboard!$F$4) * _xlfn.NORM.S.INV(RAND())</f>
        <v>6.0356298574365981E-3</v>
      </c>
      <c r="U4860" s="59">
        <f ca="1">Dashboard!D$8* Dashboard!$F$4+Dashboard!D$10*SQRT(Dashboard!$F$4) * _xlfn.NORM.S.INV(RAND())</f>
        <v>-1.4483222033832685E-2</v>
      </c>
    </row>
    <row r="4861" spans="18:21" x14ac:dyDescent="0.2">
      <c r="R4861" s="49">
        <v>4859</v>
      </c>
      <c r="S4861" s="59">
        <f ca="1">Dashboard!B$8* Dashboard!$F$4+Dashboard!B$10*SQRT(Dashboard!$F$4) * _xlfn.NORM.S.INV(RAND())</f>
        <v>2.0526364789537524E-2</v>
      </c>
      <c r="T4861" s="59">
        <f ca="1">Dashboard!C$8* Dashboard!$F$4+Dashboard!C$10*SQRT(Dashboard!$F$4) * _xlfn.NORM.S.INV(RAND())</f>
        <v>3.1324020124049091E-2</v>
      </c>
      <c r="U4861" s="59">
        <f ca="1">Dashboard!D$8* Dashboard!$F$4+Dashboard!D$10*SQRT(Dashboard!$F$4) * _xlfn.NORM.S.INV(RAND())</f>
        <v>3.1565478747409552E-2</v>
      </c>
    </row>
    <row r="4862" spans="18:21" x14ac:dyDescent="0.2">
      <c r="R4862" s="49">
        <v>4860</v>
      </c>
      <c r="S4862" s="59">
        <f ca="1">Dashboard!B$8* Dashboard!$F$4+Dashboard!B$10*SQRT(Dashboard!$F$4) * _xlfn.NORM.S.INV(RAND())</f>
        <v>-2.2495617249581837E-2</v>
      </c>
      <c r="T4862" s="59">
        <f ca="1">Dashboard!C$8* Dashboard!$F$4+Dashboard!C$10*SQRT(Dashboard!$F$4) * _xlfn.NORM.S.INV(RAND())</f>
        <v>-4.3870063305937894E-2</v>
      </c>
      <c r="U4862" s="59">
        <f ca="1">Dashboard!D$8* Dashboard!$F$4+Dashboard!D$10*SQRT(Dashboard!$F$4) * _xlfn.NORM.S.INV(RAND())</f>
        <v>-7.0629339894373901E-3</v>
      </c>
    </row>
    <row r="4863" spans="18:21" x14ac:dyDescent="0.2">
      <c r="R4863" s="49">
        <v>4861</v>
      </c>
      <c r="S4863" s="59">
        <f ca="1">Dashboard!B$8* Dashboard!$F$4+Dashboard!B$10*SQRT(Dashboard!$F$4) * _xlfn.NORM.S.INV(RAND())</f>
        <v>4.6276999616435936E-4</v>
      </c>
      <c r="T4863" s="59">
        <f ca="1">Dashboard!C$8* Dashboard!$F$4+Dashboard!C$10*SQRT(Dashboard!$F$4) * _xlfn.NORM.S.INV(RAND())</f>
        <v>4.5325029557638742E-3</v>
      </c>
      <c r="U4863" s="59">
        <f ca="1">Dashboard!D$8* Dashboard!$F$4+Dashboard!D$10*SQRT(Dashboard!$F$4) * _xlfn.NORM.S.INV(RAND())</f>
        <v>-2.0366634367470448E-2</v>
      </c>
    </row>
    <row r="4864" spans="18:21" x14ac:dyDescent="0.2">
      <c r="R4864" s="49">
        <v>4862</v>
      </c>
      <c r="S4864" s="59">
        <f ca="1">Dashboard!B$8* Dashboard!$F$4+Dashboard!B$10*SQRT(Dashboard!$F$4) * _xlfn.NORM.S.INV(RAND())</f>
        <v>6.1415509654151143E-2</v>
      </c>
      <c r="T4864" s="59">
        <f ca="1">Dashboard!C$8* Dashboard!$F$4+Dashboard!C$10*SQRT(Dashboard!$F$4) * _xlfn.NORM.S.INV(RAND())</f>
        <v>-3.7238953478168434E-2</v>
      </c>
      <c r="U4864" s="59">
        <f ca="1">Dashboard!D$8* Dashboard!$F$4+Dashboard!D$10*SQRT(Dashboard!$F$4) * _xlfn.NORM.S.INV(RAND())</f>
        <v>-2.0160657409291627E-2</v>
      </c>
    </row>
    <row r="4865" spans="18:21" x14ac:dyDescent="0.2">
      <c r="R4865" s="49">
        <v>4863</v>
      </c>
      <c r="S4865" s="59">
        <f ca="1">Dashboard!B$8* Dashboard!$F$4+Dashboard!B$10*SQRT(Dashboard!$F$4) * _xlfn.NORM.S.INV(RAND())</f>
        <v>6.6949818401268006E-3</v>
      </c>
      <c r="T4865" s="59">
        <f ca="1">Dashboard!C$8* Dashboard!$F$4+Dashboard!C$10*SQRT(Dashboard!$F$4) * _xlfn.NORM.S.INV(RAND())</f>
        <v>5.2307299482201579E-2</v>
      </c>
      <c r="U4865" s="59">
        <f ca="1">Dashboard!D$8* Dashboard!$F$4+Dashboard!D$10*SQRT(Dashboard!$F$4) * _xlfn.NORM.S.INV(RAND())</f>
        <v>5.0979777516251726E-2</v>
      </c>
    </row>
    <row r="4866" spans="18:21" x14ac:dyDescent="0.2">
      <c r="R4866" s="49">
        <v>4864</v>
      </c>
      <c r="S4866" s="59">
        <f ca="1">Dashboard!B$8* Dashboard!$F$4+Dashboard!B$10*SQRT(Dashboard!$F$4) * _xlfn.NORM.S.INV(RAND())</f>
        <v>5.1808289171138312E-4</v>
      </c>
      <c r="T4866" s="59">
        <f ca="1">Dashboard!C$8* Dashboard!$F$4+Dashboard!C$10*SQRT(Dashboard!$F$4) * _xlfn.NORM.S.INV(RAND())</f>
        <v>2.8520758344552127E-2</v>
      </c>
      <c r="U4866" s="59">
        <f ca="1">Dashboard!D$8* Dashboard!$F$4+Dashboard!D$10*SQRT(Dashboard!$F$4) * _xlfn.NORM.S.INV(RAND())</f>
        <v>-7.7333546514868845E-2</v>
      </c>
    </row>
    <row r="4867" spans="18:21" x14ac:dyDescent="0.2">
      <c r="R4867" s="49">
        <v>4865</v>
      </c>
      <c r="S4867" s="59">
        <f ca="1">Dashboard!B$8* Dashboard!$F$4+Dashboard!B$10*SQRT(Dashboard!$F$4) * _xlfn.NORM.S.INV(RAND())</f>
        <v>-4.3718979356899536E-2</v>
      </c>
      <c r="T4867" s="59">
        <f ca="1">Dashboard!C$8* Dashboard!$F$4+Dashboard!C$10*SQRT(Dashboard!$F$4) * _xlfn.NORM.S.INV(RAND())</f>
        <v>5.9017614925809356E-2</v>
      </c>
      <c r="U4867" s="59">
        <f ca="1">Dashboard!D$8* Dashboard!$F$4+Dashboard!D$10*SQRT(Dashboard!$F$4) * _xlfn.NORM.S.INV(RAND())</f>
        <v>-1.0588208507848444E-2</v>
      </c>
    </row>
    <row r="4868" spans="18:21" x14ac:dyDescent="0.2">
      <c r="R4868" s="49">
        <v>4866</v>
      </c>
      <c r="S4868" s="59">
        <f ca="1">Dashboard!B$8* Dashboard!$F$4+Dashboard!B$10*SQRT(Dashboard!$F$4) * _xlfn.NORM.S.INV(RAND())</f>
        <v>-1.9198872806860029E-2</v>
      </c>
      <c r="T4868" s="59">
        <f ca="1">Dashboard!C$8* Dashboard!$F$4+Dashboard!C$10*SQRT(Dashboard!$F$4) * _xlfn.NORM.S.INV(RAND())</f>
        <v>-3.43363739215828E-2</v>
      </c>
      <c r="U4868" s="59">
        <f ca="1">Dashboard!D$8* Dashboard!$F$4+Dashboard!D$10*SQRT(Dashboard!$F$4) * _xlfn.NORM.S.INV(RAND())</f>
        <v>-4.4208949760082737E-2</v>
      </c>
    </row>
    <row r="4869" spans="18:21" x14ac:dyDescent="0.2">
      <c r="R4869" s="49">
        <v>4867</v>
      </c>
      <c r="S4869" s="59">
        <f ca="1">Dashboard!B$8* Dashboard!$F$4+Dashboard!B$10*SQRT(Dashboard!$F$4) * _xlfn.NORM.S.INV(RAND())</f>
        <v>3.9137211863026274E-2</v>
      </c>
      <c r="T4869" s="59">
        <f ca="1">Dashboard!C$8* Dashboard!$F$4+Dashboard!C$10*SQRT(Dashboard!$F$4) * _xlfn.NORM.S.INV(RAND())</f>
        <v>-3.3016590888452269E-2</v>
      </c>
      <c r="U4869" s="59">
        <f ca="1">Dashboard!D$8* Dashboard!$F$4+Dashboard!D$10*SQRT(Dashboard!$F$4) * _xlfn.NORM.S.INV(RAND())</f>
        <v>1.4610413412076462E-2</v>
      </c>
    </row>
    <row r="4870" spans="18:21" x14ac:dyDescent="0.2">
      <c r="R4870" s="49">
        <v>4868</v>
      </c>
      <c r="S4870" s="59">
        <f ca="1">Dashboard!B$8* Dashboard!$F$4+Dashboard!B$10*SQRT(Dashboard!$F$4) * _xlfn.NORM.S.INV(RAND())</f>
        <v>-1.9869447760723309E-2</v>
      </c>
      <c r="T4870" s="59">
        <f ca="1">Dashboard!C$8* Dashboard!$F$4+Dashboard!C$10*SQRT(Dashboard!$F$4) * _xlfn.NORM.S.INV(RAND())</f>
        <v>-1.8676538614833822E-2</v>
      </c>
      <c r="U4870" s="59">
        <f ca="1">Dashboard!D$8* Dashboard!$F$4+Dashboard!D$10*SQRT(Dashboard!$F$4) * _xlfn.NORM.S.INV(RAND())</f>
        <v>3.7384232703036431E-2</v>
      </c>
    </row>
    <row r="4871" spans="18:21" x14ac:dyDescent="0.2">
      <c r="R4871" s="49">
        <v>4869</v>
      </c>
      <c r="S4871" s="59">
        <f ca="1">Dashboard!B$8* Dashboard!$F$4+Dashboard!B$10*SQRT(Dashboard!$F$4) * _xlfn.NORM.S.INV(RAND())</f>
        <v>-1.9047791838969028E-2</v>
      </c>
      <c r="T4871" s="59">
        <f ca="1">Dashboard!C$8* Dashboard!$F$4+Dashboard!C$10*SQRT(Dashboard!$F$4) * _xlfn.NORM.S.INV(RAND())</f>
        <v>-6.4959776114821566E-4</v>
      </c>
      <c r="U4871" s="59">
        <f ca="1">Dashboard!D$8* Dashboard!$F$4+Dashboard!D$10*SQRT(Dashboard!$F$4) * _xlfn.NORM.S.INV(RAND())</f>
        <v>1.2840927007334012E-2</v>
      </c>
    </row>
    <row r="4872" spans="18:21" x14ac:dyDescent="0.2">
      <c r="R4872" s="49">
        <v>4870</v>
      </c>
      <c r="S4872" s="59">
        <f ca="1">Dashboard!B$8* Dashboard!$F$4+Dashboard!B$10*SQRT(Dashboard!$F$4) * _xlfn.NORM.S.INV(RAND())</f>
        <v>2.7667614051672285E-2</v>
      </c>
      <c r="T4872" s="59">
        <f ca="1">Dashboard!C$8* Dashboard!$F$4+Dashboard!C$10*SQRT(Dashboard!$F$4) * _xlfn.NORM.S.INV(RAND())</f>
        <v>5.131209354736805E-2</v>
      </c>
      <c r="U4872" s="59">
        <f ca="1">Dashboard!D$8* Dashboard!$F$4+Dashboard!D$10*SQRT(Dashboard!$F$4) * _xlfn.NORM.S.INV(RAND())</f>
        <v>1.8457304995530197E-2</v>
      </c>
    </row>
    <row r="4873" spans="18:21" x14ac:dyDescent="0.2">
      <c r="R4873" s="49">
        <v>4871</v>
      </c>
      <c r="S4873" s="59">
        <f ca="1">Dashboard!B$8* Dashboard!$F$4+Dashboard!B$10*SQRT(Dashboard!$F$4) * _xlfn.NORM.S.INV(RAND())</f>
        <v>1.1551951411183379E-2</v>
      </c>
      <c r="T4873" s="59">
        <f ca="1">Dashboard!C$8* Dashboard!$F$4+Dashboard!C$10*SQRT(Dashboard!$F$4) * _xlfn.NORM.S.INV(RAND())</f>
        <v>1.4170141109422114E-2</v>
      </c>
      <c r="U4873" s="59">
        <f ca="1">Dashboard!D$8* Dashboard!$F$4+Dashboard!D$10*SQRT(Dashboard!$F$4) * _xlfn.NORM.S.INV(RAND())</f>
        <v>1.9904758756137803E-2</v>
      </c>
    </row>
    <row r="4874" spans="18:21" x14ac:dyDescent="0.2">
      <c r="R4874" s="49">
        <v>4872</v>
      </c>
      <c r="S4874" s="59">
        <f ca="1">Dashboard!B$8* Dashboard!$F$4+Dashboard!B$10*SQRT(Dashboard!$F$4) * _xlfn.NORM.S.INV(RAND())</f>
        <v>-7.7274346086114262E-2</v>
      </c>
      <c r="T4874" s="59">
        <f ca="1">Dashboard!C$8* Dashboard!$F$4+Dashboard!C$10*SQRT(Dashboard!$F$4) * _xlfn.NORM.S.INV(RAND())</f>
        <v>-7.4577086513414298E-2</v>
      </c>
      <c r="U4874" s="59">
        <f ca="1">Dashboard!D$8* Dashboard!$F$4+Dashboard!D$10*SQRT(Dashboard!$F$4) * _xlfn.NORM.S.INV(RAND())</f>
        <v>4.705251099650763E-3</v>
      </c>
    </row>
    <row r="4875" spans="18:21" x14ac:dyDescent="0.2">
      <c r="R4875" s="49">
        <v>4873</v>
      </c>
      <c r="S4875" s="59">
        <f ca="1">Dashboard!B$8* Dashboard!$F$4+Dashboard!B$10*SQRT(Dashboard!$F$4) * _xlfn.NORM.S.INV(RAND())</f>
        <v>2.3753856455986315E-2</v>
      </c>
      <c r="T4875" s="59">
        <f ca="1">Dashboard!C$8* Dashboard!$F$4+Dashboard!C$10*SQRT(Dashboard!$F$4) * _xlfn.NORM.S.INV(RAND())</f>
        <v>2.3941215973074151E-2</v>
      </c>
      <c r="U4875" s="59">
        <f ca="1">Dashboard!D$8* Dashboard!$F$4+Dashboard!D$10*SQRT(Dashboard!$F$4) * _xlfn.NORM.S.INV(RAND())</f>
        <v>1.5829119255259646E-2</v>
      </c>
    </row>
    <row r="4876" spans="18:21" x14ac:dyDescent="0.2">
      <c r="R4876" s="49">
        <v>4874</v>
      </c>
      <c r="S4876" s="59">
        <f ca="1">Dashboard!B$8* Dashboard!$F$4+Dashboard!B$10*SQRT(Dashboard!$F$4) * _xlfn.NORM.S.INV(RAND())</f>
        <v>1.142334224582869E-2</v>
      </c>
      <c r="T4876" s="59">
        <f ca="1">Dashboard!C$8* Dashboard!$F$4+Dashboard!C$10*SQRT(Dashboard!$F$4) * _xlfn.NORM.S.INV(RAND())</f>
        <v>-2.6798770071526645E-3</v>
      </c>
      <c r="U4876" s="59">
        <f ca="1">Dashboard!D$8* Dashboard!$F$4+Dashboard!D$10*SQRT(Dashboard!$F$4) * _xlfn.NORM.S.INV(RAND())</f>
        <v>6.9971106347568408E-3</v>
      </c>
    </row>
    <row r="4877" spans="18:21" x14ac:dyDescent="0.2">
      <c r="R4877" s="49">
        <v>4875</v>
      </c>
      <c r="S4877" s="59">
        <f ca="1">Dashboard!B$8* Dashboard!$F$4+Dashboard!B$10*SQRT(Dashboard!$F$4) * _xlfn.NORM.S.INV(RAND())</f>
        <v>1.6997912495663167E-2</v>
      </c>
      <c r="T4877" s="59">
        <f ca="1">Dashboard!C$8* Dashboard!$F$4+Dashboard!C$10*SQRT(Dashboard!$F$4) * _xlfn.NORM.S.INV(RAND())</f>
        <v>-2.7277549063937378E-2</v>
      </c>
      <c r="U4877" s="59">
        <f ca="1">Dashboard!D$8* Dashboard!$F$4+Dashboard!D$10*SQRT(Dashboard!$F$4) * _xlfn.NORM.S.INV(RAND())</f>
        <v>-5.1354462371653718E-2</v>
      </c>
    </row>
    <row r="4878" spans="18:21" x14ac:dyDescent="0.2">
      <c r="R4878" s="49">
        <v>4876</v>
      </c>
      <c r="S4878" s="59">
        <f ca="1">Dashboard!B$8* Dashboard!$F$4+Dashboard!B$10*SQRT(Dashboard!$F$4) * _xlfn.NORM.S.INV(RAND())</f>
        <v>-2.7497465702767898E-2</v>
      </c>
      <c r="T4878" s="59">
        <f ca="1">Dashboard!C$8* Dashboard!$F$4+Dashboard!C$10*SQRT(Dashboard!$F$4) * _xlfn.NORM.S.INV(RAND())</f>
        <v>-4.3928414454312628E-2</v>
      </c>
      <c r="U4878" s="59">
        <f ca="1">Dashboard!D$8* Dashboard!$F$4+Dashboard!D$10*SQRT(Dashboard!$F$4) * _xlfn.NORM.S.INV(RAND())</f>
        <v>-1.209546082353768E-2</v>
      </c>
    </row>
    <row r="4879" spans="18:21" x14ac:dyDescent="0.2">
      <c r="R4879" s="49">
        <v>4877</v>
      </c>
      <c r="S4879" s="59">
        <f ca="1">Dashboard!B$8* Dashboard!$F$4+Dashboard!B$10*SQRT(Dashboard!$F$4) * _xlfn.NORM.S.INV(RAND())</f>
        <v>-4.4049061046621072E-3</v>
      </c>
      <c r="T4879" s="59">
        <f ca="1">Dashboard!C$8* Dashboard!$F$4+Dashboard!C$10*SQRT(Dashboard!$F$4) * _xlfn.NORM.S.INV(RAND())</f>
        <v>-6.7227846590932798E-3</v>
      </c>
      <c r="U4879" s="59">
        <f ca="1">Dashboard!D$8* Dashboard!$F$4+Dashboard!D$10*SQRT(Dashboard!$F$4) * _xlfn.NORM.S.INV(RAND())</f>
        <v>-2.4003908571252605E-2</v>
      </c>
    </row>
    <row r="4880" spans="18:21" x14ac:dyDescent="0.2">
      <c r="R4880" s="49">
        <v>4878</v>
      </c>
      <c r="S4880" s="59">
        <f ca="1">Dashboard!B$8* Dashboard!$F$4+Dashboard!B$10*SQRT(Dashboard!$F$4) * _xlfn.NORM.S.INV(RAND())</f>
        <v>-1.2936303528038255E-2</v>
      </c>
      <c r="T4880" s="59">
        <f ca="1">Dashboard!C$8* Dashboard!$F$4+Dashboard!C$10*SQRT(Dashboard!$F$4) * _xlfn.NORM.S.INV(RAND())</f>
        <v>4.7106547860689539E-2</v>
      </c>
      <c r="U4880" s="59">
        <f ca="1">Dashboard!D$8* Dashboard!$F$4+Dashboard!D$10*SQRT(Dashboard!$F$4) * _xlfn.NORM.S.INV(RAND())</f>
        <v>-2.7286481594959049E-2</v>
      </c>
    </row>
    <row r="4881" spans="18:21" x14ac:dyDescent="0.2">
      <c r="R4881" s="49">
        <v>4879</v>
      </c>
      <c r="S4881" s="59">
        <f ca="1">Dashboard!B$8* Dashboard!$F$4+Dashboard!B$10*SQRT(Dashboard!$F$4) * _xlfn.NORM.S.INV(RAND())</f>
        <v>2.4879654960928421E-2</v>
      </c>
      <c r="T4881" s="59">
        <f ca="1">Dashboard!C$8* Dashboard!$F$4+Dashboard!C$10*SQRT(Dashboard!$F$4) * _xlfn.NORM.S.INV(RAND())</f>
        <v>4.4628008713211979E-2</v>
      </c>
      <c r="U4881" s="59">
        <f ca="1">Dashboard!D$8* Dashboard!$F$4+Dashboard!D$10*SQRT(Dashboard!$F$4) * _xlfn.NORM.S.INV(RAND())</f>
        <v>-4.3873782714267527E-2</v>
      </c>
    </row>
    <row r="4882" spans="18:21" x14ac:dyDescent="0.2">
      <c r="R4882" s="49">
        <v>4880</v>
      </c>
      <c r="S4882" s="59">
        <f ca="1">Dashboard!B$8* Dashboard!$F$4+Dashboard!B$10*SQRT(Dashboard!$F$4) * _xlfn.NORM.S.INV(RAND())</f>
        <v>-2.3305828701105521E-3</v>
      </c>
      <c r="T4882" s="59">
        <f ca="1">Dashboard!C$8* Dashboard!$F$4+Dashboard!C$10*SQRT(Dashboard!$F$4) * _xlfn.NORM.S.INV(RAND())</f>
        <v>2.1742721280815516E-2</v>
      </c>
      <c r="U4882" s="59">
        <f ca="1">Dashboard!D$8* Dashboard!$F$4+Dashboard!D$10*SQRT(Dashboard!$F$4) * _xlfn.NORM.S.INV(RAND())</f>
        <v>-4.5548836535732357E-2</v>
      </c>
    </row>
    <row r="4883" spans="18:21" x14ac:dyDescent="0.2">
      <c r="R4883" s="49">
        <v>4881</v>
      </c>
      <c r="S4883" s="59">
        <f ca="1">Dashboard!B$8* Dashboard!$F$4+Dashboard!B$10*SQRT(Dashboard!$F$4) * _xlfn.NORM.S.INV(RAND())</f>
        <v>8.3990522621969384E-3</v>
      </c>
      <c r="T4883" s="59">
        <f ca="1">Dashboard!C$8* Dashboard!$F$4+Dashboard!C$10*SQRT(Dashboard!$F$4) * _xlfn.NORM.S.INV(RAND())</f>
        <v>-3.9442517949004489E-2</v>
      </c>
      <c r="U4883" s="59">
        <f ca="1">Dashboard!D$8* Dashboard!$F$4+Dashboard!D$10*SQRT(Dashboard!$F$4) * _xlfn.NORM.S.INV(RAND())</f>
        <v>-2.0017372124610744E-2</v>
      </c>
    </row>
    <row r="4884" spans="18:21" x14ac:dyDescent="0.2">
      <c r="R4884" s="49">
        <v>4882</v>
      </c>
      <c r="S4884" s="59">
        <f ca="1">Dashboard!B$8* Dashboard!$F$4+Dashboard!B$10*SQRT(Dashboard!$F$4) * _xlfn.NORM.S.INV(RAND())</f>
        <v>-9.5923883339832719E-3</v>
      </c>
      <c r="T4884" s="59">
        <f ca="1">Dashboard!C$8* Dashboard!$F$4+Dashboard!C$10*SQRT(Dashboard!$F$4) * _xlfn.NORM.S.INV(RAND())</f>
        <v>-1.0007012805847197E-2</v>
      </c>
      <c r="U4884" s="59">
        <f ca="1">Dashboard!D$8* Dashboard!$F$4+Dashboard!D$10*SQRT(Dashboard!$F$4) * _xlfn.NORM.S.INV(RAND())</f>
        <v>5.7238989133753439E-3</v>
      </c>
    </row>
    <row r="4885" spans="18:21" x14ac:dyDescent="0.2">
      <c r="R4885" s="49">
        <v>4883</v>
      </c>
      <c r="S4885" s="59">
        <f ca="1">Dashboard!B$8* Dashboard!$F$4+Dashboard!B$10*SQRT(Dashboard!$F$4) * _xlfn.NORM.S.INV(RAND())</f>
        <v>5.3795429976003159E-3</v>
      </c>
      <c r="T4885" s="59">
        <f ca="1">Dashboard!C$8* Dashboard!$F$4+Dashboard!C$10*SQRT(Dashboard!$F$4) * _xlfn.NORM.S.INV(RAND())</f>
        <v>-2.9373282736509309E-2</v>
      </c>
      <c r="U4885" s="59">
        <f ca="1">Dashboard!D$8* Dashboard!$F$4+Dashboard!D$10*SQRT(Dashboard!$F$4) * _xlfn.NORM.S.INV(RAND())</f>
        <v>-3.6889979572605255E-3</v>
      </c>
    </row>
    <row r="4886" spans="18:21" x14ac:dyDescent="0.2">
      <c r="R4886" s="49">
        <v>4884</v>
      </c>
      <c r="S4886" s="59">
        <f ca="1">Dashboard!B$8* Dashboard!$F$4+Dashboard!B$10*SQRT(Dashboard!$F$4) * _xlfn.NORM.S.INV(RAND())</f>
        <v>3.6486744555079241E-2</v>
      </c>
      <c r="T4886" s="59">
        <f ca="1">Dashboard!C$8* Dashboard!$F$4+Dashboard!C$10*SQRT(Dashboard!$F$4) * _xlfn.NORM.S.INV(RAND())</f>
        <v>1.8975727101162999E-2</v>
      </c>
      <c r="U4886" s="59">
        <f ca="1">Dashboard!D$8* Dashboard!$F$4+Dashboard!D$10*SQRT(Dashboard!$F$4) * _xlfn.NORM.S.INV(RAND())</f>
        <v>-4.2739663203217169E-2</v>
      </c>
    </row>
    <row r="4887" spans="18:21" x14ac:dyDescent="0.2">
      <c r="R4887" s="49">
        <v>4885</v>
      </c>
      <c r="S4887" s="59">
        <f ca="1">Dashboard!B$8* Dashboard!$F$4+Dashboard!B$10*SQRT(Dashboard!$F$4) * _xlfn.NORM.S.INV(RAND())</f>
        <v>-6.5242394640952651E-3</v>
      </c>
      <c r="T4887" s="59">
        <f ca="1">Dashboard!C$8* Dashboard!$F$4+Dashboard!C$10*SQRT(Dashboard!$F$4) * _xlfn.NORM.S.INV(RAND())</f>
        <v>-3.029564179089066E-2</v>
      </c>
      <c r="U4887" s="59">
        <f ca="1">Dashboard!D$8* Dashboard!$F$4+Dashboard!D$10*SQRT(Dashboard!$F$4) * _xlfn.NORM.S.INV(RAND())</f>
        <v>-1.3682253735325219E-2</v>
      </c>
    </row>
    <row r="4888" spans="18:21" x14ac:dyDescent="0.2">
      <c r="R4888" s="49">
        <v>4886</v>
      </c>
      <c r="S4888" s="59">
        <f ca="1">Dashboard!B$8* Dashboard!$F$4+Dashboard!B$10*SQRT(Dashboard!$F$4) * _xlfn.NORM.S.INV(RAND())</f>
        <v>5.4089970290466756E-2</v>
      </c>
      <c r="T4888" s="59">
        <f ca="1">Dashboard!C$8* Dashboard!$F$4+Dashboard!C$10*SQRT(Dashboard!$F$4) * _xlfn.NORM.S.INV(RAND())</f>
        <v>-3.8132897541568546E-2</v>
      </c>
      <c r="U4888" s="59">
        <f ca="1">Dashboard!D$8* Dashboard!$F$4+Dashboard!D$10*SQRT(Dashboard!$F$4) * _xlfn.NORM.S.INV(RAND())</f>
        <v>-5.0574620579020457E-2</v>
      </c>
    </row>
    <row r="4889" spans="18:21" x14ac:dyDescent="0.2">
      <c r="R4889" s="49">
        <v>4887</v>
      </c>
      <c r="S4889" s="59">
        <f ca="1">Dashboard!B$8* Dashboard!$F$4+Dashboard!B$10*SQRT(Dashboard!$F$4) * _xlfn.NORM.S.INV(RAND())</f>
        <v>-5.3929451145722847E-2</v>
      </c>
      <c r="T4889" s="59">
        <f ca="1">Dashboard!C$8* Dashboard!$F$4+Dashboard!C$10*SQRT(Dashboard!$F$4) * _xlfn.NORM.S.INV(RAND())</f>
        <v>-7.8537368933079083E-2</v>
      </c>
      <c r="U4889" s="59">
        <f ca="1">Dashboard!D$8* Dashboard!$F$4+Dashboard!D$10*SQRT(Dashboard!$F$4) * _xlfn.NORM.S.INV(RAND())</f>
        <v>-1.2379828429751967E-2</v>
      </c>
    </row>
    <row r="4890" spans="18:21" x14ac:dyDescent="0.2">
      <c r="R4890" s="49">
        <v>4888</v>
      </c>
      <c r="S4890" s="59">
        <f ca="1">Dashboard!B$8* Dashboard!$F$4+Dashboard!B$10*SQRT(Dashboard!$F$4) * _xlfn.NORM.S.INV(RAND())</f>
        <v>3.2390044191062783E-2</v>
      </c>
      <c r="T4890" s="59">
        <f ca="1">Dashboard!C$8* Dashboard!$F$4+Dashboard!C$10*SQRT(Dashboard!$F$4) * _xlfn.NORM.S.INV(RAND())</f>
        <v>1.3563871505703189E-2</v>
      </c>
      <c r="U4890" s="59">
        <f ca="1">Dashboard!D$8* Dashboard!$F$4+Dashboard!D$10*SQRT(Dashboard!$F$4) * _xlfn.NORM.S.INV(RAND())</f>
        <v>4.4160012521030856E-2</v>
      </c>
    </row>
    <row r="4891" spans="18:21" x14ac:dyDescent="0.2">
      <c r="R4891" s="49">
        <v>4889</v>
      </c>
      <c r="S4891" s="59">
        <f ca="1">Dashboard!B$8* Dashboard!$F$4+Dashboard!B$10*SQRT(Dashboard!$F$4) * _xlfn.NORM.S.INV(RAND())</f>
        <v>4.349479229895635E-2</v>
      </c>
      <c r="T4891" s="59">
        <f ca="1">Dashboard!C$8* Dashboard!$F$4+Dashboard!C$10*SQRT(Dashboard!$F$4) * _xlfn.NORM.S.INV(RAND())</f>
        <v>1.750659630757102E-2</v>
      </c>
      <c r="U4891" s="59">
        <f ca="1">Dashboard!D$8* Dashboard!$F$4+Dashboard!D$10*SQRT(Dashboard!$F$4) * _xlfn.NORM.S.INV(RAND())</f>
        <v>9.1926183763035296E-3</v>
      </c>
    </row>
    <row r="4892" spans="18:21" x14ac:dyDescent="0.2">
      <c r="R4892" s="49">
        <v>4890</v>
      </c>
      <c r="S4892" s="59">
        <f ca="1">Dashboard!B$8* Dashboard!$F$4+Dashboard!B$10*SQRT(Dashboard!$F$4) * _xlfn.NORM.S.INV(RAND())</f>
        <v>3.7955304496844491E-2</v>
      </c>
      <c r="T4892" s="59">
        <f ca="1">Dashboard!C$8* Dashboard!$F$4+Dashboard!C$10*SQRT(Dashboard!$F$4) * _xlfn.NORM.S.INV(RAND())</f>
        <v>8.5821342634146511E-3</v>
      </c>
      <c r="U4892" s="59">
        <f ca="1">Dashboard!D$8* Dashboard!$F$4+Dashboard!D$10*SQRT(Dashboard!$F$4) * _xlfn.NORM.S.INV(RAND())</f>
        <v>1.1985861818660517E-2</v>
      </c>
    </row>
    <row r="4893" spans="18:21" x14ac:dyDescent="0.2">
      <c r="R4893" s="49">
        <v>4891</v>
      </c>
      <c r="S4893" s="59">
        <f ca="1">Dashboard!B$8* Dashboard!$F$4+Dashboard!B$10*SQRT(Dashboard!$F$4) * _xlfn.NORM.S.INV(RAND())</f>
        <v>1.4668555791621308E-2</v>
      </c>
      <c r="T4893" s="59">
        <f ca="1">Dashboard!C$8* Dashboard!$F$4+Dashboard!C$10*SQRT(Dashboard!$F$4) * _xlfn.NORM.S.INV(RAND())</f>
        <v>-2.2480781284266536E-2</v>
      </c>
      <c r="U4893" s="59">
        <f ca="1">Dashboard!D$8* Dashboard!$F$4+Dashboard!D$10*SQRT(Dashboard!$F$4) * _xlfn.NORM.S.INV(RAND())</f>
        <v>1.7885672545457264E-2</v>
      </c>
    </row>
    <row r="4894" spans="18:21" x14ac:dyDescent="0.2">
      <c r="R4894" s="49">
        <v>4892</v>
      </c>
      <c r="S4894" s="59">
        <f ca="1">Dashboard!B$8* Dashboard!$F$4+Dashboard!B$10*SQRT(Dashboard!$F$4) * _xlfn.NORM.S.INV(RAND())</f>
        <v>-5.1918107969119139E-3</v>
      </c>
      <c r="T4894" s="59">
        <f ca="1">Dashboard!C$8* Dashboard!$F$4+Dashboard!C$10*SQRT(Dashboard!$F$4) * _xlfn.NORM.S.INV(RAND())</f>
        <v>2.4311294867393036E-3</v>
      </c>
      <c r="U4894" s="59">
        <f ca="1">Dashboard!D$8* Dashboard!$F$4+Dashboard!D$10*SQRT(Dashboard!$F$4) * _xlfn.NORM.S.INV(RAND())</f>
        <v>2.5393189781379777E-2</v>
      </c>
    </row>
    <row r="4895" spans="18:21" x14ac:dyDescent="0.2">
      <c r="R4895" s="49">
        <v>4893</v>
      </c>
      <c r="S4895" s="59">
        <f ca="1">Dashboard!B$8* Dashboard!$F$4+Dashboard!B$10*SQRT(Dashboard!$F$4) * _xlfn.NORM.S.INV(RAND())</f>
        <v>-2.3251653969903613E-2</v>
      </c>
      <c r="T4895" s="59">
        <f ca="1">Dashboard!C$8* Dashboard!$F$4+Dashboard!C$10*SQRT(Dashboard!$F$4) * _xlfn.NORM.S.INV(RAND())</f>
        <v>-4.9589862066884106E-3</v>
      </c>
      <c r="U4895" s="59">
        <f ca="1">Dashboard!D$8* Dashboard!$F$4+Dashboard!D$10*SQRT(Dashboard!$F$4) * _xlfn.NORM.S.INV(RAND())</f>
        <v>5.8559970641059271E-3</v>
      </c>
    </row>
    <row r="4896" spans="18:21" x14ac:dyDescent="0.2">
      <c r="R4896" s="49">
        <v>4894</v>
      </c>
      <c r="S4896" s="59">
        <f ca="1">Dashboard!B$8* Dashboard!$F$4+Dashboard!B$10*SQRT(Dashboard!$F$4) * _xlfn.NORM.S.INV(RAND())</f>
        <v>9.4177318006939403E-3</v>
      </c>
      <c r="T4896" s="59">
        <f ca="1">Dashboard!C$8* Dashboard!$F$4+Dashboard!C$10*SQRT(Dashboard!$F$4) * _xlfn.NORM.S.INV(RAND())</f>
        <v>-3.0147969416241736E-2</v>
      </c>
      <c r="U4896" s="59">
        <f ca="1">Dashboard!D$8* Dashboard!$F$4+Dashboard!D$10*SQRT(Dashboard!$F$4) * _xlfn.NORM.S.INV(RAND())</f>
        <v>-2.8008625030640954E-2</v>
      </c>
    </row>
    <row r="4897" spans="18:21" x14ac:dyDescent="0.2">
      <c r="R4897" s="49">
        <v>4895</v>
      </c>
      <c r="S4897" s="59">
        <f ca="1">Dashboard!B$8* Dashboard!$F$4+Dashboard!B$10*SQRT(Dashboard!$F$4) * _xlfn.NORM.S.INV(RAND())</f>
        <v>2.710455390119243E-3</v>
      </c>
      <c r="T4897" s="59">
        <f ca="1">Dashboard!C$8* Dashboard!$F$4+Dashboard!C$10*SQRT(Dashboard!$F$4) * _xlfn.NORM.S.INV(RAND())</f>
        <v>-5.8365250589756709E-2</v>
      </c>
      <c r="U4897" s="59">
        <f ca="1">Dashboard!D$8* Dashboard!$F$4+Dashboard!D$10*SQRT(Dashboard!$F$4) * _xlfn.NORM.S.INV(RAND())</f>
        <v>-1.2055722054377237E-3</v>
      </c>
    </row>
    <row r="4898" spans="18:21" x14ac:dyDescent="0.2">
      <c r="R4898" s="49">
        <v>4896</v>
      </c>
      <c r="S4898" s="59">
        <f ca="1">Dashboard!B$8* Dashboard!$F$4+Dashboard!B$10*SQRT(Dashboard!$F$4) * _xlfn.NORM.S.INV(RAND())</f>
        <v>2.9429900707127421E-2</v>
      </c>
      <c r="T4898" s="59">
        <f ca="1">Dashboard!C$8* Dashboard!$F$4+Dashboard!C$10*SQRT(Dashboard!$F$4) * _xlfn.NORM.S.INV(RAND())</f>
        <v>-7.0137463311932451E-3</v>
      </c>
      <c r="U4898" s="59">
        <f ca="1">Dashboard!D$8* Dashboard!$F$4+Dashboard!D$10*SQRT(Dashboard!$F$4) * _xlfn.NORM.S.INV(RAND())</f>
        <v>-2.1112442606663877E-2</v>
      </c>
    </row>
    <row r="4899" spans="18:21" x14ac:dyDescent="0.2">
      <c r="R4899" s="49">
        <v>4897</v>
      </c>
      <c r="S4899" s="59">
        <f ca="1">Dashboard!B$8* Dashboard!$F$4+Dashboard!B$10*SQRT(Dashboard!$F$4) * _xlfn.NORM.S.INV(RAND())</f>
        <v>4.543452731490441E-2</v>
      </c>
      <c r="T4899" s="59">
        <f ca="1">Dashboard!C$8* Dashboard!$F$4+Dashboard!C$10*SQRT(Dashboard!$F$4) * _xlfn.NORM.S.INV(RAND())</f>
        <v>6.1442129946786404E-2</v>
      </c>
      <c r="U4899" s="59">
        <f ca="1">Dashboard!D$8* Dashboard!$F$4+Dashboard!D$10*SQRT(Dashboard!$F$4) * _xlfn.NORM.S.INV(RAND())</f>
        <v>-5.6531259526613156E-2</v>
      </c>
    </row>
    <row r="4900" spans="18:21" x14ac:dyDescent="0.2">
      <c r="R4900" s="49">
        <v>4898</v>
      </c>
      <c r="S4900" s="59">
        <f ca="1">Dashboard!B$8* Dashboard!$F$4+Dashboard!B$10*SQRT(Dashboard!$F$4) * _xlfn.NORM.S.INV(RAND())</f>
        <v>-1.023090829073986E-2</v>
      </c>
      <c r="T4900" s="59">
        <f ca="1">Dashboard!C$8* Dashboard!$F$4+Dashboard!C$10*SQRT(Dashboard!$F$4) * _xlfn.NORM.S.INV(RAND())</f>
        <v>6.543966472785126E-2</v>
      </c>
      <c r="U4900" s="59">
        <f ca="1">Dashboard!D$8* Dashboard!$F$4+Dashboard!D$10*SQRT(Dashboard!$F$4) * _xlfn.NORM.S.INV(RAND())</f>
        <v>2.1355840358406472E-2</v>
      </c>
    </row>
    <row r="4901" spans="18:21" x14ac:dyDescent="0.2">
      <c r="R4901" s="49">
        <v>4899</v>
      </c>
      <c r="S4901" s="59">
        <f ca="1">Dashboard!B$8* Dashboard!$F$4+Dashboard!B$10*SQRT(Dashboard!$F$4) * _xlfn.NORM.S.INV(RAND())</f>
        <v>-3.8835115280276352E-3</v>
      </c>
      <c r="T4901" s="59">
        <f ca="1">Dashboard!C$8* Dashboard!$F$4+Dashboard!C$10*SQRT(Dashboard!$F$4) * _xlfn.NORM.S.INV(RAND())</f>
        <v>1.0261020706610759E-2</v>
      </c>
      <c r="U4901" s="59">
        <f ca="1">Dashboard!D$8* Dashboard!$F$4+Dashboard!D$10*SQRT(Dashboard!$F$4) * _xlfn.NORM.S.INV(RAND())</f>
        <v>-1.2433365365149739E-2</v>
      </c>
    </row>
    <row r="4902" spans="18:21" x14ac:dyDescent="0.2">
      <c r="R4902" s="49">
        <v>4900</v>
      </c>
      <c r="S4902" s="59">
        <f ca="1">Dashboard!B$8* Dashboard!$F$4+Dashboard!B$10*SQRT(Dashboard!$F$4) * _xlfn.NORM.S.INV(RAND())</f>
        <v>2.2557706643092264E-2</v>
      </c>
      <c r="T4902" s="59">
        <f ca="1">Dashboard!C$8* Dashboard!$F$4+Dashboard!C$10*SQRT(Dashboard!$F$4) * _xlfn.NORM.S.INV(RAND())</f>
        <v>-1.1519778842895866E-2</v>
      </c>
      <c r="U4902" s="59">
        <f ca="1">Dashboard!D$8* Dashboard!$F$4+Dashboard!D$10*SQRT(Dashboard!$F$4) * _xlfn.NORM.S.INV(RAND())</f>
        <v>-2.9206930163310316E-2</v>
      </c>
    </row>
    <row r="4903" spans="18:21" x14ac:dyDescent="0.2">
      <c r="R4903" s="49">
        <v>4901</v>
      </c>
      <c r="S4903" s="59">
        <f ca="1">Dashboard!B$8* Dashboard!$F$4+Dashboard!B$10*SQRT(Dashboard!$F$4) * _xlfn.NORM.S.INV(RAND())</f>
        <v>4.3974859727409152E-4</v>
      </c>
      <c r="T4903" s="59">
        <f ca="1">Dashboard!C$8* Dashboard!$F$4+Dashboard!C$10*SQRT(Dashboard!$F$4) * _xlfn.NORM.S.INV(RAND())</f>
        <v>-6.5172068677594633E-2</v>
      </c>
      <c r="U4903" s="59">
        <f ca="1">Dashboard!D$8* Dashboard!$F$4+Dashboard!D$10*SQRT(Dashboard!$F$4) * _xlfn.NORM.S.INV(RAND())</f>
        <v>2.4103593297747177E-2</v>
      </c>
    </row>
    <row r="4904" spans="18:21" x14ac:dyDescent="0.2">
      <c r="R4904" s="49">
        <v>4902</v>
      </c>
      <c r="S4904" s="59">
        <f ca="1">Dashboard!B$8* Dashboard!$F$4+Dashboard!B$10*SQRT(Dashboard!$F$4) * _xlfn.NORM.S.INV(RAND())</f>
        <v>-1.6616847644601425E-2</v>
      </c>
      <c r="T4904" s="59">
        <f ca="1">Dashboard!C$8* Dashboard!$F$4+Dashboard!C$10*SQRT(Dashboard!$F$4) * _xlfn.NORM.S.INV(RAND())</f>
        <v>2.7173233063380476E-3</v>
      </c>
      <c r="U4904" s="59">
        <f ca="1">Dashboard!D$8* Dashboard!$F$4+Dashboard!D$10*SQRT(Dashboard!$F$4) * _xlfn.NORM.S.INV(RAND())</f>
        <v>-2.7318440730026254E-2</v>
      </c>
    </row>
    <row r="4905" spans="18:21" x14ac:dyDescent="0.2">
      <c r="R4905" s="49">
        <v>4903</v>
      </c>
      <c r="S4905" s="59">
        <f ca="1">Dashboard!B$8* Dashboard!$F$4+Dashboard!B$10*SQRT(Dashboard!$F$4) * _xlfn.NORM.S.INV(RAND())</f>
        <v>1.3611240355522773E-2</v>
      </c>
      <c r="T4905" s="59">
        <f ca="1">Dashboard!C$8* Dashboard!$F$4+Dashboard!C$10*SQRT(Dashboard!$F$4) * _xlfn.NORM.S.INV(RAND())</f>
        <v>-2.1141206341037673E-2</v>
      </c>
      <c r="U4905" s="59">
        <f ca="1">Dashboard!D$8* Dashboard!$F$4+Dashboard!D$10*SQRT(Dashboard!$F$4) * _xlfn.NORM.S.INV(RAND())</f>
        <v>-3.6965395948574342E-2</v>
      </c>
    </row>
    <row r="4906" spans="18:21" x14ac:dyDescent="0.2">
      <c r="R4906" s="49">
        <v>4904</v>
      </c>
      <c r="S4906" s="59">
        <f ca="1">Dashboard!B$8* Dashboard!$F$4+Dashboard!B$10*SQRT(Dashboard!$F$4) * _xlfn.NORM.S.INV(RAND())</f>
        <v>-3.9321982029263208E-2</v>
      </c>
      <c r="T4906" s="59">
        <f ca="1">Dashboard!C$8* Dashboard!$F$4+Dashboard!C$10*SQRT(Dashboard!$F$4) * _xlfn.NORM.S.INV(RAND())</f>
        <v>-6.8070684230570168E-3</v>
      </c>
      <c r="U4906" s="59">
        <f ca="1">Dashboard!D$8* Dashboard!$F$4+Dashboard!D$10*SQRT(Dashboard!$F$4) * _xlfn.NORM.S.INV(RAND())</f>
        <v>-1.4714536328073517E-2</v>
      </c>
    </row>
    <row r="4907" spans="18:21" x14ac:dyDescent="0.2">
      <c r="R4907" s="49">
        <v>4905</v>
      </c>
      <c r="S4907" s="59">
        <f ca="1">Dashboard!B$8* Dashboard!$F$4+Dashboard!B$10*SQRT(Dashboard!$F$4) * _xlfn.NORM.S.INV(RAND())</f>
        <v>2.4930014618792184E-2</v>
      </c>
      <c r="T4907" s="59">
        <f ca="1">Dashboard!C$8* Dashboard!$F$4+Dashboard!C$10*SQRT(Dashboard!$F$4) * _xlfn.NORM.S.INV(RAND())</f>
        <v>-3.8773994576233366E-2</v>
      </c>
      <c r="U4907" s="59">
        <f ca="1">Dashboard!D$8* Dashboard!$F$4+Dashboard!D$10*SQRT(Dashboard!$F$4) * _xlfn.NORM.S.INV(RAND())</f>
        <v>-5.1389048536601997E-4</v>
      </c>
    </row>
    <row r="4908" spans="18:21" x14ac:dyDescent="0.2">
      <c r="R4908" s="49">
        <v>4906</v>
      </c>
      <c r="S4908" s="59">
        <f ca="1">Dashboard!B$8* Dashboard!$F$4+Dashboard!B$10*SQRT(Dashboard!$F$4) * _xlfn.NORM.S.INV(RAND())</f>
        <v>-1.802138598251167E-2</v>
      </c>
      <c r="T4908" s="59">
        <f ca="1">Dashboard!C$8* Dashboard!$F$4+Dashboard!C$10*SQRT(Dashboard!$F$4) * _xlfn.NORM.S.INV(RAND())</f>
        <v>-6.6203083957575371E-3</v>
      </c>
      <c r="U4908" s="59">
        <f ca="1">Dashboard!D$8* Dashboard!$F$4+Dashboard!D$10*SQRT(Dashboard!$F$4) * _xlfn.NORM.S.INV(RAND())</f>
        <v>2.3788996183754942E-2</v>
      </c>
    </row>
    <row r="4909" spans="18:21" x14ac:dyDescent="0.2">
      <c r="R4909" s="49">
        <v>4907</v>
      </c>
      <c r="S4909" s="59">
        <f ca="1">Dashboard!B$8* Dashboard!$F$4+Dashboard!B$10*SQRT(Dashboard!$F$4) * _xlfn.NORM.S.INV(RAND())</f>
        <v>4.9750706831349287E-2</v>
      </c>
      <c r="T4909" s="59">
        <f ca="1">Dashboard!C$8* Dashboard!$F$4+Dashboard!C$10*SQRT(Dashboard!$F$4) * _xlfn.NORM.S.INV(RAND())</f>
        <v>2.9756304504690214E-2</v>
      </c>
      <c r="U4909" s="59">
        <f ca="1">Dashboard!D$8* Dashboard!$F$4+Dashboard!D$10*SQRT(Dashboard!$F$4) * _xlfn.NORM.S.INV(RAND())</f>
        <v>-3.5302443263763077E-2</v>
      </c>
    </row>
    <row r="4910" spans="18:21" x14ac:dyDescent="0.2">
      <c r="R4910" s="49">
        <v>4908</v>
      </c>
      <c r="S4910" s="59">
        <f ca="1">Dashboard!B$8* Dashboard!$F$4+Dashboard!B$10*SQRT(Dashboard!$F$4) * _xlfn.NORM.S.INV(RAND())</f>
        <v>2.0834045679795313E-2</v>
      </c>
      <c r="T4910" s="59">
        <f ca="1">Dashboard!C$8* Dashboard!$F$4+Dashboard!C$10*SQRT(Dashboard!$F$4) * _xlfn.NORM.S.INV(RAND())</f>
        <v>-6.0044727023717158E-3</v>
      </c>
      <c r="U4910" s="59">
        <f ca="1">Dashboard!D$8* Dashboard!$F$4+Dashboard!D$10*SQRT(Dashboard!$F$4) * _xlfn.NORM.S.INV(RAND())</f>
        <v>-4.3895326897600374E-2</v>
      </c>
    </row>
    <row r="4911" spans="18:21" x14ac:dyDescent="0.2">
      <c r="R4911" s="49">
        <v>4909</v>
      </c>
      <c r="S4911" s="59">
        <f ca="1">Dashboard!B$8* Dashboard!$F$4+Dashboard!B$10*SQRT(Dashboard!$F$4) * _xlfn.NORM.S.INV(RAND())</f>
        <v>3.9260045083698659E-2</v>
      </c>
      <c r="T4911" s="59">
        <f ca="1">Dashboard!C$8* Dashboard!$F$4+Dashboard!C$10*SQRT(Dashboard!$F$4) * _xlfn.NORM.S.INV(RAND())</f>
        <v>-2.8541997460141497E-3</v>
      </c>
      <c r="U4911" s="59">
        <f ca="1">Dashboard!D$8* Dashboard!$F$4+Dashboard!D$10*SQRT(Dashboard!$F$4) * _xlfn.NORM.S.INV(RAND())</f>
        <v>4.8310208941679828E-3</v>
      </c>
    </row>
    <row r="4912" spans="18:21" x14ac:dyDescent="0.2">
      <c r="R4912" s="49">
        <v>4910</v>
      </c>
      <c r="S4912" s="59">
        <f ca="1">Dashboard!B$8* Dashboard!$F$4+Dashboard!B$10*SQRT(Dashboard!$F$4) * _xlfn.NORM.S.INV(RAND())</f>
        <v>-1.6429317740187892E-2</v>
      </c>
      <c r="T4912" s="59">
        <f ca="1">Dashboard!C$8* Dashboard!$F$4+Dashboard!C$10*SQRT(Dashboard!$F$4) * _xlfn.NORM.S.INV(RAND())</f>
        <v>-2.5778695761764194E-2</v>
      </c>
      <c r="U4912" s="59">
        <f ca="1">Dashboard!D$8* Dashboard!$F$4+Dashboard!D$10*SQRT(Dashboard!$F$4) * _xlfn.NORM.S.INV(RAND())</f>
        <v>-4.4395407243209534E-2</v>
      </c>
    </row>
    <row r="4913" spans="18:21" x14ac:dyDescent="0.2">
      <c r="R4913" s="49">
        <v>4911</v>
      </c>
      <c r="S4913" s="59">
        <f ca="1">Dashboard!B$8* Dashboard!$F$4+Dashboard!B$10*SQRT(Dashboard!$F$4) * _xlfn.NORM.S.INV(RAND())</f>
        <v>-8.2363192486196321E-2</v>
      </c>
      <c r="T4913" s="59">
        <f ca="1">Dashboard!C$8* Dashboard!$F$4+Dashboard!C$10*SQRT(Dashboard!$F$4) * _xlfn.NORM.S.INV(RAND())</f>
        <v>-3.6283767853430926E-3</v>
      </c>
      <c r="U4913" s="59">
        <f ca="1">Dashboard!D$8* Dashboard!$F$4+Dashboard!D$10*SQRT(Dashboard!$F$4) * _xlfn.NORM.S.INV(RAND())</f>
        <v>1.2625704119742065E-3</v>
      </c>
    </row>
    <row r="4914" spans="18:21" x14ac:dyDescent="0.2">
      <c r="R4914" s="49">
        <v>4912</v>
      </c>
      <c r="S4914" s="59">
        <f ca="1">Dashboard!B$8* Dashboard!$F$4+Dashboard!B$10*SQRT(Dashboard!$F$4) * _xlfn.NORM.S.INV(RAND())</f>
        <v>1.7292999567813357E-3</v>
      </c>
      <c r="T4914" s="59">
        <f ca="1">Dashboard!C$8* Dashboard!$F$4+Dashboard!C$10*SQRT(Dashboard!$F$4) * _xlfn.NORM.S.INV(RAND())</f>
        <v>9.9983423173083084E-3</v>
      </c>
      <c r="U4914" s="59">
        <f ca="1">Dashboard!D$8* Dashboard!$F$4+Dashboard!D$10*SQRT(Dashboard!$F$4) * _xlfn.NORM.S.INV(RAND())</f>
        <v>5.1484485118503731E-2</v>
      </c>
    </row>
    <row r="4915" spans="18:21" x14ac:dyDescent="0.2">
      <c r="R4915" s="49">
        <v>4913</v>
      </c>
      <c r="S4915" s="59">
        <f ca="1">Dashboard!B$8* Dashboard!$F$4+Dashboard!B$10*SQRT(Dashboard!$F$4) * _xlfn.NORM.S.INV(RAND())</f>
        <v>3.5453281902937998E-2</v>
      </c>
      <c r="T4915" s="59">
        <f ca="1">Dashboard!C$8* Dashboard!$F$4+Dashboard!C$10*SQRT(Dashboard!$F$4) * _xlfn.NORM.S.INV(RAND())</f>
        <v>-1.9057070169460243E-2</v>
      </c>
      <c r="U4915" s="59">
        <f ca="1">Dashboard!D$8* Dashboard!$F$4+Dashboard!D$10*SQRT(Dashboard!$F$4) * _xlfn.NORM.S.INV(RAND())</f>
        <v>-6.0279016539481504E-3</v>
      </c>
    </row>
    <row r="4916" spans="18:21" x14ac:dyDescent="0.2">
      <c r="R4916" s="49">
        <v>4914</v>
      </c>
      <c r="S4916" s="59">
        <f ca="1">Dashboard!B$8* Dashboard!$F$4+Dashboard!B$10*SQRT(Dashboard!$F$4) * _xlfn.NORM.S.INV(RAND())</f>
        <v>6.0766946105828001E-2</v>
      </c>
      <c r="T4916" s="59">
        <f ca="1">Dashboard!C$8* Dashboard!$F$4+Dashboard!C$10*SQRT(Dashboard!$F$4) * _xlfn.NORM.S.INV(RAND())</f>
        <v>2.8723952866261795E-2</v>
      </c>
      <c r="U4916" s="59">
        <f ca="1">Dashboard!D$8* Dashboard!$F$4+Dashboard!D$10*SQRT(Dashboard!$F$4) * _xlfn.NORM.S.INV(RAND())</f>
        <v>6.4982434170312471E-3</v>
      </c>
    </row>
    <row r="4917" spans="18:21" x14ac:dyDescent="0.2">
      <c r="R4917" s="49">
        <v>4915</v>
      </c>
      <c r="S4917" s="59">
        <f ca="1">Dashboard!B$8* Dashboard!$F$4+Dashboard!B$10*SQRT(Dashboard!$F$4) * _xlfn.NORM.S.INV(RAND())</f>
        <v>-2.7985481318819408E-3</v>
      </c>
      <c r="T4917" s="59">
        <f ca="1">Dashboard!C$8* Dashboard!$F$4+Dashboard!C$10*SQRT(Dashboard!$F$4) * _xlfn.NORM.S.INV(RAND())</f>
        <v>-3.7072496982697413E-2</v>
      </c>
      <c r="U4917" s="59">
        <f ca="1">Dashboard!D$8* Dashboard!$F$4+Dashboard!D$10*SQRT(Dashboard!$F$4) * _xlfn.NORM.S.INV(RAND())</f>
        <v>1.9843120047949147E-2</v>
      </c>
    </row>
    <row r="4918" spans="18:21" x14ac:dyDescent="0.2">
      <c r="R4918" s="49">
        <v>4916</v>
      </c>
      <c r="S4918" s="59">
        <f ca="1">Dashboard!B$8* Dashboard!$F$4+Dashboard!B$10*SQRT(Dashboard!$F$4) * _xlfn.NORM.S.INV(RAND())</f>
        <v>-3.5692260190252359E-2</v>
      </c>
      <c r="T4918" s="59">
        <f ca="1">Dashboard!C$8* Dashboard!$F$4+Dashboard!C$10*SQRT(Dashboard!$F$4) * _xlfn.NORM.S.INV(RAND())</f>
        <v>8.4053712959418405E-3</v>
      </c>
      <c r="U4918" s="59">
        <f ca="1">Dashboard!D$8* Dashboard!$F$4+Dashboard!D$10*SQRT(Dashboard!$F$4) * _xlfn.NORM.S.INV(RAND())</f>
        <v>-2.2368335965117841E-3</v>
      </c>
    </row>
    <row r="4919" spans="18:21" x14ac:dyDescent="0.2">
      <c r="R4919" s="49">
        <v>4917</v>
      </c>
      <c r="S4919" s="59">
        <f ca="1">Dashboard!B$8* Dashboard!$F$4+Dashboard!B$10*SQRT(Dashboard!$F$4) * _xlfn.NORM.S.INV(RAND())</f>
        <v>7.5851083274865075E-2</v>
      </c>
      <c r="T4919" s="59">
        <f ca="1">Dashboard!C$8* Dashboard!$F$4+Dashboard!C$10*SQRT(Dashboard!$F$4) * _xlfn.NORM.S.INV(RAND())</f>
        <v>4.0023892862736381E-2</v>
      </c>
      <c r="U4919" s="59">
        <f ca="1">Dashboard!D$8* Dashboard!$F$4+Dashboard!D$10*SQRT(Dashboard!$F$4) * _xlfn.NORM.S.INV(RAND())</f>
        <v>2.3276401392991437E-2</v>
      </c>
    </row>
    <row r="4920" spans="18:21" x14ac:dyDescent="0.2">
      <c r="R4920" s="49">
        <v>4918</v>
      </c>
      <c r="S4920" s="59">
        <f ca="1">Dashboard!B$8* Dashboard!$F$4+Dashboard!B$10*SQRT(Dashboard!$F$4) * _xlfn.NORM.S.INV(RAND())</f>
        <v>4.0621523530569824E-3</v>
      </c>
      <c r="T4920" s="59">
        <f ca="1">Dashboard!C$8* Dashboard!$F$4+Dashboard!C$10*SQRT(Dashboard!$F$4) * _xlfn.NORM.S.INV(RAND())</f>
        <v>-2.5888156664861037E-2</v>
      </c>
      <c r="U4920" s="59">
        <f ca="1">Dashboard!D$8* Dashboard!$F$4+Dashboard!D$10*SQRT(Dashboard!$F$4) * _xlfn.NORM.S.INV(RAND())</f>
        <v>-8.8357979424307405E-3</v>
      </c>
    </row>
    <row r="4921" spans="18:21" x14ac:dyDescent="0.2">
      <c r="R4921" s="49">
        <v>4919</v>
      </c>
      <c r="S4921" s="59">
        <f ca="1">Dashboard!B$8* Dashboard!$F$4+Dashboard!B$10*SQRT(Dashboard!$F$4) * _xlfn.NORM.S.INV(RAND())</f>
        <v>1.5885703257223494E-2</v>
      </c>
      <c r="T4921" s="59">
        <f ca="1">Dashboard!C$8* Dashboard!$F$4+Dashboard!C$10*SQRT(Dashboard!$F$4) * _xlfn.NORM.S.INV(RAND())</f>
        <v>3.072336352990189E-2</v>
      </c>
      <c r="U4921" s="59">
        <f ca="1">Dashboard!D$8* Dashboard!$F$4+Dashboard!D$10*SQRT(Dashboard!$F$4) * _xlfn.NORM.S.INV(RAND())</f>
        <v>1.2397989321130513E-2</v>
      </c>
    </row>
    <row r="4922" spans="18:21" x14ac:dyDescent="0.2">
      <c r="R4922" s="49">
        <v>4920</v>
      </c>
      <c r="S4922" s="59">
        <f ca="1">Dashboard!B$8* Dashboard!$F$4+Dashboard!B$10*SQRT(Dashboard!$F$4) * _xlfn.NORM.S.INV(RAND())</f>
        <v>-5.7148734708021509E-2</v>
      </c>
      <c r="T4922" s="59">
        <f ca="1">Dashboard!C$8* Dashboard!$F$4+Dashboard!C$10*SQRT(Dashboard!$F$4) * _xlfn.NORM.S.INV(RAND())</f>
        <v>4.5170947237020906E-2</v>
      </c>
      <c r="U4922" s="59">
        <f ca="1">Dashboard!D$8* Dashboard!$F$4+Dashboard!D$10*SQRT(Dashboard!$F$4) * _xlfn.NORM.S.INV(RAND())</f>
        <v>-1.5717565567430185E-2</v>
      </c>
    </row>
    <row r="4923" spans="18:21" x14ac:dyDescent="0.2">
      <c r="R4923" s="49">
        <v>4921</v>
      </c>
      <c r="S4923" s="59">
        <f ca="1">Dashboard!B$8* Dashboard!$F$4+Dashboard!B$10*SQRT(Dashboard!$F$4) * _xlfn.NORM.S.INV(RAND())</f>
        <v>-1.0052453112726161E-2</v>
      </c>
      <c r="T4923" s="59">
        <f ca="1">Dashboard!C$8* Dashboard!$F$4+Dashboard!C$10*SQRT(Dashboard!$F$4) * _xlfn.NORM.S.INV(RAND())</f>
        <v>-6.825530437981539E-2</v>
      </c>
      <c r="U4923" s="59">
        <f ca="1">Dashboard!D$8* Dashboard!$F$4+Dashboard!D$10*SQRT(Dashboard!$F$4) * _xlfn.NORM.S.INV(RAND())</f>
        <v>4.1781848282307174E-2</v>
      </c>
    </row>
    <row r="4924" spans="18:21" x14ac:dyDescent="0.2">
      <c r="R4924" s="49">
        <v>4922</v>
      </c>
      <c r="S4924" s="59">
        <f ca="1">Dashboard!B$8* Dashboard!$F$4+Dashboard!B$10*SQRT(Dashboard!$F$4) * _xlfn.NORM.S.INV(RAND())</f>
        <v>3.2828498286911235E-2</v>
      </c>
      <c r="T4924" s="59">
        <f ca="1">Dashboard!C$8* Dashboard!$F$4+Dashboard!C$10*SQRT(Dashboard!$F$4) * _xlfn.NORM.S.INV(RAND())</f>
        <v>2.5380373701787222E-3</v>
      </c>
      <c r="U4924" s="59">
        <f ca="1">Dashboard!D$8* Dashboard!$F$4+Dashboard!D$10*SQRT(Dashboard!$F$4) * _xlfn.NORM.S.INV(RAND())</f>
        <v>-4.6275183142107462E-2</v>
      </c>
    </row>
    <row r="4925" spans="18:21" x14ac:dyDescent="0.2">
      <c r="R4925" s="49">
        <v>4923</v>
      </c>
      <c r="S4925" s="59">
        <f ca="1">Dashboard!B$8* Dashboard!$F$4+Dashboard!B$10*SQRT(Dashboard!$F$4) * _xlfn.NORM.S.INV(RAND())</f>
        <v>1.657897861057761E-2</v>
      </c>
      <c r="T4925" s="59">
        <f ca="1">Dashboard!C$8* Dashboard!$F$4+Dashboard!C$10*SQRT(Dashboard!$F$4) * _xlfn.NORM.S.INV(RAND())</f>
        <v>3.2030886604441637E-2</v>
      </c>
      <c r="U4925" s="59">
        <f ca="1">Dashboard!D$8* Dashboard!$F$4+Dashboard!D$10*SQRT(Dashboard!$F$4) * _xlfn.NORM.S.INV(RAND())</f>
        <v>-3.7598876677790308E-3</v>
      </c>
    </row>
    <row r="4926" spans="18:21" x14ac:dyDescent="0.2">
      <c r="R4926" s="49">
        <v>4924</v>
      </c>
      <c r="S4926" s="59">
        <f ca="1">Dashboard!B$8* Dashboard!$F$4+Dashboard!B$10*SQRT(Dashboard!$F$4) * _xlfn.NORM.S.INV(RAND())</f>
        <v>-3.9535148191321761E-4</v>
      </c>
      <c r="T4926" s="59">
        <f ca="1">Dashboard!C$8* Dashboard!$F$4+Dashboard!C$10*SQRT(Dashboard!$F$4) * _xlfn.NORM.S.INV(RAND())</f>
        <v>1.9259892326964206E-2</v>
      </c>
      <c r="U4926" s="59">
        <f ca="1">Dashboard!D$8* Dashboard!$F$4+Dashboard!D$10*SQRT(Dashboard!$F$4) * _xlfn.NORM.S.INV(RAND())</f>
        <v>-6.1207128564892445E-3</v>
      </c>
    </row>
    <row r="4927" spans="18:21" x14ac:dyDescent="0.2">
      <c r="R4927" s="49">
        <v>4925</v>
      </c>
      <c r="S4927" s="59">
        <f ca="1">Dashboard!B$8* Dashboard!$F$4+Dashboard!B$10*SQRT(Dashboard!$F$4) * _xlfn.NORM.S.INV(RAND())</f>
        <v>-7.4362962727292328E-2</v>
      </c>
      <c r="T4927" s="59">
        <f ca="1">Dashboard!C$8* Dashboard!$F$4+Dashboard!C$10*SQRT(Dashboard!$F$4) * _xlfn.NORM.S.INV(RAND())</f>
        <v>-4.8927858021311992E-2</v>
      </c>
      <c r="U4927" s="59">
        <f ca="1">Dashboard!D$8* Dashboard!$F$4+Dashboard!D$10*SQRT(Dashboard!$F$4) * _xlfn.NORM.S.INV(RAND())</f>
        <v>-9.0682321815815911E-2</v>
      </c>
    </row>
    <row r="4928" spans="18:21" x14ac:dyDescent="0.2">
      <c r="R4928" s="49">
        <v>4926</v>
      </c>
      <c r="S4928" s="59">
        <f ca="1">Dashboard!B$8* Dashboard!$F$4+Dashboard!B$10*SQRT(Dashboard!$F$4) * _xlfn.NORM.S.INV(RAND())</f>
        <v>1.3366867186254646E-2</v>
      </c>
      <c r="T4928" s="59">
        <f ca="1">Dashboard!C$8* Dashboard!$F$4+Dashboard!C$10*SQRT(Dashboard!$F$4) * _xlfn.NORM.S.INV(RAND())</f>
        <v>4.4014157835657812E-2</v>
      </c>
      <c r="U4928" s="59">
        <f ca="1">Dashboard!D$8* Dashboard!$F$4+Dashboard!D$10*SQRT(Dashboard!$F$4) * _xlfn.NORM.S.INV(RAND())</f>
        <v>-4.9230140345492786E-2</v>
      </c>
    </row>
    <row r="4929" spans="18:21" x14ac:dyDescent="0.2">
      <c r="R4929" s="49">
        <v>4927</v>
      </c>
      <c r="S4929" s="59">
        <f ca="1">Dashboard!B$8* Dashboard!$F$4+Dashboard!B$10*SQRT(Dashboard!$F$4) * _xlfn.NORM.S.INV(RAND())</f>
        <v>3.7407489338505559E-2</v>
      </c>
      <c r="T4929" s="59">
        <f ca="1">Dashboard!C$8* Dashboard!$F$4+Dashboard!C$10*SQRT(Dashboard!$F$4) * _xlfn.NORM.S.INV(RAND())</f>
        <v>2.4851843213460043E-2</v>
      </c>
      <c r="U4929" s="59">
        <f ca="1">Dashboard!D$8* Dashboard!$F$4+Dashboard!D$10*SQRT(Dashboard!$F$4) * _xlfn.NORM.S.INV(RAND())</f>
        <v>1.9295947154272214E-2</v>
      </c>
    </row>
    <row r="4930" spans="18:21" x14ac:dyDescent="0.2">
      <c r="R4930" s="49">
        <v>4928</v>
      </c>
      <c r="S4930" s="59">
        <f ca="1">Dashboard!B$8* Dashboard!$F$4+Dashboard!B$10*SQRT(Dashboard!$F$4) * _xlfn.NORM.S.INV(RAND())</f>
        <v>-1.1768314849343899E-2</v>
      </c>
      <c r="T4930" s="59">
        <f ca="1">Dashboard!C$8* Dashboard!$F$4+Dashboard!C$10*SQRT(Dashboard!$F$4) * _xlfn.NORM.S.INV(RAND())</f>
        <v>-4.3211409785979184E-2</v>
      </c>
      <c r="U4930" s="59">
        <f ca="1">Dashboard!D$8* Dashboard!$F$4+Dashboard!D$10*SQRT(Dashboard!$F$4) * _xlfn.NORM.S.INV(RAND())</f>
        <v>5.2057499771001645E-2</v>
      </c>
    </row>
    <row r="4931" spans="18:21" x14ac:dyDescent="0.2">
      <c r="R4931" s="49">
        <v>4929</v>
      </c>
      <c r="S4931" s="59">
        <f ca="1">Dashboard!B$8* Dashboard!$F$4+Dashboard!B$10*SQRT(Dashboard!$F$4) * _xlfn.NORM.S.INV(RAND())</f>
        <v>-4.5340338812669613E-2</v>
      </c>
      <c r="T4931" s="59">
        <f ca="1">Dashboard!C$8* Dashboard!$F$4+Dashboard!C$10*SQRT(Dashboard!$F$4) * _xlfn.NORM.S.INV(RAND())</f>
        <v>-2.4882562808700567E-3</v>
      </c>
      <c r="U4931" s="59">
        <f ca="1">Dashboard!D$8* Dashboard!$F$4+Dashboard!D$10*SQRT(Dashboard!$F$4) * _xlfn.NORM.S.INV(RAND())</f>
        <v>1.3947530290353546E-2</v>
      </c>
    </row>
    <row r="4932" spans="18:21" x14ac:dyDescent="0.2">
      <c r="R4932" s="49">
        <v>4930</v>
      </c>
      <c r="S4932" s="59">
        <f ca="1">Dashboard!B$8* Dashboard!$F$4+Dashboard!B$10*SQRT(Dashboard!$F$4) * _xlfn.NORM.S.INV(RAND())</f>
        <v>2.3637412445586078E-2</v>
      </c>
      <c r="T4932" s="59">
        <f ca="1">Dashboard!C$8* Dashboard!$F$4+Dashboard!C$10*SQRT(Dashboard!$F$4) * _xlfn.NORM.S.INV(RAND())</f>
        <v>3.0769972892838216E-2</v>
      </c>
      <c r="U4932" s="59">
        <f ca="1">Dashboard!D$8* Dashboard!$F$4+Dashboard!D$10*SQRT(Dashboard!$F$4) * _xlfn.NORM.S.INV(RAND())</f>
        <v>3.1189821710662886E-2</v>
      </c>
    </row>
    <row r="4933" spans="18:21" x14ac:dyDescent="0.2">
      <c r="R4933" s="49">
        <v>4931</v>
      </c>
      <c r="S4933" s="59">
        <f ca="1">Dashboard!B$8* Dashboard!$F$4+Dashboard!B$10*SQRT(Dashboard!$F$4) * _xlfn.NORM.S.INV(RAND())</f>
        <v>-2.0207795038865113E-2</v>
      </c>
      <c r="T4933" s="59">
        <f ca="1">Dashboard!C$8* Dashboard!$F$4+Dashboard!C$10*SQRT(Dashboard!$F$4) * _xlfn.NORM.S.INV(RAND())</f>
        <v>1.8659529199464731E-2</v>
      </c>
      <c r="U4933" s="59">
        <f ca="1">Dashboard!D$8* Dashboard!$F$4+Dashboard!D$10*SQRT(Dashboard!$F$4) * _xlfn.NORM.S.INV(RAND())</f>
        <v>-3.5163860883622659E-2</v>
      </c>
    </row>
    <row r="4934" spans="18:21" x14ac:dyDescent="0.2">
      <c r="R4934" s="49">
        <v>4932</v>
      </c>
      <c r="S4934" s="59">
        <f ca="1">Dashboard!B$8* Dashboard!$F$4+Dashboard!B$10*SQRT(Dashboard!$F$4) * _xlfn.NORM.S.INV(RAND())</f>
        <v>2.9319525116930048E-2</v>
      </c>
      <c r="T4934" s="59">
        <f ca="1">Dashboard!C$8* Dashboard!$F$4+Dashboard!C$10*SQRT(Dashboard!$F$4) * _xlfn.NORM.S.INV(RAND())</f>
        <v>2.5324748813718732E-2</v>
      </c>
      <c r="U4934" s="59">
        <f ca="1">Dashboard!D$8* Dashboard!$F$4+Dashboard!D$10*SQRT(Dashboard!$F$4) * _xlfn.NORM.S.INV(RAND())</f>
        <v>1.3722915633657819E-2</v>
      </c>
    </row>
    <row r="4935" spans="18:21" x14ac:dyDescent="0.2">
      <c r="R4935" s="49">
        <v>4933</v>
      </c>
      <c r="S4935" s="59">
        <f ca="1">Dashboard!B$8* Dashboard!$F$4+Dashboard!B$10*SQRT(Dashboard!$F$4) * _xlfn.NORM.S.INV(RAND())</f>
        <v>-3.3785589511350356E-2</v>
      </c>
      <c r="T4935" s="59">
        <f ca="1">Dashboard!C$8* Dashboard!$F$4+Dashboard!C$10*SQRT(Dashboard!$F$4) * _xlfn.NORM.S.INV(RAND())</f>
        <v>1.5181196818180514E-2</v>
      </c>
      <c r="U4935" s="59">
        <f ca="1">Dashboard!D$8* Dashboard!$F$4+Dashboard!D$10*SQRT(Dashboard!$F$4) * _xlfn.NORM.S.INV(RAND())</f>
        <v>-7.3382033996516093E-3</v>
      </c>
    </row>
    <row r="4936" spans="18:21" x14ac:dyDescent="0.2">
      <c r="R4936" s="49">
        <v>4934</v>
      </c>
      <c r="S4936" s="59">
        <f ca="1">Dashboard!B$8* Dashboard!$F$4+Dashboard!B$10*SQRT(Dashboard!$F$4) * _xlfn.NORM.S.INV(RAND())</f>
        <v>9.6672750542127362E-3</v>
      </c>
      <c r="T4936" s="59">
        <f ca="1">Dashboard!C$8* Dashboard!$F$4+Dashboard!C$10*SQRT(Dashboard!$F$4) * _xlfn.NORM.S.INV(RAND())</f>
        <v>-2.9527598335208651E-2</v>
      </c>
      <c r="U4936" s="59">
        <f ca="1">Dashboard!D$8* Dashboard!$F$4+Dashboard!D$10*SQRT(Dashboard!$F$4) * _xlfn.NORM.S.INV(RAND())</f>
        <v>2.8395262668348471E-2</v>
      </c>
    </row>
    <row r="4937" spans="18:21" x14ac:dyDescent="0.2">
      <c r="R4937" s="49">
        <v>4935</v>
      </c>
      <c r="S4937" s="59">
        <f ca="1">Dashboard!B$8* Dashboard!$F$4+Dashboard!B$10*SQRT(Dashboard!$F$4) * _xlfn.NORM.S.INV(RAND())</f>
        <v>2.2054872646778204E-3</v>
      </c>
      <c r="T4937" s="59">
        <f ca="1">Dashboard!C$8* Dashboard!$F$4+Dashboard!C$10*SQRT(Dashboard!$F$4) * _xlfn.NORM.S.INV(RAND())</f>
        <v>4.12492350397623E-2</v>
      </c>
      <c r="U4937" s="59">
        <f ca="1">Dashboard!D$8* Dashboard!$F$4+Dashboard!D$10*SQRT(Dashboard!$F$4) * _xlfn.NORM.S.INV(RAND())</f>
        <v>-1.9807053192883485E-3</v>
      </c>
    </row>
    <row r="4938" spans="18:21" x14ac:dyDescent="0.2">
      <c r="R4938" s="49">
        <v>4936</v>
      </c>
      <c r="S4938" s="59">
        <f ca="1">Dashboard!B$8* Dashboard!$F$4+Dashboard!B$10*SQRT(Dashboard!$F$4) * _xlfn.NORM.S.INV(RAND())</f>
        <v>-2.7358983205007646E-2</v>
      </c>
      <c r="T4938" s="59">
        <f ca="1">Dashboard!C$8* Dashboard!$F$4+Dashboard!C$10*SQRT(Dashboard!$F$4) * _xlfn.NORM.S.INV(RAND())</f>
        <v>1.8772627591346902E-2</v>
      </c>
      <c r="U4938" s="59">
        <f ca="1">Dashboard!D$8* Dashboard!$F$4+Dashboard!D$10*SQRT(Dashboard!$F$4) * _xlfn.NORM.S.INV(RAND())</f>
        <v>1.6554890135969696E-2</v>
      </c>
    </row>
    <row r="4939" spans="18:21" x14ac:dyDescent="0.2">
      <c r="R4939" s="49">
        <v>4937</v>
      </c>
      <c r="S4939" s="59">
        <f ca="1">Dashboard!B$8* Dashboard!$F$4+Dashboard!B$10*SQRT(Dashboard!$F$4) * _xlfn.NORM.S.INV(RAND())</f>
        <v>5.4056963125183773E-3</v>
      </c>
      <c r="T4939" s="59">
        <f ca="1">Dashboard!C$8* Dashboard!$F$4+Dashboard!C$10*SQRT(Dashboard!$F$4) * _xlfn.NORM.S.INV(RAND())</f>
        <v>-1.787810488185845E-3</v>
      </c>
      <c r="U4939" s="59">
        <f ca="1">Dashboard!D$8* Dashboard!$F$4+Dashboard!D$10*SQRT(Dashboard!$F$4) * _xlfn.NORM.S.INV(RAND())</f>
        <v>7.6728122882130699E-3</v>
      </c>
    </row>
    <row r="4940" spans="18:21" x14ac:dyDescent="0.2">
      <c r="R4940" s="49">
        <v>4938</v>
      </c>
      <c r="S4940" s="59">
        <f ca="1">Dashboard!B$8* Dashboard!$F$4+Dashboard!B$10*SQRT(Dashboard!$F$4) * _xlfn.NORM.S.INV(RAND())</f>
        <v>2.9463591150714702E-2</v>
      </c>
      <c r="T4940" s="59">
        <f ca="1">Dashboard!C$8* Dashboard!$F$4+Dashboard!C$10*SQRT(Dashboard!$F$4) * _xlfn.NORM.S.INV(RAND())</f>
        <v>1.1725625365797469E-2</v>
      </c>
      <c r="U4940" s="59">
        <f ca="1">Dashboard!D$8* Dashboard!$F$4+Dashboard!D$10*SQRT(Dashboard!$F$4) * _xlfn.NORM.S.INV(RAND())</f>
        <v>-1.1358900293395037E-2</v>
      </c>
    </row>
    <row r="4941" spans="18:21" x14ac:dyDescent="0.2">
      <c r="R4941" s="49">
        <v>4939</v>
      </c>
      <c r="S4941" s="59">
        <f ca="1">Dashboard!B$8* Dashboard!$F$4+Dashboard!B$10*SQRT(Dashboard!$F$4) * _xlfn.NORM.S.INV(RAND())</f>
        <v>3.2219704934998102E-2</v>
      </c>
      <c r="T4941" s="59">
        <f ca="1">Dashboard!C$8* Dashboard!$F$4+Dashboard!C$10*SQRT(Dashboard!$F$4) * _xlfn.NORM.S.INV(RAND())</f>
        <v>0.10047221130628581</v>
      </c>
      <c r="U4941" s="59">
        <f ca="1">Dashboard!D$8* Dashboard!$F$4+Dashboard!D$10*SQRT(Dashboard!$F$4) * _xlfn.NORM.S.INV(RAND())</f>
        <v>-3.0516052913952107E-3</v>
      </c>
    </row>
    <row r="4942" spans="18:21" x14ac:dyDescent="0.2">
      <c r="R4942" s="49">
        <v>4940</v>
      </c>
      <c r="S4942" s="59">
        <f ca="1">Dashboard!B$8* Dashboard!$F$4+Dashboard!B$10*SQRT(Dashboard!$F$4) * _xlfn.NORM.S.INV(RAND())</f>
        <v>-1.8983687098166037E-2</v>
      </c>
      <c r="T4942" s="59">
        <f ca="1">Dashboard!C$8* Dashboard!$F$4+Dashboard!C$10*SQRT(Dashboard!$F$4) * _xlfn.NORM.S.INV(RAND())</f>
        <v>-2.0670595410955069E-2</v>
      </c>
      <c r="U4942" s="59">
        <f ca="1">Dashboard!D$8* Dashboard!$F$4+Dashboard!D$10*SQRT(Dashboard!$F$4) * _xlfn.NORM.S.INV(RAND())</f>
        <v>-1.403742021288394E-2</v>
      </c>
    </row>
    <row r="4943" spans="18:21" x14ac:dyDescent="0.2">
      <c r="R4943" s="49">
        <v>4941</v>
      </c>
      <c r="S4943" s="59">
        <f ca="1">Dashboard!B$8* Dashboard!$F$4+Dashboard!B$10*SQRT(Dashboard!$F$4) * _xlfn.NORM.S.INV(RAND())</f>
        <v>-2.0290977366919016E-3</v>
      </c>
      <c r="T4943" s="59">
        <f ca="1">Dashboard!C$8* Dashboard!$F$4+Dashboard!C$10*SQRT(Dashboard!$F$4) * _xlfn.NORM.S.INV(RAND())</f>
        <v>5.3681061194827198E-2</v>
      </c>
      <c r="U4943" s="59">
        <f ca="1">Dashboard!D$8* Dashboard!$F$4+Dashboard!D$10*SQRT(Dashboard!$F$4) * _xlfn.NORM.S.INV(RAND())</f>
        <v>2.5275615638608279E-2</v>
      </c>
    </row>
    <row r="4944" spans="18:21" x14ac:dyDescent="0.2">
      <c r="R4944" s="49">
        <v>4942</v>
      </c>
      <c r="S4944" s="59">
        <f ca="1">Dashboard!B$8* Dashboard!$F$4+Dashboard!B$10*SQRT(Dashboard!$F$4) * _xlfn.NORM.S.INV(RAND())</f>
        <v>-1.4765538179962234E-2</v>
      </c>
      <c r="T4944" s="59">
        <f ca="1">Dashboard!C$8* Dashboard!$F$4+Dashboard!C$10*SQRT(Dashboard!$F$4) * _xlfn.NORM.S.INV(RAND())</f>
        <v>4.3579776155797903E-2</v>
      </c>
      <c r="U4944" s="59">
        <f ca="1">Dashboard!D$8* Dashboard!$F$4+Dashboard!D$10*SQRT(Dashboard!$F$4) * _xlfn.NORM.S.INV(RAND())</f>
        <v>2.6110807950174505E-2</v>
      </c>
    </row>
    <row r="4945" spans="18:21" x14ac:dyDescent="0.2">
      <c r="R4945" s="49">
        <v>4943</v>
      </c>
      <c r="S4945" s="59">
        <f ca="1">Dashboard!B$8* Dashboard!$F$4+Dashboard!B$10*SQRT(Dashboard!$F$4) * _xlfn.NORM.S.INV(RAND())</f>
        <v>-1.5729170571670108E-2</v>
      </c>
      <c r="T4945" s="59">
        <f ca="1">Dashboard!C$8* Dashboard!$F$4+Dashboard!C$10*SQRT(Dashboard!$F$4) * _xlfn.NORM.S.INV(RAND())</f>
        <v>2.2177606980855198E-2</v>
      </c>
      <c r="U4945" s="59">
        <f ca="1">Dashboard!D$8* Dashboard!$F$4+Dashboard!D$10*SQRT(Dashboard!$F$4) * _xlfn.NORM.S.INV(RAND())</f>
        <v>3.2865554151280132E-2</v>
      </c>
    </row>
    <row r="4946" spans="18:21" x14ac:dyDescent="0.2">
      <c r="R4946" s="49">
        <v>4944</v>
      </c>
      <c r="S4946" s="59">
        <f ca="1">Dashboard!B$8* Dashboard!$F$4+Dashboard!B$10*SQRT(Dashboard!$F$4) * _xlfn.NORM.S.INV(RAND())</f>
        <v>4.8126452143327079E-2</v>
      </c>
      <c r="T4946" s="59">
        <f ca="1">Dashboard!C$8* Dashboard!$F$4+Dashboard!C$10*SQRT(Dashboard!$F$4) * _xlfn.NORM.S.INV(RAND())</f>
        <v>2.6110373375932038E-2</v>
      </c>
      <c r="U4946" s="59">
        <f ca="1">Dashboard!D$8* Dashboard!$F$4+Dashboard!D$10*SQRT(Dashboard!$F$4) * _xlfn.NORM.S.INV(RAND())</f>
        <v>2.4019693126657075E-2</v>
      </c>
    </row>
    <row r="4947" spans="18:21" x14ac:dyDescent="0.2">
      <c r="R4947" s="49">
        <v>4945</v>
      </c>
      <c r="S4947" s="59">
        <f ca="1">Dashboard!B$8* Dashboard!$F$4+Dashboard!B$10*SQRT(Dashboard!$F$4) * _xlfn.NORM.S.INV(RAND())</f>
        <v>-4.8166414258358041E-3</v>
      </c>
      <c r="T4947" s="59">
        <f ca="1">Dashboard!C$8* Dashboard!$F$4+Dashboard!C$10*SQRT(Dashboard!$F$4) * _xlfn.NORM.S.INV(RAND())</f>
        <v>5.854699279479153E-2</v>
      </c>
      <c r="U4947" s="59">
        <f ca="1">Dashboard!D$8* Dashboard!$F$4+Dashboard!D$10*SQRT(Dashboard!$F$4) * _xlfn.NORM.S.INV(RAND())</f>
        <v>-6.3148402674850007E-3</v>
      </c>
    </row>
    <row r="4948" spans="18:21" x14ac:dyDescent="0.2">
      <c r="R4948" s="49">
        <v>4946</v>
      </c>
      <c r="S4948" s="59">
        <f ca="1">Dashboard!B$8* Dashboard!$F$4+Dashboard!B$10*SQRT(Dashboard!$F$4) * _xlfn.NORM.S.INV(RAND())</f>
        <v>9.6778804232412682E-3</v>
      </c>
      <c r="T4948" s="59">
        <f ca="1">Dashboard!C$8* Dashboard!$F$4+Dashboard!C$10*SQRT(Dashboard!$F$4) * _xlfn.NORM.S.INV(RAND())</f>
        <v>-6.6685953052988793E-4</v>
      </c>
      <c r="U4948" s="59">
        <f ca="1">Dashboard!D$8* Dashboard!$F$4+Dashboard!D$10*SQRT(Dashboard!$F$4) * _xlfn.NORM.S.INV(RAND())</f>
        <v>-2.457617376314954E-2</v>
      </c>
    </row>
    <row r="4949" spans="18:21" x14ac:dyDescent="0.2">
      <c r="R4949" s="49">
        <v>4947</v>
      </c>
      <c r="S4949" s="59">
        <f ca="1">Dashboard!B$8* Dashboard!$F$4+Dashboard!B$10*SQRT(Dashboard!$F$4) * _xlfn.NORM.S.INV(RAND())</f>
        <v>-1.9551628495975585E-2</v>
      </c>
      <c r="T4949" s="59">
        <f ca="1">Dashboard!C$8* Dashboard!$F$4+Dashboard!C$10*SQRT(Dashboard!$F$4) * _xlfn.NORM.S.INV(RAND())</f>
        <v>2.4248560243782691E-2</v>
      </c>
      <c r="U4949" s="59">
        <f ca="1">Dashboard!D$8* Dashboard!$F$4+Dashboard!D$10*SQRT(Dashboard!$F$4) * _xlfn.NORM.S.INV(RAND())</f>
        <v>6.0664999009556772E-4</v>
      </c>
    </row>
    <row r="4950" spans="18:21" x14ac:dyDescent="0.2">
      <c r="R4950" s="49">
        <v>4948</v>
      </c>
      <c r="S4950" s="59">
        <f ca="1">Dashboard!B$8* Dashboard!$F$4+Dashboard!B$10*SQRT(Dashboard!$F$4) * _xlfn.NORM.S.INV(RAND())</f>
        <v>2.9132069320212541E-2</v>
      </c>
      <c r="T4950" s="59">
        <f ca="1">Dashboard!C$8* Dashboard!$F$4+Dashboard!C$10*SQRT(Dashboard!$F$4) * _xlfn.NORM.S.INV(RAND())</f>
        <v>8.6386280449578697E-3</v>
      </c>
      <c r="U4950" s="59">
        <f ca="1">Dashboard!D$8* Dashboard!$F$4+Dashboard!D$10*SQRT(Dashboard!$F$4) * _xlfn.NORM.S.INV(RAND())</f>
        <v>2.5801633090962926E-2</v>
      </c>
    </row>
    <row r="4951" spans="18:21" x14ac:dyDescent="0.2">
      <c r="R4951" s="49">
        <v>4949</v>
      </c>
      <c r="S4951" s="59">
        <f ca="1">Dashboard!B$8* Dashboard!$F$4+Dashboard!B$10*SQRT(Dashboard!$F$4) * _xlfn.NORM.S.INV(RAND())</f>
        <v>-5.0979946561431622E-2</v>
      </c>
      <c r="T4951" s="59">
        <f ca="1">Dashboard!C$8* Dashboard!$F$4+Dashboard!C$10*SQRT(Dashboard!$F$4) * _xlfn.NORM.S.INV(RAND())</f>
        <v>-3.7086009677533179E-2</v>
      </c>
      <c r="U4951" s="59">
        <f ca="1">Dashboard!D$8* Dashboard!$F$4+Dashboard!D$10*SQRT(Dashboard!$F$4) * _xlfn.NORM.S.INV(RAND())</f>
        <v>3.9317844320355143E-2</v>
      </c>
    </row>
    <row r="4952" spans="18:21" x14ac:dyDescent="0.2">
      <c r="R4952" s="49">
        <v>4950</v>
      </c>
      <c r="S4952" s="59">
        <f ca="1">Dashboard!B$8* Dashboard!$F$4+Dashboard!B$10*SQRT(Dashboard!$F$4) * _xlfn.NORM.S.INV(RAND())</f>
        <v>4.0451984677257278E-3</v>
      </c>
      <c r="T4952" s="59">
        <f ca="1">Dashboard!C$8* Dashboard!$F$4+Dashboard!C$10*SQRT(Dashboard!$F$4) * _xlfn.NORM.S.INV(RAND())</f>
        <v>-3.1881908248075942E-2</v>
      </c>
      <c r="U4952" s="59">
        <f ca="1">Dashboard!D$8* Dashboard!$F$4+Dashboard!D$10*SQRT(Dashboard!$F$4) * _xlfn.NORM.S.INV(RAND())</f>
        <v>3.0509673020559146E-2</v>
      </c>
    </row>
    <row r="4953" spans="18:21" x14ac:dyDescent="0.2">
      <c r="R4953" s="49">
        <v>4951</v>
      </c>
      <c r="S4953" s="59">
        <f ca="1">Dashboard!B$8* Dashboard!$F$4+Dashboard!B$10*SQRT(Dashboard!$F$4) * _xlfn.NORM.S.INV(RAND())</f>
        <v>-3.112205591154437E-2</v>
      </c>
      <c r="T4953" s="59">
        <f ca="1">Dashboard!C$8* Dashboard!$F$4+Dashboard!C$10*SQRT(Dashboard!$F$4) * _xlfn.NORM.S.INV(RAND())</f>
        <v>-4.5294521789184632E-2</v>
      </c>
      <c r="U4953" s="59">
        <f ca="1">Dashboard!D$8* Dashboard!$F$4+Dashboard!D$10*SQRT(Dashboard!$F$4) * _xlfn.NORM.S.INV(RAND())</f>
        <v>-4.3418124032080292E-2</v>
      </c>
    </row>
    <row r="4954" spans="18:21" x14ac:dyDescent="0.2">
      <c r="R4954" s="49">
        <v>4952</v>
      </c>
      <c r="S4954" s="59">
        <f ca="1">Dashboard!B$8* Dashboard!$F$4+Dashboard!B$10*SQRT(Dashboard!$F$4) * _xlfn.NORM.S.INV(RAND())</f>
        <v>-4.2199069299853224E-2</v>
      </c>
      <c r="T4954" s="59">
        <f ca="1">Dashboard!C$8* Dashboard!$F$4+Dashboard!C$10*SQRT(Dashboard!$F$4) * _xlfn.NORM.S.INV(RAND())</f>
        <v>-3.5298149824862964E-2</v>
      </c>
      <c r="U4954" s="59">
        <f ca="1">Dashboard!D$8* Dashboard!$F$4+Dashboard!D$10*SQRT(Dashboard!$F$4) * _xlfn.NORM.S.INV(RAND())</f>
        <v>1.2979006325803375E-2</v>
      </c>
    </row>
    <row r="4955" spans="18:21" x14ac:dyDescent="0.2">
      <c r="R4955" s="49">
        <v>4953</v>
      </c>
      <c r="S4955" s="59">
        <f ca="1">Dashboard!B$8* Dashboard!$F$4+Dashboard!B$10*SQRT(Dashboard!$F$4) * _xlfn.NORM.S.INV(RAND())</f>
        <v>3.4244297470127222E-2</v>
      </c>
      <c r="T4955" s="59">
        <f ca="1">Dashboard!C$8* Dashboard!$F$4+Dashboard!C$10*SQRT(Dashboard!$F$4) * _xlfn.NORM.S.INV(RAND())</f>
        <v>3.0238302995390606E-3</v>
      </c>
      <c r="U4955" s="59">
        <f ca="1">Dashboard!D$8* Dashboard!$F$4+Dashboard!D$10*SQRT(Dashboard!$F$4) * _xlfn.NORM.S.INV(RAND())</f>
        <v>-7.682616779598128E-3</v>
      </c>
    </row>
    <row r="4956" spans="18:21" x14ac:dyDescent="0.2">
      <c r="R4956" s="49">
        <v>4954</v>
      </c>
      <c r="S4956" s="59">
        <f ca="1">Dashboard!B$8* Dashboard!$F$4+Dashboard!B$10*SQRT(Dashboard!$F$4) * _xlfn.NORM.S.INV(RAND())</f>
        <v>1.5058466676268903E-2</v>
      </c>
      <c r="T4956" s="59">
        <f ca="1">Dashboard!C$8* Dashboard!$F$4+Dashboard!C$10*SQRT(Dashboard!$F$4) * _xlfn.NORM.S.INV(RAND())</f>
        <v>3.1305047298113176E-2</v>
      </c>
      <c r="U4956" s="59">
        <f ca="1">Dashboard!D$8* Dashboard!$F$4+Dashboard!D$10*SQRT(Dashboard!$F$4) * _xlfn.NORM.S.INV(RAND())</f>
        <v>-1.6793130093211477E-2</v>
      </c>
    </row>
    <row r="4957" spans="18:21" x14ac:dyDescent="0.2">
      <c r="R4957" s="49">
        <v>4955</v>
      </c>
      <c r="S4957" s="59">
        <f ca="1">Dashboard!B$8* Dashboard!$F$4+Dashboard!B$10*SQRT(Dashboard!$F$4) * _xlfn.NORM.S.INV(RAND())</f>
        <v>2.7134773835912937E-2</v>
      </c>
      <c r="T4957" s="59">
        <f ca="1">Dashboard!C$8* Dashboard!$F$4+Dashboard!C$10*SQRT(Dashboard!$F$4) * _xlfn.NORM.S.INV(RAND())</f>
        <v>-9.2708479983336541E-3</v>
      </c>
      <c r="U4957" s="59">
        <f ca="1">Dashboard!D$8* Dashboard!$F$4+Dashboard!D$10*SQRT(Dashboard!$F$4) * _xlfn.NORM.S.INV(RAND())</f>
        <v>-1.486013439317002E-2</v>
      </c>
    </row>
    <row r="4958" spans="18:21" x14ac:dyDescent="0.2">
      <c r="R4958" s="49">
        <v>4956</v>
      </c>
      <c r="S4958" s="59">
        <f ca="1">Dashboard!B$8* Dashboard!$F$4+Dashboard!B$10*SQRT(Dashboard!$F$4) * _xlfn.NORM.S.INV(RAND())</f>
        <v>-1.1307730349174523E-2</v>
      </c>
      <c r="T4958" s="59">
        <f ca="1">Dashboard!C$8* Dashboard!$F$4+Dashboard!C$10*SQRT(Dashboard!$F$4) * _xlfn.NORM.S.INV(RAND())</f>
        <v>3.1711654976027515E-2</v>
      </c>
      <c r="U4958" s="59">
        <f ca="1">Dashboard!D$8* Dashboard!$F$4+Dashboard!D$10*SQRT(Dashboard!$F$4) * _xlfn.NORM.S.INV(RAND())</f>
        <v>-3.1072366887541652E-2</v>
      </c>
    </row>
    <row r="4959" spans="18:21" x14ac:dyDescent="0.2">
      <c r="R4959" s="49">
        <v>4957</v>
      </c>
      <c r="S4959" s="59">
        <f ca="1">Dashboard!B$8* Dashboard!$F$4+Dashboard!B$10*SQRT(Dashboard!$F$4) * _xlfn.NORM.S.INV(RAND())</f>
        <v>3.7568160468932701E-2</v>
      </c>
      <c r="T4959" s="59">
        <f ca="1">Dashboard!C$8* Dashboard!$F$4+Dashboard!C$10*SQRT(Dashboard!$F$4) * _xlfn.NORM.S.INV(RAND())</f>
        <v>3.163168920674819E-3</v>
      </c>
      <c r="U4959" s="59">
        <f ca="1">Dashboard!D$8* Dashboard!$F$4+Dashboard!D$10*SQRT(Dashboard!$F$4) * _xlfn.NORM.S.INV(RAND())</f>
        <v>-3.3154906561409084E-2</v>
      </c>
    </row>
    <row r="4960" spans="18:21" x14ac:dyDescent="0.2">
      <c r="R4960" s="49">
        <v>4958</v>
      </c>
      <c r="S4960" s="59">
        <f ca="1">Dashboard!B$8* Dashboard!$F$4+Dashboard!B$10*SQRT(Dashboard!$F$4) * _xlfn.NORM.S.INV(RAND())</f>
        <v>-2.5306974762181411E-2</v>
      </c>
      <c r="T4960" s="59">
        <f ca="1">Dashboard!C$8* Dashboard!$F$4+Dashboard!C$10*SQRT(Dashboard!$F$4) * _xlfn.NORM.S.INV(RAND())</f>
        <v>-1.2282190603515281E-2</v>
      </c>
      <c r="U4960" s="59">
        <f ca="1">Dashboard!D$8* Dashboard!$F$4+Dashboard!D$10*SQRT(Dashboard!$F$4) * _xlfn.NORM.S.INV(RAND())</f>
        <v>-5.9958964980730582E-3</v>
      </c>
    </row>
    <row r="4961" spans="18:21" x14ac:dyDescent="0.2">
      <c r="R4961" s="49">
        <v>4959</v>
      </c>
      <c r="S4961" s="59">
        <f ca="1">Dashboard!B$8* Dashboard!$F$4+Dashboard!B$10*SQRT(Dashboard!$F$4) * _xlfn.NORM.S.INV(RAND())</f>
        <v>3.2368901130238638E-2</v>
      </c>
      <c r="T4961" s="59">
        <f ca="1">Dashboard!C$8* Dashboard!$F$4+Dashboard!C$10*SQRT(Dashboard!$F$4) * _xlfn.NORM.S.INV(RAND())</f>
        <v>-6.2815799138038241E-3</v>
      </c>
      <c r="U4961" s="59">
        <f ca="1">Dashboard!D$8* Dashboard!$F$4+Dashboard!D$10*SQRT(Dashboard!$F$4) * _xlfn.NORM.S.INV(RAND())</f>
        <v>-2.5289694106084337E-2</v>
      </c>
    </row>
    <row r="4962" spans="18:21" x14ac:dyDescent="0.2">
      <c r="R4962" s="49">
        <v>4960</v>
      </c>
      <c r="S4962" s="59">
        <f ca="1">Dashboard!B$8* Dashboard!$F$4+Dashboard!B$10*SQRT(Dashboard!$F$4) * _xlfn.NORM.S.INV(RAND())</f>
        <v>8.6564730829304971E-3</v>
      </c>
      <c r="T4962" s="59">
        <f ca="1">Dashboard!C$8* Dashboard!$F$4+Dashboard!C$10*SQRT(Dashboard!$F$4) * _xlfn.NORM.S.INV(RAND())</f>
        <v>-3.1012244289419033E-3</v>
      </c>
      <c r="U4962" s="59">
        <f ca="1">Dashboard!D$8* Dashboard!$F$4+Dashboard!D$10*SQRT(Dashboard!$F$4) * _xlfn.NORM.S.INV(RAND())</f>
        <v>-3.7730842904697817E-2</v>
      </c>
    </row>
    <row r="4963" spans="18:21" x14ac:dyDescent="0.2">
      <c r="R4963" s="49">
        <v>4961</v>
      </c>
      <c r="S4963" s="59">
        <f ca="1">Dashboard!B$8* Dashboard!$F$4+Dashboard!B$10*SQRT(Dashboard!$F$4) * _xlfn.NORM.S.INV(RAND())</f>
        <v>1.0948325256038801E-2</v>
      </c>
      <c r="T4963" s="59">
        <f ca="1">Dashboard!C$8* Dashboard!$F$4+Dashboard!C$10*SQRT(Dashboard!$F$4) * _xlfn.NORM.S.INV(RAND())</f>
        <v>-2.6230728612292517E-2</v>
      </c>
      <c r="U4963" s="59">
        <f ca="1">Dashboard!D$8* Dashboard!$F$4+Dashboard!D$10*SQRT(Dashboard!$F$4) * _xlfn.NORM.S.INV(RAND())</f>
        <v>2.4070764853555094E-3</v>
      </c>
    </row>
    <row r="4964" spans="18:21" x14ac:dyDescent="0.2">
      <c r="R4964" s="49">
        <v>4962</v>
      </c>
      <c r="S4964" s="59">
        <f ca="1">Dashboard!B$8* Dashboard!$F$4+Dashboard!B$10*SQRT(Dashboard!$F$4) * _xlfn.NORM.S.INV(RAND())</f>
        <v>-3.2905084399874197E-2</v>
      </c>
      <c r="T4964" s="59">
        <f ca="1">Dashboard!C$8* Dashboard!$F$4+Dashboard!C$10*SQRT(Dashboard!$F$4) * _xlfn.NORM.S.INV(RAND())</f>
        <v>2.6151221607026678E-2</v>
      </c>
      <c r="U4964" s="59">
        <f ca="1">Dashboard!D$8* Dashboard!$F$4+Dashboard!D$10*SQRT(Dashboard!$F$4) * _xlfn.NORM.S.INV(RAND())</f>
        <v>5.9147097133707263E-2</v>
      </c>
    </row>
    <row r="4965" spans="18:21" x14ac:dyDescent="0.2">
      <c r="R4965" s="49">
        <v>4963</v>
      </c>
      <c r="S4965" s="59">
        <f ca="1">Dashboard!B$8* Dashboard!$F$4+Dashboard!B$10*SQRT(Dashboard!$F$4) * _xlfn.NORM.S.INV(RAND())</f>
        <v>-2.853258686089305E-2</v>
      </c>
      <c r="T4965" s="59">
        <f ca="1">Dashboard!C$8* Dashboard!$F$4+Dashboard!C$10*SQRT(Dashboard!$F$4) * _xlfn.NORM.S.INV(RAND())</f>
        <v>1.5399539359895922E-2</v>
      </c>
      <c r="U4965" s="59">
        <f ca="1">Dashboard!D$8* Dashboard!$F$4+Dashboard!D$10*SQRT(Dashboard!$F$4) * _xlfn.NORM.S.INV(RAND())</f>
        <v>8.8314198009722799E-3</v>
      </c>
    </row>
    <row r="4966" spans="18:21" x14ac:dyDescent="0.2">
      <c r="R4966" s="49">
        <v>4964</v>
      </c>
      <c r="S4966" s="59">
        <f ca="1">Dashboard!B$8* Dashboard!$F$4+Dashboard!B$10*SQRT(Dashboard!$F$4) * _xlfn.NORM.S.INV(RAND())</f>
        <v>-3.7142739877465226E-2</v>
      </c>
      <c r="T4966" s="59">
        <f ca="1">Dashboard!C$8* Dashboard!$F$4+Dashboard!C$10*SQRT(Dashboard!$F$4) * _xlfn.NORM.S.INV(RAND())</f>
        <v>-3.9863986857098015E-2</v>
      </c>
      <c r="U4966" s="59">
        <f ca="1">Dashboard!D$8* Dashboard!$F$4+Dashboard!D$10*SQRT(Dashboard!$F$4) * _xlfn.NORM.S.INV(RAND())</f>
        <v>1.2436498223850113E-2</v>
      </c>
    </row>
    <row r="4967" spans="18:21" x14ac:dyDescent="0.2">
      <c r="R4967" s="49">
        <v>4965</v>
      </c>
      <c r="S4967" s="59">
        <f ca="1">Dashboard!B$8* Dashboard!$F$4+Dashboard!B$10*SQRT(Dashboard!$F$4) * _xlfn.NORM.S.INV(RAND())</f>
        <v>1.7526796688166729E-2</v>
      </c>
      <c r="T4967" s="59">
        <f ca="1">Dashboard!C$8* Dashboard!$F$4+Dashboard!C$10*SQRT(Dashboard!$F$4) * _xlfn.NORM.S.INV(RAND())</f>
        <v>-2.9590756642788447E-2</v>
      </c>
      <c r="U4967" s="59">
        <f ca="1">Dashboard!D$8* Dashboard!$F$4+Dashboard!D$10*SQRT(Dashboard!$F$4) * _xlfn.NORM.S.INV(RAND())</f>
        <v>-8.4191439339646838E-3</v>
      </c>
    </row>
    <row r="4968" spans="18:21" x14ac:dyDescent="0.2">
      <c r="R4968" s="49">
        <v>4966</v>
      </c>
      <c r="S4968" s="59">
        <f ca="1">Dashboard!B$8* Dashboard!$F$4+Dashboard!B$10*SQRT(Dashboard!$F$4) * _xlfn.NORM.S.INV(RAND())</f>
        <v>2.4665121059439458E-2</v>
      </c>
      <c r="T4968" s="59">
        <f ca="1">Dashboard!C$8* Dashboard!$F$4+Dashboard!C$10*SQRT(Dashboard!$F$4) * _xlfn.NORM.S.INV(RAND())</f>
        <v>5.3745315965984419E-2</v>
      </c>
      <c r="U4968" s="59">
        <f ca="1">Dashboard!D$8* Dashboard!$F$4+Dashboard!D$10*SQRT(Dashboard!$F$4) * _xlfn.NORM.S.INV(RAND())</f>
        <v>8.5461433286968501E-3</v>
      </c>
    </row>
    <row r="4969" spans="18:21" x14ac:dyDescent="0.2">
      <c r="R4969" s="49">
        <v>4967</v>
      </c>
      <c r="S4969" s="59">
        <f ca="1">Dashboard!B$8* Dashboard!$F$4+Dashboard!B$10*SQRT(Dashboard!$F$4) * _xlfn.NORM.S.INV(RAND())</f>
        <v>2.5275096162539083E-2</v>
      </c>
      <c r="T4969" s="59">
        <f ca="1">Dashboard!C$8* Dashboard!$F$4+Dashboard!C$10*SQRT(Dashboard!$F$4) * _xlfn.NORM.S.INV(RAND())</f>
        <v>5.4922240350487844E-2</v>
      </c>
      <c r="U4969" s="59">
        <f ca="1">Dashboard!D$8* Dashboard!$F$4+Dashboard!D$10*SQRT(Dashboard!$F$4) * _xlfn.NORM.S.INV(RAND())</f>
        <v>9.665509821348426E-3</v>
      </c>
    </row>
    <row r="4970" spans="18:21" x14ac:dyDescent="0.2">
      <c r="R4970" s="49">
        <v>4968</v>
      </c>
      <c r="S4970" s="59">
        <f ca="1">Dashboard!B$8* Dashboard!$F$4+Dashboard!B$10*SQRT(Dashboard!$F$4) * _xlfn.NORM.S.INV(RAND())</f>
        <v>2.3164352847202703E-2</v>
      </c>
      <c r="T4970" s="59">
        <f ca="1">Dashboard!C$8* Dashboard!$F$4+Dashboard!C$10*SQRT(Dashboard!$F$4) * _xlfn.NORM.S.INV(RAND())</f>
        <v>-1.0659205861937287E-2</v>
      </c>
      <c r="U4970" s="59">
        <f ca="1">Dashboard!D$8* Dashboard!$F$4+Dashboard!D$10*SQRT(Dashboard!$F$4) * _xlfn.NORM.S.INV(RAND())</f>
        <v>-2.9111933306081453E-3</v>
      </c>
    </row>
    <row r="4971" spans="18:21" x14ac:dyDescent="0.2">
      <c r="R4971" s="49">
        <v>4969</v>
      </c>
      <c r="S4971" s="59">
        <f ca="1">Dashboard!B$8* Dashboard!$F$4+Dashboard!B$10*SQRT(Dashboard!$F$4) * _xlfn.NORM.S.INV(RAND())</f>
        <v>-1.128021752680077E-2</v>
      </c>
      <c r="T4971" s="59">
        <f ca="1">Dashboard!C$8* Dashboard!$F$4+Dashboard!C$10*SQRT(Dashboard!$F$4) * _xlfn.NORM.S.INV(RAND())</f>
        <v>3.0684998948771136E-2</v>
      </c>
      <c r="U4971" s="59">
        <f ca="1">Dashboard!D$8* Dashboard!$F$4+Dashboard!D$10*SQRT(Dashboard!$F$4) * _xlfn.NORM.S.INV(RAND())</f>
        <v>4.0765632253508037E-2</v>
      </c>
    </row>
    <row r="4972" spans="18:21" x14ac:dyDescent="0.2">
      <c r="R4972" s="49">
        <v>4970</v>
      </c>
      <c r="S4972" s="59">
        <f ca="1">Dashboard!B$8* Dashboard!$F$4+Dashboard!B$10*SQRT(Dashboard!$F$4) * _xlfn.NORM.S.INV(RAND())</f>
        <v>-3.3070647709235401E-2</v>
      </c>
      <c r="T4972" s="59">
        <f ca="1">Dashboard!C$8* Dashboard!$F$4+Dashboard!C$10*SQRT(Dashboard!$F$4) * _xlfn.NORM.S.INV(RAND())</f>
        <v>-2.5598433321665507E-2</v>
      </c>
      <c r="U4972" s="59">
        <f ca="1">Dashboard!D$8* Dashboard!$F$4+Dashboard!D$10*SQRT(Dashboard!$F$4) * _xlfn.NORM.S.INV(RAND())</f>
        <v>-9.9490566895144485E-3</v>
      </c>
    </row>
    <row r="4973" spans="18:21" x14ac:dyDescent="0.2">
      <c r="R4973" s="49">
        <v>4971</v>
      </c>
      <c r="S4973" s="59">
        <f ca="1">Dashboard!B$8* Dashboard!$F$4+Dashboard!B$10*SQRT(Dashboard!$F$4) * _xlfn.NORM.S.INV(RAND())</f>
        <v>4.8367599153039155E-3</v>
      </c>
      <c r="T4973" s="59">
        <f ca="1">Dashboard!C$8* Dashboard!$F$4+Dashboard!C$10*SQRT(Dashboard!$F$4) * _xlfn.NORM.S.INV(RAND())</f>
        <v>3.8033879140117806E-2</v>
      </c>
      <c r="U4973" s="59">
        <f ca="1">Dashboard!D$8* Dashboard!$F$4+Dashboard!D$10*SQRT(Dashboard!$F$4) * _xlfn.NORM.S.INV(RAND())</f>
        <v>-7.7083085161628829E-3</v>
      </c>
    </row>
    <row r="4974" spans="18:21" x14ac:dyDescent="0.2">
      <c r="R4974" s="49">
        <v>4972</v>
      </c>
      <c r="S4974" s="59">
        <f ca="1">Dashboard!B$8* Dashboard!$F$4+Dashboard!B$10*SQRT(Dashboard!$F$4) * _xlfn.NORM.S.INV(RAND())</f>
        <v>8.5162302265463074E-3</v>
      </c>
      <c r="T4974" s="59">
        <f ca="1">Dashboard!C$8* Dashboard!$F$4+Dashboard!C$10*SQRT(Dashboard!$F$4) * _xlfn.NORM.S.INV(RAND())</f>
        <v>-2.761709551813259E-2</v>
      </c>
      <c r="U4974" s="59">
        <f ca="1">Dashboard!D$8* Dashboard!$F$4+Dashboard!D$10*SQRT(Dashboard!$F$4) * _xlfn.NORM.S.INV(RAND())</f>
        <v>-2.3029804556264553E-2</v>
      </c>
    </row>
    <row r="4975" spans="18:21" x14ac:dyDescent="0.2">
      <c r="R4975" s="49">
        <v>4973</v>
      </c>
      <c r="S4975" s="59">
        <f ca="1">Dashboard!B$8* Dashboard!$F$4+Dashboard!B$10*SQRT(Dashboard!$F$4) * _xlfn.NORM.S.INV(RAND())</f>
        <v>7.688940769931844E-4</v>
      </c>
      <c r="T4975" s="59">
        <f ca="1">Dashboard!C$8* Dashboard!$F$4+Dashboard!C$10*SQRT(Dashboard!$F$4) * _xlfn.NORM.S.INV(RAND())</f>
        <v>4.0451693999219981E-2</v>
      </c>
      <c r="U4975" s="59">
        <f ca="1">Dashboard!D$8* Dashboard!$F$4+Dashboard!D$10*SQRT(Dashboard!$F$4) * _xlfn.NORM.S.INV(RAND())</f>
        <v>1.3935297066841133E-2</v>
      </c>
    </row>
    <row r="4976" spans="18:21" x14ac:dyDescent="0.2">
      <c r="R4976" s="49">
        <v>4974</v>
      </c>
      <c r="S4976" s="59">
        <f ca="1">Dashboard!B$8* Dashboard!$F$4+Dashboard!B$10*SQRT(Dashboard!$F$4) * _xlfn.NORM.S.INV(RAND())</f>
        <v>4.8933298984930138E-2</v>
      </c>
      <c r="T4976" s="59">
        <f ca="1">Dashboard!C$8* Dashboard!$F$4+Dashboard!C$10*SQRT(Dashboard!$F$4) * _xlfn.NORM.S.INV(RAND())</f>
        <v>1.2617907386770241E-3</v>
      </c>
      <c r="U4976" s="59">
        <f ca="1">Dashboard!D$8* Dashboard!$F$4+Dashboard!D$10*SQRT(Dashboard!$F$4) * _xlfn.NORM.S.INV(RAND())</f>
        <v>-3.1159436640160788E-2</v>
      </c>
    </row>
    <row r="4977" spans="18:21" x14ac:dyDescent="0.2">
      <c r="R4977" s="49">
        <v>4975</v>
      </c>
      <c r="S4977" s="59">
        <f ca="1">Dashboard!B$8* Dashboard!$F$4+Dashboard!B$10*SQRT(Dashboard!$F$4) * _xlfn.NORM.S.INV(RAND())</f>
        <v>1.2908584101194982E-2</v>
      </c>
      <c r="T4977" s="59">
        <f ca="1">Dashboard!C$8* Dashboard!$F$4+Dashboard!C$10*SQRT(Dashboard!$F$4) * _xlfn.NORM.S.INV(RAND())</f>
        <v>-3.1648208069076859E-2</v>
      </c>
      <c r="U4977" s="59">
        <f ca="1">Dashboard!D$8* Dashboard!$F$4+Dashboard!D$10*SQRT(Dashboard!$F$4) * _xlfn.NORM.S.INV(RAND())</f>
        <v>-9.4925165017446574E-3</v>
      </c>
    </row>
    <row r="4978" spans="18:21" x14ac:dyDescent="0.2">
      <c r="R4978" s="49">
        <v>4976</v>
      </c>
      <c r="S4978" s="59">
        <f ca="1">Dashboard!B$8* Dashboard!$F$4+Dashboard!B$10*SQRT(Dashboard!$F$4) * _xlfn.NORM.S.INV(RAND())</f>
        <v>-9.7966002636441889E-3</v>
      </c>
      <c r="T4978" s="59">
        <f ca="1">Dashboard!C$8* Dashboard!$F$4+Dashboard!C$10*SQRT(Dashboard!$F$4) * _xlfn.NORM.S.INV(RAND())</f>
        <v>-3.6363570786925287E-2</v>
      </c>
      <c r="U4978" s="59">
        <f ca="1">Dashboard!D$8* Dashboard!$F$4+Dashboard!D$10*SQRT(Dashboard!$F$4) * _xlfn.NORM.S.INV(RAND())</f>
        <v>2.5961403070143101E-2</v>
      </c>
    </row>
    <row r="4979" spans="18:21" x14ac:dyDescent="0.2">
      <c r="R4979" s="49">
        <v>4977</v>
      </c>
      <c r="S4979" s="59">
        <f ca="1">Dashboard!B$8* Dashboard!$F$4+Dashboard!B$10*SQRT(Dashboard!$F$4) * _xlfn.NORM.S.INV(RAND())</f>
        <v>-4.4683533379651849E-2</v>
      </c>
      <c r="T4979" s="59">
        <f ca="1">Dashboard!C$8* Dashboard!$F$4+Dashboard!C$10*SQRT(Dashboard!$F$4) * _xlfn.NORM.S.INV(RAND())</f>
        <v>7.1327441266488004E-2</v>
      </c>
      <c r="U4979" s="59">
        <f ca="1">Dashboard!D$8* Dashboard!$F$4+Dashboard!D$10*SQRT(Dashboard!$F$4) * _xlfn.NORM.S.INV(RAND())</f>
        <v>-8.4384053033508682E-3</v>
      </c>
    </row>
    <row r="4980" spans="18:21" x14ac:dyDescent="0.2">
      <c r="R4980" s="49">
        <v>4978</v>
      </c>
      <c r="S4980" s="59">
        <f ca="1">Dashboard!B$8* Dashboard!$F$4+Dashboard!B$10*SQRT(Dashboard!$F$4) * _xlfn.NORM.S.INV(RAND())</f>
        <v>6.5618049902050876E-2</v>
      </c>
      <c r="T4980" s="59">
        <f ca="1">Dashboard!C$8* Dashboard!$F$4+Dashboard!C$10*SQRT(Dashboard!$F$4) * _xlfn.NORM.S.INV(RAND())</f>
        <v>-7.2331687296705418E-3</v>
      </c>
      <c r="U4980" s="59">
        <f ca="1">Dashboard!D$8* Dashboard!$F$4+Dashboard!D$10*SQRT(Dashboard!$F$4) * _xlfn.NORM.S.INV(RAND())</f>
        <v>-3.5818450333218239E-2</v>
      </c>
    </row>
    <row r="4981" spans="18:21" x14ac:dyDescent="0.2">
      <c r="R4981" s="49">
        <v>4979</v>
      </c>
      <c r="S4981" s="59">
        <f ca="1">Dashboard!B$8* Dashboard!$F$4+Dashboard!B$10*SQRT(Dashboard!$F$4) * _xlfn.NORM.S.INV(RAND())</f>
        <v>6.1383550048945013E-3</v>
      </c>
      <c r="T4981" s="59">
        <f ca="1">Dashboard!C$8* Dashboard!$F$4+Dashboard!C$10*SQRT(Dashboard!$F$4) * _xlfn.NORM.S.INV(RAND())</f>
        <v>-2.9057615063936486E-2</v>
      </c>
      <c r="U4981" s="59">
        <f ca="1">Dashboard!D$8* Dashboard!$F$4+Dashboard!D$10*SQRT(Dashboard!$F$4) * _xlfn.NORM.S.INV(RAND())</f>
        <v>-1.3632600391847868E-2</v>
      </c>
    </row>
    <row r="4982" spans="18:21" x14ac:dyDescent="0.2">
      <c r="R4982" s="49">
        <v>4980</v>
      </c>
      <c r="S4982" s="59">
        <f ca="1">Dashboard!B$8* Dashboard!$F$4+Dashboard!B$10*SQRT(Dashboard!$F$4) * _xlfn.NORM.S.INV(RAND())</f>
        <v>5.6497373786152209E-3</v>
      </c>
      <c r="T4982" s="59">
        <f ca="1">Dashboard!C$8* Dashboard!$F$4+Dashboard!C$10*SQRT(Dashboard!$F$4) * _xlfn.NORM.S.INV(RAND())</f>
        <v>4.4864121107164824E-3</v>
      </c>
      <c r="U4982" s="59">
        <f ca="1">Dashboard!D$8* Dashboard!$F$4+Dashboard!D$10*SQRT(Dashboard!$F$4) * _xlfn.NORM.S.INV(RAND())</f>
        <v>-1.0811326956675145E-2</v>
      </c>
    </row>
    <row r="4983" spans="18:21" x14ac:dyDescent="0.2">
      <c r="R4983" s="49">
        <v>4981</v>
      </c>
      <c r="S4983" s="59">
        <f ca="1">Dashboard!B$8* Dashboard!$F$4+Dashboard!B$10*SQRT(Dashboard!$F$4) * _xlfn.NORM.S.INV(RAND())</f>
        <v>4.7592454371480818E-2</v>
      </c>
      <c r="T4983" s="59">
        <f ca="1">Dashboard!C$8* Dashboard!$F$4+Dashboard!C$10*SQRT(Dashboard!$F$4) * _xlfn.NORM.S.INV(RAND())</f>
        <v>9.7969246470411275E-2</v>
      </c>
      <c r="U4983" s="59">
        <f ca="1">Dashboard!D$8* Dashboard!$F$4+Dashboard!D$10*SQRT(Dashboard!$F$4) * _xlfn.NORM.S.INV(RAND())</f>
        <v>-2.2509544577102032E-2</v>
      </c>
    </row>
    <row r="4984" spans="18:21" x14ac:dyDescent="0.2">
      <c r="R4984" s="49">
        <v>4982</v>
      </c>
      <c r="S4984" s="59">
        <f ca="1">Dashboard!B$8* Dashboard!$F$4+Dashboard!B$10*SQRT(Dashboard!$F$4) * _xlfn.NORM.S.INV(RAND())</f>
        <v>-5.0230094488194058E-2</v>
      </c>
      <c r="T4984" s="59">
        <f ca="1">Dashboard!C$8* Dashboard!$F$4+Dashboard!C$10*SQRT(Dashboard!$F$4) * _xlfn.NORM.S.INV(RAND())</f>
        <v>5.2848497210801482E-2</v>
      </c>
      <c r="U4984" s="59">
        <f ca="1">Dashboard!D$8* Dashboard!$F$4+Dashboard!D$10*SQRT(Dashboard!$F$4) * _xlfn.NORM.S.INV(RAND())</f>
        <v>-1.7894400619393458E-2</v>
      </c>
    </row>
    <row r="4985" spans="18:21" x14ac:dyDescent="0.2">
      <c r="R4985" s="49">
        <v>4983</v>
      </c>
      <c r="S4985" s="59">
        <f ca="1">Dashboard!B$8* Dashboard!$F$4+Dashboard!B$10*SQRT(Dashboard!$F$4) * _xlfn.NORM.S.INV(RAND())</f>
        <v>-1.5325791946743491E-2</v>
      </c>
      <c r="T4985" s="59">
        <f ca="1">Dashboard!C$8* Dashboard!$F$4+Dashboard!C$10*SQRT(Dashboard!$F$4) * _xlfn.NORM.S.INV(RAND())</f>
        <v>-2.8171900905555134E-2</v>
      </c>
      <c r="U4985" s="59">
        <f ca="1">Dashboard!D$8* Dashboard!$F$4+Dashboard!D$10*SQRT(Dashboard!$F$4) * _xlfn.NORM.S.INV(RAND())</f>
        <v>-1.1508496336029475E-2</v>
      </c>
    </row>
    <row r="4986" spans="18:21" x14ac:dyDescent="0.2">
      <c r="R4986" s="49">
        <v>4984</v>
      </c>
      <c r="S4986" s="59">
        <f ca="1">Dashboard!B$8* Dashboard!$F$4+Dashboard!B$10*SQRT(Dashboard!$F$4) * _xlfn.NORM.S.INV(RAND())</f>
        <v>6.130883062986886E-2</v>
      </c>
      <c r="T4986" s="59">
        <f ca="1">Dashboard!C$8* Dashboard!$F$4+Dashboard!C$10*SQRT(Dashboard!$F$4) * _xlfn.NORM.S.INV(RAND())</f>
        <v>-4.1953607710405579E-2</v>
      </c>
      <c r="U4986" s="59">
        <f ca="1">Dashboard!D$8* Dashboard!$F$4+Dashboard!D$10*SQRT(Dashboard!$F$4) * _xlfn.NORM.S.INV(RAND())</f>
        <v>9.2052573889532127E-2</v>
      </c>
    </row>
    <row r="4987" spans="18:21" x14ac:dyDescent="0.2">
      <c r="R4987" s="49">
        <v>4985</v>
      </c>
      <c r="S4987" s="59">
        <f ca="1">Dashboard!B$8* Dashboard!$F$4+Dashboard!B$10*SQRT(Dashboard!$F$4) * _xlfn.NORM.S.INV(RAND())</f>
        <v>-1.780841652956261E-2</v>
      </c>
      <c r="T4987" s="59">
        <f ca="1">Dashboard!C$8* Dashboard!$F$4+Dashboard!C$10*SQRT(Dashboard!$F$4) * _xlfn.NORM.S.INV(RAND())</f>
        <v>6.1462826743948124E-2</v>
      </c>
      <c r="U4987" s="59">
        <f ca="1">Dashboard!D$8* Dashboard!$F$4+Dashboard!D$10*SQRT(Dashboard!$F$4) * _xlfn.NORM.S.INV(RAND())</f>
        <v>-1.3115666471986585E-2</v>
      </c>
    </row>
    <row r="4988" spans="18:21" x14ac:dyDescent="0.2">
      <c r="R4988" s="49">
        <v>4986</v>
      </c>
      <c r="S4988" s="59">
        <f ca="1">Dashboard!B$8* Dashboard!$F$4+Dashboard!B$10*SQRT(Dashboard!$F$4) * _xlfn.NORM.S.INV(RAND())</f>
        <v>4.303106009162657E-2</v>
      </c>
      <c r="T4988" s="59">
        <f ca="1">Dashboard!C$8* Dashboard!$F$4+Dashboard!C$10*SQRT(Dashboard!$F$4) * _xlfn.NORM.S.INV(RAND())</f>
        <v>-3.863477442919384E-4</v>
      </c>
      <c r="U4988" s="59">
        <f ca="1">Dashboard!D$8* Dashboard!$F$4+Dashboard!D$10*SQRT(Dashboard!$F$4) * _xlfn.NORM.S.INV(RAND())</f>
        <v>-1.4237111054097328E-3</v>
      </c>
    </row>
    <row r="4989" spans="18:21" x14ac:dyDescent="0.2">
      <c r="R4989" s="49">
        <v>4987</v>
      </c>
      <c r="S4989" s="59">
        <f ca="1">Dashboard!B$8* Dashboard!$F$4+Dashboard!B$10*SQRT(Dashboard!$F$4) * _xlfn.NORM.S.INV(RAND())</f>
        <v>4.0318355251590013E-2</v>
      </c>
      <c r="T4989" s="59">
        <f ca="1">Dashboard!C$8* Dashboard!$F$4+Dashboard!C$10*SQRT(Dashboard!$F$4) * _xlfn.NORM.S.INV(RAND())</f>
        <v>2.7760099434275751E-2</v>
      </c>
      <c r="U4989" s="59">
        <f ca="1">Dashboard!D$8* Dashboard!$F$4+Dashboard!D$10*SQRT(Dashboard!$F$4) * _xlfn.NORM.S.INV(RAND())</f>
        <v>-6.5361956651876409E-3</v>
      </c>
    </row>
    <row r="4990" spans="18:21" x14ac:dyDescent="0.2">
      <c r="R4990" s="49">
        <v>4988</v>
      </c>
      <c r="S4990" s="59">
        <f ca="1">Dashboard!B$8* Dashboard!$F$4+Dashboard!B$10*SQRT(Dashboard!$F$4) * _xlfn.NORM.S.INV(RAND())</f>
        <v>-3.2959695253732969E-2</v>
      </c>
      <c r="T4990" s="59">
        <f ca="1">Dashboard!C$8* Dashboard!$F$4+Dashboard!C$10*SQRT(Dashboard!$F$4) * _xlfn.NORM.S.INV(RAND())</f>
        <v>2.8467625964968025E-2</v>
      </c>
      <c r="U4990" s="59">
        <f ca="1">Dashboard!D$8* Dashboard!$F$4+Dashboard!D$10*SQRT(Dashboard!$F$4) * _xlfn.NORM.S.INV(RAND())</f>
        <v>4.8259488290550892E-2</v>
      </c>
    </row>
    <row r="4991" spans="18:21" x14ac:dyDescent="0.2">
      <c r="R4991" s="49">
        <v>4989</v>
      </c>
      <c r="S4991" s="59">
        <f ca="1">Dashboard!B$8* Dashboard!$F$4+Dashboard!B$10*SQRT(Dashboard!$F$4) * _xlfn.NORM.S.INV(RAND())</f>
        <v>-1.1175105129670749E-2</v>
      </c>
      <c r="T4991" s="59">
        <f ca="1">Dashboard!C$8* Dashboard!$F$4+Dashboard!C$10*SQRT(Dashboard!$F$4) * _xlfn.NORM.S.INV(RAND())</f>
        <v>-2.0935344363295725E-2</v>
      </c>
      <c r="U4991" s="59">
        <f ca="1">Dashboard!D$8* Dashboard!$F$4+Dashboard!D$10*SQRT(Dashboard!$F$4) * _xlfn.NORM.S.INV(RAND())</f>
        <v>-1.256544255615611E-2</v>
      </c>
    </row>
    <row r="4992" spans="18:21" x14ac:dyDescent="0.2">
      <c r="R4992" s="49">
        <v>4990</v>
      </c>
      <c r="S4992" s="59">
        <f ca="1">Dashboard!B$8* Dashboard!$F$4+Dashboard!B$10*SQRT(Dashboard!$F$4) * _xlfn.NORM.S.INV(RAND())</f>
        <v>3.7846633485448759E-3</v>
      </c>
      <c r="T4992" s="59">
        <f ca="1">Dashboard!C$8* Dashboard!$F$4+Dashboard!C$10*SQRT(Dashboard!$F$4) * _xlfn.NORM.S.INV(RAND())</f>
        <v>4.6320534269192477E-2</v>
      </c>
      <c r="U4992" s="59">
        <f ca="1">Dashboard!D$8* Dashboard!$F$4+Dashboard!D$10*SQRT(Dashboard!$F$4) * _xlfn.NORM.S.INV(RAND())</f>
        <v>-7.623022127875996E-2</v>
      </c>
    </row>
    <row r="4993" spans="18:21" x14ac:dyDescent="0.2">
      <c r="R4993" s="49">
        <v>4991</v>
      </c>
      <c r="S4993" s="59">
        <f ca="1">Dashboard!B$8* Dashboard!$F$4+Dashboard!B$10*SQRT(Dashboard!$F$4) * _xlfn.NORM.S.INV(RAND())</f>
        <v>-6.7658366358051931E-3</v>
      </c>
      <c r="T4993" s="59">
        <f ca="1">Dashboard!C$8* Dashboard!$F$4+Dashboard!C$10*SQRT(Dashboard!$F$4) * _xlfn.NORM.S.INV(RAND())</f>
        <v>-1.6844569669725303E-2</v>
      </c>
      <c r="U4993" s="59">
        <f ca="1">Dashboard!D$8* Dashboard!$F$4+Dashboard!D$10*SQRT(Dashboard!$F$4) * _xlfn.NORM.S.INV(RAND())</f>
        <v>6.6091954852712145E-2</v>
      </c>
    </row>
    <row r="4994" spans="18:21" x14ac:dyDescent="0.2">
      <c r="R4994" s="49">
        <v>4992</v>
      </c>
      <c r="S4994" s="59">
        <f ca="1">Dashboard!B$8* Dashboard!$F$4+Dashboard!B$10*SQRT(Dashboard!$F$4) * _xlfn.NORM.S.INV(RAND())</f>
        <v>-2.8042402332361591E-2</v>
      </c>
      <c r="T4994" s="59">
        <f ca="1">Dashboard!C$8* Dashboard!$F$4+Dashboard!C$10*SQRT(Dashboard!$F$4) * _xlfn.NORM.S.INV(RAND())</f>
        <v>-4.9970677831738607E-2</v>
      </c>
      <c r="U4994" s="59">
        <f ca="1">Dashboard!D$8* Dashboard!$F$4+Dashboard!D$10*SQRT(Dashboard!$F$4) * _xlfn.NORM.S.INV(RAND())</f>
        <v>-4.952694879151176E-5</v>
      </c>
    </row>
    <row r="4995" spans="18:21" x14ac:dyDescent="0.2">
      <c r="R4995" s="49">
        <v>4993</v>
      </c>
      <c r="S4995" s="59">
        <f ca="1">Dashboard!B$8* Dashboard!$F$4+Dashboard!B$10*SQRT(Dashboard!$F$4) * _xlfn.NORM.S.INV(RAND())</f>
        <v>-1.7653028360471723E-2</v>
      </c>
      <c r="T4995" s="59">
        <f ca="1">Dashboard!C$8* Dashboard!$F$4+Dashboard!C$10*SQRT(Dashboard!$F$4) * _xlfn.NORM.S.INV(RAND())</f>
        <v>2.4785363615940321E-2</v>
      </c>
      <c r="U4995" s="59">
        <f ca="1">Dashboard!D$8* Dashboard!$F$4+Dashboard!D$10*SQRT(Dashboard!$F$4) * _xlfn.NORM.S.INV(RAND())</f>
        <v>1.7547115269081936E-2</v>
      </c>
    </row>
    <row r="4996" spans="18:21" x14ac:dyDescent="0.2">
      <c r="R4996" s="49">
        <v>4994</v>
      </c>
      <c r="S4996" s="59">
        <f ca="1">Dashboard!B$8* Dashboard!$F$4+Dashboard!B$10*SQRT(Dashboard!$F$4) * _xlfn.NORM.S.INV(RAND())</f>
        <v>4.6834281419621676E-2</v>
      </c>
      <c r="T4996" s="59">
        <f ca="1">Dashboard!C$8* Dashboard!$F$4+Dashboard!C$10*SQRT(Dashboard!$F$4) * _xlfn.NORM.S.INV(RAND())</f>
        <v>2.0637134829284288E-2</v>
      </c>
      <c r="U4996" s="59">
        <f ca="1">Dashboard!D$8* Dashboard!$F$4+Dashboard!D$10*SQRT(Dashboard!$F$4) * _xlfn.NORM.S.INV(RAND())</f>
        <v>-2.3452204070327942E-2</v>
      </c>
    </row>
    <row r="4997" spans="18:21" x14ac:dyDescent="0.2">
      <c r="R4997" s="49">
        <v>4995</v>
      </c>
      <c r="S4997" s="59">
        <f ca="1">Dashboard!B$8* Dashboard!$F$4+Dashboard!B$10*SQRT(Dashboard!$F$4) * _xlfn.NORM.S.INV(RAND())</f>
        <v>-1.580307486733875E-2</v>
      </c>
      <c r="T4997" s="59">
        <f ca="1">Dashboard!C$8* Dashboard!$F$4+Dashboard!C$10*SQRT(Dashboard!$F$4) * _xlfn.NORM.S.INV(RAND())</f>
        <v>5.5973807777038066E-2</v>
      </c>
      <c r="U4997" s="59">
        <f ca="1">Dashboard!D$8* Dashboard!$F$4+Dashboard!D$10*SQRT(Dashboard!$F$4) * _xlfn.NORM.S.INV(RAND())</f>
        <v>4.1945610236014966E-2</v>
      </c>
    </row>
    <row r="4998" spans="18:21" x14ac:dyDescent="0.2">
      <c r="R4998" s="49">
        <v>4996</v>
      </c>
      <c r="S4998" s="59">
        <f ca="1">Dashboard!B$8* Dashboard!$F$4+Dashboard!B$10*SQRT(Dashboard!$F$4) * _xlfn.NORM.S.INV(RAND())</f>
        <v>1.1180567718587454E-2</v>
      </c>
      <c r="T4998" s="59">
        <f ca="1">Dashboard!C$8* Dashboard!$F$4+Dashboard!C$10*SQRT(Dashboard!$F$4) * _xlfn.NORM.S.INV(RAND())</f>
        <v>2.7489753831061982E-2</v>
      </c>
      <c r="U4998" s="59">
        <f ca="1">Dashboard!D$8* Dashboard!$F$4+Dashboard!D$10*SQRT(Dashboard!$F$4) * _xlfn.NORM.S.INV(RAND())</f>
        <v>-2.3236679050368789E-2</v>
      </c>
    </row>
    <row r="4999" spans="18:21" x14ac:dyDescent="0.2">
      <c r="R4999" s="49">
        <v>4997</v>
      </c>
      <c r="S4999" s="59">
        <f ca="1">Dashboard!B$8* Dashboard!$F$4+Dashboard!B$10*SQRT(Dashboard!$F$4) * _xlfn.NORM.S.INV(RAND())</f>
        <v>2.2263410041980104E-2</v>
      </c>
      <c r="T4999" s="59">
        <f ca="1">Dashboard!C$8* Dashboard!$F$4+Dashboard!C$10*SQRT(Dashboard!$F$4) * _xlfn.NORM.S.INV(RAND())</f>
        <v>-3.1449750678524797E-2</v>
      </c>
      <c r="U4999" s="59">
        <f ca="1">Dashboard!D$8* Dashboard!$F$4+Dashboard!D$10*SQRT(Dashboard!$F$4) * _xlfn.NORM.S.INV(RAND())</f>
        <v>1.1536676645669821E-2</v>
      </c>
    </row>
    <row r="5000" spans="18:21" x14ac:dyDescent="0.2">
      <c r="R5000" s="49">
        <v>4998</v>
      </c>
      <c r="S5000" s="59">
        <f ca="1">Dashboard!B$8* Dashboard!$F$4+Dashboard!B$10*SQRT(Dashboard!$F$4) * _xlfn.NORM.S.INV(RAND())</f>
        <v>-3.119525750432009E-2</v>
      </c>
      <c r="T5000" s="59">
        <f ca="1">Dashboard!C$8* Dashboard!$F$4+Dashboard!C$10*SQRT(Dashboard!$F$4) * _xlfn.NORM.S.INV(RAND())</f>
        <v>-2.4891127186616943E-2</v>
      </c>
      <c r="U5000" s="59">
        <f ca="1">Dashboard!D$8* Dashboard!$F$4+Dashboard!D$10*SQRT(Dashboard!$F$4) * _xlfn.NORM.S.INV(RAND())</f>
        <v>-8.1430468025944884E-3</v>
      </c>
    </row>
    <row r="5001" spans="18:21" x14ac:dyDescent="0.2">
      <c r="R5001" s="49">
        <v>4999</v>
      </c>
      <c r="S5001" s="59">
        <f ca="1">Dashboard!B$8* Dashboard!$F$4+Dashboard!B$10*SQRT(Dashboard!$F$4) * _xlfn.NORM.S.INV(RAND())</f>
        <v>-1.7826255093781641E-2</v>
      </c>
      <c r="T5001" s="59">
        <f ca="1">Dashboard!C$8* Dashboard!$F$4+Dashboard!C$10*SQRT(Dashboard!$F$4) * _xlfn.NORM.S.INV(RAND())</f>
        <v>6.8877480239936638E-3</v>
      </c>
      <c r="U5001" s="59">
        <f ca="1">Dashboard!D$8* Dashboard!$F$4+Dashboard!D$10*SQRT(Dashboard!$F$4) * _xlfn.NORM.S.INV(RAND())</f>
        <v>3.1363910124730346E-2</v>
      </c>
    </row>
    <row r="5002" spans="18:21" x14ac:dyDescent="0.2">
      <c r="R5002" s="49">
        <v>5000</v>
      </c>
      <c r="S5002" s="59">
        <f ca="1">Dashboard!B$8* Dashboard!$F$4+Dashboard!B$10*SQRT(Dashboard!$F$4) * _xlfn.NORM.S.INV(RAND())</f>
        <v>2.5865951393906357E-2</v>
      </c>
      <c r="T5002" s="59">
        <f ca="1">Dashboard!C$8* Dashboard!$F$4+Dashboard!C$10*SQRT(Dashboard!$F$4) * _xlfn.NORM.S.INV(RAND())</f>
        <v>-1.4874828544082985E-3</v>
      </c>
      <c r="U5002" s="59">
        <f ca="1">Dashboard!D$8* Dashboard!$F$4+Dashboard!D$10*SQRT(Dashboard!$F$4) * _xlfn.NORM.S.INV(RAND())</f>
        <v>4.7648673011747154E-2</v>
      </c>
    </row>
    <row r="5003" spans="18:21" x14ac:dyDescent="0.2">
      <c r="R5003" s="49">
        <v>5001</v>
      </c>
      <c r="S5003" s="59">
        <f ca="1">Dashboard!B$8* Dashboard!$F$4+Dashboard!B$10*SQRT(Dashboard!$F$4) * _xlfn.NORM.S.INV(RAND())</f>
        <v>2.3337949929574164E-2</v>
      </c>
      <c r="T5003" s="59">
        <f ca="1">Dashboard!C$8* Dashboard!$F$4+Dashboard!C$10*SQRT(Dashboard!$F$4) * _xlfn.NORM.S.INV(RAND())</f>
        <v>1.5082698223174588E-2</v>
      </c>
      <c r="U5003" s="59">
        <f ca="1">Dashboard!D$8* Dashboard!$F$4+Dashboard!D$10*SQRT(Dashboard!$F$4) * _xlfn.NORM.S.INV(RAND())</f>
        <v>9.7758847996078611E-4</v>
      </c>
    </row>
    <row r="5004" spans="18:21" x14ac:dyDescent="0.2">
      <c r="R5004" s="49">
        <v>5002</v>
      </c>
      <c r="S5004" s="59">
        <f ca="1">Dashboard!B$8* Dashboard!$F$4+Dashboard!B$10*SQRT(Dashboard!$F$4) * _xlfn.NORM.S.INV(RAND())</f>
        <v>-1.9155408757760149E-3</v>
      </c>
      <c r="T5004" s="59">
        <f ca="1">Dashboard!C$8* Dashboard!$F$4+Dashboard!C$10*SQRT(Dashboard!$F$4) * _xlfn.NORM.S.INV(RAND())</f>
        <v>1.9805522837288179E-2</v>
      </c>
      <c r="U5004" s="59">
        <f ca="1">Dashboard!D$8* Dashboard!$F$4+Dashboard!D$10*SQRT(Dashboard!$F$4) * _xlfn.NORM.S.INV(RAND())</f>
        <v>4.7711495643362356E-2</v>
      </c>
    </row>
    <row r="5005" spans="18:21" x14ac:dyDescent="0.2">
      <c r="R5005" s="49">
        <v>5003</v>
      </c>
      <c r="S5005" s="59">
        <f ca="1">Dashboard!B$8* Dashboard!$F$4+Dashboard!B$10*SQRT(Dashboard!$F$4) * _xlfn.NORM.S.INV(RAND())</f>
        <v>1.4286369419069555E-2</v>
      </c>
      <c r="T5005" s="59">
        <f ca="1">Dashboard!C$8* Dashboard!$F$4+Dashboard!C$10*SQRT(Dashboard!$F$4) * _xlfn.NORM.S.INV(RAND())</f>
        <v>-2.43715922709366E-2</v>
      </c>
      <c r="U5005" s="59">
        <f ca="1">Dashboard!D$8* Dashboard!$F$4+Dashboard!D$10*SQRT(Dashboard!$F$4) * _xlfn.NORM.S.INV(RAND())</f>
        <v>-3.1970799769571664E-2</v>
      </c>
    </row>
    <row r="5006" spans="18:21" x14ac:dyDescent="0.2">
      <c r="R5006" s="49">
        <v>5004</v>
      </c>
      <c r="S5006" s="59">
        <f ca="1">Dashboard!B$8* Dashboard!$F$4+Dashboard!B$10*SQRT(Dashboard!$F$4) * _xlfn.NORM.S.INV(RAND())</f>
        <v>4.5184293889700314E-2</v>
      </c>
      <c r="T5006" s="59">
        <f ca="1">Dashboard!C$8* Dashboard!$F$4+Dashboard!C$10*SQRT(Dashboard!$F$4) * _xlfn.NORM.S.INV(RAND())</f>
        <v>-1.0194232259567344E-2</v>
      </c>
      <c r="U5006" s="59">
        <f ca="1">Dashboard!D$8* Dashboard!$F$4+Dashboard!D$10*SQRT(Dashboard!$F$4) * _xlfn.NORM.S.INV(RAND())</f>
        <v>-6.7808070856706967E-2</v>
      </c>
    </row>
    <row r="5007" spans="18:21" x14ac:dyDescent="0.2">
      <c r="R5007" s="49">
        <v>5005</v>
      </c>
      <c r="S5007" s="59">
        <f ca="1">Dashboard!B$8* Dashboard!$F$4+Dashboard!B$10*SQRT(Dashboard!$F$4) * _xlfn.NORM.S.INV(RAND())</f>
        <v>-3.6862836718524514E-2</v>
      </c>
      <c r="T5007" s="59">
        <f ca="1">Dashboard!C$8* Dashboard!$F$4+Dashboard!C$10*SQRT(Dashboard!$F$4) * _xlfn.NORM.S.INV(RAND())</f>
        <v>-6.4668834444794945E-2</v>
      </c>
      <c r="U5007" s="59">
        <f ca="1">Dashboard!D$8* Dashboard!$F$4+Dashboard!D$10*SQRT(Dashboard!$F$4) * _xlfn.NORM.S.INV(RAND())</f>
        <v>3.1879859956808053E-2</v>
      </c>
    </row>
    <row r="5008" spans="18:21" x14ac:dyDescent="0.2">
      <c r="R5008" s="49">
        <v>5006</v>
      </c>
      <c r="S5008" s="59">
        <f ca="1">Dashboard!B$8* Dashboard!$F$4+Dashboard!B$10*SQRT(Dashboard!$F$4) * _xlfn.NORM.S.INV(RAND())</f>
        <v>4.3681734902145476E-2</v>
      </c>
      <c r="T5008" s="59">
        <f ca="1">Dashboard!C$8* Dashboard!$F$4+Dashboard!C$10*SQRT(Dashboard!$F$4) * _xlfn.NORM.S.INV(RAND())</f>
        <v>1.2489693561166481E-2</v>
      </c>
      <c r="U5008" s="59">
        <f ca="1">Dashboard!D$8* Dashboard!$F$4+Dashboard!D$10*SQRT(Dashboard!$F$4) * _xlfn.NORM.S.INV(RAND())</f>
        <v>-3.179060895200022E-2</v>
      </c>
    </row>
    <row r="5009" spans="18:21" x14ac:dyDescent="0.2">
      <c r="R5009" s="49">
        <v>5007</v>
      </c>
      <c r="S5009" s="59">
        <f ca="1">Dashboard!B$8* Dashboard!$F$4+Dashboard!B$10*SQRT(Dashboard!$F$4) * _xlfn.NORM.S.INV(RAND())</f>
        <v>-2.9323472696633081E-2</v>
      </c>
      <c r="T5009" s="59">
        <f ca="1">Dashboard!C$8* Dashboard!$F$4+Dashboard!C$10*SQRT(Dashboard!$F$4) * _xlfn.NORM.S.INV(RAND())</f>
        <v>-2.5420403481755997E-2</v>
      </c>
      <c r="U5009" s="59">
        <f ca="1">Dashboard!D$8* Dashboard!$F$4+Dashboard!D$10*SQRT(Dashboard!$F$4) * _xlfn.NORM.S.INV(RAND())</f>
        <v>-1.2966781555446011E-2</v>
      </c>
    </row>
    <row r="5010" spans="18:21" x14ac:dyDescent="0.2">
      <c r="R5010" s="49">
        <v>5008</v>
      </c>
      <c r="S5010" s="59">
        <f ca="1">Dashboard!B$8* Dashboard!$F$4+Dashboard!B$10*SQRT(Dashboard!$F$4) * _xlfn.NORM.S.INV(RAND())</f>
        <v>-2.0275015766826117E-2</v>
      </c>
      <c r="T5010" s="59">
        <f ca="1">Dashboard!C$8* Dashboard!$F$4+Dashboard!C$10*SQRT(Dashboard!$F$4) * _xlfn.NORM.S.INV(RAND())</f>
        <v>6.2332398542906883E-2</v>
      </c>
      <c r="U5010" s="59">
        <f ca="1">Dashboard!D$8* Dashboard!$F$4+Dashboard!D$10*SQRT(Dashboard!$F$4) * _xlfn.NORM.S.INV(RAND())</f>
        <v>-5.7641796073829663E-3</v>
      </c>
    </row>
    <row r="5011" spans="18:21" x14ac:dyDescent="0.2">
      <c r="R5011" s="49">
        <v>5009</v>
      </c>
      <c r="S5011" s="59">
        <f ca="1">Dashboard!B$8* Dashboard!$F$4+Dashboard!B$10*SQRT(Dashboard!$F$4) * _xlfn.NORM.S.INV(RAND())</f>
        <v>-3.2282519715915059E-2</v>
      </c>
      <c r="T5011" s="59">
        <f ca="1">Dashboard!C$8* Dashboard!$F$4+Dashboard!C$10*SQRT(Dashboard!$F$4) * _xlfn.NORM.S.INV(RAND())</f>
        <v>2.1815338334203491E-2</v>
      </c>
      <c r="U5011" s="59">
        <f ca="1">Dashboard!D$8* Dashboard!$F$4+Dashboard!D$10*SQRT(Dashboard!$F$4) * _xlfn.NORM.S.INV(RAND())</f>
        <v>5.245918439196242E-2</v>
      </c>
    </row>
    <row r="5012" spans="18:21" x14ac:dyDescent="0.2">
      <c r="R5012" s="49">
        <v>5010</v>
      </c>
      <c r="S5012" s="59">
        <f ca="1">Dashboard!B$8* Dashboard!$F$4+Dashboard!B$10*SQRT(Dashboard!$F$4) * _xlfn.NORM.S.INV(RAND())</f>
        <v>4.6312108203393085E-2</v>
      </c>
      <c r="T5012" s="59">
        <f ca="1">Dashboard!C$8* Dashboard!$F$4+Dashboard!C$10*SQRT(Dashboard!$F$4) * _xlfn.NORM.S.INV(RAND())</f>
        <v>3.5732136327592826E-2</v>
      </c>
      <c r="U5012" s="59">
        <f ca="1">Dashboard!D$8* Dashboard!$F$4+Dashboard!D$10*SQRT(Dashboard!$F$4) * _xlfn.NORM.S.INV(RAND())</f>
        <v>3.1052020227187112E-2</v>
      </c>
    </row>
    <row r="5013" spans="18:21" x14ac:dyDescent="0.2">
      <c r="R5013" s="49">
        <v>5011</v>
      </c>
      <c r="S5013" s="59">
        <f ca="1">Dashboard!B$8* Dashboard!$F$4+Dashboard!B$10*SQRT(Dashboard!$F$4) * _xlfn.NORM.S.INV(RAND())</f>
        <v>-1.5384143041715108E-2</v>
      </c>
      <c r="T5013" s="59">
        <f ca="1">Dashboard!C$8* Dashboard!$F$4+Dashboard!C$10*SQRT(Dashboard!$F$4) * _xlfn.NORM.S.INV(RAND())</f>
        <v>-3.3329305128755961E-2</v>
      </c>
      <c r="U5013" s="59">
        <f ca="1">Dashboard!D$8* Dashboard!$F$4+Dashboard!D$10*SQRT(Dashboard!$F$4) * _xlfn.NORM.S.INV(RAND())</f>
        <v>-1.1550712121688532E-3</v>
      </c>
    </row>
    <row r="5014" spans="18:21" x14ac:dyDescent="0.2">
      <c r="R5014" s="49">
        <v>5012</v>
      </c>
      <c r="S5014" s="59">
        <f ca="1">Dashboard!B$8* Dashboard!$F$4+Dashboard!B$10*SQRT(Dashboard!$F$4) * _xlfn.NORM.S.INV(RAND())</f>
        <v>-1.1350682613186842E-2</v>
      </c>
      <c r="T5014" s="59">
        <f ca="1">Dashboard!C$8* Dashboard!$F$4+Dashboard!C$10*SQRT(Dashboard!$F$4) * _xlfn.NORM.S.INV(RAND())</f>
        <v>1.3658676634479963E-2</v>
      </c>
      <c r="U5014" s="59">
        <f ca="1">Dashboard!D$8* Dashboard!$F$4+Dashboard!D$10*SQRT(Dashboard!$F$4) * _xlfn.NORM.S.INV(RAND())</f>
        <v>2.2471162075611752E-2</v>
      </c>
    </row>
    <row r="5015" spans="18:21" x14ac:dyDescent="0.2">
      <c r="R5015" s="49">
        <v>5013</v>
      </c>
      <c r="S5015" s="59">
        <f ca="1">Dashboard!B$8* Dashboard!$F$4+Dashboard!B$10*SQRT(Dashboard!$F$4) * _xlfn.NORM.S.INV(RAND())</f>
        <v>5.3070981596834106E-2</v>
      </c>
      <c r="T5015" s="59">
        <f ca="1">Dashboard!C$8* Dashboard!$F$4+Dashboard!C$10*SQRT(Dashboard!$F$4) * _xlfn.NORM.S.INV(RAND())</f>
        <v>3.2584323606984156E-2</v>
      </c>
      <c r="U5015" s="59">
        <f ca="1">Dashboard!D$8* Dashboard!$F$4+Dashboard!D$10*SQRT(Dashboard!$F$4) * _xlfn.NORM.S.INV(RAND())</f>
        <v>1.2083385561991811E-2</v>
      </c>
    </row>
    <row r="5016" spans="18:21" x14ac:dyDescent="0.2">
      <c r="R5016" s="49">
        <v>5014</v>
      </c>
      <c r="S5016" s="59">
        <f ca="1">Dashboard!B$8* Dashboard!$F$4+Dashboard!B$10*SQRT(Dashboard!$F$4) * _xlfn.NORM.S.INV(RAND())</f>
        <v>-3.2197930126504445E-2</v>
      </c>
      <c r="T5016" s="59">
        <f ca="1">Dashboard!C$8* Dashboard!$F$4+Dashboard!C$10*SQRT(Dashboard!$F$4) * _xlfn.NORM.S.INV(RAND())</f>
        <v>-6.6596886201945879E-3</v>
      </c>
      <c r="U5016" s="59">
        <f ca="1">Dashboard!D$8* Dashboard!$F$4+Dashboard!D$10*SQRT(Dashboard!$F$4) * _xlfn.NORM.S.INV(RAND())</f>
        <v>6.0761474281445099E-2</v>
      </c>
    </row>
    <row r="5017" spans="18:21" x14ac:dyDescent="0.2">
      <c r="R5017" s="49">
        <v>5015</v>
      </c>
      <c r="S5017" s="59">
        <f ca="1">Dashboard!B$8* Dashboard!$F$4+Dashboard!B$10*SQRT(Dashboard!$F$4) * _xlfn.NORM.S.INV(RAND())</f>
        <v>-1.21766276680424E-2</v>
      </c>
      <c r="T5017" s="59">
        <f ca="1">Dashboard!C$8* Dashboard!$F$4+Dashboard!C$10*SQRT(Dashboard!$F$4) * _xlfn.NORM.S.INV(RAND())</f>
        <v>3.0023823267552614E-2</v>
      </c>
      <c r="U5017" s="59">
        <f ca="1">Dashboard!D$8* Dashboard!$F$4+Dashboard!D$10*SQRT(Dashboard!$F$4) * _xlfn.NORM.S.INV(RAND())</f>
        <v>-2.5602558367734899E-2</v>
      </c>
    </row>
    <row r="5018" spans="18:21" x14ac:dyDescent="0.2">
      <c r="R5018" s="49">
        <v>5016</v>
      </c>
      <c r="S5018" s="59">
        <f ca="1">Dashboard!B$8* Dashboard!$F$4+Dashboard!B$10*SQRT(Dashboard!$F$4) * _xlfn.NORM.S.INV(RAND())</f>
        <v>-1.0365101817715137E-2</v>
      </c>
      <c r="T5018" s="59">
        <f ca="1">Dashboard!C$8* Dashboard!$F$4+Dashboard!C$10*SQRT(Dashboard!$F$4) * _xlfn.NORM.S.INV(RAND())</f>
        <v>-2.3424116082129728E-2</v>
      </c>
      <c r="U5018" s="59">
        <f ca="1">Dashboard!D$8* Dashboard!$F$4+Dashboard!D$10*SQRT(Dashboard!$F$4) * _xlfn.NORM.S.INV(RAND())</f>
        <v>1.6209510317063882E-2</v>
      </c>
    </row>
    <row r="5019" spans="18:21" x14ac:dyDescent="0.2">
      <c r="R5019" s="49">
        <v>5017</v>
      </c>
      <c r="S5019" s="59">
        <f ca="1">Dashboard!B$8* Dashboard!$F$4+Dashboard!B$10*SQRT(Dashboard!$F$4) * _xlfn.NORM.S.INV(RAND())</f>
        <v>-1.2228989615186051E-2</v>
      </c>
      <c r="T5019" s="59">
        <f ca="1">Dashboard!C$8* Dashboard!$F$4+Dashboard!C$10*SQRT(Dashboard!$F$4) * _xlfn.NORM.S.INV(RAND())</f>
        <v>-7.5873430089739057E-3</v>
      </c>
      <c r="U5019" s="59">
        <f ca="1">Dashboard!D$8* Dashboard!$F$4+Dashboard!D$10*SQRT(Dashboard!$F$4) * _xlfn.NORM.S.INV(RAND())</f>
        <v>3.5596591235266236E-3</v>
      </c>
    </row>
    <row r="5020" spans="18:21" x14ac:dyDescent="0.2">
      <c r="R5020" s="49">
        <v>5018</v>
      </c>
      <c r="S5020" s="59">
        <f ca="1">Dashboard!B$8* Dashboard!$F$4+Dashboard!B$10*SQRT(Dashboard!$F$4) * _xlfn.NORM.S.INV(RAND())</f>
        <v>-2.7896257592032479E-2</v>
      </c>
      <c r="T5020" s="59">
        <f ca="1">Dashboard!C$8* Dashboard!$F$4+Dashboard!C$10*SQRT(Dashboard!$F$4) * _xlfn.NORM.S.INV(RAND())</f>
        <v>6.381023153324987E-2</v>
      </c>
      <c r="U5020" s="59">
        <f ca="1">Dashboard!D$8* Dashboard!$F$4+Dashboard!D$10*SQRT(Dashboard!$F$4) * _xlfn.NORM.S.INV(RAND())</f>
        <v>3.1734406831023746E-3</v>
      </c>
    </row>
    <row r="5021" spans="18:21" x14ac:dyDescent="0.2">
      <c r="R5021" s="49">
        <v>5019</v>
      </c>
      <c r="S5021" s="59">
        <f ca="1">Dashboard!B$8* Dashboard!$F$4+Dashboard!B$10*SQRT(Dashboard!$F$4) * _xlfn.NORM.S.INV(RAND())</f>
        <v>2.3861708691764343E-2</v>
      </c>
      <c r="T5021" s="59">
        <f ca="1">Dashboard!C$8* Dashboard!$F$4+Dashboard!C$10*SQRT(Dashboard!$F$4) * _xlfn.NORM.S.INV(RAND())</f>
        <v>4.9896258522540808E-2</v>
      </c>
      <c r="U5021" s="59">
        <f ca="1">Dashboard!D$8* Dashboard!$F$4+Dashboard!D$10*SQRT(Dashboard!$F$4) * _xlfn.NORM.S.INV(RAND())</f>
        <v>1.5867846839976725E-2</v>
      </c>
    </row>
    <row r="5022" spans="18:21" x14ac:dyDescent="0.2">
      <c r="R5022" s="49">
        <v>5020</v>
      </c>
      <c r="S5022" s="59">
        <f ca="1">Dashboard!B$8* Dashboard!$F$4+Dashboard!B$10*SQRT(Dashboard!$F$4) * _xlfn.NORM.S.INV(RAND())</f>
        <v>-7.0228708284869601E-4</v>
      </c>
      <c r="T5022" s="59">
        <f ca="1">Dashboard!C$8* Dashboard!$F$4+Dashboard!C$10*SQRT(Dashboard!$F$4) * _xlfn.NORM.S.INV(RAND())</f>
        <v>6.6917815362037752E-2</v>
      </c>
      <c r="U5022" s="59">
        <f ca="1">Dashboard!D$8* Dashboard!$F$4+Dashboard!D$10*SQRT(Dashboard!$F$4) * _xlfn.NORM.S.INV(RAND())</f>
        <v>5.8387225734778371E-2</v>
      </c>
    </row>
    <row r="5023" spans="18:21" x14ac:dyDescent="0.2">
      <c r="R5023" s="49">
        <v>5021</v>
      </c>
      <c r="S5023" s="59">
        <f ca="1">Dashboard!B$8* Dashboard!$F$4+Dashboard!B$10*SQRT(Dashboard!$F$4) * _xlfn.NORM.S.INV(RAND())</f>
        <v>2.0837179272349987E-2</v>
      </c>
      <c r="T5023" s="59">
        <f ca="1">Dashboard!C$8* Dashboard!$F$4+Dashboard!C$10*SQRT(Dashboard!$F$4) * _xlfn.NORM.S.INV(RAND())</f>
        <v>5.2524576607337475E-2</v>
      </c>
      <c r="U5023" s="59">
        <f ca="1">Dashboard!D$8* Dashboard!$F$4+Dashboard!D$10*SQRT(Dashboard!$F$4) * _xlfn.NORM.S.INV(RAND())</f>
        <v>1.0807151942867421E-2</v>
      </c>
    </row>
    <row r="5024" spans="18:21" x14ac:dyDescent="0.2">
      <c r="R5024" s="49">
        <v>5022</v>
      </c>
      <c r="S5024" s="59">
        <f ca="1">Dashboard!B$8* Dashboard!$F$4+Dashboard!B$10*SQRT(Dashboard!$F$4) * _xlfn.NORM.S.INV(RAND())</f>
        <v>-2.5830941689175678E-2</v>
      </c>
      <c r="T5024" s="59">
        <f ca="1">Dashboard!C$8* Dashboard!$F$4+Dashboard!C$10*SQRT(Dashboard!$F$4) * _xlfn.NORM.S.INV(RAND())</f>
        <v>-1.6514082661872719E-2</v>
      </c>
      <c r="U5024" s="59">
        <f ca="1">Dashboard!D$8* Dashboard!$F$4+Dashboard!D$10*SQRT(Dashboard!$F$4) * _xlfn.NORM.S.INV(RAND())</f>
        <v>-1.6747712801439903E-3</v>
      </c>
    </row>
    <row r="5025" spans="18:21" x14ac:dyDescent="0.2">
      <c r="R5025" s="49">
        <v>5023</v>
      </c>
      <c r="S5025" s="59">
        <f ca="1">Dashboard!B$8* Dashboard!$F$4+Dashboard!B$10*SQRT(Dashboard!$F$4) * _xlfn.NORM.S.INV(RAND())</f>
        <v>4.3880658387697176E-2</v>
      </c>
      <c r="T5025" s="59">
        <f ca="1">Dashboard!C$8* Dashboard!$F$4+Dashboard!C$10*SQRT(Dashboard!$F$4) * _xlfn.NORM.S.INV(RAND())</f>
        <v>-9.0308521292452482E-2</v>
      </c>
      <c r="U5025" s="59">
        <f ca="1">Dashboard!D$8* Dashboard!$F$4+Dashboard!D$10*SQRT(Dashboard!$F$4) * _xlfn.NORM.S.INV(RAND())</f>
        <v>4.3319112104317856E-3</v>
      </c>
    </row>
    <row r="5026" spans="18:21" x14ac:dyDescent="0.2">
      <c r="R5026" s="49">
        <v>5024</v>
      </c>
      <c r="S5026" s="59">
        <f ca="1">Dashboard!B$8* Dashboard!$F$4+Dashboard!B$10*SQRT(Dashboard!$F$4) * _xlfn.NORM.S.INV(RAND())</f>
        <v>3.1784607735915779E-2</v>
      </c>
      <c r="T5026" s="59">
        <f ca="1">Dashboard!C$8* Dashboard!$F$4+Dashboard!C$10*SQRT(Dashboard!$F$4) * _xlfn.NORM.S.INV(RAND())</f>
        <v>2.8410541884058482E-3</v>
      </c>
      <c r="U5026" s="59">
        <f ca="1">Dashboard!D$8* Dashboard!$F$4+Dashboard!D$10*SQRT(Dashboard!$F$4) * _xlfn.NORM.S.INV(RAND())</f>
        <v>4.0794932785418209E-2</v>
      </c>
    </row>
    <row r="5027" spans="18:21" x14ac:dyDescent="0.2">
      <c r="R5027" s="49">
        <v>5025</v>
      </c>
      <c r="S5027" s="59">
        <f ca="1">Dashboard!B$8* Dashboard!$F$4+Dashboard!B$10*SQRT(Dashboard!$F$4) * _xlfn.NORM.S.INV(RAND())</f>
        <v>-2.9604150938711236E-2</v>
      </c>
      <c r="T5027" s="59">
        <f ca="1">Dashboard!C$8* Dashboard!$F$4+Dashboard!C$10*SQRT(Dashboard!$F$4) * _xlfn.NORM.S.INV(RAND())</f>
        <v>2.1458313893379287E-2</v>
      </c>
      <c r="U5027" s="59">
        <f ca="1">Dashboard!D$8* Dashboard!$F$4+Dashboard!D$10*SQRT(Dashboard!$F$4) * _xlfn.NORM.S.INV(RAND())</f>
        <v>-1.6805441693842182E-2</v>
      </c>
    </row>
    <row r="5028" spans="18:21" x14ac:dyDescent="0.2">
      <c r="R5028" s="49">
        <v>5026</v>
      </c>
      <c r="S5028" s="59">
        <f ca="1">Dashboard!B$8* Dashboard!$F$4+Dashboard!B$10*SQRT(Dashboard!$F$4) * _xlfn.NORM.S.INV(RAND())</f>
        <v>7.4374346407475173E-3</v>
      </c>
      <c r="T5028" s="59">
        <f ca="1">Dashboard!C$8* Dashboard!$F$4+Dashboard!C$10*SQRT(Dashboard!$F$4) * _xlfn.NORM.S.INV(RAND())</f>
        <v>-4.247218812462944E-2</v>
      </c>
      <c r="U5028" s="59">
        <f ca="1">Dashboard!D$8* Dashboard!$F$4+Dashboard!D$10*SQRT(Dashboard!$F$4) * _xlfn.NORM.S.INV(RAND())</f>
        <v>-5.1513849486515398E-2</v>
      </c>
    </row>
    <row r="5029" spans="18:21" x14ac:dyDescent="0.2">
      <c r="R5029" s="49">
        <v>5027</v>
      </c>
      <c r="S5029" s="59">
        <f ca="1">Dashboard!B$8* Dashboard!$F$4+Dashboard!B$10*SQRT(Dashboard!$F$4) * _xlfn.NORM.S.INV(RAND())</f>
        <v>-2.3657695591875555E-2</v>
      </c>
      <c r="T5029" s="59">
        <f ca="1">Dashboard!C$8* Dashboard!$F$4+Dashboard!C$10*SQRT(Dashboard!$F$4) * _xlfn.NORM.S.INV(RAND())</f>
        <v>-4.6106356838637667E-2</v>
      </c>
      <c r="U5029" s="59">
        <f ca="1">Dashboard!D$8* Dashboard!$F$4+Dashboard!D$10*SQRT(Dashboard!$F$4) * _xlfn.NORM.S.INV(RAND())</f>
        <v>-5.0513270096391547E-2</v>
      </c>
    </row>
    <row r="5030" spans="18:21" x14ac:dyDescent="0.2">
      <c r="R5030" s="49">
        <v>5028</v>
      </c>
      <c r="S5030" s="59">
        <f ca="1">Dashboard!B$8* Dashboard!$F$4+Dashboard!B$10*SQRT(Dashboard!$F$4) * _xlfn.NORM.S.INV(RAND())</f>
        <v>-1.2843824126288362E-4</v>
      </c>
      <c r="T5030" s="59">
        <f ca="1">Dashboard!C$8* Dashboard!$F$4+Dashboard!C$10*SQRT(Dashboard!$F$4) * _xlfn.NORM.S.INV(RAND())</f>
        <v>1.271263442629985E-2</v>
      </c>
      <c r="U5030" s="59">
        <f ca="1">Dashboard!D$8* Dashboard!$F$4+Dashboard!D$10*SQRT(Dashboard!$F$4) * _xlfn.NORM.S.INV(RAND())</f>
        <v>-7.8326611280199535E-3</v>
      </c>
    </row>
    <row r="5031" spans="18:21" x14ac:dyDescent="0.2">
      <c r="R5031" s="49">
        <v>5029</v>
      </c>
      <c r="S5031" s="59">
        <f ca="1">Dashboard!B$8* Dashboard!$F$4+Dashboard!B$10*SQRT(Dashboard!$F$4) * _xlfn.NORM.S.INV(RAND())</f>
        <v>2.0053191357941258E-2</v>
      </c>
      <c r="T5031" s="59">
        <f ca="1">Dashboard!C$8* Dashboard!$F$4+Dashboard!C$10*SQRT(Dashboard!$F$4) * _xlfn.NORM.S.INV(RAND())</f>
        <v>-6.2123517711802995E-2</v>
      </c>
      <c r="U5031" s="59">
        <f ca="1">Dashboard!D$8* Dashboard!$F$4+Dashboard!D$10*SQRT(Dashboard!$F$4) * _xlfn.NORM.S.INV(RAND())</f>
        <v>3.0403184752382885E-2</v>
      </c>
    </row>
    <row r="5032" spans="18:21" x14ac:dyDescent="0.2">
      <c r="R5032" s="49">
        <v>5030</v>
      </c>
      <c r="S5032" s="59">
        <f ca="1">Dashboard!B$8* Dashboard!$F$4+Dashboard!B$10*SQRT(Dashboard!$F$4) * _xlfn.NORM.S.INV(RAND())</f>
        <v>1.7135991126285825E-2</v>
      </c>
      <c r="T5032" s="59">
        <f ca="1">Dashboard!C$8* Dashboard!$F$4+Dashboard!C$10*SQRT(Dashboard!$F$4) * _xlfn.NORM.S.INV(RAND())</f>
        <v>3.0146528477659092E-2</v>
      </c>
      <c r="U5032" s="59">
        <f ca="1">Dashboard!D$8* Dashboard!$F$4+Dashboard!D$10*SQRT(Dashboard!$F$4) * _xlfn.NORM.S.INV(RAND())</f>
        <v>-1.8751186174264297E-2</v>
      </c>
    </row>
    <row r="5033" spans="18:21" x14ac:dyDescent="0.2">
      <c r="R5033" s="49">
        <v>5031</v>
      </c>
      <c r="S5033" s="59">
        <f ca="1">Dashboard!B$8* Dashboard!$F$4+Dashboard!B$10*SQRT(Dashboard!$F$4) * _xlfn.NORM.S.INV(RAND())</f>
        <v>1.5215953603386385E-2</v>
      </c>
      <c r="T5033" s="59">
        <f ca="1">Dashboard!C$8* Dashboard!$F$4+Dashboard!C$10*SQRT(Dashboard!$F$4) * _xlfn.NORM.S.INV(RAND())</f>
        <v>-7.8058519095605588E-3</v>
      </c>
      <c r="U5033" s="59">
        <f ca="1">Dashboard!D$8* Dashboard!$F$4+Dashboard!D$10*SQRT(Dashboard!$F$4) * _xlfn.NORM.S.INV(RAND())</f>
        <v>2.2511238300346591E-2</v>
      </c>
    </row>
    <row r="5034" spans="18:21" x14ac:dyDescent="0.2">
      <c r="R5034" s="49">
        <v>5032</v>
      </c>
      <c r="S5034" s="59">
        <f ca="1">Dashboard!B$8* Dashboard!$F$4+Dashboard!B$10*SQRT(Dashboard!$F$4) * _xlfn.NORM.S.INV(RAND())</f>
        <v>-4.9170700954039248E-2</v>
      </c>
      <c r="T5034" s="59">
        <f ca="1">Dashboard!C$8* Dashboard!$F$4+Dashboard!C$10*SQRT(Dashboard!$F$4) * _xlfn.NORM.S.INV(RAND())</f>
        <v>2.726567558080829E-3</v>
      </c>
      <c r="U5034" s="59">
        <f ca="1">Dashboard!D$8* Dashboard!$F$4+Dashboard!D$10*SQRT(Dashboard!$F$4) * _xlfn.NORM.S.INV(RAND())</f>
        <v>2.6345823578151017E-2</v>
      </c>
    </row>
    <row r="5035" spans="18:21" x14ac:dyDescent="0.2">
      <c r="R5035" s="49">
        <v>5033</v>
      </c>
      <c r="S5035" s="59">
        <f ca="1">Dashboard!B$8* Dashboard!$F$4+Dashboard!B$10*SQRT(Dashboard!$F$4) * _xlfn.NORM.S.INV(RAND())</f>
        <v>-6.0484184987406951E-2</v>
      </c>
      <c r="T5035" s="59">
        <f ca="1">Dashboard!C$8* Dashboard!$F$4+Dashboard!C$10*SQRT(Dashboard!$F$4) * _xlfn.NORM.S.INV(RAND())</f>
        <v>-5.8071908569275891E-3</v>
      </c>
      <c r="U5035" s="59">
        <f ca="1">Dashboard!D$8* Dashboard!$F$4+Dashboard!D$10*SQRT(Dashboard!$F$4) * _xlfn.NORM.S.INV(RAND())</f>
        <v>5.6275522916997688E-2</v>
      </c>
    </row>
    <row r="5036" spans="18:21" x14ac:dyDescent="0.2">
      <c r="R5036" s="49">
        <v>5034</v>
      </c>
      <c r="S5036" s="59">
        <f ca="1">Dashboard!B$8* Dashboard!$F$4+Dashboard!B$10*SQRT(Dashboard!$F$4) * _xlfn.NORM.S.INV(RAND())</f>
        <v>-5.3154007437408099E-2</v>
      </c>
      <c r="T5036" s="59">
        <f ca="1">Dashboard!C$8* Dashboard!$F$4+Dashboard!C$10*SQRT(Dashboard!$F$4) * _xlfn.NORM.S.INV(RAND())</f>
        <v>6.8918021179895745E-4</v>
      </c>
      <c r="U5036" s="59">
        <f ca="1">Dashboard!D$8* Dashboard!$F$4+Dashboard!D$10*SQRT(Dashboard!$F$4) * _xlfn.NORM.S.INV(RAND())</f>
        <v>6.194446944901775E-3</v>
      </c>
    </row>
    <row r="5037" spans="18:21" x14ac:dyDescent="0.2">
      <c r="R5037" s="49">
        <v>5035</v>
      </c>
      <c r="S5037" s="59">
        <f ca="1">Dashboard!B$8* Dashboard!$F$4+Dashboard!B$10*SQRT(Dashboard!$F$4) * _xlfn.NORM.S.INV(RAND())</f>
        <v>-1.06033644886277E-2</v>
      </c>
      <c r="T5037" s="59">
        <f ca="1">Dashboard!C$8* Dashboard!$F$4+Dashboard!C$10*SQRT(Dashboard!$F$4) * _xlfn.NORM.S.INV(RAND())</f>
        <v>-3.7781512788894821E-2</v>
      </c>
      <c r="U5037" s="59">
        <f ca="1">Dashboard!D$8* Dashboard!$F$4+Dashboard!D$10*SQRT(Dashboard!$F$4) * _xlfn.NORM.S.INV(RAND())</f>
        <v>4.1206429357517282E-2</v>
      </c>
    </row>
    <row r="5038" spans="18:21" x14ac:dyDescent="0.2">
      <c r="R5038" s="49">
        <v>5036</v>
      </c>
      <c r="S5038" s="59">
        <f ca="1">Dashboard!B$8* Dashboard!$F$4+Dashboard!B$10*SQRT(Dashboard!$F$4) * _xlfn.NORM.S.INV(RAND())</f>
        <v>2.2040352747307521E-2</v>
      </c>
      <c r="T5038" s="59">
        <f ca="1">Dashboard!C$8* Dashboard!$F$4+Dashboard!C$10*SQRT(Dashboard!$F$4) * _xlfn.NORM.S.INV(RAND())</f>
        <v>-4.9641645735193828E-2</v>
      </c>
      <c r="U5038" s="59">
        <f ca="1">Dashboard!D$8* Dashboard!$F$4+Dashboard!D$10*SQRT(Dashboard!$F$4) * _xlfn.NORM.S.INV(RAND())</f>
        <v>6.2038714783548957E-2</v>
      </c>
    </row>
    <row r="5039" spans="18:21" x14ac:dyDescent="0.2">
      <c r="R5039" s="49">
        <v>5037</v>
      </c>
      <c r="S5039" s="59">
        <f ca="1">Dashboard!B$8* Dashboard!$F$4+Dashboard!B$10*SQRT(Dashboard!$F$4) * _xlfn.NORM.S.INV(RAND())</f>
        <v>2.4299594281490602E-2</v>
      </c>
      <c r="T5039" s="59">
        <f ca="1">Dashboard!C$8* Dashboard!$F$4+Dashboard!C$10*SQRT(Dashboard!$F$4) * _xlfn.NORM.S.INV(RAND())</f>
        <v>-5.4648079243080031E-2</v>
      </c>
      <c r="U5039" s="59">
        <f ca="1">Dashboard!D$8* Dashboard!$F$4+Dashboard!D$10*SQRT(Dashboard!$F$4) * _xlfn.NORM.S.INV(RAND())</f>
        <v>-3.3532204528258225E-2</v>
      </c>
    </row>
    <row r="5040" spans="18:21" x14ac:dyDescent="0.2">
      <c r="R5040" s="49">
        <v>5038</v>
      </c>
      <c r="S5040" s="59">
        <f ca="1">Dashboard!B$8* Dashboard!$F$4+Dashboard!B$10*SQRT(Dashboard!$F$4) * _xlfn.NORM.S.INV(RAND())</f>
        <v>-8.4135144665059849E-2</v>
      </c>
      <c r="T5040" s="59">
        <f ca="1">Dashboard!C$8* Dashboard!$F$4+Dashboard!C$10*SQRT(Dashboard!$F$4) * _xlfn.NORM.S.INV(RAND())</f>
        <v>1.7068404239172729E-2</v>
      </c>
      <c r="U5040" s="59">
        <f ca="1">Dashboard!D$8* Dashboard!$F$4+Dashboard!D$10*SQRT(Dashboard!$F$4) * _xlfn.NORM.S.INV(RAND())</f>
        <v>-1.3803657049123303E-2</v>
      </c>
    </row>
    <row r="5041" spans="18:21" x14ac:dyDescent="0.2">
      <c r="R5041" s="49">
        <v>5039</v>
      </c>
      <c r="S5041" s="59">
        <f ca="1">Dashboard!B$8* Dashboard!$F$4+Dashboard!B$10*SQRT(Dashboard!$F$4) * _xlfn.NORM.S.INV(RAND())</f>
        <v>3.478684429835361E-2</v>
      </c>
      <c r="T5041" s="59">
        <f ca="1">Dashboard!C$8* Dashboard!$F$4+Dashboard!C$10*SQRT(Dashboard!$F$4) * _xlfn.NORM.S.INV(RAND())</f>
        <v>5.3596031119254742E-3</v>
      </c>
      <c r="U5041" s="59">
        <f ca="1">Dashboard!D$8* Dashboard!$F$4+Dashboard!D$10*SQRT(Dashboard!$F$4) * _xlfn.NORM.S.INV(RAND())</f>
        <v>1.0533177933912993E-2</v>
      </c>
    </row>
    <row r="5042" spans="18:21" x14ac:dyDescent="0.2">
      <c r="R5042" s="49">
        <v>5040</v>
      </c>
      <c r="S5042" s="59">
        <f ca="1">Dashboard!B$8* Dashboard!$F$4+Dashboard!B$10*SQRT(Dashboard!$F$4) * _xlfn.NORM.S.INV(RAND())</f>
        <v>4.2168822790062344E-2</v>
      </c>
      <c r="T5042" s="59">
        <f ca="1">Dashboard!C$8* Dashboard!$F$4+Dashboard!C$10*SQRT(Dashboard!$F$4) * _xlfn.NORM.S.INV(RAND())</f>
        <v>1.3583719318858885E-2</v>
      </c>
      <c r="U5042" s="59">
        <f ca="1">Dashboard!D$8* Dashboard!$F$4+Dashboard!D$10*SQRT(Dashboard!$F$4) * _xlfn.NORM.S.INV(RAND())</f>
        <v>1.6226410707715827E-2</v>
      </c>
    </row>
    <row r="5043" spans="18:21" x14ac:dyDescent="0.2">
      <c r="R5043" s="49">
        <v>5041</v>
      </c>
      <c r="S5043" s="59">
        <f ca="1">Dashboard!B$8* Dashboard!$F$4+Dashboard!B$10*SQRT(Dashboard!$F$4) * _xlfn.NORM.S.INV(RAND())</f>
        <v>7.506016650086253E-3</v>
      </c>
      <c r="T5043" s="59">
        <f ca="1">Dashboard!C$8* Dashboard!$F$4+Dashboard!C$10*SQRT(Dashboard!$F$4) * _xlfn.NORM.S.INV(RAND())</f>
        <v>2.0553312555139547E-3</v>
      </c>
      <c r="U5043" s="59">
        <f ca="1">Dashboard!D$8* Dashboard!$F$4+Dashboard!D$10*SQRT(Dashboard!$F$4) * _xlfn.NORM.S.INV(RAND())</f>
        <v>-3.9856507240490967E-2</v>
      </c>
    </row>
    <row r="5044" spans="18:21" x14ac:dyDescent="0.2">
      <c r="R5044" s="49">
        <v>5042</v>
      </c>
      <c r="S5044" s="59">
        <f ca="1">Dashboard!B$8* Dashboard!$F$4+Dashboard!B$10*SQRT(Dashboard!$F$4) * _xlfn.NORM.S.INV(RAND())</f>
        <v>7.4356554922210168E-3</v>
      </c>
      <c r="T5044" s="59">
        <f ca="1">Dashboard!C$8* Dashboard!$F$4+Dashboard!C$10*SQRT(Dashboard!$F$4) * _xlfn.NORM.S.INV(RAND())</f>
        <v>4.518109176453329E-2</v>
      </c>
      <c r="U5044" s="59">
        <f ca="1">Dashboard!D$8* Dashboard!$F$4+Dashboard!D$10*SQRT(Dashboard!$F$4) * _xlfn.NORM.S.INV(RAND())</f>
        <v>-3.949684738377484E-2</v>
      </c>
    </row>
    <row r="5045" spans="18:21" x14ac:dyDescent="0.2">
      <c r="R5045" s="49">
        <v>5043</v>
      </c>
      <c r="S5045" s="59">
        <f ca="1">Dashboard!B$8* Dashboard!$F$4+Dashboard!B$10*SQRT(Dashboard!$F$4) * _xlfn.NORM.S.INV(RAND())</f>
        <v>-6.0387707720275956E-2</v>
      </c>
      <c r="T5045" s="59">
        <f ca="1">Dashboard!C$8* Dashboard!$F$4+Dashboard!C$10*SQRT(Dashboard!$F$4) * _xlfn.NORM.S.INV(RAND())</f>
        <v>3.5563324523292611E-2</v>
      </c>
      <c r="U5045" s="59">
        <f ca="1">Dashboard!D$8* Dashboard!$F$4+Dashboard!D$10*SQRT(Dashboard!$F$4) * _xlfn.NORM.S.INV(RAND())</f>
        <v>4.93095871163153E-2</v>
      </c>
    </row>
    <row r="5046" spans="18:21" x14ac:dyDescent="0.2">
      <c r="R5046" s="49">
        <v>5044</v>
      </c>
      <c r="S5046" s="59">
        <f ca="1">Dashboard!B$8* Dashboard!$F$4+Dashboard!B$10*SQRT(Dashboard!$F$4) * _xlfn.NORM.S.INV(RAND())</f>
        <v>7.7689645741282023E-2</v>
      </c>
      <c r="T5046" s="59">
        <f ca="1">Dashboard!C$8* Dashboard!$F$4+Dashboard!C$10*SQRT(Dashboard!$F$4) * _xlfn.NORM.S.INV(RAND())</f>
        <v>4.5168472409480151E-3</v>
      </c>
      <c r="U5046" s="59">
        <f ca="1">Dashboard!D$8* Dashboard!$F$4+Dashboard!D$10*SQRT(Dashboard!$F$4) * _xlfn.NORM.S.INV(RAND())</f>
        <v>2.5558223835504074E-2</v>
      </c>
    </row>
    <row r="5047" spans="18:21" x14ac:dyDescent="0.2">
      <c r="R5047" s="49">
        <v>5045</v>
      </c>
      <c r="S5047" s="59">
        <f ca="1">Dashboard!B$8* Dashboard!$F$4+Dashboard!B$10*SQRT(Dashboard!$F$4) * _xlfn.NORM.S.INV(RAND())</f>
        <v>3.92787545827437E-2</v>
      </c>
      <c r="T5047" s="59">
        <f ca="1">Dashboard!C$8* Dashboard!$F$4+Dashboard!C$10*SQRT(Dashboard!$F$4) * _xlfn.NORM.S.INV(RAND())</f>
        <v>9.8348021343781442E-3</v>
      </c>
      <c r="U5047" s="59">
        <f ca="1">Dashboard!D$8* Dashboard!$F$4+Dashboard!D$10*SQRT(Dashboard!$F$4) * _xlfn.NORM.S.INV(RAND())</f>
        <v>5.2690326436779344E-2</v>
      </c>
    </row>
    <row r="5048" spans="18:21" x14ac:dyDescent="0.2">
      <c r="R5048" s="49">
        <v>5046</v>
      </c>
      <c r="S5048" s="59">
        <f ca="1">Dashboard!B$8* Dashboard!$F$4+Dashboard!B$10*SQRT(Dashboard!$F$4) * _xlfn.NORM.S.INV(RAND())</f>
        <v>-2.2202262781244035E-2</v>
      </c>
      <c r="T5048" s="59">
        <f ca="1">Dashboard!C$8* Dashboard!$F$4+Dashboard!C$10*SQRT(Dashboard!$F$4) * _xlfn.NORM.S.INV(RAND())</f>
        <v>7.4626624110345095E-3</v>
      </c>
      <c r="U5048" s="59">
        <f ca="1">Dashboard!D$8* Dashboard!$F$4+Dashboard!D$10*SQRT(Dashboard!$F$4) * _xlfn.NORM.S.INV(RAND())</f>
        <v>-5.3567919924216367E-3</v>
      </c>
    </row>
    <row r="5049" spans="18:21" x14ac:dyDescent="0.2">
      <c r="R5049" s="49">
        <v>5047</v>
      </c>
      <c r="S5049" s="59">
        <f ca="1">Dashboard!B$8* Dashboard!$F$4+Dashboard!B$10*SQRT(Dashboard!$F$4) * _xlfn.NORM.S.INV(RAND())</f>
        <v>6.908280490140294E-3</v>
      </c>
      <c r="T5049" s="59">
        <f ca="1">Dashboard!C$8* Dashboard!$F$4+Dashboard!C$10*SQRT(Dashboard!$F$4) * _xlfn.NORM.S.INV(RAND())</f>
        <v>-2.4889187192550649E-3</v>
      </c>
      <c r="U5049" s="59">
        <f ca="1">Dashboard!D$8* Dashboard!$F$4+Dashboard!D$10*SQRT(Dashboard!$F$4) * _xlfn.NORM.S.INV(RAND())</f>
        <v>-1.0627045983141686E-2</v>
      </c>
    </row>
    <row r="5050" spans="18:21" x14ac:dyDescent="0.2">
      <c r="R5050" s="49">
        <v>5048</v>
      </c>
      <c r="S5050" s="59">
        <f ca="1">Dashboard!B$8* Dashboard!$F$4+Dashboard!B$10*SQRT(Dashboard!$F$4) * _xlfn.NORM.S.INV(RAND())</f>
        <v>4.9521997925899876E-3</v>
      </c>
      <c r="T5050" s="59">
        <f ca="1">Dashboard!C$8* Dashboard!$F$4+Dashboard!C$10*SQRT(Dashboard!$F$4) * _xlfn.NORM.S.INV(RAND())</f>
        <v>-7.2810487067740279E-2</v>
      </c>
      <c r="U5050" s="59">
        <f ca="1">Dashboard!D$8* Dashboard!$F$4+Dashboard!D$10*SQRT(Dashboard!$F$4) * _xlfn.NORM.S.INV(RAND())</f>
        <v>9.6815958284328305E-3</v>
      </c>
    </row>
    <row r="5051" spans="18:21" x14ac:dyDescent="0.2">
      <c r="R5051" s="49">
        <v>5049</v>
      </c>
      <c r="S5051" s="59">
        <f ca="1">Dashboard!B$8* Dashboard!$F$4+Dashboard!B$10*SQRT(Dashboard!$F$4) * _xlfn.NORM.S.INV(RAND())</f>
        <v>1.7492223869518334E-2</v>
      </c>
      <c r="T5051" s="59">
        <f ca="1">Dashboard!C$8* Dashboard!$F$4+Dashboard!C$10*SQRT(Dashboard!$F$4) * _xlfn.NORM.S.INV(RAND())</f>
        <v>-2.1936137994279264E-2</v>
      </c>
      <c r="U5051" s="59">
        <f ca="1">Dashboard!D$8* Dashboard!$F$4+Dashboard!D$10*SQRT(Dashboard!$F$4) * _xlfn.NORM.S.INV(RAND())</f>
        <v>-1.3363997163046979E-2</v>
      </c>
    </row>
    <row r="5052" spans="18:21" x14ac:dyDescent="0.2">
      <c r="R5052" s="49">
        <v>5050</v>
      </c>
      <c r="S5052" s="59">
        <f ca="1">Dashboard!B$8* Dashboard!$F$4+Dashboard!B$10*SQRT(Dashboard!$F$4) * _xlfn.NORM.S.INV(RAND())</f>
        <v>3.2259158077483273E-2</v>
      </c>
      <c r="T5052" s="59">
        <f ca="1">Dashboard!C$8* Dashboard!$F$4+Dashboard!C$10*SQRT(Dashboard!$F$4) * _xlfn.NORM.S.INV(RAND())</f>
        <v>5.9092303956419148E-4</v>
      </c>
      <c r="U5052" s="59">
        <f ca="1">Dashboard!D$8* Dashboard!$F$4+Dashboard!D$10*SQRT(Dashboard!$F$4) * _xlfn.NORM.S.INV(RAND())</f>
        <v>4.865331325976012E-2</v>
      </c>
    </row>
    <row r="5053" spans="18:21" x14ac:dyDescent="0.2">
      <c r="R5053" s="49">
        <v>5051</v>
      </c>
      <c r="S5053" s="59">
        <f ca="1">Dashboard!B$8* Dashboard!$F$4+Dashboard!B$10*SQRT(Dashboard!$F$4) * _xlfn.NORM.S.INV(RAND())</f>
        <v>-1.3129422901007897E-2</v>
      </c>
      <c r="T5053" s="59">
        <f ca="1">Dashboard!C$8* Dashboard!$F$4+Dashboard!C$10*SQRT(Dashboard!$F$4) * _xlfn.NORM.S.INV(RAND())</f>
        <v>9.3214476340228829E-3</v>
      </c>
      <c r="U5053" s="59">
        <f ca="1">Dashboard!D$8* Dashboard!$F$4+Dashboard!D$10*SQRT(Dashboard!$F$4) * _xlfn.NORM.S.INV(RAND())</f>
        <v>-8.0271587036970325E-3</v>
      </c>
    </row>
    <row r="5054" spans="18:21" x14ac:dyDescent="0.2">
      <c r="R5054" s="49">
        <v>5052</v>
      </c>
      <c r="S5054" s="59">
        <f ca="1">Dashboard!B$8* Dashboard!$F$4+Dashboard!B$10*SQRT(Dashboard!$F$4) * _xlfn.NORM.S.INV(RAND())</f>
        <v>4.470123331085233E-2</v>
      </c>
      <c r="T5054" s="59">
        <f ca="1">Dashboard!C$8* Dashboard!$F$4+Dashboard!C$10*SQRT(Dashboard!$F$4) * _xlfn.NORM.S.INV(RAND())</f>
        <v>-1.9987736895884831E-2</v>
      </c>
      <c r="U5054" s="59">
        <f ca="1">Dashboard!D$8* Dashboard!$F$4+Dashboard!D$10*SQRT(Dashboard!$F$4) * _xlfn.NORM.S.INV(RAND())</f>
        <v>1.8982065846808793E-2</v>
      </c>
    </row>
    <row r="5055" spans="18:21" x14ac:dyDescent="0.2">
      <c r="R5055" s="49">
        <v>5053</v>
      </c>
      <c r="S5055" s="59">
        <f ca="1">Dashboard!B$8* Dashboard!$F$4+Dashboard!B$10*SQRT(Dashboard!$F$4) * _xlfn.NORM.S.INV(RAND())</f>
        <v>-1.2411852573840114E-2</v>
      </c>
      <c r="T5055" s="59">
        <f ca="1">Dashboard!C$8* Dashboard!$F$4+Dashboard!C$10*SQRT(Dashboard!$F$4) * _xlfn.NORM.S.INV(RAND())</f>
        <v>-3.8120077547014797E-2</v>
      </c>
      <c r="U5055" s="59">
        <f ca="1">Dashboard!D$8* Dashboard!$F$4+Dashboard!D$10*SQRT(Dashboard!$F$4) * _xlfn.NORM.S.INV(RAND())</f>
        <v>1.9856680909358392E-2</v>
      </c>
    </row>
    <row r="5056" spans="18:21" x14ac:dyDescent="0.2">
      <c r="R5056" s="49">
        <v>5054</v>
      </c>
      <c r="S5056" s="59">
        <f ca="1">Dashboard!B$8* Dashboard!$F$4+Dashboard!B$10*SQRT(Dashboard!$F$4) * _xlfn.NORM.S.INV(RAND())</f>
        <v>-5.861924555869235E-2</v>
      </c>
      <c r="T5056" s="59">
        <f ca="1">Dashboard!C$8* Dashboard!$F$4+Dashboard!C$10*SQRT(Dashboard!$F$4) * _xlfn.NORM.S.INV(RAND())</f>
        <v>6.142902836205652E-3</v>
      </c>
      <c r="U5056" s="59">
        <f ca="1">Dashboard!D$8* Dashboard!$F$4+Dashboard!D$10*SQRT(Dashboard!$F$4) * _xlfn.NORM.S.INV(RAND())</f>
        <v>2.2591546681149793E-2</v>
      </c>
    </row>
    <row r="5057" spans="18:21" x14ac:dyDescent="0.2">
      <c r="R5057" s="49">
        <v>5055</v>
      </c>
      <c r="S5057" s="59">
        <f ca="1">Dashboard!B$8* Dashboard!$F$4+Dashboard!B$10*SQRT(Dashboard!$F$4) * _xlfn.NORM.S.INV(RAND())</f>
        <v>-9.5540971046323368E-3</v>
      </c>
      <c r="T5057" s="59">
        <f ca="1">Dashboard!C$8* Dashboard!$F$4+Dashboard!C$10*SQRT(Dashboard!$F$4) * _xlfn.NORM.S.INV(RAND())</f>
        <v>-5.7063094344122723E-3</v>
      </c>
      <c r="U5057" s="59">
        <f ca="1">Dashboard!D$8* Dashboard!$F$4+Dashboard!D$10*SQRT(Dashboard!$F$4) * _xlfn.NORM.S.INV(RAND())</f>
        <v>2.8699465107720767E-2</v>
      </c>
    </row>
    <row r="5058" spans="18:21" x14ac:dyDescent="0.2">
      <c r="R5058" s="49">
        <v>5056</v>
      </c>
      <c r="S5058" s="59">
        <f ca="1">Dashboard!B$8* Dashboard!$F$4+Dashboard!B$10*SQRT(Dashboard!$F$4) * _xlfn.NORM.S.INV(RAND())</f>
        <v>1.3486513771638802E-3</v>
      </c>
      <c r="T5058" s="59">
        <f ca="1">Dashboard!C$8* Dashboard!$F$4+Dashboard!C$10*SQRT(Dashboard!$F$4) * _xlfn.NORM.S.INV(RAND())</f>
        <v>1.1363048443597219E-2</v>
      </c>
      <c r="U5058" s="59">
        <f ca="1">Dashboard!D$8* Dashboard!$F$4+Dashboard!D$10*SQRT(Dashboard!$F$4) * _xlfn.NORM.S.INV(RAND())</f>
        <v>-1.2454381602355145E-2</v>
      </c>
    </row>
    <row r="5059" spans="18:21" x14ac:dyDescent="0.2">
      <c r="R5059" s="49">
        <v>5057</v>
      </c>
      <c r="S5059" s="59">
        <f ca="1">Dashboard!B$8* Dashboard!$F$4+Dashboard!B$10*SQRT(Dashboard!$F$4) * _xlfn.NORM.S.INV(RAND())</f>
        <v>3.3729030296873228E-2</v>
      </c>
      <c r="T5059" s="59">
        <f ca="1">Dashboard!C$8* Dashboard!$F$4+Dashboard!C$10*SQRT(Dashboard!$F$4) * _xlfn.NORM.S.INV(RAND())</f>
        <v>2.3468868525133291E-2</v>
      </c>
      <c r="U5059" s="59">
        <f ca="1">Dashboard!D$8* Dashboard!$F$4+Dashboard!D$10*SQRT(Dashboard!$F$4) * _xlfn.NORM.S.INV(RAND())</f>
        <v>3.4211760370228932E-2</v>
      </c>
    </row>
    <row r="5060" spans="18:21" x14ac:dyDescent="0.2">
      <c r="R5060" s="49">
        <v>5058</v>
      </c>
      <c r="S5060" s="59">
        <f ca="1">Dashboard!B$8* Dashboard!$F$4+Dashboard!B$10*SQRT(Dashboard!$F$4) * _xlfn.NORM.S.INV(RAND())</f>
        <v>-4.9674193152532575E-2</v>
      </c>
      <c r="T5060" s="59">
        <f ca="1">Dashboard!C$8* Dashboard!$F$4+Dashboard!C$10*SQRT(Dashboard!$F$4) * _xlfn.NORM.S.INV(RAND())</f>
        <v>6.9113875440444672E-2</v>
      </c>
      <c r="U5060" s="59">
        <f ca="1">Dashboard!D$8* Dashboard!$F$4+Dashboard!D$10*SQRT(Dashboard!$F$4) * _xlfn.NORM.S.INV(RAND())</f>
        <v>-5.2043107470662502E-3</v>
      </c>
    </row>
    <row r="5061" spans="18:21" x14ac:dyDescent="0.2">
      <c r="R5061" s="49">
        <v>5059</v>
      </c>
      <c r="S5061" s="59">
        <f ca="1">Dashboard!B$8* Dashboard!$F$4+Dashboard!B$10*SQRT(Dashboard!$F$4) * _xlfn.NORM.S.INV(RAND())</f>
        <v>-8.7342761358363613E-4</v>
      </c>
      <c r="T5061" s="59">
        <f ca="1">Dashboard!C$8* Dashboard!$F$4+Dashboard!C$10*SQRT(Dashboard!$F$4) * _xlfn.NORM.S.INV(RAND())</f>
        <v>-1.0878235452394504E-2</v>
      </c>
      <c r="U5061" s="59">
        <f ca="1">Dashboard!D$8* Dashboard!$F$4+Dashboard!D$10*SQRT(Dashboard!$F$4) * _xlfn.NORM.S.INV(RAND())</f>
        <v>8.1950096392953749E-3</v>
      </c>
    </row>
    <row r="5062" spans="18:21" x14ac:dyDescent="0.2">
      <c r="R5062" s="49">
        <v>5060</v>
      </c>
      <c r="S5062" s="59">
        <f ca="1">Dashboard!B$8* Dashboard!$F$4+Dashboard!B$10*SQRT(Dashboard!$F$4) * _xlfn.NORM.S.INV(RAND())</f>
        <v>1.5623495019561321E-2</v>
      </c>
      <c r="T5062" s="59">
        <f ca="1">Dashboard!C$8* Dashboard!$F$4+Dashboard!C$10*SQRT(Dashboard!$F$4) * _xlfn.NORM.S.INV(RAND())</f>
        <v>-3.2504656730646064E-2</v>
      </c>
      <c r="U5062" s="59">
        <f ca="1">Dashboard!D$8* Dashboard!$F$4+Dashboard!D$10*SQRT(Dashboard!$F$4) * _xlfn.NORM.S.INV(RAND())</f>
        <v>3.137389303069911E-2</v>
      </c>
    </row>
    <row r="5063" spans="18:21" x14ac:dyDescent="0.2">
      <c r="R5063" s="49">
        <v>5061</v>
      </c>
      <c r="S5063" s="59">
        <f ca="1">Dashboard!B$8* Dashboard!$F$4+Dashboard!B$10*SQRT(Dashboard!$F$4) * _xlfn.NORM.S.INV(RAND())</f>
        <v>-3.9790543660745796E-2</v>
      </c>
      <c r="T5063" s="59">
        <f ca="1">Dashboard!C$8* Dashboard!$F$4+Dashboard!C$10*SQRT(Dashboard!$F$4) * _xlfn.NORM.S.INV(RAND())</f>
        <v>-5.2675687145132696E-2</v>
      </c>
      <c r="U5063" s="59">
        <f ca="1">Dashboard!D$8* Dashboard!$F$4+Dashboard!D$10*SQRT(Dashboard!$F$4) * _xlfn.NORM.S.INV(RAND())</f>
        <v>2.3936731423962378E-2</v>
      </c>
    </row>
    <row r="5064" spans="18:21" x14ac:dyDescent="0.2">
      <c r="R5064" s="49">
        <v>5062</v>
      </c>
      <c r="S5064" s="59">
        <f ca="1">Dashboard!B$8* Dashboard!$F$4+Dashboard!B$10*SQRT(Dashboard!$F$4) * _xlfn.NORM.S.INV(RAND())</f>
        <v>3.7656453365410431E-2</v>
      </c>
      <c r="T5064" s="59">
        <f ca="1">Dashboard!C$8* Dashboard!$F$4+Dashboard!C$10*SQRT(Dashboard!$F$4) * _xlfn.NORM.S.INV(RAND())</f>
        <v>-4.3329009083744416E-2</v>
      </c>
      <c r="U5064" s="59">
        <f ca="1">Dashboard!D$8* Dashboard!$F$4+Dashboard!D$10*SQRT(Dashboard!$F$4) * _xlfn.NORM.S.INV(RAND())</f>
        <v>-2.5582176259263203E-2</v>
      </c>
    </row>
    <row r="5065" spans="18:21" x14ac:dyDescent="0.2">
      <c r="R5065" s="49">
        <v>5063</v>
      </c>
      <c r="S5065" s="59">
        <f ca="1">Dashboard!B$8* Dashboard!$F$4+Dashboard!B$10*SQRT(Dashboard!$F$4) * _xlfn.NORM.S.INV(RAND())</f>
        <v>-8.3340303233389729E-3</v>
      </c>
      <c r="T5065" s="59">
        <f ca="1">Dashboard!C$8* Dashboard!$F$4+Dashboard!C$10*SQRT(Dashboard!$F$4) * _xlfn.NORM.S.INV(RAND())</f>
        <v>2.1681371545726559E-2</v>
      </c>
      <c r="U5065" s="59">
        <f ca="1">Dashboard!D$8* Dashboard!$F$4+Dashboard!D$10*SQRT(Dashboard!$F$4) * _xlfn.NORM.S.INV(RAND())</f>
        <v>-1.21730454438448E-2</v>
      </c>
    </row>
    <row r="5066" spans="18:21" x14ac:dyDescent="0.2">
      <c r="R5066" s="49">
        <v>5064</v>
      </c>
      <c r="S5066" s="59">
        <f ca="1">Dashboard!B$8* Dashboard!$F$4+Dashboard!B$10*SQRT(Dashboard!$F$4) * _xlfn.NORM.S.INV(RAND())</f>
        <v>5.6331913609792512E-2</v>
      </c>
      <c r="T5066" s="59">
        <f ca="1">Dashboard!C$8* Dashboard!$F$4+Dashboard!C$10*SQRT(Dashboard!$F$4) * _xlfn.NORM.S.INV(RAND())</f>
        <v>8.5381417683893634E-3</v>
      </c>
      <c r="U5066" s="59">
        <f ca="1">Dashboard!D$8* Dashboard!$F$4+Dashboard!D$10*SQRT(Dashboard!$F$4) * _xlfn.NORM.S.INV(RAND())</f>
        <v>-1.7044516587346969E-2</v>
      </c>
    </row>
    <row r="5067" spans="18:21" x14ac:dyDescent="0.2">
      <c r="R5067" s="49">
        <v>5065</v>
      </c>
      <c r="S5067" s="59">
        <f ca="1">Dashboard!B$8* Dashboard!$F$4+Dashboard!B$10*SQRT(Dashboard!$F$4) * _xlfn.NORM.S.INV(RAND())</f>
        <v>6.7787951811059025E-2</v>
      </c>
      <c r="T5067" s="59">
        <f ca="1">Dashboard!C$8* Dashboard!$F$4+Dashboard!C$10*SQRT(Dashboard!$F$4) * _xlfn.NORM.S.INV(RAND())</f>
        <v>-7.461845925309557E-2</v>
      </c>
      <c r="U5067" s="59">
        <f ca="1">Dashboard!D$8* Dashboard!$F$4+Dashboard!D$10*SQRT(Dashboard!$F$4) * _xlfn.NORM.S.INV(RAND())</f>
        <v>5.179554521227773E-3</v>
      </c>
    </row>
    <row r="5068" spans="18:21" x14ac:dyDescent="0.2">
      <c r="R5068" s="49">
        <v>5066</v>
      </c>
      <c r="S5068" s="59">
        <f ca="1">Dashboard!B$8* Dashboard!$F$4+Dashboard!B$10*SQRT(Dashboard!$F$4) * _xlfn.NORM.S.INV(RAND())</f>
        <v>-1.796592847939131E-2</v>
      </c>
      <c r="T5068" s="59">
        <f ca="1">Dashboard!C$8* Dashboard!$F$4+Dashboard!C$10*SQRT(Dashboard!$F$4) * _xlfn.NORM.S.INV(RAND())</f>
        <v>-9.0015133942972954E-3</v>
      </c>
      <c r="U5068" s="59">
        <f ca="1">Dashboard!D$8* Dashboard!$F$4+Dashboard!D$10*SQRT(Dashboard!$F$4) * _xlfn.NORM.S.INV(RAND())</f>
        <v>1.8360631787925984E-2</v>
      </c>
    </row>
    <row r="5069" spans="18:21" x14ac:dyDescent="0.2">
      <c r="R5069" s="49">
        <v>5067</v>
      </c>
      <c r="S5069" s="59">
        <f ca="1">Dashboard!B$8* Dashboard!$F$4+Dashboard!B$10*SQRT(Dashboard!$F$4) * _xlfn.NORM.S.INV(RAND())</f>
        <v>1.4569820214015114E-2</v>
      </c>
      <c r="T5069" s="59">
        <f ca="1">Dashboard!C$8* Dashboard!$F$4+Dashboard!C$10*SQRT(Dashboard!$F$4) * _xlfn.NORM.S.INV(RAND())</f>
        <v>-8.7759759262471121E-3</v>
      </c>
      <c r="U5069" s="59">
        <f ca="1">Dashboard!D$8* Dashboard!$F$4+Dashboard!D$10*SQRT(Dashboard!$F$4) * _xlfn.NORM.S.INV(RAND())</f>
        <v>-1.4637496212953184E-2</v>
      </c>
    </row>
    <row r="5070" spans="18:21" x14ac:dyDescent="0.2">
      <c r="R5070" s="49">
        <v>5068</v>
      </c>
      <c r="S5070" s="59">
        <f ca="1">Dashboard!B$8* Dashboard!$F$4+Dashboard!B$10*SQRT(Dashboard!$F$4) * _xlfn.NORM.S.INV(RAND())</f>
        <v>1.1711151745202772E-2</v>
      </c>
      <c r="T5070" s="59">
        <f ca="1">Dashboard!C$8* Dashboard!$F$4+Dashboard!C$10*SQRT(Dashboard!$F$4) * _xlfn.NORM.S.INV(RAND())</f>
        <v>3.3134603881746065E-3</v>
      </c>
      <c r="U5070" s="59">
        <f ca="1">Dashboard!D$8* Dashboard!$F$4+Dashboard!D$10*SQRT(Dashboard!$F$4) * _xlfn.NORM.S.INV(RAND())</f>
        <v>9.3255270383461094E-3</v>
      </c>
    </row>
    <row r="5071" spans="18:21" x14ac:dyDescent="0.2">
      <c r="R5071" s="49">
        <v>5069</v>
      </c>
      <c r="S5071" s="59">
        <f ca="1">Dashboard!B$8* Dashboard!$F$4+Dashboard!B$10*SQRT(Dashboard!$F$4) * _xlfn.NORM.S.INV(RAND())</f>
        <v>-5.3229094823429995E-2</v>
      </c>
      <c r="T5071" s="59">
        <f ca="1">Dashboard!C$8* Dashboard!$F$4+Dashboard!C$10*SQRT(Dashboard!$F$4) * _xlfn.NORM.S.INV(RAND())</f>
        <v>5.1900887636386471E-2</v>
      </c>
      <c r="U5071" s="59">
        <f ca="1">Dashboard!D$8* Dashboard!$F$4+Dashboard!D$10*SQRT(Dashboard!$F$4) * _xlfn.NORM.S.INV(RAND())</f>
        <v>-6.3548140322590664E-3</v>
      </c>
    </row>
    <row r="5072" spans="18:21" x14ac:dyDescent="0.2">
      <c r="R5072" s="49">
        <v>5070</v>
      </c>
      <c r="S5072" s="59">
        <f ca="1">Dashboard!B$8* Dashboard!$F$4+Dashboard!B$10*SQRT(Dashboard!$F$4) * _xlfn.NORM.S.INV(RAND())</f>
        <v>-2.9322048605158191E-2</v>
      </c>
      <c r="T5072" s="59">
        <f ca="1">Dashboard!C$8* Dashboard!$F$4+Dashboard!C$10*SQRT(Dashboard!$F$4) * _xlfn.NORM.S.INV(RAND())</f>
        <v>5.4670439031262542E-2</v>
      </c>
      <c r="U5072" s="59">
        <f ca="1">Dashboard!D$8* Dashboard!$F$4+Dashboard!D$10*SQRT(Dashboard!$F$4) * _xlfn.NORM.S.INV(RAND())</f>
        <v>3.4551747879605361E-2</v>
      </c>
    </row>
    <row r="5073" spans="18:21" x14ac:dyDescent="0.2">
      <c r="R5073" s="49">
        <v>5071</v>
      </c>
      <c r="S5073" s="59">
        <f ca="1">Dashboard!B$8* Dashboard!$F$4+Dashboard!B$10*SQRT(Dashboard!$F$4) * _xlfn.NORM.S.INV(RAND())</f>
        <v>-3.1752885165725067E-2</v>
      </c>
      <c r="T5073" s="59">
        <f ca="1">Dashboard!C$8* Dashboard!$F$4+Dashboard!C$10*SQRT(Dashboard!$F$4) * _xlfn.NORM.S.INV(RAND())</f>
        <v>-6.3133949837752392E-3</v>
      </c>
      <c r="U5073" s="59">
        <f ca="1">Dashboard!D$8* Dashboard!$F$4+Dashboard!D$10*SQRT(Dashboard!$F$4) * _xlfn.NORM.S.INV(RAND())</f>
        <v>-1.5404734210306517E-2</v>
      </c>
    </row>
    <row r="5074" spans="18:21" x14ac:dyDescent="0.2">
      <c r="R5074" s="49">
        <v>5072</v>
      </c>
      <c r="S5074" s="59">
        <f ca="1">Dashboard!B$8* Dashboard!$F$4+Dashboard!B$10*SQRT(Dashboard!$F$4) * _xlfn.NORM.S.INV(RAND())</f>
        <v>-1.0869579427489106E-2</v>
      </c>
      <c r="T5074" s="59">
        <f ca="1">Dashboard!C$8* Dashboard!$F$4+Dashboard!C$10*SQRT(Dashboard!$F$4) * _xlfn.NORM.S.INV(RAND())</f>
        <v>-2.978500598793599E-2</v>
      </c>
      <c r="U5074" s="59">
        <f ca="1">Dashboard!D$8* Dashboard!$F$4+Dashboard!D$10*SQRT(Dashboard!$F$4) * _xlfn.NORM.S.INV(RAND())</f>
        <v>7.1954210913023828E-3</v>
      </c>
    </row>
    <row r="5075" spans="18:21" x14ac:dyDescent="0.2">
      <c r="R5075" s="49">
        <v>5073</v>
      </c>
      <c r="S5075" s="59">
        <f ca="1">Dashboard!B$8* Dashboard!$F$4+Dashboard!B$10*SQRT(Dashboard!$F$4) * _xlfn.NORM.S.INV(RAND())</f>
        <v>4.7754548593182872E-2</v>
      </c>
      <c r="T5075" s="59">
        <f ca="1">Dashboard!C$8* Dashboard!$F$4+Dashboard!C$10*SQRT(Dashboard!$F$4) * _xlfn.NORM.S.INV(RAND())</f>
        <v>1.7308777391368867E-3</v>
      </c>
      <c r="U5075" s="59">
        <f ca="1">Dashboard!D$8* Dashboard!$F$4+Dashboard!D$10*SQRT(Dashboard!$F$4) * _xlfn.NORM.S.INV(RAND())</f>
        <v>8.3038226673282419E-3</v>
      </c>
    </row>
    <row r="5076" spans="18:21" x14ac:dyDescent="0.2">
      <c r="R5076" s="49">
        <v>5074</v>
      </c>
      <c r="S5076" s="59">
        <f ca="1">Dashboard!B$8* Dashboard!$F$4+Dashboard!B$10*SQRT(Dashboard!$F$4) * _xlfn.NORM.S.INV(RAND())</f>
        <v>-8.2466671947842435E-3</v>
      </c>
      <c r="T5076" s="59">
        <f ca="1">Dashboard!C$8* Dashboard!$F$4+Dashboard!C$10*SQRT(Dashboard!$F$4) * _xlfn.NORM.S.INV(RAND())</f>
        <v>-2.1491673485754172E-2</v>
      </c>
      <c r="U5076" s="59">
        <f ca="1">Dashboard!D$8* Dashboard!$F$4+Dashboard!D$10*SQRT(Dashboard!$F$4) * _xlfn.NORM.S.INV(RAND())</f>
        <v>6.2113751002270838E-2</v>
      </c>
    </row>
    <row r="5077" spans="18:21" x14ac:dyDescent="0.2">
      <c r="R5077" s="49">
        <v>5075</v>
      </c>
      <c r="S5077" s="59">
        <f ca="1">Dashboard!B$8* Dashboard!$F$4+Dashboard!B$10*SQRT(Dashboard!$F$4) * _xlfn.NORM.S.INV(RAND())</f>
        <v>-1.3711051266525241E-2</v>
      </c>
      <c r="T5077" s="59">
        <f ca="1">Dashboard!C$8* Dashboard!$F$4+Dashboard!C$10*SQRT(Dashboard!$F$4) * _xlfn.NORM.S.INV(RAND())</f>
        <v>3.3353373121918608E-3</v>
      </c>
      <c r="U5077" s="59">
        <f ca="1">Dashboard!D$8* Dashboard!$F$4+Dashboard!D$10*SQRT(Dashboard!$F$4) * _xlfn.NORM.S.INV(RAND())</f>
        <v>-3.1995188331892355E-2</v>
      </c>
    </row>
    <row r="5078" spans="18:21" x14ac:dyDescent="0.2">
      <c r="R5078" s="49">
        <v>5076</v>
      </c>
      <c r="S5078" s="59">
        <f ca="1">Dashboard!B$8* Dashboard!$F$4+Dashboard!B$10*SQRT(Dashboard!$F$4) * _xlfn.NORM.S.INV(RAND())</f>
        <v>1.2778651014431E-4</v>
      </c>
      <c r="T5078" s="59">
        <f ca="1">Dashboard!C$8* Dashboard!$F$4+Dashboard!C$10*SQRT(Dashboard!$F$4) * _xlfn.NORM.S.INV(RAND())</f>
        <v>-3.8523194770436635E-2</v>
      </c>
      <c r="U5078" s="59">
        <f ca="1">Dashboard!D$8* Dashboard!$F$4+Dashboard!D$10*SQRT(Dashboard!$F$4) * _xlfn.NORM.S.INV(RAND())</f>
        <v>-1.5652771506826861E-2</v>
      </c>
    </row>
    <row r="5079" spans="18:21" x14ac:dyDescent="0.2">
      <c r="R5079" s="49">
        <v>5077</v>
      </c>
      <c r="S5079" s="59">
        <f ca="1">Dashboard!B$8* Dashboard!$F$4+Dashboard!B$10*SQRT(Dashboard!$F$4) * _xlfn.NORM.S.INV(RAND())</f>
        <v>-5.9638280065732199E-2</v>
      </c>
      <c r="T5079" s="59">
        <f ca="1">Dashboard!C$8* Dashboard!$F$4+Dashboard!C$10*SQRT(Dashboard!$F$4) * _xlfn.NORM.S.INV(RAND())</f>
        <v>-3.7172887560736521E-2</v>
      </c>
      <c r="U5079" s="59">
        <f ca="1">Dashboard!D$8* Dashboard!$F$4+Dashboard!D$10*SQRT(Dashboard!$F$4) * _xlfn.NORM.S.INV(RAND())</f>
        <v>-4.8876731064110425E-2</v>
      </c>
    </row>
    <row r="5080" spans="18:21" x14ac:dyDescent="0.2">
      <c r="R5080" s="49">
        <v>5078</v>
      </c>
      <c r="S5080" s="59">
        <f ca="1">Dashboard!B$8* Dashboard!$F$4+Dashboard!B$10*SQRT(Dashboard!$F$4) * _xlfn.NORM.S.INV(RAND())</f>
        <v>1.0561790353696431E-2</v>
      </c>
      <c r="T5080" s="59">
        <f ca="1">Dashboard!C$8* Dashboard!$F$4+Dashboard!C$10*SQRT(Dashboard!$F$4) * _xlfn.NORM.S.INV(RAND())</f>
        <v>4.8891135007339881E-2</v>
      </c>
      <c r="U5080" s="59">
        <f ca="1">Dashboard!D$8* Dashboard!$F$4+Dashboard!D$10*SQRT(Dashboard!$F$4) * _xlfn.NORM.S.INV(RAND())</f>
        <v>-1.8994392152189774E-2</v>
      </c>
    </row>
    <row r="5081" spans="18:21" x14ac:dyDescent="0.2">
      <c r="R5081" s="49">
        <v>5079</v>
      </c>
      <c r="S5081" s="59">
        <f ca="1">Dashboard!B$8* Dashboard!$F$4+Dashboard!B$10*SQRT(Dashboard!$F$4) * _xlfn.NORM.S.INV(RAND())</f>
        <v>-2.6842154367633375E-2</v>
      </c>
      <c r="T5081" s="59">
        <f ca="1">Dashboard!C$8* Dashboard!$F$4+Dashboard!C$10*SQRT(Dashboard!$F$4) * _xlfn.NORM.S.INV(RAND())</f>
        <v>7.9956864501084298E-3</v>
      </c>
      <c r="U5081" s="59">
        <f ca="1">Dashboard!D$8* Dashboard!$F$4+Dashboard!D$10*SQRT(Dashboard!$F$4) * _xlfn.NORM.S.INV(RAND())</f>
        <v>-1.7851568111376951E-2</v>
      </c>
    </row>
    <row r="5082" spans="18:21" x14ac:dyDescent="0.2">
      <c r="R5082" s="49">
        <v>5080</v>
      </c>
      <c r="S5082" s="59">
        <f ca="1">Dashboard!B$8* Dashboard!$F$4+Dashboard!B$10*SQRT(Dashboard!$F$4) * _xlfn.NORM.S.INV(RAND())</f>
        <v>-6.7447442325937954E-3</v>
      </c>
      <c r="T5082" s="59">
        <f ca="1">Dashboard!C$8* Dashboard!$F$4+Dashboard!C$10*SQRT(Dashboard!$F$4) * _xlfn.NORM.S.INV(RAND())</f>
        <v>1.1272508940878431E-2</v>
      </c>
      <c r="U5082" s="59">
        <f ca="1">Dashboard!D$8* Dashboard!$F$4+Dashboard!D$10*SQRT(Dashboard!$F$4) * _xlfn.NORM.S.INV(RAND())</f>
        <v>1.60278521796149E-3</v>
      </c>
    </row>
    <row r="5083" spans="18:21" x14ac:dyDescent="0.2">
      <c r="R5083" s="49">
        <v>5081</v>
      </c>
      <c r="S5083" s="59">
        <f ca="1">Dashboard!B$8* Dashboard!$F$4+Dashboard!B$10*SQRT(Dashboard!$F$4) * _xlfn.NORM.S.INV(RAND())</f>
        <v>2.2957176235834376E-2</v>
      </c>
      <c r="T5083" s="59">
        <f ca="1">Dashboard!C$8* Dashboard!$F$4+Dashboard!C$10*SQRT(Dashboard!$F$4) * _xlfn.NORM.S.INV(RAND())</f>
        <v>2.9555521313430817E-2</v>
      </c>
      <c r="U5083" s="59">
        <f ca="1">Dashboard!D$8* Dashboard!$F$4+Dashboard!D$10*SQRT(Dashboard!$F$4) * _xlfn.NORM.S.INV(RAND())</f>
        <v>-2.0624055589493314E-2</v>
      </c>
    </row>
    <row r="5084" spans="18:21" x14ac:dyDescent="0.2">
      <c r="R5084" s="49">
        <v>5082</v>
      </c>
      <c r="S5084" s="59">
        <f ca="1">Dashboard!B$8* Dashboard!$F$4+Dashboard!B$10*SQRT(Dashboard!$F$4) * _xlfn.NORM.S.INV(RAND())</f>
        <v>3.3679376570366739E-3</v>
      </c>
      <c r="T5084" s="59">
        <f ca="1">Dashboard!C$8* Dashboard!$F$4+Dashboard!C$10*SQRT(Dashboard!$F$4) * _xlfn.NORM.S.INV(RAND())</f>
        <v>-3.4363489270698988E-2</v>
      </c>
      <c r="U5084" s="59">
        <f ca="1">Dashboard!D$8* Dashboard!$F$4+Dashboard!D$10*SQRT(Dashboard!$F$4) * _xlfn.NORM.S.INV(RAND())</f>
        <v>-5.4443289923224399E-2</v>
      </c>
    </row>
    <row r="5085" spans="18:21" x14ac:dyDescent="0.2">
      <c r="R5085" s="49">
        <v>5083</v>
      </c>
      <c r="S5085" s="59">
        <f ca="1">Dashboard!B$8* Dashboard!$F$4+Dashboard!B$10*SQRT(Dashboard!$F$4) * _xlfn.NORM.S.INV(RAND())</f>
        <v>-9.7486766339824199E-2</v>
      </c>
      <c r="T5085" s="59">
        <f ca="1">Dashboard!C$8* Dashboard!$F$4+Dashboard!C$10*SQRT(Dashboard!$F$4) * _xlfn.NORM.S.INV(RAND())</f>
        <v>2.8661037640466139E-2</v>
      </c>
      <c r="U5085" s="59">
        <f ca="1">Dashboard!D$8* Dashboard!$F$4+Dashboard!D$10*SQRT(Dashboard!$F$4) * _xlfn.NORM.S.INV(RAND())</f>
        <v>5.1408358419751929E-2</v>
      </c>
    </row>
    <row r="5086" spans="18:21" x14ac:dyDescent="0.2">
      <c r="R5086" s="49">
        <v>5084</v>
      </c>
      <c r="S5086" s="59">
        <f ca="1">Dashboard!B$8* Dashboard!$F$4+Dashboard!B$10*SQRT(Dashboard!$F$4) * _xlfn.NORM.S.INV(RAND())</f>
        <v>-3.2096721167547443E-2</v>
      </c>
      <c r="T5086" s="59">
        <f ca="1">Dashboard!C$8* Dashboard!$F$4+Dashboard!C$10*SQRT(Dashboard!$F$4) * _xlfn.NORM.S.INV(RAND())</f>
        <v>8.1496019935755726E-2</v>
      </c>
      <c r="U5086" s="59">
        <f ca="1">Dashboard!D$8* Dashboard!$F$4+Dashboard!D$10*SQRT(Dashboard!$F$4) * _xlfn.NORM.S.INV(RAND())</f>
        <v>1.0639705573320656E-2</v>
      </c>
    </row>
    <row r="5087" spans="18:21" x14ac:dyDescent="0.2">
      <c r="R5087" s="49">
        <v>5085</v>
      </c>
      <c r="S5087" s="59">
        <f ca="1">Dashboard!B$8* Dashboard!$F$4+Dashboard!B$10*SQRT(Dashboard!$F$4) * _xlfn.NORM.S.INV(RAND())</f>
        <v>-6.7458278020729581E-2</v>
      </c>
      <c r="T5087" s="59">
        <f ca="1">Dashboard!C$8* Dashboard!$F$4+Dashboard!C$10*SQRT(Dashboard!$F$4) * _xlfn.NORM.S.INV(RAND())</f>
        <v>-3.0744691233017579E-2</v>
      </c>
      <c r="U5087" s="59">
        <f ca="1">Dashboard!D$8* Dashboard!$F$4+Dashboard!D$10*SQRT(Dashboard!$F$4) * _xlfn.NORM.S.INV(RAND())</f>
        <v>-3.0421053219098639E-2</v>
      </c>
    </row>
    <row r="5088" spans="18:21" x14ac:dyDescent="0.2">
      <c r="R5088" s="49">
        <v>5086</v>
      </c>
      <c r="S5088" s="59">
        <f ca="1">Dashboard!B$8* Dashboard!$F$4+Dashboard!B$10*SQRT(Dashboard!$F$4) * _xlfn.NORM.S.INV(RAND())</f>
        <v>-4.5201883054845531E-4</v>
      </c>
      <c r="T5088" s="59">
        <f ca="1">Dashboard!C$8* Dashboard!$F$4+Dashboard!C$10*SQRT(Dashboard!$F$4) * _xlfn.NORM.S.INV(RAND())</f>
        <v>2.8805211372133453E-2</v>
      </c>
      <c r="U5088" s="59">
        <f ca="1">Dashboard!D$8* Dashboard!$F$4+Dashboard!D$10*SQRT(Dashboard!$F$4) * _xlfn.NORM.S.INV(RAND())</f>
        <v>9.3109272091992923E-4</v>
      </c>
    </row>
    <row r="5089" spans="18:21" x14ac:dyDescent="0.2">
      <c r="R5089" s="49">
        <v>5087</v>
      </c>
      <c r="S5089" s="59">
        <f ca="1">Dashboard!B$8* Dashboard!$F$4+Dashboard!B$10*SQRT(Dashboard!$F$4) * _xlfn.NORM.S.INV(RAND())</f>
        <v>1.8516384492190743E-2</v>
      </c>
      <c r="T5089" s="59">
        <f ca="1">Dashboard!C$8* Dashboard!$F$4+Dashboard!C$10*SQRT(Dashboard!$F$4) * _xlfn.NORM.S.INV(RAND())</f>
        <v>6.2550386396548968E-3</v>
      </c>
      <c r="U5089" s="59">
        <f ca="1">Dashboard!D$8* Dashboard!$F$4+Dashboard!D$10*SQRT(Dashboard!$F$4) * _xlfn.NORM.S.INV(RAND())</f>
        <v>-7.788784128422206E-3</v>
      </c>
    </row>
    <row r="5090" spans="18:21" x14ac:dyDescent="0.2">
      <c r="R5090" s="49">
        <v>5088</v>
      </c>
      <c r="S5090" s="59">
        <f ca="1">Dashboard!B$8* Dashboard!$F$4+Dashboard!B$10*SQRT(Dashboard!$F$4) * _xlfn.NORM.S.INV(RAND())</f>
        <v>-1.6302304278932207E-2</v>
      </c>
      <c r="T5090" s="59">
        <f ca="1">Dashboard!C$8* Dashboard!$F$4+Dashboard!C$10*SQRT(Dashboard!$F$4) * _xlfn.NORM.S.INV(RAND())</f>
        <v>-1.5432402073000454E-2</v>
      </c>
      <c r="U5090" s="59">
        <f ca="1">Dashboard!D$8* Dashboard!$F$4+Dashboard!D$10*SQRT(Dashboard!$F$4) * _xlfn.NORM.S.INV(RAND())</f>
        <v>-3.9614159425406373E-2</v>
      </c>
    </row>
    <row r="5091" spans="18:21" x14ac:dyDescent="0.2">
      <c r="R5091" s="49">
        <v>5089</v>
      </c>
      <c r="S5091" s="59">
        <f ca="1">Dashboard!B$8* Dashboard!$F$4+Dashboard!B$10*SQRT(Dashboard!$F$4) * _xlfn.NORM.S.INV(RAND())</f>
        <v>1.6476142096668048E-2</v>
      </c>
      <c r="T5091" s="59">
        <f ca="1">Dashboard!C$8* Dashboard!$F$4+Dashboard!C$10*SQRT(Dashboard!$F$4) * _xlfn.NORM.S.INV(RAND())</f>
        <v>2.2111144898122999E-2</v>
      </c>
      <c r="U5091" s="59">
        <f ca="1">Dashboard!D$8* Dashboard!$F$4+Dashboard!D$10*SQRT(Dashboard!$F$4) * _xlfn.NORM.S.INV(RAND())</f>
        <v>9.9827965485897773E-4</v>
      </c>
    </row>
    <row r="5092" spans="18:21" x14ac:dyDescent="0.2">
      <c r="R5092" s="49">
        <v>5090</v>
      </c>
      <c r="S5092" s="59">
        <f ca="1">Dashboard!B$8* Dashboard!$F$4+Dashboard!B$10*SQRT(Dashboard!$F$4) * _xlfn.NORM.S.INV(RAND())</f>
        <v>-7.0362362042158108E-2</v>
      </c>
      <c r="T5092" s="59">
        <f ca="1">Dashboard!C$8* Dashboard!$F$4+Dashboard!C$10*SQRT(Dashboard!$F$4) * _xlfn.NORM.S.INV(RAND())</f>
        <v>-3.2528173610917969E-2</v>
      </c>
      <c r="U5092" s="59">
        <f ca="1">Dashboard!D$8* Dashboard!$F$4+Dashboard!D$10*SQRT(Dashboard!$F$4) * _xlfn.NORM.S.INV(RAND())</f>
        <v>-3.08135460353882E-2</v>
      </c>
    </row>
    <row r="5093" spans="18:21" x14ac:dyDescent="0.2">
      <c r="R5093" s="49">
        <v>5091</v>
      </c>
      <c r="S5093" s="59">
        <f ca="1">Dashboard!B$8* Dashboard!$F$4+Dashboard!B$10*SQRT(Dashboard!$F$4) * _xlfn.NORM.S.INV(RAND())</f>
        <v>-3.2797554422199567E-2</v>
      </c>
      <c r="T5093" s="59">
        <f ca="1">Dashboard!C$8* Dashboard!$F$4+Dashboard!C$10*SQRT(Dashboard!$F$4) * _xlfn.NORM.S.INV(RAND())</f>
        <v>-4.2435145116891644E-3</v>
      </c>
      <c r="U5093" s="59">
        <f ca="1">Dashboard!D$8* Dashboard!$F$4+Dashboard!D$10*SQRT(Dashboard!$F$4) * _xlfn.NORM.S.INV(RAND())</f>
        <v>1.2710256617910537E-2</v>
      </c>
    </row>
    <row r="5094" spans="18:21" x14ac:dyDescent="0.2">
      <c r="R5094" s="49">
        <v>5092</v>
      </c>
      <c r="S5094" s="59">
        <f ca="1">Dashboard!B$8* Dashboard!$F$4+Dashboard!B$10*SQRT(Dashboard!$F$4) * _xlfn.NORM.S.INV(RAND())</f>
        <v>-3.1538697518549909E-2</v>
      </c>
      <c r="T5094" s="59">
        <f ca="1">Dashboard!C$8* Dashboard!$F$4+Dashboard!C$10*SQRT(Dashboard!$F$4) * _xlfn.NORM.S.INV(RAND())</f>
        <v>-1.3781717483956124E-2</v>
      </c>
      <c r="U5094" s="59">
        <f ca="1">Dashboard!D$8* Dashboard!$F$4+Dashboard!D$10*SQRT(Dashboard!$F$4) * _xlfn.NORM.S.INV(RAND())</f>
        <v>9.8735315047033634E-4</v>
      </c>
    </row>
    <row r="5095" spans="18:21" x14ac:dyDescent="0.2">
      <c r="R5095" s="49">
        <v>5093</v>
      </c>
      <c r="S5095" s="59">
        <f ca="1">Dashboard!B$8* Dashboard!$F$4+Dashboard!B$10*SQRT(Dashboard!$F$4) * _xlfn.NORM.S.INV(RAND())</f>
        <v>1.1480344357464584E-2</v>
      </c>
      <c r="T5095" s="59">
        <f ca="1">Dashboard!C$8* Dashboard!$F$4+Dashboard!C$10*SQRT(Dashboard!$F$4) * _xlfn.NORM.S.INV(RAND())</f>
        <v>1.3429941368863149E-2</v>
      </c>
      <c r="U5095" s="59">
        <f ca="1">Dashboard!D$8* Dashboard!$F$4+Dashboard!D$10*SQRT(Dashboard!$F$4) * _xlfn.NORM.S.INV(RAND())</f>
        <v>2.0843480009228817E-2</v>
      </c>
    </row>
    <row r="5096" spans="18:21" x14ac:dyDescent="0.2">
      <c r="R5096" s="49">
        <v>5094</v>
      </c>
      <c r="S5096" s="59">
        <f ca="1">Dashboard!B$8* Dashboard!$F$4+Dashboard!B$10*SQRT(Dashboard!$F$4) * _xlfn.NORM.S.INV(RAND())</f>
        <v>2.5047255707273709E-3</v>
      </c>
      <c r="T5096" s="59">
        <f ca="1">Dashboard!C$8* Dashboard!$F$4+Dashboard!C$10*SQRT(Dashboard!$F$4) * _xlfn.NORM.S.INV(RAND())</f>
        <v>8.2330957952947252E-3</v>
      </c>
      <c r="U5096" s="59">
        <f ca="1">Dashboard!D$8* Dashboard!$F$4+Dashboard!D$10*SQRT(Dashboard!$F$4) * _xlfn.NORM.S.INV(RAND())</f>
        <v>3.0920643824296747E-2</v>
      </c>
    </row>
    <row r="5097" spans="18:21" x14ac:dyDescent="0.2">
      <c r="R5097" s="49">
        <v>5095</v>
      </c>
      <c r="S5097" s="59">
        <f ca="1">Dashboard!B$8* Dashboard!$F$4+Dashboard!B$10*SQRT(Dashboard!$F$4) * _xlfn.NORM.S.INV(RAND())</f>
        <v>-2.9394175720181162E-3</v>
      </c>
      <c r="T5097" s="59">
        <f ca="1">Dashboard!C$8* Dashboard!$F$4+Dashboard!C$10*SQRT(Dashboard!$F$4) * _xlfn.NORM.S.INV(RAND())</f>
        <v>4.5010112551496506E-3</v>
      </c>
      <c r="U5097" s="59">
        <f ca="1">Dashboard!D$8* Dashboard!$F$4+Dashboard!D$10*SQRT(Dashboard!$F$4) * _xlfn.NORM.S.INV(RAND())</f>
        <v>-1.484597272590699E-2</v>
      </c>
    </row>
    <row r="5098" spans="18:21" x14ac:dyDescent="0.2">
      <c r="R5098" s="49">
        <v>5096</v>
      </c>
      <c r="S5098" s="59">
        <f ca="1">Dashboard!B$8* Dashboard!$F$4+Dashboard!B$10*SQRT(Dashboard!$F$4) * _xlfn.NORM.S.INV(RAND())</f>
        <v>-6.2325474635055618E-2</v>
      </c>
      <c r="T5098" s="59">
        <f ca="1">Dashboard!C$8* Dashboard!$F$4+Dashboard!C$10*SQRT(Dashboard!$F$4) * _xlfn.NORM.S.INV(RAND())</f>
        <v>-3.5878725240524089E-3</v>
      </c>
      <c r="U5098" s="59">
        <f ca="1">Dashboard!D$8* Dashboard!$F$4+Dashboard!D$10*SQRT(Dashboard!$F$4) * _xlfn.NORM.S.INV(RAND())</f>
        <v>-5.9227320908720169E-2</v>
      </c>
    </row>
    <row r="5099" spans="18:21" x14ac:dyDescent="0.2">
      <c r="R5099" s="49">
        <v>5097</v>
      </c>
      <c r="S5099" s="59">
        <f ca="1">Dashboard!B$8* Dashboard!$F$4+Dashboard!B$10*SQRT(Dashboard!$F$4) * _xlfn.NORM.S.INV(RAND())</f>
        <v>-6.2955665332228752E-2</v>
      </c>
      <c r="T5099" s="59">
        <f ca="1">Dashboard!C$8* Dashboard!$F$4+Dashboard!C$10*SQRT(Dashboard!$F$4) * _xlfn.NORM.S.INV(RAND())</f>
        <v>9.2409136727579846E-3</v>
      </c>
      <c r="U5099" s="59">
        <f ca="1">Dashboard!D$8* Dashboard!$F$4+Dashboard!D$10*SQRT(Dashboard!$F$4) * _xlfn.NORM.S.INV(RAND())</f>
        <v>-5.3266253651452385E-3</v>
      </c>
    </row>
    <row r="5100" spans="18:21" x14ac:dyDescent="0.2">
      <c r="R5100" s="49">
        <v>5098</v>
      </c>
      <c r="S5100" s="59">
        <f ca="1">Dashboard!B$8* Dashboard!$F$4+Dashboard!B$10*SQRT(Dashboard!$F$4) * _xlfn.NORM.S.INV(RAND())</f>
        <v>-7.2731377698954158E-2</v>
      </c>
      <c r="T5100" s="59">
        <f ca="1">Dashboard!C$8* Dashboard!$F$4+Dashboard!C$10*SQRT(Dashboard!$F$4) * _xlfn.NORM.S.INV(RAND())</f>
        <v>3.6004552430076851E-2</v>
      </c>
      <c r="U5100" s="59">
        <f ca="1">Dashboard!D$8* Dashboard!$F$4+Dashboard!D$10*SQRT(Dashboard!$F$4) * _xlfn.NORM.S.INV(RAND())</f>
        <v>5.7689594204959286E-3</v>
      </c>
    </row>
    <row r="5101" spans="18:21" x14ac:dyDescent="0.2">
      <c r="R5101" s="49">
        <v>5099</v>
      </c>
      <c r="S5101" s="59">
        <f ca="1">Dashboard!B$8* Dashboard!$F$4+Dashboard!B$10*SQRT(Dashboard!$F$4) * _xlfn.NORM.S.INV(RAND())</f>
        <v>1.4667701402076632E-2</v>
      </c>
      <c r="T5101" s="59">
        <f ca="1">Dashboard!C$8* Dashboard!$F$4+Dashboard!C$10*SQRT(Dashboard!$F$4) * _xlfn.NORM.S.INV(RAND())</f>
        <v>3.3471380241142219E-2</v>
      </c>
      <c r="U5101" s="59">
        <f ca="1">Dashboard!D$8* Dashboard!$F$4+Dashboard!D$10*SQRT(Dashboard!$F$4) * _xlfn.NORM.S.INV(RAND())</f>
        <v>1.9812056477391666E-2</v>
      </c>
    </row>
    <row r="5102" spans="18:21" x14ac:dyDescent="0.2">
      <c r="R5102" s="49">
        <v>5100</v>
      </c>
      <c r="S5102" s="59">
        <f ca="1">Dashboard!B$8* Dashboard!$F$4+Dashboard!B$10*SQRT(Dashboard!$F$4) * _xlfn.NORM.S.INV(RAND())</f>
        <v>-8.560221480580274E-2</v>
      </c>
      <c r="T5102" s="59">
        <f ca="1">Dashboard!C$8* Dashboard!$F$4+Dashboard!C$10*SQRT(Dashboard!$F$4) * _xlfn.NORM.S.INV(RAND())</f>
        <v>-6.1938103038932199E-2</v>
      </c>
      <c r="U5102" s="59">
        <f ca="1">Dashboard!D$8* Dashboard!$F$4+Dashboard!D$10*SQRT(Dashboard!$F$4) * _xlfn.NORM.S.INV(RAND())</f>
        <v>1.4093792824747011E-2</v>
      </c>
    </row>
    <row r="5103" spans="18:21" x14ac:dyDescent="0.2">
      <c r="R5103" s="49">
        <v>5101</v>
      </c>
      <c r="S5103" s="59">
        <f ca="1">Dashboard!B$8* Dashboard!$F$4+Dashboard!B$10*SQRT(Dashboard!$F$4) * _xlfn.NORM.S.INV(RAND())</f>
        <v>-1.7718400500767787E-2</v>
      </c>
      <c r="T5103" s="59">
        <f ca="1">Dashboard!C$8* Dashboard!$F$4+Dashboard!C$10*SQRT(Dashboard!$F$4) * _xlfn.NORM.S.INV(RAND())</f>
        <v>-2.6503473619235093E-4</v>
      </c>
      <c r="U5103" s="59">
        <f ca="1">Dashboard!D$8* Dashboard!$F$4+Dashboard!D$10*SQRT(Dashboard!$F$4) * _xlfn.NORM.S.INV(RAND())</f>
        <v>-6.6531188517347919E-2</v>
      </c>
    </row>
    <row r="5104" spans="18:21" x14ac:dyDescent="0.2">
      <c r="R5104" s="49">
        <v>5102</v>
      </c>
      <c r="S5104" s="59">
        <f ca="1">Dashboard!B$8* Dashboard!$F$4+Dashboard!B$10*SQRT(Dashboard!$F$4) * _xlfn.NORM.S.INV(RAND())</f>
        <v>-1.1018451700014682E-2</v>
      </c>
      <c r="T5104" s="59">
        <f ca="1">Dashboard!C$8* Dashboard!$F$4+Dashboard!C$10*SQRT(Dashboard!$F$4) * _xlfn.NORM.S.INV(RAND())</f>
        <v>4.3995222423416913E-3</v>
      </c>
      <c r="U5104" s="59">
        <f ca="1">Dashboard!D$8* Dashboard!$F$4+Dashboard!D$10*SQRT(Dashboard!$F$4) * _xlfn.NORM.S.INV(RAND())</f>
        <v>5.7792382879919557E-2</v>
      </c>
    </row>
    <row r="5105" spans="18:21" x14ac:dyDescent="0.2">
      <c r="R5105" s="49">
        <v>5103</v>
      </c>
      <c r="S5105" s="59">
        <f ca="1">Dashboard!B$8* Dashboard!$F$4+Dashboard!B$10*SQRT(Dashboard!$F$4) * _xlfn.NORM.S.INV(RAND())</f>
        <v>7.4892941904402457E-3</v>
      </c>
      <c r="T5105" s="59">
        <f ca="1">Dashboard!C$8* Dashboard!$F$4+Dashboard!C$10*SQRT(Dashboard!$F$4) * _xlfn.NORM.S.INV(RAND())</f>
        <v>1.0427758149680503E-2</v>
      </c>
      <c r="U5105" s="59">
        <f ca="1">Dashboard!D$8* Dashboard!$F$4+Dashboard!D$10*SQRT(Dashboard!$F$4) * _xlfn.NORM.S.INV(RAND())</f>
        <v>-9.3876051668061317E-3</v>
      </c>
    </row>
    <row r="5106" spans="18:21" x14ac:dyDescent="0.2">
      <c r="R5106" s="49">
        <v>5104</v>
      </c>
      <c r="S5106" s="59">
        <f ca="1">Dashboard!B$8* Dashboard!$F$4+Dashboard!B$10*SQRT(Dashboard!$F$4) * _xlfn.NORM.S.INV(RAND())</f>
        <v>-1.1971319788588296E-2</v>
      </c>
      <c r="T5106" s="59">
        <f ca="1">Dashboard!C$8* Dashboard!$F$4+Dashboard!C$10*SQRT(Dashboard!$F$4) * _xlfn.NORM.S.INV(RAND())</f>
        <v>-1.9053685373281736E-2</v>
      </c>
      <c r="U5106" s="59">
        <f ca="1">Dashboard!D$8* Dashboard!$F$4+Dashboard!D$10*SQRT(Dashboard!$F$4) * _xlfn.NORM.S.INV(RAND())</f>
        <v>-6.6378962021980445E-2</v>
      </c>
    </row>
    <row r="5107" spans="18:21" x14ac:dyDescent="0.2">
      <c r="R5107" s="49">
        <v>5105</v>
      </c>
      <c r="S5107" s="59">
        <f ca="1">Dashboard!B$8* Dashboard!$F$4+Dashboard!B$10*SQRT(Dashboard!$F$4) * _xlfn.NORM.S.INV(RAND())</f>
        <v>-4.9928142961721107E-2</v>
      </c>
      <c r="T5107" s="59">
        <f ca="1">Dashboard!C$8* Dashboard!$F$4+Dashboard!C$10*SQRT(Dashboard!$F$4) * _xlfn.NORM.S.INV(RAND())</f>
        <v>2.9648175647700125E-2</v>
      </c>
      <c r="U5107" s="59">
        <f ca="1">Dashboard!D$8* Dashboard!$F$4+Dashboard!D$10*SQRT(Dashboard!$F$4) * _xlfn.NORM.S.INV(RAND())</f>
        <v>-8.1100411863111127E-5</v>
      </c>
    </row>
    <row r="5108" spans="18:21" x14ac:dyDescent="0.2">
      <c r="R5108" s="49">
        <v>5106</v>
      </c>
      <c r="S5108" s="59">
        <f ca="1">Dashboard!B$8* Dashboard!$F$4+Dashboard!B$10*SQRT(Dashboard!$F$4) * _xlfn.NORM.S.INV(RAND())</f>
        <v>2.0918066994453866E-2</v>
      </c>
      <c r="T5108" s="59">
        <f ca="1">Dashboard!C$8* Dashboard!$F$4+Dashboard!C$10*SQRT(Dashboard!$F$4) * _xlfn.NORM.S.INV(RAND())</f>
        <v>-2.1971396730247165E-2</v>
      </c>
      <c r="U5108" s="59">
        <f ca="1">Dashboard!D$8* Dashboard!$F$4+Dashboard!D$10*SQRT(Dashboard!$F$4) * _xlfn.NORM.S.INV(RAND())</f>
        <v>-2.2048613323120365E-2</v>
      </c>
    </row>
    <row r="5109" spans="18:21" x14ac:dyDescent="0.2">
      <c r="R5109" s="49">
        <v>5107</v>
      </c>
      <c r="S5109" s="59">
        <f ca="1">Dashboard!B$8* Dashboard!$F$4+Dashboard!B$10*SQRT(Dashboard!$F$4) * _xlfn.NORM.S.INV(RAND())</f>
        <v>-7.9328753467996005E-2</v>
      </c>
      <c r="T5109" s="59">
        <f ca="1">Dashboard!C$8* Dashboard!$F$4+Dashboard!C$10*SQRT(Dashboard!$F$4) * _xlfn.NORM.S.INV(RAND())</f>
        <v>-2.0645505978471153E-2</v>
      </c>
      <c r="U5109" s="59">
        <f ca="1">Dashboard!D$8* Dashboard!$F$4+Dashboard!D$10*SQRT(Dashboard!$F$4) * _xlfn.NORM.S.INV(RAND())</f>
        <v>4.2029255581052909E-2</v>
      </c>
    </row>
    <row r="5110" spans="18:21" x14ac:dyDescent="0.2">
      <c r="R5110" s="49">
        <v>5108</v>
      </c>
      <c r="S5110" s="59">
        <f ca="1">Dashboard!B$8* Dashboard!$F$4+Dashboard!B$10*SQRT(Dashboard!$F$4) * _xlfn.NORM.S.INV(RAND())</f>
        <v>3.6416372186725644E-2</v>
      </c>
      <c r="T5110" s="59">
        <f ca="1">Dashboard!C$8* Dashboard!$F$4+Dashboard!C$10*SQRT(Dashboard!$F$4) * _xlfn.NORM.S.INV(RAND())</f>
        <v>4.2258976717518555E-2</v>
      </c>
      <c r="U5110" s="59">
        <f ca="1">Dashboard!D$8* Dashboard!$F$4+Dashboard!D$10*SQRT(Dashboard!$F$4) * _xlfn.NORM.S.INV(RAND())</f>
        <v>8.1484164017880927E-3</v>
      </c>
    </row>
    <row r="5111" spans="18:21" x14ac:dyDescent="0.2">
      <c r="R5111" s="49">
        <v>5109</v>
      </c>
      <c r="S5111" s="59">
        <f ca="1">Dashboard!B$8* Dashboard!$F$4+Dashboard!B$10*SQRT(Dashboard!$F$4) * _xlfn.NORM.S.INV(RAND())</f>
        <v>1.5492309240584494E-2</v>
      </c>
      <c r="T5111" s="59">
        <f ca="1">Dashboard!C$8* Dashboard!$F$4+Dashboard!C$10*SQRT(Dashboard!$F$4) * _xlfn.NORM.S.INV(RAND())</f>
        <v>3.3617166056024064E-2</v>
      </c>
      <c r="U5111" s="59">
        <f ca="1">Dashboard!D$8* Dashboard!$F$4+Dashboard!D$10*SQRT(Dashboard!$F$4) * _xlfn.NORM.S.INV(RAND())</f>
        <v>2.7760132447045047E-2</v>
      </c>
    </row>
    <row r="5112" spans="18:21" x14ac:dyDescent="0.2">
      <c r="R5112" s="49">
        <v>5110</v>
      </c>
      <c r="S5112" s="59">
        <f ca="1">Dashboard!B$8* Dashboard!$F$4+Dashboard!B$10*SQRT(Dashboard!$F$4) * _xlfn.NORM.S.INV(RAND())</f>
        <v>4.2626201681866038E-2</v>
      </c>
      <c r="T5112" s="59">
        <f ca="1">Dashboard!C$8* Dashboard!$F$4+Dashboard!C$10*SQRT(Dashboard!$F$4) * _xlfn.NORM.S.INV(RAND())</f>
        <v>-4.933836818466225E-3</v>
      </c>
      <c r="U5112" s="59">
        <f ca="1">Dashboard!D$8* Dashboard!$F$4+Dashboard!D$10*SQRT(Dashboard!$F$4) * _xlfn.NORM.S.INV(RAND())</f>
        <v>5.4379968940034648E-2</v>
      </c>
    </row>
    <row r="5113" spans="18:21" x14ac:dyDescent="0.2">
      <c r="R5113" s="49">
        <v>5111</v>
      </c>
      <c r="S5113" s="59">
        <f ca="1">Dashboard!B$8* Dashboard!$F$4+Dashboard!B$10*SQRT(Dashboard!$F$4) * _xlfn.NORM.S.INV(RAND())</f>
        <v>-4.2153609245274982E-2</v>
      </c>
      <c r="T5113" s="59">
        <f ca="1">Dashboard!C$8* Dashboard!$F$4+Dashboard!C$10*SQRT(Dashboard!$F$4) * _xlfn.NORM.S.INV(RAND())</f>
        <v>2.2069289348927917E-2</v>
      </c>
      <c r="U5113" s="59">
        <f ca="1">Dashboard!D$8* Dashboard!$F$4+Dashboard!D$10*SQRT(Dashboard!$F$4) * _xlfn.NORM.S.INV(RAND())</f>
        <v>-6.5925487016662999E-3</v>
      </c>
    </row>
    <row r="5114" spans="18:21" x14ac:dyDescent="0.2">
      <c r="R5114" s="49">
        <v>5112</v>
      </c>
      <c r="S5114" s="59">
        <f ca="1">Dashboard!B$8* Dashboard!$F$4+Dashboard!B$10*SQRT(Dashboard!$F$4) * _xlfn.NORM.S.INV(RAND())</f>
        <v>2.2678104636024835E-2</v>
      </c>
      <c r="T5114" s="59">
        <f ca="1">Dashboard!C$8* Dashboard!$F$4+Dashboard!C$10*SQRT(Dashboard!$F$4) * _xlfn.NORM.S.INV(RAND())</f>
        <v>1.6958291444843364E-2</v>
      </c>
      <c r="U5114" s="59">
        <f ca="1">Dashboard!D$8* Dashboard!$F$4+Dashboard!D$10*SQRT(Dashboard!$F$4) * _xlfn.NORM.S.INV(RAND())</f>
        <v>-2.7919316072074794E-2</v>
      </c>
    </row>
    <row r="5115" spans="18:21" x14ac:dyDescent="0.2">
      <c r="R5115" s="49">
        <v>5113</v>
      </c>
      <c r="S5115" s="59">
        <f ca="1">Dashboard!B$8* Dashboard!$F$4+Dashboard!B$10*SQRT(Dashboard!$F$4) * _xlfn.NORM.S.INV(RAND())</f>
        <v>-3.9107600905156262E-2</v>
      </c>
      <c r="T5115" s="59">
        <f ca="1">Dashboard!C$8* Dashboard!$F$4+Dashboard!C$10*SQRT(Dashboard!$F$4) * _xlfn.NORM.S.INV(RAND())</f>
        <v>1.3963834209382683E-2</v>
      </c>
      <c r="U5115" s="59">
        <f ca="1">Dashboard!D$8* Dashboard!$F$4+Dashboard!D$10*SQRT(Dashboard!$F$4) * _xlfn.NORM.S.INV(RAND())</f>
        <v>-4.8381331487444237E-2</v>
      </c>
    </row>
    <row r="5116" spans="18:21" x14ac:dyDescent="0.2">
      <c r="R5116" s="49">
        <v>5114</v>
      </c>
      <c r="S5116" s="59">
        <f ca="1">Dashboard!B$8* Dashboard!$F$4+Dashboard!B$10*SQRT(Dashboard!$F$4) * _xlfn.NORM.S.INV(RAND())</f>
        <v>-3.282388929805047E-3</v>
      </c>
      <c r="T5116" s="59">
        <f ca="1">Dashboard!C$8* Dashboard!$F$4+Dashboard!C$10*SQRT(Dashboard!$F$4) * _xlfn.NORM.S.INV(RAND())</f>
        <v>4.3018240805130246E-2</v>
      </c>
      <c r="U5116" s="59">
        <f ca="1">Dashboard!D$8* Dashboard!$F$4+Dashboard!D$10*SQRT(Dashboard!$F$4) * _xlfn.NORM.S.INV(RAND())</f>
        <v>3.160108048934706E-2</v>
      </c>
    </row>
    <row r="5117" spans="18:21" x14ac:dyDescent="0.2">
      <c r="R5117" s="49">
        <v>5115</v>
      </c>
      <c r="S5117" s="59">
        <f ca="1">Dashboard!B$8* Dashboard!$F$4+Dashboard!B$10*SQRT(Dashboard!$F$4) * _xlfn.NORM.S.INV(RAND())</f>
        <v>1.8956282008980585E-4</v>
      </c>
      <c r="T5117" s="59">
        <f ca="1">Dashboard!C$8* Dashboard!$F$4+Dashboard!C$10*SQRT(Dashboard!$F$4) * _xlfn.NORM.S.INV(RAND())</f>
        <v>1.8246472350017726E-2</v>
      </c>
      <c r="U5117" s="59">
        <f ca="1">Dashboard!D$8* Dashboard!$F$4+Dashboard!D$10*SQRT(Dashboard!$F$4) * _xlfn.NORM.S.INV(RAND())</f>
        <v>8.0733751047244468E-4</v>
      </c>
    </row>
    <row r="5118" spans="18:21" x14ac:dyDescent="0.2">
      <c r="R5118" s="49">
        <v>5116</v>
      </c>
      <c r="S5118" s="59">
        <f ca="1">Dashboard!B$8* Dashboard!$F$4+Dashboard!B$10*SQRT(Dashboard!$F$4) * _xlfn.NORM.S.INV(RAND())</f>
        <v>2.0334348857032371E-3</v>
      </c>
      <c r="T5118" s="59">
        <f ca="1">Dashboard!C$8* Dashboard!$F$4+Dashboard!C$10*SQRT(Dashboard!$F$4) * _xlfn.NORM.S.INV(RAND())</f>
        <v>-2.2833455201160081E-2</v>
      </c>
      <c r="U5118" s="59">
        <f ca="1">Dashboard!D$8* Dashboard!$F$4+Dashboard!D$10*SQRT(Dashboard!$F$4) * _xlfn.NORM.S.INV(RAND())</f>
        <v>1.0847684055605452E-2</v>
      </c>
    </row>
    <row r="5119" spans="18:21" x14ac:dyDescent="0.2">
      <c r="R5119" s="49">
        <v>5117</v>
      </c>
      <c r="S5119" s="59">
        <f ca="1">Dashboard!B$8* Dashboard!$F$4+Dashboard!B$10*SQRT(Dashboard!$F$4) * _xlfn.NORM.S.INV(RAND())</f>
        <v>2.2508535431787345E-2</v>
      </c>
      <c r="T5119" s="59">
        <f ca="1">Dashboard!C$8* Dashboard!$F$4+Dashboard!C$10*SQRT(Dashboard!$F$4) * _xlfn.NORM.S.INV(RAND())</f>
        <v>-3.7890781861172701E-2</v>
      </c>
      <c r="U5119" s="59">
        <f ca="1">Dashboard!D$8* Dashboard!$F$4+Dashboard!D$10*SQRT(Dashboard!$F$4) * _xlfn.NORM.S.INV(RAND())</f>
        <v>5.1262700905591102E-3</v>
      </c>
    </row>
    <row r="5120" spans="18:21" x14ac:dyDescent="0.2">
      <c r="R5120" s="49">
        <v>5118</v>
      </c>
      <c r="S5120" s="59">
        <f ca="1">Dashboard!B$8* Dashboard!$F$4+Dashboard!B$10*SQRT(Dashboard!$F$4) * _xlfn.NORM.S.INV(RAND())</f>
        <v>-4.0341029544123186E-3</v>
      </c>
      <c r="T5120" s="59">
        <f ca="1">Dashboard!C$8* Dashboard!$F$4+Dashboard!C$10*SQRT(Dashboard!$F$4) * _xlfn.NORM.S.INV(RAND())</f>
        <v>-1.4000669148360099E-2</v>
      </c>
      <c r="U5120" s="59">
        <f ca="1">Dashboard!D$8* Dashboard!$F$4+Dashboard!D$10*SQRT(Dashboard!$F$4) * _xlfn.NORM.S.INV(RAND())</f>
        <v>8.7564316448289978E-3</v>
      </c>
    </row>
    <row r="5121" spans="18:21" x14ac:dyDescent="0.2">
      <c r="R5121" s="49">
        <v>5119</v>
      </c>
      <c r="S5121" s="59">
        <f ca="1">Dashboard!B$8* Dashboard!$F$4+Dashboard!B$10*SQRT(Dashboard!$F$4) * _xlfn.NORM.S.INV(RAND())</f>
        <v>1.2716593361937634E-3</v>
      </c>
      <c r="T5121" s="59">
        <f ca="1">Dashboard!C$8* Dashboard!$F$4+Dashboard!C$10*SQRT(Dashboard!$F$4) * _xlfn.NORM.S.INV(RAND())</f>
        <v>-2.4000495674610267E-2</v>
      </c>
      <c r="U5121" s="59">
        <f ca="1">Dashboard!D$8* Dashboard!$F$4+Dashboard!D$10*SQRT(Dashboard!$F$4) * _xlfn.NORM.S.INV(RAND())</f>
        <v>-2.3812025036400151E-2</v>
      </c>
    </row>
    <row r="5122" spans="18:21" x14ac:dyDescent="0.2">
      <c r="R5122" s="49">
        <v>5120</v>
      </c>
      <c r="S5122" s="59">
        <f ca="1">Dashboard!B$8* Dashboard!$F$4+Dashboard!B$10*SQRT(Dashboard!$F$4) * _xlfn.NORM.S.INV(RAND())</f>
        <v>-7.157862307425554E-2</v>
      </c>
      <c r="T5122" s="59">
        <f ca="1">Dashboard!C$8* Dashboard!$F$4+Dashboard!C$10*SQRT(Dashboard!$F$4) * _xlfn.NORM.S.INV(RAND())</f>
        <v>-9.0422693370134054E-3</v>
      </c>
      <c r="U5122" s="59">
        <f ca="1">Dashboard!D$8* Dashboard!$F$4+Dashboard!D$10*SQRT(Dashboard!$F$4) * _xlfn.NORM.S.INV(RAND())</f>
        <v>3.3807013496220041E-2</v>
      </c>
    </row>
    <row r="5123" spans="18:21" x14ac:dyDescent="0.2">
      <c r="R5123" s="49">
        <v>5121</v>
      </c>
      <c r="S5123" s="59">
        <f ca="1">Dashboard!B$8* Dashboard!$F$4+Dashboard!B$10*SQRT(Dashboard!$F$4) * _xlfn.NORM.S.INV(RAND())</f>
        <v>-6.7129108481415985E-3</v>
      </c>
      <c r="T5123" s="59">
        <f ca="1">Dashboard!C$8* Dashboard!$F$4+Dashboard!C$10*SQRT(Dashboard!$F$4) * _xlfn.NORM.S.INV(RAND())</f>
        <v>-4.4135002049716238E-2</v>
      </c>
      <c r="U5123" s="59">
        <f ca="1">Dashboard!D$8* Dashboard!$F$4+Dashboard!D$10*SQRT(Dashboard!$F$4) * _xlfn.NORM.S.INV(RAND())</f>
        <v>-2.2161471404707851E-3</v>
      </c>
    </row>
    <row r="5124" spans="18:21" x14ac:dyDescent="0.2">
      <c r="R5124" s="49">
        <v>5122</v>
      </c>
      <c r="S5124" s="59">
        <f ca="1">Dashboard!B$8* Dashboard!$F$4+Dashboard!B$10*SQRT(Dashboard!$F$4) * _xlfn.NORM.S.INV(RAND())</f>
        <v>2.9629404054201246E-2</v>
      </c>
      <c r="T5124" s="59">
        <f ca="1">Dashboard!C$8* Dashboard!$F$4+Dashboard!C$10*SQRT(Dashboard!$F$4) * _xlfn.NORM.S.INV(RAND())</f>
        <v>2.846051958017504E-2</v>
      </c>
      <c r="U5124" s="59">
        <f ca="1">Dashboard!D$8* Dashboard!$F$4+Dashboard!D$10*SQRT(Dashboard!$F$4) * _xlfn.NORM.S.INV(RAND())</f>
        <v>1.3964328376809852E-2</v>
      </c>
    </row>
    <row r="5125" spans="18:21" x14ac:dyDescent="0.2">
      <c r="R5125" s="49">
        <v>5123</v>
      </c>
      <c r="S5125" s="59">
        <f ca="1">Dashboard!B$8* Dashboard!$F$4+Dashboard!B$10*SQRT(Dashboard!$F$4) * _xlfn.NORM.S.INV(RAND())</f>
        <v>-2.4728442078849472E-2</v>
      </c>
      <c r="T5125" s="59">
        <f ca="1">Dashboard!C$8* Dashboard!$F$4+Dashboard!C$10*SQRT(Dashboard!$F$4) * _xlfn.NORM.S.INV(RAND())</f>
        <v>-2.8531645553383101E-2</v>
      </c>
      <c r="U5125" s="59">
        <f ca="1">Dashboard!D$8* Dashboard!$F$4+Dashboard!D$10*SQRT(Dashboard!$F$4) * _xlfn.NORM.S.INV(RAND())</f>
        <v>-5.1739879274365604E-3</v>
      </c>
    </row>
    <row r="5126" spans="18:21" x14ac:dyDescent="0.2">
      <c r="R5126" s="49">
        <v>5124</v>
      </c>
      <c r="S5126" s="59">
        <f ca="1">Dashboard!B$8* Dashboard!$F$4+Dashboard!B$10*SQRT(Dashboard!$F$4) * _xlfn.NORM.S.INV(RAND())</f>
        <v>-8.1250710000478968E-2</v>
      </c>
      <c r="T5126" s="59">
        <f ca="1">Dashboard!C$8* Dashboard!$F$4+Dashboard!C$10*SQRT(Dashboard!$F$4) * _xlfn.NORM.S.INV(RAND())</f>
        <v>-4.7496821706809342E-2</v>
      </c>
      <c r="U5126" s="59">
        <f ca="1">Dashboard!D$8* Dashboard!$F$4+Dashboard!D$10*SQRT(Dashboard!$F$4) * _xlfn.NORM.S.INV(RAND())</f>
        <v>1.4253939810955307E-2</v>
      </c>
    </row>
    <row r="5127" spans="18:21" x14ac:dyDescent="0.2">
      <c r="R5127" s="49">
        <v>5125</v>
      </c>
      <c r="S5127" s="59">
        <f ca="1">Dashboard!B$8* Dashboard!$F$4+Dashboard!B$10*SQRT(Dashboard!$F$4) * _xlfn.NORM.S.INV(RAND())</f>
        <v>6.0271907096385233E-3</v>
      </c>
      <c r="T5127" s="59">
        <f ca="1">Dashboard!C$8* Dashboard!$F$4+Dashboard!C$10*SQRT(Dashboard!$F$4) * _xlfn.NORM.S.INV(RAND())</f>
        <v>-3.7674065766731598E-4</v>
      </c>
      <c r="U5127" s="59">
        <f ca="1">Dashboard!D$8* Dashboard!$F$4+Dashboard!D$10*SQRT(Dashboard!$F$4) * _xlfn.NORM.S.INV(RAND())</f>
        <v>-2.8452379959854494E-2</v>
      </c>
    </row>
    <row r="5128" spans="18:21" x14ac:dyDescent="0.2">
      <c r="R5128" s="49">
        <v>5126</v>
      </c>
      <c r="S5128" s="59">
        <f ca="1">Dashboard!B$8* Dashboard!$F$4+Dashboard!B$10*SQRT(Dashboard!$F$4) * _xlfn.NORM.S.INV(RAND())</f>
        <v>-1.7723518734390799E-2</v>
      </c>
      <c r="T5128" s="59">
        <f ca="1">Dashboard!C$8* Dashboard!$F$4+Dashboard!C$10*SQRT(Dashboard!$F$4) * _xlfn.NORM.S.INV(RAND())</f>
        <v>-5.0763671075831567E-2</v>
      </c>
      <c r="U5128" s="59">
        <f ca="1">Dashboard!D$8* Dashboard!$F$4+Dashboard!D$10*SQRT(Dashboard!$F$4) * _xlfn.NORM.S.INV(RAND())</f>
        <v>6.0649385383384893E-2</v>
      </c>
    </row>
    <row r="5129" spans="18:21" x14ac:dyDescent="0.2">
      <c r="R5129" s="49">
        <v>5127</v>
      </c>
      <c r="S5129" s="59">
        <f ca="1">Dashboard!B$8* Dashboard!$F$4+Dashboard!B$10*SQRT(Dashboard!$F$4) * _xlfn.NORM.S.INV(RAND())</f>
        <v>-3.8378052604631618E-2</v>
      </c>
      <c r="T5129" s="59">
        <f ca="1">Dashboard!C$8* Dashboard!$F$4+Dashboard!C$10*SQRT(Dashboard!$F$4) * _xlfn.NORM.S.INV(RAND())</f>
        <v>-4.0318906050307385E-2</v>
      </c>
      <c r="U5129" s="59">
        <f ca="1">Dashboard!D$8* Dashboard!$F$4+Dashboard!D$10*SQRT(Dashboard!$F$4) * _xlfn.NORM.S.INV(RAND())</f>
        <v>3.3269827512099275E-2</v>
      </c>
    </row>
    <row r="5130" spans="18:21" x14ac:dyDescent="0.2">
      <c r="R5130" s="49">
        <v>5128</v>
      </c>
      <c r="S5130" s="59">
        <f ca="1">Dashboard!B$8* Dashboard!$F$4+Dashboard!B$10*SQRT(Dashboard!$F$4) * _xlfn.NORM.S.INV(RAND())</f>
        <v>-1.0883753007516808E-2</v>
      </c>
      <c r="T5130" s="59">
        <f ca="1">Dashboard!C$8* Dashboard!$F$4+Dashboard!C$10*SQRT(Dashboard!$F$4) * _xlfn.NORM.S.INV(RAND())</f>
        <v>5.5316579394985521E-2</v>
      </c>
      <c r="U5130" s="59">
        <f ca="1">Dashboard!D$8* Dashboard!$F$4+Dashboard!D$10*SQRT(Dashboard!$F$4) * _xlfn.NORM.S.INV(RAND())</f>
        <v>-3.9411745243850396E-2</v>
      </c>
    </row>
    <row r="5131" spans="18:21" x14ac:dyDescent="0.2">
      <c r="R5131" s="49">
        <v>5129</v>
      </c>
      <c r="S5131" s="59">
        <f ca="1">Dashboard!B$8* Dashboard!$F$4+Dashboard!B$10*SQRT(Dashboard!$F$4) * _xlfn.NORM.S.INV(RAND())</f>
        <v>-1.7890305080622556E-2</v>
      </c>
      <c r="T5131" s="59">
        <f ca="1">Dashboard!C$8* Dashboard!$F$4+Dashboard!C$10*SQRT(Dashboard!$F$4) * _xlfn.NORM.S.INV(RAND())</f>
        <v>-4.445317912527752E-2</v>
      </c>
      <c r="U5131" s="59">
        <f ca="1">Dashboard!D$8* Dashboard!$F$4+Dashboard!D$10*SQRT(Dashboard!$F$4) * _xlfn.NORM.S.INV(RAND())</f>
        <v>1.3365632133699695E-3</v>
      </c>
    </row>
    <row r="5132" spans="18:21" x14ac:dyDescent="0.2">
      <c r="R5132" s="49">
        <v>5130</v>
      </c>
      <c r="S5132" s="59">
        <f ca="1">Dashboard!B$8* Dashboard!$F$4+Dashboard!B$10*SQRT(Dashboard!$F$4) * _xlfn.NORM.S.INV(RAND())</f>
        <v>-4.662733306320453E-3</v>
      </c>
      <c r="T5132" s="59">
        <f ca="1">Dashboard!C$8* Dashboard!$F$4+Dashboard!C$10*SQRT(Dashboard!$F$4) * _xlfn.NORM.S.INV(RAND())</f>
        <v>-6.7428254944727961E-3</v>
      </c>
      <c r="U5132" s="59">
        <f ca="1">Dashboard!D$8* Dashboard!$F$4+Dashboard!D$10*SQRT(Dashboard!$F$4) * _xlfn.NORM.S.INV(RAND())</f>
        <v>5.6846211524792349E-3</v>
      </c>
    </row>
    <row r="5133" spans="18:21" x14ac:dyDescent="0.2">
      <c r="R5133" s="49">
        <v>5131</v>
      </c>
      <c r="S5133" s="59">
        <f ca="1">Dashboard!B$8* Dashboard!$F$4+Dashboard!B$10*SQRT(Dashboard!$F$4) * _xlfn.NORM.S.INV(RAND())</f>
        <v>-3.1398631641917432E-2</v>
      </c>
      <c r="T5133" s="59">
        <f ca="1">Dashboard!C$8* Dashboard!$F$4+Dashboard!C$10*SQRT(Dashboard!$F$4) * _xlfn.NORM.S.INV(RAND())</f>
        <v>2.8961912325617165E-2</v>
      </c>
      <c r="U5133" s="59">
        <f ca="1">Dashboard!D$8* Dashboard!$F$4+Dashboard!D$10*SQRT(Dashboard!$F$4) * _xlfn.NORM.S.INV(RAND())</f>
        <v>-6.5635548106563385E-2</v>
      </c>
    </row>
    <row r="5134" spans="18:21" x14ac:dyDescent="0.2">
      <c r="R5134" s="49">
        <v>5132</v>
      </c>
      <c r="S5134" s="59">
        <f ca="1">Dashboard!B$8* Dashboard!$F$4+Dashboard!B$10*SQRT(Dashboard!$F$4) * _xlfn.NORM.S.INV(RAND())</f>
        <v>-2.5477085628132626E-2</v>
      </c>
      <c r="T5134" s="59">
        <f ca="1">Dashboard!C$8* Dashboard!$F$4+Dashboard!C$10*SQRT(Dashboard!$F$4) * _xlfn.NORM.S.INV(RAND())</f>
        <v>9.0693864186131706E-3</v>
      </c>
      <c r="U5134" s="59">
        <f ca="1">Dashboard!D$8* Dashboard!$F$4+Dashboard!D$10*SQRT(Dashboard!$F$4) * _xlfn.NORM.S.INV(RAND())</f>
        <v>-3.9228156340101711E-2</v>
      </c>
    </row>
    <row r="5135" spans="18:21" x14ac:dyDescent="0.2">
      <c r="R5135" s="49">
        <v>5133</v>
      </c>
      <c r="S5135" s="59">
        <f ca="1">Dashboard!B$8* Dashboard!$F$4+Dashboard!B$10*SQRT(Dashboard!$F$4) * _xlfn.NORM.S.INV(RAND())</f>
        <v>5.3806029524755071E-2</v>
      </c>
      <c r="T5135" s="59">
        <f ca="1">Dashboard!C$8* Dashboard!$F$4+Dashboard!C$10*SQRT(Dashboard!$F$4) * _xlfn.NORM.S.INV(RAND())</f>
        <v>-5.4027063458191643E-3</v>
      </c>
      <c r="U5135" s="59">
        <f ca="1">Dashboard!D$8* Dashboard!$F$4+Dashboard!D$10*SQRT(Dashboard!$F$4) * _xlfn.NORM.S.INV(RAND())</f>
        <v>-2.1560629035051456E-2</v>
      </c>
    </row>
    <row r="5136" spans="18:21" x14ac:dyDescent="0.2">
      <c r="R5136" s="49">
        <v>5134</v>
      </c>
      <c r="S5136" s="59">
        <f ca="1">Dashboard!B$8* Dashboard!$F$4+Dashboard!B$10*SQRT(Dashboard!$F$4) * _xlfn.NORM.S.INV(RAND())</f>
        <v>2.1370554176797354E-2</v>
      </c>
      <c r="T5136" s="59">
        <f ca="1">Dashboard!C$8* Dashboard!$F$4+Dashboard!C$10*SQRT(Dashboard!$F$4) * _xlfn.NORM.S.INV(RAND())</f>
        <v>-1.1786496382200518E-3</v>
      </c>
      <c r="U5136" s="59">
        <f ca="1">Dashboard!D$8* Dashboard!$F$4+Dashboard!D$10*SQRT(Dashboard!$F$4) * _xlfn.NORM.S.INV(RAND())</f>
        <v>5.5146847248835054E-3</v>
      </c>
    </row>
    <row r="5137" spans="18:21" x14ac:dyDescent="0.2">
      <c r="R5137" s="49">
        <v>5135</v>
      </c>
      <c r="S5137" s="59">
        <f ca="1">Dashboard!B$8* Dashboard!$F$4+Dashboard!B$10*SQRT(Dashboard!$F$4) * _xlfn.NORM.S.INV(RAND())</f>
        <v>-7.8355440654752015E-3</v>
      </c>
      <c r="T5137" s="59">
        <f ca="1">Dashboard!C$8* Dashboard!$F$4+Dashboard!C$10*SQRT(Dashboard!$F$4) * _xlfn.NORM.S.INV(RAND())</f>
        <v>-5.9158525197827794E-3</v>
      </c>
      <c r="U5137" s="59">
        <f ca="1">Dashboard!D$8* Dashboard!$F$4+Dashboard!D$10*SQRT(Dashboard!$F$4) * _xlfn.NORM.S.INV(RAND())</f>
        <v>2.6364100217540827E-2</v>
      </c>
    </row>
    <row r="5138" spans="18:21" x14ac:dyDescent="0.2">
      <c r="R5138" s="49">
        <v>5136</v>
      </c>
      <c r="S5138" s="59">
        <f ca="1">Dashboard!B$8* Dashboard!$F$4+Dashboard!B$10*SQRT(Dashboard!$F$4) * _xlfn.NORM.S.INV(RAND())</f>
        <v>4.1437673377318122E-2</v>
      </c>
      <c r="T5138" s="59">
        <f ca="1">Dashboard!C$8* Dashboard!$F$4+Dashboard!C$10*SQRT(Dashboard!$F$4) * _xlfn.NORM.S.INV(RAND())</f>
        <v>-2.1901330320011056E-2</v>
      </c>
      <c r="U5138" s="59">
        <f ca="1">Dashboard!D$8* Dashboard!$F$4+Dashboard!D$10*SQRT(Dashboard!$F$4) * _xlfn.NORM.S.INV(RAND())</f>
        <v>-1.0436002345282332E-2</v>
      </c>
    </row>
    <row r="5139" spans="18:21" x14ac:dyDescent="0.2">
      <c r="R5139" s="49">
        <v>5137</v>
      </c>
      <c r="S5139" s="59">
        <f ca="1">Dashboard!B$8* Dashboard!$F$4+Dashboard!B$10*SQRT(Dashboard!$F$4) * _xlfn.NORM.S.INV(RAND())</f>
        <v>-6.7325666131592826E-3</v>
      </c>
      <c r="T5139" s="59">
        <f ca="1">Dashboard!C$8* Dashboard!$F$4+Dashboard!C$10*SQRT(Dashboard!$F$4) * _xlfn.NORM.S.INV(RAND())</f>
        <v>9.101443566179734E-3</v>
      </c>
      <c r="U5139" s="59">
        <f ca="1">Dashboard!D$8* Dashboard!$F$4+Dashboard!D$10*SQRT(Dashboard!$F$4) * _xlfn.NORM.S.INV(RAND())</f>
        <v>-1.2823635592704826E-2</v>
      </c>
    </row>
    <row r="5140" spans="18:21" x14ac:dyDescent="0.2">
      <c r="R5140" s="49">
        <v>5138</v>
      </c>
      <c r="S5140" s="59">
        <f ca="1">Dashboard!B$8* Dashboard!$F$4+Dashboard!B$10*SQRT(Dashboard!$F$4) * _xlfn.NORM.S.INV(RAND())</f>
        <v>6.540987044735859E-4</v>
      </c>
      <c r="T5140" s="59">
        <f ca="1">Dashboard!C$8* Dashboard!$F$4+Dashboard!C$10*SQRT(Dashboard!$F$4) * _xlfn.NORM.S.INV(RAND())</f>
        <v>5.1570046856015919E-2</v>
      </c>
      <c r="U5140" s="59">
        <f ca="1">Dashboard!D$8* Dashboard!$F$4+Dashboard!D$10*SQRT(Dashboard!$F$4) * _xlfn.NORM.S.INV(RAND())</f>
        <v>-5.9011528004754609E-3</v>
      </c>
    </row>
    <row r="5141" spans="18:21" x14ac:dyDescent="0.2">
      <c r="R5141" s="49">
        <v>5139</v>
      </c>
      <c r="S5141" s="59">
        <f ca="1">Dashboard!B$8* Dashboard!$F$4+Dashboard!B$10*SQRT(Dashboard!$F$4) * _xlfn.NORM.S.INV(RAND())</f>
        <v>5.2635505218143735E-3</v>
      </c>
      <c r="T5141" s="59">
        <f ca="1">Dashboard!C$8* Dashboard!$F$4+Dashboard!C$10*SQRT(Dashboard!$F$4) * _xlfn.NORM.S.INV(RAND())</f>
        <v>4.8008348229246885E-2</v>
      </c>
      <c r="U5141" s="59">
        <f ca="1">Dashboard!D$8* Dashboard!$F$4+Dashboard!D$10*SQRT(Dashboard!$F$4) * _xlfn.NORM.S.INV(RAND())</f>
        <v>-4.25427292160548E-2</v>
      </c>
    </row>
    <row r="5142" spans="18:21" x14ac:dyDescent="0.2">
      <c r="R5142" s="49">
        <v>5140</v>
      </c>
      <c r="S5142" s="59">
        <f ca="1">Dashboard!B$8* Dashboard!$F$4+Dashboard!B$10*SQRT(Dashboard!$F$4) * _xlfn.NORM.S.INV(RAND())</f>
        <v>-4.4771581283793056E-2</v>
      </c>
      <c r="T5142" s="59">
        <f ca="1">Dashboard!C$8* Dashboard!$F$4+Dashboard!C$10*SQRT(Dashboard!$F$4) * _xlfn.NORM.S.INV(RAND())</f>
        <v>5.9352591806124171E-2</v>
      </c>
      <c r="U5142" s="59">
        <f ca="1">Dashboard!D$8* Dashboard!$F$4+Dashboard!D$10*SQRT(Dashboard!$F$4) * _xlfn.NORM.S.INV(RAND())</f>
        <v>-2.6656180590014032E-2</v>
      </c>
    </row>
    <row r="5143" spans="18:21" x14ac:dyDescent="0.2">
      <c r="R5143" s="49">
        <v>5141</v>
      </c>
      <c r="S5143" s="59">
        <f ca="1">Dashboard!B$8* Dashboard!$F$4+Dashboard!B$10*SQRT(Dashboard!$F$4) * _xlfn.NORM.S.INV(RAND())</f>
        <v>2.6576403037807984E-2</v>
      </c>
      <c r="T5143" s="59">
        <f ca="1">Dashboard!C$8* Dashboard!$F$4+Dashboard!C$10*SQRT(Dashboard!$F$4) * _xlfn.NORM.S.INV(RAND())</f>
        <v>4.7220547432587322E-2</v>
      </c>
      <c r="U5143" s="59">
        <f ca="1">Dashboard!D$8* Dashboard!$F$4+Dashboard!D$10*SQRT(Dashboard!$F$4) * _xlfn.NORM.S.INV(RAND())</f>
        <v>1.9301118437552112E-2</v>
      </c>
    </row>
    <row r="5144" spans="18:21" x14ac:dyDescent="0.2">
      <c r="R5144" s="49">
        <v>5142</v>
      </c>
      <c r="S5144" s="59">
        <f ca="1">Dashboard!B$8* Dashboard!$F$4+Dashboard!B$10*SQRT(Dashboard!$F$4) * _xlfn.NORM.S.INV(RAND())</f>
        <v>-4.1638724415600049E-2</v>
      </c>
      <c r="T5144" s="59">
        <f ca="1">Dashboard!C$8* Dashboard!$F$4+Dashboard!C$10*SQRT(Dashboard!$F$4) * _xlfn.NORM.S.INV(RAND())</f>
        <v>-3.2872158779143131E-2</v>
      </c>
      <c r="U5144" s="59">
        <f ca="1">Dashboard!D$8* Dashboard!$F$4+Dashboard!D$10*SQRT(Dashboard!$F$4) * _xlfn.NORM.S.INV(RAND())</f>
        <v>-1.1543599922798704E-2</v>
      </c>
    </row>
    <row r="5145" spans="18:21" x14ac:dyDescent="0.2">
      <c r="R5145" s="49">
        <v>5143</v>
      </c>
      <c r="S5145" s="59">
        <f ca="1">Dashboard!B$8* Dashboard!$F$4+Dashboard!B$10*SQRT(Dashboard!$F$4) * _xlfn.NORM.S.INV(RAND())</f>
        <v>-2.7489678650142062E-2</v>
      </c>
      <c r="T5145" s="59">
        <f ca="1">Dashboard!C$8* Dashboard!$F$4+Dashboard!C$10*SQRT(Dashboard!$F$4) * _xlfn.NORM.S.INV(RAND())</f>
        <v>2.2700995029404553E-2</v>
      </c>
      <c r="U5145" s="59">
        <f ca="1">Dashboard!D$8* Dashboard!$F$4+Dashboard!D$10*SQRT(Dashboard!$F$4) * _xlfn.NORM.S.INV(RAND())</f>
        <v>-1.2434608983307572E-2</v>
      </c>
    </row>
    <row r="5146" spans="18:21" x14ac:dyDescent="0.2">
      <c r="R5146" s="49">
        <v>5144</v>
      </c>
      <c r="S5146" s="59">
        <f ca="1">Dashboard!B$8* Dashboard!$F$4+Dashboard!B$10*SQRT(Dashboard!$F$4) * _xlfn.NORM.S.INV(RAND())</f>
        <v>-6.8586103352338383E-3</v>
      </c>
      <c r="T5146" s="59">
        <f ca="1">Dashboard!C$8* Dashboard!$F$4+Dashboard!C$10*SQRT(Dashboard!$F$4) * _xlfn.NORM.S.INV(RAND())</f>
        <v>7.3496695579527913E-3</v>
      </c>
      <c r="U5146" s="59">
        <f ca="1">Dashboard!D$8* Dashboard!$F$4+Dashboard!D$10*SQRT(Dashboard!$F$4) * _xlfn.NORM.S.INV(RAND())</f>
        <v>-6.8388324273854556E-4</v>
      </c>
    </row>
    <row r="5147" spans="18:21" x14ac:dyDescent="0.2">
      <c r="R5147" s="49">
        <v>5145</v>
      </c>
      <c r="S5147" s="59">
        <f ca="1">Dashboard!B$8* Dashboard!$F$4+Dashboard!B$10*SQRT(Dashboard!$F$4) * _xlfn.NORM.S.INV(RAND())</f>
        <v>-2.9534471287529909E-2</v>
      </c>
      <c r="T5147" s="59">
        <f ca="1">Dashboard!C$8* Dashboard!$F$4+Dashboard!C$10*SQRT(Dashboard!$F$4) * _xlfn.NORM.S.INV(RAND())</f>
        <v>-3.1402205008205314E-2</v>
      </c>
      <c r="U5147" s="59">
        <f ca="1">Dashboard!D$8* Dashboard!$F$4+Dashboard!D$10*SQRT(Dashboard!$F$4) * _xlfn.NORM.S.INV(RAND())</f>
        <v>-4.5809343751810117E-2</v>
      </c>
    </row>
    <row r="5148" spans="18:21" x14ac:dyDescent="0.2">
      <c r="R5148" s="49">
        <v>5146</v>
      </c>
      <c r="S5148" s="59">
        <f ca="1">Dashboard!B$8* Dashboard!$F$4+Dashboard!B$10*SQRT(Dashboard!$F$4) * _xlfn.NORM.S.INV(RAND())</f>
        <v>-9.4565917343253213E-3</v>
      </c>
      <c r="T5148" s="59">
        <f ca="1">Dashboard!C$8* Dashboard!$F$4+Dashboard!C$10*SQRT(Dashboard!$F$4) * _xlfn.NORM.S.INV(RAND())</f>
        <v>-3.0048073687678088E-3</v>
      </c>
      <c r="U5148" s="59">
        <f ca="1">Dashboard!D$8* Dashboard!$F$4+Dashboard!D$10*SQRT(Dashboard!$F$4) * _xlfn.NORM.S.INV(RAND())</f>
        <v>2.2225421724446449E-2</v>
      </c>
    </row>
    <row r="5149" spans="18:21" x14ac:dyDescent="0.2">
      <c r="R5149" s="49">
        <v>5147</v>
      </c>
      <c r="S5149" s="59">
        <f ca="1">Dashboard!B$8* Dashboard!$F$4+Dashboard!B$10*SQRT(Dashboard!$F$4) * _xlfn.NORM.S.INV(RAND())</f>
        <v>-2.2759868353895013E-2</v>
      </c>
      <c r="T5149" s="59">
        <f ca="1">Dashboard!C$8* Dashboard!$F$4+Dashboard!C$10*SQRT(Dashboard!$F$4) * _xlfn.NORM.S.INV(RAND())</f>
        <v>1.2314583163401446E-2</v>
      </c>
      <c r="U5149" s="59">
        <f ca="1">Dashboard!D$8* Dashboard!$F$4+Dashboard!D$10*SQRT(Dashboard!$F$4) * _xlfn.NORM.S.INV(RAND())</f>
        <v>-4.4864946422937202E-2</v>
      </c>
    </row>
    <row r="5150" spans="18:21" x14ac:dyDescent="0.2">
      <c r="R5150" s="49">
        <v>5148</v>
      </c>
      <c r="S5150" s="59">
        <f ca="1">Dashboard!B$8* Dashboard!$F$4+Dashboard!B$10*SQRT(Dashboard!$F$4) * _xlfn.NORM.S.INV(RAND())</f>
        <v>-6.0047537965744226E-2</v>
      </c>
      <c r="T5150" s="59">
        <f ca="1">Dashboard!C$8* Dashboard!$F$4+Dashboard!C$10*SQRT(Dashboard!$F$4) * _xlfn.NORM.S.INV(RAND())</f>
        <v>-2.4594410946671887E-2</v>
      </c>
      <c r="U5150" s="59">
        <f ca="1">Dashboard!D$8* Dashboard!$F$4+Dashboard!D$10*SQRT(Dashboard!$F$4) * _xlfn.NORM.S.INV(RAND())</f>
        <v>4.3115173956833078E-2</v>
      </c>
    </row>
    <row r="5151" spans="18:21" x14ac:dyDescent="0.2">
      <c r="R5151" s="49">
        <v>5149</v>
      </c>
      <c r="S5151" s="59">
        <f ca="1">Dashboard!B$8* Dashboard!$F$4+Dashboard!B$10*SQRT(Dashboard!$F$4) * _xlfn.NORM.S.INV(RAND())</f>
        <v>1.9425507537492448E-2</v>
      </c>
      <c r="T5151" s="59">
        <f ca="1">Dashboard!C$8* Dashboard!$F$4+Dashboard!C$10*SQRT(Dashboard!$F$4) * _xlfn.NORM.S.INV(RAND())</f>
        <v>2.333075913400794E-2</v>
      </c>
      <c r="U5151" s="59">
        <f ca="1">Dashboard!D$8* Dashboard!$F$4+Dashboard!D$10*SQRT(Dashboard!$F$4) * _xlfn.NORM.S.INV(RAND())</f>
        <v>-2.6604369981033688E-2</v>
      </c>
    </row>
    <row r="5152" spans="18:21" x14ac:dyDescent="0.2">
      <c r="R5152" s="49">
        <v>5150</v>
      </c>
      <c r="S5152" s="59">
        <f ca="1">Dashboard!B$8* Dashboard!$F$4+Dashboard!B$10*SQRT(Dashboard!$F$4) * _xlfn.NORM.S.INV(RAND())</f>
        <v>-4.5799235096103098E-2</v>
      </c>
      <c r="T5152" s="59">
        <f ca="1">Dashboard!C$8* Dashboard!$F$4+Dashboard!C$10*SQRT(Dashboard!$F$4) * _xlfn.NORM.S.INV(RAND())</f>
        <v>2.3865590381209067E-2</v>
      </c>
      <c r="U5152" s="59">
        <f ca="1">Dashboard!D$8* Dashboard!$F$4+Dashboard!D$10*SQRT(Dashboard!$F$4) * _xlfn.NORM.S.INV(RAND())</f>
        <v>4.2005012655403705E-2</v>
      </c>
    </row>
    <row r="5153" spans="18:21" x14ac:dyDescent="0.2">
      <c r="R5153" s="49">
        <v>5151</v>
      </c>
      <c r="S5153" s="59">
        <f ca="1">Dashboard!B$8* Dashboard!$F$4+Dashboard!B$10*SQRT(Dashboard!$F$4) * _xlfn.NORM.S.INV(RAND())</f>
        <v>5.7414563711616608E-2</v>
      </c>
      <c r="T5153" s="59">
        <f ca="1">Dashboard!C$8* Dashboard!$F$4+Dashboard!C$10*SQRT(Dashboard!$F$4) * _xlfn.NORM.S.INV(RAND())</f>
        <v>1.0285995031496178E-2</v>
      </c>
      <c r="U5153" s="59">
        <f ca="1">Dashboard!D$8* Dashboard!$F$4+Dashboard!D$10*SQRT(Dashboard!$F$4) * _xlfn.NORM.S.INV(RAND())</f>
        <v>2.9505621988414235E-2</v>
      </c>
    </row>
    <row r="5154" spans="18:21" x14ac:dyDescent="0.2">
      <c r="R5154" s="49">
        <v>5152</v>
      </c>
      <c r="S5154" s="59">
        <f ca="1">Dashboard!B$8* Dashboard!$F$4+Dashboard!B$10*SQRT(Dashboard!$F$4) * _xlfn.NORM.S.INV(RAND())</f>
        <v>-3.5644065621066208E-2</v>
      </c>
      <c r="T5154" s="59">
        <f ca="1">Dashboard!C$8* Dashboard!$F$4+Dashboard!C$10*SQRT(Dashboard!$F$4) * _xlfn.NORM.S.INV(RAND())</f>
        <v>3.0512237757478872E-2</v>
      </c>
      <c r="U5154" s="59">
        <f ca="1">Dashboard!D$8* Dashboard!$F$4+Dashboard!D$10*SQRT(Dashboard!$F$4) * _xlfn.NORM.S.INV(RAND())</f>
        <v>-8.0110553459651831E-3</v>
      </c>
    </row>
    <row r="5155" spans="18:21" x14ac:dyDescent="0.2">
      <c r="R5155" s="49">
        <v>5153</v>
      </c>
      <c r="S5155" s="59">
        <f ca="1">Dashboard!B$8* Dashboard!$F$4+Dashboard!B$10*SQRT(Dashboard!$F$4) * _xlfn.NORM.S.INV(RAND())</f>
        <v>5.0085107602013037E-3</v>
      </c>
      <c r="T5155" s="59">
        <f ca="1">Dashboard!C$8* Dashboard!$F$4+Dashboard!C$10*SQRT(Dashboard!$F$4) * _xlfn.NORM.S.INV(RAND())</f>
        <v>1.9483195497818438E-2</v>
      </c>
      <c r="U5155" s="59">
        <f ca="1">Dashboard!D$8* Dashboard!$F$4+Dashboard!D$10*SQRT(Dashboard!$F$4) * _xlfn.NORM.S.INV(RAND())</f>
        <v>-1.7740397301621955E-2</v>
      </c>
    </row>
    <row r="5156" spans="18:21" x14ac:dyDescent="0.2">
      <c r="R5156" s="49">
        <v>5154</v>
      </c>
      <c r="S5156" s="59">
        <f ca="1">Dashboard!B$8* Dashboard!$F$4+Dashboard!B$10*SQRT(Dashboard!$F$4) * _xlfn.NORM.S.INV(RAND())</f>
        <v>-1.3770851180806841E-2</v>
      </c>
      <c r="T5156" s="59">
        <f ca="1">Dashboard!C$8* Dashboard!$F$4+Dashboard!C$10*SQRT(Dashboard!$F$4) * _xlfn.NORM.S.INV(RAND())</f>
        <v>-3.7211821915772048E-2</v>
      </c>
      <c r="U5156" s="59">
        <f ca="1">Dashboard!D$8* Dashboard!$F$4+Dashboard!D$10*SQRT(Dashboard!$F$4) * _xlfn.NORM.S.INV(RAND())</f>
        <v>1.3119086690921251E-2</v>
      </c>
    </row>
    <row r="5157" spans="18:21" x14ac:dyDescent="0.2">
      <c r="R5157" s="49">
        <v>5155</v>
      </c>
      <c r="S5157" s="59">
        <f ca="1">Dashboard!B$8* Dashboard!$F$4+Dashboard!B$10*SQRT(Dashboard!$F$4) * _xlfn.NORM.S.INV(RAND())</f>
        <v>8.5056534919853242E-3</v>
      </c>
      <c r="T5157" s="59">
        <f ca="1">Dashboard!C$8* Dashboard!$F$4+Dashboard!C$10*SQRT(Dashboard!$F$4) * _xlfn.NORM.S.INV(RAND())</f>
        <v>-5.5120902524655548E-2</v>
      </c>
      <c r="U5157" s="59">
        <f ca="1">Dashboard!D$8* Dashboard!$F$4+Dashboard!D$10*SQRT(Dashboard!$F$4) * _xlfn.NORM.S.INV(RAND())</f>
        <v>2.6251198025809327E-2</v>
      </c>
    </row>
    <row r="5158" spans="18:21" x14ac:dyDescent="0.2">
      <c r="R5158" s="49">
        <v>5156</v>
      </c>
      <c r="S5158" s="59">
        <f ca="1">Dashboard!B$8* Dashboard!$F$4+Dashboard!B$10*SQRT(Dashboard!$F$4) * _xlfn.NORM.S.INV(RAND())</f>
        <v>-2.6880960656766963E-2</v>
      </c>
      <c r="T5158" s="59">
        <f ca="1">Dashboard!C$8* Dashboard!$F$4+Dashboard!C$10*SQRT(Dashboard!$F$4) * _xlfn.NORM.S.INV(RAND())</f>
        <v>4.1377631105092252E-2</v>
      </c>
      <c r="U5158" s="59">
        <f ca="1">Dashboard!D$8* Dashboard!$F$4+Dashboard!D$10*SQRT(Dashboard!$F$4) * _xlfn.NORM.S.INV(RAND())</f>
        <v>-4.2400416786076825E-2</v>
      </c>
    </row>
    <row r="5159" spans="18:21" x14ac:dyDescent="0.2">
      <c r="R5159" s="49">
        <v>5157</v>
      </c>
      <c r="S5159" s="59">
        <f ca="1">Dashboard!B$8* Dashboard!$F$4+Dashboard!B$10*SQRT(Dashboard!$F$4) * _xlfn.NORM.S.INV(RAND())</f>
        <v>-4.5084582917040315E-3</v>
      </c>
      <c r="T5159" s="59">
        <f ca="1">Dashboard!C$8* Dashboard!$F$4+Dashboard!C$10*SQRT(Dashboard!$F$4) * _xlfn.NORM.S.INV(RAND())</f>
        <v>3.2938177733434632E-2</v>
      </c>
      <c r="U5159" s="59">
        <f ca="1">Dashboard!D$8* Dashboard!$F$4+Dashboard!D$10*SQRT(Dashboard!$F$4) * _xlfn.NORM.S.INV(RAND())</f>
        <v>2.3370349467525083E-2</v>
      </c>
    </row>
    <row r="5160" spans="18:21" x14ac:dyDescent="0.2">
      <c r="R5160" s="49">
        <v>5158</v>
      </c>
      <c r="S5160" s="59">
        <f ca="1">Dashboard!B$8* Dashboard!$F$4+Dashboard!B$10*SQRT(Dashboard!$F$4) * _xlfn.NORM.S.INV(RAND())</f>
        <v>-6.8852740030726056E-2</v>
      </c>
      <c r="T5160" s="59">
        <f ca="1">Dashboard!C$8* Dashboard!$F$4+Dashboard!C$10*SQRT(Dashboard!$F$4) * _xlfn.NORM.S.INV(RAND())</f>
        <v>-2.3685758365664302E-3</v>
      </c>
      <c r="U5160" s="59">
        <f ca="1">Dashboard!D$8* Dashboard!$F$4+Dashboard!D$10*SQRT(Dashboard!$F$4) * _xlfn.NORM.S.INV(RAND())</f>
        <v>5.8860949789663893E-2</v>
      </c>
    </row>
    <row r="5161" spans="18:21" x14ac:dyDescent="0.2">
      <c r="R5161" s="49">
        <v>5159</v>
      </c>
      <c r="S5161" s="59">
        <f ca="1">Dashboard!B$8* Dashboard!$F$4+Dashboard!B$10*SQRT(Dashboard!$F$4) * _xlfn.NORM.S.INV(RAND())</f>
        <v>3.6848817516441902E-2</v>
      </c>
      <c r="T5161" s="59">
        <f ca="1">Dashboard!C$8* Dashboard!$F$4+Dashboard!C$10*SQRT(Dashboard!$F$4) * _xlfn.NORM.S.INV(RAND())</f>
        <v>6.7511708666219611E-2</v>
      </c>
      <c r="U5161" s="59">
        <f ca="1">Dashboard!D$8* Dashboard!$F$4+Dashboard!D$10*SQRT(Dashboard!$F$4) * _xlfn.NORM.S.INV(RAND())</f>
        <v>-2.6158212919575884E-2</v>
      </c>
    </row>
    <row r="5162" spans="18:21" x14ac:dyDescent="0.2">
      <c r="R5162" s="49">
        <v>5160</v>
      </c>
      <c r="S5162" s="59">
        <f ca="1">Dashboard!B$8* Dashboard!$F$4+Dashboard!B$10*SQRT(Dashboard!$F$4) * _xlfn.NORM.S.INV(RAND())</f>
        <v>3.9920271152939328E-2</v>
      </c>
      <c r="T5162" s="59">
        <f ca="1">Dashboard!C$8* Dashboard!$F$4+Dashboard!C$10*SQRT(Dashboard!$F$4) * _xlfn.NORM.S.INV(RAND())</f>
        <v>-1.0458992452019991E-2</v>
      </c>
      <c r="U5162" s="59">
        <f ca="1">Dashboard!D$8* Dashboard!$F$4+Dashboard!D$10*SQRT(Dashboard!$F$4) * _xlfn.NORM.S.INV(RAND())</f>
        <v>-2.3100542173854734E-2</v>
      </c>
    </row>
    <row r="5163" spans="18:21" x14ac:dyDescent="0.2">
      <c r="R5163" s="49">
        <v>5161</v>
      </c>
      <c r="S5163" s="59">
        <f ca="1">Dashboard!B$8* Dashboard!$F$4+Dashboard!B$10*SQRT(Dashboard!$F$4) * _xlfn.NORM.S.INV(RAND())</f>
        <v>-8.7035290762371181E-2</v>
      </c>
      <c r="T5163" s="59">
        <f ca="1">Dashboard!C$8* Dashboard!$F$4+Dashboard!C$10*SQRT(Dashboard!$F$4) * _xlfn.NORM.S.INV(RAND())</f>
        <v>1.0992175880157074E-2</v>
      </c>
      <c r="U5163" s="59">
        <f ca="1">Dashboard!D$8* Dashboard!$F$4+Dashboard!D$10*SQRT(Dashboard!$F$4) * _xlfn.NORM.S.INV(RAND())</f>
        <v>6.3602351796661336E-2</v>
      </c>
    </row>
    <row r="5164" spans="18:21" x14ac:dyDescent="0.2">
      <c r="R5164" s="49">
        <v>5162</v>
      </c>
      <c r="S5164" s="59">
        <f ca="1">Dashboard!B$8* Dashboard!$F$4+Dashboard!B$10*SQRT(Dashboard!$F$4) * _xlfn.NORM.S.INV(RAND())</f>
        <v>-1.0362311709232037E-2</v>
      </c>
      <c r="T5164" s="59">
        <f ca="1">Dashboard!C$8* Dashboard!$F$4+Dashboard!C$10*SQRT(Dashboard!$F$4) * _xlfn.NORM.S.INV(RAND())</f>
        <v>-2.0374859028590427E-2</v>
      </c>
      <c r="U5164" s="59">
        <f ca="1">Dashboard!D$8* Dashboard!$F$4+Dashboard!D$10*SQRT(Dashboard!$F$4) * _xlfn.NORM.S.INV(RAND())</f>
        <v>-2.6687581917670938E-2</v>
      </c>
    </row>
    <row r="5165" spans="18:21" x14ac:dyDescent="0.2">
      <c r="R5165" s="49">
        <v>5163</v>
      </c>
      <c r="S5165" s="59">
        <f ca="1">Dashboard!B$8* Dashboard!$F$4+Dashboard!B$10*SQRT(Dashboard!$F$4) * _xlfn.NORM.S.INV(RAND())</f>
        <v>3.6074429423989827E-2</v>
      </c>
      <c r="T5165" s="59">
        <f ca="1">Dashboard!C$8* Dashboard!$F$4+Dashboard!C$10*SQRT(Dashboard!$F$4) * _xlfn.NORM.S.INV(RAND())</f>
        <v>4.8488662194020021E-3</v>
      </c>
      <c r="U5165" s="59">
        <f ca="1">Dashboard!D$8* Dashboard!$F$4+Dashboard!D$10*SQRT(Dashboard!$F$4) * _xlfn.NORM.S.INV(RAND())</f>
        <v>1.5812246929725386E-2</v>
      </c>
    </row>
    <row r="5166" spans="18:21" x14ac:dyDescent="0.2">
      <c r="R5166" s="49">
        <v>5164</v>
      </c>
      <c r="S5166" s="59">
        <f ca="1">Dashboard!B$8* Dashboard!$F$4+Dashboard!B$10*SQRT(Dashboard!$F$4) * _xlfn.NORM.S.INV(RAND())</f>
        <v>7.1591047735377972E-2</v>
      </c>
      <c r="T5166" s="59">
        <f ca="1">Dashboard!C$8* Dashboard!$F$4+Dashboard!C$10*SQRT(Dashboard!$F$4) * _xlfn.NORM.S.INV(RAND())</f>
        <v>-4.3398037388456982E-2</v>
      </c>
      <c r="U5166" s="59">
        <f ca="1">Dashboard!D$8* Dashboard!$F$4+Dashboard!D$10*SQRT(Dashboard!$F$4) * _xlfn.NORM.S.INV(RAND())</f>
        <v>2.884186150604624E-2</v>
      </c>
    </row>
    <row r="5167" spans="18:21" x14ac:dyDescent="0.2">
      <c r="R5167" s="49">
        <v>5165</v>
      </c>
      <c r="S5167" s="59">
        <f ca="1">Dashboard!B$8* Dashboard!$F$4+Dashboard!B$10*SQRT(Dashboard!$F$4) * _xlfn.NORM.S.INV(RAND())</f>
        <v>-8.384778882339493E-4</v>
      </c>
      <c r="T5167" s="59">
        <f ca="1">Dashboard!C$8* Dashboard!$F$4+Dashboard!C$10*SQRT(Dashboard!$F$4) * _xlfn.NORM.S.INV(RAND())</f>
        <v>-1.5849865242666471E-2</v>
      </c>
      <c r="U5167" s="59">
        <f ca="1">Dashboard!D$8* Dashboard!$F$4+Dashboard!D$10*SQRT(Dashboard!$F$4) * _xlfn.NORM.S.INV(RAND())</f>
        <v>3.8711660024914704E-2</v>
      </c>
    </row>
    <row r="5168" spans="18:21" x14ac:dyDescent="0.2">
      <c r="R5168" s="49">
        <v>5166</v>
      </c>
      <c r="S5168" s="59">
        <f ca="1">Dashboard!B$8* Dashboard!$F$4+Dashboard!B$10*SQRT(Dashboard!$F$4) * _xlfn.NORM.S.INV(RAND())</f>
        <v>3.4021810100754966E-2</v>
      </c>
      <c r="T5168" s="59">
        <f ca="1">Dashboard!C$8* Dashboard!$F$4+Dashboard!C$10*SQRT(Dashboard!$F$4) * _xlfn.NORM.S.INV(RAND())</f>
        <v>2.9319985155511201E-2</v>
      </c>
      <c r="U5168" s="59">
        <f ca="1">Dashboard!D$8* Dashboard!$F$4+Dashboard!D$10*SQRT(Dashboard!$F$4) * _xlfn.NORM.S.INV(RAND())</f>
        <v>7.5497816137068768E-2</v>
      </c>
    </row>
    <row r="5169" spans="18:21" x14ac:dyDescent="0.2">
      <c r="R5169" s="49">
        <v>5167</v>
      </c>
      <c r="S5169" s="59">
        <f ca="1">Dashboard!B$8* Dashboard!$F$4+Dashboard!B$10*SQRT(Dashboard!$F$4) * _xlfn.NORM.S.INV(RAND())</f>
        <v>-1.5280242398092898E-3</v>
      </c>
      <c r="T5169" s="59">
        <f ca="1">Dashboard!C$8* Dashboard!$F$4+Dashboard!C$10*SQRT(Dashboard!$F$4) * _xlfn.NORM.S.INV(RAND())</f>
        <v>1.5831561584572919E-2</v>
      </c>
      <c r="U5169" s="59">
        <f ca="1">Dashboard!D$8* Dashboard!$F$4+Dashboard!D$10*SQRT(Dashboard!$F$4) * _xlfn.NORM.S.INV(RAND())</f>
        <v>-8.8948097920575984E-3</v>
      </c>
    </row>
    <row r="5170" spans="18:21" x14ac:dyDescent="0.2">
      <c r="R5170" s="49">
        <v>5168</v>
      </c>
      <c r="S5170" s="59">
        <f ca="1">Dashboard!B$8* Dashboard!$F$4+Dashboard!B$10*SQRT(Dashboard!$F$4) * _xlfn.NORM.S.INV(RAND())</f>
        <v>1.4916324111274094E-2</v>
      </c>
      <c r="T5170" s="59">
        <f ca="1">Dashboard!C$8* Dashboard!$F$4+Dashboard!C$10*SQRT(Dashboard!$F$4) * _xlfn.NORM.S.INV(RAND())</f>
        <v>2.6004626646064618E-2</v>
      </c>
      <c r="U5170" s="59">
        <f ca="1">Dashboard!D$8* Dashboard!$F$4+Dashboard!D$10*SQRT(Dashboard!$F$4) * _xlfn.NORM.S.INV(RAND())</f>
        <v>-1.7523404652790956E-2</v>
      </c>
    </row>
    <row r="5171" spans="18:21" x14ac:dyDescent="0.2">
      <c r="R5171" s="49">
        <v>5169</v>
      </c>
      <c r="S5171" s="59">
        <f ca="1">Dashboard!B$8* Dashboard!$F$4+Dashboard!B$10*SQRT(Dashboard!$F$4) * _xlfn.NORM.S.INV(RAND())</f>
        <v>4.1684092509467009E-2</v>
      </c>
      <c r="T5171" s="59">
        <f ca="1">Dashboard!C$8* Dashboard!$F$4+Dashboard!C$10*SQRT(Dashboard!$F$4) * _xlfn.NORM.S.INV(RAND())</f>
        <v>5.6408980744583566E-2</v>
      </c>
      <c r="U5171" s="59">
        <f ca="1">Dashboard!D$8* Dashboard!$F$4+Dashboard!D$10*SQRT(Dashboard!$F$4) * _xlfn.NORM.S.INV(RAND())</f>
        <v>-4.27788694865959E-2</v>
      </c>
    </row>
    <row r="5172" spans="18:21" x14ac:dyDescent="0.2">
      <c r="R5172" s="49">
        <v>5170</v>
      </c>
      <c r="S5172" s="59">
        <f ca="1">Dashboard!B$8* Dashboard!$F$4+Dashboard!B$10*SQRT(Dashboard!$F$4) * _xlfn.NORM.S.INV(RAND())</f>
        <v>1.6303039557364424E-2</v>
      </c>
      <c r="T5172" s="59">
        <f ca="1">Dashboard!C$8* Dashboard!$F$4+Dashboard!C$10*SQRT(Dashboard!$F$4) * _xlfn.NORM.S.INV(RAND())</f>
        <v>-2.0930448950731109E-2</v>
      </c>
      <c r="U5172" s="59">
        <f ca="1">Dashboard!D$8* Dashboard!$F$4+Dashboard!D$10*SQRT(Dashboard!$F$4) * _xlfn.NORM.S.INV(RAND())</f>
        <v>-5.064620438963597E-2</v>
      </c>
    </row>
    <row r="5173" spans="18:21" x14ac:dyDescent="0.2">
      <c r="R5173" s="49">
        <v>5171</v>
      </c>
      <c r="S5173" s="59">
        <f ca="1">Dashboard!B$8* Dashboard!$F$4+Dashboard!B$10*SQRT(Dashboard!$F$4) * _xlfn.NORM.S.INV(RAND())</f>
        <v>1.1032228389448917E-2</v>
      </c>
      <c r="T5173" s="59">
        <f ca="1">Dashboard!C$8* Dashboard!$F$4+Dashboard!C$10*SQRT(Dashboard!$F$4) * _xlfn.NORM.S.INV(RAND())</f>
        <v>-3.8432686052164476E-3</v>
      </c>
      <c r="U5173" s="59">
        <f ca="1">Dashboard!D$8* Dashboard!$F$4+Dashboard!D$10*SQRT(Dashboard!$F$4) * _xlfn.NORM.S.INV(RAND())</f>
        <v>-3.1402291925394184E-2</v>
      </c>
    </row>
    <row r="5174" spans="18:21" x14ac:dyDescent="0.2">
      <c r="R5174" s="49">
        <v>5172</v>
      </c>
      <c r="S5174" s="59">
        <f ca="1">Dashboard!B$8* Dashboard!$F$4+Dashboard!B$10*SQRT(Dashboard!$F$4) * _xlfn.NORM.S.INV(RAND())</f>
        <v>-8.1411279813519921E-2</v>
      </c>
      <c r="T5174" s="59">
        <f ca="1">Dashboard!C$8* Dashboard!$F$4+Dashboard!C$10*SQRT(Dashboard!$F$4) * _xlfn.NORM.S.INV(RAND())</f>
        <v>3.5153099093695912E-2</v>
      </c>
      <c r="U5174" s="59">
        <f ca="1">Dashboard!D$8* Dashboard!$F$4+Dashboard!D$10*SQRT(Dashboard!$F$4) * _xlfn.NORM.S.INV(RAND())</f>
        <v>4.7420832204459265E-2</v>
      </c>
    </row>
    <row r="5175" spans="18:21" x14ac:dyDescent="0.2">
      <c r="R5175" s="49">
        <v>5173</v>
      </c>
      <c r="S5175" s="59">
        <f ca="1">Dashboard!B$8* Dashboard!$F$4+Dashboard!B$10*SQRT(Dashboard!$F$4) * _xlfn.NORM.S.INV(RAND())</f>
        <v>1.947402837994195E-2</v>
      </c>
      <c r="T5175" s="59">
        <f ca="1">Dashboard!C$8* Dashboard!$F$4+Dashboard!C$10*SQRT(Dashboard!$F$4) * _xlfn.NORM.S.INV(RAND())</f>
        <v>5.9707832823648454E-3</v>
      </c>
      <c r="U5175" s="59">
        <f ca="1">Dashboard!D$8* Dashboard!$F$4+Dashboard!D$10*SQRT(Dashboard!$F$4) * _xlfn.NORM.S.INV(RAND())</f>
        <v>4.3085972474259625E-4</v>
      </c>
    </row>
    <row r="5176" spans="18:21" x14ac:dyDescent="0.2">
      <c r="R5176" s="49">
        <v>5174</v>
      </c>
      <c r="S5176" s="59">
        <f ca="1">Dashboard!B$8* Dashboard!$F$4+Dashboard!B$10*SQRT(Dashboard!$F$4) * _xlfn.NORM.S.INV(RAND())</f>
        <v>-2.6871804639803508E-2</v>
      </c>
      <c r="T5176" s="59">
        <f ca="1">Dashboard!C$8* Dashboard!$F$4+Dashboard!C$10*SQRT(Dashboard!$F$4) * _xlfn.NORM.S.INV(RAND())</f>
        <v>-6.2665993600195423E-3</v>
      </c>
      <c r="U5176" s="59">
        <f ca="1">Dashboard!D$8* Dashboard!$F$4+Dashboard!D$10*SQRT(Dashboard!$F$4) * _xlfn.NORM.S.INV(RAND())</f>
        <v>-2.3396237748980146E-3</v>
      </c>
    </row>
    <row r="5177" spans="18:21" x14ac:dyDescent="0.2">
      <c r="R5177" s="49">
        <v>5175</v>
      </c>
      <c r="S5177" s="59">
        <f ca="1">Dashboard!B$8* Dashboard!$F$4+Dashboard!B$10*SQRT(Dashboard!$F$4) * _xlfn.NORM.S.INV(RAND())</f>
        <v>-3.5369252421620742E-2</v>
      </c>
      <c r="T5177" s="59">
        <f ca="1">Dashboard!C$8* Dashboard!$F$4+Dashboard!C$10*SQRT(Dashboard!$F$4) * _xlfn.NORM.S.INV(RAND())</f>
        <v>-1.505678188254185E-2</v>
      </c>
      <c r="U5177" s="59">
        <f ca="1">Dashboard!D$8* Dashboard!$F$4+Dashboard!D$10*SQRT(Dashboard!$F$4) * _xlfn.NORM.S.INV(RAND())</f>
        <v>-2.2590377974176717E-2</v>
      </c>
    </row>
    <row r="5178" spans="18:21" x14ac:dyDescent="0.2">
      <c r="R5178" s="49">
        <v>5176</v>
      </c>
      <c r="S5178" s="59">
        <f ca="1">Dashboard!B$8* Dashboard!$F$4+Dashboard!B$10*SQRT(Dashboard!$F$4) * _xlfn.NORM.S.INV(RAND())</f>
        <v>-2.4457317293060908E-2</v>
      </c>
      <c r="T5178" s="59">
        <f ca="1">Dashboard!C$8* Dashboard!$F$4+Dashboard!C$10*SQRT(Dashboard!$F$4) * _xlfn.NORM.S.INV(RAND())</f>
        <v>2.2898898999584447E-2</v>
      </c>
      <c r="U5178" s="59">
        <f ca="1">Dashboard!D$8* Dashboard!$F$4+Dashboard!D$10*SQRT(Dashboard!$F$4) * _xlfn.NORM.S.INV(RAND())</f>
        <v>-3.646422469295027E-2</v>
      </c>
    </row>
    <row r="5179" spans="18:21" x14ac:dyDescent="0.2">
      <c r="R5179" s="49">
        <v>5177</v>
      </c>
      <c r="S5179" s="59">
        <f ca="1">Dashboard!B$8* Dashboard!$F$4+Dashboard!B$10*SQRT(Dashboard!$F$4) * _xlfn.NORM.S.INV(RAND())</f>
        <v>-6.2695217276029627E-2</v>
      </c>
      <c r="T5179" s="59">
        <f ca="1">Dashboard!C$8* Dashboard!$F$4+Dashboard!C$10*SQRT(Dashboard!$F$4) * _xlfn.NORM.S.INV(RAND())</f>
        <v>5.199566998528643E-2</v>
      </c>
      <c r="U5179" s="59">
        <f ca="1">Dashboard!D$8* Dashboard!$F$4+Dashboard!D$10*SQRT(Dashboard!$F$4) * _xlfn.NORM.S.INV(RAND())</f>
        <v>-2.4584538687125474E-2</v>
      </c>
    </row>
    <row r="5180" spans="18:21" x14ac:dyDescent="0.2">
      <c r="R5180" s="49">
        <v>5178</v>
      </c>
      <c r="S5180" s="59">
        <f ca="1">Dashboard!B$8* Dashboard!$F$4+Dashboard!B$10*SQRT(Dashboard!$F$4) * _xlfn.NORM.S.INV(RAND())</f>
        <v>-1.59843572590526E-3</v>
      </c>
      <c r="T5180" s="59">
        <f ca="1">Dashboard!C$8* Dashboard!$F$4+Dashboard!C$10*SQRT(Dashboard!$F$4) * _xlfn.NORM.S.INV(RAND())</f>
        <v>1.69506961906816E-2</v>
      </c>
      <c r="U5180" s="59">
        <f ca="1">Dashboard!D$8* Dashboard!$F$4+Dashboard!D$10*SQRT(Dashboard!$F$4) * _xlfn.NORM.S.INV(RAND())</f>
        <v>5.5588158743638764E-3</v>
      </c>
    </row>
    <row r="5181" spans="18:21" x14ac:dyDescent="0.2">
      <c r="R5181" s="49">
        <v>5179</v>
      </c>
      <c r="S5181" s="59">
        <f ca="1">Dashboard!B$8* Dashboard!$F$4+Dashboard!B$10*SQRT(Dashboard!$F$4) * _xlfn.NORM.S.INV(RAND())</f>
        <v>-3.6016287506346979E-2</v>
      </c>
      <c r="T5181" s="59">
        <f ca="1">Dashboard!C$8* Dashboard!$F$4+Dashboard!C$10*SQRT(Dashboard!$F$4) * _xlfn.NORM.S.INV(RAND())</f>
        <v>-5.4803557183691794E-2</v>
      </c>
      <c r="U5181" s="59">
        <f ca="1">Dashboard!D$8* Dashboard!$F$4+Dashboard!D$10*SQRT(Dashboard!$F$4) * _xlfn.NORM.S.INV(RAND())</f>
        <v>-9.2244087120930088E-2</v>
      </c>
    </row>
    <row r="5182" spans="18:21" x14ac:dyDescent="0.2">
      <c r="R5182" s="49">
        <v>5180</v>
      </c>
      <c r="S5182" s="59">
        <f ca="1">Dashboard!B$8* Dashboard!$F$4+Dashboard!B$10*SQRT(Dashboard!$F$4) * _xlfn.NORM.S.INV(RAND())</f>
        <v>-4.1319891194863907E-2</v>
      </c>
      <c r="T5182" s="59">
        <f ca="1">Dashboard!C$8* Dashboard!$F$4+Dashboard!C$10*SQRT(Dashboard!$F$4) * _xlfn.NORM.S.INV(RAND())</f>
        <v>1.2353707459257429E-2</v>
      </c>
      <c r="U5182" s="59">
        <f ca="1">Dashboard!D$8* Dashboard!$F$4+Dashboard!D$10*SQRT(Dashboard!$F$4) * _xlfn.NORM.S.INV(RAND())</f>
        <v>-3.2823689389840545E-3</v>
      </c>
    </row>
    <row r="5183" spans="18:21" x14ac:dyDescent="0.2">
      <c r="R5183" s="49">
        <v>5181</v>
      </c>
      <c r="S5183" s="59">
        <f ca="1">Dashboard!B$8* Dashboard!$F$4+Dashboard!B$10*SQRT(Dashboard!$F$4) * _xlfn.NORM.S.INV(RAND())</f>
        <v>-1.3903635828996553E-2</v>
      </c>
      <c r="T5183" s="59">
        <f ca="1">Dashboard!C$8* Dashboard!$F$4+Dashboard!C$10*SQRT(Dashboard!$F$4) * _xlfn.NORM.S.INV(RAND())</f>
        <v>-1.1290642431151403E-2</v>
      </c>
      <c r="U5183" s="59">
        <f ca="1">Dashboard!D$8* Dashboard!$F$4+Dashboard!D$10*SQRT(Dashboard!$F$4) * _xlfn.NORM.S.INV(RAND())</f>
        <v>1.0450737122909051E-2</v>
      </c>
    </row>
    <row r="5184" spans="18:21" x14ac:dyDescent="0.2">
      <c r="R5184" s="49">
        <v>5182</v>
      </c>
      <c r="S5184" s="59">
        <f ca="1">Dashboard!B$8* Dashboard!$F$4+Dashboard!B$10*SQRT(Dashboard!$F$4) * _xlfn.NORM.S.INV(RAND())</f>
        <v>-1.7683089930434596E-3</v>
      </c>
      <c r="T5184" s="59">
        <f ca="1">Dashboard!C$8* Dashboard!$F$4+Dashboard!C$10*SQRT(Dashboard!$F$4) * _xlfn.NORM.S.INV(RAND())</f>
        <v>1.6023974799936364E-2</v>
      </c>
      <c r="U5184" s="59">
        <f ca="1">Dashboard!D$8* Dashboard!$F$4+Dashboard!D$10*SQRT(Dashboard!$F$4) * _xlfn.NORM.S.INV(RAND())</f>
        <v>-2.0720202432028666E-3</v>
      </c>
    </row>
    <row r="5185" spans="18:21" x14ac:dyDescent="0.2">
      <c r="R5185" s="49">
        <v>5183</v>
      </c>
      <c r="S5185" s="59">
        <f ca="1">Dashboard!B$8* Dashboard!$F$4+Dashboard!B$10*SQRT(Dashboard!$F$4) * _xlfn.NORM.S.INV(RAND())</f>
        <v>8.5017115809553883E-3</v>
      </c>
      <c r="T5185" s="59">
        <f ca="1">Dashboard!C$8* Dashboard!$F$4+Dashboard!C$10*SQRT(Dashboard!$F$4) * _xlfn.NORM.S.INV(RAND())</f>
        <v>3.8865859173946018E-3</v>
      </c>
      <c r="U5185" s="59">
        <f ca="1">Dashboard!D$8* Dashboard!$F$4+Dashboard!D$10*SQRT(Dashboard!$F$4) * _xlfn.NORM.S.INV(RAND())</f>
        <v>2.9700801332664898E-2</v>
      </c>
    </row>
    <row r="5186" spans="18:21" x14ac:dyDescent="0.2">
      <c r="R5186" s="49">
        <v>5184</v>
      </c>
      <c r="S5186" s="59">
        <f ca="1">Dashboard!B$8* Dashboard!$F$4+Dashboard!B$10*SQRT(Dashboard!$F$4) * _xlfn.NORM.S.INV(RAND())</f>
        <v>3.1351739221353377E-2</v>
      </c>
      <c r="T5186" s="59">
        <f ca="1">Dashboard!C$8* Dashboard!$F$4+Dashboard!C$10*SQRT(Dashboard!$F$4) * _xlfn.NORM.S.INV(RAND())</f>
        <v>1.4862553642433954E-2</v>
      </c>
      <c r="U5186" s="59">
        <f ca="1">Dashboard!D$8* Dashboard!$F$4+Dashboard!D$10*SQRT(Dashboard!$F$4) * _xlfn.NORM.S.INV(RAND())</f>
        <v>2.0877770803902655E-3</v>
      </c>
    </row>
    <row r="5187" spans="18:21" x14ac:dyDescent="0.2">
      <c r="R5187" s="49">
        <v>5185</v>
      </c>
      <c r="S5187" s="59">
        <f ca="1">Dashboard!B$8* Dashboard!$F$4+Dashboard!B$10*SQRT(Dashboard!$F$4) * _xlfn.NORM.S.INV(RAND())</f>
        <v>-2.1008985807217391E-2</v>
      </c>
      <c r="T5187" s="59">
        <f ca="1">Dashboard!C$8* Dashboard!$F$4+Dashboard!C$10*SQRT(Dashboard!$F$4) * _xlfn.NORM.S.INV(RAND())</f>
        <v>1.6032601759553823E-2</v>
      </c>
      <c r="U5187" s="59">
        <f ca="1">Dashboard!D$8* Dashboard!$F$4+Dashboard!D$10*SQRT(Dashboard!$F$4) * _xlfn.NORM.S.INV(RAND())</f>
        <v>-9.1708937431810174E-4</v>
      </c>
    </row>
    <row r="5188" spans="18:21" x14ac:dyDescent="0.2">
      <c r="R5188" s="49">
        <v>5186</v>
      </c>
      <c r="S5188" s="59">
        <f ca="1">Dashboard!B$8* Dashboard!$F$4+Dashboard!B$10*SQRT(Dashboard!$F$4) * _xlfn.NORM.S.INV(RAND())</f>
        <v>-5.5187111569399445E-3</v>
      </c>
      <c r="T5188" s="59">
        <f ca="1">Dashboard!C$8* Dashboard!$F$4+Dashboard!C$10*SQRT(Dashboard!$F$4) * _xlfn.NORM.S.INV(RAND())</f>
        <v>3.4695239152824449E-3</v>
      </c>
      <c r="U5188" s="59">
        <f ca="1">Dashboard!D$8* Dashboard!$F$4+Dashboard!D$10*SQRT(Dashboard!$F$4) * _xlfn.NORM.S.INV(RAND())</f>
        <v>9.8137637953894762E-3</v>
      </c>
    </row>
    <row r="5189" spans="18:21" x14ac:dyDescent="0.2">
      <c r="R5189" s="49">
        <v>5187</v>
      </c>
      <c r="S5189" s="59">
        <f ca="1">Dashboard!B$8* Dashboard!$F$4+Dashboard!B$10*SQRT(Dashboard!$F$4) * _xlfn.NORM.S.INV(RAND())</f>
        <v>-2.50247126419205E-2</v>
      </c>
      <c r="T5189" s="59">
        <f ca="1">Dashboard!C$8* Dashboard!$F$4+Dashboard!C$10*SQRT(Dashboard!$F$4) * _xlfn.NORM.S.INV(RAND())</f>
        <v>2.1306221041205643E-2</v>
      </c>
      <c r="U5189" s="59">
        <f ca="1">Dashboard!D$8* Dashboard!$F$4+Dashboard!D$10*SQRT(Dashboard!$F$4) * _xlfn.NORM.S.INV(RAND())</f>
        <v>4.3663134558384512E-2</v>
      </c>
    </row>
    <row r="5190" spans="18:21" x14ac:dyDescent="0.2">
      <c r="R5190" s="49">
        <v>5188</v>
      </c>
      <c r="S5190" s="59">
        <f ca="1">Dashboard!B$8* Dashboard!$F$4+Dashboard!B$10*SQRT(Dashboard!$F$4) * _xlfn.NORM.S.INV(RAND())</f>
        <v>2.9600345893316962E-2</v>
      </c>
      <c r="T5190" s="59">
        <f ca="1">Dashboard!C$8* Dashboard!$F$4+Dashboard!C$10*SQRT(Dashboard!$F$4) * _xlfn.NORM.S.INV(RAND())</f>
        <v>-5.1709826238526491E-2</v>
      </c>
      <c r="U5190" s="59">
        <f ca="1">Dashboard!D$8* Dashboard!$F$4+Dashboard!D$10*SQRT(Dashboard!$F$4) * _xlfn.NORM.S.INV(RAND())</f>
        <v>1.1772051109743761E-2</v>
      </c>
    </row>
    <row r="5191" spans="18:21" x14ac:dyDescent="0.2">
      <c r="R5191" s="49">
        <v>5189</v>
      </c>
      <c r="S5191" s="59">
        <f ca="1">Dashboard!B$8* Dashboard!$F$4+Dashboard!B$10*SQRT(Dashboard!$F$4) * _xlfn.NORM.S.INV(RAND())</f>
        <v>-1.6831889234925332E-2</v>
      </c>
      <c r="T5191" s="59">
        <f ca="1">Dashboard!C$8* Dashboard!$F$4+Dashboard!C$10*SQRT(Dashboard!$F$4) * _xlfn.NORM.S.INV(RAND())</f>
        <v>-2.9213051982332438E-2</v>
      </c>
      <c r="U5191" s="59">
        <f ca="1">Dashboard!D$8* Dashboard!$F$4+Dashboard!D$10*SQRT(Dashboard!$F$4) * _xlfn.NORM.S.INV(RAND())</f>
        <v>5.0091640838994825E-2</v>
      </c>
    </row>
    <row r="5192" spans="18:21" x14ac:dyDescent="0.2">
      <c r="R5192" s="49">
        <v>5190</v>
      </c>
      <c r="S5192" s="59">
        <f ca="1">Dashboard!B$8* Dashboard!$F$4+Dashboard!B$10*SQRT(Dashboard!$F$4) * _xlfn.NORM.S.INV(RAND())</f>
        <v>-3.0141472129949415E-2</v>
      </c>
      <c r="T5192" s="59">
        <f ca="1">Dashboard!C$8* Dashboard!$F$4+Dashboard!C$10*SQRT(Dashboard!$F$4) * _xlfn.NORM.S.INV(RAND())</f>
        <v>2.6935232915862299E-2</v>
      </c>
      <c r="U5192" s="59">
        <f ca="1">Dashboard!D$8* Dashboard!$F$4+Dashboard!D$10*SQRT(Dashboard!$F$4) * _xlfn.NORM.S.INV(RAND())</f>
        <v>6.0465351940951614E-3</v>
      </c>
    </row>
    <row r="5193" spans="18:21" x14ac:dyDescent="0.2">
      <c r="R5193" s="49">
        <v>5191</v>
      </c>
      <c r="S5193" s="59">
        <f ca="1">Dashboard!B$8* Dashboard!$F$4+Dashboard!B$10*SQRT(Dashboard!$F$4) * _xlfn.NORM.S.INV(RAND())</f>
        <v>8.588778859163421E-4</v>
      </c>
      <c r="T5193" s="59">
        <f ca="1">Dashboard!C$8* Dashboard!$F$4+Dashboard!C$10*SQRT(Dashboard!$F$4) * _xlfn.NORM.S.INV(RAND())</f>
        <v>-8.6560417585891565E-3</v>
      </c>
      <c r="U5193" s="59">
        <f ca="1">Dashboard!D$8* Dashboard!$F$4+Dashboard!D$10*SQRT(Dashboard!$F$4) * _xlfn.NORM.S.INV(RAND())</f>
        <v>8.7716400424177055E-3</v>
      </c>
    </row>
    <row r="5194" spans="18:21" x14ac:dyDescent="0.2">
      <c r="R5194" s="49">
        <v>5192</v>
      </c>
      <c r="S5194" s="59">
        <f ca="1">Dashboard!B$8* Dashboard!$F$4+Dashboard!B$10*SQRT(Dashboard!$F$4) * _xlfn.NORM.S.INV(RAND())</f>
        <v>-5.3601546154386649E-2</v>
      </c>
      <c r="T5194" s="59">
        <f ca="1">Dashboard!C$8* Dashboard!$F$4+Dashboard!C$10*SQRT(Dashboard!$F$4) * _xlfn.NORM.S.INV(RAND())</f>
        <v>-1.8098171964095244E-2</v>
      </c>
      <c r="U5194" s="59">
        <f ca="1">Dashboard!D$8* Dashboard!$F$4+Dashboard!D$10*SQRT(Dashboard!$F$4) * _xlfn.NORM.S.INV(RAND())</f>
        <v>5.6307265399507263E-2</v>
      </c>
    </row>
    <row r="5195" spans="18:21" x14ac:dyDescent="0.2">
      <c r="R5195" s="49">
        <v>5193</v>
      </c>
      <c r="S5195" s="59">
        <f ca="1">Dashboard!B$8* Dashboard!$F$4+Dashboard!B$10*SQRT(Dashboard!$F$4) * _xlfn.NORM.S.INV(RAND())</f>
        <v>5.5490887701381414E-3</v>
      </c>
      <c r="T5195" s="59">
        <f ca="1">Dashboard!C$8* Dashboard!$F$4+Dashboard!C$10*SQRT(Dashboard!$F$4) * _xlfn.NORM.S.INV(RAND())</f>
        <v>9.7654803941321193E-3</v>
      </c>
      <c r="U5195" s="59">
        <f ca="1">Dashboard!D$8* Dashboard!$F$4+Dashboard!D$10*SQRT(Dashboard!$F$4) * _xlfn.NORM.S.INV(RAND())</f>
        <v>8.7665751886351704E-3</v>
      </c>
    </row>
    <row r="5196" spans="18:21" x14ac:dyDescent="0.2">
      <c r="R5196" s="49">
        <v>5194</v>
      </c>
      <c r="S5196" s="59">
        <f ca="1">Dashboard!B$8* Dashboard!$F$4+Dashboard!B$10*SQRT(Dashboard!$F$4) * _xlfn.NORM.S.INV(RAND())</f>
        <v>1.2833353194826118E-2</v>
      </c>
      <c r="T5196" s="59">
        <f ca="1">Dashboard!C$8* Dashboard!$F$4+Dashboard!C$10*SQRT(Dashboard!$F$4) * _xlfn.NORM.S.INV(RAND())</f>
        <v>-1.0164370602636027E-2</v>
      </c>
      <c r="U5196" s="59">
        <f ca="1">Dashboard!D$8* Dashboard!$F$4+Dashboard!D$10*SQRT(Dashboard!$F$4) * _xlfn.NORM.S.INV(RAND())</f>
        <v>1.4383107406884244E-2</v>
      </c>
    </row>
    <row r="5197" spans="18:21" x14ac:dyDescent="0.2">
      <c r="R5197" s="49">
        <v>5195</v>
      </c>
      <c r="S5197" s="59">
        <f ca="1">Dashboard!B$8* Dashboard!$F$4+Dashboard!B$10*SQRT(Dashboard!$F$4) * _xlfn.NORM.S.INV(RAND())</f>
        <v>-2.174017393027261E-2</v>
      </c>
      <c r="T5197" s="59">
        <f ca="1">Dashboard!C$8* Dashboard!$F$4+Dashboard!C$10*SQRT(Dashboard!$F$4) * _xlfn.NORM.S.INV(RAND())</f>
        <v>9.1048870872373917E-3</v>
      </c>
      <c r="U5197" s="59">
        <f ca="1">Dashboard!D$8* Dashboard!$F$4+Dashboard!D$10*SQRT(Dashboard!$F$4) * _xlfn.NORM.S.INV(RAND())</f>
        <v>3.0682794920679464E-3</v>
      </c>
    </row>
    <row r="5198" spans="18:21" x14ac:dyDescent="0.2">
      <c r="R5198" s="49">
        <v>5196</v>
      </c>
      <c r="S5198" s="59">
        <f ca="1">Dashboard!B$8* Dashboard!$F$4+Dashboard!B$10*SQRT(Dashboard!$F$4) * _xlfn.NORM.S.INV(RAND())</f>
        <v>3.2343178793875623E-3</v>
      </c>
      <c r="T5198" s="59">
        <f ca="1">Dashboard!C$8* Dashboard!$F$4+Dashboard!C$10*SQRT(Dashboard!$F$4) * _xlfn.NORM.S.INV(RAND())</f>
        <v>4.2263638061469551E-2</v>
      </c>
      <c r="U5198" s="59">
        <f ca="1">Dashboard!D$8* Dashboard!$F$4+Dashboard!D$10*SQRT(Dashboard!$F$4) * _xlfn.NORM.S.INV(RAND())</f>
        <v>-5.4413876875289511E-3</v>
      </c>
    </row>
    <row r="5199" spans="18:21" x14ac:dyDescent="0.2">
      <c r="R5199" s="49">
        <v>5197</v>
      </c>
      <c r="S5199" s="59">
        <f ca="1">Dashboard!B$8* Dashboard!$F$4+Dashboard!B$10*SQRT(Dashboard!$F$4) * _xlfn.NORM.S.INV(RAND())</f>
        <v>1.1929448010303595E-2</v>
      </c>
      <c r="T5199" s="59">
        <f ca="1">Dashboard!C$8* Dashboard!$F$4+Dashboard!C$10*SQRT(Dashboard!$F$4) * _xlfn.NORM.S.INV(RAND())</f>
        <v>9.5427175698954139E-4</v>
      </c>
      <c r="U5199" s="59">
        <f ca="1">Dashboard!D$8* Dashboard!$F$4+Dashboard!D$10*SQRT(Dashboard!$F$4) * _xlfn.NORM.S.INV(RAND())</f>
        <v>7.430390548567184E-2</v>
      </c>
    </row>
    <row r="5200" spans="18:21" x14ac:dyDescent="0.2">
      <c r="R5200" s="49">
        <v>5198</v>
      </c>
      <c r="S5200" s="59">
        <f ca="1">Dashboard!B$8* Dashboard!$F$4+Dashboard!B$10*SQRT(Dashboard!$F$4) * _xlfn.NORM.S.INV(RAND())</f>
        <v>1.4986909474395236E-2</v>
      </c>
      <c r="T5200" s="59">
        <f ca="1">Dashboard!C$8* Dashboard!$F$4+Dashboard!C$10*SQRT(Dashboard!$F$4) * _xlfn.NORM.S.INV(RAND())</f>
        <v>4.4581932550677418E-2</v>
      </c>
      <c r="U5200" s="59">
        <f ca="1">Dashboard!D$8* Dashboard!$F$4+Dashboard!D$10*SQRT(Dashboard!$F$4) * _xlfn.NORM.S.INV(RAND())</f>
        <v>1.9315811074508294E-4</v>
      </c>
    </row>
    <row r="5201" spans="18:21" x14ac:dyDescent="0.2">
      <c r="R5201" s="49">
        <v>5199</v>
      </c>
      <c r="S5201" s="59">
        <f ca="1">Dashboard!B$8* Dashboard!$F$4+Dashboard!B$10*SQRT(Dashboard!$F$4) * _xlfn.NORM.S.INV(RAND())</f>
        <v>1.2875300050518726E-2</v>
      </c>
      <c r="T5201" s="59">
        <f ca="1">Dashboard!C$8* Dashboard!$F$4+Dashboard!C$10*SQRT(Dashboard!$F$4) * _xlfn.NORM.S.INV(RAND())</f>
        <v>0.12264095292514618</v>
      </c>
      <c r="U5201" s="59">
        <f ca="1">Dashboard!D$8* Dashboard!$F$4+Dashboard!D$10*SQRT(Dashboard!$F$4) * _xlfn.NORM.S.INV(RAND())</f>
        <v>1.0243257318543147E-2</v>
      </c>
    </row>
    <row r="5202" spans="18:21" x14ac:dyDescent="0.2">
      <c r="R5202" s="49">
        <v>5200</v>
      </c>
      <c r="S5202" s="59">
        <f ca="1">Dashboard!B$8* Dashboard!$F$4+Dashboard!B$10*SQRT(Dashboard!$F$4) * _xlfn.NORM.S.INV(RAND())</f>
        <v>7.5713075764389945E-2</v>
      </c>
      <c r="T5202" s="59">
        <f ca="1">Dashboard!C$8* Dashboard!$F$4+Dashboard!C$10*SQRT(Dashboard!$F$4) * _xlfn.NORM.S.INV(RAND())</f>
        <v>8.6034990164325729E-3</v>
      </c>
      <c r="U5202" s="59">
        <f ca="1">Dashboard!D$8* Dashboard!$F$4+Dashboard!D$10*SQRT(Dashboard!$F$4) * _xlfn.NORM.S.INV(RAND())</f>
        <v>-5.6951405974760866E-2</v>
      </c>
    </row>
    <row r="5203" spans="18:21" x14ac:dyDescent="0.2">
      <c r="R5203" s="49">
        <v>5201</v>
      </c>
      <c r="S5203" s="59">
        <f ca="1">Dashboard!B$8* Dashboard!$F$4+Dashboard!B$10*SQRT(Dashboard!$F$4) * _xlfn.NORM.S.INV(RAND())</f>
        <v>3.8998942595116083E-2</v>
      </c>
      <c r="T5203" s="59">
        <f ca="1">Dashboard!C$8* Dashboard!$F$4+Dashboard!C$10*SQRT(Dashboard!$F$4) * _xlfn.NORM.S.INV(RAND())</f>
        <v>1.7944309454553158E-2</v>
      </c>
      <c r="U5203" s="59">
        <f ca="1">Dashboard!D$8* Dashboard!$F$4+Dashboard!D$10*SQRT(Dashboard!$F$4) * _xlfn.NORM.S.INV(RAND())</f>
        <v>7.8393975163895489E-3</v>
      </c>
    </row>
    <row r="5204" spans="18:21" x14ac:dyDescent="0.2">
      <c r="R5204" s="49">
        <v>5202</v>
      </c>
      <c r="S5204" s="59">
        <f ca="1">Dashboard!B$8* Dashboard!$F$4+Dashboard!B$10*SQRT(Dashboard!$F$4) * _xlfn.NORM.S.INV(RAND())</f>
        <v>-6.0677226658359951E-3</v>
      </c>
      <c r="T5204" s="59">
        <f ca="1">Dashboard!C$8* Dashboard!$F$4+Dashboard!C$10*SQRT(Dashboard!$F$4) * _xlfn.NORM.S.INV(RAND())</f>
        <v>1.5031352658028411E-2</v>
      </c>
      <c r="U5204" s="59">
        <f ca="1">Dashboard!D$8* Dashboard!$F$4+Dashboard!D$10*SQRT(Dashboard!$F$4) * _xlfn.NORM.S.INV(RAND())</f>
        <v>-3.1210590757640353E-2</v>
      </c>
    </row>
    <row r="5205" spans="18:21" x14ac:dyDescent="0.2">
      <c r="R5205" s="49">
        <v>5203</v>
      </c>
      <c r="S5205" s="59">
        <f ca="1">Dashboard!B$8* Dashboard!$F$4+Dashboard!B$10*SQRT(Dashboard!$F$4) * _xlfn.NORM.S.INV(RAND())</f>
        <v>1.7317573407167074E-2</v>
      </c>
      <c r="T5205" s="59">
        <f ca="1">Dashboard!C$8* Dashboard!$F$4+Dashboard!C$10*SQRT(Dashboard!$F$4) * _xlfn.NORM.S.INV(RAND())</f>
        <v>-8.4855562560609832E-3</v>
      </c>
      <c r="U5205" s="59">
        <f ca="1">Dashboard!D$8* Dashboard!$F$4+Dashboard!D$10*SQRT(Dashboard!$F$4) * _xlfn.NORM.S.INV(RAND())</f>
        <v>1.6109055937197476E-3</v>
      </c>
    </row>
    <row r="5206" spans="18:21" x14ac:dyDescent="0.2">
      <c r="R5206" s="49">
        <v>5204</v>
      </c>
      <c r="S5206" s="59">
        <f ca="1">Dashboard!B$8* Dashboard!$F$4+Dashboard!B$10*SQRT(Dashboard!$F$4) * _xlfn.NORM.S.INV(RAND())</f>
        <v>-6.5965998285041298E-3</v>
      </c>
      <c r="T5206" s="59">
        <f ca="1">Dashboard!C$8* Dashboard!$F$4+Dashboard!C$10*SQRT(Dashboard!$F$4) * _xlfn.NORM.S.INV(RAND())</f>
        <v>-6.1541417999672596E-2</v>
      </c>
      <c r="U5206" s="59">
        <f ca="1">Dashboard!D$8* Dashboard!$F$4+Dashboard!D$10*SQRT(Dashboard!$F$4) * _xlfn.NORM.S.INV(RAND())</f>
        <v>4.9525486123505269E-2</v>
      </c>
    </row>
    <row r="5207" spans="18:21" x14ac:dyDescent="0.2">
      <c r="R5207" s="49">
        <v>5205</v>
      </c>
      <c r="S5207" s="59">
        <f ca="1">Dashboard!B$8* Dashboard!$F$4+Dashboard!B$10*SQRT(Dashboard!$F$4) * _xlfn.NORM.S.INV(RAND())</f>
        <v>4.2831027753934582E-2</v>
      </c>
      <c r="T5207" s="59">
        <f ca="1">Dashboard!C$8* Dashboard!$F$4+Dashboard!C$10*SQRT(Dashboard!$F$4) * _xlfn.NORM.S.INV(RAND())</f>
        <v>-2.72775875405088E-2</v>
      </c>
      <c r="U5207" s="59">
        <f ca="1">Dashboard!D$8* Dashboard!$F$4+Dashboard!D$10*SQRT(Dashboard!$F$4) * _xlfn.NORM.S.INV(RAND())</f>
        <v>-5.5689803928270581E-2</v>
      </c>
    </row>
    <row r="5208" spans="18:21" x14ac:dyDescent="0.2">
      <c r="R5208" s="49">
        <v>5206</v>
      </c>
      <c r="S5208" s="59">
        <f ca="1">Dashboard!B$8* Dashboard!$F$4+Dashboard!B$10*SQRT(Dashboard!$F$4) * _xlfn.NORM.S.INV(RAND())</f>
        <v>1.5272587140155636E-2</v>
      </c>
      <c r="T5208" s="59">
        <f ca="1">Dashboard!C$8* Dashboard!$F$4+Dashboard!C$10*SQRT(Dashboard!$F$4) * _xlfn.NORM.S.INV(RAND())</f>
        <v>5.4765888385814643E-2</v>
      </c>
      <c r="U5208" s="59">
        <f ca="1">Dashboard!D$8* Dashboard!$F$4+Dashboard!D$10*SQRT(Dashboard!$F$4) * _xlfn.NORM.S.INV(RAND())</f>
        <v>-3.1186254626548473E-2</v>
      </c>
    </row>
    <row r="5209" spans="18:21" x14ac:dyDescent="0.2">
      <c r="R5209" s="49">
        <v>5207</v>
      </c>
      <c r="S5209" s="59">
        <f ca="1">Dashboard!B$8* Dashboard!$F$4+Dashboard!B$10*SQRT(Dashboard!$F$4) * _xlfn.NORM.S.INV(RAND())</f>
        <v>1.0120064308263167E-2</v>
      </c>
      <c r="T5209" s="59">
        <f ca="1">Dashboard!C$8* Dashboard!$F$4+Dashboard!C$10*SQRT(Dashboard!$F$4) * _xlfn.NORM.S.INV(RAND())</f>
        <v>4.3634237223166387E-3</v>
      </c>
      <c r="U5209" s="59">
        <f ca="1">Dashboard!D$8* Dashboard!$F$4+Dashboard!D$10*SQRT(Dashboard!$F$4) * _xlfn.NORM.S.INV(RAND())</f>
        <v>8.5074585015483012E-2</v>
      </c>
    </row>
    <row r="5210" spans="18:21" x14ac:dyDescent="0.2">
      <c r="R5210" s="49">
        <v>5208</v>
      </c>
      <c r="S5210" s="59">
        <f ca="1">Dashboard!B$8* Dashboard!$F$4+Dashboard!B$10*SQRT(Dashboard!$F$4) * _xlfn.NORM.S.INV(RAND())</f>
        <v>3.1790520223758653E-2</v>
      </c>
      <c r="T5210" s="59">
        <f ca="1">Dashboard!C$8* Dashboard!$F$4+Dashboard!C$10*SQRT(Dashboard!$F$4) * _xlfn.NORM.S.INV(RAND())</f>
        <v>-4.1178679294050072E-2</v>
      </c>
      <c r="U5210" s="59">
        <f ca="1">Dashboard!D$8* Dashboard!$F$4+Dashboard!D$10*SQRT(Dashboard!$F$4) * _xlfn.NORM.S.INV(RAND())</f>
        <v>-3.4733989559566129E-2</v>
      </c>
    </row>
    <row r="5211" spans="18:21" x14ac:dyDescent="0.2">
      <c r="R5211" s="49">
        <v>5209</v>
      </c>
      <c r="S5211" s="59">
        <f ca="1">Dashboard!B$8* Dashboard!$F$4+Dashboard!B$10*SQRT(Dashboard!$F$4) * _xlfn.NORM.S.INV(RAND())</f>
        <v>3.3657938377750801E-2</v>
      </c>
      <c r="T5211" s="59">
        <f ca="1">Dashboard!C$8* Dashboard!$F$4+Dashboard!C$10*SQRT(Dashboard!$F$4) * _xlfn.NORM.S.INV(RAND())</f>
        <v>2.2000379344012846E-2</v>
      </c>
      <c r="U5211" s="59">
        <f ca="1">Dashboard!D$8* Dashboard!$F$4+Dashboard!D$10*SQRT(Dashboard!$F$4) * _xlfn.NORM.S.INV(RAND())</f>
        <v>-5.2656814605966844E-3</v>
      </c>
    </row>
    <row r="5212" spans="18:21" x14ac:dyDescent="0.2">
      <c r="R5212" s="49">
        <v>5210</v>
      </c>
      <c r="S5212" s="59">
        <f ca="1">Dashboard!B$8* Dashboard!$F$4+Dashboard!B$10*SQRT(Dashboard!$F$4) * _xlfn.NORM.S.INV(RAND())</f>
        <v>7.077383581563465E-2</v>
      </c>
      <c r="T5212" s="59">
        <f ca="1">Dashboard!C$8* Dashboard!$F$4+Dashboard!C$10*SQRT(Dashboard!$F$4) * _xlfn.NORM.S.INV(RAND())</f>
        <v>3.8096252277439395E-2</v>
      </c>
      <c r="U5212" s="59">
        <f ca="1">Dashboard!D$8* Dashboard!$F$4+Dashboard!D$10*SQRT(Dashboard!$F$4) * _xlfn.NORM.S.INV(RAND())</f>
        <v>-3.9644099439244997E-2</v>
      </c>
    </row>
    <row r="5213" spans="18:21" x14ac:dyDescent="0.2">
      <c r="R5213" s="49">
        <v>5211</v>
      </c>
      <c r="S5213" s="59">
        <f ca="1">Dashboard!B$8* Dashboard!$F$4+Dashboard!B$10*SQRT(Dashboard!$F$4) * _xlfn.NORM.S.INV(RAND())</f>
        <v>-2.6041357182904817E-2</v>
      </c>
      <c r="T5213" s="59">
        <f ca="1">Dashboard!C$8* Dashboard!$F$4+Dashboard!C$10*SQRT(Dashboard!$F$4) * _xlfn.NORM.S.INV(RAND())</f>
        <v>-5.5589089412659007E-3</v>
      </c>
      <c r="U5213" s="59">
        <f ca="1">Dashboard!D$8* Dashboard!$F$4+Dashboard!D$10*SQRT(Dashboard!$F$4) * _xlfn.NORM.S.INV(RAND())</f>
        <v>-1.3471741400717574E-2</v>
      </c>
    </row>
    <row r="5214" spans="18:21" x14ac:dyDescent="0.2">
      <c r="R5214" s="49">
        <v>5212</v>
      </c>
      <c r="S5214" s="59">
        <f ca="1">Dashboard!B$8* Dashboard!$F$4+Dashboard!B$10*SQRT(Dashboard!$F$4) * _xlfn.NORM.S.INV(RAND())</f>
        <v>2.0866899355910018E-2</v>
      </c>
      <c r="T5214" s="59">
        <f ca="1">Dashboard!C$8* Dashboard!$F$4+Dashboard!C$10*SQRT(Dashboard!$F$4) * _xlfn.NORM.S.INV(RAND())</f>
        <v>-1.5582765884913936E-2</v>
      </c>
      <c r="U5214" s="59">
        <f ca="1">Dashboard!D$8* Dashboard!$F$4+Dashboard!D$10*SQRT(Dashboard!$F$4) * _xlfn.NORM.S.INV(RAND())</f>
        <v>8.4560501535125496E-3</v>
      </c>
    </row>
    <row r="5215" spans="18:21" x14ac:dyDescent="0.2">
      <c r="R5215" s="49">
        <v>5213</v>
      </c>
      <c r="S5215" s="59">
        <f ca="1">Dashboard!B$8* Dashboard!$F$4+Dashboard!B$10*SQRT(Dashboard!$F$4) * _xlfn.NORM.S.INV(RAND())</f>
        <v>3.7564551435792057E-2</v>
      </c>
      <c r="T5215" s="59">
        <f ca="1">Dashboard!C$8* Dashboard!$F$4+Dashboard!C$10*SQRT(Dashboard!$F$4) * _xlfn.NORM.S.INV(RAND())</f>
        <v>5.2877817752807442E-4</v>
      </c>
      <c r="U5215" s="59">
        <f ca="1">Dashboard!D$8* Dashboard!$F$4+Dashboard!D$10*SQRT(Dashboard!$F$4) * _xlfn.NORM.S.INV(RAND())</f>
        <v>-7.6397538460372628E-3</v>
      </c>
    </row>
    <row r="5216" spans="18:21" x14ac:dyDescent="0.2">
      <c r="R5216" s="49">
        <v>5214</v>
      </c>
      <c r="S5216" s="59">
        <f ca="1">Dashboard!B$8* Dashboard!$F$4+Dashboard!B$10*SQRT(Dashboard!$F$4) * _xlfn.NORM.S.INV(RAND())</f>
        <v>3.1583070417764106E-2</v>
      </c>
      <c r="T5216" s="59">
        <f ca="1">Dashboard!C$8* Dashboard!$F$4+Dashboard!C$10*SQRT(Dashboard!$F$4) * _xlfn.NORM.S.INV(RAND())</f>
        <v>5.7643325088594696E-2</v>
      </c>
      <c r="U5216" s="59">
        <f ca="1">Dashboard!D$8* Dashboard!$F$4+Dashboard!D$10*SQRT(Dashboard!$F$4) * _xlfn.NORM.S.INV(RAND())</f>
        <v>2.645901141109416E-2</v>
      </c>
    </row>
    <row r="5217" spans="18:21" x14ac:dyDescent="0.2">
      <c r="R5217" s="49">
        <v>5215</v>
      </c>
      <c r="S5217" s="59">
        <f ca="1">Dashboard!B$8* Dashboard!$F$4+Dashboard!B$10*SQRT(Dashboard!$F$4) * _xlfn.NORM.S.INV(RAND())</f>
        <v>-3.366614797563227E-2</v>
      </c>
      <c r="T5217" s="59">
        <f ca="1">Dashboard!C$8* Dashboard!$F$4+Dashboard!C$10*SQRT(Dashboard!$F$4) * _xlfn.NORM.S.INV(RAND())</f>
        <v>-3.5213500465885644E-2</v>
      </c>
      <c r="U5217" s="59">
        <f ca="1">Dashboard!D$8* Dashboard!$F$4+Dashboard!D$10*SQRT(Dashboard!$F$4) * _xlfn.NORM.S.INV(RAND())</f>
        <v>2.2002929164921772E-2</v>
      </c>
    </row>
    <row r="5218" spans="18:21" x14ac:dyDescent="0.2">
      <c r="R5218" s="49">
        <v>5216</v>
      </c>
      <c r="S5218" s="59">
        <f ca="1">Dashboard!B$8* Dashboard!$F$4+Dashboard!B$10*SQRT(Dashboard!$F$4) * _xlfn.NORM.S.INV(RAND())</f>
        <v>4.6032221930986772E-2</v>
      </c>
      <c r="T5218" s="59">
        <f ca="1">Dashboard!C$8* Dashboard!$F$4+Dashboard!C$10*SQRT(Dashboard!$F$4) * _xlfn.NORM.S.INV(RAND())</f>
        <v>2.0368300699726699E-2</v>
      </c>
      <c r="U5218" s="59">
        <f ca="1">Dashboard!D$8* Dashboard!$F$4+Dashboard!D$10*SQRT(Dashboard!$F$4) * _xlfn.NORM.S.INV(RAND())</f>
        <v>4.9703923614910751E-2</v>
      </c>
    </row>
    <row r="5219" spans="18:21" x14ac:dyDescent="0.2">
      <c r="R5219" s="49">
        <v>5217</v>
      </c>
      <c r="S5219" s="59">
        <f ca="1">Dashboard!B$8* Dashboard!$F$4+Dashboard!B$10*SQRT(Dashboard!$F$4) * _xlfn.NORM.S.INV(RAND())</f>
        <v>-1.1686993428162779E-2</v>
      </c>
      <c r="T5219" s="59">
        <f ca="1">Dashboard!C$8* Dashboard!$F$4+Dashboard!C$10*SQRT(Dashboard!$F$4) * _xlfn.NORM.S.INV(RAND())</f>
        <v>5.1401051227095144E-2</v>
      </c>
      <c r="U5219" s="59">
        <f ca="1">Dashboard!D$8* Dashboard!$F$4+Dashboard!D$10*SQRT(Dashboard!$F$4) * _xlfn.NORM.S.INV(RAND())</f>
        <v>-3.1951978258377353E-2</v>
      </c>
    </row>
    <row r="5220" spans="18:21" x14ac:dyDescent="0.2">
      <c r="R5220" s="49">
        <v>5218</v>
      </c>
      <c r="S5220" s="59">
        <f ca="1">Dashboard!B$8* Dashboard!$F$4+Dashboard!B$10*SQRT(Dashboard!$F$4) * _xlfn.NORM.S.INV(RAND())</f>
        <v>-1.9314442895417595E-2</v>
      </c>
      <c r="T5220" s="59">
        <f ca="1">Dashboard!C$8* Dashboard!$F$4+Dashboard!C$10*SQRT(Dashboard!$F$4) * _xlfn.NORM.S.INV(RAND())</f>
        <v>-4.3098319073791864E-2</v>
      </c>
      <c r="U5220" s="59">
        <f ca="1">Dashboard!D$8* Dashboard!$F$4+Dashboard!D$10*SQRT(Dashboard!$F$4) * _xlfn.NORM.S.INV(RAND())</f>
        <v>2.9092434882827114E-2</v>
      </c>
    </row>
    <row r="5221" spans="18:21" x14ac:dyDescent="0.2">
      <c r="R5221" s="49">
        <v>5219</v>
      </c>
      <c r="S5221" s="59">
        <f ca="1">Dashboard!B$8* Dashboard!$F$4+Dashboard!B$10*SQRT(Dashboard!$F$4) * _xlfn.NORM.S.INV(RAND())</f>
        <v>4.1638649510543552E-2</v>
      </c>
      <c r="T5221" s="59">
        <f ca="1">Dashboard!C$8* Dashboard!$F$4+Dashboard!C$10*SQRT(Dashboard!$F$4) * _xlfn.NORM.S.INV(RAND())</f>
        <v>3.7678021444483421E-2</v>
      </c>
      <c r="U5221" s="59">
        <f ca="1">Dashboard!D$8* Dashboard!$F$4+Dashboard!D$10*SQRT(Dashboard!$F$4) * _xlfn.NORM.S.INV(RAND())</f>
        <v>2.6436476684408274E-2</v>
      </c>
    </row>
    <row r="5222" spans="18:21" x14ac:dyDescent="0.2">
      <c r="R5222" s="49">
        <v>5220</v>
      </c>
      <c r="S5222" s="59">
        <f ca="1">Dashboard!B$8* Dashboard!$F$4+Dashboard!B$10*SQRT(Dashboard!$F$4) * _xlfn.NORM.S.INV(RAND())</f>
        <v>8.4902988766917584E-2</v>
      </c>
      <c r="T5222" s="59">
        <f ca="1">Dashboard!C$8* Dashboard!$F$4+Dashboard!C$10*SQRT(Dashboard!$F$4) * _xlfn.NORM.S.INV(RAND())</f>
        <v>4.1367410989132623E-2</v>
      </c>
      <c r="U5222" s="59">
        <f ca="1">Dashboard!D$8* Dashboard!$F$4+Dashboard!D$10*SQRT(Dashboard!$F$4) * _xlfn.NORM.S.INV(RAND())</f>
        <v>5.3440575311752669E-2</v>
      </c>
    </row>
    <row r="5223" spans="18:21" x14ac:dyDescent="0.2">
      <c r="R5223" s="49">
        <v>5221</v>
      </c>
      <c r="S5223" s="59">
        <f ca="1">Dashboard!B$8* Dashboard!$F$4+Dashboard!B$10*SQRT(Dashboard!$F$4) * _xlfn.NORM.S.INV(RAND())</f>
        <v>3.1442708786203935E-2</v>
      </c>
      <c r="T5223" s="59">
        <f ca="1">Dashboard!C$8* Dashboard!$F$4+Dashboard!C$10*SQRT(Dashboard!$F$4) * _xlfn.NORM.S.INV(RAND())</f>
        <v>-9.8969161730791712E-3</v>
      </c>
      <c r="U5223" s="59">
        <f ca="1">Dashboard!D$8* Dashboard!$F$4+Dashboard!D$10*SQRT(Dashboard!$F$4) * _xlfn.NORM.S.INV(RAND())</f>
        <v>-5.7757375907149126E-2</v>
      </c>
    </row>
    <row r="5224" spans="18:21" x14ac:dyDescent="0.2">
      <c r="R5224" s="49">
        <v>5222</v>
      </c>
      <c r="S5224" s="59">
        <f ca="1">Dashboard!B$8* Dashboard!$F$4+Dashboard!B$10*SQRT(Dashboard!$F$4) * _xlfn.NORM.S.INV(RAND())</f>
        <v>2.1364779701738189E-2</v>
      </c>
      <c r="T5224" s="59">
        <f ca="1">Dashboard!C$8* Dashboard!$F$4+Dashboard!C$10*SQRT(Dashboard!$F$4) * _xlfn.NORM.S.INV(RAND())</f>
        <v>-2.136776747654745E-2</v>
      </c>
      <c r="U5224" s="59">
        <f ca="1">Dashboard!D$8* Dashboard!$F$4+Dashboard!D$10*SQRT(Dashboard!$F$4) * _xlfn.NORM.S.INV(RAND())</f>
        <v>-1.4335470073120502E-2</v>
      </c>
    </row>
    <row r="5225" spans="18:21" x14ac:dyDescent="0.2">
      <c r="R5225" s="49">
        <v>5223</v>
      </c>
      <c r="S5225" s="59">
        <f ca="1">Dashboard!B$8* Dashboard!$F$4+Dashboard!B$10*SQRT(Dashboard!$F$4) * _xlfn.NORM.S.INV(RAND())</f>
        <v>2.2191233642522006E-2</v>
      </c>
      <c r="T5225" s="59">
        <f ca="1">Dashboard!C$8* Dashboard!$F$4+Dashboard!C$10*SQRT(Dashboard!$F$4) * _xlfn.NORM.S.INV(RAND())</f>
        <v>2.7057882527864324E-2</v>
      </c>
      <c r="U5225" s="59">
        <f ca="1">Dashboard!D$8* Dashboard!$F$4+Dashboard!D$10*SQRT(Dashboard!$F$4) * _xlfn.NORM.S.INV(RAND())</f>
        <v>-2.2373843453070051E-2</v>
      </c>
    </row>
    <row r="5226" spans="18:21" x14ac:dyDescent="0.2">
      <c r="R5226" s="49">
        <v>5224</v>
      </c>
      <c r="S5226" s="59">
        <f ca="1">Dashboard!B$8* Dashboard!$F$4+Dashboard!B$10*SQRT(Dashboard!$F$4) * _xlfn.NORM.S.INV(RAND())</f>
        <v>6.7737823249547878E-3</v>
      </c>
      <c r="T5226" s="59">
        <f ca="1">Dashboard!C$8* Dashboard!$F$4+Dashboard!C$10*SQRT(Dashboard!$F$4) * _xlfn.NORM.S.INV(RAND())</f>
        <v>-3.2667821633312458E-2</v>
      </c>
      <c r="U5226" s="59">
        <f ca="1">Dashboard!D$8* Dashboard!$F$4+Dashboard!D$10*SQRT(Dashboard!$F$4) * _xlfn.NORM.S.INV(RAND())</f>
        <v>5.2862831655674909E-2</v>
      </c>
    </row>
    <row r="5227" spans="18:21" x14ac:dyDescent="0.2">
      <c r="R5227" s="49">
        <v>5225</v>
      </c>
      <c r="S5227" s="59">
        <f ca="1">Dashboard!B$8* Dashboard!$F$4+Dashboard!B$10*SQRT(Dashboard!$F$4) * _xlfn.NORM.S.INV(RAND())</f>
        <v>-1.9735037422265428E-2</v>
      </c>
      <c r="T5227" s="59">
        <f ca="1">Dashboard!C$8* Dashboard!$F$4+Dashboard!C$10*SQRT(Dashboard!$F$4) * _xlfn.NORM.S.INV(RAND())</f>
        <v>-4.5533975543769603E-2</v>
      </c>
      <c r="U5227" s="59">
        <f ca="1">Dashboard!D$8* Dashboard!$F$4+Dashboard!D$10*SQRT(Dashboard!$F$4) * _xlfn.NORM.S.INV(RAND())</f>
        <v>2.1120559690707492E-2</v>
      </c>
    </row>
    <row r="5228" spans="18:21" x14ac:dyDescent="0.2">
      <c r="R5228" s="49">
        <v>5226</v>
      </c>
      <c r="S5228" s="59">
        <f ca="1">Dashboard!B$8* Dashboard!$F$4+Dashboard!B$10*SQRT(Dashboard!$F$4) * _xlfn.NORM.S.INV(RAND())</f>
        <v>1.2970474968931936E-2</v>
      </c>
      <c r="T5228" s="59">
        <f ca="1">Dashboard!C$8* Dashboard!$F$4+Dashboard!C$10*SQRT(Dashboard!$F$4) * _xlfn.NORM.S.INV(RAND())</f>
        <v>2.4768178849948686E-2</v>
      </c>
      <c r="U5228" s="59">
        <f ca="1">Dashboard!D$8* Dashboard!$F$4+Dashboard!D$10*SQRT(Dashboard!$F$4) * _xlfn.NORM.S.INV(RAND())</f>
        <v>-2.3960810177930388E-2</v>
      </c>
    </row>
    <row r="5229" spans="18:21" x14ac:dyDescent="0.2">
      <c r="R5229" s="49">
        <v>5227</v>
      </c>
      <c r="S5229" s="59">
        <f ca="1">Dashboard!B$8* Dashboard!$F$4+Dashboard!B$10*SQRT(Dashboard!$F$4) * _xlfn.NORM.S.INV(RAND())</f>
        <v>-3.9523989540540941E-2</v>
      </c>
      <c r="T5229" s="59">
        <f ca="1">Dashboard!C$8* Dashboard!$F$4+Dashboard!C$10*SQRT(Dashboard!$F$4) * _xlfn.NORM.S.INV(RAND())</f>
        <v>-5.398800884178373E-2</v>
      </c>
      <c r="U5229" s="59">
        <f ca="1">Dashboard!D$8* Dashboard!$F$4+Dashboard!D$10*SQRT(Dashboard!$F$4) * _xlfn.NORM.S.INV(RAND())</f>
        <v>2.0779857166799236E-2</v>
      </c>
    </row>
    <row r="5230" spans="18:21" x14ac:dyDescent="0.2">
      <c r="R5230" s="49">
        <v>5228</v>
      </c>
      <c r="S5230" s="59">
        <f ca="1">Dashboard!B$8* Dashboard!$F$4+Dashboard!B$10*SQRT(Dashboard!$F$4) * _xlfn.NORM.S.INV(RAND())</f>
        <v>9.2567253459681035E-3</v>
      </c>
      <c r="T5230" s="59">
        <f ca="1">Dashboard!C$8* Dashboard!$F$4+Dashboard!C$10*SQRT(Dashboard!$F$4) * _xlfn.NORM.S.INV(RAND())</f>
        <v>-8.236808922755498E-2</v>
      </c>
      <c r="U5230" s="59">
        <f ca="1">Dashboard!D$8* Dashboard!$F$4+Dashboard!D$10*SQRT(Dashboard!$F$4) * _xlfn.NORM.S.INV(RAND())</f>
        <v>-5.6872584525341892E-2</v>
      </c>
    </row>
    <row r="5231" spans="18:21" x14ac:dyDescent="0.2">
      <c r="R5231" s="49">
        <v>5229</v>
      </c>
      <c r="S5231" s="59">
        <f ca="1">Dashboard!B$8* Dashboard!$F$4+Dashboard!B$10*SQRT(Dashboard!$F$4) * _xlfn.NORM.S.INV(RAND())</f>
        <v>-1.5280258668193313E-2</v>
      </c>
      <c r="T5231" s="59">
        <f ca="1">Dashboard!C$8* Dashboard!$F$4+Dashboard!C$10*SQRT(Dashboard!$F$4) * _xlfn.NORM.S.INV(RAND())</f>
        <v>5.934387175047128E-3</v>
      </c>
      <c r="U5231" s="59">
        <f ca="1">Dashboard!D$8* Dashboard!$F$4+Dashboard!D$10*SQRT(Dashboard!$F$4) * _xlfn.NORM.S.INV(RAND())</f>
        <v>-8.101023161674241E-4</v>
      </c>
    </row>
    <row r="5232" spans="18:21" x14ac:dyDescent="0.2">
      <c r="R5232" s="49">
        <v>5230</v>
      </c>
      <c r="S5232" s="59">
        <f ca="1">Dashboard!B$8* Dashboard!$F$4+Dashboard!B$10*SQRT(Dashboard!$F$4) * _xlfn.NORM.S.INV(RAND())</f>
        <v>-6.0338627115795143E-2</v>
      </c>
      <c r="T5232" s="59">
        <f ca="1">Dashboard!C$8* Dashboard!$F$4+Dashboard!C$10*SQRT(Dashboard!$F$4) * _xlfn.NORM.S.INV(RAND())</f>
        <v>8.2860912379012941E-2</v>
      </c>
      <c r="U5232" s="59">
        <f ca="1">Dashboard!D$8* Dashboard!$F$4+Dashboard!D$10*SQRT(Dashboard!$F$4) * _xlfn.NORM.S.INV(RAND())</f>
        <v>-2.94933996707618E-2</v>
      </c>
    </row>
    <row r="5233" spans="18:21" x14ac:dyDescent="0.2">
      <c r="R5233" s="49">
        <v>5231</v>
      </c>
      <c r="S5233" s="59">
        <f ca="1">Dashboard!B$8* Dashboard!$F$4+Dashboard!B$10*SQRT(Dashboard!$F$4) * _xlfn.NORM.S.INV(RAND())</f>
        <v>5.5492525519128769E-2</v>
      </c>
      <c r="T5233" s="59">
        <f ca="1">Dashboard!C$8* Dashboard!$F$4+Dashboard!C$10*SQRT(Dashboard!$F$4) * _xlfn.NORM.S.INV(RAND())</f>
        <v>-1.1310846726748064E-2</v>
      </c>
      <c r="U5233" s="59">
        <f ca="1">Dashboard!D$8* Dashboard!$F$4+Dashboard!D$10*SQRT(Dashboard!$F$4) * _xlfn.NORM.S.INV(RAND())</f>
        <v>6.6127444106651626E-2</v>
      </c>
    </row>
    <row r="5234" spans="18:21" x14ac:dyDescent="0.2">
      <c r="R5234" s="49">
        <v>5232</v>
      </c>
      <c r="S5234" s="59">
        <f ca="1">Dashboard!B$8* Dashboard!$F$4+Dashboard!B$10*SQRT(Dashboard!$F$4) * _xlfn.NORM.S.INV(RAND())</f>
        <v>-7.7548808865277791E-2</v>
      </c>
      <c r="T5234" s="59">
        <f ca="1">Dashboard!C$8* Dashboard!$F$4+Dashboard!C$10*SQRT(Dashboard!$F$4) * _xlfn.NORM.S.INV(RAND())</f>
        <v>-7.613635963756595E-3</v>
      </c>
      <c r="U5234" s="59">
        <f ca="1">Dashboard!D$8* Dashboard!$F$4+Dashboard!D$10*SQRT(Dashboard!$F$4) * _xlfn.NORM.S.INV(RAND())</f>
        <v>-5.0424899090220486E-2</v>
      </c>
    </row>
    <row r="5235" spans="18:21" x14ac:dyDescent="0.2">
      <c r="R5235" s="49">
        <v>5233</v>
      </c>
      <c r="S5235" s="59">
        <f ca="1">Dashboard!B$8* Dashboard!$F$4+Dashboard!B$10*SQRT(Dashboard!$F$4) * _xlfn.NORM.S.INV(RAND())</f>
        <v>-1.7752086239250814E-2</v>
      </c>
      <c r="T5235" s="59">
        <f ca="1">Dashboard!C$8* Dashboard!$F$4+Dashboard!C$10*SQRT(Dashboard!$F$4) * _xlfn.NORM.S.INV(RAND())</f>
        <v>-1.7714694963626133E-2</v>
      </c>
      <c r="U5235" s="59">
        <f ca="1">Dashboard!D$8* Dashboard!$F$4+Dashboard!D$10*SQRT(Dashboard!$F$4) * _xlfn.NORM.S.INV(RAND())</f>
        <v>3.413033371697443E-2</v>
      </c>
    </row>
    <row r="5236" spans="18:21" x14ac:dyDescent="0.2">
      <c r="R5236" s="49">
        <v>5234</v>
      </c>
      <c r="S5236" s="59">
        <f ca="1">Dashboard!B$8* Dashboard!$F$4+Dashboard!B$10*SQRT(Dashboard!$F$4) * _xlfn.NORM.S.INV(RAND())</f>
        <v>4.7742930907095724E-3</v>
      </c>
      <c r="T5236" s="59">
        <f ca="1">Dashboard!C$8* Dashboard!$F$4+Dashboard!C$10*SQRT(Dashboard!$F$4) * _xlfn.NORM.S.INV(RAND())</f>
        <v>2.2245667754049532E-3</v>
      </c>
      <c r="U5236" s="59">
        <f ca="1">Dashboard!D$8* Dashboard!$F$4+Dashboard!D$10*SQRT(Dashboard!$F$4) * _xlfn.NORM.S.INV(RAND())</f>
        <v>2.5648279323877698E-3</v>
      </c>
    </row>
    <row r="5237" spans="18:21" x14ac:dyDescent="0.2">
      <c r="R5237" s="49">
        <v>5235</v>
      </c>
      <c r="S5237" s="59">
        <f ca="1">Dashboard!B$8* Dashboard!$F$4+Dashboard!B$10*SQRT(Dashboard!$F$4) * _xlfn.NORM.S.INV(RAND())</f>
        <v>2.7588409015543554E-2</v>
      </c>
      <c r="T5237" s="59">
        <f ca="1">Dashboard!C$8* Dashboard!$F$4+Dashboard!C$10*SQRT(Dashboard!$F$4) * _xlfn.NORM.S.INV(RAND())</f>
        <v>8.1011421376243585E-3</v>
      </c>
      <c r="U5237" s="59">
        <f ca="1">Dashboard!D$8* Dashboard!$F$4+Dashboard!D$10*SQRT(Dashboard!$F$4) * _xlfn.NORM.S.INV(RAND())</f>
        <v>-5.9792148648932899E-3</v>
      </c>
    </row>
    <row r="5238" spans="18:21" x14ac:dyDescent="0.2">
      <c r="R5238" s="49">
        <v>5236</v>
      </c>
      <c r="S5238" s="59">
        <f ca="1">Dashboard!B$8* Dashboard!$F$4+Dashboard!B$10*SQRT(Dashboard!$F$4) * _xlfn.NORM.S.INV(RAND())</f>
        <v>-5.6267384091426426E-2</v>
      </c>
      <c r="T5238" s="59">
        <f ca="1">Dashboard!C$8* Dashboard!$F$4+Dashboard!C$10*SQRT(Dashboard!$F$4) * _xlfn.NORM.S.INV(RAND())</f>
        <v>1.505189309048836E-2</v>
      </c>
      <c r="U5238" s="59">
        <f ca="1">Dashboard!D$8* Dashboard!$F$4+Dashboard!D$10*SQRT(Dashboard!$F$4) * _xlfn.NORM.S.INV(RAND())</f>
        <v>-3.3882352801512867E-2</v>
      </c>
    </row>
    <row r="5239" spans="18:21" x14ac:dyDescent="0.2">
      <c r="R5239" s="49">
        <v>5237</v>
      </c>
      <c r="S5239" s="59">
        <f ca="1">Dashboard!B$8* Dashboard!$F$4+Dashboard!B$10*SQRT(Dashboard!$F$4) * _xlfn.NORM.S.INV(RAND())</f>
        <v>-3.8678682815707303E-3</v>
      </c>
      <c r="T5239" s="59">
        <f ca="1">Dashboard!C$8* Dashboard!$F$4+Dashboard!C$10*SQRT(Dashboard!$F$4) * _xlfn.NORM.S.INV(RAND())</f>
        <v>2.8838608174322322E-2</v>
      </c>
      <c r="U5239" s="59">
        <f ca="1">Dashboard!D$8* Dashboard!$F$4+Dashboard!D$10*SQRT(Dashboard!$F$4) * _xlfn.NORM.S.INV(RAND())</f>
        <v>-3.2564358125698266E-2</v>
      </c>
    </row>
    <row r="5240" spans="18:21" x14ac:dyDescent="0.2">
      <c r="R5240" s="49">
        <v>5238</v>
      </c>
      <c r="S5240" s="59">
        <f ca="1">Dashboard!B$8* Dashboard!$F$4+Dashboard!B$10*SQRT(Dashboard!$F$4) * _xlfn.NORM.S.INV(RAND())</f>
        <v>2.8088877190192388E-2</v>
      </c>
      <c r="T5240" s="59">
        <f ca="1">Dashboard!C$8* Dashboard!$F$4+Dashboard!C$10*SQRT(Dashboard!$F$4) * _xlfn.NORM.S.INV(RAND())</f>
        <v>1.1610488020674178E-2</v>
      </c>
      <c r="U5240" s="59">
        <f ca="1">Dashboard!D$8* Dashboard!$F$4+Dashboard!D$10*SQRT(Dashboard!$F$4) * _xlfn.NORM.S.INV(RAND())</f>
        <v>3.1136774283163169E-3</v>
      </c>
    </row>
    <row r="5241" spans="18:21" x14ac:dyDescent="0.2">
      <c r="R5241" s="49">
        <v>5239</v>
      </c>
      <c r="S5241" s="59">
        <f ca="1">Dashboard!B$8* Dashboard!$F$4+Dashboard!B$10*SQRT(Dashboard!$F$4) * _xlfn.NORM.S.INV(RAND())</f>
        <v>3.4627943370604833E-2</v>
      </c>
      <c r="T5241" s="59">
        <f ca="1">Dashboard!C$8* Dashboard!$F$4+Dashboard!C$10*SQRT(Dashboard!$F$4) * _xlfn.NORM.S.INV(RAND())</f>
        <v>1.3966329169240638E-2</v>
      </c>
      <c r="U5241" s="59">
        <f ca="1">Dashboard!D$8* Dashboard!$F$4+Dashboard!D$10*SQRT(Dashboard!$F$4) * _xlfn.NORM.S.INV(RAND())</f>
        <v>6.4424261263007543E-2</v>
      </c>
    </row>
    <row r="5242" spans="18:21" x14ac:dyDescent="0.2">
      <c r="R5242" s="49">
        <v>5240</v>
      </c>
      <c r="S5242" s="59">
        <f ca="1">Dashboard!B$8* Dashboard!$F$4+Dashboard!B$10*SQRT(Dashboard!$F$4) * _xlfn.NORM.S.INV(RAND())</f>
        <v>3.3071688413898861E-2</v>
      </c>
      <c r="T5242" s="59">
        <f ca="1">Dashboard!C$8* Dashboard!$F$4+Dashboard!C$10*SQRT(Dashboard!$F$4) * _xlfn.NORM.S.INV(RAND())</f>
        <v>1.0467374955945959E-2</v>
      </c>
      <c r="U5242" s="59">
        <f ca="1">Dashboard!D$8* Dashboard!$F$4+Dashboard!D$10*SQRT(Dashboard!$F$4) * _xlfn.NORM.S.INV(RAND())</f>
        <v>7.2154745997861147E-2</v>
      </c>
    </row>
    <row r="5243" spans="18:21" x14ac:dyDescent="0.2">
      <c r="R5243" s="49">
        <v>5241</v>
      </c>
      <c r="S5243" s="59">
        <f ca="1">Dashboard!B$8* Dashboard!$F$4+Dashboard!B$10*SQRT(Dashboard!$F$4) * _xlfn.NORM.S.INV(RAND())</f>
        <v>-4.1540149063369912E-2</v>
      </c>
      <c r="T5243" s="59">
        <f ca="1">Dashboard!C$8* Dashboard!$F$4+Dashboard!C$10*SQRT(Dashboard!$F$4) * _xlfn.NORM.S.INV(RAND())</f>
        <v>2.4173142821624197E-2</v>
      </c>
      <c r="U5243" s="59">
        <f ca="1">Dashboard!D$8* Dashboard!$F$4+Dashboard!D$10*SQRT(Dashboard!$F$4) * _xlfn.NORM.S.INV(RAND())</f>
        <v>5.0676412508703301E-3</v>
      </c>
    </row>
    <row r="5244" spans="18:21" x14ac:dyDescent="0.2">
      <c r="R5244" s="49">
        <v>5242</v>
      </c>
      <c r="S5244" s="59">
        <f ca="1">Dashboard!B$8* Dashboard!$F$4+Dashboard!B$10*SQRT(Dashboard!$F$4) * _xlfn.NORM.S.INV(RAND())</f>
        <v>-4.9068438161747937E-3</v>
      </c>
      <c r="T5244" s="59">
        <f ca="1">Dashboard!C$8* Dashboard!$F$4+Dashboard!C$10*SQRT(Dashboard!$F$4) * _xlfn.NORM.S.INV(RAND())</f>
        <v>-1.5348404936974439E-2</v>
      </c>
      <c r="U5244" s="59">
        <f ca="1">Dashboard!D$8* Dashboard!$F$4+Dashboard!D$10*SQRT(Dashboard!$F$4) * _xlfn.NORM.S.INV(RAND())</f>
        <v>-7.962477680898139E-2</v>
      </c>
    </row>
    <row r="5245" spans="18:21" x14ac:dyDescent="0.2">
      <c r="R5245" s="49">
        <v>5243</v>
      </c>
      <c r="S5245" s="59">
        <f ca="1">Dashboard!B$8* Dashboard!$F$4+Dashboard!B$10*SQRT(Dashboard!$F$4) * _xlfn.NORM.S.INV(RAND())</f>
        <v>-3.2769848114300431E-4</v>
      </c>
      <c r="T5245" s="59">
        <f ca="1">Dashboard!C$8* Dashboard!$F$4+Dashboard!C$10*SQRT(Dashboard!$F$4) * _xlfn.NORM.S.INV(RAND())</f>
        <v>1.1194148748847148E-2</v>
      </c>
      <c r="U5245" s="59">
        <f ca="1">Dashboard!D$8* Dashboard!$F$4+Dashboard!D$10*SQRT(Dashboard!$F$4) * _xlfn.NORM.S.INV(RAND())</f>
        <v>1.4747269763644806E-2</v>
      </c>
    </row>
    <row r="5246" spans="18:21" x14ac:dyDescent="0.2">
      <c r="R5246" s="49">
        <v>5244</v>
      </c>
      <c r="S5246" s="59">
        <f ca="1">Dashboard!B$8* Dashboard!$F$4+Dashboard!B$10*SQRT(Dashboard!$F$4) * _xlfn.NORM.S.INV(RAND())</f>
        <v>2.1359006428068719E-2</v>
      </c>
      <c r="T5246" s="59">
        <f ca="1">Dashboard!C$8* Dashboard!$F$4+Dashboard!C$10*SQRT(Dashboard!$F$4) * _xlfn.NORM.S.INV(RAND())</f>
        <v>7.7092055121548597E-2</v>
      </c>
      <c r="U5246" s="59">
        <f ca="1">Dashboard!D$8* Dashboard!$F$4+Dashboard!D$10*SQRT(Dashboard!$F$4) * _xlfn.NORM.S.INV(RAND())</f>
        <v>-1.5053030961488937E-2</v>
      </c>
    </row>
    <row r="5247" spans="18:21" x14ac:dyDescent="0.2">
      <c r="R5247" s="49">
        <v>5245</v>
      </c>
      <c r="S5247" s="59">
        <f ca="1">Dashboard!B$8* Dashboard!$F$4+Dashboard!B$10*SQRT(Dashboard!$F$4) * _xlfn.NORM.S.INV(RAND())</f>
        <v>-3.8391348065074118E-2</v>
      </c>
      <c r="T5247" s="59">
        <f ca="1">Dashboard!C$8* Dashboard!$F$4+Dashboard!C$10*SQRT(Dashboard!$F$4) * _xlfn.NORM.S.INV(RAND())</f>
        <v>2.909169614190496E-2</v>
      </c>
      <c r="U5247" s="59">
        <f ca="1">Dashboard!D$8* Dashboard!$F$4+Dashboard!D$10*SQRT(Dashboard!$F$4) * _xlfn.NORM.S.INV(RAND())</f>
        <v>-2.6745003544749898E-2</v>
      </c>
    </row>
    <row r="5248" spans="18:21" x14ac:dyDescent="0.2">
      <c r="R5248" s="49">
        <v>5246</v>
      </c>
      <c r="S5248" s="59">
        <f ca="1">Dashboard!B$8* Dashboard!$F$4+Dashboard!B$10*SQRT(Dashboard!$F$4) * _xlfn.NORM.S.INV(RAND())</f>
        <v>1.5812595431117134E-2</v>
      </c>
      <c r="T5248" s="59">
        <f ca="1">Dashboard!C$8* Dashboard!$F$4+Dashboard!C$10*SQRT(Dashboard!$F$4) * _xlfn.NORM.S.INV(RAND())</f>
        <v>3.9329323521025958E-2</v>
      </c>
      <c r="U5248" s="59">
        <f ca="1">Dashboard!D$8* Dashboard!$F$4+Dashboard!D$10*SQRT(Dashboard!$F$4) * _xlfn.NORM.S.INV(RAND())</f>
        <v>3.3645467721067024E-2</v>
      </c>
    </row>
    <row r="5249" spans="18:21" x14ac:dyDescent="0.2">
      <c r="R5249" s="49">
        <v>5247</v>
      </c>
      <c r="S5249" s="59">
        <f ca="1">Dashboard!B$8* Dashboard!$F$4+Dashboard!B$10*SQRT(Dashboard!$F$4) * _xlfn.NORM.S.INV(RAND())</f>
        <v>1.6470738106998103E-2</v>
      </c>
      <c r="T5249" s="59">
        <f ca="1">Dashboard!C$8* Dashboard!$F$4+Dashboard!C$10*SQRT(Dashboard!$F$4) * _xlfn.NORM.S.INV(RAND())</f>
        <v>1.9759672654760811E-2</v>
      </c>
      <c r="U5249" s="59">
        <f ca="1">Dashboard!D$8* Dashboard!$F$4+Dashboard!D$10*SQRT(Dashboard!$F$4) * _xlfn.NORM.S.INV(RAND())</f>
        <v>1.0148588504669466E-2</v>
      </c>
    </row>
    <row r="5250" spans="18:21" x14ac:dyDescent="0.2">
      <c r="R5250" s="49">
        <v>5248</v>
      </c>
      <c r="S5250" s="59">
        <f ca="1">Dashboard!B$8* Dashboard!$F$4+Dashboard!B$10*SQRT(Dashboard!$F$4) * _xlfn.NORM.S.INV(RAND())</f>
        <v>-1.2596520636757367E-2</v>
      </c>
      <c r="T5250" s="59">
        <f ca="1">Dashboard!C$8* Dashboard!$F$4+Dashboard!C$10*SQRT(Dashboard!$F$4) * _xlfn.NORM.S.INV(RAND())</f>
        <v>2.7857308612320823E-3</v>
      </c>
      <c r="U5250" s="59">
        <f ca="1">Dashboard!D$8* Dashboard!$F$4+Dashboard!D$10*SQRT(Dashboard!$F$4) * _xlfn.NORM.S.INV(RAND())</f>
        <v>-5.6837269687540336E-3</v>
      </c>
    </row>
    <row r="5251" spans="18:21" x14ac:dyDescent="0.2">
      <c r="R5251" s="49">
        <v>5249</v>
      </c>
      <c r="S5251" s="59">
        <f ca="1">Dashboard!B$8* Dashboard!$F$4+Dashboard!B$10*SQRT(Dashboard!$F$4) * _xlfn.NORM.S.INV(RAND())</f>
        <v>8.0166131634370665E-3</v>
      </c>
      <c r="T5251" s="59">
        <f ca="1">Dashboard!C$8* Dashboard!$F$4+Dashboard!C$10*SQRT(Dashboard!$F$4) * _xlfn.NORM.S.INV(RAND())</f>
        <v>9.5830520246441252E-3</v>
      </c>
      <c r="U5251" s="59">
        <f ca="1">Dashboard!D$8* Dashboard!$F$4+Dashboard!D$10*SQRT(Dashboard!$F$4) * _xlfn.NORM.S.INV(RAND())</f>
        <v>4.505409441070099E-2</v>
      </c>
    </row>
    <row r="5252" spans="18:21" x14ac:dyDescent="0.2">
      <c r="R5252" s="49">
        <v>5250</v>
      </c>
      <c r="S5252" s="59">
        <f ca="1">Dashboard!B$8* Dashboard!$F$4+Dashboard!B$10*SQRT(Dashboard!$F$4) * _xlfn.NORM.S.INV(RAND())</f>
        <v>-2.1713731598149377E-2</v>
      </c>
      <c r="T5252" s="59">
        <f ca="1">Dashboard!C$8* Dashboard!$F$4+Dashboard!C$10*SQRT(Dashboard!$F$4) * _xlfn.NORM.S.INV(RAND())</f>
        <v>6.819185691806692E-3</v>
      </c>
      <c r="U5252" s="59">
        <f ca="1">Dashboard!D$8* Dashboard!$F$4+Dashboard!D$10*SQRT(Dashboard!$F$4) * _xlfn.NORM.S.INV(RAND())</f>
        <v>1.5257507845786918E-2</v>
      </c>
    </row>
    <row r="5253" spans="18:21" x14ac:dyDescent="0.2">
      <c r="R5253" s="49">
        <v>5251</v>
      </c>
      <c r="S5253" s="59">
        <f ca="1">Dashboard!B$8* Dashboard!$F$4+Dashboard!B$10*SQRT(Dashboard!$F$4) * _xlfn.NORM.S.INV(RAND())</f>
        <v>4.0249848711785184E-2</v>
      </c>
      <c r="T5253" s="59">
        <f ca="1">Dashboard!C$8* Dashboard!$F$4+Dashboard!C$10*SQRT(Dashboard!$F$4) * _xlfn.NORM.S.INV(RAND())</f>
        <v>8.7436926325099593E-4</v>
      </c>
      <c r="U5253" s="59">
        <f ca="1">Dashboard!D$8* Dashboard!$F$4+Dashboard!D$10*SQRT(Dashboard!$F$4) * _xlfn.NORM.S.INV(RAND())</f>
        <v>-1.8262290234579936E-2</v>
      </c>
    </row>
    <row r="5254" spans="18:21" x14ac:dyDescent="0.2">
      <c r="R5254" s="49">
        <v>5252</v>
      </c>
      <c r="S5254" s="59">
        <f ca="1">Dashboard!B$8* Dashboard!$F$4+Dashboard!B$10*SQRT(Dashboard!$F$4) * _xlfn.NORM.S.INV(RAND())</f>
        <v>-2.6250874328952824E-2</v>
      </c>
      <c r="T5254" s="59">
        <f ca="1">Dashboard!C$8* Dashboard!$F$4+Dashboard!C$10*SQRT(Dashboard!$F$4) * _xlfn.NORM.S.INV(RAND())</f>
        <v>-5.2054271262521108E-2</v>
      </c>
      <c r="U5254" s="59">
        <f ca="1">Dashboard!D$8* Dashboard!$F$4+Dashboard!D$10*SQRT(Dashboard!$F$4) * _xlfn.NORM.S.INV(RAND())</f>
        <v>-5.6911466793627213E-2</v>
      </c>
    </row>
    <row r="5255" spans="18:21" x14ac:dyDescent="0.2">
      <c r="R5255" s="49">
        <v>5253</v>
      </c>
      <c r="S5255" s="59">
        <f ca="1">Dashboard!B$8* Dashboard!$F$4+Dashboard!B$10*SQRT(Dashboard!$F$4) * _xlfn.NORM.S.INV(RAND())</f>
        <v>-5.3992373736529691E-3</v>
      </c>
      <c r="T5255" s="59">
        <f ca="1">Dashboard!C$8* Dashboard!$F$4+Dashboard!C$10*SQRT(Dashboard!$F$4) * _xlfn.NORM.S.INV(RAND())</f>
        <v>2.1263457450834009E-2</v>
      </c>
      <c r="U5255" s="59">
        <f ca="1">Dashboard!D$8* Dashboard!$F$4+Dashboard!D$10*SQRT(Dashboard!$F$4) * _xlfn.NORM.S.INV(RAND())</f>
        <v>-4.8745622894341891E-3</v>
      </c>
    </row>
    <row r="5256" spans="18:21" x14ac:dyDescent="0.2">
      <c r="R5256" s="49">
        <v>5254</v>
      </c>
      <c r="S5256" s="59">
        <f ca="1">Dashboard!B$8* Dashboard!$F$4+Dashboard!B$10*SQRT(Dashboard!$F$4) * _xlfn.NORM.S.INV(RAND())</f>
        <v>-2.9329797005493395E-2</v>
      </c>
      <c r="T5256" s="59">
        <f ca="1">Dashboard!C$8* Dashboard!$F$4+Dashboard!C$10*SQRT(Dashboard!$F$4) * _xlfn.NORM.S.INV(RAND())</f>
        <v>3.2938324900156253E-2</v>
      </c>
      <c r="U5256" s="59">
        <f ca="1">Dashboard!D$8* Dashboard!$F$4+Dashboard!D$10*SQRT(Dashboard!$F$4) * _xlfn.NORM.S.INV(RAND())</f>
        <v>-4.6816916521842007E-2</v>
      </c>
    </row>
    <row r="5257" spans="18:21" x14ac:dyDescent="0.2">
      <c r="R5257" s="49">
        <v>5255</v>
      </c>
      <c r="S5257" s="59">
        <f ca="1">Dashboard!B$8* Dashboard!$F$4+Dashboard!B$10*SQRT(Dashboard!$F$4) * _xlfn.NORM.S.INV(RAND())</f>
        <v>-4.5883306718553347E-2</v>
      </c>
      <c r="T5257" s="59">
        <f ca="1">Dashboard!C$8* Dashboard!$F$4+Dashboard!C$10*SQRT(Dashboard!$F$4) * _xlfn.NORM.S.INV(RAND())</f>
        <v>1.64359087704938E-2</v>
      </c>
      <c r="U5257" s="59">
        <f ca="1">Dashboard!D$8* Dashboard!$F$4+Dashboard!D$10*SQRT(Dashboard!$F$4) * _xlfn.NORM.S.INV(RAND())</f>
        <v>-2.8162416200715528E-3</v>
      </c>
    </row>
    <row r="5258" spans="18:21" x14ac:dyDescent="0.2">
      <c r="R5258" s="49">
        <v>5256</v>
      </c>
      <c r="S5258" s="59">
        <f ca="1">Dashboard!B$8* Dashboard!$F$4+Dashboard!B$10*SQRT(Dashboard!$F$4) * _xlfn.NORM.S.INV(RAND())</f>
        <v>1.1827687296219556E-3</v>
      </c>
      <c r="T5258" s="59">
        <f ca="1">Dashboard!C$8* Dashboard!$F$4+Dashboard!C$10*SQRT(Dashboard!$F$4) * _xlfn.NORM.S.INV(RAND())</f>
        <v>8.9744850287604219E-2</v>
      </c>
      <c r="U5258" s="59">
        <f ca="1">Dashboard!D$8* Dashboard!$F$4+Dashboard!D$10*SQRT(Dashboard!$F$4) * _xlfn.NORM.S.INV(RAND())</f>
        <v>2.4587277238342468E-3</v>
      </c>
    </row>
    <row r="5259" spans="18:21" x14ac:dyDescent="0.2">
      <c r="R5259" s="49">
        <v>5257</v>
      </c>
      <c r="S5259" s="59">
        <f ca="1">Dashboard!B$8* Dashboard!$F$4+Dashboard!B$10*SQRT(Dashboard!$F$4) * _xlfn.NORM.S.INV(RAND())</f>
        <v>-3.2091824856037857E-2</v>
      </c>
      <c r="T5259" s="59">
        <f ca="1">Dashboard!C$8* Dashboard!$F$4+Dashboard!C$10*SQRT(Dashboard!$F$4) * _xlfn.NORM.S.INV(RAND())</f>
        <v>3.6709352504160936E-2</v>
      </c>
      <c r="U5259" s="59">
        <f ca="1">Dashboard!D$8* Dashboard!$F$4+Dashboard!D$10*SQRT(Dashboard!$F$4) * _xlfn.NORM.S.INV(RAND())</f>
        <v>2.4411771893131321E-2</v>
      </c>
    </row>
    <row r="5260" spans="18:21" x14ac:dyDescent="0.2">
      <c r="R5260" s="49">
        <v>5258</v>
      </c>
      <c r="S5260" s="59">
        <f ca="1">Dashboard!B$8* Dashboard!$F$4+Dashboard!B$10*SQRT(Dashboard!$F$4) * _xlfn.NORM.S.INV(RAND())</f>
        <v>1.3276289648115979E-2</v>
      </c>
      <c r="T5260" s="59">
        <f ca="1">Dashboard!C$8* Dashboard!$F$4+Dashboard!C$10*SQRT(Dashboard!$F$4) * _xlfn.NORM.S.INV(RAND())</f>
        <v>-3.1795574594593954E-3</v>
      </c>
      <c r="U5260" s="59">
        <f ca="1">Dashboard!D$8* Dashboard!$F$4+Dashboard!D$10*SQRT(Dashboard!$F$4) * _xlfn.NORM.S.INV(RAND())</f>
        <v>1.2833556835059481E-2</v>
      </c>
    </row>
    <row r="5261" spans="18:21" x14ac:dyDescent="0.2">
      <c r="R5261" s="49">
        <v>5259</v>
      </c>
      <c r="S5261" s="59">
        <f ca="1">Dashboard!B$8* Dashboard!$F$4+Dashboard!B$10*SQRT(Dashboard!$F$4) * _xlfn.NORM.S.INV(RAND())</f>
        <v>8.8816308742526509E-3</v>
      </c>
      <c r="T5261" s="59">
        <f ca="1">Dashboard!C$8* Dashboard!$F$4+Dashboard!C$10*SQRT(Dashboard!$F$4) * _xlfn.NORM.S.INV(RAND())</f>
        <v>4.0421064789590523E-3</v>
      </c>
      <c r="U5261" s="59">
        <f ca="1">Dashboard!D$8* Dashboard!$F$4+Dashboard!D$10*SQRT(Dashboard!$F$4) * _xlfn.NORM.S.INV(RAND())</f>
        <v>-1.4899298179034617E-2</v>
      </c>
    </row>
    <row r="5262" spans="18:21" x14ac:dyDescent="0.2">
      <c r="R5262" s="49">
        <v>5260</v>
      </c>
      <c r="S5262" s="59">
        <f ca="1">Dashboard!B$8* Dashboard!$F$4+Dashboard!B$10*SQRT(Dashboard!$F$4) * _xlfn.NORM.S.INV(RAND())</f>
        <v>7.9389174713933378E-3</v>
      </c>
      <c r="T5262" s="59">
        <f ca="1">Dashboard!C$8* Dashboard!$F$4+Dashboard!C$10*SQRT(Dashboard!$F$4) * _xlfn.NORM.S.INV(RAND())</f>
        <v>2.8335805278193241E-2</v>
      </c>
      <c r="U5262" s="59">
        <f ca="1">Dashboard!D$8* Dashboard!$F$4+Dashboard!D$10*SQRT(Dashboard!$F$4) * _xlfn.NORM.S.INV(RAND())</f>
        <v>-4.8586187064570928E-2</v>
      </c>
    </row>
    <row r="5263" spans="18:21" x14ac:dyDescent="0.2">
      <c r="R5263" s="49">
        <v>5261</v>
      </c>
      <c r="S5263" s="59">
        <f ca="1">Dashboard!B$8* Dashboard!$F$4+Dashboard!B$10*SQRT(Dashboard!$F$4) * _xlfn.NORM.S.INV(RAND())</f>
        <v>2.3198243995143975E-2</v>
      </c>
      <c r="T5263" s="59">
        <f ca="1">Dashboard!C$8* Dashboard!$F$4+Dashboard!C$10*SQRT(Dashboard!$F$4) * _xlfn.NORM.S.INV(RAND())</f>
        <v>6.1919222721315906E-3</v>
      </c>
      <c r="U5263" s="59">
        <f ca="1">Dashboard!D$8* Dashboard!$F$4+Dashboard!D$10*SQRT(Dashboard!$F$4) * _xlfn.NORM.S.INV(RAND())</f>
        <v>4.3560739356393138E-2</v>
      </c>
    </row>
    <row r="5264" spans="18:21" x14ac:dyDescent="0.2">
      <c r="R5264" s="49">
        <v>5262</v>
      </c>
      <c r="S5264" s="59">
        <f ca="1">Dashboard!B$8* Dashboard!$F$4+Dashboard!B$10*SQRT(Dashboard!$F$4) * _xlfn.NORM.S.INV(RAND())</f>
        <v>2.0063476230129051E-2</v>
      </c>
      <c r="T5264" s="59">
        <f ca="1">Dashboard!C$8* Dashboard!$F$4+Dashboard!C$10*SQRT(Dashboard!$F$4) * _xlfn.NORM.S.INV(RAND())</f>
        <v>3.8349026754325256E-2</v>
      </c>
      <c r="U5264" s="59">
        <f ca="1">Dashboard!D$8* Dashboard!$F$4+Dashboard!D$10*SQRT(Dashboard!$F$4) * _xlfn.NORM.S.INV(RAND())</f>
        <v>-1.1946117728510505E-2</v>
      </c>
    </row>
    <row r="5265" spans="18:21" x14ac:dyDescent="0.2">
      <c r="R5265" s="49">
        <v>5263</v>
      </c>
      <c r="S5265" s="59">
        <f ca="1">Dashboard!B$8* Dashboard!$F$4+Dashboard!B$10*SQRT(Dashboard!$F$4) * _xlfn.NORM.S.INV(RAND())</f>
        <v>-2.1791938075620763E-2</v>
      </c>
      <c r="T5265" s="59">
        <f ca="1">Dashboard!C$8* Dashboard!$F$4+Dashboard!C$10*SQRT(Dashboard!$F$4) * _xlfn.NORM.S.INV(RAND())</f>
        <v>-1.0221878848383253E-2</v>
      </c>
      <c r="U5265" s="59">
        <f ca="1">Dashboard!D$8* Dashboard!$F$4+Dashboard!D$10*SQRT(Dashboard!$F$4) * _xlfn.NORM.S.INV(RAND())</f>
        <v>-1.3509419506887556E-3</v>
      </c>
    </row>
    <row r="5266" spans="18:21" x14ac:dyDescent="0.2">
      <c r="R5266" s="49">
        <v>5264</v>
      </c>
      <c r="S5266" s="59">
        <f ca="1">Dashboard!B$8* Dashboard!$F$4+Dashboard!B$10*SQRT(Dashboard!$F$4) * _xlfn.NORM.S.INV(RAND())</f>
        <v>-8.4685872770826984E-3</v>
      </c>
      <c r="T5266" s="59">
        <f ca="1">Dashboard!C$8* Dashboard!$F$4+Dashboard!C$10*SQRT(Dashboard!$F$4) * _xlfn.NORM.S.INV(RAND())</f>
        <v>3.6371658913690583E-2</v>
      </c>
      <c r="U5266" s="59">
        <f ca="1">Dashboard!D$8* Dashboard!$F$4+Dashboard!D$10*SQRT(Dashboard!$F$4) * _xlfn.NORM.S.INV(RAND())</f>
        <v>2.4993571502980885E-2</v>
      </c>
    </row>
    <row r="5267" spans="18:21" x14ac:dyDescent="0.2">
      <c r="R5267" s="49">
        <v>5265</v>
      </c>
      <c r="S5267" s="59">
        <f ca="1">Dashboard!B$8* Dashboard!$F$4+Dashboard!B$10*SQRT(Dashboard!$F$4) * _xlfn.NORM.S.INV(RAND())</f>
        <v>8.4414214049653349E-3</v>
      </c>
      <c r="T5267" s="59">
        <f ca="1">Dashboard!C$8* Dashboard!$F$4+Dashboard!C$10*SQRT(Dashboard!$F$4) * _xlfn.NORM.S.INV(RAND())</f>
        <v>-6.1188996260061079E-2</v>
      </c>
      <c r="U5267" s="59">
        <f ca="1">Dashboard!D$8* Dashboard!$F$4+Dashboard!D$10*SQRT(Dashboard!$F$4) * _xlfn.NORM.S.INV(RAND())</f>
        <v>1.00974510810243E-2</v>
      </c>
    </row>
    <row r="5268" spans="18:21" x14ac:dyDescent="0.2">
      <c r="R5268" s="49">
        <v>5266</v>
      </c>
      <c r="S5268" s="59">
        <f ca="1">Dashboard!B$8* Dashboard!$F$4+Dashboard!B$10*SQRT(Dashboard!$F$4) * _xlfn.NORM.S.INV(RAND())</f>
        <v>-6.0871934948130198E-3</v>
      </c>
      <c r="T5268" s="59">
        <f ca="1">Dashboard!C$8* Dashboard!$F$4+Dashboard!C$10*SQRT(Dashboard!$F$4) * _xlfn.NORM.S.INV(RAND())</f>
        <v>-2.6035416616583457E-2</v>
      </c>
      <c r="U5268" s="59">
        <f ca="1">Dashboard!D$8* Dashboard!$F$4+Dashboard!D$10*SQRT(Dashboard!$F$4) * _xlfn.NORM.S.INV(RAND())</f>
        <v>5.9521422205578586E-2</v>
      </c>
    </row>
    <row r="5269" spans="18:21" x14ac:dyDescent="0.2">
      <c r="R5269" s="49">
        <v>5267</v>
      </c>
      <c r="S5269" s="59">
        <f ca="1">Dashboard!B$8* Dashboard!$F$4+Dashboard!B$10*SQRT(Dashboard!$F$4) * _xlfn.NORM.S.INV(RAND())</f>
        <v>-4.6714443994227806E-2</v>
      </c>
      <c r="T5269" s="59">
        <f ca="1">Dashboard!C$8* Dashboard!$F$4+Dashboard!C$10*SQRT(Dashboard!$F$4) * _xlfn.NORM.S.INV(RAND())</f>
        <v>-6.1433572294864555E-2</v>
      </c>
      <c r="U5269" s="59">
        <f ca="1">Dashboard!D$8* Dashboard!$F$4+Dashboard!D$10*SQRT(Dashboard!$F$4) * _xlfn.NORM.S.INV(RAND())</f>
        <v>-3.127414442602066E-2</v>
      </c>
    </row>
    <row r="5270" spans="18:21" x14ac:dyDescent="0.2">
      <c r="R5270" s="49">
        <v>5268</v>
      </c>
      <c r="S5270" s="59">
        <f ca="1">Dashboard!B$8* Dashboard!$F$4+Dashboard!B$10*SQRT(Dashboard!$F$4) * _xlfn.NORM.S.INV(RAND())</f>
        <v>-1.5242084317168846E-2</v>
      </c>
      <c r="T5270" s="59">
        <f ca="1">Dashboard!C$8* Dashboard!$F$4+Dashboard!C$10*SQRT(Dashboard!$F$4) * _xlfn.NORM.S.INV(RAND())</f>
        <v>-5.1911267024604274E-2</v>
      </c>
      <c r="U5270" s="59">
        <f ca="1">Dashboard!D$8* Dashboard!$F$4+Dashboard!D$10*SQRT(Dashboard!$F$4) * _xlfn.NORM.S.INV(RAND())</f>
        <v>-3.5966952386982387E-3</v>
      </c>
    </row>
    <row r="5271" spans="18:21" x14ac:dyDescent="0.2">
      <c r="R5271" s="49">
        <v>5269</v>
      </c>
      <c r="S5271" s="59">
        <f ca="1">Dashboard!B$8* Dashboard!$F$4+Dashboard!B$10*SQRT(Dashboard!$F$4) * _xlfn.NORM.S.INV(RAND())</f>
        <v>1.5665560735468195E-2</v>
      </c>
      <c r="T5271" s="59">
        <f ca="1">Dashboard!C$8* Dashboard!$F$4+Dashboard!C$10*SQRT(Dashboard!$F$4) * _xlfn.NORM.S.INV(RAND())</f>
        <v>-2.26583193652856E-2</v>
      </c>
      <c r="U5271" s="59">
        <f ca="1">Dashboard!D$8* Dashboard!$F$4+Dashboard!D$10*SQRT(Dashboard!$F$4) * _xlfn.NORM.S.INV(RAND())</f>
        <v>-8.8707007521592329E-3</v>
      </c>
    </row>
    <row r="5272" spans="18:21" x14ac:dyDescent="0.2">
      <c r="R5272" s="49">
        <v>5270</v>
      </c>
      <c r="S5272" s="59">
        <f ca="1">Dashboard!B$8* Dashboard!$F$4+Dashboard!B$10*SQRT(Dashboard!$F$4) * _xlfn.NORM.S.INV(RAND())</f>
        <v>1.5219518632848981E-2</v>
      </c>
      <c r="T5272" s="59">
        <f ca="1">Dashboard!C$8* Dashboard!$F$4+Dashboard!C$10*SQRT(Dashboard!$F$4) * _xlfn.NORM.S.INV(RAND())</f>
        <v>4.7597568646050831E-2</v>
      </c>
      <c r="U5272" s="59">
        <f ca="1">Dashboard!D$8* Dashboard!$F$4+Dashboard!D$10*SQRT(Dashboard!$F$4) * _xlfn.NORM.S.INV(RAND())</f>
        <v>5.3898322793113872E-2</v>
      </c>
    </row>
    <row r="5273" spans="18:21" x14ac:dyDescent="0.2">
      <c r="R5273" s="49">
        <v>5271</v>
      </c>
      <c r="S5273" s="59">
        <f ca="1">Dashboard!B$8* Dashboard!$F$4+Dashboard!B$10*SQRT(Dashboard!$F$4) * _xlfn.NORM.S.INV(RAND())</f>
        <v>-6.198556991005794E-3</v>
      </c>
      <c r="T5273" s="59">
        <f ca="1">Dashboard!C$8* Dashboard!$F$4+Dashboard!C$10*SQRT(Dashboard!$F$4) * _xlfn.NORM.S.INV(RAND())</f>
        <v>-2.3059152098143111E-2</v>
      </c>
      <c r="U5273" s="59">
        <f ca="1">Dashboard!D$8* Dashboard!$F$4+Dashboard!D$10*SQRT(Dashboard!$F$4) * _xlfn.NORM.S.INV(RAND())</f>
        <v>-1.422577202233825E-2</v>
      </c>
    </row>
    <row r="5274" spans="18:21" x14ac:dyDescent="0.2">
      <c r="R5274" s="49">
        <v>5272</v>
      </c>
      <c r="S5274" s="59">
        <f ca="1">Dashboard!B$8* Dashboard!$F$4+Dashboard!B$10*SQRT(Dashboard!$F$4) * _xlfn.NORM.S.INV(RAND())</f>
        <v>-3.0951043051964972E-2</v>
      </c>
      <c r="T5274" s="59">
        <f ca="1">Dashboard!C$8* Dashboard!$F$4+Dashboard!C$10*SQRT(Dashboard!$F$4) * _xlfn.NORM.S.INV(RAND())</f>
        <v>-2.5008604739662061E-2</v>
      </c>
      <c r="U5274" s="59">
        <f ca="1">Dashboard!D$8* Dashboard!$F$4+Dashboard!D$10*SQRT(Dashboard!$F$4) * _xlfn.NORM.S.INV(RAND())</f>
        <v>-4.0794704744738945E-2</v>
      </c>
    </row>
    <row r="5275" spans="18:21" x14ac:dyDescent="0.2">
      <c r="R5275" s="49">
        <v>5273</v>
      </c>
      <c r="S5275" s="59">
        <f ca="1">Dashboard!B$8* Dashboard!$F$4+Dashboard!B$10*SQRT(Dashboard!$F$4) * _xlfn.NORM.S.INV(RAND())</f>
        <v>-6.6408476162230931E-2</v>
      </c>
      <c r="T5275" s="59">
        <f ca="1">Dashboard!C$8* Dashboard!$F$4+Dashboard!C$10*SQRT(Dashboard!$F$4) * _xlfn.NORM.S.INV(RAND())</f>
        <v>-2.5606927941233319E-2</v>
      </c>
      <c r="U5275" s="59">
        <f ca="1">Dashboard!D$8* Dashboard!$F$4+Dashboard!D$10*SQRT(Dashboard!$F$4) * _xlfn.NORM.S.INV(RAND())</f>
        <v>1.1633603891642308E-2</v>
      </c>
    </row>
    <row r="5276" spans="18:21" x14ac:dyDescent="0.2">
      <c r="R5276" s="49">
        <v>5274</v>
      </c>
      <c r="S5276" s="59">
        <f ca="1">Dashboard!B$8* Dashboard!$F$4+Dashboard!B$10*SQRT(Dashboard!$F$4) * _xlfn.NORM.S.INV(RAND())</f>
        <v>2.016130868585371E-2</v>
      </c>
      <c r="T5276" s="59">
        <f ca="1">Dashboard!C$8* Dashboard!$F$4+Dashboard!C$10*SQRT(Dashboard!$F$4) * _xlfn.NORM.S.INV(RAND())</f>
        <v>-7.8632861818198792E-3</v>
      </c>
      <c r="U5276" s="59">
        <f ca="1">Dashboard!D$8* Dashboard!$F$4+Dashboard!D$10*SQRT(Dashboard!$F$4) * _xlfn.NORM.S.INV(RAND())</f>
        <v>2.0756667214838653E-2</v>
      </c>
    </row>
    <row r="5277" spans="18:21" x14ac:dyDescent="0.2">
      <c r="R5277" s="49">
        <v>5275</v>
      </c>
      <c r="S5277" s="59">
        <f ca="1">Dashboard!B$8* Dashboard!$F$4+Dashboard!B$10*SQRT(Dashboard!$F$4) * _xlfn.NORM.S.INV(RAND())</f>
        <v>7.2380064579904025E-3</v>
      </c>
      <c r="T5277" s="59">
        <f ca="1">Dashboard!C$8* Dashboard!$F$4+Dashboard!C$10*SQRT(Dashboard!$F$4) * _xlfn.NORM.S.INV(RAND())</f>
        <v>3.6214147001152164E-2</v>
      </c>
      <c r="U5277" s="59">
        <f ca="1">Dashboard!D$8* Dashboard!$F$4+Dashboard!D$10*SQRT(Dashboard!$F$4) * _xlfn.NORM.S.INV(RAND())</f>
        <v>-1.7399033266956868E-2</v>
      </c>
    </row>
    <row r="5278" spans="18:21" x14ac:dyDescent="0.2">
      <c r="R5278" s="49">
        <v>5276</v>
      </c>
      <c r="S5278" s="59">
        <f ca="1">Dashboard!B$8* Dashboard!$F$4+Dashboard!B$10*SQRT(Dashboard!$F$4) * _xlfn.NORM.S.INV(RAND())</f>
        <v>2.9922146690794883E-2</v>
      </c>
      <c r="T5278" s="59">
        <f ca="1">Dashboard!C$8* Dashboard!$F$4+Dashboard!C$10*SQRT(Dashboard!$F$4) * _xlfn.NORM.S.INV(RAND())</f>
        <v>-2.3922056693382016E-2</v>
      </c>
      <c r="U5278" s="59">
        <f ca="1">Dashboard!D$8* Dashboard!$F$4+Dashboard!D$10*SQRT(Dashboard!$F$4) * _xlfn.NORM.S.INV(RAND())</f>
        <v>-1.2268733772227132E-2</v>
      </c>
    </row>
    <row r="5279" spans="18:21" x14ac:dyDescent="0.2">
      <c r="R5279" s="49">
        <v>5277</v>
      </c>
      <c r="S5279" s="59">
        <f ca="1">Dashboard!B$8* Dashboard!$F$4+Dashboard!B$10*SQRT(Dashboard!$F$4) * _xlfn.NORM.S.INV(RAND())</f>
        <v>-6.1961894081861965E-2</v>
      </c>
      <c r="T5279" s="59">
        <f ca="1">Dashboard!C$8* Dashboard!$F$4+Dashboard!C$10*SQRT(Dashboard!$F$4) * _xlfn.NORM.S.INV(RAND())</f>
        <v>5.4985948758448144E-2</v>
      </c>
      <c r="U5279" s="59">
        <f ca="1">Dashboard!D$8* Dashboard!$F$4+Dashboard!D$10*SQRT(Dashboard!$F$4) * _xlfn.NORM.S.INV(RAND())</f>
        <v>-1.4769611542314359E-2</v>
      </c>
    </row>
    <row r="5280" spans="18:21" x14ac:dyDescent="0.2">
      <c r="R5280" s="49">
        <v>5278</v>
      </c>
      <c r="S5280" s="59">
        <f ca="1">Dashboard!B$8* Dashboard!$F$4+Dashboard!B$10*SQRT(Dashboard!$F$4) * _xlfn.NORM.S.INV(RAND())</f>
        <v>3.2831423263474047E-2</v>
      </c>
      <c r="T5280" s="59">
        <f ca="1">Dashboard!C$8* Dashboard!$F$4+Dashboard!C$10*SQRT(Dashboard!$F$4) * _xlfn.NORM.S.INV(RAND())</f>
        <v>-2.4899169406405262E-2</v>
      </c>
      <c r="U5280" s="59">
        <f ca="1">Dashboard!D$8* Dashboard!$F$4+Dashboard!D$10*SQRT(Dashboard!$F$4) * _xlfn.NORM.S.INV(RAND())</f>
        <v>-1.4823490780068525E-2</v>
      </c>
    </row>
    <row r="5281" spans="18:21" x14ac:dyDescent="0.2">
      <c r="R5281" s="49">
        <v>5279</v>
      </c>
      <c r="S5281" s="59">
        <f ca="1">Dashboard!B$8* Dashboard!$F$4+Dashboard!B$10*SQRT(Dashboard!$F$4) * _xlfn.NORM.S.INV(RAND())</f>
        <v>-1.163663794297882E-2</v>
      </c>
      <c r="T5281" s="59">
        <f ca="1">Dashboard!C$8* Dashboard!$F$4+Dashboard!C$10*SQRT(Dashboard!$F$4) * _xlfn.NORM.S.INV(RAND())</f>
        <v>1.937324449529736E-2</v>
      </c>
      <c r="U5281" s="59">
        <f ca="1">Dashboard!D$8* Dashboard!$F$4+Dashboard!D$10*SQRT(Dashboard!$F$4) * _xlfn.NORM.S.INV(RAND())</f>
        <v>1.8712483988838048E-2</v>
      </c>
    </row>
    <row r="5282" spans="18:21" x14ac:dyDescent="0.2">
      <c r="R5282" s="49">
        <v>5280</v>
      </c>
      <c r="S5282" s="59">
        <f ca="1">Dashboard!B$8* Dashboard!$F$4+Dashboard!B$10*SQRT(Dashboard!$F$4) * _xlfn.NORM.S.INV(RAND())</f>
        <v>-9.9230402454927508E-2</v>
      </c>
      <c r="T5282" s="59">
        <f ca="1">Dashboard!C$8* Dashboard!$F$4+Dashboard!C$10*SQRT(Dashboard!$F$4) * _xlfn.NORM.S.INV(RAND())</f>
        <v>-2.8915439167226057E-2</v>
      </c>
      <c r="U5282" s="59">
        <f ca="1">Dashboard!D$8* Dashboard!$F$4+Dashboard!D$10*SQRT(Dashboard!$F$4) * _xlfn.NORM.S.INV(RAND())</f>
        <v>-1.2592861956391038E-2</v>
      </c>
    </row>
    <row r="5283" spans="18:21" x14ac:dyDescent="0.2">
      <c r="R5283" s="49">
        <v>5281</v>
      </c>
      <c r="S5283" s="59">
        <f ca="1">Dashboard!B$8* Dashboard!$F$4+Dashboard!B$10*SQRT(Dashboard!$F$4) * _xlfn.NORM.S.INV(RAND())</f>
        <v>1.0879858519541194E-2</v>
      </c>
      <c r="T5283" s="59">
        <f ca="1">Dashboard!C$8* Dashboard!$F$4+Dashboard!C$10*SQRT(Dashboard!$F$4) * _xlfn.NORM.S.INV(RAND())</f>
        <v>7.8347259448699968E-2</v>
      </c>
      <c r="U5283" s="59">
        <f ca="1">Dashboard!D$8* Dashboard!$F$4+Dashboard!D$10*SQRT(Dashboard!$F$4) * _xlfn.NORM.S.INV(RAND())</f>
        <v>1.3852990136071048E-2</v>
      </c>
    </row>
    <row r="5284" spans="18:21" x14ac:dyDescent="0.2">
      <c r="R5284" s="49">
        <v>5282</v>
      </c>
      <c r="S5284" s="59">
        <f ca="1">Dashboard!B$8* Dashboard!$F$4+Dashboard!B$10*SQRT(Dashboard!$F$4) * _xlfn.NORM.S.INV(RAND())</f>
        <v>2.3409929042347691E-2</v>
      </c>
      <c r="T5284" s="59">
        <f ca="1">Dashboard!C$8* Dashboard!$F$4+Dashboard!C$10*SQRT(Dashboard!$F$4) * _xlfn.NORM.S.INV(RAND())</f>
        <v>2.0037360060341389E-2</v>
      </c>
      <c r="U5284" s="59">
        <f ca="1">Dashboard!D$8* Dashboard!$F$4+Dashboard!D$10*SQRT(Dashboard!$F$4) * _xlfn.NORM.S.INV(RAND())</f>
        <v>-3.1699983617644978E-2</v>
      </c>
    </row>
    <row r="5285" spans="18:21" x14ac:dyDescent="0.2">
      <c r="R5285" s="49">
        <v>5283</v>
      </c>
      <c r="S5285" s="59">
        <f ca="1">Dashboard!B$8* Dashboard!$F$4+Dashboard!B$10*SQRT(Dashboard!$F$4) * _xlfn.NORM.S.INV(RAND())</f>
        <v>9.8233445033174376E-4</v>
      </c>
      <c r="T5285" s="59">
        <f ca="1">Dashboard!C$8* Dashboard!$F$4+Dashboard!C$10*SQRT(Dashboard!$F$4) * _xlfn.NORM.S.INV(RAND())</f>
        <v>3.4148387327075341E-2</v>
      </c>
      <c r="U5285" s="59">
        <f ca="1">Dashboard!D$8* Dashboard!$F$4+Dashboard!D$10*SQRT(Dashboard!$F$4) * _xlfn.NORM.S.INV(RAND())</f>
        <v>5.3660185378965513E-3</v>
      </c>
    </row>
    <row r="5286" spans="18:21" x14ac:dyDescent="0.2">
      <c r="R5286" s="49">
        <v>5284</v>
      </c>
      <c r="S5286" s="59">
        <f ca="1">Dashboard!B$8* Dashboard!$F$4+Dashboard!B$10*SQRT(Dashboard!$F$4) * _xlfn.NORM.S.INV(RAND())</f>
        <v>6.5992994417031509E-3</v>
      </c>
      <c r="T5286" s="59">
        <f ca="1">Dashboard!C$8* Dashboard!$F$4+Dashboard!C$10*SQRT(Dashboard!$F$4) * _xlfn.NORM.S.INV(RAND())</f>
        <v>4.166396876879791E-2</v>
      </c>
      <c r="U5286" s="59">
        <f ca="1">Dashboard!D$8* Dashboard!$F$4+Dashboard!D$10*SQRT(Dashboard!$F$4) * _xlfn.NORM.S.INV(RAND())</f>
        <v>5.6125470872831221E-2</v>
      </c>
    </row>
    <row r="5287" spans="18:21" x14ac:dyDescent="0.2">
      <c r="R5287" s="49">
        <v>5285</v>
      </c>
      <c r="S5287" s="59">
        <f ca="1">Dashboard!B$8* Dashboard!$F$4+Dashboard!B$10*SQRT(Dashboard!$F$4) * _xlfn.NORM.S.INV(RAND())</f>
        <v>-1.6189802869785403E-2</v>
      </c>
      <c r="T5287" s="59">
        <f ca="1">Dashboard!C$8* Dashboard!$F$4+Dashboard!C$10*SQRT(Dashboard!$F$4) * _xlfn.NORM.S.INV(RAND())</f>
        <v>2.6740691622499181E-2</v>
      </c>
      <c r="U5287" s="59">
        <f ca="1">Dashboard!D$8* Dashboard!$F$4+Dashboard!D$10*SQRT(Dashboard!$F$4) * _xlfn.NORM.S.INV(RAND())</f>
        <v>-2.6820971839384762E-2</v>
      </c>
    </row>
    <row r="5288" spans="18:21" x14ac:dyDescent="0.2">
      <c r="R5288" s="49">
        <v>5286</v>
      </c>
      <c r="S5288" s="59">
        <f ca="1">Dashboard!B$8* Dashboard!$F$4+Dashboard!B$10*SQRT(Dashboard!$F$4) * _xlfn.NORM.S.INV(RAND())</f>
        <v>6.9655191306777095E-2</v>
      </c>
      <c r="T5288" s="59">
        <f ca="1">Dashboard!C$8* Dashboard!$F$4+Dashboard!C$10*SQRT(Dashboard!$F$4) * _xlfn.NORM.S.INV(RAND())</f>
        <v>-1.9432288343177805E-2</v>
      </c>
      <c r="U5288" s="59">
        <f ca="1">Dashboard!D$8* Dashboard!$F$4+Dashboard!D$10*SQRT(Dashboard!$F$4) * _xlfn.NORM.S.INV(RAND())</f>
        <v>-4.3320557132739699E-3</v>
      </c>
    </row>
    <row r="5289" spans="18:21" x14ac:dyDescent="0.2">
      <c r="R5289" s="49">
        <v>5287</v>
      </c>
      <c r="S5289" s="59">
        <f ca="1">Dashboard!B$8* Dashboard!$F$4+Dashboard!B$10*SQRT(Dashboard!$F$4) * _xlfn.NORM.S.INV(RAND())</f>
        <v>2.4152489936618275E-2</v>
      </c>
      <c r="T5289" s="59">
        <f ca="1">Dashboard!C$8* Dashboard!$F$4+Dashboard!C$10*SQRT(Dashboard!$F$4) * _xlfn.NORM.S.INV(RAND())</f>
        <v>-9.1206058025079771E-3</v>
      </c>
      <c r="U5289" s="59">
        <f ca="1">Dashboard!D$8* Dashboard!$F$4+Dashboard!D$10*SQRT(Dashboard!$F$4) * _xlfn.NORM.S.INV(RAND())</f>
        <v>-7.0181016513523375E-2</v>
      </c>
    </row>
    <row r="5290" spans="18:21" x14ac:dyDescent="0.2">
      <c r="R5290" s="49">
        <v>5288</v>
      </c>
      <c r="S5290" s="59">
        <f ca="1">Dashboard!B$8* Dashboard!$F$4+Dashboard!B$10*SQRT(Dashboard!$F$4) * _xlfn.NORM.S.INV(RAND())</f>
        <v>-2.0462238938988984E-2</v>
      </c>
      <c r="T5290" s="59">
        <f ca="1">Dashboard!C$8* Dashboard!$F$4+Dashboard!C$10*SQRT(Dashboard!$F$4) * _xlfn.NORM.S.INV(RAND())</f>
        <v>-2.5510918395638908E-3</v>
      </c>
      <c r="U5290" s="59">
        <f ca="1">Dashboard!D$8* Dashboard!$F$4+Dashboard!D$10*SQRT(Dashboard!$F$4) * _xlfn.NORM.S.INV(RAND())</f>
        <v>1.7834712306043908E-2</v>
      </c>
    </row>
    <row r="5291" spans="18:21" x14ac:dyDescent="0.2">
      <c r="R5291" s="49">
        <v>5289</v>
      </c>
      <c r="S5291" s="59">
        <f ca="1">Dashboard!B$8* Dashboard!$F$4+Dashboard!B$10*SQRT(Dashboard!$F$4) * _xlfn.NORM.S.INV(RAND())</f>
        <v>3.6177389328124095E-2</v>
      </c>
      <c r="T5291" s="59">
        <f ca="1">Dashboard!C$8* Dashboard!$F$4+Dashboard!C$10*SQRT(Dashboard!$F$4) * _xlfn.NORM.S.INV(RAND())</f>
        <v>4.6559023688132847E-2</v>
      </c>
      <c r="U5291" s="59">
        <f ca="1">Dashboard!D$8* Dashboard!$F$4+Dashboard!D$10*SQRT(Dashboard!$F$4) * _xlfn.NORM.S.INV(RAND())</f>
        <v>-5.5251889302092251E-3</v>
      </c>
    </row>
    <row r="5292" spans="18:21" x14ac:dyDescent="0.2">
      <c r="R5292" s="49">
        <v>5290</v>
      </c>
      <c r="S5292" s="59">
        <f ca="1">Dashboard!B$8* Dashboard!$F$4+Dashboard!B$10*SQRT(Dashboard!$F$4) * _xlfn.NORM.S.INV(RAND())</f>
        <v>9.7534125124480696E-3</v>
      </c>
      <c r="T5292" s="59">
        <f ca="1">Dashboard!C$8* Dashboard!$F$4+Dashboard!C$10*SQRT(Dashboard!$F$4) * _xlfn.NORM.S.INV(RAND())</f>
        <v>1.0563948171260096E-2</v>
      </c>
      <c r="U5292" s="59">
        <f ca="1">Dashboard!D$8* Dashboard!$F$4+Dashboard!D$10*SQRT(Dashboard!$F$4) * _xlfn.NORM.S.INV(RAND())</f>
        <v>-2.4669111507462918E-3</v>
      </c>
    </row>
    <row r="5293" spans="18:21" x14ac:dyDescent="0.2">
      <c r="R5293" s="49">
        <v>5291</v>
      </c>
      <c r="S5293" s="59">
        <f ca="1">Dashboard!B$8* Dashboard!$F$4+Dashboard!B$10*SQRT(Dashboard!$F$4) * _xlfn.NORM.S.INV(RAND())</f>
        <v>-9.4982022335294101E-3</v>
      </c>
      <c r="T5293" s="59">
        <f ca="1">Dashboard!C$8* Dashboard!$F$4+Dashboard!C$10*SQRT(Dashboard!$F$4) * _xlfn.NORM.S.INV(RAND())</f>
        <v>3.7632943633566458E-2</v>
      </c>
      <c r="U5293" s="59">
        <f ca="1">Dashboard!D$8* Dashboard!$F$4+Dashboard!D$10*SQRT(Dashboard!$F$4) * _xlfn.NORM.S.INV(RAND())</f>
        <v>5.2790075713302596E-2</v>
      </c>
    </row>
    <row r="5294" spans="18:21" x14ac:dyDescent="0.2">
      <c r="R5294" s="49">
        <v>5292</v>
      </c>
      <c r="S5294" s="59">
        <f ca="1">Dashboard!B$8* Dashboard!$F$4+Dashboard!B$10*SQRT(Dashboard!$F$4) * _xlfn.NORM.S.INV(RAND())</f>
        <v>-1.4221242934632256E-2</v>
      </c>
      <c r="T5294" s="59">
        <f ca="1">Dashboard!C$8* Dashboard!$F$4+Dashboard!C$10*SQRT(Dashboard!$F$4) * _xlfn.NORM.S.INV(RAND())</f>
        <v>1.9710179105970602E-2</v>
      </c>
      <c r="U5294" s="59">
        <f ca="1">Dashboard!D$8* Dashboard!$F$4+Dashboard!D$10*SQRT(Dashboard!$F$4) * _xlfn.NORM.S.INV(RAND())</f>
        <v>6.7847181537728146E-2</v>
      </c>
    </row>
    <row r="5295" spans="18:21" x14ac:dyDescent="0.2">
      <c r="R5295" s="49">
        <v>5293</v>
      </c>
      <c r="S5295" s="59">
        <f ca="1">Dashboard!B$8* Dashboard!$F$4+Dashboard!B$10*SQRT(Dashboard!$F$4) * _xlfn.NORM.S.INV(RAND())</f>
        <v>-1.414654703333886E-2</v>
      </c>
      <c r="T5295" s="59">
        <f ca="1">Dashboard!C$8* Dashboard!$F$4+Dashboard!C$10*SQRT(Dashboard!$F$4) * _xlfn.NORM.S.INV(RAND())</f>
        <v>1.4133321809455805E-2</v>
      </c>
      <c r="U5295" s="59">
        <f ca="1">Dashboard!D$8* Dashboard!$F$4+Dashboard!D$10*SQRT(Dashboard!$F$4) * _xlfn.NORM.S.INV(RAND())</f>
        <v>-3.9371012979284192E-2</v>
      </c>
    </row>
    <row r="5296" spans="18:21" x14ac:dyDescent="0.2">
      <c r="R5296" s="49">
        <v>5294</v>
      </c>
      <c r="S5296" s="59">
        <f ca="1">Dashboard!B$8* Dashboard!$F$4+Dashboard!B$10*SQRT(Dashboard!$F$4) * _xlfn.NORM.S.INV(RAND())</f>
        <v>1.6565895550499796E-2</v>
      </c>
      <c r="T5296" s="59">
        <f ca="1">Dashboard!C$8* Dashboard!$F$4+Dashboard!C$10*SQRT(Dashboard!$F$4) * _xlfn.NORM.S.INV(RAND())</f>
        <v>2.9881702187972838E-2</v>
      </c>
      <c r="U5296" s="59">
        <f ca="1">Dashboard!D$8* Dashboard!$F$4+Dashboard!D$10*SQRT(Dashboard!$F$4) * _xlfn.NORM.S.INV(RAND())</f>
        <v>-5.0728210415627766E-3</v>
      </c>
    </row>
    <row r="5297" spans="18:21" x14ac:dyDescent="0.2">
      <c r="R5297" s="49">
        <v>5295</v>
      </c>
      <c r="S5297" s="59">
        <f ca="1">Dashboard!B$8* Dashboard!$F$4+Dashboard!B$10*SQRT(Dashboard!$F$4) * _xlfn.NORM.S.INV(RAND())</f>
        <v>1.7072608239991655E-2</v>
      </c>
      <c r="T5297" s="59">
        <f ca="1">Dashboard!C$8* Dashboard!$F$4+Dashboard!C$10*SQRT(Dashboard!$F$4) * _xlfn.NORM.S.INV(RAND())</f>
        <v>-2.9628651386229967E-2</v>
      </c>
      <c r="U5297" s="59">
        <f ca="1">Dashboard!D$8* Dashboard!$F$4+Dashboard!D$10*SQRT(Dashboard!$F$4) * _xlfn.NORM.S.INV(RAND())</f>
        <v>-2.2401319811414685E-2</v>
      </c>
    </row>
    <row r="5298" spans="18:21" x14ac:dyDescent="0.2">
      <c r="R5298" s="49">
        <v>5296</v>
      </c>
      <c r="S5298" s="59">
        <f ca="1">Dashboard!B$8* Dashboard!$F$4+Dashboard!B$10*SQRT(Dashboard!$F$4) * _xlfn.NORM.S.INV(RAND())</f>
        <v>1.8843384457267055E-2</v>
      </c>
      <c r="T5298" s="59">
        <f ca="1">Dashboard!C$8* Dashboard!$F$4+Dashboard!C$10*SQRT(Dashboard!$F$4) * _xlfn.NORM.S.INV(RAND())</f>
        <v>6.1597737319499656E-2</v>
      </c>
      <c r="U5298" s="59">
        <f ca="1">Dashboard!D$8* Dashboard!$F$4+Dashboard!D$10*SQRT(Dashboard!$F$4) * _xlfn.NORM.S.INV(RAND())</f>
        <v>3.1000635833543459E-2</v>
      </c>
    </row>
    <row r="5299" spans="18:21" x14ac:dyDescent="0.2">
      <c r="R5299" s="49">
        <v>5297</v>
      </c>
      <c r="S5299" s="59">
        <f ca="1">Dashboard!B$8* Dashboard!$F$4+Dashboard!B$10*SQRT(Dashboard!$F$4) * _xlfn.NORM.S.INV(RAND())</f>
        <v>-7.6139986917653953E-3</v>
      </c>
      <c r="T5299" s="59">
        <f ca="1">Dashboard!C$8* Dashboard!$F$4+Dashboard!C$10*SQRT(Dashboard!$F$4) * _xlfn.NORM.S.INV(RAND())</f>
        <v>-1.3027148671563786E-2</v>
      </c>
      <c r="U5299" s="59">
        <f ca="1">Dashboard!D$8* Dashboard!$F$4+Dashboard!D$10*SQRT(Dashboard!$F$4) * _xlfn.NORM.S.INV(RAND())</f>
        <v>-3.5998917076773489E-2</v>
      </c>
    </row>
    <row r="5300" spans="18:21" x14ac:dyDescent="0.2">
      <c r="R5300" s="49">
        <v>5298</v>
      </c>
      <c r="S5300" s="59">
        <f ca="1">Dashboard!B$8* Dashboard!$F$4+Dashboard!B$10*SQRT(Dashboard!$F$4) * _xlfn.NORM.S.INV(RAND())</f>
        <v>-2.1791212815071147E-2</v>
      </c>
      <c r="T5300" s="59">
        <f ca="1">Dashboard!C$8* Dashboard!$F$4+Dashboard!C$10*SQRT(Dashboard!$F$4) * _xlfn.NORM.S.INV(RAND())</f>
        <v>-2.6239411945523622E-2</v>
      </c>
      <c r="U5300" s="59">
        <f ca="1">Dashboard!D$8* Dashboard!$F$4+Dashboard!D$10*SQRT(Dashboard!$F$4) * _xlfn.NORM.S.INV(RAND())</f>
        <v>4.8980719160651852E-2</v>
      </c>
    </row>
    <row r="5301" spans="18:21" x14ac:dyDescent="0.2">
      <c r="R5301" s="49">
        <v>5299</v>
      </c>
      <c r="S5301" s="59">
        <f ca="1">Dashboard!B$8* Dashboard!$F$4+Dashboard!B$10*SQRT(Dashboard!$F$4) * _xlfn.NORM.S.INV(RAND())</f>
        <v>-2.2105296247755757E-2</v>
      </c>
      <c r="T5301" s="59">
        <f ca="1">Dashboard!C$8* Dashboard!$F$4+Dashboard!C$10*SQRT(Dashboard!$F$4) * _xlfn.NORM.S.INV(RAND())</f>
        <v>5.000026347074718E-2</v>
      </c>
      <c r="U5301" s="59">
        <f ca="1">Dashboard!D$8* Dashboard!$F$4+Dashboard!D$10*SQRT(Dashboard!$F$4) * _xlfn.NORM.S.INV(RAND())</f>
        <v>2.0471255546153682E-2</v>
      </c>
    </row>
    <row r="5302" spans="18:21" x14ac:dyDescent="0.2">
      <c r="R5302" s="49">
        <v>5300</v>
      </c>
      <c r="S5302" s="59">
        <f ca="1">Dashboard!B$8* Dashboard!$F$4+Dashboard!B$10*SQRT(Dashboard!$F$4) * _xlfn.NORM.S.INV(RAND())</f>
        <v>-5.3243582313180729E-2</v>
      </c>
      <c r="T5302" s="59">
        <f ca="1">Dashboard!C$8* Dashboard!$F$4+Dashboard!C$10*SQRT(Dashboard!$F$4) * _xlfn.NORM.S.INV(RAND())</f>
        <v>-1.5535074670844397E-2</v>
      </c>
      <c r="U5302" s="59">
        <f ca="1">Dashboard!D$8* Dashboard!$F$4+Dashboard!D$10*SQRT(Dashboard!$F$4) * _xlfn.NORM.S.INV(RAND())</f>
        <v>3.1112696590238575E-2</v>
      </c>
    </row>
    <row r="5303" spans="18:21" x14ac:dyDescent="0.2">
      <c r="R5303" s="49">
        <v>5301</v>
      </c>
      <c r="S5303" s="59">
        <f ca="1">Dashboard!B$8* Dashboard!$F$4+Dashboard!B$10*SQRT(Dashboard!$F$4) * _xlfn.NORM.S.INV(RAND())</f>
        <v>4.673765300556449E-2</v>
      </c>
      <c r="T5303" s="59">
        <f ca="1">Dashboard!C$8* Dashboard!$F$4+Dashboard!C$10*SQRT(Dashboard!$F$4) * _xlfn.NORM.S.INV(RAND())</f>
        <v>-3.9616215057407776E-4</v>
      </c>
      <c r="U5303" s="59">
        <f ca="1">Dashboard!D$8* Dashboard!$F$4+Dashboard!D$10*SQRT(Dashboard!$F$4) * _xlfn.NORM.S.INV(RAND())</f>
        <v>-1.1256228755978395E-2</v>
      </c>
    </row>
    <row r="5304" spans="18:21" x14ac:dyDescent="0.2">
      <c r="R5304" s="49">
        <v>5302</v>
      </c>
      <c r="S5304" s="59">
        <f ca="1">Dashboard!B$8* Dashboard!$F$4+Dashboard!B$10*SQRT(Dashboard!$F$4) * _xlfn.NORM.S.INV(RAND())</f>
        <v>-4.145820443270172E-2</v>
      </c>
      <c r="T5304" s="59">
        <f ca="1">Dashboard!C$8* Dashboard!$F$4+Dashboard!C$10*SQRT(Dashboard!$F$4) * _xlfn.NORM.S.INV(RAND())</f>
        <v>7.7088131719655992E-2</v>
      </c>
      <c r="U5304" s="59">
        <f ca="1">Dashboard!D$8* Dashboard!$F$4+Dashboard!D$10*SQRT(Dashboard!$F$4) * _xlfn.NORM.S.INV(RAND())</f>
        <v>2.7367906216089099E-2</v>
      </c>
    </row>
    <row r="5305" spans="18:21" x14ac:dyDescent="0.2">
      <c r="R5305" s="49">
        <v>5303</v>
      </c>
      <c r="S5305" s="59">
        <f ca="1">Dashboard!B$8* Dashboard!$F$4+Dashboard!B$10*SQRT(Dashboard!$F$4) * _xlfn.NORM.S.INV(RAND())</f>
        <v>-1.9016992406466815E-2</v>
      </c>
      <c r="T5305" s="59">
        <f ca="1">Dashboard!C$8* Dashboard!$F$4+Dashboard!C$10*SQRT(Dashboard!$F$4) * _xlfn.NORM.S.INV(RAND())</f>
        <v>5.1915060278812229E-2</v>
      </c>
      <c r="U5305" s="59">
        <f ca="1">Dashboard!D$8* Dashboard!$F$4+Dashboard!D$10*SQRT(Dashboard!$F$4) * _xlfn.NORM.S.INV(RAND())</f>
        <v>3.1226374203255296E-2</v>
      </c>
    </row>
    <row r="5306" spans="18:21" x14ac:dyDescent="0.2">
      <c r="R5306" s="49">
        <v>5304</v>
      </c>
      <c r="S5306" s="59">
        <f ca="1">Dashboard!B$8* Dashboard!$F$4+Dashboard!B$10*SQRT(Dashboard!$F$4) * _xlfn.NORM.S.INV(RAND())</f>
        <v>-1.3070818167733252E-2</v>
      </c>
      <c r="T5306" s="59">
        <f ca="1">Dashboard!C$8* Dashboard!$F$4+Dashboard!C$10*SQRT(Dashboard!$F$4) * _xlfn.NORM.S.INV(RAND())</f>
        <v>1.1000500605670756E-2</v>
      </c>
      <c r="U5306" s="59">
        <f ca="1">Dashboard!D$8* Dashboard!$F$4+Dashboard!D$10*SQRT(Dashboard!$F$4) * _xlfn.NORM.S.INV(RAND())</f>
        <v>1.1709922249383681E-2</v>
      </c>
    </row>
    <row r="5307" spans="18:21" x14ac:dyDescent="0.2">
      <c r="R5307" s="49">
        <v>5305</v>
      </c>
      <c r="S5307" s="59">
        <f ca="1">Dashboard!B$8* Dashboard!$F$4+Dashboard!B$10*SQRT(Dashboard!$F$4) * _xlfn.NORM.S.INV(RAND())</f>
        <v>-4.8713616598303484E-2</v>
      </c>
      <c r="T5307" s="59">
        <f ca="1">Dashboard!C$8* Dashboard!$F$4+Dashboard!C$10*SQRT(Dashboard!$F$4) * _xlfn.NORM.S.INV(RAND())</f>
        <v>-3.5790462947437478E-2</v>
      </c>
      <c r="U5307" s="59">
        <f ca="1">Dashboard!D$8* Dashboard!$F$4+Dashboard!D$10*SQRT(Dashboard!$F$4) * _xlfn.NORM.S.INV(RAND())</f>
        <v>-1.0716294135885136E-2</v>
      </c>
    </row>
    <row r="5308" spans="18:21" x14ac:dyDescent="0.2">
      <c r="R5308" s="49">
        <v>5306</v>
      </c>
      <c r="S5308" s="59">
        <f ca="1">Dashboard!B$8* Dashboard!$F$4+Dashboard!B$10*SQRT(Dashboard!$F$4) * _xlfn.NORM.S.INV(RAND())</f>
        <v>1.4901272076402088E-2</v>
      </c>
      <c r="T5308" s="59">
        <f ca="1">Dashboard!C$8* Dashboard!$F$4+Dashboard!C$10*SQRT(Dashboard!$F$4) * _xlfn.NORM.S.INV(RAND())</f>
        <v>2.7423387151954508E-2</v>
      </c>
      <c r="U5308" s="59">
        <f ca="1">Dashboard!D$8* Dashboard!$F$4+Dashboard!D$10*SQRT(Dashboard!$F$4) * _xlfn.NORM.S.INV(RAND())</f>
        <v>2.7615130339970696E-2</v>
      </c>
    </row>
    <row r="5309" spans="18:21" x14ac:dyDescent="0.2">
      <c r="R5309" s="49">
        <v>5307</v>
      </c>
      <c r="S5309" s="59">
        <f ca="1">Dashboard!B$8* Dashboard!$F$4+Dashboard!B$10*SQRT(Dashboard!$F$4) * _xlfn.NORM.S.INV(RAND())</f>
        <v>-3.7756750668518933E-2</v>
      </c>
      <c r="T5309" s="59">
        <f ca="1">Dashboard!C$8* Dashboard!$F$4+Dashboard!C$10*SQRT(Dashboard!$F$4) * _xlfn.NORM.S.INV(RAND())</f>
        <v>-6.1145511199929203E-3</v>
      </c>
      <c r="U5309" s="59">
        <f ca="1">Dashboard!D$8* Dashboard!$F$4+Dashboard!D$10*SQRT(Dashboard!$F$4) * _xlfn.NORM.S.INV(RAND())</f>
        <v>-2.3314809694703374E-2</v>
      </c>
    </row>
    <row r="5310" spans="18:21" x14ac:dyDescent="0.2">
      <c r="R5310" s="49">
        <v>5308</v>
      </c>
      <c r="S5310" s="59">
        <f ca="1">Dashboard!B$8* Dashboard!$F$4+Dashboard!B$10*SQRT(Dashboard!$F$4) * _xlfn.NORM.S.INV(RAND())</f>
        <v>3.7250944458300295E-2</v>
      </c>
      <c r="T5310" s="59">
        <f ca="1">Dashboard!C$8* Dashboard!$F$4+Dashboard!C$10*SQRT(Dashboard!$F$4) * _xlfn.NORM.S.INV(RAND())</f>
        <v>-2.3303599708804842E-2</v>
      </c>
      <c r="U5310" s="59">
        <f ca="1">Dashboard!D$8* Dashboard!$F$4+Dashboard!D$10*SQRT(Dashboard!$F$4) * _xlfn.NORM.S.INV(RAND())</f>
        <v>2.6992748043448811E-2</v>
      </c>
    </row>
    <row r="5311" spans="18:21" x14ac:dyDescent="0.2">
      <c r="R5311" s="49">
        <v>5309</v>
      </c>
      <c r="S5311" s="59">
        <f ca="1">Dashboard!B$8* Dashboard!$F$4+Dashboard!B$10*SQRT(Dashboard!$F$4) * _xlfn.NORM.S.INV(RAND())</f>
        <v>-5.8646777370271477E-2</v>
      </c>
      <c r="T5311" s="59">
        <f ca="1">Dashboard!C$8* Dashboard!$F$4+Dashboard!C$10*SQRT(Dashboard!$F$4) * _xlfn.NORM.S.INV(RAND())</f>
        <v>8.6614558191958728E-3</v>
      </c>
      <c r="U5311" s="59">
        <f ca="1">Dashboard!D$8* Dashboard!$F$4+Dashboard!D$10*SQRT(Dashboard!$F$4) * _xlfn.NORM.S.INV(RAND())</f>
        <v>1.4941189284851103E-2</v>
      </c>
    </row>
    <row r="5312" spans="18:21" x14ac:dyDescent="0.2">
      <c r="R5312" s="49">
        <v>5310</v>
      </c>
      <c r="S5312" s="59">
        <f ca="1">Dashboard!B$8* Dashboard!$F$4+Dashboard!B$10*SQRT(Dashboard!$F$4) * _xlfn.NORM.S.INV(RAND())</f>
        <v>-6.5623218015974684E-3</v>
      </c>
      <c r="T5312" s="59">
        <f ca="1">Dashboard!C$8* Dashboard!$F$4+Dashboard!C$10*SQRT(Dashboard!$F$4) * _xlfn.NORM.S.INV(RAND())</f>
        <v>-4.489572292261438E-2</v>
      </c>
      <c r="U5312" s="59">
        <f ca="1">Dashboard!D$8* Dashboard!$F$4+Dashboard!D$10*SQRT(Dashboard!$F$4) * _xlfn.NORM.S.INV(RAND())</f>
        <v>-3.5892584048699536E-2</v>
      </c>
    </row>
    <row r="5313" spans="18:21" x14ac:dyDescent="0.2">
      <c r="R5313" s="49">
        <v>5311</v>
      </c>
      <c r="S5313" s="59">
        <f ca="1">Dashboard!B$8* Dashboard!$F$4+Dashboard!B$10*SQRT(Dashboard!$F$4) * _xlfn.NORM.S.INV(RAND())</f>
        <v>-6.7760225195501234E-2</v>
      </c>
      <c r="T5313" s="59">
        <f ca="1">Dashboard!C$8* Dashboard!$F$4+Dashboard!C$10*SQRT(Dashboard!$F$4) * _xlfn.NORM.S.INV(RAND())</f>
        <v>-2.2744627686691325E-2</v>
      </c>
      <c r="U5313" s="59">
        <f ca="1">Dashboard!D$8* Dashboard!$F$4+Dashboard!D$10*SQRT(Dashboard!$F$4) * _xlfn.NORM.S.INV(RAND())</f>
        <v>9.7580718051189783E-4</v>
      </c>
    </row>
    <row r="5314" spans="18:21" x14ac:dyDescent="0.2">
      <c r="R5314" s="49">
        <v>5312</v>
      </c>
      <c r="S5314" s="59">
        <f ca="1">Dashboard!B$8* Dashboard!$F$4+Dashboard!B$10*SQRT(Dashboard!$F$4) * _xlfn.NORM.S.INV(RAND())</f>
        <v>3.7805753442920406E-2</v>
      </c>
      <c r="T5314" s="59">
        <f ca="1">Dashboard!C$8* Dashboard!$F$4+Dashboard!C$10*SQRT(Dashboard!$F$4) * _xlfn.NORM.S.INV(RAND())</f>
        <v>-1.6024494548964995E-2</v>
      </c>
      <c r="U5314" s="59">
        <f ca="1">Dashboard!D$8* Dashboard!$F$4+Dashboard!D$10*SQRT(Dashboard!$F$4) * _xlfn.NORM.S.INV(RAND())</f>
        <v>-1.7078284529058801E-3</v>
      </c>
    </row>
    <row r="5315" spans="18:21" x14ac:dyDescent="0.2">
      <c r="R5315" s="49">
        <v>5313</v>
      </c>
      <c r="S5315" s="59">
        <f ca="1">Dashboard!B$8* Dashboard!$F$4+Dashboard!B$10*SQRT(Dashboard!$F$4) * _xlfn.NORM.S.INV(RAND())</f>
        <v>-3.6367772840308267E-2</v>
      </c>
      <c r="T5315" s="59">
        <f ca="1">Dashboard!C$8* Dashboard!$F$4+Dashboard!C$10*SQRT(Dashboard!$F$4) * _xlfn.NORM.S.INV(RAND())</f>
        <v>7.2754854781096848E-2</v>
      </c>
      <c r="U5315" s="59">
        <f ca="1">Dashboard!D$8* Dashboard!$F$4+Dashboard!D$10*SQRT(Dashboard!$F$4) * _xlfn.NORM.S.INV(RAND())</f>
        <v>2.6451422192850786E-2</v>
      </c>
    </row>
    <row r="5316" spans="18:21" x14ac:dyDescent="0.2">
      <c r="R5316" s="49">
        <v>5314</v>
      </c>
      <c r="S5316" s="59">
        <f ca="1">Dashboard!B$8* Dashboard!$F$4+Dashboard!B$10*SQRT(Dashboard!$F$4) * _xlfn.NORM.S.INV(RAND())</f>
        <v>1.5228251455224077E-2</v>
      </c>
      <c r="T5316" s="59">
        <f ca="1">Dashboard!C$8* Dashboard!$F$4+Dashboard!C$10*SQRT(Dashboard!$F$4) * _xlfn.NORM.S.INV(RAND())</f>
        <v>2.5729114847467226E-2</v>
      </c>
      <c r="U5316" s="59">
        <f ca="1">Dashboard!D$8* Dashboard!$F$4+Dashboard!D$10*SQRT(Dashboard!$F$4) * _xlfn.NORM.S.INV(RAND())</f>
        <v>-1.6068137289488589E-2</v>
      </c>
    </row>
    <row r="5317" spans="18:21" x14ac:dyDescent="0.2">
      <c r="R5317" s="49">
        <v>5315</v>
      </c>
      <c r="S5317" s="59">
        <f ca="1">Dashboard!B$8* Dashboard!$F$4+Dashboard!B$10*SQRT(Dashboard!$F$4) * _xlfn.NORM.S.INV(RAND())</f>
        <v>9.0620449429727728E-3</v>
      </c>
      <c r="T5317" s="59">
        <f ca="1">Dashboard!C$8* Dashboard!$F$4+Dashboard!C$10*SQRT(Dashboard!$F$4) * _xlfn.NORM.S.INV(RAND())</f>
        <v>-5.8566175101937472E-3</v>
      </c>
      <c r="U5317" s="59">
        <f ca="1">Dashboard!D$8* Dashboard!$F$4+Dashboard!D$10*SQRT(Dashboard!$F$4) * _xlfn.NORM.S.INV(RAND())</f>
        <v>1.5517805105692147E-2</v>
      </c>
    </row>
    <row r="5318" spans="18:21" x14ac:dyDescent="0.2">
      <c r="R5318" s="49">
        <v>5316</v>
      </c>
      <c r="S5318" s="59">
        <f ca="1">Dashboard!B$8* Dashboard!$F$4+Dashboard!B$10*SQRT(Dashboard!$F$4) * _xlfn.NORM.S.INV(RAND())</f>
        <v>-2.9547812071214784E-2</v>
      </c>
      <c r="T5318" s="59">
        <f ca="1">Dashboard!C$8* Dashboard!$F$4+Dashboard!C$10*SQRT(Dashboard!$F$4) * _xlfn.NORM.S.INV(RAND())</f>
        <v>9.7562005052193902E-3</v>
      </c>
      <c r="U5318" s="59">
        <f ca="1">Dashboard!D$8* Dashboard!$F$4+Dashboard!D$10*SQRT(Dashboard!$F$4) * _xlfn.NORM.S.INV(RAND())</f>
        <v>5.2588575106503027E-2</v>
      </c>
    </row>
    <row r="5319" spans="18:21" x14ac:dyDescent="0.2">
      <c r="R5319" s="49">
        <v>5317</v>
      </c>
      <c r="S5319" s="59">
        <f ca="1">Dashboard!B$8* Dashboard!$F$4+Dashboard!B$10*SQRT(Dashboard!$F$4) * _xlfn.NORM.S.INV(RAND())</f>
        <v>7.0494065789167309E-2</v>
      </c>
      <c r="T5319" s="59">
        <f ca="1">Dashboard!C$8* Dashboard!$F$4+Dashboard!C$10*SQRT(Dashboard!$F$4) * _xlfn.NORM.S.INV(RAND())</f>
        <v>4.1863480181688782E-3</v>
      </c>
      <c r="U5319" s="59">
        <f ca="1">Dashboard!D$8* Dashboard!$F$4+Dashboard!D$10*SQRT(Dashboard!$F$4) * _xlfn.NORM.S.INV(RAND())</f>
        <v>-9.0008644131899518E-2</v>
      </c>
    </row>
    <row r="5320" spans="18:21" x14ac:dyDescent="0.2">
      <c r="R5320" s="49">
        <v>5318</v>
      </c>
      <c r="S5320" s="59">
        <f ca="1">Dashboard!B$8* Dashboard!$F$4+Dashboard!B$10*SQRT(Dashboard!$F$4) * _xlfn.NORM.S.INV(RAND())</f>
        <v>3.246524974611277E-2</v>
      </c>
      <c r="T5320" s="59">
        <f ca="1">Dashboard!C$8* Dashboard!$F$4+Dashboard!C$10*SQRT(Dashboard!$F$4) * _xlfn.NORM.S.INV(RAND())</f>
        <v>1.7384727668550579E-2</v>
      </c>
      <c r="U5320" s="59">
        <f ca="1">Dashboard!D$8* Dashboard!$F$4+Dashboard!D$10*SQRT(Dashboard!$F$4) * _xlfn.NORM.S.INV(RAND())</f>
        <v>3.1516411039908286E-2</v>
      </c>
    </row>
    <row r="5321" spans="18:21" x14ac:dyDescent="0.2">
      <c r="R5321" s="49">
        <v>5319</v>
      </c>
      <c r="S5321" s="59">
        <f ca="1">Dashboard!B$8* Dashboard!$F$4+Dashboard!B$10*SQRT(Dashboard!$F$4) * _xlfn.NORM.S.INV(RAND())</f>
        <v>1.0254514382412311E-2</v>
      </c>
      <c r="T5321" s="59">
        <f ca="1">Dashboard!C$8* Dashboard!$F$4+Dashboard!C$10*SQRT(Dashboard!$F$4) * _xlfn.NORM.S.INV(RAND())</f>
        <v>1.1394400941206117E-2</v>
      </c>
      <c r="U5321" s="59">
        <f ca="1">Dashboard!D$8* Dashboard!$F$4+Dashboard!D$10*SQRT(Dashboard!$F$4) * _xlfn.NORM.S.INV(RAND())</f>
        <v>-5.1405112275645084E-3</v>
      </c>
    </row>
    <row r="5322" spans="18:21" x14ac:dyDescent="0.2">
      <c r="R5322" s="49">
        <v>5320</v>
      </c>
      <c r="S5322" s="59">
        <f ca="1">Dashboard!B$8* Dashboard!$F$4+Dashboard!B$10*SQRT(Dashboard!$F$4) * _xlfn.NORM.S.INV(RAND())</f>
        <v>-3.648326175905954E-2</v>
      </c>
      <c r="T5322" s="59">
        <f ca="1">Dashboard!C$8* Dashboard!$F$4+Dashboard!C$10*SQRT(Dashboard!$F$4) * _xlfn.NORM.S.INV(RAND())</f>
        <v>5.0692459590813164E-2</v>
      </c>
      <c r="U5322" s="59">
        <f ca="1">Dashboard!D$8* Dashboard!$F$4+Dashboard!D$10*SQRT(Dashboard!$F$4) * _xlfn.NORM.S.INV(RAND())</f>
        <v>-2.6185399169343484E-3</v>
      </c>
    </row>
    <row r="5323" spans="18:21" x14ac:dyDescent="0.2">
      <c r="R5323" s="49">
        <v>5321</v>
      </c>
      <c r="S5323" s="59">
        <f ca="1">Dashboard!B$8* Dashboard!$F$4+Dashboard!B$10*SQRT(Dashboard!$F$4) * _xlfn.NORM.S.INV(RAND())</f>
        <v>-4.4957114988282577E-3</v>
      </c>
      <c r="T5323" s="59">
        <f ca="1">Dashboard!C$8* Dashboard!$F$4+Dashboard!C$10*SQRT(Dashboard!$F$4) * _xlfn.NORM.S.INV(RAND())</f>
        <v>-2.1970232465386961E-2</v>
      </c>
      <c r="U5323" s="59">
        <f ca="1">Dashboard!D$8* Dashboard!$F$4+Dashboard!D$10*SQRT(Dashboard!$F$4) * _xlfn.NORM.S.INV(RAND())</f>
        <v>-7.7816671639053467E-2</v>
      </c>
    </row>
    <row r="5324" spans="18:21" x14ac:dyDescent="0.2">
      <c r="R5324" s="49">
        <v>5322</v>
      </c>
      <c r="S5324" s="59">
        <f ca="1">Dashboard!B$8* Dashboard!$F$4+Dashboard!B$10*SQRT(Dashboard!$F$4) * _xlfn.NORM.S.INV(RAND())</f>
        <v>3.8699970512692805E-2</v>
      </c>
      <c r="T5324" s="59">
        <f ca="1">Dashboard!C$8* Dashboard!$F$4+Dashboard!C$10*SQRT(Dashboard!$F$4) * _xlfn.NORM.S.INV(RAND())</f>
        <v>6.0316160581614431E-2</v>
      </c>
      <c r="U5324" s="59">
        <f ca="1">Dashboard!D$8* Dashboard!$F$4+Dashboard!D$10*SQRT(Dashboard!$F$4) * _xlfn.NORM.S.INV(RAND())</f>
        <v>5.996333337618745E-3</v>
      </c>
    </row>
    <row r="5325" spans="18:21" x14ac:dyDescent="0.2">
      <c r="R5325" s="49">
        <v>5323</v>
      </c>
      <c r="S5325" s="59">
        <f ca="1">Dashboard!B$8* Dashboard!$F$4+Dashboard!B$10*SQRT(Dashboard!$F$4) * _xlfn.NORM.S.INV(RAND())</f>
        <v>5.6611004191797182E-2</v>
      </c>
      <c r="T5325" s="59">
        <f ca="1">Dashboard!C$8* Dashboard!$F$4+Dashboard!C$10*SQRT(Dashboard!$F$4) * _xlfn.NORM.S.INV(RAND())</f>
        <v>-1.7501679577498437E-2</v>
      </c>
      <c r="U5325" s="59">
        <f ca="1">Dashboard!D$8* Dashboard!$F$4+Dashboard!D$10*SQRT(Dashboard!$F$4) * _xlfn.NORM.S.INV(RAND())</f>
        <v>2.4191496057722708E-2</v>
      </c>
    </row>
    <row r="5326" spans="18:21" x14ac:dyDescent="0.2">
      <c r="R5326" s="49">
        <v>5324</v>
      </c>
      <c r="S5326" s="59">
        <f ca="1">Dashboard!B$8* Dashboard!$F$4+Dashboard!B$10*SQRT(Dashboard!$F$4) * _xlfn.NORM.S.INV(RAND())</f>
        <v>2.4178001886955167E-2</v>
      </c>
      <c r="T5326" s="59">
        <f ca="1">Dashboard!C$8* Dashboard!$F$4+Dashboard!C$10*SQRT(Dashboard!$F$4) * _xlfn.NORM.S.INV(RAND())</f>
        <v>6.1097991162636527E-2</v>
      </c>
      <c r="U5326" s="59">
        <f ca="1">Dashboard!D$8* Dashboard!$F$4+Dashboard!D$10*SQRT(Dashboard!$F$4) * _xlfn.NORM.S.INV(RAND())</f>
        <v>4.4145039578166782E-2</v>
      </c>
    </row>
    <row r="5327" spans="18:21" x14ac:dyDescent="0.2">
      <c r="R5327" s="49">
        <v>5325</v>
      </c>
      <c r="S5327" s="59">
        <f ca="1">Dashboard!B$8* Dashboard!$F$4+Dashboard!B$10*SQRT(Dashboard!$F$4) * _xlfn.NORM.S.INV(RAND())</f>
        <v>-3.5108486707323451E-2</v>
      </c>
      <c r="T5327" s="59">
        <f ca="1">Dashboard!C$8* Dashboard!$F$4+Dashboard!C$10*SQRT(Dashboard!$F$4) * _xlfn.NORM.S.INV(RAND())</f>
        <v>-1.5723611755367406E-2</v>
      </c>
      <c r="U5327" s="59">
        <f ca="1">Dashboard!D$8* Dashboard!$F$4+Dashboard!D$10*SQRT(Dashboard!$F$4) * _xlfn.NORM.S.INV(RAND())</f>
        <v>7.5946034926534872E-2</v>
      </c>
    </row>
    <row r="5328" spans="18:21" x14ac:dyDescent="0.2">
      <c r="R5328" s="49">
        <v>5326</v>
      </c>
      <c r="S5328" s="59">
        <f ca="1">Dashboard!B$8* Dashboard!$F$4+Dashboard!B$10*SQRT(Dashboard!$F$4) * _xlfn.NORM.S.INV(RAND())</f>
        <v>-2.4772378399386043E-2</v>
      </c>
      <c r="T5328" s="59">
        <f ca="1">Dashboard!C$8* Dashboard!$F$4+Dashboard!C$10*SQRT(Dashboard!$F$4) * _xlfn.NORM.S.INV(RAND())</f>
        <v>2.296376725455777E-2</v>
      </c>
      <c r="U5328" s="59">
        <f ca="1">Dashboard!D$8* Dashboard!$F$4+Dashboard!D$10*SQRT(Dashboard!$F$4) * _xlfn.NORM.S.INV(RAND())</f>
        <v>-1.4114586908048279E-2</v>
      </c>
    </row>
    <row r="5329" spans="18:21" x14ac:dyDescent="0.2">
      <c r="R5329" s="49">
        <v>5327</v>
      </c>
      <c r="S5329" s="59">
        <f ca="1">Dashboard!B$8* Dashboard!$F$4+Dashboard!B$10*SQRT(Dashboard!$F$4) * _xlfn.NORM.S.INV(RAND())</f>
        <v>-3.0398169562290606E-2</v>
      </c>
      <c r="T5329" s="59">
        <f ca="1">Dashboard!C$8* Dashboard!$F$4+Dashboard!C$10*SQRT(Dashboard!$F$4) * _xlfn.NORM.S.INV(RAND())</f>
        <v>-1.2377280410843693E-2</v>
      </c>
      <c r="U5329" s="59">
        <f ca="1">Dashboard!D$8* Dashboard!$F$4+Dashboard!D$10*SQRT(Dashboard!$F$4) * _xlfn.NORM.S.INV(RAND())</f>
        <v>3.6328679821488914E-2</v>
      </c>
    </row>
    <row r="5330" spans="18:21" x14ac:dyDescent="0.2">
      <c r="R5330" s="49">
        <v>5328</v>
      </c>
      <c r="S5330" s="59">
        <f ca="1">Dashboard!B$8* Dashboard!$F$4+Dashboard!B$10*SQRT(Dashboard!$F$4) * _xlfn.NORM.S.INV(RAND())</f>
        <v>-1.8502233381734783E-2</v>
      </c>
      <c r="T5330" s="59">
        <f ca="1">Dashboard!C$8* Dashboard!$F$4+Dashboard!C$10*SQRT(Dashboard!$F$4) * _xlfn.NORM.S.INV(RAND())</f>
        <v>6.4469434301495515E-2</v>
      </c>
      <c r="U5330" s="59">
        <f ca="1">Dashboard!D$8* Dashboard!$F$4+Dashboard!D$10*SQRT(Dashboard!$F$4) * _xlfn.NORM.S.INV(RAND())</f>
        <v>-6.2029858980036231E-3</v>
      </c>
    </row>
    <row r="5331" spans="18:21" x14ac:dyDescent="0.2">
      <c r="R5331" s="49">
        <v>5329</v>
      </c>
      <c r="S5331" s="59">
        <f ca="1">Dashboard!B$8* Dashboard!$F$4+Dashboard!B$10*SQRT(Dashboard!$F$4) * _xlfn.NORM.S.INV(RAND())</f>
        <v>-1.4039807630619261E-2</v>
      </c>
      <c r="T5331" s="59">
        <f ca="1">Dashboard!C$8* Dashboard!$F$4+Dashboard!C$10*SQRT(Dashboard!$F$4) * _xlfn.NORM.S.INV(RAND())</f>
        <v>-4.9042727955962706E-2</v>
      </c>
      <c r="U5331" s="59">
        <f ca="1">Dashboard!D$8* Dashboard!$F$4+Dashboard!D$10*SQRT(Dashboard!$F$4) * _xlfn.NORM.S.INV(RAND())</f>
        <v>-5.0119271441793276E-3</v>
      </c>
    </row>
    <row r="5332" spans="18:21" x14ac:dyDescent="0.2">
      <c r="R5332" s="49">
        <v>5330</v>
      </c>
      <c r="S5332" s="59">
        <f ca="1">Dashboard!B$8* Dashboard!$F$4+Dashboard!B$10*SQRT(Dashboard!$F$4) * _xlfn.NORM.S.INV(RAND())</f>
        <v>-1.5422085868353398E-2</v>
      </c>
      <c r="T5332" s="59">
        <f ca="1">Dashboard!C$8* Dashboard!$F$4+Dashboard!C$10*SQRT(Dashboard!$F$4) * _xlfn.NORM.S.INV(RAND())</f>
        <v>3.0094131563310204E-2</v>
      </c>
      <c r="U5332" s="59">
        <f ca="1">Dashboard!D$8* Dashboard!$F$4+Dashboard!D$10*SQRT(Dashboard!$F$4) * _xlfn.NORM.S.INV(RAND())</f>
        <v>1.9870740383801794E-3</v>
      </c>
    </row>
    <row r="5333" spans="18:21" x14ac:dyDescent="0.2">
      <c r="R5333" s="49">
        <v>5331</v>
      </c>
      <c r="S5333" s="59">
        <f ca="1">Dashboard!B$8* Dashboard!$F$4+Dashboard!B$10*SQRT(Dashboard!$F$4) * _xlfn.NORM.S.INV(RAND())</f>
        <v>4.7586993347326096E-3</v>
      </c>
      <c r="T5333" s="59">
        <f ca="1">Dashboard!C$8* Dashboard!$F$4+Dashboard!C$10*SQRT(Dashboard!$F$4) * _xlfn.NORM.S.INV(RAND())</f>
        <v>1.2317268773525885E-2</v>
      </c>
      <c r="U5333" s="59">
        <f ca="1">Dashboard!D$8* Dashboard!$F$4+Dashboard!D$10*SQRT(Dashboard!$F$4) * _xlfn.NORM.S.INV(RAND())</f>
        <v>-1.0770082471555E-2</v>
      </c>
    </row>
    <row r="5334" spans="18:21" x14ac:dyDescent="0.2">
      <c r="R5334" s="49">
        <v>5332</v>
      </c>
      <c r="S5334" s="59">
        <f ca="1">Dashboard!B$8* Dashboard!$F$4+Dashboard!B$10*SQRT(Dashboard!$F$4) * _xlfn.NORM.S.INV(RAND())</f>
        <v>4.217134756105393E-2</v>
      </c>
      <c r="T5334" s="59">
        <f ca="1">Dashboard!C$8* Dashboard!$F$4+Dashboard!C$10*SQRT(Dashboard!$F$4) * _xlfn.NORM.S.INV(RAND())</f>
        <v>2.2112652719049847E-2</v>
      </c>
      <c r="U5334" s="59">
        <f ca="1">Dashboard!D$8* Dashboard!$F$4+Dashboard!D$10*SQRT(Dashboard!$F$4) * _xlfn.NORM.S.INV(RAND())</f>
        <v>1.0415661569052946E-3</v>
      </c>
    </row>
    <row r="5335" spans="18:21" x14ac:dyDescent="0.2">
      <c r="R5335" s="49">
        <v>5333</v>
      </c>
      <c r="S5335" s="59">
        <f ca="1">Dashboard!B$8* Dashboard!$F$4+Dashboard!B$10*SQRT(Dashboard!$F$4) * _xlfn.NORM.S.INV(RAND())</f>
        <v>-1.8844199703231959E-3</v>
      </c>
      <c r="T5335" s="59">
        <f ca="1">Dashboard!C$8* Dashboard!$F$4+Dashboard!C$10*SQRT(Dashboard!$F$4) * _xlfn.NORM.S.INV(RAND())</f>
        <v>2.4540095519275804E-2</v>
      </c>
      <c r="U5335" s="59">
        <f ca="1">Dashboard!D$8* Dashboard!$F$4+Dashboard!D$10*SQRT(Dashboard!$F$4) * _xlfn.NORM.S.INV(RAND())</f>
        <v>-1.2810138229685129E-2</v>
      </c>
    </row>
    <row r="5336" spans="18:21" x14ac:dyDescent="0.2">
      <c r="R5336" s="49">
        <v>5334</v>
      </c>
      <c r="S5336" s="59">
        <f ca="1">Dashboard!B$8* Dashboard!$F$4+Dashboard!B$10*SQRT(Dashboard!$F$4) * _xlfn.NORM.S.INV(RAND())</f>
        <v>3.3724543855289606E-2</v>
      </c>
      <c r="T5336" s="59">
        <f ca="1">Dashboard!C$8* Dashboard!$F$4+Dashboard!C$10*SQRT(Dashboard!$F$4) * _xlfn.NORM.S.INV(RAND())</f>
        <v>-1.5165304156457008E-2</v>
      </c>
      <c r="U5336" s="59">
        <f ca="1">Dashboard!D$8* Dashboard!$F$4+Dashboard!D$10*SQRT(Dashboard!$F$4) * _xlfn.NORM.S.INV(RAND())</f>
        <v>-2.2213452243724997E-2</v>
      </c>
    </row>
    <row r="5337" spans="18:21" x14ac:dyDescent="0.2">
      <c r="R5337" s="49">
        <v>5335</v>
      </c>
      <c r="S5337" s="59">
        <f ca="1">Dashboard!B$8* Dashboard!$F$4+Dashboard!B$10*SQRT(Dashboard!$F$4) * _xlfn.NORM.S.INV(RAND())</f>
        <v>-2.6182008639673439E-2</v>
      </c>
      <c r="T5337" s="59">
        <f ca="1">Dashboard!C$8* Dashboard!$F$4+Dashboard!C$10*SQRT(Dashboard!$F$4) * _xlfn.NORM.S.INV(RAND())</f>
        <v>-1.1891913678278934E-2</v>
      </c>
      <c r="U5337" s="59">
        <f ca="1">Dashboard!D$8* Dashboard!$F$4+Dashboard!D$10*SQRT(Dashboard!$F$4) * _xlfn.NORM.S.INV(RAND())</f>
        <v>3.98207347791453E-2</v>
      </c>
    </row>
    <row r="5338" spans="18:21" x14ac:dyDescent="0.2">
      <c r="R5338" s="49">
        <v>5336</v>
      </c>
      <c r="S5338" s="59">
        <f ca="1">Dashboard!B$8* Dashboard!$F$4+Dashboard!B$10*SQRT(Dashboard!$F$4) * _xlfn.NORM.S.INV(RAND())</f>
        <v>3.9510041468757896E-2</v>
      </c>
      <c r="T5338" s="59">
        <f ca="1">Dashboard!C$8* Dashboard!$F$4+Dashboard!C$10*SQRT(Dashboard!$F$4) * _xlfn.NORM.S.INV(RAND())</f>
        <v>7.7732404527548499E-3</v>
      </c>
      <c r="U5338" s="59">
        <f ca="1">Dashboard!D$8* Dashboard!$F$4+Dashboard!D$10*SQRT(Dashboard!$F$4) * _xlfn.NORM.S.INV(RAND())</f>
        <v>-2.8834677323584745E-2</v>
      </c>
    </row>
    <row r="5339" spans="18:21" x14ac:dyDescent="0.2">
      <c r="R5339" s="49">
        <v>5337</v>
      </c>
      <c r="S5339" s="59">
        <f ca="1">Dashboard!B$8* Dashboard!$F$4+Dashboard!B$10*SQRT(Dashboard!$F$4) * _xlfn.NORM.S.INV(RAND())</f>
        <v>-2.8946866263100536E-2</v>
      </c>
      <c r="T5339" s="59">
        <f ca="1">Dashboard!C$8* Dashboard!$F$4+Dashboard!C$10*SQRT(Dashboard!$F$4) * _xlfn.NORM.S.INV(RAND())</f>
        <v>2.25020688051959E-2</v>
      </c>
      <c r="U5339" s="59">
        <f ca="1">Dashboard!D$8* Dashboard!$F$4+Dashboard!D$10*SQRT(Dashboard!$F$4) * _xlfn.NORM.S.INV(RAND())</f>
        <v>2.1132362602353721E-2</v>
      </c>
    </row>
    <row r="5340" spans="18:21" x14ac:dyDescent="0.2">
      <c r="R5340" s="49">
        <v>5338</v>
      </c>
      <c r="S5340" s="59">
        <f ca="1">Dashboard!B$8* Dashboard!$F$4+Dashboard!B$10*SQRT(Dashboard!$F$4) * _xlfn.NORM.S.INV(RAND())</f>
        <v>-1.6666562217993126E-2</v>
      </c>
      <c r="T5340" s="59">
        <f ca="1">Dashboard!C$8* Dashboard!$F$4+Dashboard!C$10*SQRT(Dashboard!$F$4) * _xlfn.NORM.S.INV(RAND())</f>
        <v>2.374509007914288E-2</v>
      </c>
      <c r="U5340" s="59">
        <f ca="1">Dashboard!D$8* Dashboard!$F$4+Dashboard!D$10*SQRT(Dashboard!$F$4) * _xlfn.NORM.S.INV(RAND())</f>
        <v>6.0334212173140936E-3</v>
      </c>
    </row>
    <row r="5341" spans="18:21" x14ac:dyDescent="0.2">
      <c r="R5341" s="49">
        <v>5339</v>
      </c>
      <c r="S5341" s="59">
        <f ca="1">Dashboard!B$8* Dashboard!$F$4+Dashboard!B$10*SQRT(Dashboard!$F$4) * _xlfn.NORM.S.INV(RAND())</f>
        <v>-1.2060762907386002E-2</v>
      </c>
      <c r="T5341" s="59">
        <f ca="1">Dashboard!C$8* Dashboard!$F$4+Dashboard!C$10*SQRT(Dashboard!$F$4) * _xlfn.NORM.S.INV(RAND())</f>
        <v>4.5616118781180187E-2</v>
      </c>
      <c r="U5341" s="59">
        <f ca="1">Dashboard!D$8* Dashboard!$F$4+Dashboard!D$10*SQRT(Dashboard!$F$4) * _xlfn.NORM.S.INV(RAND())</f>
        <v>-1.2997472396928526E-2</v>
      </c>
    </row>
    <row r="5342" spans="18:21" x14ac:dyDescent="0.2">
      <c r="R5342" s="49">
        <v>5340</v>
      </c>
      <c r="S5342" s="59">
        <f ca="1">Dashboard!B$8* Dashboard!$F$4+Dashboard!B$10*SQRT(Dashboard!$F$4) * _xlfn.NORM.S.INV(RAND())</f>
        <v>3.5247292072282568E-2</v>
      </c>
      <c r="T5342" s="59">
        <f ca="1">Dashboard!C$8* Dashboard!$F$4+Dashboard!C$10*SQRT(Dashboard!$F$4) * _xlfn.NORM.S.INV(RAND())</f>
        <v>-4.9053083030509417E-3</v>
      </c>
      <c r="U5342" s="59">
        <f ca="1">Dashboard!D$8* Dashboard!$F$4+Dashboard!D$10*SQRT(Dashboard!$F$4) * _xlfn.NORM.S.INV(RAND())</f>
        <v>-2.4774011507600675E-2</v>
      </c>
    </row>
    <row r="5343" spans="18:21" x14ac:dyDescent="0.2">
      <c r="R5343" s="49">
        <v>5341</v>
      </c>
      <c r="S5343" s="59">
        <f ca="1">Dashboard!B$8* Dashboard!$F$4+Dashboard!B$10*SQRT(Dashboard!$F$4) * _xlfn.NORM.S.INV(RAND())</f>
        <v>1.1539697558656569E-2</v>
      </c>
      <c r="T5343" s="59">
        <f ca="1">Dashboard!C$8* Dashboard!$F$4+Dashboard!C$10*SQRT(Dashboard!$F$4) * _xlfn.NORM.S.INV(RAND())</f>
        <v>-1.9511409426550396E-2</v>
      </c>
      <c r="U5343" s="59">
        <f ca="1">Dashboard!D$8* Dashboard!$F$4+Dashboard!D$10*SQRT(Dashboard!$F$4) * _xlfn.NORM.S.INV(RAND())</f>
        <v>1.5863711168028642E-2</v>
      </c>
    </row>
    <row r="5344" spans="18:21" x14ac:dyDescent="0.2">
      <c r="R5344" s="49">
        <v>5342</v>
      </c>
      <c r="S5344" s="59">
        <f ca="1">Dashboard!B$8* Dashboard!$F$4+Dashboard!B$10*SQRT(Dashboard!$F$4) * _xlfn.NORM.S.INV(RAND())</f>
        <v>-2.7694314789336663E-3</v>
      </c>
      <c r="T5344" s="59">
        <f ca="1">Dashboard!C$8* Dashboard!$F$4+Dashboard!C$10*SQRT(Dashboard!$F$4) * _xlfn.NORM.S.INV(RAND())</f>
        <v>-5.9735642545342095E-3</v>
      </c>
      <c r="U5344" s="59">
        <f ca="1">Dashboard!D$8* Dashboard!$F$4+Dashboard!D$10*SQRT(Dashboard!$F$4) * _xlfn.NORM.S.INV(RAND())</f>
        <v>-1.6639218830277953E-3</v>
      </c>
    </row>
    <row r="5345" spans="18:21" x14ac:dyDescent="0.2">
      <c r="R5345" s="49">
        <v>5343</v>
      </c>
      <c r="S5345" s="59">
        <f ca="1">Dashboard!B$8* Dashboard!$F$4+Dashboard!B$10*SQRT(Dashboard!$F$4) * _xlfn.NORM.S.INV(RAND())</f>
        <v>3.3543145268411366E-2</v>
      </c>
      <c r="T5345" s="59">
        <f ca="1">Dashboard!C$8* Dashboard!$F$4+Dashboard!C$10*SQRT(Dashboard!$F$4) * _xlfn.NORM.S.INV(RAND())</f>
        <v>-8.6642537426807123E-3</v>
      </c>
      <c r="U5345" s="59">
        <f ca="1">Dashboard!D$8* Dashboard!$F$4+Dashboard!D$10*SQRT(Dashboard!$F$4) * _xlfn.NORM.S.INV(RAND())</f>
        <v>-4.7664019484271014E-2</v>
      </c>
    </row>
    <row r="5346" spans="18:21" x14ac:dyDescent="0.2">
      <c r="R5346" s="49">
        <v>5344</v>
      </c>
      <c r="S5346" s="59">
        <f ca="1">Dashboard!B$8* Dashboard!$F$4+Dashboard!B$10*SQRT(Dashboard!$F$4) * _xlfn.NORM.S.INV(RAND())</f>
        <v>1.6125705748746874E-2</v>
      </c>
      <c r="T5346" s="59">
        <f ca="1">Dashboard!C$8* Dashboard!$F$4+Dashboard!C$10*SQRT(Dashboard!$F$4) * _xlfn.NORM.S.INV(RAND())</f>
        <v>6.966330419567103E-2</v>
      </c>
      <c r="U5346" s="59">
        <f ca="1">Dashboard!D$8* Dashboard!$F$4+Dashboard!D$10*SQRT(Dashboard!$F$4) * _xlfn.NORM.S.INV(RAND())</f>
        <v>-2.1694403645178613E-2</v>
      </c>
    </row>
    <row r="5347" spans="18:21" x14ac:dyDescent="0.2">
      <c r="R5347" s="49">
        <v>5345</v>
      </c>
      <c r="S5347" s="59">
        <f ca="1">Dashboard!B$8* Dashboard!$F$4+Dashboard!B$10*SQRT(Dashboard!$F$4) * _xlfn.NORM.S.INV(RAND())</f>
        <v>2.0005324073091045E-2</v>
      </c>
      <c r="T5347" s="59">
        <f ca="1">Dashboard!C$8* Dashboard!$F$4+Dashboard!C$10*SQRT(Dashboard!$F$4) * _xlfn.NORM.S.INV(RAND())</f>
        <v>5.8649249798694701E-2</v>
      </c>
      <c r="U5347" s="59">
        <f ca="1">Dashboard!D$8* Dashboard!$F$4+Dashboard!D$10*SQRT(Dashboard!$F$4) * _xlfn.NORM.S.INV(RAND())</f>
        <v>-1.297460213053288E-3</v>
      </c>
    </row>
    <row r="5348" spans="18:21" x14ac:dyDescent="0.2">
      <c r="R5348" s="49">
        <v>5346</v>
      </c>
      <c r="S5348" s="59">
        <f ca="1">Dashboard!B$8* Dashboard!$F$4+Dashboard!B$10*SQRT(Dashboard!$F$4) * _xlfn.NORM.S.INV(RAND())</f>
        <v>6.1449353574558496E-2</v>
      </c>
      <c r="T5348" s="59">
        <f ca="1">Dashboard!C$8* Dashboard!$F$4+Dashboard!C$10*SQRT(Dashboard!$F$4) * _xlfn.NORM.S.INV(RAND())</f>
        <v>1.5915134194681619E-2</v>
      </c>
      <c r="U5348" s="59">
        <f ca="1">Dashboard!D$8* Dashboard!$F$4+Dashboard!D$10*SQRT(Dashboard!$F$4) * _xlfn.NORM.S.INV(RAND())</f>
        <v>-5.1053871584112967E-2</v>
      </c>
    </row>
    <row r="5349" spans="18:21" x14ac:dyDescent="0.2">
      <c r="R5349" s="49">
        <v>5347</v>
      </c>
      <c r="S5349" s="59">
        <f ca="1">Dashboard!B$8* Dashboard!$F$4+Dashboard!B$10*SQRT(Dashboard!$F$4) * _xlfn.NORM.S.INV(RAND())</f>
        <v>4.4062548876786053E-2</v>
      </c>
      <c r="T5349" s="59">
        <f ca="1">Dashboard!C$8* Dashboard!$F$4+Dashboard!C$10*SQRT(Dashboard!$F$4) * _xlfn.NORM.S.INV(RAND())</f>
        <v>1.3406854159940619E-2</v>
      </c>
      <c r="U5349" s="59">
        <f ca="1">Dashboard!D$8* Dashboard!$F$4+Dashboard!D$10*SQRT(Dashboard!$F$4) * _xlfn.NORM.S.INV(RAND())</f>
        <v>1.4400526706247257E-2</v>
      </c>
    </row>
    <row r="5350" spans="18:21" x14ac:dyDescent="0.2">
      <c r="R5350" s="49">
        <v>5348</v>
      </c>
      <c r="S5350" s="59">
        <f ca="1">Dashboard!B$8* Dashboard!$F$4+Dashboard!B$10*SQRT(Dashboard!$F$4) * _xlfn.NORM.S.INV(RAND())</f>
        <v>-2.5469084654558466E-2</v>
      </c>
      <c r="T5350" s="59">
        <f ca="1">Dashboard!C$8* Dashboard!$F$4+Dashboard!C$10*SQRT(Dashboard!$F$4) * _xlfn.NORM.S.INV(RAND())</f>
        <v>-6.4923706102944781E-3</v>
      </c>
      <c r="U5350" s="59">
        <f ca="1">Dashboard!D$8* Dashboard!$F$4+Dashboard!D$10*SQRT(Dashboard!$F$4) * _xlfn.NORM.S.INV(RAND())</f>
        <v>3.7629315323291945E-2</v>
      </c>
    </row>
    <row r="5351" spans="18:21" x14ac:dyDescent="0.2">
      <c r="R5351" s="49">
        <v>5349</v>
      </c>
      <c r="S5351" s="59">
        <f ca="1">Dashboard!B$8* Dashboard!$F$4+Dashboard!B$10*SQRT(Dashboard!$F$4) * _xlfn.NORM.S.INV(RAND())</f>
        <v>-3.2520373034344997E-2</v>
      </c>
      <c r="T5351" s="59">
        <f ca="1">Dashboard!C$8* Dashboard!$F$4+Dashboard!C$10*SQRT(Dashboard!$F$4) * _xlfn.NORM.S.INV(RAND())</f>
        <v>3.0583866779619984E-2</v>
      </c>
      <c r="U5351" s="59">
        <f ca="1">Dashboard!D$8* Dashboard!$F$4+Dashboard!D$10*SQRT(Dashboard!$F$4) * _xlfn.NORM.S.INV(RAND())</f>
        <v>-1.5120879654345784E-2</v>
      </c>
    </row>
    <row r="5352" spans="18:21" x14ac:dyDescent="0.2">
      <c r="R5352" s="49">
        <v>5350</v>
      </c>
      <c r="S5352" s="59">
        <f ca="1">Dashboard!B$8* Dashboard!$F$4+Dashboard!B$10*SQRT(Dashboard!$F$4) * _xlfn.NORM.S.INV(RAND())</f>
        <v>4.8915971537404172E-2</v>
      </c>
      <c r="T5352" s="59">
        <f ca="1">Dashboard!C$8* Dashboard!$F$4+Dashboard!C$10*SQRT(Dashboard!$F$4) * _xlfn.NORM.S.INV(RAND())</f>
        <v>1.031755483172303E-2</v>
      </c>
      <c r="U5352" s="59">
        <f ca="1">Dashboard!D$8* Dashboard!$F$4+Dashboard!D$10*SQRT(Dashboard!$F$4) * _xlfn.NORM.S.INV(RAND())</f>
        <v>5.9978342986653194E-2</v>
      </c>
    </row>
    <row r="5353" spans="18:21" x14ac:dyDescent="0.2">
      <c r="R5353" s="49">
        <v>5351</v>
      </c>
      <c r="S5353" s="59">
        <f ca="1">Dashboard!B$8* Dashboard!$F$4+Dashboard!B$10*SQRT(Dashboard!$F$4) * _xlfn.NORM.S.INV(RAND())</f>
        <v>-1.6953476152297463E-3</v>
      </c>
      <c r="T5353" s="59">
        <f ca="1">Dashboard!C$8* Dashboard!$F$4+Dashboard!C$10*SQRT(Dashboard!$F$4) * _xlfn.NORM.S.INV(RAND())</f>
        <v>-1.4020317736512557E-2</v>
      </c>
      <c r="U5353" s="59">
        <f ca="1">Dashboard!D$8* Dashboard!$F$4+Dashboard!D$10*SQRT(Dashboard!$F$4) * _xlfn.NORM.S.INV(RAND())</f>
        <v>6.5133236801931524E-3</v>
      </c>
    </row>
    <row r="5354" spans="18:21" x14ac:dyDescent="0.2">
      <c r="R5354" s="49">
        <v>5352</v>
      </c>
      <c r="S5354" s="59">
        <f ca="1">Dashboard!B$8* Dashboard!$F$4+Dashboard!B$10*SQRT(Dashboard!$F$4) * _xlfn.NORM.S.INV(RAND())</f>
        <v>-1.3930883370437228E-2</v>
      </c>
      <c r="T5354" s="59">
        <f ca="1">Dashboard!C$8* Dashboard!$F$4+Dashboard!C$10*SQRT(Dashboard!$F$4) * _xlfn.NORM.S.INV(RAND())</f>
        <v>-1.7078445021356803E-3</v>
      </c>
      <c r="U5354" s="59">
        <f ca="1">Dashboard!D$8* Dashboard!$F$4+Dashboard!D$10*SQRT(Dashboard!$F$4) * _xlfn.NORM.S.INV(RAND())</f>
        <v>-5.1326790516324867E-3</v>
      </c>
    </row>
    <row r="5355" spans="18:21" x14ac:dyDescent="0.2">
      <c r="R5355" s="49">
        <v>5353</v>
      </c>
      <c r="S5355" s="59">
        <f ca="1">Dashboard!B$8* Dashboard!$F$4+Dashboard!B$10*SQRT(Dashboard!$F$4) * _xlfn.NORM.S.INV(RAND())</f>
        <v>-2.9263822524302043E-3</v>
      </c>
      <c r="T5355" s="59">
        <f ca="1">Dashboard!C$8* Dashboard!$F$4+Dashboard!C$10*SQRT(Dashboard!$F$4) * _xlfn.NORM.S.INV(RAND())</f>
        <v>-6.311730154205707E-4</v>
      </c>
      <c r="U5355" s="59">
        <f ca="1">Dashboard!D$8* Dashboard!$F$4+Dashboard!D$10*SQRT(Dashboard!$F$4) * _xlfn.NORM.S.INV(RAND())</f>
        <v>4.1818214605072436E-2</v>
      </c>
    </row>
    <row r="5356" spans="18:21" x14ac:dyDescent="0.2">
      <c r="R5356" s="49">
        <v>5354</v>
      </c>
      <c r="S5356" s="59">
        <f ca="1">Dashboard!B$8* Dashboard!$F$4+Dashboard!B$10*SQRT(Dashboard!$F$4) * _xlfn.NORM.S.INV(RAND())</f>
        <v>-8.7128067333418283E-3</v>
      </c>
      <c r="T5356" s="59">
        <f ca="1">Dashboard!C$8* Dashboard!$F$4+Dashboard!C$10*SQRT(Dashboard!$F$4) * _xlfn.NORM.S.INV(RAND())</f>
        <v>-4.8819188039397991E-2</v>
      </c>
      <c r="U5356" s="59">
        <f ca="1">Dashboard!D$8* Dashboard!$F$4+Dashboard!D$10*SQRT(Dashboard!$F$4) * _xlfn.NORM.S.INV(RAND())</f>
        <v>6.4874745117460657E-3</v>
      </c>
    </row>
    <row r="5357" spans="18:21" x14ac:dyDescent="0.2">
      <c r="R5357" s="49">
        <v>5355</v>
      </c>
      <c r="S5357" s="59">
        <f ca="1">Dashboard!B$8* Dashboard!$F$4+Dashboard!B$10*SQRT(Dashboard!$F$4) * _xlfn.NORM.S.INV(RAND())</f>
        <v>2.5903730392468502E-2</v>
      </c>
      <c r="T5357" s="59">
        <f ca="1">Dashboard!C$8* Dashboard!$F$4+Dashboard!C$10*SQRT(Dashboard!$F$4) * _xlfn.NORM.S.INV(RAND())</f>
        <v>8.4954348188074902E-3</v>
      </c>
      <c r="U5357" s="59">
        <f ca="1">Dashboard!D$8* Dashboard!$F$4+Dashboard!D$10*SQRT(Dashboard!$F$4) * _xlfn.NORM.S.INV(RAND())</f>
        <v>-2.8811455686531651E-2</v>
      </c>
    </row>
    <row r="5358" spans="18:21" x14ac:dyDescent="0.2">
      <c r="R5358" s="49">
        <v>5356</v>
      </c>
      <c r="S5358" s="59">
        <f ca="1">Dashboard!B$8* Dashboard!$F$4+Dashboard!B$10*SQRT(Dashboard!$F$4) * _xlfn.NORM.S.INV(RAND())</f>
        <v>2.053595302543041E-3</v>
      </c>
      <c r="T5358" s="59">
        <f ca="1">Dashboard!C$8* Dashboard!$F$4+Dashboard!C$10*SQRT(Dashboard!$F$4) * _xlfn.NORM.S.INV(RAND())</f>
        <v>8.9197895829148683E-4</v>
      </c>
      <c r="U5358" s="59">
        <f ca="1">Dashboard!D$8* Dashboard!$F$4+Dashboard!D$10*SQRT(Dashboard!$F$4) * _xlfn.NORM.S.INV(RAND())</f>
        <v>7.0032002397089552E-3</v>
      </c>
    </row>
    <row r="5359" spans="18:21" x14ac:dyDescent="0.2">
      <c r="R5359" s="49">
        <v>5357</v>
      </c>
      <c r="S5359" s="59">
        <f ca="1">Dashboard!B$8* Dashboard!$F$4+Dashboard!B$10*SQRT(Dashboard!$F$4) * _xlfn.NORM.S.INV(RAND())</f>
        <v>6.3689682293773791E-3</v>
      </c>
      <c r="T5359" s="59">
        <f ca="1">Dashboard!C$8* Dashboard!$F$4+Dashboard!C$10*SQRT(Dashboard!$F$4) * _xlfn.NORM.S.INV(RAND())</f>
        <v>4.4369981519700979E-2</v>
      </c>
      <c r="U5359" s="59">
        <f ca="1">Dashboard!D$8* Dashboard!$F$4+Dashboard!D$10*SQRT(Dashboard!$F$4) * _xlfn.NORM.S.INV(RAND())</f>
        <v>4.9390708011786175E-2</v>
      </c>
    </row>
    <row r="5360" spans="18:21" x14ac:dyDescent="0.2">
      <c r="R5360" s="49">
        <v>5358</v>
      </c>
      <c r="S5360" s="59">
        <f ca="1">Dashboard!B$8* Dashboard!$F$4+Dashboard!B$10*SQRT(Dashboard!$F$4) * _xlfn.NORM.S.INV(RAND())</f>
        <v>-1.4081041737464038E-2</v>
      </c>
      <c r="T5360" s="59">
        <f ca="1">Dashboard!C$8* Dashboard!$F$4+Dashboard!C$10*SQRT(Dashboard!$F$4) * _xlfn.NORM.S.INV(RAND())</f>
        <v>-4.3052646179785756E-2</v>
      </c>
      <c r="U5360" s="59">
        <f ca="1">Dashboard!D$8* Dashboard!$F$4+Dashboard!D$10*SQRT(Dashboard!$F$4) * _xlfn.NORM.S.INV(RAND())</f>
        <v>1.5384326872793846E-2</v>
      </c>
    </row>
    <row r="5361" spans="18:21" x14ac:dyDescent="0.2">
      <c r="R5361" s="49">
        <v>5359</v>
      </c>
      <c r="S5361" s="59">
        <f ca="1">Dashboard!B$8* Dashboard!$F$4+Dashboard!B$10*SQRT(Dashboard!$F$4) * _xlfn.NORM.S.INV(RAND())</f>
        <v>5.4874429647540149E-3</v>
      </c>
      <c r="T5361" s="59">
        <f ca="1">Dashboard!C$8* Dashboard!$F$4+Dashboard!C$10*SQRT(Dashboard!$F$4) * _xlfn.NORM.S.INV(RAND())</f>
        <v>2.1600371407599364E-2</v>
      </c>
      <c r="U5361" s="59">
        <f ca="1">Dashboard!D$8* Dashboard!$F$4+Dashboard!D$10*SQRT(Dashboard!$F$4) * _xlfn.NORM.S.INV(RAND())</f>
        <v>8.1659330291769978E-3</v>
      </c>
    </row>
    <row r="5362" spans="18:21" x14ac:dyDescent="0.2">
      <c r="R5362" s="49">
        <v>5360</v>
      </c>
      <c r="S5362" s="59">
        <f ca="1">Dashboard!B$8* Dashboard!$F$4+Dashboard!B$10*SQRT(Dashboard!$F$4) * _xlfn.NORM.S.INV(RAND())</f>
        <v>8.4173447880985602E-2</v>
      </c>
      <c r="T5362" s="59">
        <f ca="1">Dashboard!C$8* Dashboard!$F$4+Dashboard!C$10*SQRT(Dashboard!$F$4) * _xlfn.NORM.S.INV(RAND())</f>
        <v>2.208200980151771E-2</v>
      </c>
      <c r="U5362" s="59">
        <f ca="1">Dashboard!D$8* Dashboard!$F$4+Dashboard!D$10*SQRT(Dashboard!$F$4) * _xlfn.NORM.S.INV(RAND())</f>
        <v>-4.9940336331022746E-2</v>
      </c>
    </row>
    <row r="5363" spans="18:21" x14ac:dyDescent="0.2">
      <c r="R5363" s="49">
        <v>5361</v>
      </c>
      <c r="S5363" s="59">
        <f ca="1">Dashboard!B$8* Dashboard!$F$4+Dashboard!B$10*SQRT(Dashboard!$F$4) * _xlfn.NORM.S.INV(RAND())</f>
        <v>2.948110207691481E-2</v>
      </c>
      <c r="T5363" s="59">
        <f ca="1">Dashboard!C$8* Dashboard!$F$4+Dashboard!C$10*SQRT(Dashboard!$F$4) * _xlfn.NORM.S.INV(RAND())</f>
        <v>4.3811462970575329E-3</v>
      </c>
      <c r="U5363" s="59">
        <f ca="1">Dashboard!D$8* Dashboard!$F$4+Dashboard!D$10*SQRT(Dashboard!$F$4) * _xlfn.NORM.S.INV(RAND())</f>
        <v>-1.3744515864216107E-2</v>
      </c>
    </row>
    <row r="5364" spans="18:21" x14ac:dyDescent="0.2">
      <c r="R5364" s="49">
        <v>5362</v>
      </c>
      <c r="S5364" s="59">
        <f ca="1">Dashboard!B$8* Dashboard!$F$4+Dashboard!B$10*SQRT(Dashboard!$F$4) * _xlfn.NORM.S.INV(RAND())</f>
        <v>2.9925942287609654E-3</v>
      </c>
      <c r="T5364" s="59">
        <f ca="1">Dashboard!C$8* Dashboard!$F$4+Dashboard!C$10*SQRT(Dashboard!$F$4) * _xlfn.NORM.S.INV(RAND())</f>
        <v>1.124058005207966E-2</v>
      </c>
      <c r="U5364" s="59">
        <f ca="1">Dashboard!D$8* Dashboard!$F$4+Dashboard!D$10*SQRT(Dashboard!$F$4) * _xlfn.NORM.S.INV(RAND())</f>
        <v>1.3111565670621179E-3</v>
      </c>
    </row>
    <row r="5365" spans="18:21" x14ac:dyDescent="0.2">
      <c r="R5365" s="49">
        <v>5363</v>
      </c>
      <c r="S5365" s="59">
        <f ca="1">Dashboard!B$8* Dashboard!$F$4+Dashboard!B$10*SQRT(Dashboard!$F$4) * _xlfn.NORM.S.INV(RAND())</f>
        <v>-1.4980549571427869E-3</v>
      </c>
      <c r="T5365" s="59">
        <f ca="1">Dashboard!C$8* Dashboard!$F$4+Dashboard!C$10*SQRT(Dashboard!$F$4) * _xlfn.NORM.S.INV(RAND())</f>
        <v>2.3027669756468586E-2</v>
      </c>
      <c r="U5365" s="59">
        <f ca="1">Dashboard!D$8* Dashboard!$F$4+Dashboard!D$10*SQRT(Dashboard!$F$4) * _xlfn.NORM.S.INV(RAND())</f>
        <v>7.3260824990404559E-3</v>
      </c>
    </row>
    <row r="5366" spans="18:21" x14ac:dyDescent="0.2">
      <c r="R5366" s="49">
        <v>5364</v>
      </c>
      <c r="S5366" s="59">
        <f ca="1">Dashboard!B$8* Dashboard!$F$4+Dashboard!B$10*SQRT(Dashboard!$F$4) * _xlfn.NORM.S.INV(RAND())</f>
        <v>2.4554703446318479E-2</v>
      </c>
      <c r="T5366" s="59">
        <f ca="1">Dashboard!C$8* Dashboard!$F$4+Dashboard!C$10*SQRT(Dashboard!$F$4) * _xlfn.NORM.S.INV(RAND())</f>
        <v>-2.8664356933955231E-2</v>
      </c>
      <c r="U5366" s="59">
        <f ca="1">Dashboard!D$8* Dashboard!$F$4+Dashboard!D$10*SQRT(Dashboard!$F$4) * _xlfn.NORM.S.INV(RAND())</f>
        <v>-6.3609364416791214E-2</v>
      </c>
    </row>
    <row r="5367" spans="18:21" x14ac:dyDescent="0.2">
      <c r="R5367" s="49">
        <v>5365</v>
      </c>
      <c r="S5367" s="59">
        <f ca="1">Dashboard!B$8* Dashboard!$F$4+Dashboard!B$10*SQRT(Dashboard!$F$4) * _xlfn.NORM.S.INV(RAND())</f>
        <v>2.4484222089478536E-2</v>
      </c>
      <c r="T5367" s="59">
        <f ca="1">Dashboard!C$8* Dashboard!$F$4+Dashboard!C$10*SQRT(Dashboard!$F$4) * _xlfn.NORM.S.INV(RAND())</f>
        <v>8.9370245454880787E-2</v>
      </c>
      <c r="U5367" s="59">
        <f ca="1">Dashboard!D$8* Dashboard!$F$4+Dashboard!D$10*SQRT(Dashboard!$F$4) * _xlfn.NORM.S.INV(RAND())</f>
        <v>-1.8825057087044798E-2</v>
      </c>
    </row>
    <row r="5368" spans="18:21" x14ac:dyDescent="0.2">
      <c r="R5368" s="49">
        <v>5366</v>
      </c>
      <c r="S5368" s="59">
        <f ca="1">Dashboard!B$8* Dashboard!$F$4+Dashboard!B$10*SQRT(Dashboard!$F$4) * _xlfn.NORM.S.INV(RAND())</f>
        <v>1.6966829503347707E-2</v>
      </c>
      <c r="T5368" s="59">
        <f ca="1">Dashboard!C$8* Dashboard!$F$4+Dashboard!C$10*SQRT(Dashboard!$F$4) * _xlfn.NORM.S.INV(RAND())</f>
        <v>5.7775452801685379E-3</v>
      </c>
      <c r="U5368" s="59">
        <f ca="1">Dashboard!D$8* Dashboard!$F$4+Dashboard!D$10*SQRT(Dashboard!$F$4) * _xlfn.NORM.S.INV(RAND())</f>
        <v>-1.7821194759305561E-2</v>
      </c>
    </row>
    <row r="5369" spans="18:21" x14ac:dyDescent="0.2">
      <c r="R5369" s="49">
        <v>5367</v>
      </c>
      <c r="S5369" s="59">
        <f ca="1">Dashboard!B$8* Dashboard!$F$4+Dashboard!B$10*SQRT(Dashboard!$F$4) * _xlfn.NORM.S.INV(RAND())</f>
        <v>-1.9561609134281913E-2</v>
      </c>
      <c r="T5369" s="59">
        <f ca="1">Dashboard!C$8* Dashboard!$F$4+Dashboard!C$10*SQRT(Dashboard!$F$4) * _xlfn.NORM.S.INV(RAND())</f>
        <v>5.079864124642737E-2</v>
      </c>
      <c r="U5369" s="59">
        <f ca="1">Dashboard!D$8* Dashboard!$F$4+Dashboard!D$10*SQRT(Dashboard!$F$4) * _xlfn.NORM.S.INV(RAND())</f>
        <v>1.6510895344808936E-2</v>
      </c>
    </row>
    <row r="5370" spans="18:21" x14ac:dyDescent="0.2">
      <c r="R5370" s="49">
        <v>5368</v>
      </c>
      <c r="S5370" s="59">
        <f ca="1">Dashboard!B$8* Dashboard!$F$4+Dashboard!B$10*SQRT(Dashboard!$F$4) * _xlfn.NORM.S.INV(RAND())</f>
        <v>1.2412417971127339E-2</v>
      </c>
      <c r="T5370" s="59">
        <f ca="1">Dashboard!C$8* Dashboard!$F$4+Dashboard!C$10*SQRT(Dashboard!$F$4) * _xlfn.NORM.S.INV(RAND())</f>
        <v>3.7497120925696993E-2</v>
      </c>
      <c r="U5370" s="59">
        <f ca="1">Dashboard!D$8* Dashboard!$F$4+Dashboard!D$10*SQRT(Dashboard!$F$4) * _xlfn.NORM.S.INV(RAND())</f>
        <v>-1.6973473173023505E-2</v>
      </c>
    </row>
    <row r="5371" spans="18:21" x14ac:dyDescent="0.2">
      <c r="R5371" s="49">
        <v>5369</v>
      </c>
      <c r="S5371" s="59">
        <f ca="1">Dashboard!B$8* Dashboard!$F$4+Dashboard!B$10*SQRT(Dashboard!$F$4) * _xlfn.NORM.S.INV(RAND())</f>
        <v>-4.7455427120293514E-3</v>
      </c>
      <c r="T5371" s="59">
        <f ca="1">Dashboard!C$8* Dashboard!$F$4+Dashboard!C$10*SQRT(Dashboard!$F$4) * _xlfn.NORM.S.INV(RAND())</f>
        <v>-3.3098472889273679E-2</v>
      </c>
      <c r="U5371" s="59">
        <f ca="1">Dashboard!D$8* Dashboard!$F$4+Dashboard!D$10*SQRT(Dashboard!$F$4) * _xlfn.NORM.S.INV(RAND())</f>
        <v>2.2989647079244852E-2</v>
      </c>
    </row>
    <row r="5372" spans="18:21" x14ac:dyDescent="0.2">
      <c r="R5372" s="49">
        <v>5370</v>
      </c>
      <c r="S5372" s="59">
        <f ca="1">Dashboard!B$8* Dashboard!$F$4+Dashboard!B$10*SQRT(Dashboard!$F$4) * _xlfn.NORM.S.INV(RAND())</f>
        <v>-2.3222675214134188E-2</v>
      </c>
      <c r="T5372" s="59">
        <f ca="1">Dashboard!C$8* Dashboard!$F$4+Dashboard!C$10*SQRT(Dashboard!$F$4) * _xlfn.NORM.S.INV(RAND())</f>
        <v>-1.9784436347719127E-2</v>
      </c>
      <c r="U5372" s="59">
        <f ca="1">Dashboard!D$8* Dashboard!$F$4+Dashboard!D$10*SQRT(Dashboard!$F$4) * _xlfn.NORM.S.INV(RAND())</f>
        <v>3.0715184588916283E-2</v>
      </c>
    </row>
    <row r="5373" spans="18:21" x14ac:dyDescent="0.2">
      <c r="R5373" s="49">
        <v>5371</v>
      </c>
      <c r="S5373" s="59">
        <f ca="1">Dashboard!B$8* Dashboard!$F$4+Dashboard!B$10*SQRT(Dashboard!$F$4) * _xlfn.NORM.S.INV(RAND())</f>
        <v>2.6743329136242923E-3</v>
      </c>
      <c r="T5373" s="59">
        <f ca="1">Dashboard!C$8* Dashboard!$F$4+Dashboard!C$10*SQRT(Dashboard!$F$4) * _xlfn.NORM.S.INV(RAND())</f>
        <v>7.0694762150422929E-3</v>
      </c>
      <c r="U5373" s="59">
        <f ca="1">Dashboard!D$8* Dashboard!$F$4+Dashboard!D$10*SQRT(Dashboard!$F$4) * _xlfn.NORM.S.INV(RAND())</f>
        <v>-8.2717876424020523E-2</v>
      </c>
    </row>
    <row r="5374" spans="18:21" x14ac:dyDescent="0.2">
      <c r="R5374" s="49">
        <v>5372</v>
      </c>
      <c r="S5374" s="59">
        <f ca="1">Dashboard!B$8* Dashboard!$F$4+Dashboard!B$10*SQRT(Dashboard!$F$4) * _xlfn.NORM.S.INV(RAND())</f>
        <v>-2.7382342653688163E-2</v>
      </c>
      <c r="T5374" s="59">
        <f ca="1">Dashboard!C$8* Dashboard!$F$4+Dashboard!C$10*SQRT(Dashboard!$F$4) * _xlfn.NORM.S.INV(RAND())</f>
        <v>-5.8635826979075933E-2</v>
      </c>
      <c r="U5374" s="59">
        <f ca="1">Dashboard!D$8* Dashboard!$F$4+Dashboard!D$10*SQRT(Dashboard!$F$4) * _xlfn.NORM.S.INV(RAND())</f>
        <v>1.0799585263419141E-2</v>
      </c>
    </row>
    <row r="5375" spans="18:21" x14ac:dyDescent="0.2">
      <c r="R5375" s="49">
        <v>5373</v>
      </c>
      <c r="S5375" s="59">
        <f ca="1">Dashboard!B$8* Dashboard!$F$4+Dashboard!B$10*SQRT(Dashboard!$F$4) * _xlfn.NORM.S.INV(RAND())</f>
        <v>-2.8691529184758965E-2</v>
      </c>
      <c r="T5375" s="59">
        <f ca="1">Dashboard!C$8* Dashboard!$F$4+Dashboard!C$10*SQRT(Dashboard!$F$4) * _xlfn.NORM.S.INV(RAND())</f>
        <v>3.7046080079747674E-3</v>
      </c>
      <c r="U5375" s="59">
        <f ca="1">Dashboard!D$8* Dashboard!$F$4+Dashboard!D$10*SQRT(Dashboard!$F$4) * _xlfn.NORM.S.INV(RAND())</f>
        <v>-5.5033594465463805E-2</v>
      </c>
    </row>
    <row r="5376" spans="18:21" x14ac:dyDescent="0.2">
      <c r="R5376" s="49">
        <v>5374</v>
      </c>
      <c r="S5376" s="59">
        <f ca="1">Dashboard!B$8* Dashboard!$F$4+Dashboard!B$10*SQRT(Dashboard!$F$4) * _xlfn.NORM.S.INV(RAND())</f>
        <v>-1.8886323057076132E-2</v>
      </c>
      <c r="T5376" s="59">
        <f ca="1">Dashboard!C$8* Dashboard!$F$4+Dashboard!C$10*SQRT(Dashboard!$F$4) * _xlfn.NORM.S.INV(RAND())</f>
        <v>5.3126754995809856E-2</v>
      </c>
      <c r="U5376" s="59">
        <f ca="1">Dashboard!D$8* Dashboard!$F$4+Dashboard!D$10*SQRT(Dashboard!$F$4) * _xlfn.NORM.S.INV(RAND())</f>
        <v>-1.1327773400429585E-2</v>
      </c>
    </row>
    <row r="5377" spans="18:21" x14ac:dyDescent="0.2">
      <c r="R5377" s="49">
        <v>5375</v>
      </c>
      <c r="S5377" s="59">
        <f ca="1">Dashboard!B$8* Dashboard!$F$4+Dashboard!B$10*SQRT(Dashboard!$F$4) * _xlfn.NORM.S.INV(RAND())</f>
        <v>1.61360185377981E-2</v>
      </c>
      <c r="T5377" s="59">
        <f ca="1">Dashboard!C$8* Dashboard!$F$4+Dashboard!C$10*SQRT(Dashboard!$F$4) * _xlfn.NORM.S.INV(RAND())</f>
        <v>-2.2344409686791834E-2</v>
      </c>
      <c r="U5377" s="59">
        <f ca="1">Dashboard!D$8* Dashboard!$F$4+Dashboard!D$10*SQRT(Dashboard!$F$4) * _xlfn.NORM.S.INV(RAND())</f>
        <v>-1.070197679392179E-2</v>
      </c>
    </row>
    <row r="5378" spans="18:21" x14ac:dyDescent="0.2">
      <c r="R5378" s="49">
        <v>5376</v>
      </c>
      <c r="S5378" s="59">
        <f ca="1">Dashboard!B$8* Dashboard!$F$4+Dashboard!B$10*SQRT(Dashboard!$F$4) * _xlfn.NORM.S.INV(RAND())</f>
        <v>-1.2406434427046404E-2</v>
      </c>
      <c r="T5378" s="59">
        <f ca="1">Dashboard!C$8* Dashboard!$F$4+Dashboard!C$10*SQRT(Dashboard!$F$4) * _xlfn.NORM.S.INV(RAND())</f>
        <v>4.1700541387764342E-2</v>
      </c>
      <c r="U5378" s="59">
        <f ca="1">Dashboard!D$8* Dashboard!$F$4+Dashboard!D$10*SQRT(Dashboard!$F$4) * _xlfn.NORM.S.INV(RAND())</f>
        <v>-1.6665554039463064E-2</v>
      </c>
    </row>
    <row r="5379" spans="18:21" x14ac:dyDescent="0.2">
      <c r="R5379" s="49">
        <v>5377</v>
      </c>
      <c r="S5379" s="59">
        <f ca="1">Dashboard!B$8* Dashboard!$F$4+Dashboard!B$10*SQRT(Dashboard!$F$4) * _xlfn.NORM.S.INV(RAND())</f>
        <v>-1.3077718931238365E-2</v>
      </c>
      <c r="T5379" s="59">
        <f ca="1">Dashboard!C$8* Dashboard!$F$4+Dashboard!C$10*SQRT(Dashboard!$F$4) * _xlfn.NORM.S.INV(RAND())</f>
        <v>-2.1916799300479576E-2</v>
      </c>
      <c r="U5379" s="59">
        <f ca="1">Dashboard!D$8* Dashboard!$F$4+Dashboard!D$10*SQRT(Dashboard!$F$4) * _xlfn.NORM.S.INV(RAND())</f>
        <v>-9.5340575715233602E-3</v>
      </c>
    </row>
    <row r="5380" spans="18:21" x14ac:dyDescent="0.2">
      <c r="R5380" s="49">
        <v>5378</v>
      </c>
      <c r="S5380" s="59">
        <f ca="1">Dashboard!B$8* Dashboard!$F$4+Dashboard!B$10*SQRT(Dashboard!$F$4) * _xlfn.NORM.S.INV(RAND())</f>
        <v>-4.3484628697307785E-2</v>
      </c>
      <c r="T5380" s="59">
        <f ca="1">Dashboard!C$8* Dashboard!$F$4+Dashboard!C$10*SQRT(Dashboard!$F$4) * _xlfn.NORM.S.INV(RAND())</f>
        <v>1.2759057614253916E-2</v>
      </c>
      <c r="U5380" s="59">
        <f ca="1">Dashboard!D$8* Dashboard!$F$4+Dashboard!D$10*SQRT(Dashboard!$F$4) * _xlfn.NORM.S.INV(RAND())</f>
        <v>2.8685182544138772E-2</v>
      </c>
    </row>
    <row r="5381" spans="18:21" x14ac:dyDescent="0.2">
      <c r="R5381" s="49">
        <v>5379</v>
      </c>
      <c r="S5381" s="59">
        <f ca="1">Dashboard!B$8* Dashboard!$F$4+Dashboard!B$10*SQRT(Dashboard!$F$4) * _xlfn.NORM.S.INV(RAND())</f>
        <v>-6.2266343572139136E-2</v>
      </c>
      <c r="T5381" s="59">
        <f ca="1">Dashboard!C$8* Dashboard!$F$4+Dashboard!C$10*SQRT(Dashboard!$F$4) * _xlfn.NORM.S.INV(RAND())</f>
        <v>-4.6397724600501962E-2</v>
      </c>
      <c r="U5381" s="59">
        <f ca="1">Dashboard!D$8* Dashboard!$F$4+Dashboard!D$10*SQRT(Dashboard!$F$4) * _xlfn.NORM.S.INV(RAND())</f>
        <v>3.5735916308154453E-2</v>
      </c>
    </row>
    <row r="5382" spans="18:21" x14ac:dyDescent="0.2">
      <c r="R5382" s="49">
        <v>5380</v>
      </c>
      <c r="S5382" s="59">
        <f ca="1">Dashboard!B$8* Dashboard!$F$4+Dashboard!B$10*SQRT(Dashboard!$F$4) * _xlfn.NORM.S.INV(RAND())</f>
        <v>-1.8934277047646629E-2</v>
      </c>
      <c r="T5382" s="59">
        <f ca="1">Dashboard!C$8* Dashboard!$F$4+Dashboard!C$10*SQRT(Dashboard!$F$4) * _xlfn.NORM.S.INV(RAND())</f>
        <v>2.8842553485021957E-2</v>
      </c>
      <c r="U5382" s="59">
        <f ca="1">Dashboard!D$8* Dashboard!$F$4+Dashboard!D$10*SQRT(Dashboard!$F$4) * _xlfn.NORM.S.INV(RAND())</f>
        <v>-5.0095058928507644E-2</v>
      </c>
    </row>
    <row r="5383" spans="18:21" x14ac:dyDescent="0.2">
      <c r="R5383" s="49">
        <v>5381</v>
      </c>
      <c r="S5383" s="59">
        <f ca="1">Dashboard!B$8* Dashboard!$F$4+Dashboard!B$10*SQRT(Dashboard!$F$4) * _xlfn.NORM.S.INV(RAND())</f>
        <v>5.8693310157639247E-2</v>
      </c>
      <c r="T5383" s="59">
        <f ca="1">Dashboard!C$8* Dashboard!$F$4+Dashboard!C$10*SQRT(Dashboard!$F$4) * _xlfn.NORM.S.INV(RAND())</f>
        <v>4.0077247214430909E-3</v>
      </c>
      <c r="U5383" s="59">
        <f ca="1">Dashboard!D$8* Dashboard!$F$4+Dashboard!D$10*SQRT(Dashboard!$F$4) * _xlfn.NORM.S.INV(RAND())</f>
        <v>3.9086699653148253E-2</v>
      </c>
    </row>
    <row r="5384" spans="18:21" x14ac:dyDescent="0.2">
      <c r="R5384" s="49">
        <v>5382</v>
      </c>
      <c r="S5384" s="59">
        <f ca="1">Dashboard!B$8* Dashboard!$F$4+Dashboard!B$10*SQRT(Dashboard!$F$4) * _xlfn.NORM.S.INV(RAND())</f>
        <v>1.9433285484803022E-3</v>
      </c>
      <c r="T5384" s="59">
        <f ca="1">Dashboard!C$8* Dashboard!$F$4+Dashboard!C$10*SQRT(Dashboard!$F$4) * _xlfn.NORM.S.INV(RAND())</f>
        <v>5.5857107013896977E-2</v>
      </c>
      <c r="U5384" s="59">
        <f ca="1">Dashboard!D$8* Dashboard!$F$4+Dashboard!D$10*SQRT(Dashboard!$F$4) * _xlfn.NORM.S.INV(RAND())</f>
        <v>-1.135042438419835E-2</v>
      </c>
    </row>
    <row r="5385" spans="18:21" x14ac:dyDescent="0.2">
      <c r="R5385" s="49">
        <v>5383</v>
      </c>
      <c r="S5385" s="59">
        <f ca="1">Dashboard!B$8* Dashboard!$F$4+Dashboard!B$10*SQRT(Dashboard!$F$4) * _xlfn.NORM.S.INV(RAND())</f>
        <v>1.4959794000118237E-4</v>
      </c>
      <c r="T5385" s="59">
        <f ca="1">Dashboard!C$8* Dashboard!$F$4+Dashboard!C$10*SQRT(Dashboard!$F$4) * _xlfn.NORM.S.INV(RAND())</f>
        <v>-6.5283061044305965E-2</v>
      </c>
      <c r="U5385" s="59">
        <f ca="1">Dashboard!D$8* Dashboard!$F$4+Dashboard!D$10*SQRT(Dashboard!$F$4) * _xlfn.NORM.S.INV(RAND())</f>
        <v>4.3656800877075576E-3</v>
      </c>
    </row>
    <row r="5386" spans="18:21" x14ac:dyDescent="0.2">
      <c r="R5386" s="49">
        <v>5384</v>
      </c>
      <c r="S5386" s="59">
        <f ca="1">Dashboard!B$8* Dashboard!$F$4+Dashboard!B$10*SQRT(Dashboard!$F$4) * _xlfn.NORM.S.INV(RAND())</f>
        <v>1.3746575946272264E-2</v>
      </c>
      <c r="T5386" s="59">
        <f ca="1">Dashboard!C$8* Dashboard!$F$4+Dashboard!C$10*SQRT(Dashboard!$F$4) * _xlfn.NORM.S.INV(RAND())</f>
        <v>-8.5406138076362485E-3</v>
      </c>
      <c r="U5386" s="59">
        <f ca="1">Dashboard!D$8* Dashboard!$F$4+Dashboard!D$10*SQRT(Dashboard!$F$4) * _xlfn.NORM.S.INV(RAND())</f>
        <v>4.9962206341037695E-3</v>
      </c>
    </row>
    <row r="5387" spans="18:21" x14ac:dyDescent="0.2">
      <c r="R5387" s="49">
        <v>5385</v>
      </c>
      <c r="S5387" s="59">
        <f ca="1">Dashboard!B$8* Dashboard!$F$4+Dashboard!B$10*SQRT(Dashboard!$F$4) * _xlfn.NORM.S.INV(RAND())</f>
        <v>-2.151821755563197E-2</v>
      </c>
      <c r="T5387" s="59">
        <f ca="1">Dashboard!C$8* Dashboard!$F$4+Dashboard!C$10*SQRT(Dashboard!$F$4) * _xlfn.NORM.S.INV(RAND())</f>
        <v>-3.9658346849669041E-2</v>
      </c>
      <c r="U5387" s="59">
        <f ca="1">Dashboard!D$8* Dashboard!$F$4+Dashboard!D$10*SQRT(Dashboard!$F$4) * _xlfn.NORM.S.INV(RAND())</f>
        <v>-1.4545351226419241E-2</v>
      </c>
    </row>
    <row r="5388" spans="18:21" x14ac:dyDescent="0.2">
      <c r="R5388" s="49">
        <v>5386</v>
      </c>
      <c r="S5388" s="59">
        <f ca="1">Dashboard!B$8* Dashboard!$F$4+Dashboard!B$10*SQRT(Dashboard!$F$4) * _xlfn.NORM.S.INV(RAND())</f>
        <v>6.1846436401461896E-2</v>
      </c>
      <c r="T5388" s="59">
        <f ca="1">Dashboard!C$8* Dashboard!$F$4+Dashboard!C$10*SQRT(Dashboard!$F$4) * _xlfn.NORM.S.INV(RAND())</f>
        <v>-8.058529201185502E-2</v>
      </c>
      <c r="U5388" s="59">
        <f ca="1">Dashboard!D$8* Dashboard!$F$4+Dashboard!D$10*SQRT(Dashboard!$F$4) * _xlfn.NORM.S.INV(RAND())</f>
        <v>-6.3625981159999567E-2</v>
      </c>
    </row>
    <row r="5389" spans="18:21" x14ac:dyDescent="0.2">
      <c r="R5389" s="49">
        <v>5387</v>
      </c>
      <c r="S5389" s="59">
        <f ca="1">Dashboard!B$8* Dashboard!$F$4+Dashboard!B$10*SQRT(Dashboard!$F$4) * _xlfn.NORM.S.INV(RAND())</f>
        <v>1.3115877693804212E-2</v>
      </c>
      <c r="T5389" s="59">
        <f ca="1">Dashboard!C$8* Dashboard!$F$4+Dashboard!C$10*SQRT(Dashboard!$F$4) * _xlfn.NORM.S.INV(RAND())</f>
        <v>2.0478146813206637E-2</v>
      </c>
      <c r="U5389" s="59">
        <f ca="1">Dashboard!D$8* Dashboard!$F$4+Dashboard!D$10*SQRT(Dashboard!$F$4) * _xlfn.NORM.S.INV(RAND())</f>
        <v>-2.7551833099430916E-3</v>
      </c>
    </row>
    <row r="5390" spans="18:21" x14ac:dyDescent="0.2">
      <c r="R5390" s="49">
        <v>5388</v>
      </c>
      <c r="S5390" s="59">
        <f ca="1">Dashboard!B$8* Dashboard!$F$4+Dashboard!B$10*SQRT(Dashboard!$F$4) * _xlfn.NORM.S.INV(RAND())</f>
        <v>-2.248048344832837E-2</v>
      </c>
      <c r="T5390" s="59">
        <f ca="1">Dashboard!C$8* Dashboard!$F$4+Dashboard!C$10*SQRT(Dashboard!$F$4) * _xlfn.NORM.S.INV(RAND())</f>
        <v>3.1451802397440935E-2</v>
      </c>
      <c r="U5390" s="59">
        <f ca="1">Dashboard!D$8* Dashboard!$F$4+Dashboard!D$10*SQRT(Dashboard!$F$4) * _xlfn.NORM.S.INV(RAND())</f>
        <v>2.5129618699473315E-2</v>
      </c>
    </row>
    <row r="5391" spans="18:21" x14ac:dyDescent="0.2">
      <c r="R5391" s="49">
        <v>5389</v>
      </c>
      <c r="S5391" s="59">
        <f ca="1">Dashboard!B$8* Dashboard!$F$4+Dashboard!B$10*SQRT(Dashboard!$F$4) * _xlfn.NORM.S.INV(RAND())</f>
        <v>-4.2667153662434648E-2</v>
      </c>
      <c r="T5391" s="59">
        <f ca="1">Dashboard!C$8* Dashboard!$F$4+Dashboard!C$10*SQRT(Dashboard!$F$4) * _xlfn.NORM.S.INV(RAND())</f>
        <v>-3.7006319108349124E-2</v>
      </c>
      <c r="U5391" s="59">
        <f ca="1">Dashboard!D$8* Dashboard!$F$4+Dashboard!D$10*SQRT(Dashboard!$F$4) * _xlfn.NORM.S.INV(RAND())</f>
        <v>-1.4286603562607022E-2</v>
      </c>
    </row>
    <row r="5392" spans="18:21" x14ac:dyDescent="0.2">
      <c r="R5392" s="49">
        <v>5390</v>
      </c>
      <c r="S5392" s="59">
        <f ca="1">Dashboard!B$8* Dashboard!$F$4+Dashboard!B$10*SQRT(Dashboard!$F$4) * _xlfn.NORM.S.INV(RAND())</f>
        <v>-5.2540515402787202E-2</v>
      </c>
      <c r="T5392" s="59">
        <f ca="1">Dashboard!C$8* Dashboard!$F$4+Dashboard!C$10*SQRT(Dashboard!$F$4) * _xlfn.NORM.S.INV(RAND())</f>
        <v>3.8961783124919582E-3</v>
      </c>
      <c r="U5392" s="59">
        <f ca="1">Dashboard!D$8* Dashboard!$F$4+Dashboard!D$10*SQRT(Dashboard!$F$4) * _xlfn.NORM.S.INV(RAND())</f>
        <v>-2.8660051583000102E-2</v>
      </c>
    </row>
    <row r="5393" spans="18:21" x14ac:dyDescent="0.2">
      <c r="R5393" s="49">
        <v>5391</v>
      </c>
      <c r="S5393" s="59">
        <f ca="1">Dashboard!B$8* Dashboard!$F$4+Dashboard!B$10*SQRT(Dashboard!$F$4) * _xlfn.NORM.S.INV(RAND())</f>
        <v>-4.6631413208796192E-2</v>
      </c>
      <c r="T5393" s="59">
        <f ca="1">Dashboard!C$8* Dashboard!$F$4+Dashboard!C$10*SQRT(Dashboard!$F$4) * _xlfn.NORM.S.INV(RAND())</f>
        <v>4.4725584129590636E-2</v>
      </c>
      <c r="U5393" s="59">
        <f ca="1">Dashboard!D$8* Dashboard!$F$4+Dashboard!D$10*SQRT(Dashboard!$F$4) * _xlfn.NORM.S.INV(RAND())</f>
        <v>-2.4197263980476717E-2</v>
      </c>
    </row>
    <row r="5394" spans="18:21" x14ac:dyDescent="0.2">
      <c r="R5394" s="49">
        <v>5392</v>
      </c>
      <c r="S5394" s="59">
        <f ca="1">Dashboard!B$8* Dashboard!$F$4+Dashboard!B$10*SQRT(Dashboard!$F$4) * _xlfn.NORM.S.INV(RAND())</f>
        <v>3.8961067625808671E-2</v>
      </c>
      <c r="T5394" s="59">
        <f ca="1">Dashboard!C$8* Dashboard!$F$4+Dashboard!C$10*SQRT(Dashboard!$F$4) * _xlfn.NORM.S.INV(RAND())</f>
        <v>-1.5902942697033549E-2</v>
      </c>
      <c r="U5394" s="59">
        <f ca="1">Dashboard!D$8* Dashboard!$F$4+Dashboard!D$10*SQRT(Dashboard!$F$4) * _xlfn.NORM.S.INV(RAND())</f>
        <v>-1.3602801510416708E-2</v>
      </c>
    </row>
    <row r="5395" spans="18:21" x14ac:dyDescent="0.2">
      <c r="R5395" s="49">
        <v>5393</v>
      </c>
      <c r="S5395" s="59">
        <f ca="1">Dashboard!B$8* Dashboard!$F$4+Dashboard!B$10*SQRT(Dashboard!$F$4) * _xlfn.NORM.S.INV(RAND())</f>
        <v>-5.86502899648371E-2</v>
      </c>
      <c r="T5395" s="59">
        <f ca="1">Dashboard!C$8* Dashboard!$F$4+Dashboard!C$10*SQRT(Dashboard!$F$4) * _xlfn.NORM.S.INV(RAND())</f>
        <v>3.7672195191422779E-2</v>
      </c>
      <c r="U5395" s="59">
        <f ca="1">Dashboard!D$8* Dashboard!$F$4+Dashboard!D$10*SQRT(Dashboard!$F$4) * _xlfn.NORM.S.INV(RAND())</f>
        <v>-1.8467865967867047E-2</v>
      </c>
    </row>
    <row r="5396" spans="18:21" x14ac:dyDescent="0.2">
      <c r="R5396" s="49">
        <v>5394</v>
      </c>
      <c r="S5396" s="59">
        <f ca="1">Dashboard!B$8* Dashboard!$F$4+Dashboard!B$10*SQRT(Dashboard!$F$4) * _xlfn.NORM.S.INV(RAND())</f>
        <v>-1.4331910815710178E-2</v>
      </c>
      <c r="T5396" s="59">
        <f ca="1">Dashboard!C$8* Dashboard!$F$4+Dashboard!C$10*SQRT(Dashboard!$F$4) * _xlfn.NORM.S.INV(RAND())</f>
        <v>-2.1269374883541792E-2</v>
      </c>
      <c r="U5396" s="59">
        <f ca="1">Dashboard!D$8* Dashboard!$F$4+Dashboard!D$10*SQRT(Dashboard!$F$4) * _xlfn.NORM.S.INV(RAND())</f>
        <v>3.1628813346817705E-2</v>
      </c>
    </row>
    <row r="5397" spans="18:21" x14ac:dyDescent="0.2">
      <c r="R5397" s="49">
        <v>5395</v>
      </c>
      <c r="S5397" s="59">
        <f ca="1">Dashboard!B$8* Dashboard!$F$4+Dashboard!B$10*SQRT(Dashboard!$F$4) * _xlfn.NORM.S.INV(RAND())</f>
        <v>-1.417388226850407E-2</v>
      </c>
      <c r="T5397" s="59">
        <f ca="1">Dashboard!C$8* Dashboard!$F$4+Dashboard!C$10*SQRT(Dashboard!$F$4) * _xlfn.NORM.S.INV(RAND())</f>
        <v>2.1413759547486703E-2</v>
      </c>
      <c r="U5397" s="59">
        <f ca="1">Dashboard!D$8* Dashboard!$F$4+Dashboard!D$10*SQRT(Dashboard!$F$4) * _xlfn.NORM.S.INV(RAND())</f>
        <v>-2.6624501236049019E-2</v>
      </c>
    </row>
    <row r="5398" spans="18:21" x14ac:dyDescent="0.2">
      <c r="R5398" s="49">
        <v>5396</v>
      </c>
      <c r="S5398" s="59">
        <f ca="1">Dashboard!B$8* Dashboard!$F$4+Dashboard!B$10*SQRT(Dashboard!$F$4) * _xlfn.NORM.S.INV(RAND())</f>
        <v>-4.5207465843520381E-3</v>
      </c>
      <c r="T5398" s="59">
        <f ca="1">Dashboard!C$8* Dashboard!$F$4+Dashboard!C$10*SQRT(Dashboard!$F$4) * _xlfn.NORM.S.INV(RAND())</f>
        <v>1.2296934506589134E-2</v>
      </c>
      <c r="U5398" s="59">
        <f ca="1">Dashboard!D$8* Dashboard!$F$4+Dashboard!D$10*SQRT(Dashboard!$F$4) * _xlfn.NORM.S.INV(RAND())</f>
        <v>-3.3360338883164364E-2</v>
      </c>
    </row>
    <row r="5399" spans="18:21" x14ac:dyDescent="0.2">
      <c r="R5399" s="49">
        <v>5397</v>
      </c>
      <c r="S5399" s="59">
        <f ca="1">Dashboard!B$8* Dashboard!$F$4+Dashboard!B$10*SQRT(Dashboard!$F$4) * _xlfn.NORM.S.INV(RAND())</f>
        <v>-5.2820602510704487E-2</v>
      </c>
      <c r="T5399" s="59">
        <f ca="1">Dashboard!C$8* Dashboard!$F$4+Dashboard!C$10*SQRT(Dashboard!$F$4) * _xlfn.NORM.S.INV(RAND())</f>
        <v>3.5580909686453626E-3</v>
      </c>
      <c r="U5399" s="59">
        <f ca="1">Dashboard!D$8* Dashboard!$F$4+Dashboard!D$10*SQRT(Dashboard!$F$4) * _xlfn.NORM.S.INV(RAND())</f>
        <v>-1.6745635545951154E-2</v>
      </c>
    </row>
    <row r="5400" spans="18:21" x14ac:dyDescent="0.2">
      <c r="R5400" s="49">
        <v>5398</v>
      </c>
      <c r="S5400" s="59">
        <f ca="1">Dashboard!B$8* Dashboard!$F$4+Dashboard!B$10*SQRT(Dashboard!$F$4) * _xlfn.NORM.S.INV(RAND())</f>
        <v>-3.131539382211438E-2</v>
      </c>
      <c r="T5400" s="59">
        <f ca="1">Dashboard!C$8* Dashboard!$F$4+Dashboard!C$10*SQRT(Dashboard!$F$4) * _xlfn.NORM.S.INV(RAND())</f>
        <v>1.0192959985078588E-2</v>
      </c>
      <c r="U5400" s="59">
        <f ca="1">Dashboard!D$8* Dashboard!$F$4+Dashboard!D$10*SQRT(Dashboard!$F$4) * _xlfn.NORM.S.INV(RAND())</f>
        <v>-1.6682002851089572E-2</v>
      </c>
    </row>
    <row r="5401" spans="18:21" x14ac:dyDescent="0.2">
      <c r="R5401" s="49">
        <v>5399</v>
      </c>
      <c r="S5401" s="59">
        <f ca="1">Dashboard!B$8* Dashboard!$F$4+Dashboard!B$10*SQRT(Dashboard!$F$4) * _xlfn.NORM.S.INV(RAND())</f>
        <v>-4.0335130779382222E-2</v>
      </c>
      <c r="T5401" s="59">
        <f ca="1">Dashboard!C$8* Dashboard!$F$4+Dashboard!C$10*SQRT(Dashboard!$F$4) * _xlfn.NORM.S.INV(RAND())</f>
        <v>-4.6848701218415688E-2</v>
      </c>
      <c r="U5401" s="59">
        <f ca="1">Dashboard!D$8* Dashboard!$F$4+Dashboard!D$10*SQRT(Dashboard!$F$4) * _xlfn.NORM.S.INV(RAND())</f>
        <v>3.2183240276961716E-3</v>
      </c>
    </row>
    <row r="5402" spans="18:21" x14ac:dyDescent="0.2">
      <c r="R5402" s="49">
        <v>5400</v>
      </c>
      <c r="S5402" s="59">
        <f ca="1">Dashboard!B$8* Dashboard!$F$4+Dashboard!B$10*SQRT(Dashboard!$F$4) * _xlfn.NORM.S.INV(RAND())</f>
        <v>-4.8920603272386814E-2</v>
      </c>
      <c r="T5402" s="59">
        <f ca="1">Dashboard!C$8* Dashboard!$F$4+Dashboard!C$10*SQRT(Dashboard!$F$4) * _xlfn.NORM.S.INV(RAND())</f>
        <v>2.5695121300923184E-2</v>
      </c>
      <c r="U5402" s="59">
        <f ca="1">Dashboard!D$8* Dashboard!$F$4+Dashboard!D$10*SQRT(Dashboard!$F$4) * _xlfn.NORM.S.INV(RAND())</f>
        <v>-1.1854206014753873E-2</v>
      </c>
    </row>
    <row r="5403" spans="18:21" x14ac:dyDescent="0.2">
      <c r="R5403" s="49">
        <v>5401</v>
      </c>
      <c r="S5403" s="59">
        <f ca="1">Dashboard!B$8* Dashboard!$F$4+Dashboard!B$10*SQRT(Dashboard!$F$4) * _xlfn.NORM.S.INV(RAND())</f>
        <v>-2.8447445146682029E-2</v>
      </c>
      <c r="T5403" s="59">
        <f ca="1">Dashboard!C$8* Dashboard!$F$4+Dashboard!C$10*SQRT(Dashboard!$F$4) * _xlfn.NORM.S.INV(RAND())</f>
        <v>8.7750004961016179E-3</v>
      </c>
      <c r="U5403" s="59">
        <f ca="1">Dashboard!D$8* Dashboard!$F$4+Dashboard!D$10*SQRT(Dashboard!$F$4) * _xlfn.NORM.S.INV(RAND())</f>
        <v>-8.5287549430477245E-3</v>
      </c>
    </row>
    <row r="5404" spans="18:21" x14ac:dyDescent="0.2">
      <c r="R5404" s="49">
        <v>5402</v>
      </c>
      <c r="S5404" s="59">
        <f ca="1">Dashboard!B$8* Dashboard!$F$4+Dashboard!B$10*SQRT(Dashboard!$F$4) * _xlfn.NORM.S.INV(RAND())</f>
        <v>4.3845714137241663E-2</v>
      </c>
      <c r="T5404" s="59">
        <f ca="1">Dashboard!C$8* Dashboard!$F$4+Dashboard!C$10*SQRT(Dashboard!$F$4) * _xlfn.NORM.S.INV(RAND())</f>
        <v>6.5240452729902032E-2</v>
      </c>
      <c r="U5404" s="59">
        <f ca="1">Dashboard!D$8* Dashboard!$F$4+Dashboard!D$10*SQRT(Dashboard!$F$4) * _xlfn.NORM.S.INV(RAND())</f>
        <v>-3.9368631380594541E-3</v>
      </c>
    </row>
    <row r="5405" spans="18:21" x14ac:dyDescent="0.2">
      <c r="R5405" s="49">
        <v>5403</v>
      </c>
      <c r="S5405" s="59">
        <f ca="1">Dashboard!B$8* Dashboard!$F$4+Dashboard!B$10*SQRT(Dashboard!$F$4) * _xlfn.NORM.S.INV(RAND())</f>
        <v>5.8108443972404999E-3</v>
      </c>
      <c r="T5405" s="59">
        <f ca="1">Dashboard!C$8* Dashboard!$F$4+Dashboard!C$10*SQRT(Dashboard!$F$4) * _xlfn.NORM.S.INV(RAND())</f>
        <v>2.6262196115868813E-2</v>
      </c>
      <c r="U5405" s="59">
        <f ca="1">Dashboard!D$8* Dashboard!$F$4+Dashboard!D$10*SQRT(Dashboard!$F$4) * _xlfn.NORM.S.INV(RAND())</f>
        <v>2.3874953750026257E-2</v>
      </c>
    </row>
    <row r="5406" spans="18:21" x14ac:dyDescent="0.2">
      <c r="R5406" s="49">
        <v>5404</v>
      </c>
      <c r="S5406" s="59">
        <f ca="1">Dashboard!B$8* Dashboard!$F$4+Dashboard!B$10*SQRT(Dashboard!$F$4) * _xlfn.NORM.S.INV(RAND())</f>
        <v>-4.6530856790954055E-2</v>
      </c>
      <c r="T5406" s="59">
        <f ca="1">Dashboard!C$8* Dashboard!$F$4+Dashboard!C$10*SQRT(Dashboard!$F$4) * _xlfn.NORM.S.INV(RAND())</f>
        <v>-5.670087047992896E-3</v>
      </c>
      <c r="U5406" s="59">
        <f ca="1">Dashboard!D$8* Dashboard!$F$4+Dashboard!D$10*SQRT(Dashboard!$F$4) * _xlfn.NORM.S.INV(RAND())</f>
        <v>-4.8510138322400836E-2</v>
      </c>
    </row>
    <row r="5407" spans="18:21" x14ac:dyDescent="0.2">
      <c r="R5407" s="49">
        <v>5405</v>
      </c>
      <c r="S5407" s="59">
        <f ca="1">Dashboard!B$8* Dashboard!$F$4+Dashboard!B$10*SQRT(Dashboard!$F$4) * _xlfn.NORM.S.INV(RAND())</f>
        <v>6.2492870373342391E-3</v>
      </c>
      <c r="T5407" s="59">
        <f ca="1">Dashboard!C$8* Dashboard!$F$4+Dashboard!C$10*SQRT(Dashboard!$F$4) * _xlfn.NORM.S.INV(RAND())</f>
        <v>-1.1409831595447239E-2</v>
      </c>
      <c r="U5407" s="59">
        <f ca="1">Dashboard!D$8* Dashboard!$F$4+Dashboard!D$10*SQRT(Dashboard!$F$4) * _xlfn.NORM.S.INV(RAND())</f>
        <v>-4.5811446721885363E-2</v>
      </c>
    </row>
    <row r="5408" spans="18:21" x14ac:dyDescent="0.2">
      <c r="R5408" s="49">
        <v>5406</v>
      </c>
      <c r="S5408" s="59">
        <f ca="1">Dashboard!B$8* Dashboard!$F$4+Dashboard!B$10*SQRT(Dashboard!$F$4) * _xlfn.NORM.S.INV(RAND())</f>
        <v>1.5375636964791059E-2</v>
      </c>
      <c r="T5408" s="59">
        <f ca="1">Dashboard!C$8* Dashboard!$F$4+Dashboard!C$10*SQRT(Dashboard!$F$4) * _xlfn.NORM.S.INV(RAND())</f>
        <v>3.1229816989313926E-2</v>
      </c>
      <c r="U5408" s="59">
        <f ca="1">Dashboard!D$8* Dashboard!$F$4+Dashboard!D$10*SQRT(Dashboard!$F$4) * _xlfn.NORM.S.INV(RAND())</f>
        <v>1.9241524772003776E-2</v>
      </c>
    </row>
    <row r="5409" spans="18:21" x14ac:dyDescent="0.2">
      <c r="R5409" s="49">
        <v>5407</v>
      </c>
      <c r="S5409" s="59">
        <f ca="1">Dashboard!B$8* Dashboard!$F$4+Dashboard!B$10*SQRT(Dashboard!$F$4) * _xlfn.NORM.S.INV(RAND())</f>
        <v>2.7057258306536228E-2</v>
      </c>
      <c r="T5409" s="59">
        <f ca="1">Dashboard!C$8* Dashboard!$F$4+Dashboard!C$10*SQRT(Dashboard!$F$4) * _xlfn.NORM.S.INV(RAND())</f>
        <v>5.8138703345848676E-2</v>
      </c>
      <c r="U5409" s="59">
        <f ca="1">Dashboard!D$8* Dashboard!$F$4+Dashboard!D$10*SQRT(Dashboard!$F$4) * _xlfn.NORM.S.INV(RAND())</f>
        <v>-2.4411155683811154E-2</v>
      </c>
    </row>
    <row r="5410" spans="18:21" x14ac:dyDescent="0.2">
      <c r="R5410" s="49">
        <v>5408</v>
      </c>
      <c r="S5410" s="59">
        <f ca="1">Dashboard!B$8* Dashboard!$F$4+Dashboard!B$10*SQRT(Dashboard!$F$4) * _xlfn.NORM.S.INV(RAND())</f>
        <v>1.9839760514721014E-2</v>
      </c>
      <c r="T5410" s="59">
        <f ca="1">Dashboard!C$8* Dashboard!$F$4+Dashboard!C$10*SQRT(Dashboard!$F$4) * _xlfn.NORM.S.INV(RAND())</f>
        <v>3.7417125742000124E-2</v>
      </c>
      <c r="U5410" s="59">
        <f ca="1">Dashboard!D$8* Dashboard!$F$4+Dashboard!D$10*SQRT(Dashboard!$F$4) * _xlfn.NORM.S.INV(RAND())</f>
        <v>-1.4378330839809918E-2</v>
      </c>
    </row>
    <row r="5411" spans="18:21" x14ac:dyDescent="0.2">
      <c r="R5411" s="49">
        <v>5409</v>
      </c>
      <c r="S5411" s="59">
        <f ca="1">Dashboard!B$8* Dashboard!$F$4+Dashboard!B$10*SQRT(Dashboard!$F$4) * _xlfn.NORM.S.INV(RAND())</f>
        <v>-2.4703427719018019E-2</v>
      </c>
      <c r="T5411" s="59">
        <f ca="1">Dashboard!C$8* Dashboard!$F$4+Dashboard!C$10*SQRT(Dashboard!$F$4) * _xlfn.NORM.S.INV(RAND())</f>
        <v>2.6278477625567159E-2</v>
      </c>
      <c r="U5411" s="59">
        <f ca="1">Dashboard!D$8* Dashboard!$F$4+Dashboard!D$10*SQRT(Dashboard!$F$4) * _xlfn.NORM.S.INV(RAND())</f>
        <v>-4.1621200603346988E-2</v>
      </c>
    </row>
    <row r="5412" spans="18:21" x14ac:dyDescent="0.2">
      <c r="R5412" s="49">
        <v>5410</v>
      </c>
      <c r="S5412" s="59">
        <f ca="1">Dashboard!B$8* Dashboard!$F$4+Dashboard!B$10*SQRT(Dashboard!$F$4) * _xlfn.NORM.S.INV(RAND())</f>
        <v>-4.6839529700917357E-2</v>
      </c>
      <c r="T5412" s="59">
        <f ca="1">Dashboard!C$8* Dashboard!$F$4+Dashboard!C$10*SQRT(Dashboard!$F$4) * _xlfn.NORM.S.INV(RAND())</f>
        <v>1.2436996373921944E-2</v>
      </c>
      <c r="U5412" s="59">
        <f ca="1">Dashboard!D$8* Dashboard!$F$4+Dashboard!D$10*SQRT(Dashboard!$F$4) * _xlfn.NORM.S.INV(RAND())</f>
        <v>1.3010321674348893E-2</v>
      </c>
    </row>
    <row r="5413" spans="18:21" x14ac:dyDescent="0.2">
      <c r="R5413" s="49">
        <v>5411</v>
      </c>
      <c r="S5413" s="59">
        <f ca="1">Dashboard!B$8* Dashboard!$F$4+Dashboard!B$10*SQRT(Dashboard!$F$4) * _xlfn.NORM.S.INV(RAND())</f>
        <v>5.2623571020439235E-2</v>
      </c>
      <c r="T5413" s="59">
        <f ca="1">Dashboard!C$8* Dashboard!$F$4+Dashboard!C$10*SQRT(Dashboard!$F$4) * _xlfn.NORM.S.INV(RAND())</f>
        <v>-8.1910456965466297E-2</v>
      </c>
      <c r="U5413" s="59">
        <f ca="1">Dashboard!D$8* Dashboard!$F$4+Dashboard!D$10*SQRT(Dashboard!$F$4) * _xlfn.NORM.S.INV(RAND())</f>
        <v>3.0463127358442383E-2</v>
      </c>
    </row>
    <row r="5414" spans="18:21" x14ac:dyDescent="0.2">
      <c r="R5414" s="49">
        <v>5412</v>
      </c>
      <c r="S5414" s="59">
        <f ca="1">Dashboard!B$8* Dashboard!$F$4+Dashboard!B$10*SQRT(Dashboard!$F$4) * _xlfn.NORM.S.INV(RAND())</f>
        <v>-3.4242411668998385E-2</v>
      </c>
      <c r="T5414" s="59">
        <f ca="1">Dashboard!C$8* Dashboard!$F$4+Dashboard!C$10*SQRT(Dashboard!$F$4) * _xlfn.NORM.S.INV(RAND())</f>
        <v>1.8509225117651427E-2</v>
      </c>
      <c r="U5414" s="59">
        <f ca="1">Dashboard!D$8* Dashboard!$F$4+Dashboard!D$10*SQRT(Dashboard!$F$4) * _xlfn.NORM.S.INV(RAND())</f>
        <v>-9.4463571112721034E-3</v>
      </c>
    </row>
    <row r="5415" spans="18:21" x14ac:dyDescent="0.2">
      <c r="R5415" s="49">
        <v>5413</v>
      </c>
      <c r="S5415" s="59">
        <f ca="1">Dashboard!B$8* Dashboard!$F$4+Dashboard!B$10*SQRT(Dashboard!$F$4) * _xlfn.NORM.S.INV(RAND())</f>
        <v>-2.985668483190658E-2</v>
      </c>
      <c r="T5415" s="59">
        <f ca="1">Dashboard!C$8* Dashboard!$F$4+Dashboard!C$10*SQRT(Dashboard!$F$4) * _xlfn.NORM.S.INV(RAND())</f>
        <v>3.1363904737788828E-2</v>
      </c>
      <c r="U5415" s="59">
        <f ca="1">Dashboard!D$8* Dashboard!$F$4+Dashboard!D$10*SQRT(Dashboard!$F$4) * _xlfn.NORM.S.INV(RAND())</f>
        <v>1.3656686299089549E-2</v>
      </c>
    </row>
    <row r="5416" spans="18:21" x14ac:dyDescent="0.2">
      <c r="R5416" s="49">
        <v>5414</v>
      </c>
      <c r="S5416" s="59">
        <f ca="1">Dashboard!B$8* Dashboard!$F$4+Dashboard!B$10*SQRT(Dashboard!$F$4) * _xlfn.NORM.S.INV(RAND())</f>
        <v>-2.245330602877417E-2</v>
      </c>
      <c r="T5416" s="59">
        <f ca="1">Dashboard!C$8* Dashboard!$F$4+Dashboard!C$10*SQRT(Dashboard!$F$4) * _xlfn.NORM.S.INV(RAND())</f>
        <v>7.7749097771310741E-2</v>
      </c>
      <c r="U5416" s="59">
        <f ca="1">Dashboard!D$8* Dashboard!$F$4+Dashboard!D$10*SQRT(Dashboard!$F$4) * _xlfn.NORM.S.INV(RAND())</f>
        <v>3.2472400787015548E-2</v>
      </c>
    </row>
    <row r="5417" spans="18:21" x14ac:dyDescent="0.2">
      <c r="R5417" s="49">
        <v>5415</v>
      </c>
      <c r="S5417" s="59">
        <f ca="1">Dashboard!B$8* Dashboard!$F$4+Dashboard!B$10*SQRT(Dashboard!$F$4) * _xlfn.NORM.S.INV(RAND())</f>
        <v>9.1440544919284619E-3</v>
      </c>
      <c r="T5417" s="59">
        <f ca="1">Dashboard!C$8* Dashboard!$F$4+Dashboard!C$10*SQRT(Dashboard!$F$4) * _xlfn.NORM.S.INV(RAND())</f>
        <v>5.4199310604656124E-2</v>
      </c>
      <c r="U5417" s="59">
        <f ca="1">Dashboard!D$8* Dashboard!$F$4+Dashboard!D$10*SQRT(Dashboard!$F$4) * _xlfn.NORM.S.INV(RAND())</f>
        <v>3.4117993321035191E-2</v>
      </c>
    </row>
    <row r="5418" spans="18:21" x14ac:dyDescent="0.2">
      <c r="R5418" s="49">
        <v>5416</v>
      </c>
      <c r="S5418" s="59">
        <f ca="1">Dashboard!B$8* Dashboard!$F$4+Dashboard!B$10*SQRT(Dashboard!$F$4) * _xlfn.NORM.S.INV(RAND())</f>
        <v>-2.860092401045123E-2</v>
      </c>
      <c r="T5418" s="59">
        <f ca="1">Dashboard!C$8* Dashboard!$F$4+Dashboard!C$10*SQRT(Dashboard!$F$4) * _xlfn.NORM.S.INV(RAND())</f>
        <v>1.4358927468036412E-2</v>
      </c>
      <c r="U5418" s="59">
        <f ca="1">Dashboard!D$8* Dashboard!$F$4+Dashboard!D$10*SQRT(Dashboard!$F$4) * _xlfn.NORM.S.INV(RAND())</f>
        <v>-5.0962839415551589E-2</v>
      </c>
    </row>
    <row r="5419" spans="18:21" x14ac:dyDescent="0.2">
      <c r="R5419" s="49">
        <v>5417</v>
      </c>
      <c r="S5419" s="59">
        <f ca="1">Dashboard!B$8* Dashboard!$F$4+Dashboard!B$10*SQRT(Dashboard!$F$4) * _xlfn.NORM.S.INV(RAND())</f>
        <v>-6.5999676240549712E-2</v>
      </c>
      <c r="T5419" s="59">
        <f ca="1">Dashboard!C$8* Dashboard!$F$4+Dashboard!C$10*SQRT(Dashboard!$F$4) * _xlfn.NORM.S.INV(RAND())</f>
        <v>-2.0820588019775887E-2</v>
      </c>
      <c r="U5419" s="59">
        <f ca="1">Dashboard!D$8* Dashboard!$F$4+Dashboard!D$10*SQRT(Dashboard!$F$4) * _xlfn.NORM.S.INV(RAND())</f>
        <v>2.0089342320557774E-2</v>
      </c>
    </row>
    <row r="5420" spans="18:21" x14ac:dyDescent="0.2">
      <c r="R5420" s="49">
        <v>5418</v>
      </c>
      <c r="S5420" s="59">
        <f ca="1">Dashboard!B$8* Dashboard!$F$4+Dashboard!B$10*SQRT(Dashboard!$F$4) * _xlfn.NORM.S.INV(RAND())</f>
        <v>-1.4469427716495706E-2</v>
      </c>
      <c r="T5420" s="59">
        <f ca="1">Dashboard!C$8* Dashboard!$F$4+Dashboard!C$10*SQRT(Dashboard!$F$4) * _xlfn.NORM.S.INV(RAND())</f>
        <v>4.5576298284820044E-2</v>
      </c>
      <c r="U5420" s="59">
        <f ca="1">Dashboard!D$8* Dashboard!$F$4+Dashboard!D$10*SQRT(Dashboard!$F$4) * _xlfn.NORM.S.INV(RAND())</f>
        <v>5.3935876847682314E-2</v>
      </c>
    </row>
    <row r="5421" spans="18:21" x14ac:dyDescent="0.2">
      <c r="R5421" s="49">
        <v>5419</v>
      </c>
      <c r="S5421" s="59">
        <f ca="1">Dashboard!B$8* Dashboard!$F$4+Dashboard!B$10*SQRT(Dashboard!$F$4) * _xlfn.NORM.S.INV(RAND())</f>
        <v>7.1699768600415135E-3</v>
      </c>
      <c r="T5421" s="59">
        <f ca="1">Dashboard!C$8* Dashboard!$F$4+Dashboard!C$10*SQRT(Dashboard!$F$4) * _xlfn.NORM.S.INV(RAND())</f>
        <v>3.4930158444675785E-2</v>
      </c>
      <c r="U5421" s="59">
        <f ca="1">Dashboard!D$8* Dashboard!$F$4+Dashboard!D$10*SQRT(Dashboard!$F$4) * _xlfn.NORM.S.INV(RAND())</f>
        <v>5.7838454850153265E-2</v>
      </c>
    </row>
    <row r="5422" spans="18:21" x14ac:dyDescent="0.2">
      <c r="R5422" s="49">
        <v>5420</v>
      </c>
      <c r="S5422" s="59">
        <f ca="1">Dashboard!B$8* Dashboard!$F$4+Dashboard!B$10*SQRT(Dashboard!$F$4) * _xlfn.NORM.S.INV(RAND())</f>
        <v>8.6558871701495621E-3</v>
      </c>
      <c r="T5422" s="59">
        <f ca="1">Dashboard!C$8* Dashboard!$F$4+Dashboard!C$10*SQRT(Dashboard!$F$4) * _xlfn.NORM.S.INV(RAND())</f>
        <v>-4.0941693343021562E-3</v>
      </c>
      <c r="U5422" s="59">
        <f ca="1">Dashboard!D$8* Dashboard!$F$4+Dashboard!D$10*SQRT(Dashboard!$F$4) * _xlfn.NORM.S.INV(RAND())</f>
        <v>-8.0090029672013046E-3</v>
      </c>
    </row>
    <row r="5423" spans="18:21" x14ac:dyDescent="0.2">
      <c r="R5423" s="49">
        <v>5421</v>
      </c>
      <c r="S5423" s="59">
        <f ca="1">Dashboard!B$8* Dashboard!$F$4+Dashboard!B$10*SQRT(Dashboard!$F$4) * _xlfn.NORM.S.INV(RAND())</f>
        <v>-2.9094757852596451E-2</v>
      </c>
      <c r="T5423" s="59">
        <f ca="1">Dashboard!C$8* Dashboard!$F$4+Dashboard!C$10*SQRT(Dashboard!$F$4) * _xlfn.NORM.S.INV(RAND())</f>
        <v>5.0728773901508949E-2</v>
      </c>
      <c r="U5423" s="59">
        <f ca="1">Dashboard!D$8* Dashboard!$F$4+Dashboard!D$10*SQRT(Dashboard!$F$4) * _xlfn.NORM.S.INV(RAND())</f>
        <v>3.4191263904055143E-2</v>
      </c>
    </row>
    <row r="5424" spans="18:21" x14ac:dyDescent="0.2">
      <c r="R5424" s="49">
        <v>5422</v>
      </c>
      <c r="S5424" s="59">
        <f ca="1">Dashboard!B$8* Dashboard!$F$4+Dashboard!B$10*SQRT(Dashboard!$F$4) * _xlfn.NORM.S.INV(RAND())</f>
        <v>3.8033269514089585E-2</v>
      </c>
      <c r="T5424" s="59">
        <f ca="1">Dashboard!C$8* Dashboard!$F$4+Dashboard!C$10*SQRT(Dashboard!$F$4) * _xlfn.NORM.S.INV(RAND())</f>
        <v>4.5698965206806844E-2</v>
      </c>
      <c r="U5424" s="59">
        <f ca="1">Dashboard!D$8* Dashboard!$F$4+Dashboard!D$10*SQRT(Dashboard!$F$4) * _xlfn.NORM.S.INV(RAND())</f>
        <v>-1.6060617255981798E-2</v>
      </c>
    </row>
    <row r="5425" spans="18:21" x14ac:dyDescent="0.2">
      <c r="R5425" s="49">
        <v>5423</v>
      </c>
      <c r="S5425" s="59">
        <f ca="1">Dashboard!B$8* Dashboard!$F$4+Dashboard!B$10*SQRT(Dashboard!$F$4) * _xlfn.NORM.S.INV(RAND())</f>
        <v>-1.0473725629384509E-2</v>
      </c>
      <c r="T5425" s="59">
        <f ca="1">Dashboard!C$8* Dashboard!$F$4+Dashboard!C$10*SQRT(Dashboard!$F$4) * _xlfn.NORM.S.INV(RAND())</f>
        <v>5.3642363991148459E-3</v>
      </c>
      <c r="U5425" s="59">
        <f ca="1">Dashboard!D$8* Dashboard!$F$4+Dashboard!D$10*SQRT(Dashboard!$F$4) * _xlfn.NORM.S.INV(RAND())</f>
        <v>1.6916177922198926E-2</v>
      </c>
    </row>
    <row r="5426" spans="18:21" x14ac:dyDescent="0.2">
      <c r="R5426" s="49">
        <v>5424</v>
      </c>
      <c r="S5426" s="59">
        <f ca="1">Dashboard!B$8* Dashboard!$F$4+Dashboard!B$10*SQRT(Dashboard!$F$4) * _xlfn.NORM.S.INV(RAND())</f>
        <v>-4.8963454656781895E-3</v>
      </c>
      <c r="T5426" s="59">
        <f ca="1">Dashboard!C$8* Dashboard!$F$4+Dashboard!C$10*SQRT(Dashboard!$F$4) * _xlfn.NORM.S.INV(RAND())</f>
        <v>-6.4155964032342784E-4</v>
      </c>
      <c r="U5426" s="59">
        <f ca="1">Dashboard!D$8* Dashboard!$F$4+Dashboard!D$10*SQRT(Dashboard!$F$4) * _xlfn.NORM.S.INV(RAND())</f>
        <v>-7.2526613164892147E-3</v>
      </c>
    </row>
    <row r="5427" spans="18:21" x14ac:dyDescent="0.2">
      <c r="R5427" s="49">
        <v>5425</v>
      </c>
      <c r="S5427" s="59">
        <f ca="1">Dashboard!B$8* Dashboard!$F$4+Dashboard!B$10*SQRT(Dashboard!$F$4) * _xlfn.NORM.S.INV(RAND())</f>
        <v>-8.190084508018702E-4</v>
      </c>
      <c r="T5427" s="59">
        <f ca="1">Dashboard!C$8* Dashboard!$F$4+Dashboard!C$10*SQRT(Dashboard!$F$4) * _xlfn.NORM.S.INV(RAND())</f>
        <v>-1.6992558621214994E-2</v>
      </c>
      <c r="U5427" s="59">
        <f ca="1">Dashboard!D$8* Dashboard!$F$4+Dashboard!D$10*SQRT(Dashboard!$F$4) * _xlfn.NORM.S.INV(RAND())</f>
        <v>4.3840651937412873E-3</v>
      </c>
    </row>
    <row r="5428" spans="18:21" x14ac:dyDescent="0.2">
      <c r="R5428" s="49">
        <v>5426</v>
      </c>
      <c r="S5428" s="59">
        <f ca="1">Dashboard!B$8* Dashboard!$F$4+Dashboard!B$10*SQRT(Dashboard!$F$4) * _xlfn.NORM.S.INV(RAND())</f>
        <v>5.1744033063831928E-2</v>
      </c>
      <c r="T5428" s="59">
        <f ca="1">Dashboard!C$8* Dashboard!$F$4+Dashboard!C$10*SQRT(Dashboard!$F$4) * _xlfn.NORM.S.INV(RAND())</f>
        <v>4.4735019848349804E-3</v>
      </c>
      <c r="U5428" s="59">
        <f ca="1">Dashboard!D$8* Dashboard!$F$4+Dashboard!D$10*SQRT(Dashboard!$F$4) * _xlfn.NORM.S.INV(RAND())</f>
        <v>5.2016336830572628E-2</v>
      </c>
    </row>
    <row r="5429" spans="18:21" x14ac:dyDescent="0.2">
      <c r="R5429" s="49">
        <v>5427</v>
      </c>
      <c r="S5429" s="59">
        <f ca="1">Dashboard!B$8* Dashboard!$F$4+Dashboard!B$10*SQRT(Dashboard!$F$4) * _xlfn.NORM.S.INV(RAND())</f>
        <v>1.3665090522211402E-2</v>
      </c>
      <c r="T5429" s="59">
        <f ca="1">Dashboard!C$8* Dashboard!$F$4+Dashboard!C$10*SQRT(Dashboard!$F$4) * _xlfn.NORM.S.INV(RAND())</f>
        <v>3.0353361742909039E-2</v>
      </c>
      <c r="U5429" s="59">
        <f ca="1">Dashboard!D$8* Dashboard!$F$4+Dashboard!D$10*SQRT(Dashboard!$F$4) * _xlfn.NORM.S.INV(RAND())</f>
        <v>7.9063790682144842E-3</v>
      </c>
    </row>
    <row r="5430" spans="18:21" x14ac:dyDescent="0.2">
      <c r="R5430" s="49">
        <v>5428</v>
      </c>
      <c r="S5430" s="59">
        <f ca="1">Dashboard!B$8* Dashboard!$F$4+Dashboard!B$10*SQRT(Dashboard!$F$4) * _xlfn.NORM.S.INV(RAND())</f>
        <v>-3.1635558853055405E-2</v>
      </c>
      <c r="T5430" s="59">
        <f ca="1">Dashboard!C$8* Dashboard!$F$4+Dashboard!C$10*SQRT(Dashboard!$F$4) * _xlfn.NORM.S.INV(RAND())</f>
        <v>5.9756385305119973E-2</v>
      </c>
      <c r="U5430" s="59">
        <f ca="1">Dashboard!D$8* Dashboard!$F$4+Dashboard!D$10*SQRT(Dashboard!$F$4) * _xlfn.NORM.S.INV(RAND())</f>
        <v>3.0015934749130644E-2</v>
      </c>
    </row>
    <row r="5431" spans="18:21" x14ac:dyDescent="0.2">
      <c r="R5431" s="49">
        <v>5429</v>
      </c>
      <c r="S5431" s="59">
        <f ca="1">Dashboard!B$8* Dashboard!$F$4+Dashboard!B$10*SQRT(Dashboard!$F$4) * _xlfn.NORM.S.INV(RAND())</f>
        <v>6.7971545487064949E-3</v>
      </c>
      <c r="T5431" s="59">
        <f ca="1">Dashboard!C$8* Dashboard!$F$4+Dashboard!C$10*SQRT(Dashboard!$F$4) * _xlfn.NORM.S.INV(RAND())</f>
        <v>7.2154372839703496E-2</v>
      </c>
      <c r="U5431" s="59">
        <f ca="1">Dashboard!D$8* Dashboard!$F$4+Dashboard!D$10*SQRT(Dashboard!$F$4) * _xlfn.NORM.S.INV(RAND())</f>
        <v>-2.7329302044161112E-2</v>
      </c>
    </row>
    <row r="5432" spans="18:21" x14ac:dyDescent="0.2">
      <c r="R5432" s="49">
        <v>5430</v>
      </c>
      <c r="S5432" s="59">
        <f ca="1">Dashboard!B$8* Dashboard!$F$4+Dashboard!B$10*SQRT(Dashboard!$F$4) * _xlfn.NORM.S.INV(RAND())</f>
        <v>1.9750381968422416E-2</v>
      </c>
      <c r="T5432" s="59">
        <f ca="1">Dashboard!C$8* Dashboard!$F$4+Dashboard!C$10*SQRT(Dashboard!$F$4) * _xlfn.NORM.S.INV(RAND())</f>
        <v>-1.3351484042250585E-2</v>
      </c>
      <c r="U5432" s="59">
        <f ca="1">Dashboard!D$8* Dashboard!$F$4+Dashboard!D$10*SQRT(Dashboard!$F$4) * _xlfn.NORM.S.INV(RAND())</f>
        <v>-1.2051210924751839E-2</v>
      </c>
    </row>
    <row r="5433" spans="18:21" x14ac:dyDescent="0.2">
      <c r="R5433" s="49">
        <v>5431</v>
      </c>
      <c r="S5433" s="59">
        <f ca="1">Dashboard!B$8* Dashboard!$F$4+Dashboard!B$10*SQRT(Dashboard!$F$4) * _xlfn.NORM.S.INV(RAND())</f>
        <v>7.4283853525109175E-2</v>
      </c>
      <c r="T5433" s="59">
        <f ca="1">Dashboard!C$8* Dashboard!$F$4+Dashboard!C$10*SQRT(Dashboard!$F$4) * _xlfn.NORM.S.INV(RAND())</f>
        <v>-7.1122624738641877E-3</v>
      </c>
      <c r="U5433" s="59">
        <f ca="1">Dashboard!D$8* Dashboard!$F$4+Dashboard!D$10*SQRT(Dashboard!$F$4) * _xlfn.NORM.S.INV(RAND())</f>
        <v>-1.8328971054134249E-2</v>
      </c>
    </row>
    <row r="5434" spans="18:21" x14ac:dyDescent="0.2">
      <c r="R5434" s="49">
        <v>5432</v>
      </c>
      <c r="S5434" s="59">
        <f ca="1">Dashboard!B$8* Dashboard!$F$4+Dashboard!B$10*SQRT(Dashboard!$F$4) * _xlfn.NORM.S.INV(RAND())</f>
        <v>-1.3780222923450139E-2</v>
      </c>
      <c r="T5434" s="59">
        <f ca="1">Dashboard!C$8* Dashboard!$F$4+Dashboard!C$10*SQRT(Dashboard!$F$4) * _xlfn.NORM.S.INV(RAND())</f>
        <v>1.4546353385508488E-2</v>
      </c>
      <c r="U5434" s="59">
        <f ca="1">Dashboard!D$8* Dashboard!$F$4+Dashboard!D$10*SQRT(Dashboard!$F$4) * _xlfn.NORM.S.INV(RAND())</f>
        <v>-1.3592084250650128E-2</v>
      </c>
    </row>
    <row r="5435" spans="18:21" x14ac:dyDescent="0.2">
      <c r="R5435" s="49">
        <v>5433</v>
      </c>
      <c r="S5435" s="59">
        <f ca="1">Dashboard!B$8* Dashboard!$F$4+Dashboard!B$10*SQRT(Dashboard!$F$4) * _xlfn.NORM.S.INV(RAND())</f>
        <v>3.7485018522499171E-2</v>
      </c>
      <c r="T5435" s="59">
        <f ca="1">Dashboard!C$8* Dashboard!$F$4+Dashboard!C$10*SQRT(Dashboard!$F$4) * _xlfn.NORM.S.INV(RAND())</f>
        <v>1.1099843909086481E-2</v>
      </c>
      <c r="U5435" s="59">
        <f ca="1">Dashboard!D$8* Dashboard!$F$4+Dashboard!D$10*SQRT(Dashboard!$F$4) * _xlfn.NORM.S.INV(RAND())</f>
        <v>-4.9617756239008562E-3</v>
      </c>
    </row>
    <row r="5436" spans="18:21" x14ac:dyDescent="0.2">
      <c r="R5436" s="49">
        <v>5434</v>
      </c>
      <c r="S5436" s="59">
        <f ca="1">Dashboard!B$8* Dashboard!$F$4+Dashboard!B$10*SQRT(Dashboard!$F$4) * _xlfn.NORM.S.INV(RAND())</f>
        <v>-9.9585274495463047E-3</v>
      </c>
      <c r="T5436" s="59">
        <f ca="1">Dashboard!C$8* Dashboard!$F$4+Dashboard!C$10*SQRT(Dashboard!$F$4) * _xlfn.NORM.S.INV(RAND())</f>
        <v>3.5843406367769018E-2</v>
      </c>
      <c r="U5436" s="59">
        <f ca="1">Dashboard!D$8* Dashboard!$F$4+Dashboard!D$10*SQRT(Dashboard!$F$4) * _xlfn.NORM.S.INV(RAND())</f>
        <v>-1.642850115090062E-2</v>
      </c>
    </row>
    <row r="5437" spans="18:21" x14ac:dyDescent="0.2">
      <c r="R5437" s="49">
        <v>5435</v>
      </c>
      <c r="S5437" s="59">
        <f ca="1">Dashboard!B$8* Dashboard!$F$4+Dashboard!B$10*SQRT(Dashboard!$F$4) * _xlfn.NORM.S.INV(RAND())</f>
        <v>-3.9040900433120494E-2</v>
      </c>
      <c r="T5437" s="59">
        <f ca="1">Dashboard!C$8* Dashboard!$F$4+Dashboard!C$10*SQRT(Dashboard!$F$4) * _xlfn.NORM.S.INV(RAND())</f>
        <v>2.6535051095427982E-2</v>
      </c>
      <c r="U5437" s="59">
        <f ca="1">Dashboard!D$8* Dashboard!$F$4+Dashboard!D$10*SQRT(Dashboard!$F$4) * _xlfn.NORM.S.INV(RAND())</f>
        <v>1.1506348546514823E-2</v>
      </c>
    </row>
    <row r="5438" spans="18:21" x14ac:dyDescent="0.2">
      <c r="R5438" s="49">
        <v>5436</v>
      </c>
      <c r="S5438" s="59">
        <f ca="1">Dashboard!B$8* Dashboard!$F$4+Dashboard!B$10*SQRT(Dashboard!$F$4) * _xlfn.NORM.S.INV(RAND())</f>
        <v>8.4126909620781433E-3</v>
      </c>
      <c r="T5438" s="59">
        <f ca="1">Dashboard!C$8* Dashboard!$F$4+Dashboard!C$10*SQRT(Dashboard!$F$4) * _xlfn.NORM.S.INV(RAND())</f>
        <v>4.0403452331592843E-2</v>
      </c>
      <c r="U5438" s="59">
        <f ca="1">Dashboard!D$8* Dashboard!$F$4+Dashboard!D$10*SQRT(Dashboard!$F$4) * _xlfn.NORM.S.INV(RAND())</f>
        <v>6.5654328514256496E-2</v>
      </c>
    </row>
    <row r="5439" spans="18:21" x14ac:dyDescent="0.2">
      <c r="R5439" s="49">
        <v>5437</v>
      </c>
      <c r="S5439" s="59">
        <f ca="1">Dashboard!B$8* Dashboard!$F$4+Dashboard!B$10*SQRT(Dashboard!$F$4) * _xlfn.NORM.S.INV(RAND())</f>
        <v>1.5851561360021617E-2</v>
      </c>
      <c r="T5439" s="59">
        <f ca="1">Dashboard!C$8* Dashboard!$F$4+Dashboard!C$10*SQRT(Dashboard!$F$4) * _xlfn.NORM.S.INV(RAND())</f>
        <v>2.2253612127680976E-2</v>
      </c>
      <c r="U5439" s="59">
        <f ca="1">Dashboard!D$8* Dashboard!$F$4+Dashboard!D$10*SQRT(Dashboard!$F$4) * _xlfn.NORM.S.INV(RAND())</f>
        <v>-4.3346068220386169E-2</v>
      </c>
    </row>
    <row r="5440" spans="18:21" x14ac:dyDescent="0.2">
      <c r="R5440" s="49">
        <v>5438</v>
      </c>
      <c r="S5440" s="59">
        <f ca="1">Dashboard!B$8* Dashboard!$F$4+Dashboard!B$10*SQRT(Dashboard!$F$4) * _xlfn.NORM.S.INV(RAND())</f>
        <v>-4.6133902782744901E-2</v>
      </c>
      <c r="T5440" s="59">
        <f ca="1">Dashboard!C$8* Dashboard!$F$4+Dashboard!C$10*SQRT(Dashboard!$F$4) * _xlfn.NORM.S.INV(RAND())</f>
        <v>1.4379555116859143E-2</v>
      </c>
      <c r="U5440" s="59">
        <f ca="1">Dashboard!D$8* Dashboard!$F$4+Dashboard!D$10*SQRT(Dashboard!$F$4) * _xlfn.NORM.S.INV(RAND())</f>
        <v>6.1822106925485135E-2</v>
      </c>
    </row>
    <row r="5441" spans="18:21" x14ac:dyDescent="0.2">
      <c r="R5441" s="49">
        <v>5439</v>
      </c>
      <c r="S5441" s="59">
        <f ca="1">Dashboard!B$8* Dashboard!$F$4+Dashboard!B$10*SQRT(Dashboard!$F$4) * _xlfn.NORM.S.INV(RAND())</f>
        <v>-7.6604747084748404E-2</v>
      </c>
      <c r="T5441" s="59">
        <f ca="1">Dashboard!C$8* Dashboard!$F$4+Dashboard!C$10*SQRT(Dashboard!$F$4) * _xlfn.NORM.S.INV(RAND())</f>
        <v>1.2033556485689443E-3</v>
      </c>
      <c r="U5441" s="59">
        <f ca="1">Dashboard!D$8* Dashboard!$F$4+Dashboard!D$10*SQRT(Dashboard!$F$4) * _xlfn.NORM.S.INV(RAND())</f>
        <v>-3.4946899372453613E-2</v>
      </c>
    </row>
    <row r="5442" spans="18:21" x14ac:dyDescent="0.2">
      <c r="R5442" s="49">
        <v>5440</v>
      </c>
      <c r="S5442" s="59">
        <f ca="1">Dashboard!B$8* Dashboard!$F$4+Dashboard!B$10*SQRT(Dashboard!$F$4) * _xlfn.NORM.S.INV(RAND())</f>
        <v>-2.0207656148461671E-2</v>
      </c>
      <c r="T5442" s="59">
        <f ca="1">Dashboard!C$8* Dashboard!$F$4+Dashboard!C$10*SQRT(Dashboard!$F$4) * _xlfn.NORM.S.INV(RAND())</f>
        <v>-7.9692801688404716E-3</v>
      </c>
      <c r="U5442" s="59">
        <f ca="1">Dashboard!D$8* Dashboard!$F$4+Dashboard!D$10*SQRT(Dashboard!$F$4) * _xlfn.NORM.S.INV(RAND())</f>
        <v>2.3666056680851141E-2</v>
      </c>
    </row>
    <row r="5443" spans="18:21" x14ac:dyDescent="0.2">
      <c r="R5443" s="49">
        <v>5441</v>
      </c>
      <c r="S5443" s="59">
        <f ca="1">Dashboard!B$8* Dashboard!$F$4+Dashboard!B$10*SQRT(Dashboard!$F$4) * _xlfn.NORM.S.INV(RAND())</f>
        <v>2.1919030748761295E-2</v>
      </c>
      <c r="T5443" s="59">
        <f ca="1">Dashboard!C$8* Dashboard!$F$4+Dashboard!C$10*SQRT(Dashboard!$F$4) * _xlfn.NORM.S.INV(RAND())</f>
        <v>1.3160111459676785E-2</v>
      </c>
      <c r="U5443" s="59">
        <f ca="1">Dashboard!D$8* Dashboard!$F$4+Dashboard!D$10*SQRT(Dashboard!$F$4) * _xlfn.NORM.S.INV(RAND())</f>
        <v>-5.6173889431255734E-3</v>
      </c>
    </row>
    <row r="5444" spans="18:21" x14ac:dyDescent="0.2">
      <c r="R5444" s="49">
        <v>5442</v>
      </c>
      <c r="S5444" s="59">
        <f ca="1">Dashboard!B$8* Dashboard!$F$4+Dashboard!B$10*SQRT(Dashboard!$F$4) * _xlfn.NORM.S.INV(RAND())</f>
        <v>7.901078893922675E-2</v>
      </c>
      <c r="T5444" s="59">
        <f ca="1">Dashboard!C$8* Dashboard!$F$4+Dashboard!C$10*SQRT(Dashboard!$F$4) * _xlfn.NORM.S.INV(RAND())</f>
        <v>-8.1397746997525638E-3</v>
      </c>
      <c r="U5444" s="59">
        <f ca="1">Dashboard!D$8* Dashboard!$F$4+Dashboard!D$10*SQRT(Dashboard!$F$4) * _xlfn.NORM.S.INV(RAND())</f>
        <v>2.2662090612103634E-2</v>
      </c>
    </row>
    <row r="5445" spans="18:21" x14ac:dyDescent="0.2">
      <c r="R5445" s="49">
        <v>5443</v>
      </c>
      <c r="S5445" s="59">
        <f ca="1">Dashboard!B$8* Dashboard!$F$4+Dashboard!B$10*SQRT(Dashboard!$F$4) * _xlfn.NORM.S.INV(RAND())</f>
        <v>-1.8829690499820056E-2</v>
      </c>
      <c r="T5445" s="59">
        <f ca="1">Dashboard!C$8* Dashboard!$F$4+Dashboard!C$10*SQRT(Dashboard!$F$4) * _xlfn.NORM.S.INV(RAND())</f>
        <v>-4.4025102794029762E-2</v>
      </c>
      <c r="U5445" s="59">
        <f ca="1">Dashboard!D$8* Dashboard!$F$4+Dashboard!D$10*SQRT(Dashboard!$F$4) * _xlfn.NORM.S.INV(RAND())</f>
        <v>5.2495442020189291E-2</v>
      </c>
    </row>
    <row r="5446" spans="18:21" x14ac:dyDescent="0.2">
      <c r="R5446" s="49">
        <v>5444</v>
      </c>
      <c r="S5446" s="59">
        <f ca="1">Dashboard!B$8* Dashboard!$F$4+Dashboard!B$10*SQRT(Dashboard!$F$4) * _xlfn.NORM.S.INV(RAND())</f>
        <v>-2.4561498383126996E-2</v>
      </c>
      <c r="T5446" s="59">
        <f ca="1">Dashboard!C$8* Dashboard!$F$4+Dashboard!C$10*SQRT(Dashboard!$F$4) * _xlfn.NORM.S.INV(RAND())</f>
        <v>-5.2931683621666031E-4</v>
      </c>
      <c r="U5446" s="59">
        <f ca="1">Dashboard!D$8* Dashboard!$F$4+Dashboard!D$10*SQRT(Dashboard!$F$4) * _xlfn.NORM.S.INV(RAND())</f>
        <v>-2.2303739737333104E-2</v>
      </c>
    </row>
    <row r="5447" spans="18:21" x14ac:dyDescent="0.2">
      <c r="R5447" s="49">
        <v>5445</v>
      </c>
      <c r="S5447" s="59">
        <f ca="1">Dashboard!B$8* Dashboard!$F$4+Dashboard!B$10*SQRT(Dashboard!$F$4) * _xlfn.NORM.S.INV(RAND())</f>
        <v>-1.3390402653414735E-2</v>
      </c>
      <c r="T5447" s="59">
        <f ca="1">Dashboard!C$8* Dashboard!$F$4+Dashboard!C$10*SQRT(Dashboard!$F$4) * _xlfn.NORM.S.INV(RAND())</f>
        <v>3.6165488308108888E-2</v>
      </c>
      <c r="U5447" s="59">
        <f ca="1">Dashboard!D$8* Dashboard!$F$4+Dashboard!D$10*SQRT(Dashboard!$F$4) * _xlfn.NORM.S.INV(RAND())</f>
        <v>1.2270988568536385E-2</v>
      </c>
    </row>
    <row r="5448" spans="18:21" x14ac:dyDescent="0.2">
      <c r="R5448" s="49">
        <v>5446</v>
      </c>
      <c r="S5448" s="59">
        <f ca="1">Dashboard!B$8* Dashboard!$F$4+Dashboard!B$10*SQRT(Dashboard!$F$4) * _xlfn.NORM.S.INV(RAND())</f>
        <v>-4.4887968273676665E-2</v>
      </c>
      <c r="T5448" s="59">
        <f ca="1">Dashboard!C$8* Dashboard!$F$4+Dashboard!C$10*SQRT(Dashboard!$F$4) * _xlfn.NORM.S.INV(RAND())</f>
        <v>5.4571655304734906E-3</v>
      </c>
      <c r="U5448" s="59">
        <f ca="1">Dashboard!D$8* Dashboard!$F$4+Dashboard!D$10*SQRT(Dashboard!$F$4) * _xlfn.NORM.S.INV(RAND())</f>
        <v>3.611317770357338E-3</v>
      </c>
    </row>
    <row r="5449" spans="18:21" x14ac:dyDescent="0.2">
      <c r="R5449" s="49">
        <v>5447</v>
      </c>
      <c r="S5449" s="59">
        <f ca="1">Dashboard!B$8* Dashboard!$F$4+Dashboard!B$10*SQRT(Dashboard!$F$4) * _xlfn.NORM.S.INV(RAND())</f>
        <v>2.9230227680010299E-3</v>
      </c>
      <c r="T5449" s="59">
        <f ca="1">Dashboard!C$8* Dashboard!$F$4+Dashboard!C$10*SQRT(Dashboard!$F$4) * _xlfn.NORM.S.INV(RAND())</f>
        <v>-2.8537156660949189E-2</v>
      </c>
      <c r="U5449" s="59">
        <f ca="1">Dashboard!D$8* Dashboard!$F$4+Dashboard!D$10*SQRT(Dashboard!$F$4) * _xlfn.NORM.S.INV(RAND())</f>
        <v>-9.1159402472838266E-3</v>
      </c>
    </row>
    <row r="5450" spans="18:21" x14ac:dyDescent="0.2">
      <c r="R5450" s="49">
        <v>5448</v>
      </c>
      <c r="S5450" s="59">
        <f ca="1">Dashboard!B$8* Dashboard!$F$4+Dashboard!B$10*SQRT(Dashboard!$F$4) * _xlfn.NORM.S.INV(RAND())</f>
        <v>2.3449374100917658E-2</v>
      </c>
      <c r="T5450" s="59">
        <f ca="1">Dashboard!C$8* Dashboard!$F$4+Dashboard!C$10*SQRT(Dashboard!$F$4) * _xlfn.NORM.S.INV(RAND())</f>
        <v>-4.6466868854156559E-2</v>
      </c>
      <c r="U5450" s="59">
        <f ca="1">Dashboard!D$8* Dashboard!$F$4+Dashboard!D$10*SQRT(Dashboard!$F$4) * _xlfn.NORM.S.INV(RAND())</f>
        <v>-6.198526401657526E-2</v>
      </c>
    </row>
    <row r="5451" spans="18:21" x14ac:dyDescent="0.2">
      <c r="R5451" s="49">
        <v>5449</v>
      </c>
      <c r="S5451" s="59">
        <f ca="1">Dashboard!B$8* Dashboard!$F$4+Dashboard!B$10*SQRT(Dashboard!$F$4) * _xlfn.NORM.S.INV(RAND())</f>
        <v>3.7918589466690744E-2</v>
      </c>
      <c r="T5451" s="59">
        <f ca="1">Dashboard!C$8* Dashboard!$F$4+Dashboard!C$10*SQRT(Dashboard!$F$4) * _xlfn.NORM.S.INV(RAND())</f>
        <v>5.9229258422993356E-2</v>
      </c>
      <c r="U5451" s="59">
        <f ca="1">Dashboard!D$8* Dashboard!$F$4+Dashboard!D$10*SQRT(Dashboard!$F$4) * _xlfn.NORM.S.INV(RAND())</f>
        <v>-5.7109171310176761E-3</v>
      </c>
    </row>
    <row r="5452" spans="18:21" x14ac:dyDescent="0.2">
      <c r="R5452" s="49">
        <v>5450</v>
      </c>
      <c r="S5452" s="59">
        <f ca="1">Dashboard!B$8* Dashboard!$F$4+Dashboard!B$10*SQRT(Dashboard!$F$4) * _xlfn.NORM.S.INV(RAND())</f>
        <v>-1.1363988955126166E-3</v>
      </c>
      <c r="T5452" s="59">
        <f ca="1">Dashboard!C$8* Dashboard!$F$4+Dashboard!C$10*SQRT(Dashboard!$F$4) * _xlfn.NORM.S.INV(RAND())</f>
        <v>5.5363242506827483E-2</v>
      </c>
      <c r="U5452" s="59">
        <f ca="1">Dashboard!D$8* Dashboard!$F$4+Dashboard!D$10*SQRT(Dashboard!$F$4) * _xlfn.NORM.S.INV(RAND())</f>
        <v>-3.0626615342531825E-2</v>
      </c>
    </row>
    <row r="5453" spans="18:21" x14ac:dyDescent="0.2">
      <c r="R5453" s="49">
        <v>5451</v>
      </c>
      <c r="S5453" s="59">
        <f ca="1">Dashboard!B$8* Dashboard!$F$4+Dashboard!B$10*SQRT(Dashboard!$F$4) * _xlfn.NORM.S.INV(RAND())</f>
        <v>2.7595385020174341E-2</v>
      </c>
      <c r="T5453" s="59">
        <f ca="1">Dashboard!C$8* Dashboard!$F$4+Dashboard!C$10*SQRT(Dashboard!$F$4) * _xlfn.NORM.S.INV(RAND())</f>
        <v>-1.1822486503262116E-3</v>
      </c>
      <c r="U5453" s="59">
        <f ca="1">Dashboard!D$8* Dashboard!$F$4+Dashboard!D$10*SQRT(Dashboard!$F$4) * _xlfn.NORM.S.INV(RAND())</f>
        <v>-2.4409467456031606E-2</v>
      </c>
    </row>
    <row r="5454" spans="18:21" x14ac:dyDescent="0.2">
      <c r="R5454" s="49">
        <v>5452</v>
      </c>
      <c r="S5454" s="59">
        <f ca="1">Dashboard!B$8* Dashboard!$F$4+Dashboard!B$10*SQRT(Dashboard!$F$4) * _xlfn.NORM.S.INV(RAND())</f>
        <v>-2.2282137019258699E-2</v>
      </c>
      <c r="T5454" s="59">
        <f ca="1">Dashboard!C$8* Dashboard!$F$4+Dashboard!C$10*SQRT(Dashboard!$F$4) * _xlfn.NORM.S.INV(RAND())</f>
        <v>-1.4814768463191654E-2</v>
      </c>
      <c r="U5454" s="59">
        <f ca="1">Dashboard!D$8* Dashboard!$F$4+Dashboard!D$10*SQRT(Dashboard!$F$4) * _xlfn.NORM.S.INV(RAND())</f>
        <v>1.6441329347933704E-2</v>
      </c>
    </row>
    <row r="5455" spans="18:21" x14ac:dyDescent="0.2">
      <c r="R5455" s="49">
        <v>5453</v>
      </c>
      <c r="S5455" s="59">
        <f ca="1">Dashboard!B$8* Dashboard!$F$4+Dashboard!B$10*SQRT(Dashboard!$F$4) * _xlfn.NORM.S.INV(RAND())</f>
        <v>4.1087975580327819E-2</v>
      </c>
      <c r="T5455" s="59">
        <f ca="1">Dashboard!C$8* Dashboard!$F$4+Dashboard!C$10*SQRT(Dashboard!$F$4) * _xlfn.NORM.S.INV(RAND())</f>
        <v>-8.9160873608010831E-3</v>
      </c>
      <c r="U5455" s="59">
        <f ca="1">Dashboard!D$8* Dashboard!$F$4+Dashboard!D$10*SQRT(Dashboard!$F$4) * _xlfn.NORM.S.INV(RAND())</f>
        <v>2.9167932766632199E-2</v>
      </c>
    </row>
    <row r="5456" spans="18:21" x14ac:dyDescent="0.2">
      <c r="R5456" s="49">
        <v>5454</v>
      </c>
      <c r="S5456" s="59">
        <f ca="1">Dashboard!B$8* Dashboard!$F$4+Dashboard!B$10*SQRT(Dashboard!$F$4) * _xlfn.NORM.S.INV(RAND())</f>
        <v>-7.1110771247010433E-3</v>
      </c>
      <c r="T5456" s="59">
        <f ca="1">Dashboard!C$8* Dashboard!$F$4+Dashboard!C$10*SQRT(Dashboard!$F$4) * _xlfn.NORM.S.INV(RAND())</f>
        <v>-2.0477334593529278E-2</v>
      </c>
      <c r="U5456" s="59">
        <f ca="1">Dashboard!D$8* Dashboard!$F$4+Dashboard!D$10*SQRT(Dashboard!$F$4) * _xlfn.NORM.S.INV(RAND())</f>
        <v>-1.7078400263119551E-2</v>
      </c>
    </row>
    <row r="5457" spans="18:21" x14ac:dyDescent="0.2">
      <c r="R5457" s="49">
        <v>5455</v>
      </c>
      <c r="S5457" s="59">
        <f ca="1">Dashboard!B$8* Dashboard!$F$4+Dashboard!B$10*SQRT(Dashboard!$F$4) * _xlfn.NORM.S.INV(RAND())</f>
        <v>-2.8746390391419019E-2</v>
      </c>
      <c r="T5457" s="59">
        <f ca="1">Dashboard!C$8* Dashboard!$F$4+Dashboard!C$10*SQRT(Dashboard!$F$4) * _xlfn.NORM.S.INV(RAND())</f>
        <v>-4.1349082816106823E-2</v>
      </c>
      <c r="U5457" s="59">
        <f ca="1">Dashboard!D$8* Dashboard!$F$4+Dashboard!D$10*SQRT(Dashboard!$F$4) * _xlfn.NORM.S.INV(RAND())</f>
        <v>3.3246133958797254E-2</v>
      </c>
    </row>
    <row r="5458" spans="18:21" x14ac:dyDescent="0.2">
      <c r="R5458" s="49">
        <v>5456</v>
      </c>
      <c r="S5458" s="59">
        <f ca="1">Dashboard!B$8* Dashboard!$F$4+Dashboard!B$10*SQRT(Dashboard!$F$4) * _xlfn.NORM.S.INV(RAND())</f>
        <v>-8.0376072216121735E-3</v>
      </c>
      <c r="T5458" s="59">
        <f ca="1">Dashboard!C$8* Dashboard!$F$4+Dashboard!C$10*SQRT(Dashboard!$F$4) * _xlfn.NORM.S.INV(RAND())</f>
        <v>-6.4233568318624451E-2</v>
      </c>
      <c r="U5458" s="59">
        <f ca="1">Dashboard!D$8* Dashboard!$F$4+Dashboard!D$10*SQRT(Dashboard!$F$4) * _xlfn.NORM.S.INV(RAND())</f>
        <v>2.7308956435899555E-2</v>
      </c>
    </row>
    <row r="5459" spans="18:21" x14ac:dyDescent="0.2">
      <c r="R5459" s="49">
        <v>5457</v>
      </c>
      <c r="S5459" s="59">
        <f ca="1">Dashboard!B$8* Dashboard!$F$4+Dashboard!B$10*SQRT(Dashboard!$F$4) * _xlfn.NORM.S.INV(RAND())</f>
        <v>4.2461711354364377E-2</v>
      </c>
      <c r="T5459" s="59">
        <f ca="1">Dashboard!C$8* Dashboard!$F$4+Dashboard!C$10*SQRT(Dashboard!$F$4) * _xlfn.NORM.S.INV(RAND())</f>
        <v>5.0195112930279378E-4</v>
      </c>
      <c r="U5459" s="59">
        <f ca="1">Dashboard!D$8* Dashboard!$F$4+Dashboard!D$10*SQRT(Dashboard!$F$4) * _xlfn.NORM.S.INV(RAND())</f>
        <v>9.2796538456573985E-2</v>
      </c>
    </row>
    <row r="5460" spans="18:21" x14ac:dyDescent="0.2">
      <c r="R5460" s="49">
        <v>5458</v>
      </c>
      <c r="S5460" s="59">
        <f ca="1">Dashboard!B$8* Dashboard!$F$4+Dashboard!B$10*SQRT(Dashboard!$F$4) * _xlfn.NORM.S.INV(RAND())</f>
        <v>-1.0366494206613617E-2</v>
      </c>
      <c r="T5460" s="59">
        <f ca="1">Dashboard!C$8* Dashboard!$F$4+Dashboard!C$10*SQRT(Dashboard!$F$4) * _xlfn.NORM.S.INV(RAND())</f>
        <v>3.6750662193744496E-2</v>
      </c>
      <c r="U5460" s="59">
        <f ca="1">Dashboard!D$8* Dashboard!$F$4+Dashboard!D$10*SQRT(Dashboard!$F$4) * _xlfn.NORM.S.INV(RAND())</f>
        <v>1.8934465429359248E-3</v>
      </c>
    </row>
    <row r="5461" spans="18:21" x14ac:dyDescent="0.2">
      <c r="R5461" s="49">
        <v>5459</v>
      </c>
      <c r="S5461" s="59">
        <f ca="1">Dashboard!B$8* Dashboard!$F$4+Dashboard!B$10*SQRT(Dashboard!$F$4) * _xlfn.NORM.S.INV(RAND())</f>
        <v>2.1480920172829217E-2</v>
      </c>
      <c r="T5461" s="59">
        <f ca="1">Dashboard!C$8* Dashboard!$F$4+Dashboard!C$10*SQRT(Dashboard!$F$4) * _xlfn.NORM.S.INV(RAND())</f>
        <v>1.5879494299540536E-2</v>
      </c>
      <c r="U5461" s="59">
        <f ca="1">Dashboard!D$8* Dashboard!$F$4+Dashboard!D$10*SQRT(Dashboard!$F$4) * _xlfn.NORM.S.INV(RAND())</f>
        <v>1.2076855021142271E-2</v>
      </c>
    </row>
    <row r="5462" spans="18:21" x14ac:dyDescent="0.2">
      <c r="R5462" s="49">
        <v>5460</v>
      </c>
      <c r="S5462" s="59">
        <f ca="1">Dashboard!B$8* Dashboard!$F$4+Dashboard!B$10*SQRT(Dashboard!$F$4) * _xlfn.NORM.S.INV(RAND())</f>
        <v>-6.5517676547845058E-2</v>
      </c>
      <c r="T5462" s="59">
        <f ca="1">Dashboard!C$8* Dashboard!$F$4+Dashboard!C$10*SQRT(Dashboard!$F$4) * _xlfn.NORM.S.INV(RAND())</f>
        <v>2.8177648024361561E-2</v>
      </c>
      <c r="U5462" s="59">
        <f ca="1">Dashboard!D$8* Dashboard!$F$4+Dashboard!D$10*SQRT(Dashboard!$F$4) * _xlfn.NORM.S.INV(RAND())</f>
        <v>3.5461217639863235E-2</v>
      </c>
    </row>
    <row r="5463" spans="18:21" x14ac:dyDescent="0.2">
      <c r="R5463" s="49">
        <v>5461</v>
      </c>
      <c r="S5463" s="59">
        <f ca="1">Dashboard!B$8* Dashboard!$F$4+Dashboard!B$10*SQRT(Dashboard!$F$4) * _xlfn.NORM.S.INV(RAND())</f>
        <v>-1.2459428713178601E-2</v>
      </c>
      <c r="T5463" s="59">
        <f ca="1">Dashboard!C$8* Dashboard!$F$4+Dashboard!C$10*SQRT(Dashboard!$F$4) * _xlfn.NORM.S.INV(RAND())</f>
        <v>-1.3980664135669747E-2</v>
      </c>
      <c r="U5463" s="59">
        <f ca="1">Dashboard!D$8* Dashboard!$F$4+Dashboard!D$10*SQRT(Dashboard!$F$4) * _xlfn.NORM.S.INV(RAND())</f>
        <v>1.4564448645518022E-2</v>
      </c>
    </row>
    <row r="5464" spans="18:21" x14ac:dyDescent="0.2">
      <c r="R5464" s="49">
        <v>5462</v>
      </c>
      <c r="S5464" s="59">
        <f ca="1">Dashboard!B$8* Dashboard!$F$4+Dashboard!B$10*SQRT(Dashboard!$F$4) * _xlfn.NORM.S.INV(RAND())</f>
        <v>-4.9176074799428197E-2</v>
      </c>
      <c r="T5464" s="59">
        <f ca="1">Dashboard!C$8* Dashboard!$F$4+Dashboard!C$10*SQRT(Dashboard!$F$4) * _xlfn.NORM.S.INV(RAND())</f>
        <v>1.7662246857388778E-2</v>
      </c>
      <c r="U5464" s="59">
        <f ca="1">Dashboard!D$8* Dashboard!$F$4+Dashboard!D$10*SQRT(Dashboard!$F$4) * _xlfn.NORM.S.INV(RAND())</f>
        <v>7.8472959151730207E-2</v>
      </c>
    </row>
    <row r="5465" spans="18:21" x14ac:dyDescent="0.2">
      <c r="R5465" s="49">
        <v>5463</v>
      </c>
      <c r="S5465" s="59">
        <f ca="1">Dashboard!B$8* Dashboard!$F$4+Dashboard!B$10*SQRT(Dashboard!$F$4) * _xlfn.NORM.S.INV(RAND())</f>
        <v>-1.1277974030990397E-2</v>
      </c>
      <c r="T5465" s="59">
        <f ca="1">Dashboard!C$8* Dashboard!$F$4+Dashboard!C$10*SQRT(Dashboard!$F$4) * _xlfn.NORM.S.INV(RAND())</f>
        <v>-3.6825674219608195E-2</v>
      </c>
      <c r="U5465" s="59">
        <f ca="1">Dashboard!D$8* Dashboard!$F$4+Dashboard!D$10*SQRT(Dashboard!$F$4) * _xlfn.NORM.S.INV(RAND())</f>
        <v>1.2221428637070656E-2</v>
      </c>
    </row>
    <row r="5466" spans="18:21" x14ac:dyDescent="0.2">
      <c r="R5466" s="49">
        <v>5464</v>
      </c>
      <c r="S5466" s="59">
        <f ca="1">Dashboard!B$8* Dashboard!$F$4+Dashboard!B$10*SQRT(Dashboard!$F$4) * _xlfn.NORM.S.INV(RAND())</f>
        <v>-1.7359111639472652E-2</v>
      </c>
      <c r="T5466" s="59">
        <f ca="1">Dashboard!C$8* Dashboard!$F$4+Dashboard!C$10*SQRT(Dashboard!$F$4) * _xlfn.NORM.S.INV(RAND())</f>
        <v>1.411296901979049E-3</v>
      </c>
      <c r="U5466" s="59">
        <f ca="1">Dashboard!D$8* Dashboard!$F$4+Dashboard!D$10*SQRT(Dashboard!$F$4) * _xlfn.NORM.S.INV(RAND())</f>
        <v>-6.6528253748512466E-3</v>
      </c>
    </row>
    <row r="5467" spans="18:21" x14ac:dyDescent="0.2">
      <c r="R5467" s="49">
        <v>5465</v>
      </c>
      <c r="S5467" s="59">
        <f ca="1">Dashboard!B$8* Dashboard!$F$4+Dashboard!B$10*SQRT(Dashboard!$F$4) * _xlfn.NORM.S.INV(RAND())</f>
        <v>-5.2958787939088606E-2</v>
      </c>
      <c r="T5467" s="59">
        <f ca="1">Dashboard!C$8* Dashboard!$F$4+Dashboard!C$10*SQRT(Dashboard!$F$4) * _xlfn.NORM.S.INV(RAND())</f>
        <v>-4.1568604978112253E-2</v>
      </c>
      <c r="U5467" s="59">
        <f ca="1">Dashboard!D$8* Dashboard!$F$4+Dashboard!D$10*SQRT(Dashboard!$F$4) * _xlfn.NORM.S.INV(RAND())</f>
        <v>3.317725991729948E-2</v>
      </c>
    </row>
    <row r="5468" spans="18:21" x14ac:dyDescent="0.2">
      <c r="R5468" s="49">
        <v>5466</v>
      </c>
      <c r="S5468" s="59">
        <f ca="1">Dashboard!B$8* Dashboard!$F$4+Dashboard!B$10*SQRT(Dashboard!$F$4) * _xlfn.NORM.S.INV(RAND())</f>
        <v>-1.3280872972160164E-2</v>
      </c>
      <c r="T5468" s="59">
        <f ca="1">Dashboard!C$8* Dashboard!$F$4+Dashboard!C$10*SQRT(Dashboard!$F$4) * _xlfn.NORM.S.INV(RAND())</f>
        <v>-4.1611999695115122E-2</v>
      </c>
      <c r="U5468" s="59">
        <f ca="1">Dashboard!D$8* Dashboard!$F$4+Dashboard!D$10*SQRT(Dashboard!$F$4) * _xlfn.NORM.S.INV(RAND())</f>
        <v>-9.1789842634104387E-3</v>
      </c>
    </row>
    <row r="5469" spans="18:21" x14ac:dyDescent="0.2">
      <c r="R5469" s="49">
        <v>5467</v>
      </c>
      <c r="S5469" s="59">
        <f ca="1">Dashboard!B$8* Dashboard!$F$4+Dashboard!B$10*SQRT(Dashboard!$F$4) * _xlfn.NORM.S.INV(RAND())</f>
        <v>6.4794005855541015E-4</v>
      </c>
      <c r="T5469" s="59">
        <f ca="1">Dashboard!C$8* Dashboard!$F$4+Dashboard!C$10*SQRT(Dashboard!$F$4) * _xlfn.NORM.S.INV(RAND())</f>
        <v>-3.4302123698933845E-2</v>
      </c>
      <c r="U5469" s="59">
        <f ca="1">Dashboard!D$8* Dashboard!$F$4+Dashboard!D$10*SQRT(Dashboard!$F$4) * _xlfn.NORM.S.INV(RAND())</f>
        <v>8.1123451287571507E-3</v>
      </c>
    </row>
    <row r="5470" spans="18:21" x14ac:dyDescent="0.2">
      <c r="R5470" s="49">
        <v>5468</v>
      </c>
      <c r="S5470" s="59">
        <f ca="1">Dashboard!B$8* Dashboard!$F$4+Dashboard!B$10*SQRT(Dashboard!$F$4) * _xlfn.NORM.S.INV(RAND())</f>
        <v>3.2138291878954707E-2</v>
      </c>
      <c r="T5470" s="59">
        <f ca="1">Dashboard!C$8* Dashboard!$F$4+Dashboard!C$10*SQRT(Dashboard!$F$4) * _xlfn.NORM.S.INV(RAND())</f>
        <v>-3.3678879889326087E-2</v>
      </c>
      <c r="U5470" s="59">
        <f ca="1">Dashboard!D$8* Dashboard!$F$4+Dashboard!D$10*SQRT(Dashboard!$F$4) * _xlfn.NORM.S.INV(RAND())</f>
        <v>-4.7098314596636291E-2</v>
      </c>
    </row>
    <row r="5471" spans="18:21" x14ac:dyDescent="0.2">
      <c r="R5471" s="49">
        <v>5469</v>
      </c>
      <c r="S5471" s="59">
        <f ca="1">Dashboard!B$8* Dashboard!$F$4+Dashboard!B$10*SQRT(Dashboard!$F$4) * _xlfn.NORM.S.INV(RAND())</f>
        <v>-3.5540718990347171E-2</v>
      </c>
      <c r="T5471" s="59">
        <f ca="1">Dashboard!C$8* Dashboard!$F$4+Dashboard!C$10*SQRT(Dashboard!$F$4) * _xlfn.NORM.S.INV(RAND())</f>
        <v>1.9769306675433748E-2</v>
      </c>
      <c r="U5471" s="59">
        <f ca="1">Dashboard!D$8* Dashboard!$F$4+Dashboard!D$10*SQRT(Dashboard!$F$4) * _xlfn.NORM.S.INV(RAND())</f>
        <v>-8.0751466501982946E-3</v>
      </c>
    </row>
    <row r="5472" spans="18:21" x14ac:dyDescent="0.2">
      <c r="R5472" s="49">
        <v>5470</v>
      </c>
      <c r="S5472" s="59">
        <f ca="1">Dashboard!B$8* Dashboard!$F$4+Dashboard!B$10*SQRT(Dashboard!$F$4) * _xlfn.NORM.S.INV(RAND())</f>
        <v>4.0550896324612264E-2</v>
      </c>
      <c r="T5472" s="59">
        <f ca="1">Dashboard!C$8* Dashboard!$F$4+Dashboard!C$10*SQRT(Dashboard!$F$4) * _xlfn.NORM.S.INV(RAND())</f>
        <v>-1.5426625241801876E-2</v>
      </c>
      <c r="U5472" s="59">
        <f ca="1">Dashboard!D$8* Dashboard!$F$4+Dashboard!D$10*SQRT(Dashboard!$F$4) * _xlfn.NORM.S.INV(RAND())</f>
        <v>3.2145932835280729E-2</v>
      </c>
    </row>
    <row r="5473" spans="18:21" x14ac:dyDescent="0.2">
      <c r="R5473" s="49">
        <v>5471</v>
      </c>
      <c r="S5473" s="59">
        <f ca="1">Dashboard!B$8* Dashboard!$F$4+Dashboard!B$10*SQRT(Dashboard!$F$4) * _xlfn.NORM.S.INV(RAND())</f>
        <v>3.6530897284075756E-2</v>
      </c>
      <c r="T5473" s="59">
        <f ca="1">Dashboard!C$8* Dashboard!$F$4+Dashboard!C$10*SQRT(Dashboard!$F$4) * _xlfn.NORM.S.INV(RAND())</f>
        <v>-2.1595657500353322E-2</v>
      </c>
      <c r="U5473" s="59">
        <f ca="1">Dashboard!D$8* Dashboard!$F$4+Dashboard!D$10*SQRT(Dashboard!$F$4) * _xlfn.NORM.S.INV(RAND())</f>
        <v>6.5846078610000674E-3</v>
      </c>
    </row>
    <row r="5474" spans="18:21" x14ac:dyDescent="0.2">
      <c r="R5474" s="49">
        <v>5472</v>
      </c>
      <c r="S5474" s="59">
        <f ca="1">Dashboard!B$8* Dashboard!$F$4+Dashboard!B$10*SQRT(Dashboard!$F$4) * _xlfn.NORM.S.INV(RAND())</f>
        <v>-4.2795087257123582E-2</v>
      </c>
      <c r="T5474" s="59">
        <f ca="1">Dashboard!C$8* Dashboard!$F$4+Dashboard!C$10*SQRT(Dashboard!$F$4) * _xlfn.NORM.S.INV(RAND())</f>
        <v>-1.2853650034925092E-2</v>
      </c>
      <c r="U5474" s="59">
        <f ca="1">Dashboard!D$8* Dashboard!$F$4+Dashboard!D$10*SQRT(Dashboard!$F$4) * _xlfn.NORM.S.INV(RAND())</f>
        <v>-3.0621533200698634E-2</v>
      </c>
    </row>
    <row r="5475" spans="18:21" x14ac:dyDescent="0.2">
      <c r="R5475" s="49">
        <v>5473</v>
      </c>
      <c r="S5475" s="59">
        <f ca="1">Dashboard!B$8* Dashboard!$F$4+Dashboard!B$10*SQRT(Dashboard!$F$4) * _xlfn.NORM.S.INV(RAND())</f>
        <v>-3.6365018585331459E-3</v>
      </c>
      <c r="T5475" s="59">
        <f ca="1">Dashboard!C$8* Dashboard!$F$4+Dashboard!C$10*SQRT(Dashboard!$F$4) * _xlfn.NORM.S.INV(RAND())</f>
        <v>1.1050515841415176E-2</v>
      </c>
      <c r="U5475" s="59">
        <f ca="1">Dashboard!D$8* Dashboard!$F$4+Dashboard!D$10*SQRT(Dashboard!$F$4) * _xlfn.NORM.S.INV(RAND())</f>
        <v>1.6170710227497966E-2</v>
      </c>
    </row>
    <row r="5476" spans="18:21" x14ac:dyDescent="0.2">
      <c r="R5476" s="49">
        <v>5474</v>
      </c>
      <c r="S5476" s="59">
        <f ca="1">Dashboard!B$8* Dashboard!$F$4+Dashboard!B$10*SQRT(Dashboard!$F$4) * _xlfn.NORM.S.INV(RAND())</f>
        <v>-7.4275923087037912E-2</v>
      </c>
      <c r="T5476" s="59">
        <f ca="1">Dashboard!C$8* Dashboard!$F$4+Dashboard!C$10*SQRT(Dashboard!$F$4) * _xlfn.NORM.S.INV(RAND())</f>
        <v>2.8940169172045463E-2</v>
      </c>
      <c r="U5476" s="59">
        <f ca="1">Dashboard!D$8* Dashboard!$F$4+Dashboard!D$10*SQRT(Dashboard!$F$4) * _xlfn.NORM.S.INV(RAND())</f>
        <v>-1.8486526447651395E-2</v>
      </c>
    </row>
    <row r="5477" spans="18:21" x14ac:dyDescent="0.2">
      <c r="R5477" s="49">
        <v>5475</v>
      </c>
      <c r="S5477" s="59">
        <f ca="1">Dashboard!B$8* Dashboard!$F$4+Dashboard!B$10*SQRT(Dashboard!$F$4) * _xlfn.NORM.S.INV(RAND())</f>
        <v>9.6503637307758777E-3</v>
      </c>
      <c r="T5477" s="59">
        <f ca="1">Dashboard!C$8* Dashboard!$F$4+Dashboard!C$10*SQRT(Dashboard!$F$4) * _xlfn.NORM.S.INV(RAND())</f>
        <v>-2.1258056222895842E-2</v>
      </c>
      <c r="U5477" s="59">
        <f ca="1">Dashboard!D$8* Dashboard!$F$4+Dashboard!D$10*SQRT(Dashboard!$F$4) * _xlfn.NORM.S.INV(RAND())</f>
        <v>2.2284060761936963E-2</v>
      </c>
    </row>
    <row r="5478" spans="18:21" x14ac:dyDescent="0.2">
      <c r="R5478" s="49">
        <v>5476</v>
      </c>
      <c r="S5478" s="59">
        <f ca="1">Dashboard!B$8* Dashboard!$F$4+Dashboard!B$10*SQRT(Dashboard!$F$4) * _xlfn.NORM.S.INV(RAND())</f>
        <v>-1.7671285030550189E-2</v>
      </c>
      <c r="T5478" s="59">
        <f ca="1">Dashboard!C$8* Dashboard!$F$4+Dashboard!C$10*SQRT(Dashboard!$F$4) * _xlfn.NORM.S.INV(RAND())</f>
        <v>6.3923881517969752E-2</v>
      </c>
      <c r="U5478" s="59">
        <f ca="1">Dashboard!D$8* Dashboard!$F$4+Dashboard!D$10*SQRT(Dashboard!$F$4) * _xlfn.NORM.S.INV(RAND())</f>
        <v>1.0082756127260711E-2</v>
      </c>
    </row>
    <row r="5479" spans="18:21" x14ac:dyDescent="0.2">
      <c r="R5479" s="49">
        <v>5477</v>
      </c>
      <c r="S5479" s="59">
        <f ca="1">Dashboard!B$8* Dashboard!$F$4+Dashboard!B$10*SQRT(Dashboard!$F$4) * _xlfn.NORM.S.INV(RAND())</f>
        <v>-5.634676497071691E-3</v>
      </c>
      <c r="T5479" s="59">
        <f ca="1">Dashboard!C$8* Dashboard!$F$4+Dashboard!C$10*SQRT(Dashboard!$F$4) * _xlfn.NORM.S.INV(RAND())</f>
        <v>-3.1327768710553107E-3</v>
      </c>
      <c r="U5479" s="59">
        <f ca="1">Dashboard!D$8* Dashboard!$F$4+Dashboard!D$10*SQRT(Dashboard!$F$4) * _xlfn.NORM.S.INV(RAND())</f>
        <v>3.8028093187358732E-2</v>
      </c>
    </row>
    <row r="5480" spans="18:21" x14ac:dyDescent="0.2">
      <c r="R5480" s="49">
        <v>5478</v>
      </c>
      <c r="S5480" s="59">
        <f ca="1">Dashboard!B$8* Dashboard!$F$4+Dashboard!B$10*SQRT(Dashboard!$F$4) * _xlfn.NORM.S.INV(RAND())</f>
        <v>1.1054772331588764E-2</v>
      </c>
      <c r="T5480" s="59">
        <f ca="1">Dashboard!C$8* Dashboard!$F$4+Dashboard!C$10*SQRT(Dashboard!$F$4) * _xlfn.NORM.S.INV(RAND())</f>
        <v>3.1544062920186973E-2</v>
      </c>
      <c r="U5480" s="59">
        <f ca="1">Dashboard!D$8* Dashboard!$F$4+Dashboard!D$10*SQRT(Dashboard!$F$4) * _xlfn.NORM.S.INV(RAND())</f>
        <v>4.1958732926612813E-2</v>
      </c>
    </row>
    <row r="5481" spans="18:21" x14ac:dyDescent="0.2">
      <c r="R5481" s="49">
        <v>5479</v>
      </c>
      <c r="S5481" s="59">
        <f ca="1">Dashboard!B$8* Dashboard!$F$4+Dashboard!B$10*SQRT(Dashboard!$F$4) * _xlfn.NORM.S.INV(RAND())</f>
        <v>4.044571245196641E-3</v>
      </c>
      <c r="T5481" s="59">
        <f ca="1">Dashboard!C$8* Dashboard!$F$4+Dashboard!C$10*SQRT(Dashboard!$F$4) * _xlfn.NORM.S.INV(RAND())</f>
        <v>4.5673585569289028E-2</v>
      </c>
      <c r="U5481" s="59">
        <f ca="1">Dashboard!D$8* Dashboard!$F$4+Dashboard!D$10*SQRT(Dashboard!$F$4) * _xlfn.NORM.S.INV(RAND())</f>
        <v>-3.5918080213732358E-3</v>
      </c>
    </row>
    <row r="5482" spans="18:21" x14ac:dyDescent="0.2">
      <c r="R5482" s="49">
        <v>5480</v>
      </c>
      <c r="S5482" s="59">
        <f ca="1">Dashboard!B$8* Dashboard!$F$4+Dashboard!B$10*SQRT(Dashboard!$F$4) * _xlfn.NORM.S.INV(RAND())</f>
        <v>-1.5565140332514358E-2</v>
      </c>
      <c r="T5482" s="59">
        <f ca="1">Dashboard!C$8* Dashboard!$F$4+Dashboard!C$10*SQRT(Dashboard!$F$4) * _xlfn.NORM.S.INV(RAND())</f>
        <v>3.1996030353166366E-2</v>
      </c>
      <c r="U5482" s="59">
        <f ca="1">Dashboard!D$8* Dashboard!$F$4+Dashboard!D$10*SQRT(Dashboard!$F$4) * _xlfn.NORM.S.INV(RAND())</f>
        <v>1.9817868978519202E-2</v>
      </c>
    </row>
    <row r="5483" spans="18:21" x14ac:dyDescent="0.2">
      <c r="R5483" s="49">
        <v>5481</v>
      </c>
      <c r="S5483" s="59">
        <f ca="1">Dashboard!B$8* Dashboard!$F$4+Dashboard!B$10*SQRT(Dashboard!$F$4) * _xlfn.NORM.S.INV(RAND())</f>
        <v>-9.6200359610858002E-3</v>
      </c>
      <c r="T5483" s="59">
        <f ca="1">Dashboard!C$8* Dashboard!$F$4+Dashboard!C$10*SQRT(Dashboard!$F$4) * _xlfn.NORM.S.INV(RAND())</f>
        <v>2.0134394175196361E-2</v>
      </c>
      <c r="U5483" s="59">
        <f ca="1">Dashboard!D$8* Dashboard!$F$4+Dashboard!D$10*SQRT(Dashboard!$F$4) * _xlfn.NORM.S.INV(RAND())</f>
        <v>-4.8812984325298389E-2</v>
      </c>
    </row>
    <row r="5484" spans="18:21" x14ac:dyDescent="0.2">
      <c r="R5484" s="49">
        <v>5482</v>
      </c>
      <c r="S5484" s="59">
        <f ca="1">Dashboard!B$8* Dashboard!$F$4+Dashboard!B$10*SQRT(Dashboard!$F$4) * _xlfn.NORM.S.INV(RAND())</f>
        <v>2.6382086552594844E-2</v>
      </c>
      <c r="T5484" s="59">
        <f ca="1">Dashboard!C$8* Dashboard!$F$4+Dashboard!C$10*SQRT(Dashboard!$F$4) * _xlfn.NORM.S.INV(RAND())</f>
        <v>2.2668748464320085E-2</v>
      </c>
      <c r="U5484" s="59">
        <f ca="1">Dashboard!D$8* Dashboard!$F$4+Dashboard!D$10*SQRT(Dashboard!$F$4) * _xlfn.NORM.S.INV(RAND())</f>
        <v>1.7339422622644263E-2</v>
      </c>
    </row>
    <row r="5485" spans="18:21" x14ac:dyDescent="0.2">
      <c r="R5485" s="49">
        <v>5483</v>
      </c>
      <c r="S5485" s="59">
        <f ca="1">Dashboard!B$8* Dashboard!$F$4+Dashboard!B$10*SQRT(Dashboard!$F$4) * _xlfn.NORM.S.INV(RAND())</f>
        <v>-1.2099848555651846E-3</v>
      </c>
      <c r="T5485" s="59">
        <f ca="1">Dashboard!C$8* Dashboard!$F$4+Dashboard!C$10*SQRT(Dashboard!$F$4) * _xlfn.NORM.S.INV(RAND())</f>
        <v>-2.0170104468701645E-2</v>
      </c>
      <c r="U5485" s="59">
        <f ca="1">Dashboard!D$8* Dashboard!$F$4+Dashboard!D$10*SQRT(Dashboard!$F$4) * _xlfn.NORM.S.INV(RAND())</f>
        <v>4.1614784883296355E-2</v>
      </c>
    </row>
    <row r="5486" spans="18:21" x14ac:dyDescent="0.2">
      <c r="R5486" s="49">
        <v>5484</v>
      </c>
      <c r="S5486" s="59">
        <f ca="1">Dashboard!B$8* Dashboard!$F$4+Dashboard!B$10*SQRT(Dashboard!$F$4) * _xlfn.NORM.S.INV(RAND())</f>
        <v>-1.083373741885575E-2</v>
      </c>
      <c r="T5486" s="59">
        <f ca="1">Dashboard!C$8* Dashboard!$F$4+Dashboard!C$10*SQRT(Dashboard!$F$4) * _xlfn.NORM.S.INV(RAND())</f>
        <v>5.5563024523468368E-2</v>
      </c>
      <c r="U5486" s="59">
        <f ca="1">Dashboard!D$8* Dashboard!$F$4+Dashboard!D$10*SQRT(Dashboard!$F$4) * _xlfn.NORM.S.INV(RAND())</f>
        <v>5.8501296032220311E-2</v>
      </c>
    </row>
    <row r="5487" spans="18:21" x14ac:dyDescent="0.2">
      <c r="R5487" s="49">
        <v>5485</v>
      </c>
      <c r="S5487" s="59">
        <f ca="1">Dashboard!B$8* Dashboard!$F$4+Dashboard!B$10*SQRT(Dashboard!$F$4) * _xlfn.NORM.S.INV(RAND())</f>
        <v>7.5935590764898229E-3</v>
      </c>
      <c r="T5487" s="59">
        <f ca="1">Dashboard!C$8* Dashboard!$F$4+Dashboard!C$10*SQRT(Dashboard!$F$4) * _xlfn.NORM.S.INV(RAND())</f>
        <v>-4.0273506038008465E-2</v>
      </c>
      <c r="U5487" s="59">
        <f ca="1">Dashboard!D$8* Dashboard!$F$4+Dashboard!D$10*SQRT(Dashboard!$F$4) * _xlfn.NORM.S.INV(RAND())</f>
        <v>-1.240894969043921E-2</v>
      </c>
    </row>
    <row r="5488" spans="18:21" x14ac:dyDescent="0.2">
      <c r="R5488" s="49">
        <v>5486</v>
      </c>
      <c r="S5488" s="59">
        <f ca="1">Dashboard!B$8* Dashboard!$F$4+Dashboard!B$10*SQRT(Dashboard!$F$4) * _xlfn.NORM.S.INV(RAND())</f>
        <v>3.0104258327841318E-2</v>
      </c>
      <c r="T5488" s="59">
        <f ca="1">Dashboard!C$8* Dashboard!$F$4+Dashboard!C$10*SQRT(Dashboard!$F$4) * _xlfn.NORM.S.INV(RAND())</f>
        <v>-1.9008468766970509E-2</v>
      </c>
      <c r="U5488" s="59">
        <f ca="1">Dashboard!D$8* Dashboard!$F$4+Dashboard!D$10*SQRT(Dashboard!$F$4) * _xlfn.NORM.S.INV(RAND())</f>
        <v>4.8779433229020189E-2</v>
      </c>
    </row>
    <row r="5489" spans="18:21" x14ac:dyDescent="0.2">
      <c r="R5489" s="49">
        <v>5487</v>
      </c>
      <c r="S5489" s="59">
        <f ca="1">Dashboard!B$8* Dashboard!$F$4+Dashboard!B$10*SQRT(Dashboard!$F$4) * _xlfn.NORM.S.INV(RAND())</f>
        <v>-2.5110369568919925E-2</v>
      </c>
      <c r="T5489" s="59">
        <f ca="1">Dashboard!C$8* Dashboard!$F$4+Dashboard!C$10*SQRT(Dashboard!$F$4) * _xlfn.NORM.S.INV(RAND())</f>
        <v>2.2638111600099434E-3</v>
      </c>
      <c r="U5489" s="59">
        <f ca="1">Dashboard!D$8* Dashboard!$F$4+Dashboard!D$10*SQRT(Dashboard!$F$4) * _xlfn.NORM.S.INV(RAND())</f>
        <v>8.2233041721852147E-3</v>
      </c>
    </row>
    <row r="5490" spans="18:21" x14ac:dyDescent="0.2">
      <c r="R5490" s="49">
        <v>5488</v>
      </c>
      <c r="S5490" s="59">
        <f ca="1">Dashboard!B$8* Dashboard!$F$4+Dashboard!B$10*SQRT(Dashboard!$F$4) * _xlfn.NORM.S.INV(RAND())</f>
        <v>-3.7825808331165681E-2</v>
      </c>
      <c r="T5490" s="59">
        <f ca="1">Dashboard!C$8* Dashboard!$F$4+Dashboard!C$10*SQRT(Dashboard!$F$4) * _xlfn.NORM.S.INV(RAND())</f>
        <v>3.1197159475721489E-2</v>
      </c>
      <c r="U5490" s="59">
        <f ca="1">Dashboard!D$8* Dashboard!$F$4+Dashboard!D$10*SQRT(Dashboard!$F$4) * _xlfn.NORM.S.INV(RAND())</f>
        <v>1.5367336885870423E-2</v>
      </c>
    </row>
    <row r="5491" spans="18:21" x14ac:dyDescent="0.2">
      <c r="R5491" s="49">
        <v>5489</v>
      </c>
      <c r="S5491" s="59">
        <f ca="1">Dashboard!B$8* Dashboard!$F$4+Dashboard!B$10*SQRT(Dashboard!$F$4) * _xlfn.NORM.S.INV(RAND())</f>
        <v>3.986460375070236E-2</v>
      </c>
      <c r="T5491" s="59">
        <f ca="1">Dashboard!C$8* Dashboard!$F$4+Dashboard!C$10*SQRT(Dashboard!$F$4) * _xlfn.NORM.S.INV(RAND())</f>
        <v>1.0647429424774715E-3</v>
      </c>
      <c r="U5491" s="59">
        <f ca="1">Dashboard!D$8* Dashboard!$F$4+Dashboard!D$10*SQRT(Dashboard!$F$4) * _xlfn.NORM.S.INV(RAND())</f>
        <v>-4.8917277421492524E-2</v>
      </c>
    </row>
    <row r="5492" spans="18:21" x14ac:dyDescent="0.2">
      <c r="R5492" s="49">
        <v>5490</v>
      </c>
      <c r="S5492" s="59">
        <f ca="1">Dashboard!B$8* Dashboard!$F$4+Dashboard!B$10*SQRT(Dashboard!$F$4) * _xlfn.NORM.S.INV(RAND())</f>
        <v>1.1039185066378607E-2</v>
      </c>
      <c r="T5492" s="59">
        <f ca="1">Dashboard!C$8* Dashboard!$F$4+Dashboard!C$10*SQRT(Dashboard!$F$4) * _xlfn.NORM.S.INV(RAND())</f>
        <v>-1.8046710800813846E-2</v>
      </c>
      <c r="U5492" s="59">
        <f ca="1">Dashboard!D$8* Dashboard!$F$4+Dashboard!D$10*SQRT(Dashboard!$F$4) * _xlfn.NORM.S.INV(RAND())</f>
        <v>1.2092876113883736E-2</v>
      </c>
    </row>
    <row r="5493" spans="18:21" x14ac:dyDescent="0.2">
      <c r="R5493" s="49">
        <v>5491</v>
      </c>
      <c r="S5493" s="59">
        <f ca="1">Dashboard!B$8* Dashboard!$F$4+Dashboard!B$10*SQRT(Dashboard!$F$4) * _xlfn.NORM.S.INV(RAND())</f>
        <v>-8.0835245809796341E-3</v>
      </c>
      <c r="T5493" s="59">
        <f ca="1">Dashboard!C$8* Dashboard!$F$4+Dashboard!C$10*SQRT(Dashboard!$F$4) * _xlfn.NORM.S.INV(RAND())</f>
        <v>-1.3983897726880124E-2</v>
      </c>
      <c r="U5493" s="59">
        <f ca="1">Dashboard!D$8* Dashboard!$F$4+Dashboard!D$10*SQRT(Dashboard!$F$4) * _xlfn.NORM.S.INV(RAND())</f>
        <v>6.4244202288963196E-3</v>
      </c>
    </row>
    <row r="5494" spans="18:21" x14ac:dyDescent="0.2">
      <c r="R5494" s="49">
        <v>5492</v>
      </c>
      <c r="S5494" s="59">
        <f ca="1">Dashboard!B$8* Dashboard!$F$4+Dashboard!B$10*SQRT(Dashboard!$F$4) * _xlfn.NORM.S.INV(RAND())</f>
        <v>3.3102304159029781E-2</v>
      </c>
      <c r="T5494" s="59">
        <f ca="1">Dashboard!C$8* Dashboard!$F$4+Dashboard!C$10*SQRT(Dashboard!$F$4) * _xlfn.NORM.S.INV(RAND())</f>
        <v>-1.4571139734056437E-2</v>
      </c>
      <c r="U5494" s="59">
        <f ca="1">Dashboard!D$8* Dashboard!$F$4+Dashboard!D$10*SQRT(Dashboard!$F$4) * _xlfn.NORM.S.INV(RAND())</f>
        <v>2.2962969435684412E-2</v>
      </c>
    </row>
    <row r="5495" spans="18:21" x14ac:dyDescent="0.2">
      <c r="R5495" s="49">
        <v>5493</v>
      </c>
      <c r="S5495" s="59">
        <f ca="1">Dashboard!B$8* Dashboard!$F$4+Dashboard!B$10*SQRT(Dashboard!$F$4) * _xlfn.NORM.S.INV(RAND())</f>
        <v>-6.3705309324135007E-3</v>
      </c>
      <c r="T5495" s="59">
        <f ca="1">Dashboard!C$8* Dashboard!$F$4+Dashboard!C$10*SQRT(Dashboard!$F$4) * _xlfn.NORM.S.INV(RAND())</f>
        <v>0.11884509952050734</v>
      </c>
      <c r="U5495" s="59">
        <f ca="1">Dashboard!D$8* Dashboard!$F$4+Dashboard!D$10*SQRT(Dashboard!$F$4) * _xlfn.NORM.S.INV(RAND())</f>
        <v>4.5028056874663124E-2</v>
      </c>
    </row>
    <row r="5496" spans="18:21" x14ac:dyDescent="0.2">
      <c r="R5496" s="49">
        <v>5494</v>
      </c>
      <c r="S5496" s="59">
        <f ca="1">Dashboard!B$8* Dashboard!$F$4+Dashboard!B$10*SQRT(Dashboard!$F$4) * _xlfn.NORM.S.INV(RAND())</f>
        <v>4.1171949997853369E-2</v>
      </c>
      <c r="T5496" s="59">
        <f ca="1">Dashboard!C$8* Dashboard!$F$4+Dashboard!C$10*SQRT(Dashboard!$F$4) * _xlfn.NORM.S.INV(RAND())</f>
        <v>-1.1659033244184897E-2</v>
      </c>
      <c r="U5496" s="59">
        <f ca="1">Dashboard!D$8* Dashboard!$F$4+Dashboard!D$10*SQRT(Dashboard!$F$4) * _xlfn.NORM.S.INV(RAND())</f>
        <v>-3.4888071186455136E-2</v>
      </c>
    </row>
    <row r="5497" spans="18:21" x14ac:dyDescent="0.2">
      <c r="R5497" s="49">
        <v>5495</v>
      </c>
      <c r="S5497" s="59">
        <f ca="1">Dashboard!B$8* Dashboard!$F$4+Dashboard!B$10*SQRT(Dashboard!$F$4) * _xlfn.NORM.S.INV(RAND())</f>
        <v>-4.7358159134672999E-2</v>
      </c>
      <c r="T5497" s="59">
        <f ca="1">Dashboard!C$8* Dashboard!$F$4+Dashboard!C$10*SQRT(Dashboard!$F$4) * _xlfn.NORM.S.INV(RAND())</f>
        <v>1.635030606844869E-2</v>
      </c>
      <c r="U5497" s="59">
        <f ca="1">Dashboard!D$8* Dashboard!$F$4+Dashboard!D$10*SQRT(Dashboard!$F$4) * _xlfn.NORM.S.INV(RAND())</f>
        <v>-1.5821331295300434E-2</v>
      </c>
    </row>
    <row r="5498" spans="18:21" x14ac:dyDescent="0.2">
      <c r="R5498" s="49">
        <v>5496</v>
      </c>
      <c r="S5498" s="59">
        <f ca="1">Dashboard!B$8* Dashboard!$F$4+Dashboard!B$10*SQRT(Dashboard!$F$4) * _xlfn.NORM.S.INV(RAND())</f>
        <v>-4.3428693624859419E-2</v>
      </c>
      <c r="T5498" s="59">
        <f ca="1">Dashboard!C$8* Dashboard!$F$4+Dashboard!C$10*SQRT(Dashboard!$F$4) * _xlfn.NORM.S.INV(RAND())</f>
        <v>9.7475145678495613E-3</v>
      </c>
      <c r="U5498" s="59">
        <f ca="1">Dashboard!D$8* Dashboard!$F$4+Dashboard!D$10*SQRT(Dashboard!$F$4) * _xlfn.NORM.S.INV(RAND())</f>
        <v>-1.0296637439158025E-2</v>
      </c>
    </row>
    <row r="5499" spans="18:21" x14ac:dyDescent="0.2">
      <c r="R5499" s="49">
        <v>5497</v>
      </c>
      <c r="S5499" s="59">
        <f ca="1">Dashboard!B$8* Dashboard!$F$4+Dashboard!B$10*SQRT(Dashboard!$F$4) * _xlfn.NORM.S.INV(RAND())</f>
        <v>2.7358435787715671E-2</v>
      </c>
      <c r="T5499" s="59">
        <f ca="1">Dashboard!C$8* Dashboard!$F$4+Dashboard!C$10*SQRT(Dashboard!$F$4) * _xlfn.NORM.S.INV(RAND())</f>
        <v>2.7669193056992485E-2</v>
      </c>
      <c r="U5499" s="59">
        <f ca="1">Dashboard!D$8* Dashboard!$F$4+Dashboard!D$10*SQRT(Dashboard!$F$4) * _xlfn.NORM.S.INV(RAND())</f>
        <v>-4.8529086318139722E-2</v>
      </c>
    </row>
    <row r="5500" spans="18:21" x14ac:dyDescent="0.2">
      <c r="R5500" s="49">
        <v>5498</v>
      </c>
      <c r="S5500" s="59">
        <f ca="1">Dashboard!B$8* Dashboard!$F$4+Dashboard!B$10*SQRT(Dashboard!$F$4) * _xlfn.NORM.S.INV(RAND())</f>
        <v>2.7476147467499282E-2</v>
      </c>
      <c r="T5500" s="59">
        <f ca="1">Dashboard!C$8* Dashboard!$F$4+Dashboard!C$10*SQRT(Dashboard!$F$4) * _xlfn.NORM.S.INV(RAND())</f>
        <v>-1.8838513375276908E-2</v>
      </c>
      <c r="U5500" s="59">
        <f ca="1">Dashboard!D$8* Dashboard!$F$4+Dashboard!D$10*SQRT(Dashboard!$F$4) * _xlfn.NORM.S.INV(RAND())</f>
        <v>-3.2516396484603121E-3</v>
      </c>
    </row>
    <row r="5501" spans="18:21" x14ac:dyDescent="0.2">
      <c r="R5501" s="49">
        <v>5499</v>
      </c>
      <c r="S5501" s="59">
        <f ca="1">Dashboard!B$8* Dashboard!$F$4+Dashboard!B$10*SQRT(Dashboard!$F$4) * _xlfn.NORM.S.INV(RAND())</f>
        <v>-4.2613055867346719E-2</v>
      </c>
      <c r="T5501" s="59">
        <f ca="1">Dashboard!C$8* Dashboard!$F$4+Dashboard!C$10*SQRT(Dashboard!$F$4) * _xlfn.NORM.S.INV(RAND())</f>
        <v>2.0972482990768471E-2</v>
      </c>
      <c r="U5501" s="59">
        <f ca="1">Dashboard!D$8* Dashboard!$F$4+Dashboard!D$10*SQRT(Dashboard!$F$4) * _xlfn.NORM.S.INV(RAND())</f>
        <v>-1.281674320604358E-2</v>
      </c>
    </row>
    <row r="5502" spans="18:21" x14ac:dyDescent="0.2">
      <c r="R5502" s="49">
        <v>5500</v>
      </c>
      <c r="S5502" s="59">
        <f ca="1">Dashboard!B$8* Dashboard!$F$4+Dashboard!B$10*SQRT(Dashboard!$F$4) * _xlfn.NORM.S.INV(RAND())</f>
        <v>1.4844983953695453E-2</v>
      </c>
      <c r="T5502" s="59">
        <f ca="1">Dashboard!C$8* Dashboard!$F$4+Dashboard!C$10*SQRT(Dashboard!$F$4) * _xlfn.NORM.S.INV(RAND())</f>
        <v>-4.9412489954840585E-2</v>
      </c>
      <c r="U5502" s="59">
        <f ca="1">Dashboard!D$8* Dashboard!$F$4+Dashboard!D$10*SQRT(Dashboard!$F$4) * _xlfn.NORM.S.INV(RAND())</f>
        <v>-2.0248798348522924E-2</v>
      </c>
    </row>
    <row r="5503" spans="18:21" x14ac:dyDescent="0.2">
      <c r="R5503" s="49">
        <v>5501</v>
      </c>
      <c r="S5503" s="59">
        <f ca="1">Dashboard!B$8* Dashboard!$F$4+Dashboard!B$10*SQRT(Dashboard!$F$4) * _xlfn.NORM.S.INV(RAND())</f>
        <v>-2.4237737358348443E-2</v>
      </c>
      <c r="T5503" s="59">
        <f ca="1">Dashboard!C$8* Dashboard!$F$4+Dashboard!C$10*SQRT(Dashboard!$F$4) * _xlfn.NORM.S.INV(RAND())</f>
        <v>3.7943787445182807E-2</v>
      </c>
      <c r="U5503" s="59">
        <f ca="1">Dashboard!D$8* Dashboard!$F$4+Dashboard!D$10*SQRT(Dashboard!$F$4) * _xlfn.NORM.S.INV(RAND())</f>
        <v>-1.1766296391063389E-2</v>
      </c>
    </row>
    <row r="5504" spans="18:21" x14ac:dyDescent="0.2">
      <c r="R5504" s="49">
        <v>5502</v>
      </c>
      <c r="S5504" s="59">
        <f ca="1">Dashboard!B$8* Dashboard!$F$4+Dashboard!B$10*SQRT(Dashboard!$F$4) * _xlfn.NORM.S.INV(RAND())</f>
        <v>-3.6241152119775515E-2</v>
      </c>
      <c r="T5504" s="59">
        <f ca="1">Dashboard!C$8* Dashboard!$F$4+Dashboard!C$10*SQRT(Dashboard!$F$4) * _xlfn.NORM.S.INV(RAND())</f>
        <v>-3.194809491423415E-2</v>
      </c>
      <c r="U5504" s="59">
        <f ca="1">Dashboard!D$8* Dashboard!$F$4+Dashboard!D$10*SQRT(Dashboard!$F$4) * _xlfn.NORM.S.INV(RAND())</f>
        <v>-3.1426033385210566E-3</v>
      </c>
    </row>
    <row r="5505" spans="18:21" x14ac:dyDescent="0.2">
      <c r="R5505" s="49">
        <v>5503</v>
      </c>
      <c r="S5505" s="59">
        <f ca="1">Dashboard!B$8* Dashboard!$F$4+Dashboard!B$10*SQRT(Dashboard!$F$4) * _xlfn.NORM.S.INV(RAND())</f>
        <v>1.1387715319914624E-3</v>
      </c>
      <c r="T5505" s="59">
        <f ca="1">Dashboard!C$8* Dashboard!$F$4+Dashboard!C$10*SQRT(Dashboard!$F$4) * _xlfn.NORM.S.INV(RAND())</f>
        <v>8.8778874419383549E-3</v>
      </c>
      <c r="U5505" s="59">
        <f ca="1">Dashboard!D$8* Dashboard!$F$4+Dashboard!D$10*SQRT(Dashboard!$F$4) * _xlfn.NORM.S.INV(RAND())</f>
        <v>-2.647815202766932E-2</v>
      </c>
    </row>
    <row r="5506" spans="18:21" x14ac:dyDescent="0.2">
      <c r="R5506" s="49">
        <v>5504</v>
      </c>
      <c r="S5506" s="59">
        <f ca="1">Dashboard!B$8* Dashboard!$F$4+Dashboard!B$10*SQRT(Dashboard!$F$4) * _xlfn.NORM.S.INV(RAND())</f>
        <v>5.012106130517946E-2</v>
      </c>
      <c r="T5506" s="59">
        <f ca="1">Dashboard!C$8* Dashboard!$F$4+Dashboard!C$10*SQRT(Dashboard!$F$4) * _xlfn.NORM.S.INV(RAND())</f>
        <v>-6.6316868757469963E-2</v>
      </c>
      <c r="U5506" s="59">
        <f ca="1">Dashboard!D$8* Dashboard!$F$4+Dashboard!D$10*SQRT(Dashboard!$F$4) * _xlfn.NORM.S.INV(RAND())</f>
        <v>-6.4479568330130079E-3</v>
      </c>
    </row>
    <row r="5507" spans="18:21" x14ac:dyDescent="0.2">
      <c r="R5507" s="49">
        <v>5505</v>
      </c>
      <c r="S5507" s="59">
        <f ca="1">Dashboard!B$8* Dashboard!$F$4+Dashboard!B$10*SQRT(Dashboard!$F$4) * _xlfn.NORM.S.INV(RAND())</f>
        <v>7.9426092233498037E-3</v>
      </c>
      <c r="T5507" s="59">
        <f ca="1">Dashboard!C$8* Dashboard!$F$4+Dashboard!C$10*SQRT(Dashboard!$F$4) * _xlfn.NORM.S.INV(RAND())</f>
        <v>-6.6277022615768247E-2</v>
      </c>
      <c r="U5507" s="59">
        <f ca="1">Dashboard!D$8* Dashboard!$F$4+Dashboard!D$10*SQRT(Dashboard!$F$4) * _xlfn.NORM.S.INV(RAND())</f>
        <v>-3.8607311400533348E-2</v>
      </c>
    </row>
    <row r="5508" spans="18:21" x14ac:dyDescent="0.2">
      <c r="R5508" s="49">
        <v>5506</v>
      </c>
      <c r="S5508" s="59">
        <f ca="1">Dashboard!B$8* Dashboard!$F$4+Dashboard!B$10*SQRT(Dashboard!$F$4) * _xlfn.NORM.S.INV(RAND())</f>
        <v>1.4973553637064844E-2</v>
      </c>
      <c r="T5508" s="59">
        <f ca="1">Dashboard!C$8* Dashboard!$F$4+Dashboard!C$10*SQRT(Dashboard!$F$4) * _xlfn.NORM.S.INV(RAND())</f>
        <v>5.4799047259524752E-2</v>
      </c>
      <c r="U5508" s="59">
        <f ca="1">Dashboard!D$8* Dashboard!$F$4+Dashboard!D$10*SQRT(Dashboard!$F$4) * _xlfn.NORM.S.INV(RAND())</f>
        <v>-3.783720919368759E-2</v>
      </c>
    </row>
    <row r="5509" spans="18:21" x14ac:dyDescent="0.2">
      <c r="R5509" s="49">
        <v>5507</v>
      </c>
      <c r="S5509" s="59">
        <f ca="1">Dashboard!B$8* Dashboard!$F$4+Dashboard!B$10*SQRT(Dashboard!$F$4) * _xlfn.NORM.S.INV(RAND())</f>
        <v>3.8597371662829789E-2</v>
      </c>
      <c r="T5509" s="59">
        <f ca="1">Dashboard!C$8* Dashboard!$F$4+Dashboard!C$10*SQRT(Dashboard!$F$4) * _xlfn.NORM.S.INV(RAND())</f>
        <v>2.4106532412384217E-2</v>
      </c>
      <c r="U5509" s="59">
        <f ca="1">Dashboard!D$8* Dashboard!$F$4+Dashboard!D$10*SQRT(Dashboard!$F$4) * _xlfn.NORM.S.INV(RAND())</f>
        <v>-5.3403876343653359E-2</v>
      </c>
    </row>
    <row r="5510" spans="18:21" x14ac:dyDescent="0.2">
      <c r="R5510" s="49">
        <v>5508</v>
      </c>
      <c r="S5510" s="59">
        <f ca="1">Dashboard!B$8* Dashboard!$F$4+Dashboard!B$10*SQRT(Dashboard!$F$4) * _xlfn.NORM.S.INV(RAND())</f>
        <v>3.7106011103399582E-2</v>
      </c>
      <c r="T5510" s="59">
        <f ca="1">Dashboard!C$8* Dashboard!$F$4+Dashboard!C$10*SQRT(Dashboard!$F$4) * _xlfn.NORM.S.INV(RAND())</f>
        <v>5.4943417798662693E-2</v>
      </c>
      <c r="U5510" s="59">
        <f ca="1">Dashboard!D$8* Dashboard!$F$4+Dashboard!D$10*SQRT(Dashboard!$F$4) * _xlfn.NORM.S.INV(RAND())</f>
        <v>4.0474040374613024E-2</v>
      </c>
    </row>
    <row r="5511" spans="18:21" x14ac:dyDescent="0.2">
      <c r="R5511" s="49">
        <v>5509</v>
      </c>
      <c r="S5511" s="59">
        <f ca="1">Dashboard!B$8* Dashboard!$F$4+Dashboard!B$10*SQRT(Dashboard!$F$4) * _xlfn.NORM.S.INV(RAND())</f>
        <v>-5.9776375885222381E-2</v>
      </c>
      <c r="T5511" s="59">
        <f ca="1">Dashboard!C$8* Dashboard!$F$4+Dashboard!C$10*SQRT(Dashboard!$F$4) * _xlfn.NORM.S.INV(RAND())</f>
        <v>2.4091099802789968E-2</v>
      </c>
      <c r="U5511" s="59">
        <f ca="1">Dashboard!D$8* Dashboard!$F$4+Dashboard!D$10*SQRT(Dashboard!$F$4) * _xlfn.NORM.S.INV(RAND())</f>
        <v>-3.2086033214385003E-2</v>
      </c>
    </row>
    <row r="5512" spans="18:21" x14ac:dyDescent="0.2">
      <c r="R5512" s="49">
        <v>5510</v>
      </c>
      <c r="S5512" s="59">
        <f ca="1">Dashboard!B$8* Dashboard!$F$4+Dashboard!B$10*SQRT(Dashboard!$F$4) * _xlfn.NORM.S.INV(RAND())</f>
        <v>3.9635504450424346E-2</v>
      </c>
      <c r="T5512" s="59">
        <f ca="1">Dashboard!C$8* Dashboard!$F$4+Dashboard!C$10*SQRT(Dashboard!$F$4) * _xlfn.NORM.S.INV(RAND())</f>
        <v>5.2281991448514052E-2</v>
      </c>
      <c r="U5512" s="59">
        <f ca="1">Dashboard!D$8* Dashboard!$F$4+Dashboard!D$10*SQRT(Dashboard!$F$4) * _xlfn.NORM.S.INV(RAND())</f>
        <v>3.7771343668841197E-2</v>
      </c>
    </row>
    <row r="5513" spans="18:21" x14ac:dyDescent="0.2">
      <c r="R5513" s="49">
        <v>5511</v>
      </c>
      <c r="S5513" s="59">
        <f ca="1">Dashboard!B$8* Dashboard!$F$4+Dashboard!B$10*SQRT(Dashboard!$F$4) * _xlfn.NORM.S.INV(RAND())</f>
        <v>1.6711908328112632E-2</v>
      </c>
      <c r="T5513" s="59">
        <f ca="1">Dashboard!C$8* Dashboard!$F$4+Dashboard!C$10*SQRT(Dashboard!$F$4) * _xlfn.NORM.S.INV(RAND())</f>
        <v>-1.9907824656654957E-2</v>
      </c>
      <c r="U5513" s="59">
        <f ca="1">Dashboard!D$8* Dashboard!$F$4+Dashboard!D$10*SQRT(Dashboard!$F$4) * _xlfn.NORM.S.INV(RAND())</f>
        <v>3.1455363097520665E-2</v>
      </c>
    </row>
    <row r="5514" spans="18:21" x14ac:dyDescent="0.2">
      <c r="R5514" s="49">
        <v>5512</v>
      </c>
      <c r="S5514" s="59">
        <f ca="1">Dashboard!B$8* Dashboard!$F$4+Dashboard!B$10*SQRT(Dashboard!$F$4) * _xlfn.NORM.S.INV(RAND())</f>
        <v>2.1936653407579696E-4</v>
      </c>
      <c r="T5514" s="59">
        <f ca="1">Dashboard!C$8* Dashboard!$F$4+Dashboard!C$10*SQRT(Dashboard!$F$4) * _xlfn.NORM.S.INV(RAND())</f>
        <v>5.2174760000161004E-2</v>
      </c>
      <c r="U5514" s="59">
        <f ca="1">Dashboard!D$8* Dashboard!$F$4+Dashboard!D$10*SQRT(Dashboard!$F$4) * _xlfn.NORM.S.INV(RAND())</f>
        <v>-2.3055016698313249E-2</v>
      </c>
    </row>
    <row r="5515" spans="18:21" x14ac:dyDescent="0.2">
      <c r="R5515" s="49">
        <v>5513</v>
      </c>
      <c r="S5515" s="59">
        <f ca="1">Dashboard!B$8* Dashboard!$F$4+Dashboard!B$10*SQRT(Dashboard!$F$4) * _xlfn.NORM.S.INV(RAND())</f>
        <v>-2.2203666679999262E-2</v>
      </c>
      <c r="T5515" s="59">
        <f ca="1">Dashboard!C$8* Dashboard!$F$4+Dashboard!C$10*SQRT(Dashboard!$F$4) * _xlfn.NORM.S.INV(RAND())</f>
        <v>-2.0922831063048972E-2</v>
      </c>
      <c r="U5515" s="59">
        <f ca="1">Dashboard!D$8* Dashboard!$F$4+Dashboard!D$10*SQRT(Dashboard!$F$4) * _xlfn.NORM.S.INV(RAND())</f>
        <v>-3.7734257111529335E-2</v>
      </c>
    </row>
    <row r="5516" spans="18:21" x14ac:dyDescent="0.2">
      <c r="R5516" s="49">
        <v>5514</v>
      </c>
      <c r="S5516" s="59">
        <f ca="1">Dashboard!B$8* Dashboard!$F$4+Dashboard!B$10*SQRT(Dashboard!$F$4) * _xlfn.NORM.S.INV(RAND())</f>
        <v>2.9264466273200493E-2</v>
      </c>
      <c r="T5516" s="59">
        <f ca="1">Dashboard!C$8* Dashboard!$F$4+Dashboard!C$10*SQRT(Dashboard!$F$4) * _xlfn.NORM.S.INV(RAND())</f>
        <v>2.6276094781392752E-2</v>
      </c>
      <c r="U5516" s="59">
        <f ca="1">Dashboard!D$8* Dashboard!$F$4+Dashboard!D$10*SQRT(Dashboard!$F$4) * _xlfn.NORM.S.INV(RAND())</f>
        <v>2.5893543983746214E-2</v>
      </c>
    </row>
    <row r="5517" spans="18:21" x14ac:dyDescent="0.2">
      <c r="R5517" s="49">
        <v>5515</v>
      </c>
      <c r="S5517" s="59">
        <f ca="1">Dashboard!B$8* Dashboard!$F$4+Dashboard!B$10*SQRT(Dashboard!$F$4) * _xlfn.NORM.S.INV(RAND())</f>
        <v>-1.4498560366318193E-2</v>
      </c>
      <c r="T5517" s="59">
        <f ca="1">Dashboard!C$8* Dashboard!$F$4+Dashboard!C$10*SQRT(Dashboard!$F$4) * _xlfn.NORM.S.INV(RAND())</f>
        <v>-1.247044600318549E-2</v>
      </c>
      <c r="U5517" s="59">
        <f ca="1">Dashboard!D$8* Dashboard!$F$4+Dashboard!D$10*SQRT(Dashboard!$F$4) * _xlfn.NORM.S.INV(RAND())</f>
        <v>2.8527296268526299E-2</v>
      </c>
    </row>
    <row r="5518" spans="18:21" x14ac:dyDescent="0.2">
      <c r="R5518" s="49">
        <v>5516</v>
      </c>
      <c r="S5518" s="59">
        <f ca="1">Dashboard!B$8* Dashboard!$F$4+Dashboard!B$10*SQRT(Dashboard!$F$4) * _xlfn.NORM.S.INV(RAND())</f>
        <v>2.3399042166247337E-2</v>
      </c>
      <c r="T5518" s="59">
        <f ca="1">Dashboard!C$8* Dashboard!$F$4+Dashboard!C$10*SQRT(Dashboard!$F$4) * _xlfn.NORM.S.INV(RAND())</f>
        <v>5.169111160344958E-2</v>
      </c>
      <c r="U5518" s="59">
        <f ca="1">Dashboard!D$8* Dashboard!$F$4+Dashboard!D$10*SQRT(Dashboard!$F$4) * _xlfn.NORM.S.INV(RAND())</f>
        <v>-6.785438178917988E-2</v>
      </c>
    </row>
    <row r="5519" spans="18:21" x14ac:dyDescent="0.2">
      <c r="R5519" s="49">
        <v>5517</v>
      </c>
      <c r="S5519" s="59">
        <f ca="1">Dashboard!B$8* Dashboard!$F$4+Dashboard!B$10*SQRT(Dashboard!$F$4) * _xlfn.NORM.S.INV(RAND())</f>
        <v>-1.2187347623919476E-2</v>
      </c>
      <c r="T5519" s="59">
        <f ca="1">Dashboard!C$8* Dashboard!$F$4+Dashboard!C$10*SQRT(Dashboard!$F$4) * _xlfn.NORM.S.INV(RAND())</f>
        <v>-1.734951845701822E-2</v>
      </c>
      <c r="U5519" s="59">
        <f ca="1">Dashboard!D$8* Dashboard!$F$4+Dashboard!D$10*SQRT(Dashboard!$F$4) * _xlfn.NORM.S.INV(RAND())</f>
        <v>-3.9063623678101442E-2</v>
      </c>
    </row>
    <row r="5520" spans="18:21" x14ac:dyDescent="0.2">
      <c r="R5520" s="49">
        <v>5518</v>
      </c>
      <c r="S5520" s="59">
        <f ca="1">Dashboard!B$8* Dashboard!$F$4+Dashboard!B$10*SQRT(Dashboard!$F$4) * _xlfn.NORM.S.INV(RAND())</f>
        <v>2.6392180474870477E-2</v>
      </c>
      <c r="T5520" s="59">
        <f ca="1">Dashboard!C$8* Dashboard!$F$4+Dashboard!C$10*SQRT(Dashboard!$F$4) * _xlfn.NORM.S.INV(RAND())</f>
        <v>2.6070889038092591E-2</v>
      </c>
      <c r="U5520" s="59">
        <f ca="1">Dashboard!D$8* Dashboard!$F$4+Dashboard!D$10*SQRT(Dashboard!$F$4) * _xlfn.NORM.S.INV(RAND())</f>
        <v>4.1998533849722311E-2</v>
      </c>
    </row>
    <row r="5521" spans="18:21" x14ac:dyDescent="0.2">
      <c r="R5521" s="49">
        <v>5519</v>
      </c>
      <c r="S5521" s="59">
        <f ca="1">Dashboard!B$8* Dashboard!$F$4+Dashboard!B$10*SQRT(Dashboard!$F$4) * _xlfn.NORM.S.INV(RAND())</f>
        <v>1.6582942187481631E-2</v>
      </c>
      <c r="T5521" s="59">
        <f ca="1">Dashboard!C$8* Dashboard!$F$4+Dashboard!C$10*SQRT(Dashboard!$F$4) * _xlfn.NORM.S.INV(RAND())</f>
        <v>2.6505263498200281E-2</v>
      </c>
      <c r="U5521" s="59">
        <f ca="1">Dashboard!D$8* Dashboard!$F$4+Dashboard!D$10*SQRT(Dashboard!$F$4) * _xlfn.NORM.S.INV(RAND())</f>
        <v>4.3015980068779304E-2</v>
      </c>
    </row>
    <row r="5522" spans="18:21" x14ac:dyDescent="0.2">
      <c r="R5522" s="49">
        <v>5520</v>
      </c>
      <c r="S5522" s="59">
        <f ca="1">Dashboard!B$8* Dashboard!$F$4+Dashboard!B$10*SQRT(Dashboard!$F$4) * _xlfn.NORM.S.INV(RAND())</f>
        <v>-4.8877206290865033E-3</v>
      </c>
      <c r="T5522" s="59">
        <f ca="1">Dashboard!C$8* Dashboard!$F$4+Dashboard!C$10*SQRT(Dashboard!$F$4) * _xlfn.NORM.S.INV(RAND())</f>
        <v>-3.4106034781295251E-2</v>
      </c>
      <c r="U5522" s="59">
        <f ca="1">Dashboard!D$8* Dashboard!$F$4+Dashboard!D$10*SQRT(Dashboard!$F$4) * _xlfn.NORM.S.INV(RAND())</f>
        <v>1.2605736764322965E-2</v>
      </c>
    </row>
    <row r="5523" spans="18:21" x14ac:dyDescent="0.2">
      <c r="R5523" s="49">
        <v>5521</v>
      </c>
      <c r="S5523" s="59">
        <f ca="1">Dashboard!B$8* Dashboard!$F$4+Dashboard!B$10*SQRT(Dashboard!$F$4) * _xlfn.NORM.S.INV(RAND())</f>
        <v>-6.3596774632329586E-2</v>
      </c>
      <c r="T5523" s="59">
        <f ca="1">Dashboard!C$8* Dashboard!$F$4+Dashboard!C$10*SQRT(Dashboard!$F$4) * _xlfn.NORM.S.INV(RAND())</f>
        <v>1.0740103827096443E-2</v>
      </c>
      <c r="U5523" s="59">
        <f ca="1">Dashboard!D$8* Dashboard!$F$4+Dashboard!D$10*SQRT(Dashboard!$F$4) * _xlfn.NORM.S.INV(RAND())</f>
        <v>-4.6928277458898396E-2</v>
      </c>
    </row>
    <row r="5524" spans="18:21" x14ac:dyDescent="0.2">
      <c r="R5524" s="49">
        <v>5522</v>
      </c>
      <c r="S5524" s="59">
        <f ca="1">Dashboard!B$8* Dashboard!$F$4+Dashboard!B$10*SQRT(Dashboard!$F$4) * _xlfn.NORM.S.INV(RAND())</f>
        <v>6.0692100969928428E-2</v>
      </c>
      <c r="T5524" s="59">
        <f ca="1">Dashboard!C$8* Dashboard!$F$4+Dashboard!C$10*SQRT(Dashboard!$F$4) * _xlfn.NORM.S.INV(RAND())</f>
        <v>-4.6997693416431667E-2</v>
      </c>
      <c r="U5524" s="59">
        <f ca="1">Dashboard!D$8* Dashboard!$F$4+Dashboard!D$10*SQRT(Dashboard!$F$4) * _xlfn.NORM.S.INV(RAND())</f>
        <v>-1.8920761208836324E-2</v>
      </c>
    </row>
    <row r="5525" spans="18:21" x14ac:dyDescent="0.2">
      <c r="R5525" s="49">
        <v>5523</v>
      </c>
      <c r="S5525" s="59">
        <f ca="1">Dashboard!B$8* Dashboard!$F$4+Dashboard!B$10*SQRT(Dashboard!$F$4) * _xlfn.NORM.S.INV(RAND())</f>
        <v>-4.7047127324672698E-3</v>
      </c>
      <c r="T5525" s="59">
        <f ca="1">Dashboard!C$8* Dashboard!$F$4+Dashboard!C$10*SQRT(Dashboard!$F$4) * _xlfn.NORM.S.INV(RAND())</f>
        <v>2.9015653318623384E-2</v>
      </c>
      <c r="U5525" s="59">
        <f ca="1">Dashboard!D$8* Dashboard!$F$4+Dashboard!D$10*SQRT(Dashboard!$F$4) * _xlfn.NORM.S.INV(RAND())</f>
        <v>2.0697346872273634E-2</v>
      </c>
    </row>
    <row r="5526" spans="18:21" x14ac:dyDescent="0.2">
      <c r="R5526" s="49">
        <v>5524</v>
      </c>
      <c r="S5526" s="59">
        <f ca="1">Dashboard!B$8* Dashboard!$F$4+Dashboard!B$10*SQRT(Dashboard!$F$4) * _xlfn.NORM.S.INV(RAND())</f>
        <v>1.0483579236720362E-3</v>
      </c>
      <c r="T5526" s="59">
        <f ca="1">Dashboard!C$8* Dashboard!$F$4+Dashboard!C$10*SQRT(Dashboard!$F$4) * _xlfn.NORM.S.INV(RAND())</f>
        <v>3.9382119526477993E-2</v>
      </c>
      <c r="U5526" s="59">
        <f ca="1">Dashboard!D$8* Dashboard!$F$4+Dashboard!D$10*SQRT(Dashboard!$F$4) * _xlfn.NORM.S.INV(RAND())</f>
        <v>-2.9708444742402831E-2</v>
      </c>
    </row>
    <row r="5527" spans="18:21" x14ac:dyDescent="0.2">
      <c r="R5527" s="49">
        <v>5525</v>
      </c>
      <c r="S5527" s="59">
        <f ca="1">Dashboard!B$8* Dashboard!$F$4+Dashboard!B$10*SQRT(Dashboard!$F$4) * _xlfn.NORM.S.INV(RAND())</f>
        <v>-9.4892126871956306E-3</v>
      </c>
      <c r="T5527" s="59">
        <f ca="1">Dashboard!C$8* Dashboard!$F$4+Dashboard!C$10*SQRT(Dashboard!$F$4) * _xlfn.NORM.S.INV(RAND())</f>
        <v>2.4178814482294073E-2</v>
      </c>
      <c r="U5527" s="59">
        <f ca="1">Dashboard!D$8* Dashboard!$F$4+Dashboard!D$10*SQRT(Dashboard!$F$4) * _xlfn.NORM.S.INV(RAND())</f>
        <v>-9.1033280206448148E-3</v>
      </c>
    </row>
    <row r="5528" spans="18:21" x14ac:dyDescent="0.2">
      <c r="R5528" s="49">
        <v>5526</v>
      </c>
      <c r="S5528" s="59">
        <f ca="1">Dashboard!B$8* Dashboard!$F$4+Dashboard!B$10*SQRT(Dashboard!$F$4) * _xlfn.NORM.S.INV(RAND())</f>
        <v>-4.3474629408480688E-2</v>
      </c>
      <c r="T5528" s="59">
        <f ca="1">Dashboard!C$8* Dashboard!$F$4+Dashboard!C$10*SQRT(Dashboard!$F$4) * _xlfn.NORM.S.INV(RAND())</f>
        <v>-1.3500849158809183E-2</v>
      </c>
      <c r="U5528" s="59">
        <f ca="1">Dashboard!D$8* Dashboard!$F$4+Dashboard!D$10*SQRT(Dashboard!$F$4) * _xlfn.NORM.S.INV(RAND())</f>
        <v>6.3830392318414636E-3</v>
      </c>
    </row>
    <row r="5529" spans="18:21" x14ac:dyDescent="0.2">
      <c r="R5529" s="49">
        <v>5527</v>
      </c>
      <c r="S5529" s="59">
        <f ca="1">Dashboard!B$8* Dashboard!$F$4+Dashboard!B$10*SQRT(Dashboard!$F$4) * _xlfn.NORM.S.INV(RAND())</f>
        <v>5.337341394039169E-2</v>
      </c>
      <c r="T5529" s="59">
        <f ca="1">Dashboard!C$8* Dashboard!$F$4+Dashboard!C$10*SQRT(Dashboard!$F$4) * _xlfn.NORM.S.INV(RAND())</f>
        <v>-2.2995021764983938E-2</v>
      </c>
      <c r="U5529" s="59">
        <f ca="1">Dashboard!D$8* Dashboard!$F$4+Dashboard!D$10*SQRT(Dashboard!$F$4) * _xlfn.NORM.S.INV(RAND())</f>
        <v>-5.4638816140532787E-2</v>
      </c>
    </row>
    <row r="5530" spans="18:21" x14ac:dyDescent="0.2">
      <c r="R5530" s="49">
        <v>5528</v>
      </c>
      <c r="S5530" s="59">
        <f ca="1">Dashboard!B$8* Dashboard!$F$4+Dashboard!B$10*SQRT(Dashboard!$F$4) * _xlfn.NORM.S.INV(RAND())</f>
        <v>4.6743477928905715E-3</v>
      </c>
      <c r="T5530" s="59">
        <f ca="1">Dashboard!C$8* Dashboard!$F$4+Dashboard!C$10*SQRT(Dashboard!$F$4) * _xlfn.NORM.S.INV(RAND())</f>
        <v>7.8031137640765733E-2</v>
      </c>
      <c r="U5530" s="59">
        <f ca="1">Dashboard!D$8* Dashboard!$F$4+Dashboard!D$10*SQRT(Dashboard!$F$4) * _xlfn.NORM.S.INV(RAND())</f>
        <v>-2.2059072015030424E-2</v>
      </c>
    </row>
    <row r="5531" spans="18:21" x14ac:dyDescent="0.2">
      <c r="R5531" s="49">
        <v>5529</v>
      </c>
      <c r="S5531" s="59">
        <f ca="1">Dashboard!B$8* Dashboard!$F$4+Dashboard!B$10*SQRT(Dashboard!$F$4) * _xlfn.NORM.S.INV(RAND())</f>
        <v>-2.8665360449931551E-2</v>
      </c>
      <c r="T5531" s="59">
        <f ca="1">Dashboard!C$8* Dashboard!$F$4+Dashboard!C$10*SQRT(Dashboard!$F$4) * _xlfn.NORM.S.INV(RAND())</f>
        <v>1.2497455028761945E-2</v>
      </c>
      <c r="U5531" s="59">
        <f ca="1">Dashboard!D$8* Dashboard!$F$4+Dashboard!D$10*SQRT(Dashboard!$F$4) * _xlfn.NORM.S.INV(RAND())</f>
        <v>1.7339834159412527E-2</v>
      </c>
    </row>
    <row r="5532" spans="18:21" x14ac:dyDescent="0.2">
      <c r="R5532" s="49">
        <v>5530</v>
      </c>
      <c r="S5532" s="59">
        <f ca="1">Dashboard!B$8* Dashboard!$F$4+Dashboard!B$10*SQRT(Dashboard!$F$4) * _xlfn.NORM.S.INV(RAND())</f>
        <v>1.9949526280406853E-2</v>
      </c>
      <c r="T5532" s="59">
        <f ca="1">Dashboard!C$8* Dashboard!$F$4+Dashboard!C$10*SQRT(Dashboard!$F$4) * _xlfn.NORM.S.INV(RAND())</f>
        <v>5.0130759834415298E-2</v>
      </c>
      <c r="U5532" s="59">
        <f ca="1">Dashboard!D$8* Dashboard!$F$4+Dashboard!D$10*SQRT(Dashboard!$F$4) * _xlfn.NORM.S.INV(RAND())</f>
        <v>3.339076752370642E-2</v>
      </c>
    </row>
    <row r="5533" spans="18:21" x14ac:dyDescent="0.2">
      <c r="R5533" s="49">
        <v>5531</v>
      </c>
      <c r="S5533" s="59">
        <f ca="1">Dashboard!B$8* Dashboard!$F$4+Dashboard!B$10*SQRT(Dashboard!$F$4) * _xlfn.NORM.S.INV(RAND())</f>
        <v>-2.2878471364706617E-2</v>
      </c>
      <c r="T5533" s="59">
        <f ca="1">Dashboard!C$8* Dashboard!$F$4+Dashboard!C$10*SQRT(Dashboard!$F$4) * _xlfn.NORM.S.INV(RAND())</f>
        <v>-3.0236014087734669E-2</v>
      </c>
      <c r="U5533" s="59">
        <f ca="1">Dashboard!D$8* Dashboard!$F$4+Dashboard!D$10*SQRT(Dashboard!$F$4) * _xlfn.NORM.S.INV(RAND())</f>
        <v>-2.8174357671625887E-2</v>
      </c>
    </row>
    <row r="5534" spans="18:21" x14ac:dyDescent="0.2">
      <c r="R5534" s="49">
        <v>5532</v>
      </c>
      <c r="S5534" s="59">
        <f ca="1">Dashboard!B$8* Dashboard!$F$4+Dashboard!B$10*SQRT(Dashboard!$F$4) * _xlfn.NORM.S.INV(RAND())</f>
        <v>-7.3129594322261619E-3</v>
      </c>
      <c r="T5534" s="59">
        <f ca="1">Dashboard!C$8* Dashboard!$F$4+Dashboard!C$10*SQRT(Dashboard!$F$4) * _xlfn.NORM.S.INV(RAND())</f>
        <v>1.8406458948188879E-2</v>
      </c>
      <c r="U5534" s="59">
        <f ca="1">Dashboard!D$8* Dashboard!$F$4+Dashboard!D$10*SQRT(Dashboard!$F$4) * _xlfn.NORM.S.INV(RAND())</f>
        <v>1.0287430838777601E-2</v>
      </c>
    </row>
    <row r="5535" spans="18:21" x14ac:dyDescent="0.2">
      <c r="R5535" s="49">
        <v>5533</v>
      </c>
      <c r="S5535" s="59">
        <f ca="1">Dashboard!B$8* Dashboard!$F$4+Dashboard!B$10*SQRT(Dashboard!$F$4) * _xlfn.NORM.S.INV(RAND())</f>
        <v>1.2102215109682376E-2</v>
      </c>
      <c r="T5535" s="59">
        <f ca="1">Dashboard!C$8* Dashboard!$F$4+Dashboard!C$10*SQRT(Dashboard!$F$4) * _xlfn.NORM.S.INV(RAND())</f>
        <v>4.2209304082639204E-2</v>
      </c>
      <c r="U5535" s="59">
        <f ca="1">Dashboard!D$8* Dashboard!$F$4+Dashboard!D$10*SQRT(Dashboard!$F$4) * _xlfn.NORM.S.INV(RAND())</f>
        <v>2.0284879007312039E-2</v>
      </c>
    </row>
    <row r="5536" spans="18:21" x14ac:dyDescent="0.2">
      <c r="R5536" s="49">
        <v>5534</v>
      </c>
      <c r="S5536" s="59">
        <f ca="1">Dashboard!B$8* Dashboard!$F$4+Dashboard!B$10*SQRT(Dashboard!$F$4) * _xlfn.NORM.S.INV(RAND())</f>
        <v>-1.9530043928112219E-2</v>
      </c>
      <c r="T5536" s="59">
        <f ca="1">Dashboard!C$8* Dashboard!$F$4+Dashboard!C$10*SQRT(Dashboard!$F$4) * _xlfn.NORM.S.INV(RAND())</f>
        <v>-1.098608307465845E-2</v>
      </c>
      <c r="U5536" s="59">
        <f ca="1">Dashboard!D$8* Dashboard!$F$4+Dashboard!D$10*SQRT(Dashboard!$F$4) * _xlfn.NORM.S.INV(RAND())</f>
        <v>-1.4993223873476284E-2</v>
      </c>
    </row>
    <row r="5537" spans="18:21" x14ac:dyDescent="0.2">
      <c r="R5537" s="49">
        <v>5535</v>
      </c>
      <c r="S5537" s="59">
        <f ca="1">Dashboard!B$8* Dashboard!$F$4+Dashboard!B$10*SQRT(Dashboard!$F$4) * _xlfn.NORM.S.INV(RAND())</f>
        <v>3.5882421775785033E-3</v>
      </c>
      <c r="T5537" s="59">
        <f ca="1">Dashboard!C$8* Dashboard!$F$4+Dashboard!C$10*SQRT(Dashboard!$F$4) * _xlfn.NORM.S.INV(RAND())</f>
        <v>-1.8166294075576944E-2</v>
      </c>
      <c r="U5537" s="59">
        <f ca="1">Dashboard!D$8* Dashboard!$F$4+Dashboard!D$10*SQRT(Dashboard!$F$4) * _xlfn.NORM.S.INV(RAND())</f>
        <v>5.7611583083877024E-2</v>
      </c>
    </row>
    <row r="5538" spans="18:21" x14ac:dyDescent="0.2">
      <c r="R5538" s="49">
        <v>5536</v>
      </c>
      <c r="S5538" s="59">
        <f ca="1">Dashboard!B$8* Dashboard!$F$4+Dashboard!B$10*SQRT(Dashboard!$F$4) * _xlfn.NORM.S.INV(RAND())</f>
        <v>-8.1270914386219792E-2</v>
      </c>
      <c r="T5538" s="59">
        <f ca="1">Dashboard!C$8* Dashboard!$F$4+Dashboard!C$10*SQRT(Dashboard!$F$4) * _xlfn.NORM.S.INV(RAND())</f>
        <v>5.349386750805904E-2</v>
      </c>
      <c r="U5538" s="59">
        <f ca="1">Dashboard!D$8* Dashboard!$F$4+Dashboard!D$10*SQRT(Dashboard!$F$4) * _xlfn.NORM.S.INV(RAND())</f>
        <v>3.3316567604584769E-2</v>
      </c>
    </row>
    <row r="5539" spans="18:21" x14ac:dyDescent="0.2">
      <c r="R5539" s="49">
        <v>5537</v>
      </c>
      <c r="S5539" s="59">
        <f ca="1">Dashboard!B$8* Dashboard!$F$4+Dashboard!B$10*SQRT(Dashboard!$F$4) * _xlfn.NORM.S.INV(RAND())</f>
        <v>2.0723012699908366E-2</v>
      </c>
      <c r="T5539" s="59">
        <f ca="1">Dashboard!C$8* Dashboard!$F$4+Dashboard!C$10*SQRT(Dashboard!$F$4) * _xlfn.NORM.S.INV(RAND())</f>
        <v>3.950895317535924E-2</v>
      </c>
      <c r="U5539" s="59">
        <f ca="1">Dashboard!D$8* Dashboard!$F$4+Dashboard!D$10*SQRT(Dashboard!$F$4) * _xlfn.NORM.S.INV(RAND())</f>
        <v>1.7638878155010071E-4</v>
      </c>
    </row>
    <row r="5540" spans="18:21" x14ac:dyDescent="0.2">
      <c r="R5540" s="49">
        <v>5538</v>
      </c>
      <c r="S5540" s="59">
        <f ca="1">Dashboard!B$8* Dashboard!$F$4+Dashboard!B$10*SQRT(Dashboard!$F$4) * _xlfn.NORM.S.INV(RAND())</f>
        <v>-5.2108779370542854E-2</v>
      </c>
      <c r="T5540" s="59">
        <f ca="1">Dashboard!C$8* Dashboard!$F$4+Dashboard!C$10*SQRT(Dashboard!$F$4) * _xlfn.NORM.S.INV(RAND())</f>
        <v>1.1841085520058215E-2</v>
      </c>
      <c r="U5540" s="59">
        <f ca="1">Dashboard!D$8* Dashboard!$F$4+Dashboard!D$10*SQRT(Dashboard!$F$4) * _xlfn.NORM.S.INV(RAND())</f>
        <v>-3.9459610943865804E-2</v>
      </c>
    </row>
    <row r="5541" spans="18:21" x14ac:dyDescent="0.2">
      <c r="R5541" s="49">
        <v>5539</v>
      </c>
      <c r="S5541" s="59">
        <f ca="1">Dashboard!B$8* Dashboard!$F$4+Dashboard!B$10*SQRT(Dashboard!$F$4) * _xlfn.NORM.S.INV(RAND())</f>
        <v>5.2820326830435565E-3</v>
      </c>
      <c r="T5541" s="59">
        <f ca="1">Dashboard!C$8* Dashboard!$F$4+Dashboard!C$10*SQRT(Dashboard!$F$4) * _xlfn.NORM.S.INV(RAND())</f>
        <v>-1.3921972925497437E-2</v>
      </c>
      <c r="U5541" s="59">
        <f ca="1">Dashboard!D$8* Dashboard!$F$4+Dashboard!D$10*SQRT(Dashboard!$F$4) * _xlfn.NORM.S.INV(RAND())</f>
        <v>-1.809132866824948E-2</v>
      </c>
    </row>
    <row r="5542" spans="18:21" x14ac:dyDescent="0.2">
      <c r="R5542" s="49">
        <v>5540</v>
      </c>
      <c r="S5542" s="59">
        <f ca="1">Dashboard!B$8* Dashboard!$F$4+Dashboard!B$10*SQRT(Dashboard!$F$4) * _xlfn.NORM.S.INV(RAND())</f>
        <v>-3.631666568671614E-2</v>
      </c>
      <c r="T5542" s="59">
        <f ca="1">Dashboard!C$8* Dashboard!$F$4+Dashboard!C$10*SQRT(Dashboard!$F$4) * _xlfn.NORM.S.INV(RAND())</f>
        <v>8.7206669901181116E-2</v>
      </c>
      <c r="U5542" s="59">
        <f ca="1">Dashboard!D$8* Dashboard!$F$4+Dashboard!D$10*SQRT(Dashboard!$F$4) * _xlfn.NORM.S.INV(RAND())</f>
        <v>1.9208569595601761E-2</v>
      </c>
    </row>
    <row r="5543" spans="18:21" x14ac:dyDescent="0.2">
      <c r="R5543" s="49">
        <v>5541</v>
      </c>
      <c r="S5543" s="59">
        <f ca="1">Dashboard!B$8* Dashboard!$F$4+Dashboard!B$10*SQRT(Dashboard!$F$4) * _xlfn.NORM.S.INV(RAND())</f>
        <v>5.0139914997378097E-2</v>
      </c>
      <c r="T5543" s="59">
        <f ca="1">Dashboard!C$8* Dashboard!$F$4+Dashboard!C$10*SQRT(Dashboard!$F$4) * _xlfn.NORM.S.INV(RAND())</f>
        <v>3.1015186804001421E-2</v>
      </c>
      <c r="U5543" s="59">
        <f ca="1">Dashboard!D$8* Dashboard!$F$4+Dashboard!D$10*SQRT(Dashboard!$F$4) * _xlfn.NORM.S.INV(RAND())</f>
        <v>1.3152713779579852E-2</v>
      </c>
    </row>
    <row r="5544" spans="18:21" x14ac:dyDescent="0.2">
      <c r="R5544" s="49">
        <v>5542</v>
      </c>
      <c r="S5544" s="59">
        <f ca="1">Dashboard!B$8* Dashboard!$F$4+Dashboard!B$10*SQRT(Dashboard!$F$4) * _xlfn.NORM.S.INV(RAND())</f>
        <v>-1.212379225627414E-2</v>
      </c>
      <c r="T5544" s="59">
        <f ca="1">Dashboard!C$8* Dashboard!$F$4+Dashboard!C$10*SQRT(Dashboard!$F$4) * _xlfn.NORM.S.INV(RAND())</f>
        <v>1.0939700607530183E-2</v>
      </c>
      <c r="U5544" s="59">
        <f ca="1">Dashboard!D$8* Dashboard!$F$4+Dashboard!D$10*SQRT(Dashboard!$F$4) * _xlfn.NORM.S.INV(RAND())</f>
        <v>-1.2482266187517407E-2</v>
      </c>
    </row>
    <row r="5545" spans="18:21" x14ac:dyDescent="0.2">
      <c r="R5545" s="49">
        <v>5543</v>
      </c>
      <c r="S5545" s="59">
        <f ca="1">Dashboard!B$8* Dashboard!$F$4+Dashboard!B$10*SQRT(Dashboard!$F$4) * _xlfn.NORM.S.INV(RAND())</f>
        <v>-3.6942939936721271E-2</v>
      </c>
      <c r="T5545" s="59">
        <f ca="1">Dashboard!C$8* Dashboard!$F$4+Dashboard!C$10*SQRT(Dashboard!$F$4) * _xlfn.NORM.S.INV(RAND())</f>
        <v>-3.8023734672006086E-2</v>
      </c>
      <c r="U5545" s="59">
        <f ca="1">Dashboard!D$8* Dashboard!$F$4+Dashboard!D$10*SQRT(Dashboard!$F$4) * _xlfn.NORM.S.INV(RAND())</f>
        <v>-6.2983849427405356E-2</v>
      </c>
    </row>
    <row r="5546" spans="18:21" x14ac:dyDescent="0.2">
      <c r="R5546" s="49">
        <v>5544</v>
      </c>
      <c r="S5546" s="59">
        <f ca="1">Dashboard!B$8* Dashboard!$F$4+Dashboard!B$10*SQRT(Dashboard!$F$4) * _xlfn.NORM.S.INV(RAND())</f>
        <v>-9.6403494904340852E-3</v>
      </c>
      <c r="T5546" s="59">
        <f ca="1">Dashboard!C$8* Dashboard!$F$4+Dashboard!C$10*SQRT(Dashboard!$F$4) * _xlfn.NORM.S.INV(RAND())</f>
        <v>1.4763450494190755E-2</v>
      </c>
      <c r="U5546" s="59">
        <f ca="1">Dashboard!D$8* Dashboard!$F$4+Dashboard!D$10*SQRT(Dashboard!$F$4) * _xlfn.NORM.S.INV(RAND())</f>
        <v>2.2854722830698133E-2</v>
      </c>
    </row>
    <row r="5547" spans="18:21" x14ac:dyDescent="0.2">
      <c r="R5547" s="49">
        <v>5545</v>
      </c>
      <c r="S5547" s="59">
        <f ca="1">Dashboard!B$8* Dashboard!$F$4+Dashboard!B$10*SQRT(Dashboard!$F$4) * _xlfn.NORM.S.INV(RAND())</f>
        <v>1.0159685735457634E-2</v>
      </c>
      <c r="T5547" s="59">
        <f ca="1">Dashboard!C$8* Dashboard!$F$4+Dashboard!C$10*SQRT(Dashboard!$F$4) * _xlfn.NORM.S.INV(RAND())</f>
        <v>3.1734945352441181E-2</v>
      </c>
      <c r="U5547" s="59">
        <f ca="1">Dashboard!D$8* Dashboard!$F$4+Dashboard!D$10*SQRT(Dashboard!$F$4) * _xlfn.NORM.S.INV(RAND())</f>
        <v>-4.5810364871024566E-3</v>
      </c>
    </row>
    <row r="5548" spans="18:21" x14ac:dyDescent="0.2">
      <c r="R5548" s="49">
        <v>5546</v>
      </c>
      <c r="S5548" s="59">
        <f ca="1">Dashboard!B$8* Dashboard!$F$4+Dashboard!B$10*SQRT(Dashboard!$F$4) * _xlfn.NORM.S.INV(RAND())</f>
        <v>-2.7121875274676986E-2</v>
      </c>
      <c r="T5548" s="59">
        <f ca="1">Dashboard!C$8* Dashboard!$F$4+Dashboard!C$10*SQRT(Dashboard!$F$4) * _xlfn.NORM.S.INV(RAND())</f>
        <v>-1.0481313826049169E-2</v>
      </c>
      <c r="U5548" s="59">
        <f ca="1">Dashboard!D$8* Dashboard!$F$4+Dashboard!D$10*SQRT(Dashboard!$F$4) * _xlfn.NORM.S.INV(RAND())</f>
        <v>7.6454521500230442E-4</v>
      </c>
    </row>
    <row r="5549" spans="18:21" x14ac:dyDescent="0.2">
      <c r="R5549" s="49">
        <v>5547</v>
      </c>
      <c r="S5549" s="59">
        <f ca="1">Dashboard!B$8* Dashboard!$F$4+Dashboard!B$10*SQRT(Dashboard!$F$4) * _xlfn.NORM.S.INV(RAND())</f>
        <v>-4.3466136895336377E-2</v>
      </c>
      <c r="T5549" s="59">
        <f ca="1">Dashboard!C$8* Dashboard!$F$4+Dashboard!C$10*SQRT(Dashboard!$F$4) * _xlfn.NORM.S.INV(RAND())</f>
        <v>5.4173775167558162E-2</v>
      </c>
      <c r="U5549" s="59">
        <f ca="1">Dashboard!D$8* Dashboard!$F$4+Dashboard!D$10*SQRT(Dashboard!$F$4) * _xlfn.NORM.S.INV(RAND())</f>
        <v>2.0275604310049142E-2</v>
      </c>
    </row>
    <row r="5550" spans="18:21" x14ac:dyDescent="0.2">
      <c r="R5550" s="49">
        <v>5548</v>
      </c>
      <c r="S5550" s="59">
        <f ca="1">Dashboard!B$8* Dashboard!$F$4+Dashboard!B$10*SQRT(Dashboard!$F$4) * _xlfn.NORM.S.INV(RAND())</f>
        <v>1.8733451861486221E-2</v>
      </c>
      <c r="T5550" s="59">
        <f ca="1">Dashboard!C$8* Dashboard!$F$4+Dashboard!C$10*SQRT(Dashboard!$F$4) * _xlfn.NORM.S.INV(RAND())</f>
        <v>-3.6153607239096774E-2</v>
      </c>
      <c r="U5550" s="59">
        <f ca="1">Dashboard!D$8* Dashboard!$F$4+Dashboard!D$10*SQRT(Dashboard!$F$4) * _xlfn.NORM.S.INV(RAND())</f>
        <v>1.8643666817013196E-2</v>
      </c>
    </row>
    <row r="5551" spans="18:21" x14ac:dyDescent="0.2">
      <c r="R5551" s="49">
        <v>5549</v>
      </c>
      <c r="S5551" s="59">
        <f ca="1">Dashboard!B$8* Dashboard!$F$4+Dashboard!B$10*SQRT(Dashboard!$F$4) * _xlfn.NORM.S.INV(RAND())</f>
        <v>9.3900752393440617E-2</v>
      </c>
      <c r="T5551" s="59">
        <f ca="1">Dashboard!C$8* Dashboard!$F$4+Dashboard!C$10*SQRT(Dashboard!$F$4) * _xlfn.NORM.S.INV(RAND())</f>
        <v>3.6794088946946468E-3</v>
      </c>
      <c r="U5551" s="59">
        <f ca="1">Dashboard!D$8* Dashboard!$F$4+Dashboard!D$10*SQRT(Dashboard!$F$4) * _xlfn.NORM.S.INV(RAND())</f>
        <v>-4.1926011851034603E-2</v>
      </c>
    </row>
    <row r="5552" spans="18:21" x14ac:dyDescent="0.2">
      <c r="R5552" s="49">
        <v>5550</v>
      </c>
      <c r="S5552" s="59">
        <f ca="1">Dashboard!B$8* Dashboard!$F$4+Dashboard!B$10*SQRT(Dashboard!$F$4) * _xlfn.NORM.S.INV(RAND())</f>
        <v>-2.5420667957334622E-2</v>
      </c>
      <c r="T5552" s="59">
        <f ca="1">Dashboard!C$8* Dashboard!$F$4+Dashboard!C$10*SQRT(Dashboard!$F$4) * _xlfn.NORM.S.INV(RAND())</f>
        <v>-4.4105895704246965E-2</v>
      </c>
      <c r="U5552" s="59">
        <f ca="1">Dashboard!D$8* Dashboard!$F$4+Dashboard!D$10*SQRT(Dashboard!$F$4) * _xlfn.NORM.S.INV(RAND())</f>
        <v>2.4408536369809088E-2</v>
      </c>
    </row>
    <row r="5553" spans="18:21" x14ac:dyDescent="0.2">
      <c r="R5553" s="49">
        <v>5551</v>
      </c>
      <c r="S5553" s="59">
        <f ca="1">Dashboard!B$8* Dashboard!$F$4+Dashboard!B$10*SQRT(Dashboard!$F$4) * _xlfn.NORM.S.INV(RAND())</f>
        <v>1.3813208731281621E-2</v>
      </c>
      <c r="T5553" s="59">
        <f ca="1">Dashboard!C$8* Dashboard!$F$4+Dashboard!C$10*SQRT(Dashboard!$F$4) * _xlfn.NORM.S.INV(RAND())</f>
        <v>4.8785361058613301E-2</v>
      </c>
      <c r="U5553" s="59">
        <f ca="1">Dashboard!D$8* Dashboard!$F$4+Dashboard!D$10*SQRT(Dashboard!$F$4) * _xlfn.NORM.S.INV(RAND())</f>
        <v>1.4910173174585904E-2</v>
      </c>
    </row>
    <row r="5554" spans="18:21" x14ac:dyDescent="0.2">
      <c r="R5554" s="49">
        <v>5552</v>
      </c>
      <c r="S5554" s="59">
        <f ca="1">Dashboard!B$8* Dashboard!$F$4+Dashboard!B$10*SQRT(Dashboard!$F$4) * _xlfn.NORM.S.INV(RAND())</f>
        <v>-1.1267390833050613E-2</v>
      </c>
      <c r="T5554" s="59">
        <f ca="1">Dashboard!C$8* Dashboard!$F$4+Dashboard!C$10*SQRT(Dashboard!$F$4) * _xlfn.NORM.S.INV(RAND())</f>
        <v>-3.2948460985201898E-2</v>
      </c>
      <c r="U5554" s="59">
        <f ca="1">Dashboard!D$8* Dashboard!$F$4+Dashboard!D$10*SQRT(Dashboard!$F$4) * _xlfn.NORM.S.INV(RAND())</f>
        <v>-4.7854887360036374E-3</v>
      </c>
    </row>
    <row r="5555" spans="18:21" x14ac:dyDescent="0.2">
      <c r="R5555" s="49">
        <v>5553</v>
      </c>
      <c r="S5555" s="59">
        <f ca="1">Dashboard!B$8* Dashboard!$F$4+Dashboard!B$10*SQRT(Dashboard!$F$4) * _xlfn.NORM.S.INV(RAND())</f>
        <v>-2.3670425509622436E-2</v>
      </c>
      <c r="T5555" s="59">
        <f ca="1">Dashboard!C$8* Dashboard!$F$4+Dashboard!C$10*SQRT(Dashboard!$F$4) * _xlfn.NORM.S.INV(RAND())</f>
        <v>6.0027790339016951E-2</v>
      </c>
      <c r="U5555" s="59">
        <f ca="1">Dashboard!D$8* Dashboard!$F$4+Dashboard!D$10*SQRT(Dashboard!$F$4) * _xlfn.NORM.S.INV(RAND())</f>
        <v>-3.0346709474725293E-2</v>
      </c>
    </row>
    <row r="5556" spans="18:21" x14ac:dyDescent="0.2">
      <c r="R5556" s="49">
        <v>5554</v>
      </c>
      <c r="S5556" s="59">
        <f ca="1">Dashboard!B$8* Dashboard!$F$4+Dashboard!B$10*SQRT(Dashboard!$F$4) * _xlfn.NORM.S.INV(RAND())</f>
        <v>-1.8530498897409091E-2</v>
      </c>
      <c r="T5556" s="59">
        <f ca="1">Dashboard!C$8* Dashboard!$F$4+Dashboard!C$10*SQRT(Dashboard!$F$4) * _xlfn.NORM.S.INV(RAND())</f>
        <v>1.1081001319971669E-2</v>
      </c>
      <c r="U5556" s="59">
        <f ca="1">Dashboard!D$8* Dashboard!$F$4+Dashboard!D$10*SQRT(Dashboard!$F$4) * _xlfn.NORM.S.INV(RAND())</f>
        <v>-4.2007599486345035E-3</v>
      </c>
    </row>
    <row r="5557" spans="18:21" x14ac:dyDescent="0.2">
      <c r="R5557" s="49">
        <v>5555</v>
      </c>
      <c r="S5557" s="59">
        <f ca="1">Dashboard!B$8* Dashboard!$F$4+Dashboard!B$10*SQRT(Dashboard!$F$4) * _xlfn.NORM.S.INV(RAND())</f>
        <v>5.5820595671940657E-2</v>
      </c>
      <c r="T5557" s="59">
        <f ca="1">Dashboard!C$8* Dashboard!$F$4+Dashboard!C$10*SQRT(Dashboard!$F$4) * _xlfn.NORM.S.INV(RAND())</f>
        <v>-2.1455376903032211E-3</v>
      </c>
      <c r="U5557" s="59">
        <f ca="1">Dashboard!D$8* Dashboard!$F$4+Dashboard!D$10*SQRT(Dashboard!$F$4) * _xlfn.NORM.S.INV(RAND())</f>
        <v>1.4069665356201893E-2</v>
      </c>
    </row>
    <row r="5558" spans="18:21" x14ac:dyDescent="0.2">
      <c r="R5558" s="49">
        <v>5556</v>
      </c>
      <c r="S5558" s="59">
        <f ca="1">Dashboard!B$8* Dashboard!$F$4+Dashboard!B$10*SQRT(Dashboard!$F$4) * _xlfn.NORM.S.INV(RAND())</f>
        <v>2.6505148902185582E-2</v>
      </c>
      <c r="T5558" s="59">
        <f ca="1">Dashboard!C$8* Dashboard!$F$4+Dashboard!C$10*SQRT(Dashboard!$F$4) * _xlfn.NORM.S.INV(RAND())</f>
        <v>-5.2770233068668154E-2</v>
      </c>
      <c r="U5558" s="59">
        <f ca="1">Dashboard!D$8* Dashboard!$F$4+Dashboard!D$10*SQRT(Dashboard!$F$4) * _xlfn.NORM.S.INV(RAND())</f>
        <v>-8.4006869350120479E-3</v>
      </c>
    </row>
    <row r="5559" spans="18:21" x14ac:dyDescent="0.2">
      <c r="R5559" s="49">
        <v>5557</v>
      </c>
      <c r="S5559" s="59">
        <f ca="1">Dashboard!B$8* Dashboard!$F$4+Dashboard!B$10*SQRT(Dashboard!$F$4) * _xlfn.NORM.S.INV(RAND())</f>
        <v>-1.058652532674358E-2</v>
      </c>
      <c r="T5559" s="59">
        <f ca="1">Dashboard!C$8* Dashboard!$F$4+Dashboard!C$10*SQRT(Dashboard!$F$4) * _xlfn.NORM.S.INV(RAND())</f>
        <v>-3.2464996019403291E-3</v>
      </c>
      <c r="U5559" s="59">
        <f ca="1">Dashboard!D$8* Dashboard!$F$4+Dashboard!D$10*SQRT(Dashboard!$F$4) * _xlfn.NORM.S.INV(RAND())</f>
        <v>6.7741666028519124E-2</v>
      </c>
    </row>
    <row r="5560" spans="18:21" x14ac:dyDescent="0.2">
      <c r="R5560" s="49">
        <v>5558</v>
      </c>
      <c r="S5560" s="59">
        <f ca="1">Dashboard!B$8* Dashboard!$F$4+Dashboard!B$10*SQRT(Dashboard!$F$4) * _xlfn.NORM.S.INV(RAND())</f>
        <v>1.9788263795937197E-3</v>
      </c>
      <c r="T5560" s="59">
        <f ca="1">Dashboard!C$8* Dashboard!$F$4+Dashboard!C$10*SQRT(Dashboard!$F$4) * _xlfn.NORM.S.INV(RAND())</f>
        <v>1.3026989701294064E-2</v>
      </c>
      <c r="U5560" s="59">
        <f ca="1">Dashboard!D$8* Dashboard!$F$4+Dashboard!D$10*SQRT(Dashboard!$F$4) * _xlfn.NORM.S.INV(RAND())</f>
        <v>-1.6042523729042305E-2</v>
      </c>
    </row>
    <row r="5561" spans="18:21" x14ac:dyDescent="0.2">
      <c r="R5561" s="49">
        <v>5559</v>
      </c>
      <c r="S5561" s="59">
        <f ca="1">Dashboard!B$8* Dashboard!$F$4+Dashboard!B$10*SQRT(Dashboard!$F$4) * _xlfn.NORM.S.INV(RAND())</f>
        <v>-2.657980913652401E-2</v>
      </c>
      <c r="T5561" s="59">
        <f ca="1">Dashboard!C$8* Dashboard!$F$4+Dashboard!C$10*SQRT(Dashboard!$F$4) * _xlfn.NORM.S.INV(RAND())</f>
        <v>-3.2937263023099664E-3</v>
      </c>
      <c r="U5561" s="59">
        <f ca="1">Dashboard!D$8* Dashboard!$F$4+Dashboard!D$10*SQRT(Dashboard!$F$4) * _xlfn.NORM.S.INV(RAND())</f>
        <v>5.6039454719875023E-2</v>
      </c>
    </row>
    <row r="5562" spans="18:21" x14ac:dyDescent="0.2">
      <c r="R5562" s="49">
        <v>5560</v>
      </c>
      <c r="S5562" s="59">
        <f ca="1">Dashboard!B$8* Dashboard!$F$4+Dashboard!B$10*SQRT(Dashboard!$F$4) * _xlfn.NORM.S.INV(RAND())</f>
        <v>-5.6069097339065468E-2</v>
      </c>
      <c r="T5562" s="59">
        <f ca="1">Dashboard!C$8* Dashboard!$F$4+Dashboard!C$10*SQRT(Dashboard!$F$4) * _xlfn.NORM.S.INV(RAND())</f>
        <v>2.5675884049946407E-3</v>
      </c>
      <c r="U5562" s="59">
        <f ca="1">Dashboard!D$8* Dashboard!$F$4+Dashboard!D$10*SQRT(Dashboard!$F$4) * _xlfn.NORM.S.INV(RAND())</f>
        <v>-1.994581984545132E-2</v>
      </c>
    </row>
    <row r="5563" spans="18:21" x14ac:dyDescent="0.2">
      <c r="R5563" s="49">
        <v>5561</v>
      </c>
      <c r="S5563" s="59">
        <f ca="1">Dashboard!B$8* Dashboard!$F$4+Dashboard!B$10*SQRT(Dashboard!$F$4) * _xlfn.NORM.S.INV(RAND())</f>
        <v>1.4706212750394415E-2</v>
      </c>
      <c r="T5563" s="59">
        <f ca="1">Dashboard!C$8* Dashboard!$F$4+Dashboard!C$10*SQRT(Dashboard!$F$4) * _xlfn.NORM.S.INV(RAND())</f>
        <v>-1.6804196432619767E-2</v>
      </c>
      <c r="U5563" s="59">
        <f ca="1">Dashboard!D$8* Dashboard!$F$4+Dashboard!D$10*SQRT(Dashboard!$F$4) * _xlfn.NORM.S.INV(RAND())</f>
        <v>2.2298774947407334E-2</v>
      </c>
    </row>
    <row r="5564" spans="18:21" x14ac:dyDescent="0.2">
      <c r="R5564" s="49">
        <v>5562</v>
      </c>
      <c r="S5564" s="59">
        <f ca="1">Dashboard!B$8* Dashboard!$F$4+Dashboard!B$10*SQRT(Dashboard!$F$4) * _xlfn.NORM.S.INV(RAND())</f>
        <v>-9.7717087562837202E-3</v>
      </c>
      <c r="T5564" s="59">
        <f ca="1">Dashboard!C$8* Dashboard!$F$4+Dashboard!C$10*SQRT(Dashboard!$F$4) * _xlfn.NORM.S.INV(RAND())</f>
        <v>-1.9166693937942295E-2</v>
      </c>
      <c r="U5564" s="59">
        <f ca="1">Dashboard!D$8* Dashboard!$F$4+Dashboard!D$10*SQRT(Dashboard!$F$4) * _xlfn.NORM.S.INV(RAND())</f>
        <v>-4.0230755262947926E-3</v>
      </c>
    </row>
    <row r="5565" spans="18:21" x14ac:dyDescent="0.2">
      <c r="R5565" s="49">
        <v>5563</v>
      </c>
      <c r="S5565" s="59">
        <f ca="1">Dashboard!B$8* Dashboard!$F$4+Dashboard!B$10*SQRT(Dashboard!$F$4) * _xlfn.NORM.S.INV(RAND())</f>
        <v>-1.6011441613028241E-2</v>
      </c>
      <c r="T5565" s="59">
        <f ca="1">Dashboard!C$8* Dashboard!$F$4+Dashboard!C$10*SQRT(Dashboard!$F$4) * _xlfn.NORM.S.INV(RAND())</f>
        <v>-1.3590403647697716E-2</v>
      </c>
      <c r="U5565" s="59">
        <f ca="1">Dashboard!D$8* Dashboard!$F$4+Dashboard!D$10*SQRT(Dashboard!$F$4) * _xlfn.NORM.S.INV(RAND())</f>
        <v>-3.3669208191385927E-2</v>
      </c>
    </row>
    <row r="5566" spans="18:21" x14ac:dyDescent="0.2">
      <c r="R5566" s="49">
        <v>5564</v>
      </c>
      <c r="S5566" s="59">
        <f ca="1">Dashboard!B$8* Dashboard!$F$4+Dashboard!B$10*SQRT(Dashboard!$F$4) * _xlfn.NORM.S.INV(RAND())</f>
        <v>-6.6925849906706754E-3</v>
      </c>
      <c r="T5566" s="59">
        <f ca="1">Dashboard!C$8* Dashboard!$F$4+Dashboard!C$10*SQRT(Dashboard!$F$4) * _xlfn.NORM.S.INV(RAND())</f>
        <v>-6.0260918126106802E-2</v>
      </c>
      <c r="U5566" s="59">
        <f ca="1">Dashboard!D$8* Dashboard!$F$4+Dashboard!D$10*SQRT(Dashboard!$F$4) * _xlfn.NORM.S.INV(RAND())</f>
        <v>-1.6707941542751095E-2</v>
      </c>
    </row>
    <row r="5567" spans="18:21" x14ac:dyDescent="0.2">
      <c r="R5567" s="49">
        <v>5565</v>
      </c>
      <c r="S5567" s="59">
        <f ca="1">Dashboard!B$8* Dashboard!$F$4+Dashboard!B$10*SQRT(Dashboard!$F$4) * _xlfn.NORM.S.INV(RAND())</f>
        <v>-6.7250541923142171E-2</v>
      </c>
      <c r="T5567" s="59">
        <f ca="1">Dashboard!C$8* Dashboard!$F$4+Dashboard!C$10*SQRT(Dashboard!$F$4) * _xlfn.NORM.S.INV(RAND())</f>
        <v>3.1634542344583405E-2</v>
      </c>
      <c r="U5567" s="59">
        <f ca="1">Dashboard!D$8* Dashboard!$F$4+Dashboard!D$10*SQRT(Dashboard!$F$4) * _xlfn.NORM.S.INV(RAND())</f>
        <v>4.5392251300482286E-2</v>
      </c>
    </row>
    <row r="5568" spans="18:21" x14ac:dyDescent="0.2">
      <c r="R5568" s="49">
        <v>5566</v>
      </c>
      <c r="S5568" s="59">
        <f ca="1">Dashboard!B$8* Dashboard!$F$4+Dashboard!B$10*SQRT(Dashboard!$F$4) * _xlfn.NORM.S.INV(RAND())</f>
        <v>-3.9956780307945979E-2</v>
      </c>
      <c r="T5568" s="59">
        <f ca="1">Dashboard!C$8* Dashboard!$F$4+Dashboard!C$10*SQRT(Dashboard!$F$4) * _xlfn.NORM.S.INV(RAND())</f>
        <v>-5.2448012388242253E-2</v>
      </c>
      <c r="U5568" s="59">
        <f ca="1">Dashboard!D$8* Dashboard!$F$4+Dashboard!D$10*SQRT(Dashboard!$F$4) * _xlfn.NORM.S.INV(RAND())</f>
        <v>-1.5599965029988481E-2</v>
      </c>
    </row>
    <row r="5569" spans="18:21" x14ac:dyDescent="0.2">
      <c r="R5569" s="49">
        <v>5567</v>
      </c>
      <c r="S5569" s="59">
        <f ca="1">Dashboard!B$8* Dashboard!$F$4+Dashboard!B$10*SQRT(Dashboard!$F$4) * _xlfn.NORM.S.INV(RAND())</f>
        <v>-7.0954196912983332E-3</v>
      </c>
      <c r="T5569" s="59">
        <f ca="1">Dashboard!C$8* Dashboard!$F$4+Dashboard!C$10*SQRT(Dashboard!$F$4) * _xlfn.NORM.S.INV(RAND())</f>
        <v>-1.1993489605994969E-2</v>
      </c>
      <c r="U5569" s="59">
        <f ca="1">Dashboard!D$8* Dashboard!$F$4+Dashboard!D$10*SQRT(Dashboard!$F$4) * _xlfn.NORM.S.INV(RAND())</f>
        <v>-2.5976631221552405E-2</v>
      </c>
    </row>
    <row r="5570" spans="18:21" x14ac:dyDescent="0.2">
      <c r="R5570" s="49">
        <v>5568</v>
      </c>
      <c r="S5570" s="59">
        <f ca="1">Dashboard!B$8* Dashboard!$F$4+Dashboard!B$10*SQRT(Dashboard!$F$4) * _xlfn.NORM.S.INV(RAND())</f>
        <v>-2.421092958096218E-2</v>
      </c>
      <c r="T5570" s="59">
        <f ca="1">Dashboard!C$8* Dashboard!$F$4+Dashboard!C$10*SQRT(Dashboard!$F$4) * _xlfn.NORM.S.INV(RAND())</f>
        <v>-1.5272107656468532E-2</v>
      </c>
      <c r="U5570" s="59">
        <f ca="1">Dashboard!D$8* Dashboard!$F$4+Dashboard!D$10*SQRT(Dashboard!$F$4) * _xlfn.NORM.S.INV(RAND())</f>
        <v>-4.9447302449632011E-2</v>
      </c>
    </row>
    <row r="5571" spans="18:21" x14ac:dyDescent="0.2">
      <c r="R5571" s="49">
        <v>5569</v>
      </c>
      <c r="S5571" s="59">
        <f ca="1">Dashboard!B$8* Dashboard!$F$4+Dashboard!B$10*SQRT(Dashboard!$F$4) * _xlfn.NORM.S.INV(RAND())</f>
        <v>1.3945030690125407E-2</v>
      </c>
      <c r="T5571" s="59">
        <f ca="1">Dashboard!C$8* Dashboard!$F$4+Dashboard!C$10*SQRT(Dashboard!$F$4) * _xlfn.NORM.S.INV(RAND())</f>
        <v>-6.0458780188593395E-2</v>
      </c>
      <c r="U5571" s="59">
        <f ca="1">Dashboard!D$8* Dashboard!$F$4+Dashboard!D$10*SQRT(Dashboard!$F$4) * _xlfn.NORM.S.INV(RAND())</f>
        <v>2.3262590954518384E-2</v>
      </c>
    </row>
    <row r="5572" spans="18:21" x14ac:dyDescent="0.2">
      <c r="R5572" s="49">
        <v>5570</v>
      </c>
      <c r="S5572" s="59">
        <f ca="1">Dashboard!B$8* Dashboard!$F$4+Dashboard!B$10*SQRT(Dashboard!$F$4) * _xlfn.NORM.S.INV(RAND())</f>
        <v>-6.1466586447460669E-2</v>
      </c>
      <c r="T5572" s="59">
        <f ca="1">Dashboard!C$8* Dashboard!$F$4+Dashboard!C$10*SQRT(Dashboard!$F$4) * _xlfn.NORM.S.INV(RAND())</f>
        <v>3.7952698569363473E-2</v>
      </c>
      <c r="U5572" s="59">
        <f ca="1">Dashboard!D$8* Dashboard!$F$4+Dashboard!D$10*SQRT(Dashboard!$F$4) * _xlfn.NORM.S.INV(RAND())</f>
        <v>7.168873705880062E-2</v>
      </c>
    </row>
    <row r="5573" spans="18:21" x14ac:dyDescent="0.2">
      <c r="R5573" s="49">
        <v>5571</v>
      </c>
      <c r="S5573" s="59">
        <f ca="1">Dashboard!B$8* Dashboard!$F$4+Dashboard!B$10*SQRT(Dashboard!$F$4) * _xlfn.NORM.S.INV(RAND())</f>
        <v>1.488835425647198E-2</v>
      </c>
      <c r="T5573" s="59">
        <f ca="1">Dashboard!C$8* Dashboard!$F$4+Dashboard!C$10*SQRT(Dashboard!$F$4) * _xlfn.NORM.S.INV(RAND())</f>
        <v>-1.6373182507777664E-2</v>
      </c>
      <c r="U5573" s="59">
        <f ca="1">Dashboard!D$8* Dashboard!$F$4+Dashboard!D$10*SQRT(Dashboard!$F$4) * _xlfn.NORM.S.INV(RAND())</f>
        <v>2.1401870312488094E-2</v>
      </c>
    </row>
    <row r="5574" spans="18:21" x14ac:dyDescent="0.2">
      <c r="R5574" s="49">
        <v>5572</v>
      </c>
      <c r="S5574" s="59">
        <f ca="1">Dashboard!B$8* Dashboard!$F$4+Dashboard!B$10*SQRT(Dashboard!$F$4) * _xlfn.NORM.S.INV(RAND())</f>
        <v>3.6911377281774585E-2</v>
      </c>
      <c r="T5574" s="59">
        <f ca="1">Dashboard!C$8* Dashboard!$F$4+Dashboard!C$10*SQRT(Dashboard!$F$4) * _xlfn.NORM.S.INV(RAND())</f>
        <v>4.4576313280694245E-2</v>
      </c>
      <c r="U5574" s="59">
        <f ca="1">Dashboard!D$8* Dashboard!$F$4+Dashboard!D$10*SQRT(Dashboard!$F$4) * _xlfn.NORM.S.INV(RAND())</f>
        <v>2.1392832546893035E-2</v>
      </c>
    </row>
    <row r="5575" spans="18:21" x14ac:dyDescent="0.2">
      <c r="R5575" s="49">
        <v>5573</v>
      </c>
      <c r="S5575" s="59">
        <f ca="1">Dashboard!B$8* Dashboard!$F$4+Dashboard!B$10*SQRT(Dashboard!$F$4) * _xlfn.NORM.S.INV(RAND())</f>
        <v>3.0101752138583106E-2</v>
      </c>
      <c r="T5575" s="59">
        <f ca="1">Dashboard!C$8* Dashboard!$F$4+Dashboard!C$10*SQRT(Dashboard!$F$4) * _xlfn.NORM.S.INV(RAND())</f>
        <v>-3.8292925999448479E-3</v>
      </c>
      <c r="U5575" s="59">
        <f ca="1">Dashboard!D$8* Dashboard!$F$4+Dashboard!D$10*SQRT(Dashboard!$F$4) * _xlfn.NORM.S.INV(RAND())</f>
        <v>1.7464017214806411E-2</v>
      </c>
    </row>
    <row r="5576" spans="18:21" x14ac:dyDescent="0.2">
      <c r="R5576" s="49">
        <v>5574</v>
      </c>
      <c r="S5576" s="59">
        <f ca="1">Dashboard!B$8* Dashboard!$F$4+Dashboard!B$10*SQRT(Dashboard!$F$4) * _xlfn.NORM.S.INV(RAND())</f>
        <v>6.1307638818809018E-2</v>
      </c>
      <c r="T5576" s="59">
        <f ca="1">Dashboard!C$8* Dashboard!$F$4+Dashboard!C$10*SQRT(Dashboard!$F$4) * _xlfn.NORM.S.INV(RAND())</f>
        <v>1.7992913607726903E-2</v>
      </c>
      <c r="U5576" s="59">
        <f ca="1">Dashboard!D$8* Dashboard!$F$4+Dashboard!D$10*SQRT(Dashboard!$F$4) * _xlfn.NORM.S.INV(RAND())</f>
        <v>-5.8175585035513582E-3</v>
      </c>
    </row>
    <row r="5577" spans="18:21" x14ac:dyDescent="0.2">
      <c r="R5577" s="49">
        <v>5575</v>
      </c>
      <c r="S5577" s="59">
        <f ca="1">Dashboard!B$8* Dashboard!$F$4+Dashboard!B$10*SQRT(Dashboard!$F$4) * _xlfn.NORM.S.INV(RAND())</f>
        <v>4.5607198687234389E-2</v>
      </c>
      <c r="T5577" s="59">
        <f ca="1">Dashboard!C$8* Dashboard!$F$4+Dashboard!C$10*SQRT(Dashboard!$F$4) * _xlfn.NORM.S.INV(RAND())</f>
        <v>2.7486652373131304E-2</v>
      </c>
      <c r="U5577" s="59">
        <f ca="1">Dashboard!D$8* Dashboard!$F$4+Dashboard!D$10*SQRT(Dashboard!$F$4) * _xlfn.NORM.S.INV(RAND())</f>
        <v>-6.1750456507582057E-3</v>
      </c>
    </row>
    <row r="5578" spans="18:21" x14ac:dyDescent="0.2">
      <c r="R5578" s="49">
        <v>5576</v>
      </c>
      <c r="S5578" s="59">
        <f ca="1">Dashboard!B$8* Dashboard!$F$4+Dashboard!B$10*SQRT(Dashboard!$F$4) * _xlfn.NORM.S.INV(RAND())</f>
        <v>-2.3449983077764115E-2</v>
      </c>
      <c r="T5578" s="59">
        <f ca="1">Dashboard!C$8* Dashboard!$F$4+Dashboard!C$10*SQRT(Dashboard!$F$4) * _xlfn.NORM.S.INV(RAND())</f>
        <v>4.7377240324116762E-3</v>
      </c>
      <c r="U5578" s="59">
        <f ca="1">Dashboard!D$8* Dashboard!$F$4+Dashboard!D$10*SQRT(Dashboard!$F$4) * _xlfn.NORM.S.INV(RAND())</f>
        <v>2.9647960549931452E-2</v>
      </c>
    </row>
    <row r="5579" spans="18:21" x14ac:dyDescent="0.2">
      <c r="R5579" s="49">
        <v>5577</v>
      </c>
      <c r="S5579" s="59">
        <f ca="1">Dashboard!B$8* Dashboard!$F$4+Dashboard!B$10*SQRT(Dashboard!$F$4) * _xlfn.NORM.S.INV(RAND())</f>
        <v>-1.2639544783704626E-2</v>
      </c>
      <c r="T5579" s="59">
        <f ca="1">Dashboard!C$8* Dashboard!$F$4+Dashboard!C$10*SQRT(Dashboard!$F$4) * _xlfn.NORM.S.INV(RAND())</f>
        <v>2.3839162346952015E-3</v>
      </c>
      <c r="U5579" s="59">
        <f ca="1">Dashboard!D$8* Dashboard!$F$4+Dashboard!D$10*SQRT(Dashboard!$F$4) * _xlfn.NORM.S.INV(RAND())</f>
        <v>8.0124121986329622E-2</v>
      </c>
    </row>
    <row r="5580" spans="18:21" x14ac:dyDescent="0.2">
      <c r="R5580" s="49">
        <v>5578</v>
      </c>
      <c r="S5580" s="59">
        <f ca="1">Dashboard!B$8* Dashboard!$F$4+Dashboard!B$10*SQRT(Dashboard!$F$4) * _xlfn.NORM.S.INV(RAND())</f>
        <v>1.1148312732088671E-2</v>
      </c>
      <c r="T5580" s="59">
        <f ca="1">Dashboard!C$8* Dashboard!$F$4+Dashboard!C$10*SQRT(Dashboard!$F$4) * _xlfn.NORM.S.INV(RAND())</f>
        <v>-4.422477650875177E-2</v>
      </c>
      <c r="U5580" s="59">
        <f ca="1">Dashboard!D$8* Dashboard!$F$4+Dashboard!D$10*SQRT(Dashboard!$F$4) * _xlfn.NORM.S.INV(RAND())</f>
        <v>-1.5488979077599187E-2</v>
      </c>
    </row>
    <row r="5581" spans="18:21" x14ac:dyDescent="0.2">
      <c r="R5581" s="49">
        <v>5579</v>
      </c>
      <c r="S5581" s="59">
        <f ca="1">Dashboard!B$8* Dashboard!$F$4+Dashboard!B$10*SQRT(Dashboard!$F$4) * _xlfn.NORM.S.INV(RAND())</f>
        <v>-1.318626045190739E-2</v>
      </c>
      <c r="T5581" s="59">
        <f ca="1">Dashboard!C$8* Dashboard!$F$4+Dashboard!C$10*SQRT(Dashboard!$F$4) * _xlfn.NORM.S.INV(RAND())</f>
        <v>-4.2443549064462953E-2</v>
      </c>
      <c r="U5581" s="59">
        <f ca="1">Dashboard!D$8* Dashboard!$F$4+Dashboard!D$10*SQRT(Dashboard!$F$4) * _xlfn.NORM.S.INV(RAND())</f>
        <v>3.4267383667762108E-2</v>
      </c>
    </row>
    <row r="5582" spans="18:21" x14ac:dyDescent="0.2">
      <c r="R5582" s="49">
        <v>5580</v>
      </c>
      <c r="S5582" s="59">
        <f ca="1">Dashboard!B$8* Dashboard!$F$4+Dashboard!B$10*SQRT(Dashboard!$F$4) * _xlfn.NORM.S.INV(RAND())</f>
        <v>-7.338967060019766E-2</v>
      </c>
      <c r="T5582" s="59">
        <f ca="1">Dashboard!C$8* Dashboard!$F$4+Dashboard!C$10*SQRT(Dashboard!$F$4) * _xlfn.NORM.S.INV(RAND())</f>
        <v>8.3130655130670764E-2</v>
      </c>
      <c r="U5582" s="59">
        <f ca="1">Dashboard!D$8* Dashboard!$F$4+Dashboard!D$10*SQRT(Dashboard!$F$4) * _xlfn.NORM.S.INV(RAND())</f>
        <v>-7.0927252027705159E-3</v>
      </c>
    </row>
    <row r="5583" spans="18:21" x14ac:dyDescent="0.2">
      <c r="R5583" s="49">
        <v>5581</v>
      </c>
      <c r="S5583" s="59">
        <f ca="1">Dashboard!B$8* Dashboard!$F$4+Dashboard!B$10*SQRT(Dashboard!$F$4) * _xlfn.NORM.S.INV(RAND())</f>
        <v>-2.9951293205416271E-2</v>
      </c>
      <c r="T5583" s="59">
        <f ca="1">Dashboard!C$8* Dashboard!$F$4+Dashboard!C$10*SQRT(Dashboard!$F$4) * _xlfn.NORM.S.INV(RAND())</f>
        <v>-7.5398817743222726E-2</v>
      </c>
      <c r="U5583" s="59">
        <f ca="1">Dashboard!D$8* Dashboard!$F$4+Dashboard!D$10*SQRT(Dashboard!$F$4) * _xlfn.NORM.S.INV(RAND())</f>
        <v>4.6655130118046909E-2</v>
      </c>
    </row>
    <row r="5584" spans="18:21" x14ac:dyDescent="0.2">
      <c r="R5584" s="49">
        <v>5582</v>
      </c>
      <c r="S5584" s="59">
        <f ca="1">Dashboard!B$8* Dashboard!$F$4+Dashboard!B$10*SQRT(Dashboard!$F$4) * _xlfn.NORM.S.INV(RAND())</f>
        <v>1.2262460577689678E-2</v>
      </c>
      <c r="T5584" s="59">
        <f ca="1">Dashboard!C$8* Dashboard!$F$4+Dashboard!C$10*SQRT(Dashboard!$F$4) * _xlfn.NORM.S.INV(RAND())</f>
        <v>3.6296086284933228E-2</v>
      </c>
      <c r="U5584" s="59">
        <f ca="1">Dashboard!D$8* Dashboard!$F$4+Dashboard!D$10*SQRT(Dashboard!$F$4) * _xlfn.NORM.S.INV(RAND())</f>
        <v>-1.6343735495309446E-3</v>
      </c>
    </row>
    <row r="5585" spans="18:21" x14ac:dyDescent="0.2">
      <c r="R5585" s="49">
        <v>5583</v>
      </c>
      <c r="S5585" s="59">
        <f ca="1">Dashboard!B$8* Dashboard!$F$4+Dashboard!B$10*SQRT(Dashboard!$F$4) * _xlfn.NORM.S.INV(RAND())</f>
        <v>-1.5210945634107366E-3</v>
      </c>
      <c r="T5585" s="59">
        <f ca="1">Dashboard!C$8* Dashboard!$F$4+Dashboard!C$10*SQRT(Dashboard!$F$4) * _xlfn.NORM.S.INV(RAND())</f>
        <v>6.594263653359236E-3</v>
      </c>
      <c r="U5585" s="59">
        <f ca="1">Dashboard!D$8* Dashboard!$F$4+Dashboard!D$10*SQRT(Dashboard!$F$4) * _xlfn.NORM.S.INV(RAND())</f>
        <v>-2.2940472189575126E-2</v>
      </c>
    </row>
    <row r="5586" spans="18:21" x14ac:dyDescent="0.2">
      <c r="R5586" s="49">
        <v>5584</v>
      </c>
      <c r="S5586" s="59">
        <f ca="1">Dashboard!B$8* Dashboard!$F$4+Dashboard!B$10*SQRT(Dashboard!$F$4) * _xlfn.NORM.S.INV(RAND())</f>
        <v>-5.1033314546821903E-3</v>
      </c>
      <c r="T5586" s="59">
        <f ca="1">Dashboard!C$8* Dashboard!$F$4+Dashboard!C$10*SQRT(Dashboard!$F$4) * _xlfn.NORM.S.INV(RAND())</f>
        <v>-6.2264544111871366E-3</v>
      </c>
      <c r="U5586" s="59">
        <f ca="1">Dashboard!D$8* Dashboard!$F$4+Dashboard!D$10*SQRT(Dashboard!$F$4) * _xlfn.NORM.S.INV(RAND())</f>
        <v>-3.1319959184093206E-4</v>
      </c>
    </row>
    <row r="5587" spans="18:21" x14ac:dyDescent="0.2">
      <c r="R5587" s="49">
        <v>5585</v>
      </c>
      <c r="S5587" s="59">
        <f ca="1">Dashboard!B$8* Dashboard!$F$4+Dashboard!B$10*SQRT(Dashboard!$F$4) * _xlfn.NORM.S.INV(RAND())</f>
        <v>-8.3694738378640998E-3</v>
      </c>
      <c r="T5587" s="59">
        <f ca="1">Dashboard!C$8* Dashboard!$F$4+Dashboard!C$10*SQRT(Dashboard!$F$4) * _xlfn.NORM.S.INV(RAND())</f>
        <v>-2.2972229358003044E-2</v>
      </c>
      <c r="U5587" s="59">
        <f ca="1">Dashboard!D$8* Dashboard!$F$4+Dashboard!D$10*SQRT(Dashboard!$F$4) * _xlfn.NORM.S.INV(RAND())</f>
        <v>2.5161514384004151E-2</v>
      </c>
    </row>
    <row r="5588" spans="18:21" x14ac:dyDescent="0.2">
      <c r="R5588" s="49">
        <v>5586</v>
      </c>
      <c r="S5588" s="59">
        <f ca="1">Dashboard!B$8* Dashboard!$F$4+Dashboard!B$10*SQRT(Dashboard!$F$4) * _xlfn.NORM.S.INV(RAND())</f>
        <v>1.4668184150398658E-2</v>
      </c>
      <c r="T5588" s="59">
        <f ca="1">Dashboard!C$8* Dashboard!$F$4+Dashboard!C$10*SQRT(Dashboard!$F$4) * _xlfn.NORM.S.INV(RAND())</f>
        <v>2.9047340218998326E-3</v>
      </c>
      <c r="U5588" s="59">
        <f ca="1">Dashboard!D$8* Dashboard!$F$4+Dashboard!D$10*SQRT(Dashboard!$F$4) * _xlfn.NORM.S.INV(RAND())</f>
        <v>1.4826242611707525E-2</v>
      </c>
    </row>
    <row r="5589" spans="18:21" x14ac:dyDescent="0.2">
      <c r="R5589" s="49">
        <v>5587</v>
      </c>
      <c r="S5589" s="59">
        <f ca="1">Dashboard!B$8* Dashboard!$F$4+Dashboard!B$10*SQRT(Dashboard!$F$4) * _xlfn.NORM.S.INV(RAND())</f>
        <v>3.7007726468227475E-2</v>
      </c>
      <c r="T5589" s="59">
        <f ca="1">Dashboard!C$8* Dashboard!$F$4+Dashboard!C$10*SQRT(Dashboard!$F$4) * _xlfn.NORM.S.INV(RAND())</f>
        <v>5.1943652874851948E-3</v>
      </c>
      <c r="U5589" s="59">
        <f ca="1">Dashboard!D$8* Dashboard!$F$4+Dashboard!D$10*SQRT(Dashboard!$F$4) * _xlfn.NORM.S.INV(RAND())</f>
        <v>-1.1116044102219053E-2</v>
      </c>
    </row>
    <row r="5590" spans="18:21" x14ac:dyDescent="0.2">
      <c r="R5590" s="49">
        <v>5588</v>
      </c>
      <c r="S5590" s="59">
        <f ca="1">Dashboard!B$8* Dashboard!$F$4+Dashboard!B$10*SQRT(Dashboard!$F$4) * _xlfn.NORM.S.INV(RAND())</f>
        <v>-1.8263416710012206E-2</v>
      </c>
      <c r="T5590" s="59">
        <f ca="1">Dashboard!C$8* Dashboard!$F$4+Dashboard!C$10*SQRT(Dashboard!$F$4) * _xlfn.NORM.S.INV(RAND())</f>
        <v>-2.3690932336155466E-2</v>
      </c>
      <c r="U5590" s="59">
        <f ca="1">Dashboard!D$8* Dashboard!$F$4+Dashboard!D$10*SQRT(Dashboard!$F$4) * _xlfn.NORM.S.INV(RAND())</f>
        <v>-3.6915919481716186E-2</v>
      </c>
    </row>
    <row r="5591" spans="18:21" x14ac:dyDescent="0.2">
      <c r="R5591" s="49">
        <v>5589</v>
      </c>
      <c r="S5591" s="59">
        <f ca="1">Dashboard!B$8* Dashboard!$F$4+Dashboard!B$10*SQRT(Dashboard!$F$4) * _xlfn.NORM.S.INV(RAND())</f>
        <v>-5.8664420520960173E-2</v>
      </c>
      <c r="T5591" s="59">
        <f ca="1">Dashboard!C$8* Dashboard!$F$4+Dashboard!C$10*SQRT(Dashboard!$F$4) * _xlfn.NORM.S.INV(RAND())</f>
        <v>-4.2613402289697039E-2</v>
      </c>
      <c r="U5591" s="59">
        <f ca="1">Dashboard!D$8* Dashboard!$F$4+Dashboard!D$10*SQRT(Dashboard!$F$4) * _xlfn.NORM.S.INV(RAND())</f>
        <v>1.1396668812692088E-2</v>
      </c>
    </row>
    <row r="5592" spans="18:21" x14ac:dyDescent="0.2">
      <c r="R5592" s="49">
        <v>5590</v>
      </c>
      <c r="S5592" s="59">
        <f ca="1">Dashboard!B$8* Dashboard!$F$4+Dashboard!B$10*SQRT(Dashboard!$F$4) * _xlfn.NORM.S.INV(RAND())</f>
        <v>-2.0744119244804058E-3</v>
      </c>
      <c r="T5592" s="59">
        <f ca="1">Dashboard!C$8* Dashboard!$F$4+Dashboard!C$10*SQRT(Dashboard!$F$4) * _xlfn.NORM.S.INV(RAND())</f>
        <v>-1.2300866042685397E-3</v>
      </c>
      <c r="U5592" s="59">
        <f ca="1">Dashboard!D$8* Dashboard!$F$4+Dashboard!D$10*SQRT(Dashboard!$F$4) * _xlfn.NORM.S.INV(RAND())</f>
        <v>-7.0340277077571775E-2</v>
      </c>
    </row>
    <row r="5593" spans="18:21" x14ac:dyDescent="0.2">
      <c r="R5593" s="49">
        <v>5591</v>
      </c>
      <c r="S5593" s="59">
        <f ca="1">Dashboard!B$8* Dashboard!$F$4+Dashboard!B$10*SQRT(Dashboard!$F$4) * _xlfn.NORM.S.INV(RAND())</f>
        <v>2.8916793048347829E-2</v>
      </c>
      <c r="T5593" s="59">
        <f ca="1">Dashboard!C$8* Dashboard!$F$4+Dashboard!C$10*SQRT(Dashboard!$F$4) * _xlfn.NORM.S.INV(RAND())</f>
        <v>3.4400772341939688E-2</v>
      </c>
      <c r="U5593" s="59">
        <f ca="1">Dashboard!D$8* Dashboard!$F$4+Dashboard!D$10*SQRT(Dashboard!$F$4) * _xlfn.NORM.S.INV(RAND())</f>
        <v>6.5761685287481619E-3</v>
      </c>
    </row>
    <row r="5594" spans="18:21" x14ac:dyDescent="0.2">
      <c r="R5594" s="49">
        <v>5592</v>
      </c>
      <c r="S5594" s="59">
        <f ca="1">Dashboard!B$8* Dashboard!$F$4+Dashboard!B$10*SQRT(Dashboard!$F$4) * _xlfn.NORM.S.INV(RAND())</f>
        <v>1.4049622605893456E-2</v>
      </c>
      <c r="T5594" s="59">
        <f ca="1">Dashboard!C$8* Dashboard!$F$4+Dashboard!C$10*SQRT(Dashboard!$F$4) * _xlfn.NORM.S.INV(RAND())</f>
        <v>-4.0543547511154847E-2</v>
      </c>
      <c r="U5594" s="59">
        <f ca="1">Dashboard!D$8* Dashboard!$F$4+Dashboard!D$10*SQRT(Dashboard!$F$4) * _xlfn.NORM.S.INV(RAND())</f>
        <v>-2.7761726723917548E-2</v>
      </c>
    </row>
    <row r="5595" spans="18:21" x14ac:dyDescent="0.2">
      <c r="R5595" s="49">
        <v>5593</v>
      </c>
      <c r="S5595" s="59">
        <f ca="1">Dashboard!B$8* Dashboard!$F$4+Dashboard!B$10*SQRT(Dashboard!$F$4) * _xlfn.NORM.S.INV(RAND())</f>
        <v>-2.7898208983620685E-3</v>
      </c>
      <c r="T5595" s="59">
        <f ca="1">Dashboard!C$8* Dashboard!$F$4+Dashboard!C$10*SQRT(Dashboard!$F$4) * _xlfn.NORM.S.INV(RAND())</f>
        <v>-1.7346961208720715E-2</v>
      </c>
      <c r="U5595" s="59">
        <f ca="1">Dashboard!D$8* Dashboard!$F$4+Dashboard!D$10*SQRT(Dashboard!$F$4) * _xlfn.NORM.S.INV(RAND())</f>
        <v>1.6099663069618596E-2</v>
      </c>
    </row>
    <row r="5596" spans="18:21" x14ac:dyDescent="0.2">
      <c r="R5596" s="49">
        <v>5594</v>
      </c>
      <c r="S5596" s="59">
        <f ca="1">Dashboard!B$8* Dashboard!$F$4+Dashboard!B$10*SQRT(Dashboard!$F$4) * _xlfn.NORM.S.INV(RAND())</f>
        <v>-6.0602298696334669E-2</v>
      </c>
      <c r="T5596" s="59">
        <f ca="1">Dashboard!C$8* Dashboard!$F$4+Dashboard!C$10*SQRT(Dashboard!$F$4) * _xlfn.NORM.S.INV(RAND())</f>
        <v>-3.6278315420537006E-2</v>
      </c>
      <c r="U5596" s="59">
        <f ca="1">Dashboard!D$8* Dashboard!$F$4+Dashboard!D$10*SQRT(Dashboard!$F$4) * _xlfn.NORM.S.INV(RAND())</f>
        <v>-3.1302894266301617E-2</v>
      </c>
    </row>
    <row r="5597" spans="18:21" x14ac:dyDescent="0.2">
      <c r="R5597" s="49">
        <v>5595</v>
      </c>
      <c r="S5597" s="59">
        <f ca="1">Dashboard!B$8* Dashboard!$F$4+Dashboard!B$10*SQRT(Dashboard!$F$4) * _xlfn.NORM.S.INV(RAND())</f>
        <v>4.4835880905993018E-2</v>
      </c>
      <c r="T5597" s="59">
        <f ca="1">Dashboard!C$8* Dashboard!$F$4+Dashboard!C$10*SQRT(Dashboard!$F$4) * _xlfn.NORM.S.INV(RAND())</f>
        <v>3.3154855063308043E-2</v>
      </c>
      <c r="U5597" s="59">
        <f ca="1">Dashboard!D$8* Dashboard!$F$4+Dashboard!D$10*SQRT(Dashboard!$F$4) * _xlfn.NORM.S.INV(RAND())</f>
        <v>2.2809221835372291E-3</v>
      </c>
    </row>
    <row r="5598" spans="18:21" x14ac:dyDescent="0.2">
      <c r="R5598" s="49">
        <v>5596</v>
      </c>
      <c r="S5598" s="59">
        <f ca="1">Dashboard!B$8* Dashboard!$F$4+Dashboard!B$10*SQRT(Dashboard!$F$4) * _xlfn.NORM.S.INV(RAND())</f>
        <v>4.5386332097876354E-3</v>
      </c>
      <c r="T5598" s="59">
        <f ca="1">Dashboard!C$8* Dashboard!$F$4+Dashboard!C$10*SQRT(Dashboard!$F$4) * _xlfn.NORM.S.INV(RAND())</f>
        <v>-9.4097729405928504E-3</v>
      </c>
      <c r="U5598" s="59">
        <f ca="1">Dashboard!D$8* Dashboard!$F$4+Dashboard!D$10*SQRT(Dashboard!$F$4) * _xlfn.NORM.S.INV(RAND())</f>
        <v>5.1948771647155022E-3</v>
      </c>
    </row>
    <row r="5599" spans="18:21" x14ac:dyDescent="0.2">
      <c r="R5599" s="49">
        <v>5597</v>
      </c>
      <c r="S5599" s="59">
        <f ca="1">Dashboard!B$8* Dashboard!$F$4+Dashboard!B$10*SQRT(Dashboard!$F$4) * _xlfn.NORM.S.INV(RAND())</f>
        <v>-2.1777108319963934E-2</v>
      </c>
      <c r="T5599" s="59">
        <f ca="1">Dashboard!C$8* Dashboard!$F$4+Dashboard!C$10*SQRT(Dashboard!$F$4) * _xlfn.NORM.S.INV(RAND())</f>
        <v>2.1091626386295432E-2</v>
      </c>
      <c r="U5599" s="59">
        <f ca="1">Dashboard!D$8* Dashboard!$F$4+Dashboard!D$10*SQRT(Dashboard!$F$4) * _xlfn.NORM.S.INV(RAND())</f>
        <v>-1.6199009076762413E-2</v>
      </c>
    </row>
    <row r="5600" spans="18:21" x14ac:dyDescent="0.2">
      <c r="R5600" s="49">
        <v>5598</v>
      </c>
      <c r="S5600" s="59">
        <f ca="1">Dashboard!B$8* Dashboard!$F$4+Dashboard!B$10*SQRT(Dashboard!$F$4) * _xlfn.NORM.S.INV(RAND())</f>
        <v>7.2908357110856286E-3</v>
      </c>
      <c r="T5600" s="59">
        <f ca="1">Dashboard!C$8* Dashboard!$F$4+Dashboard!C$10*SQRT(Dashboard!$F$4) * _xlfn.NORM.S.INV(RAND())</f>
        <v>3.9632160833675233E-3</v>
      </c>
      <c r="U5600" s="59">
        <f ca="1">Dashboard!D$8* Dashboard!$F$4+Dashboard!D$10*SQRT(Dashboard!$F$4) * _xlfn.NORM.S.INV(RAND())</f>
        <v>1.7293658445125908E-2</v>
      </c>
    </row>
    <row r="5601" spans="18:21" x14ac:dyDescent="0.2">
      <c r="R5601" s="49">
        <v>5599</v>
      </c>
      <c r="S5601" s="59">
        <f ca="1">Dashboard!B$8* Dashboard!$F$4+Dashboard!B$10*SQRT(Dashboard!$F$4) * _xlfn.NORM.S.INV(RAND())</f>
        <v>-1.1112045062873305E-2</v>
      </c>
      <c r="T5601" s="59">
        <f ca="1">Dashboard!C$8* Dashboard!$F$4+Dashboard!C$10*SQRT(Dashboard!$F$4) * _xlfn.NORM.S.INV(RAND())</f>
        <v>-6.9778627996942233E-2</v>
      </c>
      <c r="U5601" s="59">
        <f ca="1">Dashboard!D$8* Dashboard!$F$4+Dashboard!D$10*SQRT(Dashboard!$F$4) * _xlfn.NORM.S.INV(RAND())</f>
        <v>1.4178654021988552E-2</v>
      </c>
    </row>
    <row r="5602" spans="18:21" x14ac:dyDescent="0.2">
      <c r="R5602" s="49">
        <v>5600</v>
      </c>
      <c r="S5602" s="59">
        <f ca="1">Dashboard!B$8* Dashboard!$F$4+Dashboard!B$10*SQRT(Dashboard!$F$4) * _xlfn.NORM.S.INV(RAND())</f>
        <v>2.5858289446259633E-2</v>
      </c>
      <c r="T5602" s="59">
        <f ca="1">Dashboard!C$8* Dashboard!$F$4+Dashboard!C$10*SQRT(Dashboard!$F$4) * _xlfn.NORM.S.INV(RAND())</f>
        <v>3.3805277446310365E-2</v>
      </c>
      <c r="U5602" s="59">
        <f ca="1">Dashboard!D$8* Dashboard!$F$4+Dashboard!D$10*SQRT(Dashboard!$F$4) * _xlfn.NORM.S.INV(RAND())</f>
        <v>2.365869369628661E-2</v>
      </c>
    </row>
    <row r="5603" spans="18:21" x14ac:dyDescent="0.2">
      <c r="R5603" s="49">
        <v>5601</v>
      </c>
      <c r="S5603" s="59">
        <f ca="1">Dashboard!B$8* Dashboard!$F$4+Dashboard!B$10*SQRT(Dashboard!$F$4) * _xlfn.NORM.S.INV(RAND())</f>
        <v>8.7620177376479633E-2</v>
      </c>
      <c r="T5603" s="59">
        <f ca="1">Dashboard!C$8* Dashboard!$F$4+Dashboard!C$10*SQRT(Dashboard!$F$4) * _xlfn.NORM.S.INV(RAND())</f>
        <v>-2.0133500455139761E-2</v>
      </c>
      <c r="U5603" s="59">
        <f ca="1">Dashboard!D$8* Dashboard!$F$4+Dashboard!D$10*SQRT(Dashboard!$F$4) * _xlfn.NORM.S.INV(RAND())</f>
        <v>2.842054794420432E-2</v>
      </c>
    </row>
    <row r="5604" spans="18:21" x14ac:dyDescent="0.2">
      <c r="R5604" s="49">
        <v>5602</v>
      </c>
      <c r="S5604" s="59">
        <f ca="1">Dashboard!B$8* Dashboard!$F$4+Dashboard!B$10*SQRT(Dashboard!$F$4) * _xlfn.NORM.S.INV(RAND())</f>
        <v>-2.4712288294785119E-2</v>
      </c>
      <c r="T5604" s="59">
        <f ca="1">Dashboard!C$8* Dashboard!$F$4+Dashboard!C$10*SQRT(Dashboard!$F$4) * _xlfn.NORM.S.INV(RAND())</f>
        <v>-3.6285476531398658E-2</v>
      </c>
      <c r="U5604" s="59">
        <f ca="1">Dashboard!D$8* Dashboard!$F$4+Dashboard!D$10*SQRT(Dashboard!$F$4) * _xlfn.NORM.S.INV(RAND())</f>
        <v>-4.872206614935036E-2</v>
      </c>
    </row>
    <row r="5605" spans="18:21" x14ac:dyDescent="0.2">
      <c r="R5605" s="49">
        <v>5603</v>
      </c>
      <c r="S5605" s="59">
        <f ca="1">Dashboard!B$8* Dashboard!$F$4+Dashboard!B$10*SQRT(Dashboard!$F$4) * _xlfn.NORM.S.INV(RAND())</f>
        <v>-2.4564464246796376E-2</v>
      </c>
      <c r="T5605" s="59">
        <f ca="1">Dashboard!C$8* Dashboard!$F$4+Dashboard!C$10*SQRT(Dashboard!$F$4) * _xlfn.NORM.S.INV(RAND())</f>
        <v>2.0808050213520172E-2</v>
      </c>
      <c r="U5605" s="59">
        <f ca="1">Dashboard!D$8* Dashboard!$F$4+Dashboard!D$10*SQRT(Dashboard!$F$4) * _xlfn.NORM.S.INV(RAND())</f>
        <v>2.0782584602349712E-2</v>
      </c>
    </row>
    <row r="5606" spans="18:21" x14ac:dyDescent="0.2">
      <c r="R5606" s="49">
        <v>5604</v>
      </c>
      <c r="S5606" s="59">
        <f ca="1">Dashboard!B$8* Dashboard!$F$4+Dashboard!B$10*SQRT(Dashboard!$F$4) * _xlfn.NORM.S.INV(RAND())</f>
        <v>4.0214669984008494E-2</v>
      </c>
      <c r="T5606" s="59">
        <f ca="1">Dashboard!C$8* Dashboard!$F$4+Dashboard!C$10*SQRT(Dashboard!$F$4) * _xlfn.NORM.S.INV(RAND())</f>
        <v>3.9696063648824838E-2</v>
      </c>
      <c r="U5606" s="59">
        <f ca="1">Dashboard!D$8* Dashboard!$F$4+Dashboard!D$10*SQRT(Dashboard!$F$4) * _xlfn.NORM.S.INV(RAND())</f>
        <v>-2.6711788755977533E-4</v>
      </c>
    </row>
    <row r="5607" spans="18:21" x14ac:dyDescent="0.2">
      <c r="R5607" s="49">
        <v>5605</v>
      </c>
      <c r="S5607" s="59">
        <f ca="1">Dashboard!B$8* Dashboard!$F$4+Dashboard!B$10*SQRT(Dashboard!$F$4) * _xlfn.NORM.S.INV(RAND())</f>
        <v>2.0982822016688225E-2</v>
      </c>
      <c r="T5607" s="59">
        <f ca="1">Dashboard!C$8* Dashboard!$F$4+Dashboard!C$10*SQRT(Dashboard!$F$4) * _xlfn.NORM.S.INV(RAND())</f>
        <v>8.6985887165269657E-2</v>
      </c>
      <c r="U5607" s="59">
        <f ca="1">Dashboard!D$8* Dashboard!$F$4+Dashboard!D$10*SQRT(Dashboard!$F$4) * _xlfn.NORM.S.INV(RAND())</f>
        <v>-1.5154330606796627E-2</v>
      </c>
    </row>
    <row r="5608" spans="18:21" x14ac:dyDescent="0.2">
      <c r="R5608" s="49">
        <v>5606</v>
      </c>
      <c r="S5608" s="59">
        <f ca="1">Dashboard!B$8* Dashboard!$F$4+Dashboard!B$10*SQRT(Dashboard!$F$4) * _xlfn.NORM.S.INV(RAND())</f>
        <v>-8.1192043081355064E-3</v>
      </c>
      <c r="T5608" s="59">
        <f ca="1">Dashboard!C$8* Dashboard!$F$4+Dashboard!C$10*SQRT(Dashboard!$F$4) * _xlfn.NORM.S.INV(RAND())</f>
        <v>5.0540745178611186E-2</v>
      </c>
      <c r="U5608" s="59">
        <f ca="1">Dashboard!D$8* Dashboard!$F$4+Dashboard!D$10*SQRT(Dashboard!$F$4) * _xlfn.NORM.S.INV(RAND())</f>
        <v>-6.3014355918452336E-3</v>
      </c>
    </row>
    <row r="5609" spans="18:21" x14ac:dyDescent="0.2">
      <c r="R5609" s="49">
        <v>5607</v>
      </c>
      <c r="S5609" s="59">
        <f ca="1">Dashboard!B$8* Dashboard!$F$4+Dashboard!B$10*SQRT(Dashboard!$F$4) * _xlfn.NORM.S.INV(RAND())</f>
        <v>4.5893495671981595E-2</v>
      </c>
      <c r="T5609" s="59">
        <f ca="1">Dashboard!C$8* Dashboard!$F$4+Dashboard!C$10*SQRT(Dashboard!$F$4) * _xlfn.NORM.S.INV(RAND())</f>
        <v>-3.2698081547391525E-2</v>
      </c>
      <c r="U5609" s="59">
        <f ca="1">Dashboard!D$8* Dashboard!$F$4+Dashboard!D$10*SQRT(Dashboard!$F$4) * _xlfn.NORM.S.INV(RAND())</f>
        <v>9.3919167651318608E-3</v>
      </c>
    </row>
    <row r="5610" spans="18:21" x14ac:dyDescent="0.2">
      <c r="R5610" s="49">
        <v>5608</v>
      </c>
      <c r="S5610" s="59">
        <f ca="1">Dashboard!B$8* Dashboard!$F$4+Dashboard!B$10*SQRT(Dashboard!$F$4) * _xlfn.NORM.S.INV(RAND())</f>
        <v>8.2601256025498712E-3</v>
      </c>
      <c r="T5610" s="59">
        <f ca="1">Dashboard!C$8* Dashboard!$F$4+Dashboard!C$10*SQRT(Dashboard!$F$4) * _xlfn.NORM.S.INV(RAND())</f>
        <v>1.2655758610158708E-2</v>
      </c>
      <c r="U5610" s="59">
        <f ca="1">Dashboard!D$8* Dashboard!$F$4+Dashboard!D$10*SQRT(Dashboard!$F$4) * _xlfn.NORM.S.INV(RAND())</f>
        <v>-2.3631086686870337E-2</v>
      </c>
    </row>
    <row r="5611" spans="18:21" x14ac:dyDescent="0.2">
      <c r="R5611" s="49">
        <v>5609</v>
      </c>
      <c r="S5611" s="59">
        <f ca="1">Dashboard!B$8* Dashboard!$F$4+Dashboard!B$10*SQRT(Dashboard!$F$4) * _xlfn.NORM.S.INV(RAND())</f>
        <v>3.6343019771453051E-2</v>
      </c>
      <c r="T5611" s="59">
        <f ca="1">Dashboard!C$8* Dashboard!$F$4+Dashboard!C$10*SQRT(Dashboard!$F$4) * _xlfn.NORM.S.INV(RAND())</f>
        <v>-7.1479627854386723E-3</v>
      </c>
      <c r="U5611" s="59">
        <f ca="1">Dashboard!D$8* Dashboard!$F$4+Dashboard!D$10*SQRT(Dashboard!$F$4) * _xlfn.NORM.S.INV(RAND())</f>
        <v>5.8408847299330977E-2</v>
      </c>
    </row>
    <row r="5612" spans="18:21" x14ac:dyDescent="0.2">
      <c r="R5612" s="49">
        <v>5610</v>
      </c>
      <c r="S5612" s="59">
        <f ca="1">Dashboard!B$8* Dashboard!$F$4+Dashboard!B$10*SQRT(Dashboard!$F$4) * _xlfn.NORM.S.INV(RAND())</f>
        <v>-9.5403919321923013E-3</v>
      </c>
      <c r="T5612" s="59">
        <f ca="1">Dashboard!C$8* Dashboard!$F$4+Dashboard!C$10*SQRT(Dashboard!$F$4) * _xlfn.NORM.S.INV(RAND())</f>
        <v>-4.7869792100463465E-2</v>
      </c>
      <c r="U5612" s="59">
        <f ca="1">Dashboard!D$8* Dashboard!$F$4+Dashboard!D$10*SQRT(Dashboard!$F$4) * _xlfn.NORM.S.INV(RAND())</f>
        <v>-3.1231856796866932E-2</v>
      </c>
    </row>
    <row r="5613" spans="18:21" x14ac:dyDescent="0.2">
      <c r="R5613" s="49">
        <v>5611</v>
      </c>
      <c r="S5613" s="59">
        <f ca="1">Dashboard!B$8* Dashboard!$F$4+Dashboard!B$10*SQRT(Dashboard!$F$4) * _xlfn.NORM.S.INV(RAND())</f>
        <v>2.9494426616032264E-2</v>
      </c>
      <c r="T5613" s="59">
        <f ca="1">Dashboard!C$8* Dashboard!$F$4+Dashboard!C$10*SQRT(Dashboard!$F$4) * _xlfn.NORM.S.INV(RAND())</f>
        <v>4.2130012410072006E-2</v>
      </c>
      <c r="U5613" s="59">
        <f ca="1">Dashboard!D$8* Dashboard!$F$4+Dashboard!D$10*SQRT(Dashboard!$F$4) * _xlfn.NORM.S.INV(RAND())</f>
        <v>-2.8626343967786586E-2</v>
      </c>
    </row>
    <row r="5614" spans="18:21" x14ac:dyDescent="0.2">
      <c r="R5614" s="49">
        <v>5612</v>
      </c>
      <c r="S5614" s="59">
        <f ca="1">Dashboard!B$8* Dashboard!$F$4+Dashboard!B$10*SQRT(Dashboard!$F$4) * _xlfn.NORM.S.INV(RAND())</f>
        <v>8.8653538010245465E-3</v>
      </c>
      <c r="T5614" s="59">
        <f ca="1">Dashboard!C$8* Dashboard!$F$4+Dashboard!C$10*SQRT(Dashboard!$F$4) * _xlfn.NORM.S.INV(RAND())</f>
        <v>4.0176844849092765E-2</v>
      </c>
      <c r="U5614" s="59">
        <f ca="1">Dashboard!D$8* Dashboard!$F$4+Dashboard!D$10*SQRT(Dashboard!$F$4) * _xlfn.NORM.S.INV(RAND())</f>
        <v>-1.2746006419995886E-4</v>
      </c>
    </row>
    <row r="5615" spans="18:21" x14ac:dyDescent="0.2">
      <c r="R5615" s="49">
        <v>5613</v>
      </c>
      <c r="S5615" s="59">
        <f ca="1">Dashboard!B$8* Dashboard!$F$4+Dashboard!B$10*SQRT(Dashboard!$F$4) * _xlfn.NORM.S.INV(RAND())</f>
        <v>-3.2224506620056007E-2</v>
      </c>
      <c r="T5615" s="59">
        <f ca="1">Dashboard!C$8* Dashboard!$F$4+Dashboard!C$10*SQRT(Dashboard!$F$4) * _xlfn.NORM.S.INV(RAND())</f>
        <v>3.4685922711198469E-2</v>
      </c>
      <c r="U5615" s="59">
        <f ca="1">Dashboard!D$8* Dashboard!$F$4+Dashboard!D$10*SQRT(Dashboard!$F$4) * _xlfn.NORM.S.INV(RAND())</f>
        <v>-1.6594535585555396E-2</v>
      </c>
    </row>
    <row r="5616" spans="18:21" x14ac:dyDescent="0.2">
      <c r="R5616" s="49">
        <v>5614</v>
      </c>
      <c r="S5616" s="59">
        <f ca="1">Dashboard!B$8* Dashboard!$F$4+Dashboard!B$10*SQRT(Dashboard!$F$4) * _xlfn.NORM.S.INV(RAND())</f>
        <v>1.4209705479653178E-3</v>
      </c>
      <c r="T5616" s="59">
        <f ca="1">Dashboard!C$8* Dashboard!$F$4+Dashboard!C$10*SQRT(Dashboard!$F$4) * _xlfn.NORM.S.INV(RAND())</f>
        <v>6.5900072739789581E-2</v>
      </c>
      <c r="U5616" s="59">
        <f ca="1">Dashboard!D$8* Dashboard!$F$4+Dashboard!D$10*SQRT(Dashboard!$F$4) * _xlfn.NORM.S.INV(RAND())</f>
        <v>-2.1730587040052242E-2</v>
      </c>
    </row>
    <row r="5617" spans="18:21" x14ac:dyDescent="0.2">
      <c r="R5617" s="49">
        <v>5615</v>
      </c>
      <c r="S5617" s="59">
        <f ca="1">Dashboard!B$8* Dashboard!$F$4+Dashboard!B$10*SQRT(Dashboard!$F$4) * _xlfn.NORM.S.INV(RAND())</f>
        <v>-3.3599422969779985E-3</v>
      </c>
      <c r="T5617" s="59">
        <f ca="1">Dashboard!C$8* Dashboard!$F$4+Dashboard!C$10*SQRT(Dashboard!$F$4) * _xlfn.NORM.S.INV(RAND())</f>
        <v>1.7144241512766075E-3</v>
      </c>
      <c r="U5617" s="59">
        <f ca="1">Dashboard!D$8* Dashboard!$F$4+Dashboard!D$10*SQRT(Dashboard!$F$4) * _xlfn.NORM.S.INV(RAND())</f>
        <v>-1.0237776551326495E-2</v>
      </c>
    </row>
    <row r="5618" spans="18:21" x14ac:dyDescent="0.2">
      <c r="R5618" s="49">
        <v>5616</v>
      </c>
      <c r="S5618" s="59">
        <f ca="1">Dashboard!B$8* Dashboard!$F$4+Dashboard!B$10*SQRT(Dashboard!$F$4) * _xlfn.NORM.S.INV(RAND())</f>
        <v>-4.9737075529755925E-2</v>
      </c>
      <c r="T5618" s="59">
        <f ca="1">Dashboard!C$8* Dashboard!$F$4+Dashboard!C$10*SQRT(Dashboard!$F$4) * _xlfn.NORM.S.INV(RAND())</f>
        <v>1.5509290880420017E-2</v>
      </c>
      <c r="U5618" s="59">
        <f ca="1">Dashboard!D$8* Dashboard!$F$4+Dashboard!D$10*SQRT(Dashboard!$F$4) * _xlfn.NORM.S.INV(RAND())</f>
        <v>1.3844180360549102E-2</v>
      </c>
    </row>
    <row r="5619" spans="18:21" x14ac:dyDescent="0.2">
      <c r="R5619" s="49">
        <v>5617</v>
      </c>
      <c r="S5619" s="59">
        <f ca="1">Dashboard!B$8* Dashboard!$F$4+Dashboard!B$10*SQRT(Dashboard!$F$4) * _xlfn.NORM.S.INV(RAND())</f>
        <v>9.0193232290510308E-2</v>
      </c>
      <c r="T5619" s="59">
        <f ca="1">Dashboard!C$8* Dashboard!$F$4+Dashboard!C$10*SQRT(Dashboard!$F$4) * _xlfn.NORM.S.INV(RAND())</f>
        <v>5.6643163681159049E-4</v>
      </c>
      <c r="U5619" s="59">
        <f ca="1">Dashboard!D$8* Dashboard!$F$4+Dashboard!D$10*SQRT(Dashboard!$F$4) * _xlfn.NORM.S.INV(RAND())</f>
        <v>-2.2418984905078132E-3</v>
      </c>
    </row>
    <row r="5620" spans="18:21" x14ac:dyDescent="0.2">
      <c r="R5620" s="49">
        <v>5618</v>
      </c>
      <c r="S5620" s="59">
        <f ca="1">Dashboard!B$8* Dashboard!$F$4+Dashboard!B$10*SQRT(Dashboard!$F$4) * _xlfn.NORM.S.INV(RAND())</f>
        <v>4.9788407469787854E-2</v>
      </c>
      <c r="T5620" s="59">
        <f ca="1">Dashboard!C$8* Dashboard!$F$4+Dashboard!C$10*SQRT(Dashboard!$F$4) * _xlfn.NORM.S.INV(RAND())</f>
        <v>-3.1115114586256678E-4</v>
      </c>
      <c r="U5620" s="59">
        <f ca="1">Dashboard!D$8* Dashboard!$F$4+Dashboard!D$10*SQRT(Dashboard!$F$4) * _xlfn.NORM.S.INV(RAND())</f>
        <v>-3.7738553654675586E-3</v>
      </c>
    </row>
    <row r="5621" spans="18:21" x14ac:dyDescent="0.2">
      <c r="R5621" s="49">
        <v>5619</v>
      </c>
      <c r="S5621" s="59">
        <f ca="1">Dashboard!B$8* Dashboard!$F$4+Dashboard!B$10*SQRT(Dashboard!$F$4) * _xlfn.NORM.S.INV(RAND())</f>
        <v>-1.2257714574130024E-2</v>
      </c>
      <c r="T5621" s="59">
        <f ca="1">Dashboard!C$8* Dashboard!$F$4+Dashboard!C$10*SQRT(Dashboard!$F$4) * _xlfn.NORM.S.INV(RAND())</f>
        <v>-9.1565422954986795E-4</v>
      </c>
      <c r="U5621" s="59">
        <f ca="1">Dashboard!D$8* Dashboard!$F$4+Dashboard!D$10*SQRT(Dashboard!$F$4) * _xlfn.NORM.S.INV(RAND())</f>
        <v>8.9453001186358162E-3</v>
      </c>
    </row>
    <row r="5622" spans="18:21" x14ac:dyDescent="0.2">
      <c r="R5622" s="49">
        <v>5620</v>
      </c>
      <c r="S5622" s="59">
        <f ca="1">Dashboard!B$8* Dashboard!$F$4+Dashboard!B$10*SQRT(Dashboard!$F$4) * _xlfn.NORM.S.INV(RAND())</f>
        <v>3.990881199229402E-2</v>
      </c>
      <c r="T5622" s="59">
        <f ca="1">Dashboard!C$8* Dashboard!$F$4+Dashboard!C$10*SQRT(Dashboard!$F$4) * _xlfn.NORM.S.INV(RAND())</f>
        <v>2.0455557562612608E-3</v>
      </c>
      <c r="U5622" s="59">
        <f ca="1">Dashboard!D$8* Dashboard!$F$4+Dashboard!D$10*SQRT(Dashboard!$F$4) * _xlfn.NORM.S.INV(RAND())</f>
        <v>-2.6506077041472228E-2</v>
      </c>
    </row>
    <row r="5623" spans="18:21" x14ac:dyDescent="0.2">
      <c r="R5623" s="49">
        <v>5621</v>
      </c>
      <c r="S5623" s="59">
        <f ca="1">Dashboard!B$8* Dashboard!$F$4+Dashboard!B$10*SQRT(Dashboard!$F$4) * _xlfn.NORM.S.INV(RAND())</f>
        <v>-5.0617162617863157E-2</v>
      </c>
      <c r="T5623" s="59">
        <f ca="1">Dashboard!C$8* Dashboard!$F$4+Dashboard!C$10*SQRT(Dashboard!$F$4) * _xlfn.NORM.S.INV(RAND())</f>
        <v>3.8959069411926749E-2</v>
      </c>
      <c r="U5623" s="59">
        <f ca="1">Dashboard!D$8* Dashboard!$F$4+Dashboard!D$10*SQRT(Dashboard!$F$4) * _xlfn.NORM.S.INV(RAND())</f>
        <v>-3.7724616737985217E-3</v>
      </c>
    </row>
    <row r="5624" spans="18:21" x14ac:dyDescent="0.2">
      <c r="R5624" s="49">
        <v>5622</v>
      </c>
      <c r="S5624" s="59">
        <f ca="1">Dashboard!B$8* Dashboard!$F$4+Dashboard!B$10*SQRT(Dashboard!$F$4) * _xlfn.NORM.S.INV(RAND())</f>
        <v>-7.5888978586448694E-3</v>
      </c>
      <c r="T5624" s="59">
        <f ca="1">Dashboard!C$8* Dashboard!$F$4+Dashboard!C$10*SQRT(Dashboard!$F$4) * _xlfn.NORM.S.INV(RAND())</f>
        <v>-1.6262649356957162E-2</v>
      </c>
      <c r="U5624" s="59">
        <f ca="1">Dashboard!D$8* Dashboard!$F$4+Dashboard!D$10*SQRT(Dashboard!$F$4) * _xlfn.NORM.S.INV(RAND())</f>
        <v>-7.3588502922618482E-2</v>
      </c>
    </row>
    <row r="5625" spans="18:21" x14ac:dyDescent="0.2">
      <c r="R5625" s="49">
        <v>5623</v>
      </c>
      <c r="S5625" s="59">
        <f ca="1">Dashboard!B$8* Dashboard!$F$4+Dashboard!B$10*SQRT(Dashboard!$F$4) * _xlfn.NORM.S.INV(RAND())</f>
        <v>3.7651602628810621E-2</v>
      </c>
      <c r="T5625" s="59">
        <f ca="1">Dashboard!C$8* Dashboard!$F$4+Dashboard!C$10*SQRT(Dashboard!$F$4) * _xlfn.NORM.S.INV(RAND())</f>
        <v>3.2879958798813627E-2</v>
      </c>
      <c r="U5625" s="59">
        <f ca="1">Dashboard!D$8* Dashboard!$F$4+Dashboard!D$10*SQRT(Dashboard!$F$4) * _xlfn.NORM.S.INV(RAND())</f>
        <v>1.7767169803976315E-2</v>
      </c>
    </row>
    <row r="5626" spans="18:21" x14ac:dyDescent="0.2">
      <c r="R5626" s="49">
        <v>5624</v>
      </c>
      <c r="S5626" s="59">
        <f ca="1">Dashboard!B$8* Dashboard!$F$4+Dashboard!B$10*SQRT(Dashboard!$F$4) * _xlfn.NORM.S.INV(RAND())</f>
        <v>-8.7660788054399492E-3</v>
      </c>
      <c r="T5626" s="59">
        <f ca="1">Dashboard!C$8* Dashboard!$F$4+Dashboard!C$10*SQRT(Dashboard!$F$4) * _xlfn.NORM.S.INV(RAND())</f>
        <v>-5.0933005661100627E-3</v>
      </c>
      <c r="U5626" s="59">
        <f ca="1">Dashboard!D$8* Dashboard!$F$4+Dashboard!D$10*SQRT(Dashboard!$F$4) * _xlfn.NORM.S.INV(RAND())</f>
        <v>-6.6206218697933597E-2</v>
      </c>
    </row>
    <row r="5627" spans="18:21" x14ac:dyDescent="0.2">
      <c r="R5627" s="49">
        <v>5625</v>
      </c>
      <c r="S5627" s="59">
        <f ca="1">Dashboard!B$8* Dashboard!$F$4+Dashboard!B$10*SQRT(Dashboard!$F$4) * _xlfn.NORM.S.INV(RAND())</f>
        <v>-2.0716828663677571E-2</v>
      </c>
      <c r="T5627" s="59">
        <f ca="1">Dashboard!C$8* Dashboard!$F$4+Dashboard!C$10*SQRT(Dashboard!$F$4) * _xlfn.NORM.S.INV(RAND())</f>
        <v>3.08025000247917E-2</v>
      </c>
      <c r="U5627" s="59">
        <f ca="1">Dashboard!D$8* Dashboard!$F$4+Dashboard!D$10*SQRT(Dashboard!$F$4) * _xlfn.NORM.S.INV(RAND())</f>
        <v>-3.471464623356478E-3</v>
      </c>
    </row>
    <row r="5628" spans="18:21" x14ac:dyDescent="0.2">
      <c r="R5628" s="49">
        <v>5626</v>
      </c>
      <c r="S5628" s="59">
        <f ca="1">Dashboard!B$8* Dashboard!$F$4+Dashboard!B$10*SQRT(Dashboard!$F$4) * _xlfn.NORM.S.INV(RAND())</f>
        <v>1.4824262981993836E-2</v>
      </c>
      <c r="T5628" s="59">
        <f ca="1">Dashboard!C$8* Dashboard!$F$4+Dashboard!C$10*SQRT(Dashboard!$F$4) * _xlfn.NORM.S.INV(RAND())</f>
        <v>4.4705255384482133E-2</v>
      </c>
      <c r="U5628" s="59">
        <f ca="1">Dashboard!D$8* Dashboard!$F$4+Dashboard!D$10*SQRT(Dashboard!$F$4) * _xlfn.NORM.S.INV(RAND())</f>
        <v>-4.0807723360443374E-2</v>
      </c>
    </row>
    <row r="5629" spans="18:21" x14ac:dyDescent="0.2">
      <c r="R5629" s="49">
        <v>5627</v>
      </c>
      <c r="S5629" s="59">
        <f ca="1">Dashboard!B$8* Dashboard!$F$4+Dashboard!B$10*SQRT(Dashboard!$F$4) * _xlfn.NORM.S.INV(RAND())</f>
        <v>-4.9017945955799364E-2</v>
      </c>
      <c r="T5629" s="59">
        <f ca="1">Dashboard!C$8* Dashboard!$F$4+Dashboard!C$10*SQRT(Dashboard!$F$4) * _xlfn.NORM.S.INV(RAND())</f>
        <v>8.0907291412641632E-3</v>
      </c>
      <c r="U5629" s="59">
        <f ca="1">Dashboard!D$8* Dashboard!$F$4+Dashboard!D$10*SQRT(Dashboard!$F$4) * _xlfn.NORM.S.INV(RAND())</f>
        <v>-3.0555944743401078E-2</v>
      </c>
    </row>
    <row r="5630" spans="18:21" x14ac:dyDescent="0.2">
      <c r="R5630" s="49">
        <v>5628</v>
      </c>
      <c r="S5630" s="59">
        <f ca="1">Dashboard!B$8* Dashboard!$F$4+Dashboard!B$10*SQRT(Dashboard!$F$4) * _xlfn.NORM.S.INV(RAND())</f>
        <v>-2.211893545719136E-2</v>
      </c>
      <c r="T5630" s="59">
        <f ca="1">Dashboard!C$8* Dashboard!$F$4+Dashboard!C$10*SQRT(Dashboard!$F$4) * _xlfn.NORM.S.INV(RAND())</f>
        <v>5.9318871396340074E-2</v>
      </c>
      <c r="U5630" s="59">
        <f ca="1">Dashboard!D$8* Dashboard!$F$4+Dashboard!D$10*SQRT(Dashboard!$F$4) * _xlfn.NORM.S.INV(RAND())</f>
        <v>7.9141469198009545E-3</v>
      </c>
    </row>
    <row r="5631" spans="18:21" x14ac:dyDescent="0.2">
      <c r="R5631" s="49">
        <v>5629</v>
      </c>
      <c r="S5631" s="59">
        <f ca="1">Dashboard!B$8* Dashboard!$F$4+Dashboard!B$10*SQRT(Dashboard!$F$4) * _xlfn.NORM.S.INV(RAND())</f>
        <v>1.3473783614231771E-2</v>
      </c>
      <c r="T5631" s="59">
        <f ca="1">Dashboard!C$8* Dashboard!$F$4+Dashboard!C$10*SQRT(Dashboard!$F$4) * _xlfn.NORM.S.INV(RAND())</f>
        <v>4.6113240180530972E-3</v>
      </c>
      <c r="U5631" s="59">
        <f ca="1">Dashboard!D$8* Dashboard!$F$4+Dashboard!D$10*SQRT(Dashboard!$F$4) * _xlfn.NORM.S.INV(RAND())</f>
        <v>1.4690989535176023E-2</v>
      </c>
    </row>
    <row r="5632" spans="18:21" x14ac:dyDescent="0.2">
      <c r="R5632" s="49">
        <v>5630</v>
      </c>
      <c r="S5632" s="59">
        <f ca="1">Dashboard!B$8* Dashboard!$F$4+Dashboard!B$10*SQRT(Dashboard!$F$4) * _xlfn.NORM.S.INV(RAND())</f>
        <v>2.660070322391074E-2</v>
      </c>
      <c r="T5632" s="59">
        <f ca="1">Dashboard!C$8* Dashboard!$F$4+Dashboard!C$10*SQRT(Dashboard!$F$4) * _xlfn.NORM.S.INV(RAND())</f>
        <v>6.3252242854966879E-4</v>
      </c>
      <c r="U5632" s="59">
        <f ca="1">Dashboard!D$8* Dashboard!$F$4+Dashboard!D$10*SQRT(Dashboard!$F$4) * _xlfn.NORM.S.INV(RAND())</f>
        <v>5.1582740720038621E-3</v>
      </c>
    </row>
    <row r="5633" spans="18:21" x14ac:dyDescent="0.2">
      <c r="R5633" s="49">
        <v>5631</v>
      </c>
      <c r="S5633" s="59">
        <f ca="1">Dashboard!B$8* Dashboard!$F$4+Dashboard!B$10*SQRT(Dashboard!$F$4) * _xlfn.NORM.S.INV(RAND())</f>
        <v>-4.6007920005669868E-3</v>
      </c>
      <c r="T5633" s="59">
        <f ca="1">Dashboard!C$8* Dashboard!$F$4+Dashboard!C$10*SQRT(Dashboard!$F$4) * _xlfn.NORM.S.INV(RAND())</f>
        <v>-1.2481514955503124E-2</v>
      </c>
      <c r="U5633" s="59">
        <f ca="1">Dashboard!D$8* Dashboard!$F$4+Dashboard!D$10*SQRT(Dashboard!$F$4) * _xlfn.NORM.S.INV(RAND())</f>
        <v>7.8226864329222229E-3</v>
      </c>
    </row>
    <row r="5634" spans="18:21" x14ac:dyDescent="0.2">
      <c r="R5634" s="49">
        <v>5632</v>
      </c>
      <c r="S5634" s="59">
        <f ca="1">Dashboard!B$8* Dashboard!$F$4+Dashboard!B$10*SQRT(Dashboard!$F$4) * _xlfn.NORM.S.INV(RAND())</f>
        <v>-4.5777357617338491E-2</v>
      </c>
      <c r="T5634" s="59">
        <f ca="1">Dashboard!C$8* Dashboard!$F$4+Dashboard!C$10*SQRT(Dashboard!$F$4) * _xlfn.NORM.S.INV(RAND())</f>
        <v>-2.124918798705043E-2</v>
      </c>
      <c r="U5634" s="59">
        <f ca="1">Dashboard!D$8* Dashboard!$F$4+Dashboard!D$10*SQRT(Dashboard!$F$4) * _xlfn.NORM.S.INV(RAND())</f>
        <v>-1.5972051032504757E-2</v>
      </c>
    </row>
    <row r="5635" spans="18:21" x14ac:dyDescent="0.2">
      <c r="R5635" s="49">
        <v>5633</v>
      </c>
      <c r="S5635" s="59">
        <f ca="1">Dashboard!B$8* Dashboard!$F$4+Dashboard!B$10*SQRT(Dashboard!$F$4) * _xlfn.NORM.S.INV(RAND())</f>
        <v>2.8764060259435655E-2</v>
      </c>
      <c r="T5635" s="59">
        <f ca="1">Dashboard!C$8* Dashboard!$F$4+Dashboard!C$10*SQRT(Dashboard!$F$4) * _xlfn.NORM.S.INV(RAND())</f>
        <v>-2.7255308710260589E-2</v>
      </c>
      <c r="U5635" s="59">
        <f ca="1">Dashboard!D$8* Dashboard!$F$4+Dashboard!D$10*SQRT(Dashboard!$F$4) * _xlfn.NORM.S.INV(RAND())</f>
        <v>-9.1115697279813404E-2</v>
      </c>
    </row>
    <row r="5636" spans="18:21" x14ac:dyDescent="0.2">
      <c r="R5636" s="49">
        <v>5634</v>
      </c>
      <c r="S5636" s="59">
        <f ca="1">Dashboard!B$8* Dashboard!$F$4+Dashboard!B$10*SQRT(Dashboard!$F$4) * _xlfn.NORM.S.INV(RAND())</f>
        <v>3.5105851977723465E-2</v>
      </c>
      <c r="T5636" s="59">
        <f ca="1">Dashboard!C$8* Dashboard!$F$4+Dashboard!C$10*SQRT(Dashboard!$F$4) * _xlfn.NORM.S.INV(RAND())</f>
        <v>-9.3223254103745289E-3</v>
      </c>
      <c r="U5636" s="59">
        <f ca="1">Dashboard!D$8* Dashboard!$F$4+Dashboard!D$10*SQRT(Dashboard!$F$4) * _xlfn.NORM.S.INV(RAND())</f>
        <v>-1.3514976867607706E-2</v>
      </c>
    </row>
    <row r="5637" spans="18:21" x14ac:dyDescent="0.2">
      <c r="R5637" s="49">
        <v>5635</v>
      </c>
      <c r="S5637" s="59">
        <f ca="1">Dashboard!B$8* Dashboard!$F$4+Dashboard!B$10*SQRT(Dashboard!$F$4) * _xlfn.NORM.S.INV(RAND())</f>
        <v>-2.3311269940649665E-2</v>
      </c>
      <c r="T5637" s="59">
        <f ca="1">Dashboard!C$8* Dashboard!$F$4+Dashboard!C$10*SQRT(Dashboard!$F$4) * _xlfn.NORM.S.INV(RAND())</f>
        <v>7.758221485075034E-3</v>
      </c>
      <c r="U5637" s="59">
        <f ca="1">Dashboard!D$8* Dashboard!$F$4+Dashboard!D$10*SQRT(Dashboard!$F$4) * _xlfn.NORM.S.INV(RAND())</f>
        <v>-8.1016977952904079E-3</v>
      </c>
    </row>
    <row r="5638" spans="18:21" x14ac:dyDescent="0.2">
      <c r="R5638" s="49">
        <v>5636</v>
      </c>
      <c r="S5638" s="59">
        <f ca="1">Dashboard!B$8* Dashboard!$F$4+Dashboard!B$10*SQRT(Dashboard!$F$4) * _xlfn.NORM.S.INV(RAND())</f>
        <v>-1.7972471605170563E-2</v>
      </c>
      <c r="T5638" s="59">
        <f ca="1">Dashboard!C$8* Dashboard!$F$4+Dashboard!C$10*SQRT(Dashboard!$F$4) * _xlfn.NORM.S.INV(RAND())</f>
        <v>6.5797162923447962E-3</v>
      </c>
      <c r="U5638" s="59">
        <f ca="1">Dashboard!D$8* Dashboard!$F$4+Dashboard!D$10*SQRT(Dashboard!$F$4) * _xlfn.NORM.S.INV(RAND())</f>
        <v>-5.0978360400016406E-3</v>
      </c>
    </row>
    <row r="5639" spans="18:21" x14ac:dyDescent="0.2">
      <c r="R5639" s="49">
        <v>5637</v>
      </c>
      <c r="S5639" s="59">
        <f ca="1">Dashboard!B$8* Dashboard!$F$4+Dashboard!B$10*SQRT(Dashboard!$F$4) * _xlfn.NORM.S.INV(RAND())</f>
        <v>1.4034521336562836E-2</v>
      </c>
      <c r="T5639" s="59">
        <f ca="1">Dashboard!C$8* Dashboard!$F$4+Dashboard!C$10*SQRT(Dashboard!$F$4) * _xlfn.NORM.S.INV(RAND())</f>
        <v>-2.7654352587795358E-2</v>
      </c>
      <c r="U5639" s="59">
        <f ca="1">Dashboard!D$8* Dashboard!$F$4+Dashboard!D$10*SQRT(Dashboard!$F$4) * _xlfn.NORM.S.INV(RAND())</f>
        <v>-3.0680721706569845E-2</v>
      </c>
    </row>
    <row r="5640" spans="18:21" x14ac:dyDescent="0.2">
      <c r="R5640" s="49">
        <v>5638</v>
      </c>
      <c r="S5640" s="59">
        <f ca="1">Dashboard!B$8* Dashboard!$F$4+Dashboard!B$10*SQRT(Dashboard!$F$4) * _xlfn.NORM.S.INV(RAND())</f>
        <v>-6.2021619166180118E-2</v>
      </c>
      <c r="T5640" s="59">
        <f ca="1">Dashboard!C$8* Dashboard!$F$4+Dashboard!C$10*SQRT(Dashboard!$F$4) * _xlfn.NORM.S.INV(RAND())</f>
        <v>5.9109383884332331E-2</v>
      </c>
      <c r="U5640" s="59">
        <f ca="1">Dashboard!D$8* Dashboard!$F$4+Dashboard!D$10*SQRT(Dashboard!$F$4) * _xlfn.NORM.S.INV(RAND())</f>
        <v>5.718926485244448E-2</v>
      </c>
    </row>
    <row r="5641" spans="18:21" x14ac:dyDescent="0.2">
      <c r="R5641" s="49">
        <v>5639</v>
      </c>
      <c r="S5641" s="59">
        <f ca="1">Dashboard!B$8* Dashboard!$F$4+Dashboard!B$10*SQRT(Dashboard!$F$4) * _xlfn.NORM.S.INV(RAND())</f>
        <v>-2.215380606375756E-2</v>
      </c>
      <c r="T5641" s="59">
        <f ca="1">Dashboard!C$8* Dashboard!$F$4+Dashboard!C$10*SQRT(Dashboard!$F$4) * _xlfn.NORM.S.INV(RAND())</f>
        <v>-5.7965467593973294E-2</v>
      </c>
      <c r="U5641" s="59">
        <f ca="1">Dashboard!D$8* Dashboard!$F$4+Dashboard!D$10*SQRT(Dashboard!$F$4) * _xlfn.NORM.S.INV(RAND())</f>
        <v>-5.3585008171857613E-3</v>
      </c>
    </row>
    <row r="5642" spans="18:21" x14ac:dyDescent="0.2">
      <c r="R5642" s="49">
        <v>5640</v>
      </c>
      <c r="S5642" s="59">
        <f ca="1">Dashboard!B$8* Dashboard!$F$4+Dashboard!B$10*SQRT(Dashboard!$F$4) * _xlfn.NORM.S.INV(RAND())</f>
        <v>-5.5667862995552077E-3</v>
      </c>
      <c r="T5642" s="59">
        <f ca="1">Dashboard!C$8* Dashboard!$F$4+Dashboard!C$10*SQRT(Dashboard!$F$4) * _xlfn.NORM.S.INV(RAND())</f>
        <v>1.8763044251154597E-2</v>
      </c>
      <c r="U5642" s="59">
        <f ca="1">Dashboard!D$8* Dashboard!$F$4+Dashboard!D$10*SQRT(Dashboard!$F$4) * _xlfn.NORM.S.INV(RAND())</f>
        <v>-1.5857193736614705E-2</v>
      </c>
    </row>
    <row r="5643" spans="18:21" x14ac:dyDescent="0.2">
      <c r="R5643" s="49">
        <v>5641</v>
      </c>
      <c r="S5643" s="59">
        <f ca="1">Dashboard!B$8* Dashboard!$F$4+Dashboard!B$10*SQRT(Dashboard!$F$4) * _xlfn.NORM.S.INV(RAND())</f>
        <v>2.9455507245760562E-3</v>
      </c>
      <c r="T5643" s="59">
        <f ca="1">Dashboard!C$8* Dashboard!$F$4+Dashboard!C$10*SQRT(Dashboard!$F$4) * _xlfn.NORM.S.INV(RAND())</f>
        <v>3.0845036305564E-2</v>
      </c>
      <c r="U5643" s="59">
        <f ca="1">Dashboard!D$8* Dashboard!$F$4+Dashboard!D$10*SQRT(Dashboard!$F$4) * _xlfn.NORM.S.INV(RAND())</f>
        <v>-2.5771976362751955E-2</v>
      </c>
    </row>
    <row r="5644" spans="18:21" x14ac:dyDescent="0.2">
      <c r="R5644" s="49">
        <v>5642</v>
      </c>
      <c r="S5644" s="59">
        <f ca="1">Dashboard!B$8* Dashboard!$F$4+Dashboard!B$10*SQRT(Dashboard!$F$4) * _xlfn.NORM.S.INV(RAND())</f>
        <v>-2.6904202154941895E-2</v>
      </c>
      <c r="T5644" s="59">
        <f ca="1">Dashboard!C$8* Dashboard!$F$4+Dashboard!C$10*SQRT(Dashboard!$F$4) * _xlfn.NORM.S.INV(RAND())</f>
        <v>-3.0475352703911215E-3</v>
      </c>
      <c r="U5644" s="59">
        <f ca="1">Dashboard!D$8* Dashboard!$F$4+Dashboard!D$10*SQRT(Dashboard!$F$4) * _xlfn.NORM.S.INV(RAND())</f>
        <v>2.5354577149515528E-2</v>
      </c>
    </row>
    <row r="5645" spans="18:21" x14ac:dyDescent="0.2">
      <c r="R5645" s="49">
        <v>5643</v>
      </c>
      <c r="S5645" s="59">
        <f ca="1">Dashboard!B$8* Dashboard!$F$4+Dashboard!B$10*SQRT(Dashboard!$F$4) * _xlfn.NORM.S.INV(RAND())</f>
        <v>4.8874507168871359E-2</v>
      </c>
      <c r="T5645" s="59">
        <f ca="1">Dashboard!C$8* Dashboard!$F$4+Dashboard!C$10*SQRT(Dashboard!$F$4) * _xlfn.NORM.S.INV(RAND())</f>
        <v>2.9491416244612427E-2</v>
      </c>
      <c r="U5645" s="59">
        <f ca="1">Dashboard!D$8* Dashboard!$F$4+Dashboard!D$10*SQRT(Dashboard!$F$4) * _xlfn.NORM.S.INV(RAND())</f>
        <v>4.3217266885522965E-3</v>
      </c>
    </row>
    <row r="5646" spans="18:21" x14ac:dyDescent="0.2">
      <c r="R5646" s="49">
        <v>5644</v>
      </c>
      <c r="S5646" s="59">
        <f ca="1">Dashboard!B$8* Dashboard!$F$4+Dashboard!B$10*SQRT(Dashboard!$F$4) * _xlfn.NORM.S.INV(RAND())</f>
        <v>-5.3324978198011914E-2</v>
      </c>
      <c r="T5646" s="59">
        <f ca="1">Dashboard!C$8* Dashboard!$F$4+Dashboard!C$10*SQRT(Dashboard!$F$4) * _xlfn.NORM.S.INV(RAND())</f>
        <v>3.007892181493145E-2</v>
      </c>
      <c r="U5646" s="59">
        <f ca="1">Dashboard!D$8* Dashboard!$F$4+Dashboard!D$10*SQRT(Dashboard!$F$4) * _xlfn.NORM.S.INV(RAND())</f>
        <v>-3.1463634823635546E-2</v>
      </c>
    </row>
    <row r="5647" spans="18:21" x14ac:dyDescent="0.2">
      <c r="R5647" s="49">
        <v>5645</v>
      </c>
      <c r="S5647" s="59">
        <f ca="1">Dashboard!B$8* Dashboard!$F$4+Dashboard!B$10*SQRT(Dashboard!$F$4) * _xlfn.NORM.S.INV(RAND())</f>
        <v>-4.4186694164920069E-2</v>
      </c>
      <c r="T5647" s="59">
        <f ca="1">Dashboard!C$8* Dashboard!$F$4+Dashboard!C$10*SQRT(Dashboard!$F$4) * _xlfn.NORM.S.INV(RAND())</f>
        <v>2.4549997906828059E-3</v>
      </c>
      <c r="U5647" s="59">
        <f ca="1">Dashboard!D$8* Dashboard!$F$4+Dashboard!D$10*SQRT(Dashboard!$F$4) * _xlfn.NORM.S.INV(RAND())</f>
        <v>4.5826621822532318E-2</v>
      </c>
    </row>
    <row r="5648" spans="18:21" x14ac:dyDescent="0.2">
      <c r="R5648" s="49">
        <v>5646</v>
      </c>
      <c r="S5648" s="59">
        <f ca="1">Dashboard!B$8* Dashboard!$F$4+Dashboard!B$10*SQRT(Dashboard!$F$4) * _xlfn.NORM.S.INV(RAND())</f>
        <v>-1.7855796143015724E-2</v>
      </c>
      <c r="T5648" s="59">
        <f ca="1">Dashboard!C$8* Dashboard!$F$4+Dashboard!C$10*SQRT(Dashboard!$F$4) * _xlfn.NORM.S.INV(RAND())</f>
        <v>3.5160111706751635E-3</v>
      </c>
      <c r="U5648" s="59">
        <f ca="1">Dashboard!D$8* Dashboard!$F$4+Dashboard!D$10*SQRT(Dashboard!$F$4) * _xlfn.NORM.S.INV(RAND())</f>
        <v>-3.2244622036525306E-3</v>
      </c>
    </row>
    <row r="5649" spans="18:21" x14ac:dyDescent="0.2">
      <c r="R5649" s="49">
        <v>5647</v>
      </c>
      <c r="S5649" s="59">
        <f ca="1">Dashboard!B$8* Dashboard!$F$4+Dashboard!B$10*SQRT(Dashboard!$F$4) * _xlfn.NORM.S.INV(RAND())</f>
        <v>-2.5479216899285048E-2</v>
      </c>
      <c r="T5649" s="59">
        <f ca="1">Dashboard!C$8* Dashboard!$F$4+Dashboard!C$10*SQRT(Dashboard!$F$4) * _xlfn.NORM.S.INV(RAND())</f>
        <v>5.2026541199561564E-2</v>
      </c>
      <c r="U5649" s="59">
        <f ca="1">Dashboard!D$8* Dashboard!$F$4+Dashboard!D$10*SQRT(Dashboard!$F$4) * _xlfn.NORM.S.INV(RAND())</f>
        <v>1.8078824661087029E-2</v>
      </c>
    </row>
    <row r="5650" spans="18:21" x14ac:dyDescent="0.2">
      <c r="R5650" s="49">
        <v>5648</v>
      </c>
      <c r="S5650" s="59">
        <f ca="1">Dashboard!B$8* Dashboard!$F$4+Dashboard!B$10*SQRT(Dashboard!$F$4) * _xlfn.NORM.S.INV(RAND())</f>
        <v>1.90895125300692E-2</v>
      </c>
      <c r="T5650" s="59">
        <f ca="1">Dashboard!C$8* Dashboard!$F$4+Dashboard!C$10*SQRT(Dashboard!$F$4) * _xlfn.NORM.S.INV(RAND())</f>
        <v>5.0996493628662362E-2</v>
      </c>
      <c r="U5650" s="59">
        <f ca="1">Dashboard!D$8* Dashboard!$F$4+Dashboard!D$10*SQRT(Dashboard!$F$4) * _xlfn.NORM.S.INV(RAND())</f>
        <v>-1.7650418667749322E-2</v>
      </c>
    </row>
    <row r="5651" spans="18:21" x14ac:dyDescent="0.2">
      <c r="R5651" s="49">
        <v>5649</v>
      </c>
      <c r="S5651" s="59">
        <f ca="1">Dashboard!B$8* Dashboard!$F$4+Dashboard!B$10*SQRT(Dashboard!$F$4) * _xlfn.NORM.S.INV(RAND())</f>
        <v>-2.5682146726649674E-2</v>
      </c>
      <c r="T5651" s="59">
        <f ca="1">Dashboard!C$8* Dashboard!$F$4+Dashboard!C$10*SQRT(Dashboard!$F$4) * _xlfn.NORM.S.INV(RAND())</f>
        <v>9.6592983431084863E-3</v>
      </c>
      <c r="U5651" s="59">
        <f ca="1">Dashboard!D$8* Dashboard!$F$4+Dashboard!D$10*SQRT(Dashboard!$F$4) * _xlfn.NORM.S.INV(RAND())</f>
        <v>-2.4354739682367257E-2</v>
      </c>
    </row>
    <row r="5652" spans="18:21" x14ac:dyDescent="0.2">
      <c r="R5652" s="49">
        <v>5650</v>
      </c>
      <c r="S5652" s="59">
        <f ca="1">Dashboard!B$8* Dashboard!$F$4+Dashboard!B$10*SQRT(Dashboard!$F$4) * _xlfn.NORM.S.INV(RAND())</f>
        <v>8.6180647711707248E-2</v>
      </c>
      <c r="T5652" s="59">
        <f ca="1">Dashboard!C$8* Dashboard!$F$4+Dashboard!C$10*SQRT(Dashboard!$F$4) * _xlfn.NORM.S.INV(RAND())</f>
        <v>-3.1190408853434087E-2</v>
      </c>
      <c r="U5652" s="59">
        <f ca="1">Dashboard!D$8* Dashboard!$F$4+Dashboard!D$10*SQRT(Dashboard!$F$4) * _xlfn.NORM.S.INV(RAND())</f>
        <v>-1.4678927746489092E-2</v>
      </c>
    </row>
    <row r="5653" spans="18:21" x14ac:dyDescent="0.2">
      <c r="R5653" s="49">
        <v>5651</v>
      </c>
      <c r="S5653" s="59">
        <f ca="1">Dashboard!B$8* Dashboard!$F$4+Dashboard!B$10*SQRT(Dashboard!$F$4) * _xlfn.NORM.S.INV(RAND())</f>
        <v>2.8898064920464192E-2</v>
      </c>
      <c r="T5653" s="59">
        <f ca="1">Dashboard!C$8* Dashboard!$F$4+Dashboard!C$10*SQRT(Dashboard!$F$4) * _xlfn.NORM.S.INV(RAND())</f>
        <v>-8.1626138771710328E-3</v>
      </c>
      <c r="U5653" s="59">
        <f ca="1">Dashboard!D$8* Dashboard!$F$4+Dashboard!D$10*SQRT(Dashboard!$F$4) * _xlfn.NORM.S.INV(RAND())</f>
        <v>4.5355692657476363E-3</v>
      </c>
    </row>
    <row r="5654" spans="18:21" x14ac:dyDescent="0.2">
      <c r="R5654" s="49">
        <v>5652</v>
      </c>
      <c r="S5654" s="59">
        <f ca="1">Dashboard!B$8* Dashboard!$F$4+Dashboard!B$10*SQRT(Dashboard!$F$4) * _xlfn.NORM.S.INV(RAND())</f>
        <v>6.5149770117775441E-3</v>
      </c>
      <c r="T5654" s="59">
        <f ca="1">Dashboard!C$8* Dashboard!$F$4+Dashboard!C$10*SQRT(Dashboard!$F$4) * _xlfn.NORM.S.INV(RAND())</f>
        <v>-6.5787702300424194E-3</v>
      </c>
      <c r="U5654" s="59">
        <f ca="1">Dashboard!D$8* Dashboard!$F$4+Dashboard!D$10*SQRT(Dashboard!$F$4) * _xlfn.NORM.S.INV(RAND())</f>
        <v>-5.5611270242531E-2</v>
      </c>
    </row>
    <row r="5655" spans="18:21" x14ac:dyDescent="0.2">
      <c r="R5655" s="49">
        <v>5653</v>
      </c>
      <c r="S5655" s="59">
        <f ca="1">Dashboard!B$8* Dashboard!$F$4+Dashboard!B$10*SQRT(Dashboard!$F$4) * _xlfn.NORM.S.INV(RAND())</f>
        <v>-2.6119050292209893E-2</v>
      </c>
      <c r="T5655" s="59">
        <f ca="1">Dashboard!C$8* Dashboard!$F$4+Dashboard!C$10*SQRT(Dashboard!$F$4) * _xlfn.NORM.S.INV(RAND())</f>
        <v>2.7056223884929013E-2</v>
      </c>
      <c r="U5655" s="59">
        <f ca="1">Dashboard!D$8* Dashboard!$F$4+Dashboard!D$10*SQRT(Dashboard!$F$4) * _xlfn.NORM.S.INV(RAND())</f>
        <v>-6.4658664507767872E-3</v>
      </c>
    </row>
    <row r="5656" spans="18:21" x14ac:dyDescent="0.2">
      <c r="R5656" s="49">
        <v>5654</v>
      </c>
      <c r="S5656" s="59">
        <f ca="1">Dashboard!B$8* Dashboard!$F$4+Dashboard!B$10*SQRT(Dashboard!$F$4) * _xlfn.NORM.S.INV(RAND())</f>
        <v>-8.3488096908971021E-3</v>
      </c>
      <c r="T5656" s="59">
        <f ca="1">Dashboard!C$8* Dashboard!$F$4+Dashboard!C$10*SQRT(Dashboard!$F$4) * _xlfn.NORM.S.INV(RAND())</f>
        <v>-1.9724107412240992E-2</v>
      </c>
      <c r="U5656" s="59">
        <f ca="1">Dashboard!D$8* Dashboard!$F$4+Dashboard!D$10*SQRT(Dashboard!$F$4) * _xlfn.NORM.S.INV(RAND())</f>
        <v>1.2618670116954675E-2</v>
      </c>
    </row>
    <row r="5657" spans="18:21" x14ac:dyDescent="0.2">
      <c r="R5657" s="49">
        <v>5655</v>
      </c>
      <c r="S5657" s="59">
        <f ca="1">Dashboard!B$8* Dashboard!$F$4+Dashboard!B$10*SQRT(Dashboard!$F$4) * _xlfn.NORM.S.INV(RAND())</f>
        <v>1.7356450115991351E-2</v>
      </c>
      <c r="T5657" s="59">
        <f ca="1">Dashboard!C$8* Dashboard!$F$4+Dashboard!C$10*SQRT(Dashboard!$F$4) * _xlfn.NORM.S.INV(RAND())</f>
        <v>-4.0893895850298838E-2</v>
      </c>
      <c r="U5657" s="59">
        <f ca="1">Dashboard!D$8* Dashboard!$F$4+Dashboard!D$10*SQRT(Dashboard!$F$4) * _xlfn.NORM.S.INV(RAND())</f>
        <v>6.9573790701042875E-3</v>
      </c>
    </row>
    <row r="5658" spans="18:21" x14ac:dyDescent="0.2">
      <c r="R5658" s="49">
        <v>5656</v>
      </c>
      <c r="S5658" s="59">
        <f ca="1">Dashboard!B$8* Dashboard!$F$4+Dashboard!B$10*SQRT(Dashboard!$F$4) * _xlfn.NORM.S.INV(RAND())</f>
        <v>-6.4357872095471225E-2</v>
      </c>
      <c r="T5658" s="59">
        <f ca="1">Dashboard!C$8* Dashboard!$F$4+Dashboard!C$10*SQRT(Dashboard!$F$4) * _xlfn.NORM.S.INV(RAND())</f>
        <v>-3.5712950320423258E-2</v>
      </c>
      <c r="U5658" s="59">
        <f ca="1">Dashboard!D$8* Dashboard!$F$4+Dashboard!D$10*SQRT(Dashboard!$F$4) * _xlfn.NORM.S.INV(RAND())</f>
        <v>1.4634265179336503E-2</v>
      </c>
    </row>
    <row r="5659" spans="18:21" x14ac:dyDescent="0.2">
      <c r="R5659" s="49">
        <v>5657</v>
      </c>
      <c r="S5659" s="59">
        <f ca="1">Dashboard!B$8* Dashboard!$F$4+Dashboard!B$10*SQRT(Dashboard!$F$4) * _xlfn.NORM.S.INV(RAND())</f>
        <v>-4.3859212148386874E-2</v>
      </c>
      <c r="T5659" s="59">
        <f ca="1">Dashboard!C$8* Dashboard!$F$4+Dashboard!C$10*SQRT(Dashboard!$F$4) * _xlfn.NORM.S.INV(RAND())</f>
        <v>3.7668749747509563E-2</v>
      </c>
      <c r="U5659" s="59">
        <f ca="1">Dashboard!D$8* Dashboard!$F$4+Dashboard!D$10*SQRT(Dashboard!$F$4) * _xlfn.NORM.S.INV(RAND())</f>
        <v>5.3830928868895461E-3</v>
      </c>
    </row>
    <row r="5660" spans="18:21" x14ac:dyDescent="0.2">
      <c r="R5660" s="49">
        <v>5658</v>
      </c>
      <c r="S5660" s="59">
        <f ca="1">Dashboard!B$8* Dashboard!$F$4+Dashboard!B$10*SQRT(Dashboard!$F$4) * _xlfn.NORM.S.INV(RAND())</f>
        <v>-2.8182420113556837E-2</v>
      </c>
      <c r="T5660" s="59">
        <f ca="1">Dashboard!C$8* Dashboard!$F$4+Dashboard!C$10*SQRT(Dashboard!$F$4) * _xlfn.NORM.S.INV(RAND())</f>
        <v>2.3025381672245746E-2</v>
      </c>
      <c r="U5660" s="59">
        <f ca="1">Dashboard!D$8* Dashboard!$F$4+Dashboard!D$10*SQRT(Dashboard!$F$4) * _xlfn.NORM.S.INV(RAND())</f>
        <v>2.0138739242368184E-3</v>
      </c>
    </row>
    <row r="5661" spans="18:21" x14ac:dyDescent="0.2">
      <c r="R5661" s="49">
        <v>5659</v>
      </c>
      <c r="S5661" s="59">
        <f ca="1">Dashboard!B$8* Dashboard!$F$4+Dashboard!B$10*SQRT(Dashboard!$F$4) * _xlfn.NORM.S.INV(RAND())</f>
        <v>2.4749828671779439E-2</v>
      </c>
      <c r="T5661" s="59">
        <f ca="1">Dashboard!C$8* Dashboard!$F$4+Dashboard!C$10*SQRT(Dashboard!$F$4) * _xlfn.NORM.S.INV(RAND())</f>
        <v>-1.7878001303335452E-2</v>
      </c>
      <c r="U5661" s="59">
        <f ca="1">Dashboard!D$8* Dashboard!$F$4+Dashboard!D$10*SQRT(Dashboard!$F$4) * _xlfn.NORM.S.INV(RAND())</f>
        <v>3.2538991553840359E-2</v>
      </c>
    </row>
    <row r="5662" spans="18:21" x14ac:dyDescent="0.2">
      <c r="R5662" s="49">
        <v>5660</v>
      </c>
      <c r="S5662" s="59">
        <f ca="1">Dashboard!B$8* Dashboard!$F$4+Dashboard!B$10*SQRT(Dashboard!$F$4) * _xlfn.NORM.S.INV(RAND())</f>
        <v>-3.8144208419416008E-2</v>
      </c>
      <c r="T5662" s="59">
        <f ca="1">Dashboard!C$8* Dashboard!$F$4+Dashboard!C$10*SQRT(Dashboard!$F$4) * _xlfn.NORM.S.INV(RAND())</f>
        <v>-2.0637843289426246E-2</v>
      </c>
      <c r="U5662" s="59">
        <f ca="1">Dashboard!D$8* Dashboard!$F$4+Dashboard!D$10*SQRT(Dashboard!$F$4) * _xlfn.NORM.S.INV(RAND())</f>
        <v>-5.4444989588042024E-2</v>
      </c>
    </row>
    <row r="5663" spans="18:21" x14ac:dyDescent="0.2">
      <c r="R5663" s="49">
        <v>5661</v>
      </c>
      <c r="S5663" s="59">
        <f ca="1">Dashboard!B$8* Dashboard!$F$4+Dashboard!B$10*SQRT(Dashboard!$F$4) * _xlfn.NORM.S.INV(RAND())</f>
        <v>3.2567469617541901E-2</v>
      </c>
      <c r="T5663" s="59">
        <f ca="1">Dashboard!C$8* Dashboard!$F$4+Dashboard!C$10*SQRT(Dashboard!$F$4) * _xlfn.NORM.S.INV(RAND())</f>
        <v>3.8811157629394771E-2</v>
      </c>
      <c r="U5663" s="59">
        <f ca="1">Dashboard!D$8* Dashboard!$F$4+Dashboard!D$10*SQRT(Dashboard!$F$4) * _xlfn.NORM.S.INV(RAND())</f>
        <v>2.4023492644952966E-2</v>
      </c>
    </row>
    <row r="5664" spans="18:21" x14ac:dyDescent="0.2">
      <c r="R5664" s="49">
        <v>5662</v>
      </c>
      <c r="S5664" s="59">
        <f ca="1">Dashboard!B$8* Dashboard!$F$4+Dashboard!B$10*SQRT(Dashboard!$F$4) * _xlfn.NORM.S.INV(RAND())</f>
        <v>3.9285881993914567E-3</v>
      </c>
      <c r="T5664" s="59">
        <f ca="1">Dashboard!C$8* Dashboard!$F$4+Dashboard!C$10*SQRT(Dashboard!$F$4) * _xlfn.NORM.S.INV(RAND())</f>
        <v>6.2056958157492584E-2</v>
      </c>
      <c r="U5664" s="59">
        <f ca="1">Dashboard!D$8* Dashboard!$F$4+Dashboard!D$10*SQRT(Dashboard!$F$4) * _xlfn.NORM.S.INV(RAND())</f>
        <v>-6.7419364540471363E-3</v>
      </c>
    </row>
    <row r="5665" spans="18:21" x14ac:dyDescent="0.2">
      <c r="R5665" s="49">
        <v>5663</v>
      </c>
      <c r="S5665" s="59">
        <f ca="1">Dashboard!B$8* Dashboard!$F$4+Dashboard!B$10*SQRT(Dashboard!$F$4) * _xlfn.NORM.S.INV(RAND())</f>
        <v>4.6092028200201869E-2</v>
      </c>
      <c r="T5665" s="59">
        <f ca="1">Dashboard!C$8* Dashboard!$F$4+Dashboard!C$10*SQRT(Dashboard!$F$4) * _xlfn.NORM.S.INV(RAND())</f>
        <v>-3.8404400132503388E-4</v>
      </c>
      <c r="U5665" s="59">
        <f ca="1">Dashboard!D$8* Dashboard!$F$4+Dashboard!D$10*SQRT(Dashboard!$F$4) * _xlfn.NORM.S.INV(RAND())</f>
        <v>-3.6515236970376772E-2</v>
      </c>
    </row>
    <row r="5666" spans="18:21" x14ac:dyDescent="0.2">
      <c r="R5666" s="49">
        <v>5664</v>
      </c>
      <c r="S5666" s="59">
        <f ca="1">Dashboard!B$8* Dashboard!$F$4+Dashboard!B$10*SQRT(Dashboard!$F$4) * _xlfn.NORM.S.INV(RAND())</f>
        <v>-2.0775546133018935E-2</v>
      </c>
      <c r="T5666" s="59">
        <f ca="1">Dashboard!C$8* Dashboard!$F$4+Dashboard!C$10*SQRT(Dashboard!$F$4) * _xlfn.NORM.S.INV(RAND())</f>
        <v>1.8592097467653362E-2</v>
      </c>
      <c r="U5666" s="59">
        <f ca="1">Dashboard!D$8* Dashboard!$F$4+Dashboard!D$10*SQRT(Dashboard!$F$4) * _xlfn.NORM.S.INV(RAND())</f>
        <v>5.7563256847150288E-2</v>
      </c>
    </row>
    <row r="5667" spans="18:21" x14ac:dyDescent="0.2">
      <c r="R5667" s="49">
        <v>5665</v>
      </c>
      <c r="S5667" s="59">
        <f ca="1">Dashboard!B$8* Dashboard!$F$4+Dashboard!B$10*SQRT(Dashboard!$F$4) * _xlfn.NORM.S.INV(RAND())</f>
        <v>-1.1377458505680789E-2</v>
      </c>
      <c r="T5667" s="59">
        <f ca="1">Dashboard!C$8* Dashboard!$F$4+Dashboard!C$10*SQRT(Dashboard!$F$4) * _xlfn.NORM.S.INV(RAND())</f>
        <v>-1.2534989663252324E-2</v>
      </c>
      <c r="U5667" s="59">
        <f ca="1">Dashboard!D$8* Dashboard!$F$4+Dashboard!D$10*SQRT(Dashboard!$F$4) * _xlfn.NORM.S.INV(RAND())</f>
        <v>4.7131712710814053E-2</v>
      </c>
    </row>
    <row r="5668" spans="18:21" x14ac:dyDescent="0.2">
      <c r="R5668" s="49">
        <v>5666</v>
      </c>
      <c r="S5668" s="59">
        <f ca="1">Dashboard!B$8* Dashboard!$F$4+Dashboard!B$10*SQRT(Dashboard!$F$4) * _xlfn.NORM.S.INV(RAND())</f>
        <v>-6.0368349624139702E-3</v>
      </c>
      <c r="T5668" s="59">
        <f ca="1">Dashboard!C$8* Dashboard!$F$4+Dashboard!C$10*SQRT(Dashboard!$F$4) * _xlfn.NORM.S.INV(RAND())</f>
        <v>-1.6261697044506716E-3</v>
      </c>
      <c r="U5668" s="59">
        <f ca="1">Dashboard!D$8* Dashboard!$F$4+Dashboard!D$10*SQRT(Dashboard!$F$4) * _xlfn.NORM.S.INV(RAND())</f>
        <v>-1.33415491925616E-2</v>
      </c>
    </row>
    <row r="5669" spans="18:21" x14ac:dyDescent="0.2">
      <c r="R5669" s="49">
        <v>5667</v>
      </c>
      <c r="S5669" s="59">
        <f ca="1">Dashboard!B$8* Dashboard!$F$4+Dashboard!B$10*SQRT(Dashboard!$F$4) * _xlfn.NORM.S.INV(RAND())</f>
        <v>-7.4264553971234454E-3</v>
      </c>
      <c r="T5669" s="59">
        <f ca="1">Dashboard!C$8* Dashboard!$F$4+Dashboard!C$10*SQRT(Dashboard!$F$4) * _xlfn.NORM.S.INV(RAND())</f>
        <v>-4.1674348367831536E-2</v>
      </c>
      <c r="U5669" s="59">
        <f ca="1">Dashboard!D$8* Dashboard!$F$4+Dashboard!D$10*SQRT(Dashboard!$F$4) * _xlfn.NORM.S.INV(RAND())</f>
        <v>1.4513555146472816E-2</v>
      </c>
    </row>
    <row r="5670" spans="18:21" x14ac:dyDescent="0.2">
      <c r="R5670" s="49">
        <v>5668</v>
      </c>
      <c r="S5670" s="59">
        <f ca="1">Dashboard!B$8* Dashboard!$F$4+Dashboard!B$10*SQRT(Dashboard!$F$4) * _xlfn.NORM.S.INV(RAND())</f>
        <v>2.4346363942300921E-2</v>
      </c>
      <c r="T5670" s="59">
        <f ca="1">Dashboard!C$8* Dashboard!$F$4+Dashboard!C$10*SQRT(Dashboard!$F$4) * _xlfn.NORM.S.INV(RAND())</f>
        <v>-2.3285052196714045E-2</v>
      </c>
      <c r="U5670" s="59">
        <f ca="1">Dashboard!D$8* Dashboard!$F$4+Dashboard!D$10*SQRT(Dashboard!$F$4) * _xlfn.NORM.S.INV(RAND())</f>
        <v>2.5800380432506858E-2</v>
      </c>
    </row>
    <row r="5671" spans="18:21" x14ac:dyDescent="0.2">
      <c r="R5671" s="49">
        <v>5669</v>
      </c>
      <c r="S5671" s="59">
        <f ca="1">Dashboard!B$8* Dashboard!$F$4+Dashboard!B$10*SQRT(Dashboard!$F$4) * _xlfn.NORM.S.INV(RAND())</f>
        <v>-2.0032748592141339E-2</v>
      </c>
      <c r="T5671" s="59">
        <f ca="1">Dashboard!C$8* Dashboard!$F$4+Dashboard!C$10*SQRT(Dashboard!$F$4) * _xlfn.NORM.S.INV(RAND())</f>
        <v>-4.3394199688057876E-2</v>
      </c>
      <c r="U5671" s="59">
        <f ca="1">Dashboard!D$8* Dashboard!$F$4+Dashboard!D$10*SQRT(Dashboard!$F$4) * _xlfn.NORM.S.INV(RAND())</f>
        <v>4.029747298311101E-2</v>
      </c>
    </row>
    <row r="5672" spans="18:21" x14ac:dyDescent="0.2">
      <c r="R5672" s="49">
        <v>5670</v>
      </c>
      <c r="S5672" s="59">
        <f ca="1">Dashboard!B$8* Dashboard!$F$4+Dashboard!B$10*SQRT(Dashboard!$F$4) * _xlfn.NORM.S.INV(RAND())</f>
        <v>-3.4774886255829397E-2</v>
      </c>
      <c r="T5672" s="59">
        <f ca="1">Dashboard!C$8* Dashboard!$F$4+Dashboard!C$10*SQRT(Dashboard!$F$4) * _xlfn.NORM.S.INV(RAND())</f>
        <v>5.8726627275626768E-2</v>
      </c>
      <c r="U5672" s="59">
        <f ca="1">Dashboard!D$8* Dashboard!$F$4+Dashboard!D$10*SQRT(Dashboard!$F$4) * _xlfn.NORM.S.INV(RAND())</f>
        <v>-3.4285212682871283E-2</v>
      </c>
    </row>
    <row r="5673" spans="18:21" x14ac:dyDescent="0.2">
      <c r="R5673" s="49">
        <v>5671</v>
      </c>
      <c r="S5673" s="59">
        <f ca="1">Dashboard!B$8* Dashboard!$F$4+Dashboard!B$10*SQRT(Dashboard!$F$4) * _xlfn.NORM.S.INV(RAND())</f>
        <v>-5.5639133134670823E-3</v>
      </c>
      <c r="T5673" s="59">
        <f ca="1">Dashboard!C$8* Dashboard!$F$4+Dashboard!C$10*SQRT(Dashboard!$F$4) * _xlfn.NORM.S.INV(RAND())</f>
        <v>-2.5023455278754263E-2</v>
      </c>
      <c r="U5673" s="59">
        <f ca="1">Dashboard!D$8* Dashboard!$F$4+Dashboard!D$10*SQRT(Dashboard!$F$4) * _xlfn.NORM.S.INV(RAND())</f>
        <v>-2.2916771671464661E-2</v>
      </c>
    </row>
    <row r="5674" spans="18:21" x14ac:dyDescent="0.2">
      <c r="R5674" s="49">
        <v>5672</v>
      </c>
      <c r="S5674" s="59">
        <f ca="1">Dashboard!B$8* Dashboard!$F$4+Dashboard!B$10*SQRT(Dashboard!$F$4) * _xlfn.NORM.S.INV(RAND())</f>
        <v>-5.0171904811723532E-3</v>
      </c>
      <c r="T5674" s="59">
        <f ca="1">Dashboard!C$8* Dashboard!$F$4+Dashboard!C$10*SQRT(Dashboard!$F$4) * _xlfn.NORM.S.INV(RAND())</f>
        <v>-3.7161263153808383E-2</v>
      </c>
      <c r="U5674" s="59">
        <f ca="1">Dashboard!D$8* Dashboard!$F$4+Dashboard!D$10*SQRT(Dashboard!$F$4) * _xlfn.NORM.S.INV(RAND())</f>
        <v>2.3097754364263767E-2</v>
      </c>
    </row>
    <row r="5675" spans="18:21" x14ac:dyDescent="0.2">
      <c r="R5675" s="49">
        <v>5673</v>
      </c>
      <c r="S5675" s="59">
        <f ca="1">Dashboard!B$8* Dashboard!$F$4+Dashboard!B$10*SQRT(Dashboard!$F$4) * _xlfn.NORM.S.INV(RAND())</f>
        <v>5.956272173869041E-3</v>
      </c>
      <c r="T5675" s="59">
        <f ca="1">Dashboard!C$8* Dashboard!$F$4+Dashboard!C$10*SQRT(Dashboard!$F$4) * _xlfn.NORM.S.INV(RAND())</f>
        <v>-5.6870034155169898E-2</v>
      </c>
      <c r="U5675" s="59">
        <f ca="1">Dashboard!D$8* Dashboard!$F$4+Dashboard!D$10*SQRT(Dashboard!$F$4) * _xlfn.NORM.S.INV(RAND())</f>
        <v>-5.8944980651946307E-3</v>
      </c>
    </row>
    <row r="5676" spans="18:21" x14ac:dyDescent="0.2">
      <c r="R5676" s="49">
        <v>5674</v>
      </c>
      <c r="S5676" s="59">
        <f ca="1">Dashboard!B$8* Dashboard!$F$4+Dashboard!B$10*SQRT(Dashboard!$F$4) * _xlfn.NORM.S.INV(RAND())</f>
        <v>-1.0753375859777871E-3</v>
      </c>
      <c r="T5676" s="59">
        <f ca="1">Dashboard!C$8* Dashboard!$F$4+Dashboard!C$10*SQRT(Dashboard!$F$4) * _xlfn.NORM.S.INV(RAND())</f>
        <v>7.4898356350298054E-2</v>
      </c>
      <c r="U5676" s="59">
        <f ca="1">Dashboard!D$8* Dashboard!$F$4+Dashboard!D$10*SQRT(Dashboard!$F$4) * _xlfn.NORM.S.INV(RAND())</f>
        <v>1.8617917142596929E-2</v>
      </c>
    </row>
    <row r="5677" spans="18:21" x14ac:dyDescent="0.2">
      <c r="R5677" s="49">
        <v>5675</v>
      </c>
      <c r="S5677" s="59">
        <f ca="1">Dashboard!B$8* Dashboard!$F$4+Dashboard!B$10*SQRT(Dashboard!$F$4) * _xlfn.NORM.S.INV(RAND())</f>
        <v>-2.3841893229523813E-2</v>
      </c>
      <c r="T5677" s="59">
        <f ca="1">Dashboard!C$8* Dashboard!$F$4+Dashboard!C$10*SQRT(Dashboard!$F$4) * _xlfn.NORM.S.INV(RAND())</f>
        <v>-2.5042636632720137E-2</v>
      </c>
      <c r="U5677" s="59">
        <f ca="1">Dashboard!D$8* Dashboard!$F$4+Dashboard!D$10*SQRT(Dashboard!$F$4) * _xlfn.NORM.S.INV(RAND())</f>
        <v>-1.4386445287752533E-2</v>
      </c>
    </row>
    <row r="5678" spans="18:21" x14ac:dyDescent="0.2">
      <c r="R5678" s="49">
        <v>5676</v>
      </c>
      <c r="S5678" s="59">
        <f ca="1">Dashboard!B$8* Dashboard!$F$4+Dashboard!B$10*SQRT(Dashboard!$F$4) * _xlfn.NORM.S.INV(RAND())</f>
        <v>2.5813578914810342E-2</v>
      </c>
      <c r="T5678" s="59">
        <f ca="1">Dashboard!C$8* Dashboard!$F$4+Dashboard!C$10*SQRT(Dashboard!$F$4) * _xlfn.NORM.S.INV(RAND())</f>
        <v>-1.4461167436288586E-2</v>
      </c>
      <c r="U5678" s="59">
        <f ca="1">Dashboard!D$8* Dashboard!$F$4+Dashboard!D$10*SQRT(Dashboard!$F$4) * _xlfn.NORM.S.INV(RAND())</f>
        <v>-7.1320505378870205E-3</v>
      </c>
    </row>
    <row r="5679" spans="18:21" x14ac:dyDescent="0.2">
      <c r="R5679" s="49">
        <v>5677</v>
      </c>
      <c r="S5679" s="59">
        <f ca="1">Dashboard!B$8* Dashboard!$F$4+Dashboard!B$10*SQRT(Dashboard!$F$4) * _xlfn.NORM.S.INV(RAND())</f>
        <v>2.7868178381503454E-2</v>
      </c>
      <c r="T5679" s="59">
        <f ca="1">Dashboard!C$8* Dashboard!$F$4+Dashboard!C$10*SQRT(Dashboard!$F$4) * _xlfn.NORM.S.INV(RAND())</f>
        <v>-4.2498131421311279E-2</v>
      </c>
      <c r="U5679" s="59">
        <f ca="1">Dashboard!D$8* Dashboard!$F$4+Dashboard!D$10*SQRT(Dashboard!$F$4) * _xlfn.NORM.S.INV(RAND())</f>
        <v>-3.7699896357710233E-2</v>
      </c>
    </row>
    <row r="5680" spans="18:21" x14ac:dyDescent="0.2">
      <c r="R5680" s="49">
        <v>5678</v>
      </c>
      <c r="S5680" s="59">
        <f ca="1">Dashboard!B$8* Dashboard!$F$4+Dashboard!B$10*SQRT(Dashboard!$F$4) * _xlfn.NORM.S.INV(RAND())</f>
        <v>-2.2158745195615587E-2</v>
      </c>
      <c r="T5680" s="59">
        <f ca="1">Dashboard!C$8* Dashboard!$F$4+Dashboard!C$10*SQRT(Dashboard!$F$4) * _xlfn.NORM.S.INV(RAND())</f>
        <v>2.5509772331706503E-2</v>
      </c>
      <c r="U5680" s="59">
        <f ca="1">Dashboard!D$8* Dashboard!$F$4+Dashboard!D$10*SQRT(Dashboard!$F$4) * _xlfn.NORM.S.INV(RAND())</f>
        <v>-1.3444624300784478E-2</v>
      </c>
    </row>
    <row r="5681" spans="18:21" x14ac:dyDescent="0.2">
      <c r="R5681" s="49">
        <v>5679</v>
      </c>
      <c r="S5681" s="59">
        <f ca="1">Dashboard!B$8* Dashboard!$F$4+Dashboard!B$10*SQRT(Dashboard!$F$4) * _xlfn.NORM.S.INV(RAND())</f>
        <v>4.4764204362426323E-3</v>
      </c>
      <c r="T5681" s="59">
        <f ca="1">Dashboard!C$8* Dashboard!$F$4+Dashboard!C$10*SQRT(Dashboard!$F$4) * _xlfn.NORM.S.INV(RAND())</f>
        <v>-1.7276615478231967E-3</v>
      </c>
      <c r="U5681" s="59">
        <f ca="1">Dashboard!D$8* Dashboard!$F$4+Dashboard!D$10*SQRT(Dashboard!$F$4) * _xlfn.NORM.S.INV(RAND())</f>
        <v>2.7456696562451064E-2</v>
      </c>
    </row>
    <row r="5682" spans="18:21" x14ac:dyDescent="0.2">
      <c r="R5682" s="49">
        <v>5680</v>
      </c>
      <c r="S5682" s="59">
        <f ca="1">Dashboard!B$8* Dashboard!$F$4+Dashboard!B$10*SQRT(Dashboard!$F$4) * _xlfn.NORM.S.INV(RAND())</f>
        <v>1.1421005345982702E-3</v>
      </c>
      <c r="T5682" s="59">
        <f ca="1">Dashboard!C$8* Dashboard!$F$4+Dashboard!C$10*SQRT(Dashboard!$F$4) * _xlfn.NORM.S.INV(RAND())</f>
        <v>-4.9551924070856228E-2</v>
      </c>
      <c r="U5682" s="59">
        <f ca="1">Dashboard!D$8* Dashboard!$F$4+Dashboard!D$10*SQRT(Dashboard!$F$4) * _xlfn.NORM.S.INV(RAND())</f>
        <v>-7.3130527771219839E-2</v>
      </c>
    </row>
    <row r="5683" spans="18:21" x14ac:dyDescent="0.2">
      <c r="R5683" s="49">
        <v>5681</v>
      </c>
      <c r="S5683" s="59">
        <f ca="1">Dashboard!B$8* Dashboard!$F$4+Dashboard!B$10*SQRT(Dashboard!$F$4) * _xlfn.NORM.S.INV(RAND())</f>
        <v>-0.10994641072206406</v>
      </c>
      <c r="T5683" s="59">
        <f ca="1">Dashboard!C$8* Dashboard!$F$4+Dashboard!C$10*SQRT(Dashboard!$F$4) * _xlfn.NORM.S.INV(RAND())</f>
        <v>2.4609036588179395E-2</v>
      </c>
      <c r="U5683" s="59">
        <f ca="1">Dashboard!D$8* Dashboard!$F$4+Dashboard!D$10*SQRT(Dashboard!$F$4) * _xlfn.NORM.S.INV(RAND())</f>
        <v>4.2296480239276735E-2</v>
      </c>
    </row>
    <row r="5684" spans="18:21" x14ac:dyDescent="0.2">
      <c r="R5684" s="49">
        <v>5682</v>
      </c>
      <c r="S5684" s="59">
        <f ca="1">Dashboard!B$8* Dashboard!$F$4+Dashboard!B$10*SQRT(Dashboard!$F$4) * _xlfn.NORM.S.INV(RAND())</f>
        <v>-1.3733318589606533E-2</v>
      </c>
      <c r="T5684" s="59">
        <f ca="1">Dashboard!C$8* Dashboard!$F$4+Dashboard!C$10*SQRT(Dashboard!$F$4) * _xlfn.NORM.S.INV(RAND())</f>
        <v>6.0338947086124771E-2</v>
      </c>
      <c r="U5684" s="59">
        <f ca="1">Dashboard!D$8* Dashboard!$F$4+Dashboard!D$10*SQRT(Dashboard!$F$4) * _xlfn.NORM.S.INV(RAND())</f>
        <v>-2.8624159034286046E-3</v>
      </c>
    </row>
    <row r="5685" spans="18:21" x14ac:dyDescent="0.2">
      <c r="R5685" s="49">
        <v>5683</v>
      </c>
      <c r="S5685" s="59">
        <f ca="1">Dashboard!B$8* Dashboard!$F$4+Dashboard!B$10*SQRT(Dashboard!$F$4) * _xlfn.NORM.S.INV(RAND())</f>
        <v>9.6162230819568928E-3</v>
      </c>
      <c r="T5685" s="59">
        <f ca="1">Dashboard!C$8* Dashboard!$F$4+Dashboard!C$10*SQRT(Dashboard!$F$4) * _xlfn.NORM.S.INV(RAND())</f>
        <v>-1.3253703860381383E-3</v>
      </c>
      <c r="U5685" s="59">
        <f ca="1">Dashboard!D$8* Dashboard!$F$4+Dashboard!D$10*SQRT(Dashboard!$F$4) * _xlfn.NORM.S.INV(RAND())</f>
        <v>1.3777944109589031E-3</v>
      </c>
    </row>
    <row r="5686" spans="18:21" x14ac:dyDescent="0.2">
      <c r="R5686" s="49">
        <v>5684</v>
      </c>
      <c r="S5686" s="59">
        <f ca="1">Dashboard!B$8* Dashboard!$F$4+Dashboard!B$10*SQRT(Dashboard!$F$4) * _xlfn.NORM.S.INV(RAND())</f>
        <v>1.6782944837026623E-2</v>
      </c>
      <c r="T5686" s="59">
        <f ca="1">Dashboard!C$8* Dashboard!$F$4+Dashboard!C$10*SQRT(Dashboard!$F$4) * _xlfn.NORM.S.INV(RAND())</f>
        <v>1.0135638433844948E-2</v>
      </c>
      <c r="U5686" s="59">
        <f ca="1">Dashboard!D$8* Dashboard!$F$4+Dashboard!D$10*SQRT(Dashboard!$F$4) * _xlfn.NORM.S.INV(RAND())</f>
        <v>-1.2661792546671406E-2</v>
      </c>
    </row>
    <row r="5687" spans="18:21" x14ac:dyDescent="0.2">
      <c r="R5687" s="49">
        <v>5685</v>
      </c>
      <c r="S5687" s="59">
        <f ca="1">Dashboard!B$8* Dashboard!$F$4+Dashboard!B$10*SQRT(Dashboard!$F$4) * _xlfn.NORM.S.INV(RAND())</f>
        <v>3.617029375870464E-4</v>
      </c>
      <c r="T5687" s="59">
        <f ca="1">Dashboard!C$8* Dashboard!$F$4+Dashboard!C$10*SQRT(Dashboard!$F$4) * _xlfn.NORM.S.INV(RAND())</f>
        <v>6.1302660579716346E-2</v>
      </c>
      <c r="U5687" s="59">
        <f ca="1">Dashboard!D$8* Dashboard!$F$4+Dashboard!D$10*SQRT(Dashboard!$F$4) * _xlfn.NORM.S.INV(RAND())</f>
        <v>4.1111993661869503E-2</v>
      </c>
    </row>
    <row r="5688" spans="18:21" x14ac:dyDescent="0.2">
      <c r="R5688" s="49">
        <v>5686</v>
      </c>
      <c r="S5688" s="59">
        <f ca="1">Dashboard!B$8* Dashboard!$F$4+Dashboard!B$10*SQRT(Dashboard!$F$4) * _xlfn.NORM.S.INV(RAND())</f>
        <v>5.7464127331770375E-3</v>
      </c>
      <c r="T5688" s="59">
        <f ca="1">Dashboard!C$8* Dashboard!$F$4+Dashboard!C$10*SQRT(Dashboard!$F$4) * _xlfn.NORM.S.INV(RAND())</f>
        <v>3.8420436545836298E-3</v>
      </c>
      <c r="U5688" s="59">
        <f ca="1">Dashboard!D$8* Dashboard!$F$4+Dashboard!D$10*SQRT(Dashboard!$F$4) * _xlfn.NORM.S.INV(RAND())</f>
        <v>-6.0355108353429728E-2</v>
      </c>
    </row>
    <row r="5689" spans="18:21" x14ac:dyDescent="0.2">
      <c r="R5689" s="49">
        <v>5687</v>
      </c>
      <c r="S5689" s="59">
        <f ca="1">Dashboard!B$8* Dashboard!$F$4+Dashboard!B$10*SQRT(Dashboard!$F$4) * _xlfn.NORM.S.INV(RAND())</f>
        <v>-1.5369388002572034E-2</v>
      </c>
      <c r="T5689" s="59">
        <f ca="1">Dashboard!C$8* Dashboard!$F$4+Dashboard!C$10*SQRT(Dashboard!$F$4) * _xlfn.NORM.S.INV(RAND())</f>
        <v>2.4564033212552606E-2</v>
      </c>
      <c r="U5689" s="59">
        <f ca="1">Dashboard!D$8* Dashboard!$F$4+Dashboard!D$10*SQRT(Dashboard!$F$4) * _xlfn.NORM.S.INV(RAND())</f>
        <v>2.1025695976111213E-2</v>
      </c>
    </row>
    <row r="5690" spans="18:21" x14ac:dyDescent="0.2">
      <c r="R5690" s="49">
        <v>5688</v>
      </c>
      <c r="S5690" s="59">
        <f ca="1">Dashboard!B$8* Dashboard!$F$4+Dashboard!B$10*SQRT(Dashboard!$F$4) * _xlfn.NORM.S.INV(RAND())</f>
        <v>-1.8323798752383068E-2</v>
      </c>
      <c r="T5690" s="59">
        <f ca="1">Dashboard!C$8* Dashboard!$F$4+Dashboard!C$10*SQRT(Dashboard!$F$4) * _xlfn.NORM.S.INV(RAND())</f>
        <v>3.6826499212941503E-2</v>
      </c>
      <c r="U5690" s="59">
        <f ca="1">Dashboard!D$8* Dashboard!$F$4+Dashboard!D$10*SQRT(Dashboard!$F$4) * _xlfn.NORM.S.INV(RAND())</f>
        <v>-5.1929527810274535E-3</v>
      </c>
    </row>
    <row r="5691" spans="18:21" x14ac:dyDescent="0.2">
      <c r="R5691" s="49">
        <v>5689</v>
      </c>
      <c r="S5691" s="59">
        <f ca="1">Dashboard!B$8* Dashboard!$F$4+Dashboard!B$10*SQRT(Dashboard!$F$4) * _xlfn.NORM.S.INV(RAND())</f>
        <v>2.7119497570058167E-2</v>
      </c>
      <c r="T5691" s="59">
        <f ca="1">Dashboard!C$8* Dashboard!$F$4+Dashboard!C$10*SQRT(Dashboard!$F$4) * _xlfn.NORM.S.INV(RAND())</f>
        <v>-2.8763386513644778E-2</v>
      </c>
      <c r="U5691" s="59">
        <f ca="1">Dashboard!D$8* Dashboard!$F$4+Dashboard!D$10*SQRT(Dashboard!$F$4) * _xlfn.NORM.S.INV(RAND())</f>
        <v>-1.3519591174264793E-2</v>
      </c>
    </row>
    <row r="5692" spans="18:21" x14ac:dyDescent="0.2">
      <c r="R5692" s="49">
        <v>5690</v>
      </c>
      <c r="S5692" s="59">
        <f ca="1">Dashboard!B$8* Dashboard!$F$4+Dashboard!B$10*SQRT(Dashboard!$F$4) * _xlfn.NORM.S.INV(RAND())</f>
        <v>-2.8659805986869742E-2</v>
      </c>
      <c r="T5692" s="59">
        <f ca="1">Dashboard!C$8* Dashboard!$F$4+Dashboard!C$10*SQRT(Dashboard!$F$4) * _xlfn.NORM.S.INV(RAND())</f>
        <v>3.8096464364301155E-2</v>
      </c>
      <c r="U5692" s="59">
        <f ca="1">Dashboard!D$8* Dashboard!$F$4+Dashboard!D$10*SQRT(Dashboard!$F$4) * _xlfn.NORM.S.INV(RAND())</f>
        <v>1.5542706829779724E-2</v>
      </c>
    </row>
    <row r="5693" spans="18:21" x14ac:dyDescent="0.2">
      <c r="R5693" s="49">
        <v>5691</v>
      </c>
      <c r="S5693" s="59">
        <f ca="1">Dashboard!B$8* Dashboard!$F$4+Dashboard!B$10*SQRT(Dashboard!$F$4) * _xlfn.NORM.S.INV(RAND())</f>
        <v>2.4699819324093082E-3</v>
      </c>
      <c r="T5693" s="59">
        <f ca="1">Dashboard!C$8* Dashboard!$F$4+Dashboard!C$10*SQRT(Dashboard!$F$4) * _xlfn.NORM.S.INV(RAND())</f>
        <v>4.4010899355396748E-3</v>
      </c>
      <c r="U5693" s="59">
        <f ca="1">Dashboard!D$8* Dashboard!$F$4+Dashboard!D$10*SQRT(Dashboard!$F$4) * _xlfn.NORM.S.INV(RAND())</f>
        <v>5.3748095144414525E-2</v>
      </c>
    </row>
    <row r="5694" spans="18:21" x14ac:dyDescent="0.2">
      <c r="R5694" s="49">
        <v>5692</v>
      </c>
      <c r="S5694" s="59">
        <f ca="1">Dashboard!B$8* Dashboard!$F$4+Dashboard!B$10*SQRT(Dashboard!$F$4) * _xlfn.NORM.S.INV(RAND())</f>
        <v>4.4265111690948787E-2</v>
      </c>
      <c r="T5694" s="59">
        <f ca="1">Dashboard!C$8* Dashboard!$F$4+Dashboard!C$10*SQRT(Dashboard!$F$4) * _xlfn.NORM.S.INV(RAND())</f>
        <v>-1.8962701858107434E-2</v>
      </c>
      <c r="U5694" s="59">
        <f ca="1">Dashboard!D$8* Dashboard!$F$4+Dashboard!D$10*SQRT(Dashboard!$F$4) * _xlfn.NORM.S.INV(RAND())</f>
        <v>4.3730146322868722E-2</v>
      </c>
    </row>
    <row r="5695" spans="18:21" x14ac:dyDescent="0.2">
      <c r="R5695" s="49">
        <v>5693</v>
      </c>
      <c r="S5695" s="59">
        <f ca="1">Dashboard!B$8* Dashboard!$F$4+Dashboard!B$10*SQRT(Dashboard!$F$4) * _xlfn.NORM.S.INV(RAND())</f>
        <v>-1.9876002930199137E-2</v>
      </c>
      <c r="T5695" s="59">
        <f ca="1">Dashboard!C$8* Dashboard!$F$4+Dashboard!C$10*SQRT(Dashboard!$F$4) * _xlfn.NORM.S.INV(RAND())</f>
        <v>-3.6888085979701604E-3</v>
      </c>
      <c r="U5695" s="59">
        <f ca="1">Dashboard!D$8* Dashboard!$F$4+Dashboard!D$10*SQRT(Dashboard!$F$4) * _xlfn.NORM.S.INV(RAND())</f>
        <v>-3.9238107804359823E-2</v>
      </c>
    </row>
    <row r="5696" spans="18:21" x14ac:dyDescent="0.2">
      <c r="R5696" s="49">
        <v>5694</v>
      </c>
      <c r="S5696" s="59">
        <f ca="1">Dashboard!B$8* Dashboard!$F$4+Dashboard!B$10*SQRT(Dashboard!$F$4) * _xlfn.NORM.S.INV(RAND())</f>
        <v>3.6642278448089545E-2</v>
      </c>
      <c r="T5696" s="59">
        <f ca="1">Dashboard!C$8* Dashboard!$F$4+Dashboard!C$10*SQRT(Dashboard!$F$4) * _xlfn.NORM.S.INV(RAND())</f>
        <v>1.8050353649729855E-2</v>
      </c>
      <c r="U5696" s="59">
        <f ca="1">Dashboard!D$8* Dashboard!$F$4+Dashboard!D$10*SQRT(Dashboard!$F$4) * _xlfn.NORM.S.INV(RAND())</f>
        <v>2.7928759974641615E-2</v>
      </c>
    </row>
    <row r="5697" spans="18:21" x14ac:dyDescent="0.2">
      <c r="R5697" s="49">
        <v>5695</v>
      </c>
      <c r="S5697" s="59">
        <f ca="1">Dashboard!B$8* Dashboard!$F$4+Dashboard!B$10*SQRT(Dashboard!$F$4) * _xlfn.NORM.S.INV(RAND())</f>
        <v>-3.2497548269193696E-2</v>
      </c>
      <c r="T5697" s="59">
        <f ca="1">Dashboard!C$8* Dashboard!$F$4+Dashboard!C$10*SQRT(Dashboard!$F$4) * _xlfn.NORM.S.INV(RAND())</f>
        <v>2.4788243724283867E-2</v>
      </c>
      <c r="U5697" s="59">
        <f ca="1">Dashboard!D$8* Dashboard!$F$4+Dashboard!D$10*SQRT(Dashboard!$F$4) * _xlfn.NORM.S.INV(RAND())</f>
        <v>-2.2409584899479889E-4</v>
      </c>
    </row>
    <row r="5698" spans="18:21" x14ac:dyDescent="0.2">
      <c r="R5698" s="49">
        <v>5696</v>
      </c>
      <c r="S5698" s="59">
        <f ca="1">Dashboard!B$8* Dashboard!$F$4+Dashboard!B$10*SQRT(Dashboard!$F$4) * _xlfn.NORM.S.INV(RAND())</f>
        <v>-5.7560566179992246E-3</v>
      </c>
      <c r="T5698" s="59">
        <f ca="1">Dashboard!C$8* Dashboard!$F$4+Dashboard!C$10*SQRT(Dashboard!$F$4) * _xlfn.NORM.S.INV(RAND())</f>
        <v>-3.7104097986113825E-2</v>
      </c>
      <c r="U5698" s="59">
        <f ca="1">Dashboard!D$8* Dashboard!$F$4+Dashboard!D$10*SQRT(Dashboard!$F$4) * _xlfn.NORM.S.INV(RAND())</f>
        <v>-3.7718586211092937E-3</v>
      </c>
    </row>
    <row r="5699" spans="18:21" x14ac:dyDescent="0.2">
      <c r="R5699" s="49">
        <v>5697</v>
      </c>
      <c r="S5699" s="59">
        <f ca="1">Dashboard!B$8* Dashboard!$F$4+Dashboard!B$10*SQRT(Dashboard!$F$4) * _xlfn.NORM.S.INV(RAND())</f>
        <v>3.0869705370203887E-3</v>
      </c>
      <c r="T5699" s="59">
        <f ca="1">Dashboard!C$8* Dashboard!$F$4+Dashboard!C$10*SQRT(Dashboard!$F$4) * _xlfn.NORM.S.INV(RAND())</f>
        <v>-1.9144909501526523E-2</v>
      </c>
      <c r="U5699" s="59">
        <f ca="1">Dashboard!D$8* Dashboard!$F$4+Dashboard!D$10*SQRT(Dashboard!$F$4) * _xlfn.NORM.S.INV(RAND())</f>
        <v>4.6548708401504907E-2</v>
      </c>
    </row>
    <row r="5700" spans="18:21" x14ac:dyDescent="0.2">
      <c r="R5700" s="49">
        <v>5698</v>
      </c>
      <c r="S5700" s="59">
        <f ca="1">Dashboard!B$8* Dashboard!$F$4+Dashboard!B$10*SQRT(Dashboard!$F$4) * _xlfn.NORM.S.INV(RAND())</f>
        <v>1.396040272304565E-2</v>
      </c>
      <c r="T5700" s="59">
        <f ca="1">Dashboard!C$8* Dashboard!$F$4+Dashboard!C$10*SQRT(Dashboard!$F$4) * _xlfn.NORM.S.INV(RAND())</f>
        <v>-6.3477475545337184E-2</v>
      </c>
      <c r="U5700" s="59">
        <f ca="1">Dashboard!D$8* Dashboard!$F$4+Dashboard!D$10*SQRT(Dashboard!$F$4) * _xlfn.NORM.S.INV(RAND())</f>
        <v>-2.2737053351488325E-2</v>
      </c>
    </row>
    <row r="5701" spans="18:21" x14ac:dyDescent="0.2">
      <c r="R5701" s="49">
        <v>5699</v>
      </c>
      <c r="S5701" s="59">
        <f ca="1">Dashboard!B$8* Dashboard!$F$4+Dashboard!B$10*SQRT(Dashboard!$F$4) * _xlfn.NORM.S.INV(RAND())</f>
        <v>-1.853394796566938E-2</v>
      </c>
      <c r="T5701" s="59">
        <f ca="1">Dashboard!C$8* Dashboard!$F$4+Dashboard!C$10*SQRT(Dashboard!$F$4) * _xlfn.NORM.S.INV(RAND())</f>
        <v>-5.1057329499954965E-2</v>
      </c>
      <c r="U5701" s="59">
        <f ca="1">Dashboard!D$8* Dashboard!$F$4+Dashboard!D$10*SQRT(Dashboard!$F$4) * _xlfn.NORM.S.INV(RAND())</f>
        <v>-9.5400241167963012E-3</v>
      </c>
    </row>
    <row r="5702" spans="18:21" x14ac:dyDescent="0.2">
      <c r="R5702" s="49">
        <v>5700</v>
      </c>
      <c r="S5702" s="59">
        <f ca="1">Dashboard!B$8* Dashboard!$F$4+Dashboard!B$10*SQRT(Dashboard!$F$4) * _xlfn.NORM.S.INV(RAND())</f>
        <v>-1.9176567826560853E-2</v>
      </c>
      <c r="T5702" s="59">
        <f ca="1">Dashboard!C$8* Dashboard!$F$4+Dashboard!C$10*SQRT(Dashboard!$F$4) * _xlfn.NORM.S.INV(RAND())</f>
        <v>1.4370863953654143E-2</v>
      </c>
      <c r="U5702" s="59">
        <f ca="1">Dashboard!D$8* Dashboard!$F$4+Dashboard!D$10*SQRT(Dashboard!$F$4) * _xlfn.NORM.S.INV(RAND())</f>
        <v>3.5024139201418041E-3</v>
      </c>
    </row>
    <row r="5703" spans="18:21" x14ac:dyDescent="0.2">
      <c r="R5703" s="49">
        <v>5701</v>
      </c>
      <c r="S5703" s="59">
        <f ca="1">Dashboard!B$8* Dashboard!$F$4+Dashboard!B$10*SQRT(Dashboard!$F$4) * _xlfn.NORM.S.INV(RAND())</f>
        <v>7.1737641288756246E-3</v>
      </c>
      <c r="T5703" s="59">
        <f ca="1">Dashboard!C$8* Dashboard!$F$4+Dashboard!C$10*SQRT(Dashboard!$F$4) * _xlfn.NORM.S.INV(RAND())</f>
        <v>1.384662128964249E-3</v>
      </c>
      <c r="U5703" s="59">
        <f ca="1">Dashboard!D$8* Dashboard!$F$4+Dashboard!D$10*SQRT(Dashboard!$F$4) * _xlfn.NORM.S.INV(RAND())</f>
        <v>-1.9626079782539968E-3</v>
      </c>
    </row>
    <row r="5704" spans="18:21" x14ac:dyDescent="0.2">
      <c r="R5704" s="49">
        <v>5702</v>
      </c>
      <c r="S5704" s="59">
        <f ca="1">Dashboard!B$8* Dashboard!$F$4+Dashboard!B$10*SQRT(Dashboard!$F$4) * _xlfn.NORM.S.INV(RAND())</f>
        <v>-9.0845760620992012E-3</v>
      </c>
      <c r="T5704" s="59">
        <f ca="1">Dashboard!C$8* Dashboard!$F$4+Dashboard!C$10*SQRT(Dashboard!$F$4) * _xlfn.NORM.S.INV(RAND())</f>
        <v>-7.1291060672465595E-3</v>
      </c>
      <c r="U5704" s="59">
        <f ca="1">Dashboard!D$8* Dashboard!$F$4+Dashboard!D$10*SQRT(Dashboard!$F$4) * _xlfn.NORM.S.INV(RAND())</f>
        <v>-1.0942483609654073E-2</v>
      </c>
    </row>
    <row r="5705" spans="18:21" x14ac:dyDescent="0.2">
      <c r="R5705" s="49">
        <v>5703</v>
      </c>
      <c r="S5705" s="59">
        <f ca="1">Dashboard!B$8* Dashboard!$F$4+Dashboard!B$10*SQRT(Dashboard!$F$4) * _xlfn.NORM.S.INV(RAND())</f>
        <v>-5.133763825825137E-2</v>
      </c>
      <c r="T5705" s="59">
        <f ca="1">Dashboard!C$8* Dashboard!$F$4+Dashboard!C$10*SQRT(Dashboard!$F$4) * _xlfn.NORM.S.INV(RAND())</f>
        <v>-7.7893302337846962E-3</v>
      </c>
      <c r="U5705" s="59">
        <f ca="1">Dashboard!D$8* Dashboard!$F$4+Dashboard!D$10*SQRT(Dashboard!$F$4) * _xlfn.NORM.S.INV(RAND())</f>
        <v>-2.7193190073690816E-2</v>
      </c>
    </row>
    <row r="5706" spans="18:21" x14ac:dyDescent="0.2">
      <c r="R5706" s="49">
        <v>5704</v>
      </c>
      <c r="S5706" s="59">
        <f ca="1">Dashboard!B$8* Dashboard!$F$4+Dashboard!B$10*SQRT(Dashboard!$F$4) * _xlfn.NORM.S.INV(RAND())</f>
        <v>-3.4539150171382683E-2</v>
      </c>
      <c r="T5706" s="59">
        <f ca="1">Dashboard!C$8* Dashboard!$F$4+Dashboard!C$10*SQRT(Dashboard!$F$4) * _xlfn.NORM.S.INV(RAND())</f>
        <v>-4.4977751659804673E-2</v>
      </c>
      <c r="U5706" s="59">
        <f ca="1">Dashboard!D$8* Dashboard!$F$4+Dashboard!D$10*SQRT(Dashboard!$F$4) * _xlfn.NORM.S.INV(RAND())</f>
        <v>3.6422448065014885E-2</v>
      </c>
    </row>
    <row r="5707" spans="18:21" x14ac:dyDescent="0.2">
      <c r="R5707" s="49">
        <v>5705</v>
      </c>
      <c r="S5707" s="59">
        <f ca="1">Dashboard!B$8* Dashboard!$F$4+Dashboard!B$10*SQRT(Dashboard!$F$4) * _xlfn.NORM.S.INV(RAND())</f>
        <v>-5.1668011744375013E-3</v>
      </c>
      <c r="T5707" s="59">
        <f ca="1">Dashboard!C$8* Dashboard!$F$4+Dashboard!C$10*SQRT(Dashboard!$F$4) * _xlfn.NORM.S.INV(RAND())</f>
        <v>-4.1603763280934132E-2</v>
      </c>
      <c r="U5707" s="59">
        <f ca="1">Dashboard!D$8* Dashboard!$F$4+Dashboard!D$10*SQRT(Dashboard!$F$4) * _xlfn.NORM.S.INV(RAND())</f>
        <v>-1.0884092093386467E-2</v>
      </c>
    </row>
    <row r="5708" spans="18:21" x14ac:dyDescent="0.2">
      <c r="R5708" s="49">
        <v>5706</v>
      </c>
      <c r="S5708" s="59">
        <f ca="1">Dashboard!B$8* Dashboard!$F$4+Dashboard!B$10*SQRT(Dashboard!$F$4) * _xlfn.NORM.S.INV(RAND())</f>
        <v>-1.3610403670668911E-2</v>
      </c>
      <c r="T5708" s="59">
        <f ca="1">Dashboard!C$8* Dashboard!$F$4+Dashboard!C$10*SQRT(Dashboard!$F$4) * _xlfn.NORM.S.INV(RAND())</f>
        <v>-3.7487572359799E-2</v>
      </c>
      <c r="U5708" s="59">
        <f ca="1">Dashboard!D$8* Dashboard!$F$4+Dashboard!D$10*SQRT(Dashboard!$F$4) * _xlfn.NORM.S.INV(RAND())</f>
        <v>-1.3704137726875938E-2</v>
      </c>
    </row>
    <row r="5709" spans="18:21" x14ac:dyDescent="0.2">
      <c r="R5709" s="49">
        <v>5707</v>
      </c>
      <c r="S5709" s="59">
        <f ca="1">Dashboard!B$8* Dashboard!$F$4+Dashboard!B$10*SQRT(Dashboard!$F$4) * _xlfn.NORM.S.INV(RAND())</f>
        <v>-1.9446707756462046E-2</v>
      </c>
      <c r="T5709" s="59">
        <f ca="1">Dashboard!C$8* Dashboard!$F$4+Dashboard!C$10*SQRT(Dashboard!$F$4) * _xlfn.NORM.S.INV(RAND())</f>
        <v>2.4635301814787881E-2</v>
      </c>
      <c r="U5709" s="59">
        <f ca="1">Dashboard!D$8* Dashboard!$F$4+Dashboard!D$10*SQRT(Dashboard!$F$4) * _xlfn.NORM.S.INV(RAND())</f>
        <v>-5.2754390970843473E-2</v>
      </c>
    </row>
    <row r="5710" spans="18:21" x14ac:dyDescent="0.2">
      <c r="R5710" s="49">
        <v>5708</v>
      </c>
      <c r="S5710" s="59">
        <f ca="1">Dashboard!B$8* Dashboard!$F$4+Dashboard!B$10*SQRT(Dashboard!$F$4) * _xlfn.NORM.S.INV(RAND())</f>
        <v>3.5511132227839949E-2</v>
      </c>
      <c r="T5710" s="59">
        <f ca="1">Dashboard!C$8* Dashboard!$F$4+Dashboard!C$10*SQRT(Dashboard!$F$4) * _xlfn.NORM.S.INV(RAND())</f>
        <v>2.1212511954985361E-2</v>
      </c>
      <c r="U5710" s="59">
        <f ca="1">Dashboard!D$8* Dashboard!$F$4+Dashboard!D$10*SQRT(Dashboard!$F$4) * _xlfn.NORM.S.INV(RAND())</f>
        <v>6.0295159116045723E-2</v>
      </c>
    </row>
    <row r="5711" spans="18:21" x14ac:dyDescent="0.2">
      <c r="R5711" s="49">
        <v>5709</v>
      </c>
      <c r="S5711" s="59">
        <f ca="1">Dashboard!B$8* Dashboard!$F$4+Dashboard!B$10*SQRT(Dashboard!$F$4) * _xlfn.NORM.S.INV(RAND())</f>
        <v>2.7237751056593262E-2</v>
      </c>
      <c r="T5711" s="59">
        <f ca="1">Dashboard!C$8* Dashboard!$F$4+Dashboard!C$10*SQRT(Dashboard!$F$4) * _xlfn.NORM.S.INV(RAND())</f>
        <v>3.6969199751964617E-2</v>
      </c>
      <c r="U5711" s="59">
        <f ca="1">Dashboard!D$8* Dashboard!$F$4+Dashboard!D$10*SQRT(Dashboard!$F$4) * _xlfn.NORM.S.INV(RAND())</f>
        <v>4.5751638667139653E-2</v>
      </c>
    </row>
    <row r="5712" spans="18:21" x14ac:dyDescent="0.2">
      <c r="R5712" s="49">
        <v>5710</v>
      </c>
      <c r="S5712" s="59">
        <f ca="1">Dashboard!B$8* Dashboard!$F$4+Dashboard!B$10*SQRT(Dashboard!$F$4) * _xlfn.NORM.S.INV(RAND())</f>
        <v>3.3016279413391247E-2</v>
      </c>
      <c r="T5712" s="59">
        <f ca="1">Dashboard!C$8* Dashboard!$F$4+Dashboard!C$10*SQRT(Dashboard!$F$4) * _xlfn.NORM.S.INV(RAND())</f>
        <v>6.286970324806411E-2</v>
      </c>
      <c r="U5712" s="59">
        <f ca="1">Dashboard!D$8* Dashboard!$F$4+Dashboard!D$10*SQRT(Dashboard!$F$4) * _xlfn.NORM.S.INV(RAND())</f>
        <v>-1.9687460981262235E-2</v>
      </c>
    </row>
    <row r="5713" spans="18:21" x14ac:dyDescent="0.2">
      <c r="R5713" s="49">
        <v>5711</v>
      </c>
      <c r="S5713" s="59">
        <f ca="1">Dashboard!B$8* Dashboard!$F$4+Dashboard!B$10*SQRT(Dashboard!$F$4) * _xlfn.NORM.S.INV(RAND())</f>
        <v>2.3983784842097544E-3</v>
      </c>
      <c r="T5713" s="59">
        <f ca="1">Dashboard!C$8* Dashboard!$F$4+Dashboard!C$10*SQRT(Dashboard!$F$4) * _xlfn.NORM.S.INV(RAND())</f>
        <v>-1.354706420132179E-2</v>
      </c>
      <c r="U5713" s="59">
        <f ca="1">Dashboard!D$8* Dashboard!$F$4+Dashboard!D$10*SQRT(Dashboard!$F$4) * _xlfn.NORM.S.INV(RAND())</f>
        <v>-2.56956706028568E-2</v>
      </c>
    </row>
    <row r="5714" spans="18:21" x14ac:dyDescent="0.2">
      <c r="R5714" s="49">
        <v>5712</v>
      </c>
      <c r="S5714" s="59">
        <f ca="1">Dashboard!B$8* Dashboard!$F$4+Dashboard!B$10*SQRT(Dashboard!$F$4) * _xlfn.NORM.S.INV(RAND())</f>
        <v>1.024790975413478E-2</v>
      </c>
      <c r="T5714" s="59">
        <f ca="1">Dashboard!C$8* Dashboard!$F$4+Dashboard!C$10*SQRT(Dashboard!$F$4) * _xlfn.NORM.S.INV(RAND())</f>
        <v>2.3481847763255757E-2</v>
      </c>
      <c r="U5714" s="59">
        <f ca="1">Dashboard!D$8* Dashboard!$F$4+Dashboard!D$10*SQRT(Dashboard!$F$4) * _xlfn.NORM.S.INV(RAND())</f>
        <v>5.1521775327461487E-2</v>
      </c>
    </row>
    <row r="5715" spans="18:21" x14ac:dyDescent="0.2">
      <c r="R5715" s="49">
        <v>5713</v>
      </c>
      <c r="S5715" s="59">
        <f ca="1">Dashboard!B$8* Dashboard!$F$4+Dashboard!B$10*SQRT(Dashboard!$F$4) * _xlfn.NORM.S.INV(RAND())</f>
        <v>4.0213857574539665E-2</v>
      </c>
      <c r="T5715" s="59">
        <f ca="1">Dashboard!C$8* Dashboard!$F$4+Dashboard!C$10*SQRT(Dashboard!$F$4) * _xlfn.NORM.S.INV(RAND())</f>
        <v>-5.4962755808966472E-2</v>
      </c>
      <c r="U5715" s="59">
        <f ca="1">Dashboard!D$8* Dashboard!$F$4+Dashboard!D$10*SQRT(Dashboard!$F$4) * _xlfn.NORM.S.INV(RAND())</f>
        <v>2.1452437478647043E-2</v>
      </c>
    </row>
    <row r="5716" spans="18:21" x14ac:dyDescent="0.2">
      <c r="R5716" s="49">
        <v>5714</v>
      </c>
      <c r="S5716" s="59">
        <f ca="1">Dashboard!B$8* Dashboard!$F$4+Dashboard!B$10*SQRT(Dashboard!$F$4) * _xlfn.NORM.S.INV(RAND())</f>
        <v>3.0835780655140241E-2</v>
      </c>
      <c r="T5716" s="59">
        <f ca="1">Dashboard!C$8* Dashboard!$F$4+Dashboard!C$10*SQRT(Dashboard!$F$4) * _xlfn.NORM.S.INV(RAND())</f>
        <v>1.9247846277718702E-3</v>
      </c>
      <c r="U5716" s="59">
        <f ca="1">Dashboard!D$8* Dashboard!$F$4+Dashboard!D$10*SQRT(Dashboard!$F$4) * _xlfn.NORM.S.INV(RAND())</f>
        <v>1.8705999200752887E-2</v>
      </c>
    </row>
    <row r="5717" spans="18:21" x14ac:dyDescent="0.2">
      <c r="R5717" s="49">
        <v>5715</v>
      </c>
      <c r="S5717" s="59">
        <f ca="1">Dashboard!B$8* Dashboard!$F$4+Dashboard!B$10*SQRT(Dashboard!$F$4) * _xlfn.NORM.S.INV(RAND())</f>
        <v>-2.8760002213855357E-2</v>
      </c>
      <c r="T5717" s="59">
        <f ca="1">Dashboard!C$8* Dashboard!$F$4+Dashboard!C$10*SQRT(Dashboard!$F$4) * _xlfn.NORM.S.INV(RAND())</f>
        <v>1.0032036937530004E-2</v>
      </c>
      <c r="U5717" s="59">
        <f ca="1">Dashboard!D$8* Dashboard!$F$4+Dashboard!D$10*SQRT(Dashboard!$F$4) * _xlfn.NORM.S.INV(RAND())</f>
        <v>5.435268895929176E-2</v>
      </c>
    </row>
    <row r="5718" spans="18:21" x14ac:dyDescent="0.2">
      <c r="R5718" s="49">
        <v>5716</v>
      </c>
      <c r="S5718" s="59">
        <f ca="1">Dashboard!B$8* Dashboard!$F$4+Dashboard!B$10*SQRT(Dashboard!$F$4) * _xlfn.NORM.S.INV(RAND())</f>
        <v>-1.4315341601679951E-3</v>
      </c>
      <c r="T5718" s="59">
        <f ca="1">Dashboard!C$8* Dashboard!$F$4+Dashboard!C$10*SQRT(Dashboard!$F$4) * _xlfn.NORM.S.INV(RAND())</f>
        <v>6.3041439706609578E-3</v>
      </c>
      <c r="U5718" s="59">
        <f ca="1">Dashboard!D$8* Dashboard!$F$4+Dashboard!D$10*SQRT(Dashboard!$F$4) * _xlfn.NORM.S.INV(RAND())</f>
        <v>7.7759007091354679E-2</v>
      </c>
    </row>
    <row r="5719" spans="18:21" x14ac:dyDescent="0.2">
      <c r="R5719" s="49">
        <v>5717</v>
      </c>
      <c r="S5719" s="59">
        <f ca="1">Dashboard!B$8* Dashboard!$F$4+Dashboard!B$10*SQRT(Dashboard!$F$4) * _xlfn.NORM.S.INV(RAND())</f>
        <v>-7.8808991492736492E-3</v>
      </c>
      <c r="T5719" s="59">
        <f ca="1">Dashboard!C$8* Dashboard!$F$4+Dashboard!C$10*SQRT(Dashboard!$F$4) * _xlfn.NORM.S.INV(RAND())</f>
        <v>6.0696045288942575E-2</v>
      </c>
      <c r="U5719" s="59">
        <f ca="1">Dashboard!D$8* Dashboard!$F$4+Dashboard!D$10*SQRT(Dashboard!$F$4) * _xlfn.NORM.S.INV(RAND())</f>
        <v>3.0129718503691671E-3</v>
      </c>
    </row>
    <row r="5720" spans="18:21" x14ac:dyDescent="0.2">
      <c r="R5720" s="49">
        <v>5718</v>
      </c>
      <c r="S5720" s="59">
        <f ca="1">Dashboard!B$8* Dashboard!$F$4+Dashboard!B$10*SQRT(Dashboard!$F$4) * _xlfn.NORM.S.INV(RAND())</f>
        <v>1.6292436952704208E-2</v>
      </c>
      <c r="T5720" s="59">
        <f ca="1">Dashboard!C$8* Dashboard!$F$4+Dashboard!C$10*SQRT(Dashboard!$F$4) * _xlfn.NORM.S.INV(RAND())</f>
        <v>4.7471277544674097E-2</v>
      </c>
      <c r="U5720" s="59">
        <f ca="1">Dashboard!D$8* Dashboard!$F$4+Dashboard!D$10*SQRT(Dashboard!$F$4) * _xlfn.NORM.S.INV(RAND())</f>
        <v>-4.4789902899091032E-3</v>
      </c>
    </row>
    <row r="5721" spans="18:21" x14ac:dyDescent="0.2">
      <c r="R5721" s="49">
        <v>5719</v>
      </c>
      <c r="S5721" s="59">
        <f ca="1">Dashboard!B$8* Dashboard!$F$4+Dashboard!B$10*SQRT(Dashboard!$F$4) * _xlfn.NORM.S.INV(RAND())</f>
        <v>-8.6935727646536435E-4</v>
      </c>
      <c r="T5721" s="59">
        <f ca="1">Dashboard!C$8* Dashboard!$F$4+Dashboard!C$10*SQRT(Dashboard!$F$4) * _xlfn.NORM.S.INV(RAND())</f>
        <v>-2.4531561561297235E-2</v>
      </c>
      <c r="U5721" s="59">
        <f ca="1">Dashboard!D$8* Dashboard!$F$4+Dashboard!D$10*SQRT(Dashboard!$F$4) * _xlfn.NORM.S.INV(RAND())</f>
        <v>6.0842064883198668E-2</v>
      </c>
    </row>
    <row r="5722" spans="18:21" x14ac:dyDescent="0.2">
      <c r="R5722" s="49">
        <v>5720</v>
      </c>
      <c r="S5722" s="59">
        <f ca="1">Dashboard!B$8* Dashboard!$F$4+Dashboard!B$10*SQRT(Dashboard!$F$4) * _xlfn.NORM.S.INV(RAND())</f>
        <v>-8.3452634868871976E-3</v>
      </c>
      <c r="T5722" s="59">
        <f ca="1">Dashboard!C$8* Dashboard!$F$4+Dashboard!C$10*SQRT(Dashboard!$F$4) * _xlfn.NORM.S.INV(RAND())</f>
        <v>-3.9000464459234149E-2</v>
      </c>
      <c r="U5722" s="59">
        <f ca="1">Dashboard!D$8* Dashboard!$F$4+Dashboard!D$10*SQRT(Dashboard!$F$4) * _xlfn.NORM.S.INV(RAND())</f>
        <v>1.7882541822564577E-2</v>
      </c>
    </row>
    <row r="5723" spans="18:21" x14ac:dyDescent="0.2">
      <c r="R5723" s="49">
        <v>5721</v>
      </c>
      <c r="S5723" s="59">
        <f ca="1">Dashboard!B$8* Dashboard!$F$4+Dashboard!B$10*SQRT(Dashboard!$F$4) * _xlfn.NORM.S.INV(RAND())</f>
        <v>7.1892073812758125E-3</v>
      </c>
      <c r="T5723" s="59">
        <f ca="1">Dashboard!C$8* Dashboard!$F$4+Dashboard!C$10*SQRT(Dashboard!$F$4) * _xlfn.NORM.S.INV(RAND())</f>
        <v>-2.2127323839695404E-2</v>
      </c>
      <c r="U5723" s="59">
        <f ca="1">Dashboard!D$8* Dashboard!$F$4+Dashboard!D$10*SQRT(Dashboard!$F$4) * _xlfn.NORM.S.INV(RAND())</f>
        <v>7.1714715286441216E-2</v>
      </c>
    </row>
    <row r="5724" spans="18:21" x14ac:dyDescent="0.2">
      <c r="R5724" s="49">
        <v>5722</v>
      </c>
      <c r="S5724" s="59">
        <f ca="1">Dashboard!B$8* Dashboard!$F$4+Dashboard!B$10*SQRT(Dashboard!$F$4) * _xlfn.NORM.S.INV(RAND())</f>
        <v>7.8070643843861035E-3</v>
      </c>
      <c r="T5724" s="59">
        <f ca="1">Dashboard!C$8* Dashboard!$F$4+Dashboard!C$10*SQRT(Dashboard!$F$4) * _xlfn.NORM.S.INV(RAND())</f>
        <v>-3.1706653240635832E-2</v>
      </c>
      <c r="U5724" s="59">
        <f ca="1">Dashboard!D$8* Dashboard!$F$4+Dashboard!D$10*SQRT(Dashboard!$F$4) * _xlfn.NORM.S.INV(RAND())</f>
        <v>8.7215492319207832E-5</v>
      </c>
    </row>
    <row r="5725" spans="18:21" x14ac:dyDescent="0.2">
      <c r="R5725" s="49">
        <v>5723</v>
      </c>
      <c r="S5725" s="59">
        <f ca="1">Dashboard!B$8* Dashboard!$F$4+Dashboard!B$10*SQRT(Dashboard!$F$4) * _xlfn.NORM.S.INV(RAND())</f>
        <v>6.6725630927277867E-3</v>
      </c>
      <c r="T5725" s="59">
        <f ca="1">Dashboard!C$8* Dashboard!$F$4+Dashboard!C$10*SQRT(Dashboard!$F$4) * _xlfn.NORM.S.INV(RAND())</f>
        <v>-1.7558748391163781E-4</v>
      </c>
      <c r="U5725" s="59">
        <f ca="1">Dashboard!D$8* Dashboard!$F$4+Dashboard!D$10*SQRT(Dashboard!$F$4) * _xlfn.NORM.S.INV(RAND())</f>
        <v>3.4811579832247183E-2</v>
      </c>
    </row>
    <row r="5726" spans="18:21" x14ac:dyDescent="0.2">
      <c r="R5726" s="49">
        <v>5724</v>
      </c>
      <c r="S5726" s="59">
        <f ca="1">Dashboard!B$8* Dashboard!$F$4+Dashboard!B$10*SQRT(Dashboard!$F$4) * _xlfn.NORM.S.INV(RAND())</f>
        <v>8.8171568123069557E-3</v>
      </c>
      <c r="T5726" s="59">
        <f ca="1">Dashboard!C$8* Dashboard!$F$4+Dashboard!C$10*SQRT(Dashboard!$F$4) * _xlfn.NORM.S.INV(RAND())</f>
        <v>-2.1024769709129826E-2</v>
      </c>
      <c r="U5726" s="59">
        <f ca="1">Dashboard!D$8* Dashboard!$F$4+Dashboard!D$10*SQRT(Dashboard!$F$4) * _xlfn.NORM.S.INV(RAND())</f>
        <v>-2.9831930642490692E-2</v>
      </c>
    </row>
    <row r="5727" spans="18:21" x14ac:dyDescent="0.2">
      <c r="R5727" s="49">
        <v>5725</v>
      </c>
      <c r="S5727" s="59">
        <f ca="1">Dashboard!B$8* Dashboard!$F$4+Dashboard!B$10*SQRT(Dashboard!$F$4) * _xlfn.NORM.S.INV(RAND())</f>
        <v>-4.1221147775444715E-2</v>
      </c>
      <c r="T5727" s="59">
        <f ca="1">Dashboard!C$8* Dashboard!$F$4+Dashboard!C$10*SQRT(Dashboard!$F$4) * _xlfn.NORM.S.INV(RAND())</f>
        <v>3.7968976236717362E-2</v>
      </c>
      <c r="U5727" s="59">
        <f ca="1">Dashboard!D$8* Dashboard!$F$4+Dashboard!D$10*SQRT(Dashboard!$F$4) * _xlfn.NORM.S.INV(RAND())</f>
        <v>1.685644510183959E-2</v>
      </c>
    </row>
    <row r="5728" spans="18:21" x14ac:dyDescent="0.2">
      <c r="R5728" s="49">
        <v>5726</v>
      </c>
      <c r="S5728" s="59">
        <f ca="1">Dashboard!B$8* Dashboard!$F$4+Dashboard!B$10*SQRT(Dashboard!$F$4) * _xlfn.NORM.S.INV(RAND())</f>
        <v>-3.0355810361269247E-3</v>
      </c>
      <c r="T5728" s="59">
        <f ca="1">Dashboard!C$8* Dashboard!$F$4+Dashboard!C$10*SQRT(Dashboard!$F$4) * _xlfn.NORM.S.INV(RAND())</f>
        <v>-1.6374904725440429E-2</v>
      </c>
      <c r="U5728" s="59">
        <f ca="1">Dashboard!D$8* Dashboard!$F$4+Dashboard!D$10*SQRT(Dashboard!$F$4) * _xlfn.NORM.S.INV(RAND())</f>
        <v>6.0270500918457474E-2</v>
      </c>
    </row>
    <row r="5729" spans="18:21" x14ac:dyDescent="0.2">
      <c r="R5729" s="49">
        <v>5727</v>
      </c>
      <c r="S5729" s="59">
        <f ca="1">Dashboard!B$8* Dashboard!$F$4+Dashboard!B$10*SQRT(Dashboard!$F$4) * _xlfn.NORM.S.INV(RAND())</f>
        <v>2.3432077003630224E-2</v>
      </c>
      <c r="T5729" s="59">
        <f ca="1">Dashboard!C$8* Dashboard!$F$4+Dashboard!C$10*SQRT(Dashboard!$F$4) * _xlfn.NORM.S.INV(RAND())</f>
        <v>-1.4226294967750998E-2</v>
      </c>
      <c r="U5729" s="59">
        <f ca="1">Dashboard!D$8* Dashboard!$F$4+Dashboard!D$10*SQRT(Dashboard!$F$4) * _xlfn.NORM.S.INV(RAND())</f>
        <v>-2.7588667114000695E-3</v>
      </c>
    </row>
    <row r="5730" spans="18:21" x14ac:dyDescent="0.2">
      <c r="R5730" s="49">
        <v>5728</v>
      </c>
      <c r="S5730" s="59">
        <f ca="1">Dashboard!B$8* Dashboard!$F$4+Dashboard!B$10*SQRT(Dashboard!$F$4) * _xlfn.NORM.S.INV(RAND())</f>
        <v>-2.0083959659574005E-2</v>
      </c>
      <c r="T5730" s="59">
        <f ca="1">Dashboard!C$8* Dashboard!$F$4+Dashboard!C$10*SQRT(Dashboard!$F$4) * _xlfn.NORM.S.INV(RAND())</f>
        <v>2.8806077039283343E-3</v>
      </c>
      <c r="U5730" s="59">
        <f ca="1">Dashboard!D$8* Dashboard!$F$4+Dashboard!D$10*SQRT(Dashboard!$F$4) * _xlfn.NORM.S.INV(RAND())</f>
        <v>2.7431398297284817E-2</v>
      </c>
    </row>
    <row r="5731" spans="18:21" x14ac:dyDescent="0.2">
      <c r="R5731" s="49">
        <v>5729</v>
      </c>
      <c r="S5731" s="59">
        <f ca="1">Dashboard!B$8* Dashboard!$F$4+Dashboard!B$10*SQRT(Dashboard!$F$4) * _xlfn.NORM.S.INV(RAND())</f>
        <v>-1.1537960160513828E-2</v>
      </c>
      <c r="T5731" s="59">
        <f ca="1">Dashboard!C$8* Dashboard!$F$4+Dashboard!C$10*SQRT(Dashboard!$F$4) * _xlfn.NORM.S.INV(RAND())</f>
        <v>7.7107359265122882E-2</v>
      </c>
      <c r="U5731" s="59">
        <f ca="1">Dashboard!D$8* Dashboard!$F$4+Dashboard!D$10*SQRT(Dashboard!$F$4) * _xlfn.NORM.S.INV(RAND())</f>
        <v>2.4145332872408908E-2</v>
      </c>
    </row>
    <row r="5732" spans="18:21" x14ac:dyDescent="0.2">
      <c r="R5732" s="49">
        <v>5730</v>
      </c>
      <c r="S5732" s="59">
        <f ca="1">Dashboard!B$8* Dashboard!$F$4+Dashboard!B$10*SQRT(Dashboard!$F$4) * _xlfn.NORM.S.INV(RAND())</f>
        <v>5.0781022148104586E-2</v>
      </c>
      <c r="T5732" s="59">
        <f ca="1">Dashboard!C$8* Dashboard!$F$4+Dashboard!C$10*SQRT(Dashboard!$F$4) * _xlfn.NORM.S.INV(RAND())</f>
        <v>8.5705924040090753E-2</v>
      </c>
      <c r="U5732" s="59">
        <f ca="1">Dashboard!D$8* Dashboard!$F$4+Dashboard!D$10*SQRT(Dashboard!$F$4) * _xlfn.NORM.S.INV(RAND())</f>
        <v>-1.0254597444083477E-2</v>
      </c>
    </row>
    <row r="5733" spans="18:21" x14ac:dyDescent="0.2">
      <c r="R5733" s="49">
        <v>5731</v>
      </c>
      <c r="S5733" s="59">
        <f ca="1">Dashboard!B$8* Dashboard!$F$4+Dashboard!B$10*SQRT(Dashboard!$F$4) * _xlfn.NORM.S.INV(RAND())</f>
        <v>2.4497008272074558E-2</v>
      </c>
      <c r="T5733" s="59">
        <f ca="1">Dashboard!C$8* Dashboard!$F$4+Dashboard!C$10*SQRT(Dashboard!$F$4) * _xlfn.NORM.S.INV(RAND())</f>
        <v>-2.3974066843632721E-2</v>
      </c>
      <c r="U5733" s="59">
        <f ca="1">Dashboard!D$8* Dashboard!$F$4+Dashboard!D$10*SQRT(Dashboard!$F$4) * _xlfn.NORM.S.INV(RAND())</f>
        <v>2.2970731544924659E-2</v>
      </c>
    </row>
    <row r="5734" spans="18:21" x14ac:dyDescent="0.2">
      <c r="R5734" s="49">
        <v>5732</v>
      </c>
      <c r="S5734" s="59">
        <f ca="1">Dashboard!B$8* Dashboard!$F$4+Dashboard!B$10*SQRT(Dashboard!$F$4) * _xlfn.NORM.S.INV(RAND())</f>
        <v>-1.116002281751821E-2</v>
      </c>
      <c r="T5734" s="59">
        <f ca="1">Dashboard!C$8* Dashboard!$F$4+Dashboard!C$10*SQRT(Dashboard!$F$4) * _xlfn.NORM.S.INV(RAND())</f>
        <v>-2.3104856044445753E-5</v>
      </c>
      <c r="U5734" s="59">
        <f ca="1">Dashboard!D$8* Dashboard!$F$4+Dashboard!D$10*SQRT(Dashboard!$F$4) * _xlfn.NORM.S.INV(RAND())</f>
        <v>-3.7113172470742528E-2</v>
      </c>
    </row>
    <row r="5735" spans="18:21" x14ac:dyDescent="0.2">
      <c r="R5735" s="49">
        <v>5733</v>
      </c>
      <c r="S5735" s="59">
        <f ca="1">Dashboard!B$8* Dashboard!$F$4+Dashboard!B$10*SQRT(Dashboard!$F$4) * _xlfn.NORM.S.INV(RAND())</f>
        <v>-2.4791791298071852E-2</v>
      </c>
      <c r="T5735" s="59">
        <f ca="1">Dashboard!C$8* Dashboard!$F$4+Dashboard!C$10*SQRT(Dashboard!$F$4) * _xlfn.NORM.S.INV(RAND())</f>
        <v>1.6303690825859959E-2</v>
      </c>
      <c r="U5735" s="59">
        <f ca="1">Dashboard!D$8* Dashboard!$F$4+Dashboard!D$10*SQRT(Dashboard!$F$4) * _xlfn.NORM.S.INV(RAND())</f>
        <v>2.7993660901227142E-2</v>
      </c>
    </row>
    <row r="5736" spans="18:21" x14ac:dyDescent="0.2">
      <c r="R5736" s="49">
        <v>5734</v>
      </c>
      <c r="S5736" s="59">
        <f ca="1">Dashboard!B$8* Dashboard!$F$4+Dashboard!B$10*SQRT(Dashboard!$F$4) * _xlfn.NORM.S.INV(RAND())</f>
        <v>4.7441264669167038E-2</v>
      </c>
      <c r="T5736" s="59">
        <f ca="1">Dashboard!C$8* Dashboard!$F$4+Dashboard!C$10*SQRT(Dashboard!$F$4) * _xlfn.NORM.S.INV(RAND())</f>
        <v>6.7689545245319116E-2</v>
      </c>
      <c r="U5736" s="59">
        <f ca="1">Dashboard!D$8* Dashboard!$F$4+Dashboard!D$10*SQRT(Dashboard!$F$4) * _xlfn.NORM.S.INV(RAND())</f>
        <v>-3.1638476833686244E-2</v>
      </c>
    </row>
    <row r="5737" spans="18:21" x14ac:dyDescent="0.2">
      <c r="R5737" s="49">
        <v>5735</v>
      </c>
      <c r="S5737" s="59">
        <f ca="1">Dashboard!B$8* Dashboard!$F$4+Dashboard!B$10*SQRT(Dashboard!$F$4) * _xlfn.NORM.S.INV(RAND())</f>
        <v>-1.3652328611620814E-3</v>
      </c>
      <c r="T5737" s="59">
        <f ca="1">Dashboard!C$8* Dashboard!$F$4+Dashboard!C$10*SQRT(Dashboard!$F$4) * _xlfn.NORM.S.INV(RAND())</f>
        <v>-5.0747361747432509E-2</v>
      </c>
      <c r="U5737" s="59">
        <f ca="1">Dashboard!D$8* Dashboard!$F$4+Dashboard!D$10*SQRT(Dashboard!$F$4) * _xlfn.NORM.S.INV(RAND())</f>
        <v>-3.4598007625941424E-2</v>
      </c>
    </row>
    <row r="5738" spans="18:21" x14ac:dyDescent="0.2">
      <c r="R5738" s="49">
        <v>5736</v>
      </c>
      <c r="S5738" s="59">
        <f ca="1">Dashboard!B$8* Dashboard!$F$4+Dashboard!B$10*SQRT(Dashboard!$F$4) * _xlfn.NORM.S.INV(RAND())</f>
        <v>-7.2421285583387507E-2</v>
      </c>
      <c r="T5738" s="59">
        <f ca="1">Dashboard!C$8* Dashboard!$F$4+Dashboard!C$10*SQRT(Dashboard!$F$4) * _xlfn.NORM.S.INV(RAND())</f>
        <v>4.891520451051979E-2</v>
      </c>
      <c r="U5738" s="59">
        <f ca="1">Dashboard!D$8* Dashboard!$F$4+Dashboard!D$10*SQRT(Dashboard!$F$4) * _xlfn.NORM.S.INV(RAND())</f>
        <v>2.8182573398079554E-3</v>
      </c>
    </row>
    <row r="5739" spans="18:21" x14ac:dyDescent="0.2">
      <c r="R5739" s="49">
        <v>5737</v>
      </c>
      <c r="S5739" s="59">
        <f ca="1">Dashboard!B$8* Dashboard!$F$4+Dashboard!B$10*SQRT(Dashboard!$F$4) * _xlfn.NORM.S.INV(RAND())</f>
        <v>-7.7327835165486962E-3</v>
      </c>
      <c r="T5739" s="59">
        <f ca="1">Dashboard!C$8* Dashboard!$F$4+Dashboard!C$10*SQRT(Dashboard!$F$4) * _xlfn.NORM.S.INV(RAND())</f>
        <v>6.942969756329033E-2</v>
      </c>
      <c r="U5739" s="59">
        <f ca="1">Dashboard!D$8* Dashboard!$F$4+Dashboard!D$10*SQRT(Dashboard!$F$4) * _xlfn.NORM.S.INV(RAND())</f>
        <v>2.9720533805144746E-3</v>
      </c>
    </row>
    <row r="5740" spans="18:21" x14ac:dyDescent="0.2">
      <c r="R5740" s="49">
        <v>5738</v>
      </c>
      <c r="S5740" s="59">
        <f ca="1">Dashboard!B$8* Dashboard!$F$4+Dashboard!B$10*SQRT(Dashboard!$F$4) * _xlfn.NORM.S.INV(RAND())</f>
        <v>-6.1470371720667959E-3</v>
      </c>
      <c r="T5740" s="59">
        <f ca="1">Dashboard!C$8* Dashboard!$F$4+Dashboard!C$10*SQRT(Dashboard!$F$4) * _xlfn.NORM.S.INV(RAND())</f>
        <v>-6.9450211761760167E-2</v>
      </c>
      <c r="U5740" s="59">
        <f ca="1">Dashboard!D$8* Dashboard!$F$4+Dashboard!D$10*SQRT(Dashboard!$F$4) * _xlfn.NORM.S.INV(RAND())</f>
        <v>-3.1527717923451506E-2</v>
      </c>
    </row>
    <row r="5741" spans="18:21" x14ac:dyDescent="0.2">
      <c r="R5741" s="49">
        <v>5739</v>
      </c>
      <c r="S5741" s="59">
        <f ca="1">Dashboard!B$8* Dashboard!$F$4+Dashboard!B$10*SQRT(Dashboard!$F$4) * _xlfn.NORM.S.INV(RAND())</f>
        <v>1.2078086486840009E-2</v>
      </c>
      <c r="T5741" s="59">
        <f ca="1">Dashboard!C$8* Dashboard!$F$4+Dashboard!C$10*SQRT(Dashboard!$F$4) * _xlfn.NORM.S.INV(RAND())</f>
        <v>-4.9707500594398006E-3</v>
      </c>
      <c r="U5741" s="59">
        <f ca="1">Dashboard!D$8* Dashboard!$F$4+Dashboard!D$10*SQRT(Dashboard!$F$4) * _xlfn.NORM.S.INV(RAND())</f>
        <v>-2.3390488126278454E-2</v>
      </c>
    </row>
    <row r="5742" spans="18:21" x14ac:dyDescent="0.2">
      <c r="R5742" s="49">
        <v>5740</v>
      </c>
      <c r="S5742" s="59">
        <f ca="1">Dashboard!B$8* Dashboard!$F$4+Dashboard!B$10*SQRT(Dashboard!$F$4) * _xlfn.NORM.S.INV(RAND())</f>
        <v>1.4947591857210757E-3</v>
      </c>
      <c r="T5742" s="59">
        <f ca="1">Dashboard!C$8* Dashboard!$F$4+Dashboard!C$10*SQRT(Dashboard!$F$4) * _xlfn.NORM.S.INV(RAND())</f>
        <v>-1.6421111004617295E-2</v>
      </c>
      <c r="U5742" s="59">
        <f ca="1">Dashboard!D$8* Dashboard!$F$4+Dashboard!D$10*SQRT(Dashboard!$F$4) * _xlfn.NORM.S.INV(RAND())</f>
        <v>1.3682305207965975E-2</v>
      </c>
    </row>
    <row r="5743" spans="18:21" x14ac:dyDescent="0.2">
      <c r="R5743" s="49">
        <v>5741</v>
      </c>
      <c r="S5743" s="59">
        <f ca="1">Dashboard!B$8* Dashboard!$F$4+Dashboard!B$10*SQRT(Dashboard!$F$4) * _xlfn.NORM.S.INV(RAND())</f>
        <v>-7.0263529588058343E-2</v>
      </c>
      <c r="T5743" s="59">
        <f ca="1">Dashboard!C$8* Dashboard!$F$4+Dashboard!C$10*SQRT(Dashboard!$F$4) * _xlfn.NORM.S.INV(RAND())</f>
        <v>-5.2373467577306815E-3</v>
      </c>
      <c r="U5743" s="59">
        <f ca="1">Dashboard!D$8* Dashboard!$F$4+Dashboard!D$10*SQRT(Dashboard!$F$4) * _xlfn.NORM.S.INV(RAND())</f>
        <v>-3.2691487913699378E-2</v>
      </c>
    </row>
    <row r="5744" spans="18:21" x14ac:dyDescent="0.2">
      <c r="R5744" s="49">
        <v>5742</v>
      </c>
      <c r="S5744" s="59">
        <f ca="1">Dashboard!B$8* Dashboard!$F$4+Dashboard!B$10*SQRT(Dashboard!$F$4) * _xlfn.NORM.S.INV(RAND())</f>
        <v>-2.6941060561043589E-2</v>
      </c>
      <c r="T5744" s="59">
        <f ca="1">Dashboard!C$8* Dashboard!$F$4+Dashboard!C$10*SQRT(Dashboard!$F$4) * _xlfn.NORM.S.INV(RAND())</f>
        <v>-5.515301977100566E-2</v>
      </c>
      <c r="U5744" s="59">
        <f ca="1">Dashboard!D$8* Dashboard!$F$4+Dashboard!D$10*SQRT(Dashboard!$F$4) * _xlfn.NORM.S.INV(RAND())</f>
        <v>2.5083406566706021E-2</v>
      </c>
    </row>
    <row r="5745" spans="18:21" x14ac:dyDescent="0.2">
      <c r="R5745" s="49">
        <v>5743</v>
      </c>
      <c r="S5745" s="59">
        <f ca="1">Dashboard!B$8* Dashboard!$F$4+Dashboard!B$10*SQRT(Dashboard!$F$4) * _xlfn.NORM.S.INV(RAND())</f>
        <v>-1.5356499552122246E-2</v>
      </c>
      <c r="T5745" s="59">
        <f ca="1">Dashboard!C$8* Dashboard!$F$4+Dashboard!C$10*SQRT(Dashboard!$F$4) * _xlfn.NORM.S.INV(RAND())</f>
        <v>3.2609158776049807E-2</v>
      </c>
      <c r="U5745" s="59">
        <f ca="1">Dashboard!D$8* Dashboard!$F$4+Dashboard!D$10*SQRT(Dashboard!$F$4) * _xlfn.NORM.S.INV(RAND())</f>
        <v>2.8096753286536068E-2</v>
      </c>
    </row>
    <row r="5746" spans="18:21" x14ac:dyDescent="0.2">
      <c r="R5746" s="49">
        <v>5744</v>
      </c>
      <c r="S5746" s="59">
        <f ca="1">Dashboard!B$8* Dashboard!$F$4+Dashboard!B$10*SQRT(Dashboard!$F$4) * _xlfn.NORM.S.INV(RAND())</f>
        <v>-4.3578889297327825E-2</v>
      </c>
      <c r="T5746" s="59">
        <f ca="1">Dashboard!C$8* Dashboard!$F$4+Dashboard!C$10*SQRT(Dashboard!$F$4) * _xlfn.NORM.S.INV(RAND())</f>
        <v>1.1218507101587682E-2</v>
      </c>
      <c r="U5746" s="59">
        <f ca="1">Dashboard!D$8* Dashboard!$F$4+Dashboard!D$10*SQRT(Dashboard!$F$4) * _xlfn.NORM.S.INV(RAND())</f>
        <v>-6.4311771670568152E-3</v>
      </c>
    </row>
    <row r="5747" spans="18:21" x14ac:dyDescent="0.2">
      <c r="R5747" s="49">
        <v>5745</v>
      </c>
      <c r="S5747" s="59">
        <f ca="1">Dashboard!B$8* Dashboard!$F$4+Dashboard!B$10*SQRT(Dashboard!$F$4) * _xlfn.NORM.S.INV(RAND())</f>
        <v>-1.5695027777608922E-2</v>
      </c>
      <c r="T5747" s="59">
        <f ca="1">Dashboard!C$8* Dashboard!$F$4+Dashboard!C$10*SQRT(Dashboard!$F$4) * _xlfn.NORM.S.INV(RAND())</f>
        <v>-5.5492411982237928E-2</v>
      </c>
      <c r="U5747" s="59">
        <f ca="1">Dashboard!D$8* Dashboard!$F$4+Dashboard!D$10*SQRT(Dashboard!$F$4) * _xlfn.NORM.S.INV(RAND())</f>
        <v>7.0806576104337687E-2</v>
      </c>
    </row>
    <row r="5748" spans="18:21" x14ac:dyDescent="0.2">
      <c r="R5748" s="49">
        <v>5746</v>
      </c>
      <c r="S5748" s="59">
        <f ca="1">Dashboard!B$8* Dashboard!$F$4+Dashboard!B$10*SQRT(Dashboard!$F$4) * _xlfn.NORM.S.INV(RAND())</f>
        <v>-1.3927461414841139E-2</v>
      </c>
      <c r="T5748" s="59">
        <f ca="1">Dashboard!C$8* Dashboard!$F$4+Dashboard!C$10*SQRT(Dashboard!$F$4) * _xlfn.NORM.S.INV(RAND())</f>
        <v>3.972770607910011E-3</v>
      </c>
      <c r="U5748" s="59">
        <f ca="1">Dashboard!D$8* Dashboard!$F$4+Dashboard!D$10*SQRT(Dashboard!$F$4) * _xlfn.NORM.S.INV(RAND())</f>
        <v>-2.3281221204772773E-2</v>
      </c>
    </row>
    <row r="5749" spans="18:21" x14ac:dyDescent="0.2">
      <c r="R5749" s="49">
        <v>5747</v>
      </c>
      <c r="S5749" s="59">
        <f ca="1">Dashboard!B$8* Dashboard!$F$4+Dashboard!B$10*SQRT(Dashboard!$F$4) * _xlfn.NORM.S.INV(RAND())</f>
        <v>-9.3801953269161756E-3</v>
      </c>
      <c r="T5749" s="59">
        <f ca="1">Dashboard!C$8* Dashboard!$F$4+Dashboard!C$10*SQRT(Dashboard!$F$4) * _xlfn.NORM.S.INV(RAND())</f>
        <v>-4.1350525601134627E-2</v>
      </c>
      <c r="U5749" s="59">
        <f ca="1">Dashboard!D$8* Dashboard!$F$4+Dashboard!D$10*SQRT(Dashboard!$F$4) * _xlfn.NORM.S.INV(RAND())</f>
        <v>3.451485478338177E-3</v>
      </c>
    </row>
    <row r="5750" spans="18:21" x14ac:dyDescent="0.2">
      <c r="R5750" s="49">
        <v>5748</v>
      </c>
      <c r="S5750" s="59">
        <f ca="1">Dashboard!B$8* Dashboard!$F$4+Dashboard!B$10*SQRT(Dashboard!$F$4) * _xlfn.NORM.S.INV(RAND())</f>
        <v>-2.9377162560339114E-2</v>
      </c>
      <c r="T5750" s="59">
        <f ca="1">Dashboard!C$8* Dashboard!$F$4+Dashboard!C$10*SQRT(Dashboard!$F$4) * _xlfn.NORM.S.INV(RAND())</f>
        <v>8.0900156306291479E-2</v>
      </c>
      <c r="U5750" s="59">
        <f ca="1">Dashboard!D$8* Dashboard!$F$4+Dashboard!D$10*SQRT(Dashboard!$F$4) * _xlfn.NORM.S.INV(RAND())</f>
        <v>-4.9705728188155038E-2</v>
      </c>
    </row>
    <row r="5751" spans="18:21" x14ac:dyDescent="0.2">
      <c r="R5751" s="49">
        <v>5749</v>
      </c>
      <c r="S5751" s="59">
        <f ca="1">Dashboard!B$8* Dashboard!$F$4+Dashboard!B$10*SQRT(Dashboard!$F$4) * _xlfn.NORM.S.INV(RAND())</f>
        <v>-4.2063367277772393E-2</v>
      </c>
      <c r="T5751" s="59">
        <f ca="1">Dashboard!C$8* Dashboard!$F$4+Dashboard!C$10*SQRT(Dashboard!$F$4) * _xlfn.NORM.S.INV(RAND())</f>
        <v>1.0884464253802763E-2</v>
      </c>
      <c r="U5751" s="59">
        <f ca="1">Dashboard!D$8* Dashboard!$F$4+Dashboard!D$10*SQRT(Dashboard!$F$4) * _xlfn.NORM.S.INV(RAND())</f>
        <v>1.8996352609221383E-2</v>
      </c>
    </row>
    <row r="5752" spans="18:21" x14ac:dyDescent="0.2">
      <c r="R5752" s="49">
        <v>5750</v>
      </c>
      <c r="S5752" s="59">
        <f ca="1">Dashboard!B$8* Dashboard!$F$4+Dashboard!B$10*SQRT(Dashboard!$F$4) * _xlfn.NORM.S.INV(RAND())</f>
        <v>-2.9433954159219518E-2</v>
      </c>
      <c r="T5752" s="59">
        <f ca="1">Dashboard!C$8* Dashboard!$F$4+Dashboard!C$10*SQRT(Dashboard!$F$4) * _xlfn.NORM.S.INV(RAND())</f>
        <v>1.4715922973197134E-3</v>
      </c>
      <c r="U5752" s="59">
        <f ca="1">Dashboard!D$8* Dashboard!$F$4+Dashboard!D$10*SQRT(Dashboard!$F$4) * _xlfn.NORM.S.INV(RAND())</f>
        <v>3.6557621476468308E-2</v>
      </c>
    </row>
    <row r="5753" spans="18:21" x14ac:dyDescent="0.2">
      <c r="R5753" s="49">
        <v>5751</v>
      </c>
      <c r="S5753" s="59">
        <f ca="1">Dashboard!B$8* Dashboard!$F$4+Dashboard!B$10*SQRT(Dashboard!$F$4) * _xlfn.NORM.S.INV(RAND())</f>
        <v>-2.6016633860663253E-2</v>
      </c>
      <c r="T5753" s="59">
        <f ca="1">Dashboard!C$8* Dashboard!$F$4+Dashboard!C$10*SQRT(Dashboard!$F$4) * _xlfn.NORM.S.INV(RAND())</f>
        <v>-1.5410955030405286E-3</v>
      </c>
      <c r="U5753" s="59">
        <f ca="1">Dashboard!D$8* Dashboard!$F$4+Dashboard!D$10*SQRT(Dashboard!$F$4) * _xlfn.NORM.S.INV(RAND())</f>
        <v>-5.5203960395397392E-2</v>
      </c>
    </row>
    <row r="5754" spans="18:21" x14ac:dyDescent="0.2">
      <c r="R5754" s="49">
        <v>5752</v>
      </c>
      <c r="S5754" s="59">
        <f ca="1">Dashboard!B$8* Dashboard!$F$4+Dashboard!B$10*SQRT(Dashboard!$F$4) * _xlfn.NORM.S.INV(RAND())</f>
        <v>1.5997180130873048E-2</v>
      </c>
      <c r="T5754" s="59">
        <f ca="1">Dashboard!C$8* Dashboard!$F$4+Dashboard!C$10*SQRT(Dashboard!$F$4) * _xlfn.NORM.S.INV(RAND())</f>
        <v>-1.4567033020065082E-2</v>
      </c>
      <c r="U5754" s="59">
        <f ca="1">Dashboard!D$8* Dashboard!$F$4+Dashboard!D$10*SQRT(Dashboard!$F$4) * _xlfn.NORM.S.INV(RAND())</f>
        <v>1.0682745120036682E-2</v>
      </c>
    </row>
    <row r="5755" spans="18:21" x14ac:dyDescent="0.2">
      <c r="R5755" s="49">
        <v>5753</v>
      </c>
      <c r="S5755" s="59">
        <f ca="1">Dashboard!B$8* Dashboard!$F$4+Dashboard!B$10*SQRT(Dashboard!$F$4) * _xlfn.NORM.S.INV(RAND())</f>
        <v>-6.550720905306652E-2</v>
      </c>
      <c r="T5755" s="59">
        <f ca="1">Dashboard!C$8* Dashboard!$F$4+Dashboard!C$10*SQRT(Dashboard!$F$4) * _xlfn.NORM.S.INV(RAND())</f>
        <v>3.3006996717428252E-2</v>
      </c>
      <c r="U5755" s="59">
        <f ca="1">Dashboard!D$8* Dashboard!$F$4+Dashboard!D$10*SQRT(Dashboard!$F$4) * _xlfn.NORM.S.INV(RAND())</f>
        <v>-4.4705290336407178E-3</v>
      </c>
    </row>
    <row r="5756" spans="18:21" x14ac:dyDescent="0.2">
      <c r="R5756" s="49">
        <v>5754</v>
      </c>
      <c r="S5756" s="59">
        <f ca="1">Dashboard!B$8* Dashboard!$F$4+Dashboard!B$10*SQRT(Dashboard!$F$4) * _xlfn.NORM.S.INV(RAND())</f>
        <v>4.5433532037072566E-2</v>
      </c>
      <c r="T5756" s="59">
        <f ca="1">Dashboard!C$8* Dashboard!$F$4+Dashboard!C$10*SQRT(Dashboard!$F$4) * _xlfn.NORM.S.INV(RAND())</f>
        <v>2.2185094007427249E-2</v>
      </c>
      <c r="U5756" s="59">
        <f ca="1">Dashboard!D$8* Dashboard!$F$4+Dashboard!D$10*SQRT(Dashboard!$F$4) * _xlfn.NORM.S.INV(RAND())</f>
        <v>1.941238099198728E-2</v>
      </c>
    </row>
    <row r="5757" spans="18:21" x14ac:dyDescent="0.2">
      <c r="R5757" s="49">
        <v>5755</v>
      </c>
      <c r="S5757" s="59">
        <f ca="1">Dashboard!B$8* Dashboard!$F$4+Dashboard!B$10*SQRT(Dashboard!$F$4) * _xlfn.NORM.S.INV(RAND())</f>
        <v>-6.4924886887576605E-3</v>
      </c>
      <c r="T5757" s="59">
        <f ca="1">Dashboard!C$8* Dashboard!$F$4+Dashboard!C$10*SQRT(Dashboard!$F$4) * _xlfn.NORM.S.INV(RAND())</f>
        <v>-2.4228088794048929E-2</v>
      </c>
      <c r="U5757" s="59">
        <f ca="1">Dashboard!D$8* Dashboard!$F$4+Dashboard!D$10*SQRT(Dashboard!$F$4) * _xlfn.NORM.S.INV(RAND())</f>
        <v>1.01350723403731E-2</v>
      </c>
    </row>
    <row r="5758" spans="18:21" x14ac:dyDescent="0.2">
      <c r="R5758" s="49">
        <v>5756</v>
      </c>
      <c r="S5758" s="59">
        <f ca="1">Dashboard!B$8* Dashboard!$F$4+Dashboard!B$10*SQRT(Dashboard!$F$4) * _xlfn.NORM.S.INV(RAND())</f>
        <v>3.0886902150526488E-2</v>
      </c>
      <c r="T5758" s="59">
        <f ca="1">Dashboard!C$8* Dashboard!$F$4+Dashboard!C$10*SQRT(Dashboard!$F$4) * _xlfn.NORM.S.INV(RAND())</f>
        <v>2.3841133036154299E-2</v>
      </c>
      <c r="U5758" s="59">
        <f ca="1">Dashboard!D$8* Dashboard!$F$4+Dashboard!D$10*SQRT(Dashboard!$F$4) * _xlfn.NORM.S.INV(RAND())</f>
        <v>5.5737399806857622E-2</v>
      </c>
    </row>
    <row r="5759" spans="18:21" x14ac:dyDescent="0.2">
      <c r="R5759" s="49">
        <v>5757</v>
      </c>
      <c r="S5759" s="59">
        <f ca="1">Dashboard!B$8* Dashboard!$F$4+Dashboard!B$10*SQRT(Dashboard!$F$4) * _xlfn.NORM.S.INV(RAND())</f>
        <v>3.7580389708850283E-2</v>
      </c>
      <c r="T5759" s="59">
        <f ca="1">Dashboard!C$8* Dashboard!$F$4+Dashboard!C$10*SQRT(Dashboard!$F$4) * _xlfn.NORM.S.INV(RAND())</f>
        <v>-7.2959990401395966E-3</v>
      </c>
      <c r="U5759" s="59">
        <f ca="1">Dashboard!D$8* Dashboard!$F$4+Dashboard!D$10*SQRT(Dashboard!$F$4) * _xlfn.NORM.S.INV(RAND())</f>
        <v>-2.7427095209640727E-2</v>
      </c>
    </row>
    <row r="5760" spans="18:21" x14ac:dyDescent="0.2">
      <c r="R5760" s="49">
        <v>5758</v>
      </c>
      <c r="S5760" s="59">
        <f ca="1">Dashboard!B$8* Dashboard!$F$4+Dashboard!B$10*SQRT(Dashboard!$F$4) * _xlfn.NORM.S.INV(RAND())</f>
        <v>-3.2382847822202847E-2</v>
      </c>
      <c r="T5760" s="59">
        <f ca="1">Dashboard!C$8* Dashboard!$F$4+Dashboard!C$10*SQRT(Dashboard!$F$4) * _xlfn.NORM.S.INV(RAND())</f>
        <v>9.9081103464764578E-2</v>
      </c>
      <c r="U5760" s="59">
        <f ca="1">Dashboard!D$8* Dashboard!$F$4+Dashboard!D$10*SQRT(Dashboard!$F$4) * _xlfn.NORM.S.INV(RAND())</f>
        <v>5.3802577590320651E-2</v>
      </c>
    </row>
    <row r="5761" spans="18:21" x14ac:dyDescent="0.2">
      <c r="R5761" s="49">
        <v>5759</v>
      </c>
      <c r="S5761" s="59">
        <f ca="1">Dashboard!B$8* Dashboard!$F$4+Dashboard!B$10*SQRT(Dashboard!$F$4) * _xlfn.NORM.S.INV(RAND())</f>
        <v>-3.4566301007496095E-2</v>
      </c>
      <c r="T5761" s="59">
        <f ca="1">Dashboard!C$8* Dashboard!$F$4+Dashboard!C$10*SQRT(Dashboard!$F$4) * _xlfn.NORM.S.INV(RAND())</f>
        <v>-8.0435651694985524E-2</v>
      </c>
      <c r="U5761" s="59">
        <f ca="1">Dashboard!D$8* Dashboard!$F$4+Dashboard!D$10*SQRT(Dashboard!$F$4) * _xlfn.NORM.S.INV(RAND())</f>
        <v>-4.7620228236526632E-2</v>
      </c>
    </row>
    <row r="5762" spans="18:21" x14ac:dyDescent="0.2">
      <c r="R5762" s="49">
        <v>5760</v>
      </c>
      <c r="S5762" s="59">
        <f ca="1">Dashboard!B$8* Dashboard!$F$4+Dashboard!B$10*SQRT(Dashboard!$F$4) * _xlfn.NORM.S.INV(RAND())</f>
        <v>1.9640683122145217E-2</v>
      </c>
      <c r="T5762" s="59">
        <f ca="1">Dashboard!C$8* Dashboard!$F$4+Dashboard!C$10*SQRT(Dashboard!$F$4) * _xlfn.NORM.S.INV(RAND())</f>
        <v>5.1992079195266161E-2</v>
      </c>
      <c r="U5762" s="59">
        <f ca="1">Dashboard!D$8* Dashboard!$F$4+Dashboard!D$10*SQRT(Dashboard!$F$4) * _xlfn.NORM.S.INV(RAND())</f>
        <v>-1.9913482010324467E-2</v>
      </c>
    </row>
    <row r="5763" spans="18:21" x14ac:dyDescent="0.2">
      <c r="R5763" s="49">
        <v>5761</v>
      </c>
      <c r="S5763" s="59">
        <f ca="1">Dashboard!B$8* Dashboard!$F$4+Dashboard!B$10*SQRT(Dashboard!$F$4) * _xlfn.NORM.S.INV(RAND())</f>
        <v>-5.8284875292644631E-2</v>
      </c>
      <c r="T5763" s="59">
        <f ca="1">Dashboard!C$8* Dashboard!$F$4+Dashboard!C$10*SQRT(Dashboard!$F$4) * _xlfn.NORM.S.INV(RAND())</f>
        <v>1.8348842653106739E-2</v>
      </c>
      <c r="U5763" s="59">
        <f ca="1">Dashboard!D$8* Dashboard!$F$4+Dashboard!D$10*SQRT(Dashboard!$F$4) * _xlfn.NORM.S.INV(RAND())</f>
        <v>-1.0158857548172988E-2</v>
      </c>
    </row>
    <row r="5764" spans="18:21" x14ac:dyDescent="0.2">
      <c r="R5764" s="49">
        <v>5762</v>
      </c>
      <c r="S5764" s="59">
        <f ca="1">Dashboard!B$8* Dashboard!$F$4+Dashboard!B$10*SQRT(Dashboard!$F$4) * _xlfn.NORM.S.INV(RAND())</f>
        <v>3.4636327634355694E-2</v>
      </c>
      <c r="T5764" s="59">
        <f ca="1">Dashboard!C$8* Dashboard!$F$4+Dashboard!C$10*SQRT(Dashboard!$F$4) * _xlfn.NORM.S.INV(RAND())</f>
        <v>-3.02944411812427E-3</v>
      </c>
      <c r="U5764" s="59">
        <f ca="1">Dashboard!D$8* Dashboard!$F$4+Dashboard!D$10*SQRT(Dashboard!$F$4) * _xlfn.NORM.S.INV(RAND())</f>
        <v>1.3868511485394312E-2</v>
      </c>
    </row>
    <row r="5765" spans="18:21" x14ac:dyDescent="0.2">
      <c r="R5765" s="49">
        <v>5763</v>
      </c>
      <c r="S5765" s="59">
        <f ca="1">Dashboard!B$8* Dashboard!$F$4+Dashboard!B$10*SQRT(Dashboard!$F$4) * _xlfn.NORM.S.INV(RAND())</f>
        <v>1.4673984539266086E-2</v>
      </c>
      <c r="T5765" s="59">
        <f ca="1">Dashboard!C$8* Dashboard!$F$4+Dashboard!C$10*SQRT(Dashboard!$F$4) * _xlfn.NORM.S.INV(RAND())</f>
        <v>-3.1738090534373112E-2</v>
      </c>
      <c r="U5765" s="59">
        <f ca="1">Dashboard!D$8* Dashboard!$F$4+Dashboard!D$10*SQRT(Dashboard!$F$4) * _xlfn.NORM.S.INV(RAND())</f>
        <v>1.5507666283154148E-2</v>
      </c>
    </row>
    <row r="5766" spans="18:21" x14ac:dyDescent="0.2">
      <c r="R5766" s="49">
        <v>5764</v>
      </c>
      <c r="S5766" s="59">
        <f ca="1">Dashboard!B$8* Dashboard!$F$4+Dashboard!B$10*SQRT(Dashboard!$F$4) * _xlfn.NORM.S.INV(RAND())</f>
        <v>-2.2056910034600363E-2</v>
      </c>
      <c r="T5766" s="59">
        <f ca="1">Dashboard!C$8* Dashboard!$F$4+Dashboard!C$10*SQRT(Dashboard!$F$4) * _xlfn.NORM.S.INV(RAND())</f>
        <v>4.8066273138564819E-2</v>
      </c>
      <c r="U5766" s="59">
        <f ca="1">Dashboard!D$8* Dashboard!$F$4+Dashboard!D$10*SQRT(Dashboard!$F$4) * _xlfn.NORM.S.INV(RAND())</f>
        <v>4.7166824066565633E-3</v>
      </c>
    </row>
    <row r="5767" spans="18:21" x14ac:dyDescent="0.2">
      <c r="R5767" s="49">
        <v>5765</v>
      </c>
      <c r="S5767" s="59">
        <f ca="1">Dashboard!B$8* Dashboard!$F$4+Dashboard!B$10*SQRT(Dashboard!$F$4) * _xlfn.NORM.S.INV(RAND())</f>
        <v>2.7731527753433786E-2</v>
      </c>
      <c r="T5767" s="59">
        <f ca="1">Dashboard!C$8* Dashboard!$F$4+Dashboard!C$10*SQRT(Dashboard!$F$4) * _xlfn.NORM.S.INV(RAND())</f>
        <v>1.6028209641624963E-2</v>
      </c>
      <c r="U5767" s="59">
        <f ca="1">Dashboard!D$8* Dashboard!$F$4+Dashboard!D$10*SQRT(Dashboard!$F$4) * _xlfn.NORM.S.INV(RAND())</f>
        <v>8.6459348700713284E-3</v>
      </c>
    </row>
    <row r="5768" spans="18:21" x14ac:dyDescent="0.2">
      <c r="R5768" s="49">
        <v>5766</v>
      </c>
      <c r="S5768" s="59">
        <f ca="1">Dashboard!B$8* Dashboard!$F$4+Dashboard!B$10*SQRT(Dashboard!$F$4) * _xlfn.NORM.S.INV(RAND())</f>
        <v>1.5928007836049959E-2</v>
      </c>
      <c r="T5768" s="59">
        <f ca="1">Dashboard!C$8* Dashboard!$F$4+Dashboard!C$10*SQRT(Dashboard!$F$4) * _xlfn.NORM.S.INV(RAND())</f>
        <v>-4.0618802629537237E-2</v>
      </c>
      <c r="U5768" s="59">
        <f ca="1">Dashboard!D$8* Dashboard!$F$4+Dashboard!D$10*SQRT(Dashboard!$F$4) * _xlfn.NORM.S.INV(RAND())</f>
        <v>1.7931274522074738E-2</v>
      </c>
    </row>
    <row r="5769" spans="18:21" x14ac:dyDescent="0.2">
      <c r="R5769" s="49">
        <v>5767</v>
      </c>
      <c r="S5769" s="59">
        <f ca="1">Dashboard!B$8* Dashboard!$F$4+Dashboard!B$10*SQRT(Dashboard!$F$4) * _xlfn.NORM.S.INV(RAND())</f>
        <v>6.1711594786735102E-2</v>
      </c>
      <c r="T5769" s="59">
        <f ca="1">Dashboard!C$8* Dashboard!$F$4+Dashboard!C$10*SQRT(Dashboard!$F$4) * _xlfn.NORM.S.INV(RAND())</f>
        <v>4.1714612733015438E-2</v>
      </c>
      <c r="U5769" s="59">
        <f ca="1">Dashboard!D$8* Dashboard!$F$4+Dashboard!D$10*SQRT(Dashboard!$F$4) * _xlfn.NORM.S.INV(RAND())</f>
        <v>5.6194330453190562E-2</v>
      </c>
    </row>
    <row r="5770" spans="18:21" x14ac:dyDescent="0.2">
      <c r="R5770" s="49">
        <v>5768</v>
      </c>
      <c r="S5770" s="59">
        <f ca="1">Dashboard!B$8* Dashboard!$F$4+Dashboard!B$10*SQRT(Dashboard!$F$4) * _xlfn.NORM.S.INV(RAND())</f>
        <v>2.190211648096374E-2</v>
      </c>
      <c r="T5770" s="59">
        <f ca="1">Dashboard!C$8* Dashboard!$F$4+Dashboard!C$10*SQRT(Dashboard!$F$4) * _xlfn.NORM.S.INV(RAND())</f>
        <v>-6.5765837972229626E-3</v>
      </c>
      <c r="U5770" s="59">
        <f ca="1">Dashboard!D$8* Dashboard!$F$4+Dashboard!D$10*SQRT(Dashboard!$F$4) * _xlfn.NORM.S.INV(RAND())</f>
        <v>7.005959769203128E-4</v>
      </c>
    </row>
    <row r="5771" spans="18:21" x14ac:dyDescent="0.2">
      <c r="R5771" s="49">
        <v>5769</v>
      </c>
      <c r="S5771" s="59">
        <f ca="1">Dashboard!B$8* Dashboard!$F$4+Dashboard!B$10*SQRT(Dashboard!$F$4) * _xlfn.NORM.S.INV(RAND())</f>
        <v>-2.8917835124436193E-2</v>
      </c>
      <c r="T5771" s="59">
        <f ca="1">Dashboard!C$8* Dashboard!$F$4+Dashboard!C$10*SQRT(Dashboard!$F$4) * _xlfn.NORM.S.INV(RAND())</f>
        <v>-8.7490276500642158E-2</v>
      </c>
      <c r="U5771" s="59">
        <f ca="1">Dashboard!D$8* Dashboard!$F$4+Dashboard!D$10*SQRT(Dashboard!$F$4) * _xlfn.NORM.S.INV(RAND())</f>
        <v>1.3139305066609788E-2</v>
      </c>
    </row>
    <row r="5772" spans="18:21" x14ac:dyDescent="0.2">
      <c r="R5772" s="49">
        <v>5770</v>
      </c>
      <c r="S5772" s="59">
        <f ca="1">Dashboard!B$8* Dashboard!$F$4+Dashboard!B$10*SQRT(Dashboard!$F$4) * _xlfn.NORM.S.INV(RAND())</f>
        <v>-1.5613813178210695E-2</v>
      </c>
      <c r="T5772" s="59">
        <f ca="1">Dashboard!C$8* Dashboard!$F$4+Dashboard!C$10*SQRT(Dashboard!$F$4) * _xlfn.NORM.S.INV(RAND())</f>
        <v>1.0685429529611847E-2</v>
      </c>
      <c r="U5772" s="59">
        <f ca="1">Dashboard!D$8* Dashboard!$F$4+Dashboard!D$10*SQRT(Dashboard!$F$4) * _xlfn.NORM.S.INV(RAND())</f>
        <v>-1.4206243766892442E-2</v>
      </c>
    </row>
    <row r="5773" spans="18:21" x14ac:dyDescent="0.2">
      <c r="R5773" s="49">
        <v>5771</v>
      </c>
      <c r="S5773" s="59">
        <f ca="1">Dashboard!B$8* Dashboard!$F$4+Dashboard!B$10*SQRT(Dashboard!$F$4) * _xlfn.NORM.S.INV(RAND())</f>
        <v>-1.9066405575505312E-2</v>
      </c>
      <c r="T5773" s="59">
        <f ca="1">Dashboard!C$8* Dashboard!$F$4+Dashboard!C$10*SQRT(Dashboard!$F$4) * _xlfn.NORM.S.INV(RAND())</f>
        <v>-5.3521465954648453E-3</v>
      </c>
      <c r="U5773" s="59">
        <f ca="1">Dashboard!D$8* Dashboard!$F$4+Dashboard!D$10*SQRT(Dashboard!$F$4) * _xlfn.NORM.S.INV(RAND())</f>
        <v>3.3081436056869605E-2</v>
      </c>
    </row>
    <row r="5774" spans="18:21" x14ac:dyDescent="0.2">
      <c r="R5774" s="49">
        <v>5772</v>
      </c>
      <c r="S5774" s="59">
        <f ca="1">Dashboard!B$8* Dashboard!$F$4+Dashboard!B$10*SQRT(Dashboard!$F$4) * _xlfn.NORM.S.INV(RAND())</f>
        <v>-1.0911098728095325E-2</v>
      </c>
      <c r="T5774" s="59">
        <f ca="1">Dashboard!C$8* Dashboard!$F$4+Dashboard!C$10*SQRT(Dashboard!$F$4) * _xlfn.NORM.S.INV(RAND())</f>
        <v>-3.9414904382857954E-4</v>
      </c>
      <c r="U5774" s="59">
        <f ca="1">Dashboard!D$8* Dashboard!$F$4+Dashboard!D$10*SQRT(Dashboard!$F$4) * _xlfn.NORM.S.INV(RAND())</f>
        <v>-2.3299760832843856E-2</v>
      </c>
    </row>
    <row r="5775" spans="18:21" x14ac:dyDescent="0.2">
      <c r="R5775" s="49">
        <v>5773</v>
      </c>
      <c r="S5775" s="59">
        <f ca="1">Dashboard!B$8* Dashboard!$F$4+Dashboard!B$10*SQRT(Dashboard!$F$4) * _xlfn.NORM.S.INV(RAND())</f>
        <v>-5.9682302830751002E-2</v>
      </c>
      <c r="T5775" s="59">
        <f ca="1">Dashboard!C$8* Dashboard!$F$4+Dashboard!C$10*SQRT(Dashboard!$F$4) * _xlfn.NORM.S.INV(RAND())</f>
        <v>4.4889505473858421E-2</v>
      </c>
      <c r="U5775" s="59">
        <f ca="1">Dashboard!D$8* Dashboard!$F$4+Dashboard!D$10*SQRT(Dashboard!$F$4) * _xlfn.NORM.S.INV(RAND())</f>
        <v>-1.4453964966208351E-2</v>
      </c>
    </row>
    <row r="5776" spans="18:21" x14ac:dyDescent="0.2">
      <c r="R5776" s="49">
        <v>5774</v>
      </c>
      <c r="S5776" s="59">
        <f ca="1">Dashboard!B$8* Dashboard!$F$4+Dashboard!B$10*SQRT(Dashboard!$F$4) * _xlfn.NORM.S.INV(RAND())</f>
        <v>1.4056816293457836E-2</v>
      </c>
      <c r="T5776" s="59">
        <f ca="1">Dashboard!C$8* Dashboard!$F$4+Dashboard!C$10*SQRT(Dashboard!$F$4) * _xlfn.NORM.S.INV(RAND())</f>
        <v>-1.9395145595746927E-2</v>
      </c>
      <c r="U5776" s="59">
        <f ca="1">Dashboard!D$8* Dashboard!$F$4+Dashboard!D$10*SQRT(Dashboard!$F$4) * _xlfn.NORM.S.INV(RAND())</f>
        <v>4.2536349309483544E-2</v>
      </c>
    </row>
    <row r="5777" spans="18:21" x14ac:dyDescent="0.2">
      <c r="R5777" s="49">
        <v>5775</v>
      </c>
      <c r="S5777" s="59">
        <f ca="1">Dashboard!B$8* Dashboard!$F$4+Dashboard!B$10*SQRT(Dashboard!$F$4) * _xlfn.NORM.S.INV(RAND())</f>
        <v>-3.4487264376959169E-2</v>
      </c>
      <c r="T5777" s="59">
        <f ca="1">Dashboard!C$8* Dashboard!$F$4+Dashboard!C$10*SQRT(Dashboard!$F$4) * _xlfn.NORM.S.INV(RAND())</f>
        <v>8.3096347250018271E-2</v>
      </c>
      <c r="U5777" s="59">
        <f ca="1">Dashboard!D$8* Dashboard!$F$4+Dashboard!D$10*SQRT(Dashboard!$F$4) * _xlfn.NORM.S.INV(RAND())</f>
        <v>3.2063636553490746E-2</v>
      </c>
    </row>
    <row r="5778" spans="18:21" x14ac:dyDescent="0.2">
      <c r="R5778" s="49">
        <v>5776</v>
      </c>
      <c r="S5778" s="59">
        <f ca="1">Dashboard!B$8* Dashboard!$F$4+Dashboard!B$10*SQRT(Dashboard!$F$4) * _xlfn.NORM.S.INV(RAND())</f>
        <v>-1.0160092967964725E-2</v>
      </c>
      <c r="T5778" s="59">
        <f ca="1">Dashboard!C$8* Dashboard!$F$4+Dashboard!C$10*SQRT(Dashboard!$F$4) * _xlfn.NORM.S.INV(RAND())</f>
        <v>-5.8356722656234511E-2</v>
      </c>
      <c r="U5778" s="59">
        <f ca="1">Dashboard!D$8* Dashboard!$F$4+Dashboard!D$10*SQRT(Dashboard!$F$4) * _xlfn.NORM.S.INV(RAND())</f>
        <v>-1.6636464049957597E-2</v>
      </c>
    </row>
    <row r="5779" spans="18:21" x14ac:dyDescent="0.2">
      <c r="R5779" s="49">
        <v>5777</v>
      </c>
      <c r="S5779" s="59">
        <f ca="1">Dashboard!B$8* Dashboard!$F$4+Dashboard!B$10*SQRT(Dashboard!$F$4) * _xlfn.NORM.S.INV(RAND())</f>
        <v>3.1955318929796812E-5</v>
      </c>
      <c r="T5779" s="59">
        <f ca="1">Dashboard!C$8* Dashboard!$F$4+Dashboard!C$10*SQRT(Dashboard!$F$4) * _xlfn.NORM.S.INV(RAND())</f>
        <v>1.8745096163791337E-2</v>
      </c>
      <c r="U5779" s="59">
        <f ca="1">Dashboard!D$8* Dashboard!$F$4+Dashboard!D$10*SQRT(Dashboard!$F$4) * _xlfn.NORM.S.INV(RAND())</f>
        <v>3.495750686011502E-2</v>
      </c>
    </row>
    <row r="5780" spans="18:21" x14ac:dyDescent="0.2">
      <c r="R5780" s="49">
        <v>5778</v>
      </c>
      <c r="S5780" s="59">
        <f ca="1">Dashboard!B$8* Dashboard!$F$4+Dashboard!B$10*SQRT(Dashboard!$F$4) * _xlfn.NORM.S.INV(RAND())</f>
        <v>3.2503582987601295E-2</v>
      </c>
      <c r="T5780" s="59">
        <f ca="1">Dashboard!C$8* Dashboard!$F$4+Dashboard!C$10*SQRT(Dashboard!$F$4) * _xlfn.NORM.S.INV(RAND())</f>
        <v>-3.4547398729317703E-2</v>
      </c>
      <c r="U5780" s="59">
        <f ca="1">Dashboard!D$8* Dashboard!$F$4+Dashboard!D$10*SQRT(Dashboard!$F$4) * _xlfn.NORM.S.INV(RAND())</f>
        <v>3.5572185926340268E-2</v>
      </c>
    </row>
    <row r="5781" spans="18:21" x14ac:dyDescent="0.2">
      <c r="R5781" s="49">
        <v>5779</v>
      </c>
      <c r="S5781" s="59">
        <f ca="1">Dashboard!B$8* Dashboard!$F$4+Dashboard!B$10*SQRT(Dashboard!$F$4) * _xlfn.NORM.S.INV(RAND())</f>
        <v>4.7818456132922467E-2</v>
      </c>
      <c r="T5781" s="59">
        <f ca="1">Dashboard!C$8* Dashboard!$F$4+Dashboard!C$10*SQRT(Dashboard!$F$4) * _xlfn.NORM.S.INV(RAND())</f>
        <v>1.5730125961277378E-3</v>
      </c>
      <c r="U5781" s="59">
        <f ca="1">Dashboard!D$8* Dashboard!$F$4+Dashboard!D$10*SQRT(Dashboard!$F$4) * _xlfn.NORM.S.INV(RAND())</f>
        <v>-1.0770134960930977E-3</v>
      </c>
    </row>
    <row r="5782" spans="18:21" x14ac:dyDescent="0.2">
      <c r="R5782" s="49">
        <v>5780</v>
      </c>
      <c r="S5782" s="59">
        <f ca="1">Dashboard!B$8* Dashboard!$F$4+Dashboard!B$10*SQRT(Dashboard!$F$4) * _xlfn.NORM.S.INV(RAND())</f>
        <v>4.9945734558864887E-4</v>
      </c>
      <c r="T5782" s="59">
        <f ca="1">Dashboard!C$8* Dashboard!$F$4+Dashboard!C$10*SQRT(Dashboard!$F$4) * _xlfn.NORM.S.INV(RAND())</f>
        <v>-2.8313405709642223E-2</v>
      </c>
      <c r="U5782" s="59">
        <f ca="1">Dashboard!D$8* Dashboard!$F$4+Dashboard!D$10*SQRT(Dashboard!$F$4) * _xlfn.NORM.S.INV(RAND())</f>
        <v>-4.6714806549310164E-2</v>
      </c>
    </row>
    <row r="5783" spans="18:21" x14ac:dyDescent="0.2">
      <c r="R5783" s="49">
        <v>5781</v>
      </c>
      <c r="S5783" s="59">
        <f ca="1">Dashboard!B$8* Dashboard!$F$4+Dashboard!B$10*SQRT(Dashboard!$F$4) * _xlfn.NORM.S.INV(RAND())</f>
        <v>-8.5668021363283697E-4</v>
      </c>
      <c r="T5783" s="59">
        <f ca="1">Dashboard!C$8* Dashboard!$F$4+Dashboard!C$10*SQRT(Dashboard!$F$4) * _xlfn.NORM.S.INV(RAND())</f>
        <v>7.6464991387308889E-3</v>
      </c>
      <c r="U5783" s="59">
        <f ca="1">Dashboard!D$8* Dashboard!$F$4+Dashboard!D$10*SQRT(Dashboard!$F$4) * _xlfn.NORM.S.INV(RAND())</f>
        <v>2.087594036146315E-2</v>
      </c>
    </row>
    <row r="5784" spans="18:21" x14ac:dyDescent="0.2">
      <c r="R5784" s="49">
        <v>5782</v>
      </c>
      <c r="S5784" s="59">
        <f ca="1">Dashboard!B$8* Dashboard!$F$4+Dashboard!B$10*SQRT(Dashboard!$F$4) * _xlfn.NORM.S.INV(RAND())</f>
        <v>-1.5912775662054565E-3</v>
      </c>
      <c r="T5784" s="59">
        <f ca="1">Dashboard!C$8* Dashboard!$F$4+Dashboard!C$10*SQRT(Dashboard!$F$4) * _xlfn.NORM.S.INV(RAND())</f>
        <v>-3.0297843008553909E-2</v>
      </c>
      <c r="U5784" s="59">
        <f ca="1">Dashboard!D$8* Dashboard!$F$4+Dashboard!D$10*SQRT(Dashboard!$F$4) * _xlfn.NORM.S.INV(RAND())</f>
        <v>3.5951527395939008E-2</v>
      </c>
    </row>
    <row r="5785" spans="18:21" x14ac:dyDescent="0.2">
      <c r="R5785" s="49">
        <v>5783</v>
      </c>
      <c r="S5785" s="59">
        <f ca="1">Dashboard!B$8* Dashboard!$F$4+Dashboard!B$10*SQRT(Dashboard!$F$4) * _xlfn.NORM.S.INV(RAND())</f>
        <v>9.2737281767056937E-2</v>
      </c>
      <c r="T5785" s="59">
        <f ca="1">Dashboard!C$8* Dashboard!$F$4+Dashboard!C$10*SQRT(Dashboard!$F$4) * _xlfn.NORM.S.INV(RAND())</f>
        <v>2.0168199496078582E-2</v>
      </c>
      <c r="U5785" s="59">
        <f ca="1">Dashboard!D$8* Dashboard!$F$4+Dashboard!D$10*SQRT(Dashboard!$F$4) * _xlfn.NORM.S.INV(RAND())</f>
        <v>3.6227592534693445E-2</v>
      </c>
    </row>
    <row r="5786" spans="18:21" x14ac:dyDescent="0.2">
      <c r="R5786" s="49">
        <v>5784</v>
      </c>
      <c r="S5786" s="59">
        <f ca="1">Dashboard!B$8* Dashboard!$F$4+Dashboard!B$10*SQRT(Dashboard!$F$4) * _xlfn.NORM.S.INV(RAND())</f>
        <v>-3.9653906698946762E-3</v>
      </c>
      <c r="T5786" s="59">
        <f ca="1">Dashboard!C$8* Dashboard!$F$4+Dashboard!C$10*SQRT(Dashboard!$F$4) * _xlfn.NORM.S.INV(RAND())</f>
        <v>3.8632478830086178E-2</v>
      </c>
      <c r="U5786" s="59">
        <f ca="1">Dashboard!D$8* Dashboard!$F$4+Dashboard!D$10*SQRT(Dashboard!$F$4) * _xlfn.NORM.S.INV(RAND())</f>
        <v>9.9145427614882927E-3</v>
      </c>
    </row>
    <row r="5787" spans="18:21" x14ac:dyDescent="0.2">
      <c r="R5787" s="49">
        <v>5785</v>
      </c>
      <c r="S5787" s="59">
        <f ca="1">Dashboard!B$8* Dashboard!$F$4+Dashboard!B$10*SQRT(Dashboard!$F$4) * _xlfn.NORM.S.INV(RAND())</f>
        <v>-1.2211643812948198E-2</v>
      </c>
      <c r="T5787" s="59">
        <f ca="1">Dashboard!C$8* Dashboard!$F$4+Dashboard!C$10*SQRT(Dashboard!$F$4) * _xlfn.NORM.S.INV(RAND())</f>
        <v>-4.7037835935666789E-3</v>
      </c>
      <c r="U5787" s="59">
        <f ca="1">Dashboard!D$8* Dashboard!$F$4+Dashboard!D$10*SQRT(Dashboard!$F$4) * _xlfn.NORM.S.INV(RAND())</f>
        <v>1.1458266773693892E-2</v>
      </c>
    </row>
    <row r="5788" spans="18:21" x14ac:dyDescent="0.2">
      <c r="R5788" s="49">
        <v>5786</v>
      </c>
      <c r="S5788" s="59">
        <f ca="1">Dashboard!B$8* Dashboard!$F$4+Dashboard!B$10*SQRT(Dashboard!$F$4) * _xlfn.NORM.S.INV(RAND())</f>
        <v>-5.3049582357555095E-2</v>
      </c>
      <c r="T5788" s="59">
        <f ca="1">Dashboard!C$8* Dashboard!$F$4+Dashboard!C$10*SQRT(Dashboard!$F$4) * _xlfn.NORM.S.INV(RAND())</f>
        <v>-4.6958580927069738E-3</v>
      </c>
      <c r="U5788" s="59">
        <f ca="1">Dashboard!D$8* Dashboard!$F$4+Dashboard!D$10*SQRT(Dashboard!$F$4) * _xlfn.NORM.S.INV(RAND())</f>
        <v>-3.9062592741626025E-2</v>
      </c>
    </row>
    <row r="5789" spans="18:21" x14ac:dyDescent="0.2">
      <c r="R5789" s="49">
        <v>5787</v>
      </c>
      <c r="S5789" s="59">
        <f ca="1">Dashboard!B$8* Dashboard!$F$4+Dashboard!B$10*SQRT(Dashboard!$F$4) * _xlfn.NORM.S.INV(RAND())</f>
        <v>-5.3192177837082071E-2</v>
      </c>
      <c r="T5789" s="59">
        <f ca="1">Dashboard!C$8* Dashboard!$F$4+Dashboard!C$10*SQRT(Dashboard!$F$4) * _xlfn.NORM.S.INV(RAND())</f>
        <v>-2.5402294390978648E-2</v>
      </c>
      <c r="U5789" s="59">
        <f ca="1">Dashboard!D$8* Dashboard!$F$4+Dashboard!D$10*SQRT(Dashboard!$F$4) * _xlfn.NORM.S.INV(RAND())</f>
        <v>-1.1310382593574737E-2</v>
      </c>
    </row>
    <row r="5790" spans="18:21" x14ac:dyDescent="0.2">
      <c r="R5790" s="49">
        <v>5788</v>
      </c>
      <c r="S5790" s="59">
        <f ca="1">Dashboard!B$8* Dashboard!$F$4+Dashboard!B$10*SQRT(Dashboard!$F$4) * _xlfn.NORM.S.INV(RAND())</f>
        <v>9.8903441377401896E-3</v>
      </c>
      <c r="T5790" s="59">
        <f ca="1">Dashboard!C$8* Dashboard!$F$4+Dashboard!C$10*SQRT(Dashboard!$F$4) * _xlfn.NORM.S.INV(RAND())</f>
        <v>1.0549045533449343E-3</v>
      </c>
      <c r="U5790" s="59">
        <f ca="1">Dashboard!D$8* Dashboard!$F$4+Dashboard!D$10*SQRT(Dashboard!$F$4) * _xlfn.NORM.S.INV(RAND())</f>
        <v>-1.8173722689309658E-2</v>
      </c>
    </row>
    <row r="5791" spans="18:21" x14ac:dyDescent="0.2">
      <c r="R5791" s="49">
        <v>5789</v>
      </c>
      <c r="S5791" s="59">
        <f ca="1">Dashboard!B$8* Dashboard!$F$4+Dashboard!B$10*SQRT(Dashboard!$F$4) * _xlfn.NORM.S.INV(RAND())</f>
        <v>3.401817583522123E-2</v>
      </c>
      <c r="T5791" s="59">
        <f ca="1">Dashboard!C$8* Dashboard!$F$4+Dashboard!C$10*SQRT(Dashboard!$F$4) * _xlfn.NORM.S.INV(RAND())</f>
        <v>-7.1859715165449464E-2</v>
      </c>
      <c r="U5791" s="59">
        <f ca="1">Dashboard!D$8* Dashboard!$F$4+Dashboard!D$10*SQRT(Dashboard!$F$4) * _xlfn.NORM.S.INV(RAND())</f>
        <v>-2.2630866063701001E-3</v>
      </c>
    </row>
    <row r="5792" spans="18:21" x14ac:dyDescent="0.2">
      <c r="R5792" s="49">
        <v>5790</v>
      </c>
      <c r="S5792" s="59">
        <f ca="1">Dashboard!B$8* Dashboard!$F$4+Dashboard!B$10*SQRT(Dashboard!$F$4) * _xlfn.NORM.S.INV(RAND())</f>
        <v>-3.8263227689723067E-2</v>
      </c>
      <c r="T5792" s="59">
        <f ca="1">Dashboard!C$8* Dashboard!$F$4+Dashboard!C$10*SQRT(Dashboard!$F$4) * _xlfn.NORM.S.INV(RAND())</f>
        <v>-2.4740157507239458E-2</v>
      </c>
      <c r="U5792" s="59">
        <f ca="1">Dashboard!D$8* Dashboard!$F$4+Dashboard!D$10*SQRT(Dashboard!$F$4) * _xlfn.NORM.S.INV(RAND())</f>
        <v>3.7124587245378114E-2</v>
      </c>
    </row>
    <row r="5793" spans="18:21" x14ac:dyDescent="0.2">
      <c r="R5793" s="49">
        <v>5791</v>
      </c>
      <c r="S5793" s="59">
        <f ca="1">Dashboard!B$8* Dashboard!$F$4+Dashboard!B$10*SQRT(Dashboard!$F$4) * _xlfn.NORM.S.INV(RAND())</f>
        <v>3.3724683801144434E-3</v>
      </c>
      <c r="T5793" s="59">
        <f ca="1">Dashboard!C$8* Dashboard!$F$4+Dashboard!C$10*SQRT(Dashboard!$F$4) * _xlfn.NORM.S.INV(RAND())</f>
        <v>-3.5722825225441561E-2</v>
      </c>
      <c r="U5793" s="59">
        <f ca="1">Dashboard!D$8* Dashboard!$F$4+Dashboard!D$10*SQRT(Dashboard!$F$4) * _xlfn.NORM.S.INV(RAND())</f>
        <v>4.9574305305617444E-3</v>
      </c>
    </row>
    <row r="5794" spans="18:21" x14ac:dyDescent="0.2">
      <c r="R5794" s="49">
        <v>5792</v>
      </c>
      <c r="S5794" s="59">
        <f ca="1">Dashboard!B$8* Dashboard!$F$4+Dashboard!B$10*SQRT(Dashboard!$F$4) * _xlfn.NORM.S.INV(RAND())</f>
        <v>-5.1384506826857766E-2</v>
      </c>
      <c r="T5794" s="59">
        <f ca="1">Dashboard!C$8* Dashboard!$F$4+Dashboard!C$10*SQRT(Dashboard!$F$4) * _xlfn.NORM.S.INV(RAND())</f>
        <v>1.835536000754983E-2</v>
      </c>
      <c r="U5794" s="59">
        <f ca="1">Dashboard!D$8* Dashboard!$F$4+Dashboard!D$10*SQRT(Dashboard!$F$4) * _xlfn.NORM.S.INV(RAND())</f>
        <v>-1.6317661947439774E-3</v>
      </c>
    </row>
    <row r="5795" spans="18:21" x14ac:dyDescent="0.2">
      <c r="R5795" s="49">
        <v>5793</v>
      </c>
      <c r="S5795" s="59">
        <f ca="1">Dashboard!B$8* Dashboard!$F$4+Dashboard!B$10*SQRT(Dashboard!$F$4) * _xlfn.NORM.S.INV(RAND())</f>
        <v>9.0093988873076493E-3</v>
      </c>
      <c r="T5795" s="59">
        <f ca="1">Dashboard!C$8* Dashboard!$F$4+Dashboard!C$10*SQRT(Dashboard!$F$4) * _xlfn.NORM.S.INV(RAND())</f>
        <v>-2.7434727522633772E-2</v>
      </c>
      <c r="U5795" s="59">
        <f ca="1">Dashboard!D$8* Dashboard!$F$4+Dashboard!D$10*SQRT(Dashboard!$F$4) * _xlfn.NORM.S.INV(RAND())</f>
        <v>-1.1234062768156288E-2</v>
      </c>
    </row>
    <row r="5796" spans="18:21" x14ac:dyDescent="0.2">
      <c r="R5796" s="49">
        <v>5794</v>
      </c>
      <c r="S5796" s="59">
        <f ca="1">Dashboard!B$8* Dashboard!$F$4+Dashboard!B$10*SQRT(Dashboard!$F$4) * _xlfn.NORM.S.INV(RAND())</f>
        <v>-4.4022994128019535E-2</v>
      </c>
      <c r="T5796" s="59">
        <f ca="1">Dashboard!C$8* Dashboard!$F$4+Dashboard!C$10*SQRT(Dashboard!$F$4) * _xlfn.NORM.S.INV(RAND())</f>
        <v>-2.1832789882295443E-2</v>
      </c>
      <c r="U5796" s="59">
        <f ca="1">Dashboard!D$8* Dashboard!$F$4+Dashboard!D$10*SQRT(Dashboard!$F$4) * _xlfn.NORM.S.INV(RAND())</f>
        <v>-1.8695105397291956E-2</v>
      </c>
    </row>
    <row r="5797" spans="18:21" x14ac:dyDescent="0.2">
      <c r="R5797" s="49">
        <v>5795</v>
      </c>
      <c r="S5797" s="59">
        <f ca="1">Dashboard!B$8* Dashboard!$F$4+Dashboard!B$10*SQRT(Dashboard!$F$4) * _xlfn.NORM.S.INV(RAND())</f>
        <v>2.9073420664956556E-3</v>
      </c>
      <c r="T5797" s="59">
        <f ca="1">Dashboard!C$8* Dashboard!$F$4+Dashboard!C$10*SQRT(Dashboard!$F$4) * _xlfn.NORM.S.INV(RAND())</f>
        <v>6.9167239760285042E-3</v>
      </c>
      <c r="U5797" s="59">
        <f ca="1">Dashboard!D$8* Dashboard!$F$4+Dashboard!D$10*SQRT(Dashboard!$F$4) * _xlfn.NORM.S.INV(RAND())</f>
        <v>3.2266276740028438E-2</v>
      </c>
    </row>
    <row r="5798" spans="18:21" x14ac:dyDescent="0.2">
      <c r="R5798" s="49">
        <v>5796</v>
      </c>
      <c r="S5798" s="59">
        <f ca="1">Dashboard!B$8* Dashboard!$F$4+Dashboard!B$10*SQRT(Dashboard!$F$4) * _xlfn.NORM.S.INV(RAND())</f>
        <v>4.9138766619899923E-2</v>
      </c>
      <c r="T5798" s="59">
        <f ca="1">Dashboard!C$8* Dashboard!$F$4+Dashboard!C$10*SQRT(Dashboard!$F$4) * _xlfn.NORM.S.INV(RAND())</f>
        <v>-1.2786007407388892E-2</v>
      </c>
      <c r="U5798" s="59">
        <f ca="1">Dashboard!D$8* Dashboard!$F$4+Dashboard!D$10*SQRT(Dashboard!$F$4) * _xlfn.NORM.S.INV(RAND())</f>
        <v>1.1635572301372609E-2</v>
      </c>
    </row>
    <row r="5799" spans="18:21" x14ac:dyDescent="0.2">
      <c r="R5799" s="49">
        <v>5797</v>
      </c>
      <c r="S5799" s="59">
        <f ca="1">Dashboard!B$8* Dashboard!$F$4+Dashboard!B$10*SQRT(Dashboard!$F$4) * _xlfn.NORM.S.INV(RAND())</f>
        <v>3.1032609250325568E-2</v>
      </c>
      <c r="T5799" s="59">
        <f ca="1">Dashboard!C$8* Dashboard!$F$4+Dashboard!C$10*SQRT(Dashboard!$F$4) * _xlfn.NORM.S.INV(RAND())</f>
        <v>-7.8773838309672863E-3</v>
      </c>
      <c r="U5799" s="59">
        <f ca="1">Dashboard!D$8* Dashboard!$F$4+Dashboard!D$10*SQRT(Dashboard!$F$4) * _xlfn.NORM.S.INV(RAND())</f>
        <v>-3.5243939176298866E-2</v>
      </c>
    </row>
    <row r="5800" spans="18:21" x14ac:dyDescent="0.2">
      <c r="R5800" s="49">
        <v>5798</v>
      </c>
      <c r="S5800" s="59">
        <f ca="1">Dashboard!B$8* Dashboard!$F$4+Dashboard!B$10*SQRT(Dashboard!$F$4) * _xlfn.NORM.S.INV(RAND())</f>
        <v>1.9004388497212144E-2</v>
      </c>
      <c r="T5800" s="59">
        <f ca="1">Dashboard!C$8* Dashboard!$F$4+Dashboard!C$10*SQRT(Dashboard!$F$4) * _xlfn.NORM.S.INV(RAND())</f>
        <v>7.0708819364672226E-3</v>
      </c>
      <c r="U5800" s="59">
        <f ca="1">Dashboard!D$8* Dashboard!$F$4+Dashboard!D$10*SQRT(Dashboard!$F$4) * _xlfn.NORM.S.INV(RAND())</f>
        <v>-7.3825676444187584E-3</v>
      </c>
    </row>
    <row r="5801" spans="18:21" x14ac:dyDescent="0.2">
      <c r="R5801" s="49">
        <v>5799</v>
      </c>
      <c r="S5801" s="59">
        <f ca="1">Dashboard!B$8* Dashboard!$F$4+Dashboard!B$10*SQRT(Dashboard!$F$4) * _xlfn.NORM.S.INV(RAND())</f>
        <v>-2.3430670470474084E-2</v>
      </c>
      <c r="T5801" s="59">
        <f ca="1">Dashboard!C$8* Dashboard!$F$4+Dashboard!C$10*SQRT(Dashboard!$F$4) * _xlfn.NORM.S.INV(RAND())</f>
        <v>-7.607616036721907E-3</v>
      </c>
      <c r="U5801" s="59">
        <f ca="1">Dashboard!D$8* Dashboard!$F$4+Dashboard!D$10*SQRT(Dashboard!$F$4) * _xlfn.NORM.S.INV(RAND())</f>
        <v>2.3425283881084554E-2</v>
      </c>
    </row>
    <row r="5802" spans="18:21" x14ac:dyDescent="0.2">
      <c r="R5802" s="49">
        <v>5800</v>
      </c>
      <c r="S5802" s="59">
        <f ca="1">Dashboard!B$8* Dashboard!$F$4+Dashboard!B$10*SQRT(Dashboard!$F$4) * _xlfn.NORM.S.INV(RAND())</f>
        <v>6.0266691297501621E-3</v>
      </c>
      <c r="T5802" s="59">
        <f ca="1">Dashboard!C$8* Dashboard!$F$4+Dashboard!C$10*SQRT(Dashboard!$F$4) * _xlfn.NORM.S.INV(RAND())</f>
        <v>2.2604048322474635E-2</v>
      </c>
      <c r="U5802" s="59">
        <f ca="1">Dashboard!D$8* Dashboard!$F$4+Dashboard!D$10*SQRT(Dashboard!$F$4) * _xlfn.NORM.S.INV(RAND())</f>
        <v>-8.5057931692489597E-3</v>
      </c>
    </row>
    <row r="5803" spans="18:21" x14ac:dyDescent="0.2">
      <c r="R5803" s="49">
        <v>5801</v>
      </c>
      <c r="S5803" s="59">
        <f ca="1">Dashboard!B$8* Dashboard!$F$4+Dashboard!B$10*SQRT(Dashboard!$F$4) * _xlfn.NORM.S.INV(RAND())</f>
        <v>-7.3644271602998773E-3</v>
      </c>
      <c r="T5803" s="59">
        <f ca="1">Dashboard!C$8* Dashboard!$F$4+Dashboard!C$10*SQRT(Dashboard!$F$4) * _xlfn.NORM.S.INV(RAND())</f>
        <v>-5.1776974590744609E-2</v>
      </c>
      <c r="U5803" s="59">
        <f ca="1">Dashboard!D$8* Dashboard!$F$4+Dashboard!D$10*SQRT(Dashboard!$F$4) * _xlfn.NORM.S.INV(RAND())</f>
        <v>-1.517321342885109E-2</v>
      </c>
    </row>
    <row r="5804" spans="18:21" x14ac:dyDescent="0.2">
      <c r="R5804" s="49">
        <v>5802</v>
      </c>
      <c r="S5804" s="59">
        <f ca="1">Dashboard!B$8* Dashboard!$F$4+Dashboard!B$10*SQRT(Dashboard!$F$4) * _xlfn.NORM.S.INV(RAND())</f>
        <v>-2.7908287262923638E-2</v>
      </c>
      <c r="T5804" s="59">
        <f ca="1">Dashboard!C$8* Dashboard!$F$4+Dashboard!C$10*SQRT(Dashboard!$F$4) * _xlfn.NORM.S.INV(RAND())</f>
        <v>2.7104861531465643E-2</v>
      </c>
      <c r="U5804" s="59">
        <f ca="1">Dashboard!D$8* Dashboard!$F$4+Dashboard!D$10*SQRT(Dashboard!$F$4) * _xlfn.NORM.S.INV(RAND())</f>
        <v>-3.4707412065304649E-3</v>
      </c>
    </row>
    <row r="5805" spans="18:21" x14ac:dyDescent="0.2">
      <c r="R5805" s="49">
        <v>5803</v>
      </c>
      <c r="S5805" s="59">
        <f ca="1">Dashboard!B$8* Dashboard!$F$4+Dashboard!B$10*SQRT(Dashboard!$F$4) * _xlfn.NORM.S.INV(RAND())</f>
        <v>-4.8905612090798765E-2</v>
      </c>
      <c r="T5805" s="59">
        <f ca="1">Dashboard!C$8* Dashboard!$F$4+Dashboard!C$10*SQRT(Dashboard!$F$4) * _xlfn.NORM.S.INV(RAND())</f>
        <v>3.0915488254321763E-2</v>
      </c>
      <c r="U5805" s="59">
        <f ca="1">Dashboard!D$8* Dashboard!$F$4+Dashboard!D$10*SQRT(Dashboard!$F$4) * _xlfn.NORM.S.INV(RAND())</f>
        <v>-4.7635834690938329E-2</v>
      </c>
    </row>
    <row r="5806" spans="18:21" x14ac:dyDescent="0.2">
      <c r="R5806" s="49">
        <v>5804</v>
      </c>
      <c r="S5806" s="59">
        <f ca="1">Dashboard!B$8* Dashboard!$F$4+Dashboard!B$10*SQRT(Dashboard!$F$4) * _xlfn.NORM.S.INV(RAND())</f>
        <v>2.7813689743143584E-2</v>
      </c>
      <c r="T5806" s="59">
        <f ca="1">Dashboard!C$8* Dashboard!$F$4+Dashboard!C$10*SQRT(Dashboard!$F$4) * _xlfn.NORM.S.INV(RAND())</f>
        <v>4.4656034021356435E-2</v>
      </c>
      <c r="U5806" s="59">
        <f ca="1">Dashboard!D$8* Dashboard!$F$4+Dashboard!D$10*SQRT(Dashboard!$F$4) * _xlfn.NORM.S.INV(RAND())</f>
        <v>-9.7678528154305829E-3</v>
      </c>
    </row>
    <row r="5807" spans="18:21" x14ac:dyDescent="0.2">
      <c r="R5807" s="49">
        <v>5805</v>
      </c>
      <c r="S5807" s="59">
        <f ca="1">Dashboard!B$8* Dashboard!$F$4+Dashboard!B$10*SQRT(Dashboard!$F$4) * _xlfn.NORM.S.INV(RAND())</f>
        <v>2.0181820219419305E-2</v>
      </c>
      <c r="T5807" s="59">
        <f ca="1">Dashboard!C$8* Dashboard!$F$4+Dashboard!C$10*SQRT(Dashboard!$F$4) * _xlfn.NORM.S.INV(RAND())</f>
        <v>7.8316225648855375E-2</v>
      </c>
      <c r="U5807" s="59">
        <f ca="1">Dashboard!D$8* Dashboard!$F$4+Dashboard!D$10*SQRT(Dashboard!$F$4) * _xlfn.NORM.S.INV(RAND())</f>
        <v>2.5819060301981618E-2</v>
      </c>
    </row>
    <row r="5808" spans="18:21" x14ac:dyDescent="0.2">
      <c r="R5808" s="49">
        <v>5806</v>
      </c>
      <c r="S5808" s="59">
        <f ca="1">Dashboard!B$8* Dashboard!$F$4+Dashboard!B$10*SQRT(Dashboard!$F$4) * _xlfn.NORM.S.INV(RAND())</f>
        <v>6.9313021092293134E-3</v>
      </c>
      <c r="T5808" s="59">
        <f ca="1">Dashboard!C$8* Dashboard!$F$4+Dashboard!C$10*SQRT(Dashboard!$F$4) * _xlfn.NORM.S.INV(RAND())</f>
        <v>-1.9150823821029072E-2</v>
      </c>
      <c r="U5808" s="59">
        <f ca="1">Dashboard!D$8* Dashboard!$F$4+Dashboard!D$10*SQRT(Dashboard!$F$4) * _xlfn.NORM.S.INV(RAND())</f>
        <v>7.7953095388546625E-2</v>
      </c>
    </row>
    <row r="5809" spans="18:21" x14ac:dyDescent="0.2">
      <c r="R5809" s="49">
        <v>5807</v>
      </c>
      <c r="S5809" s="59">
        <f ca="1">Dashboard!B$8* Dashboard!$F$4+Dashboard!B$10*SQRT(Dashboard!$F$4) * _xlfn.NORM.S.INV(RAND())</f>
        <v>-3.1751500226758077E-3</v>
      </c>
      <c r="T5809" s="59">
        <f ca="1">Dashboard!C$8* Dashboard!$F$4+Dashboard!C$10*SQRT(Dashboard!$F$4) * _xlfn.NORM.S.INV(RAND())</f>
        <v>3.0802638227597472E-2</v>
      </c>
      <c r="U5809" s="59">
        <f ca="1">Dashboard!D$8* Dashboard!$F$4+Dashboard!D$10*SQRT(Dashboard!$F$4) * _xlfn.NORM.S.INV(RAND())</f>
        <v>1.435157044008023E-3</v>
      </c>
    </row>
    <row r="5810" spans="18:21" x14ac:dyDescent="0.2">
      <c r="R5810" s="49">
        <v>5808</v>
      </c>
      <c r="S5810" s="59">
        <f ca="1">Dashboard!B$8* Dashboard!$F$4+Dashboard!B$10*SQRT(Dashboard!$F$4) * _xlfn.NORM.S.INV(RAND())</f>
        <v>-7.4957177870843009E-2</v>
      </c>
      <c r="T5810" s="59">
        <f ca="1">Dashboard!C$8* Dashboard!$F$4+Dashboard!C$10*SQRT(Dashboard!$F$4) * _xlfn.NORM.S.INV(RAND())</f>
        <v>2.0027004395130062E-2</v>
      </c>
      <c r="U5810" s="59">
        <f ca="1">Dashboard!D$8* Dashboard!$F$4+Dashboard!D$10*SQRT(Dashboard!$F$4) * _xlfn.NORM.S.INV(RAND())</f>
        <v>2.0242462173047465E-2</v>
      </c>
    </row>
    <row r="5811" spans="18:21" x14ac:dyDescent="0.2">
      <c r="R5811" s="49">
        <v>5809</v>
      </c>
      <c r="S5811" s="59">
        <f ca="1">Dashboard!B$8* Dashboard!$F$4+Dashboard!B$10*SQRT(Dashboard!$F$4) * _xlfn.NORM.S.INV(RAND())</f>
        <v>-4.5022947326029315E-2</v>
      </c>
      <c r="T5811" s="59">
        <f ca="1">Dashboard!C$8* Dashboard!$F$4+Dashboard!C$10*SQRT(Dashboard!$F$4) * _xlfn.NORM.S.INV(RAND())</f>
        <v>-8.9425793979284185E-3</v>
      </c>
      <c r="U5811" s="59">
        <f ca="1">Dashboard!D$8* Dashboard!$F$4+Dashboard!D$10*SQRT(Dashboard!$F$4) * _xlfn.NORM.S.INV(RAND())</f>
        <v>-2.435573500262778E-2</v>
      </c>
    </row>
    <row r="5812" spans="18:21" x14ac:dyDescent="0.2">
      <c r="R5812" s="49">
        <v>5810</v>
      </c>
      <c r="S5812" s="59">
        <f ca="1">Dashboard!B$8* Dashboard!$F$4+Dashboard!B$10*SQRT(Dashboard!$F$4) * _xlfn.NORM.S.INV(RAND())</f>
        <v>-5.3787159941914867E-2</v>
      </c>
      <c r="T5812" s="59">
        <f ca="1">Dashboard!C$8* Dashboard!$F$4+Dashboard!C$10*SQRT(Dashboard!$F$4) * _xlfn.NORM.S.INV(RAND())</f>
        <v>2.1091663153890123E-2</v>
      </c>
      <c r="U5812" s="59">
        <f ca="1">Dashboard!D$8* Dashboard!$F$4+Dashboard!D$10*SQRT(Dashboard!$F$4) * _xlfn.NORM.S.INV(RAND())</f>
        <v>2.2928462231831055E-2</v>
      </c>
    </row>
    <row r="5813" spans="18:21" x14ac:dyDescent="0.2">
      <c r="R5813" s="49">
        <v>5811</v>
      </c>
      <c r="S5813" s="59">
        <f ca="1">Dashboard!B$8* Dashboard!$F$4+Dashboard!B$10*SQRT(Dashboard!$F$4) * _xlfn.NORM.S.INV(RAND())</f>
        <v>-3.6485879269322986E-2</v>
      </c>
      <c r="T5813" s="59">
        <f ca="1">Dashboard!C$8* Dashboard!$F$4+Dashboard!C$10*SQRT(Dashboard!$F$4) * _xlfn.NORM.S.INV(RAND())</f>
        <v>3.0533449055223101E-2</v>
      </c>
      <c r="U5813" s="59">
        <f ca="1">Dashboard!D$8* Dashboard!$F$4+Dashboard!D$10*SQRT(Dashboard!$F$4) * _xlfn.NORM.S.INV(RAND())</f>
        <v>-2.5522546046396997E-3</v>
      </c>
    </row>
    <row r="5814" spans="18:21" x14ac:dyDescent="0.2">
      <c r="R5814" s="49">
        <v>5812</v>
      </c>
      <c r="S5814" s="59">
        <f ca="1">Dashboard!B$8* Dashboard!$F$4+Dashboard!B$10*SQRT(Dashboard!$F$4) * _xlfn.NORM.S.INV(RAND())</f>
        <v>3.0092007805411332E-2</v>
      </c>
      <c r="T5814" s="59">
        <f ca="1">Dashboard!C$8* Dashboard!$F$4+Dashboard!C$10*SQRT(Dashboard!$F$4) * _xlfn.NORM.S.INV(RAND())</f>
        <v>-2.8455472070494221E-2</v>
      </c>
      <c r="U5814" s="59">
        <f ca="1">Dashboard!D$8* Dashboard!$F$4+Dashboard!D$10*SQRT(Dashboard!$F$4) * _xlfn.NORM.S.INV(RAND())</f>
        <v>-3.8012255642588422E-2</v>
      </c>
    </row>
    <row r="5815" spans="18:21" x14ac:dyDescent="0.2">
      <c r="R5815" s="49">
        <v>5813</v>
      </c>
      <c r="S5815" s="59">
        <f ca="1">Dashboard!B$8* Dashboard!$F$4+Dashboard!B$10*SQRT(Dashboard!$F$4) * _xlfn.NORM.S.INV(RAND())</f>
        <v>3.9134712677885194E-2</v>
      </c>
      <c r="T5815" s="59">
        <f ca="1">Dashboard!C$8* Dashboard!$F$4+Dashboard!C$10*SQRT(Dashboard!$F$4) * _xlfn.NORM.S.INV(RAND())</f>
        <v>4.4912790420849689E-2</v>
      </c>
      <c r="U5815" s="59">
        <f ca="1">Dashboard!D$8* Dashboard!$F$4+Dashboard!D$10*SQRT(Dashboard!$F$4) * _xlfn.NORM.S.INV(RAND())</f>
        <v>-1.6224791969080377E-2</v>
      </c>
    </row>
    <row r="5816" spans="18:21" x14ac:dyDescent="0.2">
      <c r="R5816" s="49">
        <v>5814</v>
      </c>
      <c r="S5816" s="59">
        <f ca="1">Dashboard!B$8* Dashboard!$F$4+Dashboard!B$10*SQRT(Dashboard!$F$4) * _xlfn.NORM.S.INV(RAND())</f>
        <v>-5.1494042825730696E-2</v>
      </c>
      <c r="T5816" s="59">
        <f ca="1">Dashboard!C$8* Dashboard!$F$4+Dashboard!C$10*SQRT(Dashboard!$F$4) * _xlfn.NORM.S.INV(RAND())</f>
        <v>1.3652850400981593E-2</v>
      </c>
      <c r="U5816" s="59">
        <f ca="1">Dashboard!D$8* Dashboard!$F$4+Dashboard!D$10*SQRT(Dashboard!$F$4) * _xlfn.NORM.S.INV(RAND())</f>
        <v>2.880522747202675E-2</v>
      </c>
    </row>
    <row r="5817" spans="18:21" x14ac:dyDescent="0.2">
      <c r="R5817" s="49">
        <v>5815</v>
      </c>
      <c r="S5817" s="59">
        <f ca="1">Dashboard!B$8* Dashboard!$F$4+Dashboard!B$10*SQRT(Dashboard!$F$4) * _xlfn.NORM.S.INV(RAND())</f>
        <v>-1.7204006396441644E-2</v>
      </c>
      <c r="T5817" s="59">
        <f ca="1">Dashboard!C$8* Dashboard!$F$4+Dashboard!C$10*SQRT(Dashboard!$F$4) * _xlfn.NORM.S.INV(RAND())</f>
        <v>2.4078020777531933E-3</v>
      </c>
      <c r="U5817" s="59">
        <f ca="1">Dashboard!D$8* Dashboard!$F$4+Dashboard!D$10*SQRT(Dashboard!$F$4) * _xlfn.NORM.S.INV(RAND())</f>
        <v>3.6680283241954936E-2</v>
      </c>
    </row>
    <row r="5818" spans="18:21" x14ac:dyDescent="0.2">
      <c r="R5818" s="49">
        <v>5816</v>
      </c>
      <c r="S5818" s="59">
        <f ca="1">Dashboard!B$8* Dashboard!$F$4+Dashboard!B$10*SQRT(Dashboard!$F$4) * _xlfn.NORM.S.INV(RAND())</f>
        <v>-1.2814015557080217E-2</v>
      </c>
      <c r="T5818" s="59">
        <f ca="1">Dashboard!C$8* Dashboard!$F$4+Dashboard!C$10*SQRT(Dashboard!$F$4) * _xlfn.NORM.S.INV(RAND())</f>
        <v>-5.4828929308682529E-2</v>
      </c>
      <c r="U5818" s="59">
        <f ca="1">Dashboard!D$8* Dashboard!$F$4+Dashboard!D$10*SQRT(Dashboard!$F$4) * _xlfn.NORM.S.INV(RAND())</f>
        <v>8.2810716926314237E-3</v>
      </c>
    </row>
    <row r="5819" spans="18:21" x14ac:dyDescent="0.2">
      <c r="R5819" s="49">
        <v>5817</v>
      </c>
      <c r="S5819" s="59">
        <f ca="1">Dashboard!B$8* Dashboard!$F$4+Dashboard!B$10*SQRT(Dashboard!$F$4) * _xlfn.NORM.S.INV(RAND())</f>
        <v>-3.753134127459426E-2</v>
      </c>
      <c r="T5819" s="59">
        <f ca="1">Dashboard!C$8* Dashboard!$F$4+Dashboard!C$10*SQRT(Dashboard!$F$4) * _xlfn.NORM.S.INV(RAND())</f>
        <v>-7.5379139047997154E-3</v>
      </c>
      <c r="U5819" s="59">
        <f ca="1">Dashboard!D$8* Dashboard!$F$4+Dashboard!D$10*SQRT(Dashboard!$F$4) * _xlfn.NORM.S.INV(RAND())</f>
        <v>6.516205348322876E-2</v>
      </c>
    </row>
    <row r="5820" spans="18:21" x14ac:dyDescent="0.2">
      <c r="R5820" s="49">
        <v>5818</v>
      </c>
      <c r="S5820" s="59">
        <f ca="1">Dashboard!B$8* Dashboard!$F$4+Dashboard!B$10*SQRT(Dashboard!$F$4) * _xlfn.NORM.S.INV(RAND())</f>
        <v>1.9651730863619161E-2</v>
      </c>
      <c r="T5820" s="59">
        <f ca="1">Dashboard!C$8* Dashboard!$F$4+Dashboard!C$10*SQRT(Dashboard!$F$4) * _xlfn.NORM.S.INV(RAND())</f>
        <v>1.4257761035767563E-2</v>
      </c>
      <c r="U5820" s="59">
        <f ca="1">Dashboard!D$8* Dashboard!$F$4+Dashboard!D$10*SQRT(Dashboard!$F$4) * _xlfn.NORM.S.INV(RAND())</f>
        <v>-5.6025675802914851E-3</v>
      </c>
    </row>
    <row r="5821" spans="18:21" x14ac:dyDescent="0.2">
      <c r="R5821" s="49">
        <v>5819</v>
      </c>
      <c r="S5821" s="59">
        <f ca="1">Dashboard!B$8* Dashboard!$F$4+Dashboard!B$10*SQRT(Dashboard!$F$4) * _xlfn.NORM.S.INV(RAND())</f>
        <v>4.6737930719328205E-2</v>
      </c>
      <c r="T5821" s="59">
        <f ca="1">Dashboard!C$8* Dashboard!$F$4+Dashboard!C$10*SQRT(Dashboard!$F$4) * _xlfn.NORM.S.INV(RAND())</f>
        <v>-1.3038992632314287E-2</v>
      </c>
      <c r="U5821" s="59">
        <f ca="1">Dashboard!D$8* Dashboard!$F$4+Dashboard!D$10*SQRT(Dashboard!$F$4) * _xlfn.NORM.S.INV(RAND())</f>
        <v>1.7851531891906382E-3</v>
      </c>
    </row>
    <row r="5822" spans="18:21" x14ac:dyDescent="0.2">
      <c r="R5822" s="49">
        <v>5820</v>
      </c>
      <c r="S5822" s="59">
        <f ca="1">Dashboard!B$8* Dashboard!$F$4+Dashboard!B$10*SQRT(Dashboard!$F$4) * _xlfn.NORM.S.INV(RAND())</f>
        <v>-4.6842201580281219E-2</v>
      </c>
      <c r="T5822" s="59">
        <f ca="1">Dashboard!C$8* Dashboard!$F$4+Dashboard!C$10*SQRT(Dashboard!$F$4) * _xlfn.NORM.S.INV(RAND())</f>
        <v>-6.8492708734050459E-2</v>
      </c>
      <c r="U5822" s="59">
        <f ca="1">Dashboard!D$8* Dashboard!$F$4+Dashboard!D$10*SQRT(Dashboard!$F$4) * _xlfn.NORM.S.INV(RAND())</f>
        <v>-1.9015622304688055E-2</v>
      </c>
    </row>
    <row r="5823" spans="18:21" x14ac:dyDescent="0.2">
      <c r="R5823" s="49">
        <v>5821</v>
      </c>
      <c r="S5823" s="59">
        <f ca="1">Dashboard!B$8* Dashboard!$F$4+Dashboard!B$10*SQRT(Dashboard!$F$4) * _xlfn.NORM.S.INV(RAND())</f>
        <v>1.8556232862682745E-3</v>
      </c>
      <c r="T5823" s="59">
        <f ca="1">Dashboard!C$8* Dashboard!$F$4+Dashboard!C$10*SQRT(Dashboard!$F$4) * _xlfn.NORM.S.INV(RAND())</f>
        <v>-2.5582655063162617E-2</v>
      </c>
      <c r="U5823" s="59">
        <f ca="1">Dashboard!D$8* Dashboard!$F$4+Dashboard!D$10*SQRT(Dashboard!$F$4) * _xlfn.NORM.S.INV(RAND())</f>
        <v>8.9512888953893685E-3</v>
      </c>
    </row>
    <row r="5824" spans="18:21" x14ac:dyDescent="0.2">
      <c r="R5824" s="49">
        <v>5822</v>
      </c>
      <c r="S5824" s="59">
        <f ca="1">Dashboard!B$8* Dashboard!$F$4+Dashboard!B$10*SQRT(Dashboard!$F$4) * _xlfn.NORM.S.INV(RAND())</f>
        <v>4.7124614278842729E-2</v>
      </c>
      <c r="T5824" s="59">
        <f ca="1">Dashboard!C$8* Dashboard!$F$4+Dashboard!C$10*SQRT(Dashboard!$F$4) * _xlfn.NORM.S.INV(RAND())</f>
        <v>1.117140311398712E-2</v>
      </c>
      <c r="U5824" s="59">
        <f ca="1">Dashboard!D$8* Dashboard!$F$4+Dashboard!D$10*SQRT(Dashboard!$F$4) * _xlfn.NORM.S.INV(RAND())</f>
        <v>-2.4663267071387735E-2</v>
      </c>
    </row>
    <row r="5825" spans="18:21" x14ac:dyDescent="0.2">
      <c r="R5825" s="49">
        <v>5823</v>
      </c>
      <c r="S5825" s="59">
        <f ca="1">Dashboard!B$8* Dashboard!$F$4+Dashboard!B$10*SQRT(Dashboard!$F$4) * _xlfn.NORM.S.INV(RAND())</f>
        <v>1.2171496329217839E-2</v>
      </c>
      <c r="T5825" s="59">
        <f ca="1">Dashboard!C$8* Dashboard!$F$4+Dashboard!C$10*SQRT(Dashboard!$F$4) * _xlfn.NORM.S.INV(RAND())</f>
        <v>-2.4212474184548635E-2</v>
      </c>
      <c r="U5825" s="59">
        <f ca="1">Dashboard!D$8* Dashboard!$F$4+Dashboard!D$10*SQRT(Dashboard!$F$4) * _xlfn.NORM.S.INV(RAND())</f>
        <v>-2.6746494160599626E-2</v>
      </c>
    </row>
    <row r="5826" spans="18:21" x14ac:dyDescent="0.2">
      <c r="R5826" s="49">
        <v>5824</v>
      </c>
      <c r="S5826" s="59">
        <f ca="1">Dashboard!B$8* Dashboard!$F$4+Dashboard!B$10*SQRT(Dashboard!$F$4) * _xlfn.NORM.S.INV(RAND())</f>
        <v>-1.4529313343448752E-2</v>
      </c>
      <c r="T5826" s="59">
        <f ca="1">Dashboard!C$8* Dashboard!$F$4+Dashboard!C$10*SQRT(Dashboard!$F$4) * _xlfn.NORM.S.INV(RAND())</f>
        <v>-3.0158871080105228E-2</v>
      </c>
      <c r="U5826" s="59">
        <f ca="1">Dashboard!D$8* Dashboard!$F$4+Dashboard!D$10*SQRT(Dashboard!$F$4) * _xlfn.NORM.S.INV(RAND())</f>
        <v>-3.1335747698953718E-2</v>
      </c>
    </row>
    <row r="5827" spans="18:21" x14ac:dyDescent="0.2">
      <c r="R5827" s="49">
        <v>5825</v>
      </c>
      <c r="S5827" s="59">
        <f ca="1">Dashboard!B$8* Dashboard!$F$4+Dashboard!B$10*SQRT(Dashboard!$F$4) * _xlfn.NORM.S.INV(RAND())</f>
        <v>-2.0621201178747495E-2</v>
      </c>
      <c r="T5827" s="59">
        <f ca="1">Dashboard!C$8* Dashboard!$F$4+Dashboard!C$10*SQRT(Dashboard!$F$4) * _xlfn.NORM.S.INV(RAND())</f>
        <v>4.3806180489954979E-3</v>
      </c>
      <c r="U5827" s="59">
        <f ca="1">Dashboard!D$8* Dashboard!$F$4+Dashboard!D$10*SQRT(Dashboard!$F$4) * _xlfn.NORM.S.INV(RAND())</f>
        <v>3.4870794181792765E-2</v>
      </c>
    </row>
    <row r="5828" spans="18:21" x14ac:dyDescent="0.2">
      <c r="R5828" s="49">
        <v>5826</v>
      </c>
      <c r="S5828" s="59">
        <f ca="1">Dashboard!B$8* Dashboard!$F$4+Dashboard!B$10*SQRT(Dashboard!$F$4) * _xlfn.NORM.S.INV(RAND())</f>
        <v>1.4590381058617504E-2</v>
      </c>
      <c r="T5828" s="59">
        <f ca="1">Dashboard!C$8* Dashboard!$F$4+Dashboard!C$10*SQRT(Dashboard!$F$4) * _xlfn.NORM.S.INV(RAND())</f>
        <v>4.2135528231910017E-2</v>
      </c>
      <c r="U5828" s="59">
        <f ca="1">Dashboard!D$8* Dashboard!$F$4+Dashboard!D$10*SQRT(Dashboard!$F$4) * _xlfn.NORM.S.INV(RAND())</f>
        <v>-6.3801908952280523E-2</v>
      </c>
    </row>
    <row r="5829" spans="18:21" x14ac:dyDescent="0.2">
      <c r="R5829" s="49">
        <v>5827</v>
      </c>
      <c r="S5829" s="59">
        <f ca="1">Dashboard!B$8* Dashboard!$F$4+Dashboard!B$10*SQRT(Dashboard!$F$4) * _xlfn.NORM.S.INV(RAND())</f>
        <v>-2.2917475246937442E-2</v>
      </c>
      <c r="T5829" s="59">
        <f ca="1">Dashboard!C$8* Dashboard!$F$4+Dashboard!C$10*SQRT(Dashboard!$F$4) * _xlfn.NORM.S.INV(RAND())</f>
        <v>3.7894952832249147E-2</v>
      </c>
      <c r="U5829" s="59">
        <f ca="1">Dashboard!D$8* Dashboard!$F$4+Dashboard!D$10*SQRT(Dashboard!$F$4) * _xlfn.NORM.S.INV(RAND())</f>
        <v>5.8222080924169913E-3</v>
      </c>
    </row>
    <row r="5830" spans="18:21" x14ac:dyDescent="0.2">
      <c r="R5830" s="49">
        <v>5828</v>
      </c>
      <c r="S5830" s="59">
        <f ca="1">Dashboard!B$8* Dashboard!$F$4+Dashboard!B$10*SQRT(Dashboard!$F$4) * _xlfn.NORM.S.INV(RAND())</f>
        <v>2.9451465324684283E-2</v>
      </c>
      <c r="T5830" s="59">
        <f ca="1">Dashboard!C$8* Dashboard!$F$4+Dashboard!C$10*SQRT(Dashboard!$F$4) * _xlfn.NORM.S.INV(RAND())</f>
        <v>-2.2408806760714422E-2</v>
      </c>
      <c r="U5830" s="59">
        <f ca="1">Dashboard!D$8* Dashboard!$F$4+Dashboard!D$10*SQRT(Dashboard!$F$4) * _xlfn.NORM.S.INV(RAND())</f>
        <v>1.959670199435889E-3</v>
      </c>
    </row>
    <row r="5831" spans="18:21" x14ac:dyDescent="0.2">
      <c r="R5831" s="49">
        <v>5829</v>
      </c>
      <c r="S5831" s="59">
        <f ca="1">Dashboard!B$8* Dashboard!$F$4+Dashboard!B$10*SQRT(Dashboard!$F$4) * _xlfn.NORM.S.INV(RAND())</f>
        <v>1.8566150307365026E-2</v>
      </c>
      <c r="T5831" s="59">
        <f ca="1">Dashboard!C$8* Dashboard!$F$4+Dashboard!C$10*SQRT(Dashboard!$F$4) * _xlfn.NORM.S.INV(RAND())</f>
        <v>-2.2874235807082494E-2</v>
      </c>
      <c r="U5831" s="59">
        <f ca="1">Dashboard!D$8* Dashboard!$F$4+Dashboard!D$10*SQRT(Dashboard!$F$4) * _xlfn.NORM.S.INV(RAND())</f>
        <v>1.1742008665844334E-2</v>
      </c>
    </row>
    <row r="5832" spans="18:21" x14ac:dyDescent="0.2">
      <c r="R5832" s="49">
        <v>5830</v>
      </c>
      <c r="S5832" s="59">
        <f ca="1">Dashboard!B$8* Dashboard!$F$4+Dashboard!B$10*SQRT(Dashboard!$F$4) * _xlfn.NORM.S.INV(RAND())</f>
        <v>-9.5944907822316065E-3</v>
      </c>
      <c r="T5832" s="59">
        <f ca="1">Dashboard!C$8* Dashboard!$F$4+Dashboard!C$10*SQRT(Dashboard!$F$4) * _xlfn.NORM.S.INV(RAND())</f>
        <v>2.2881864564596465E-2</v>
      </c>
      <c r="U5832" s="59">
        <f ca="1">Dashboard!D$8* Dashboard!$F$4+Dashboard!D$10*SQRT(Dashboard!$F$4) * _xlfn.NORM.S.INV(RAND())</f>
        <v>-3.9768524036904625E-2</v>
      </c>
    </row>
    <row r="5833" spans="18:21" x14ac:dyDescent="0.2">
      <c r="R5833" s="49">
        <v>5831</v>
      </c>
      <c r="S5833" s="59">
        <f ca="1">Dashboard!B$8* Dashboard!$F$4+Dashboard!B$10*SQRT(Dashboard!$F$4) * _xlfn.NORM.S.INV(RAND())</f>
        <v>2.1192561632024272E-2</v>
      </c>
      <c r="T5833" s="59">
        <f ca="1">Dashboard!C$8* Dashboard!$F$4+Dashboard!C$10*SQRT(Dashboard!$F$4) * _xlfn.NORM.S.INV(RAND())</f>
        <v>4.0137746262964236E-2</v>
      </c>
      <c r="U5833" s="59">
        <f ca="1">Dashboard!D$8* Dashboard!$F$4+Dashboard!D$10*SQRT(Dashboard!$F$4) * _xlfn.NORM.S.INV(RAND())</f>
        <v>1.8935912684314552E-2</v>
      </c>
    </row>
    <row r="5834" spans="18:21" x14ac:dyDescent="0.2">
      <c r="R5834" s="49">
        <v>5832</v>
      </c>
      <c r="S5834" s="59">
        <f ca="1">Dashboard!B$8* Dashboard!$F$4+Dashboard!B$10*SQRT(Dashboard!$F$4) * _xlfn.NORM.S.INV(RAND())</f>
        <v>-3.5109444038821584E-3</v>
      </c>
      <c r="T5834" s="59">
        <f ca="1">Dashboard!C$8* Dashboard!$F$4+Dashboard!C$10*SQRT(Dashboard!$F$4) * _xlfn.NORM.S.INV(RAND())</f>
        <v>5.0951975174385357E-2</v>
      </c>
      <c r="U5834" s="59">
        <f ca="1">Dashboard!D$8* Dashboard!$F$4+Dashboard!D$10*SQRT(Dashboard!$F$4) * _xlfn.NORM.S.INV(RAND())</f>
        <v>-3.5433392714736084E-2</v>
      </c>
    </row>
    <row r="5835" spans="18:21" x14ac:dyDescent="0.2">
      <c r="R5835" s="49">
        <v>5833</v>
      </c>
      <c r="S5835" s="59">
        <f ca="1">Dashboard!B$8* Dashboard!$F$4+Dashboard!B$10*SQRT(Dashboard!$F$4) * _xlfn.NORM.S.INV(RAND())</f>
        <v>-3.0182644123406197E-2</v>
      </c>
      <c r="T5835" s="59">
        <f ca="1">Dashboard!C$8* Dashboard!$F$4+Dashboard!C$10*SQRT(Dashboard!$F$4) * _xlfn.NORM.S.INV(RAND())</f>
        <v>-1.0431793840719478E-2</v>
      </c>
      <c r="U5835" s="59">
        <f ca="1">Dashboard!D$8* Dashboard!$F$4+Dashboard!D$10*SQRT(Dashboard!$F$4) * _xlfn.NORM.S.INV(RAND())</f>
        <v>1.5797360457427721E-2</v>
      </c>
    </row>
    <row r="5836" spans="18:21" x14ac:dyDescent="0.2">
      <c r="R5836" s="49">
        <v>5834</v>
      </c>
      <c r="S5836" s="59">
        <f ca="1">Dashboard!B$8* Dashboard!$F$4+Dashboard!B$10*SQRT(Dashboard!$F$4) * _xlfn.NORM.S.INV(RAND())</f>
        <v>-7.2040892002642451E-2</v>
      </c>
      <c r="T5836" s="59">
        <f ca="1">Dashboard!C$8* Dashboard!$F$4+Dashboard!C$10*SQRT(Dashboard!$F$4) * _xlfn.NORM.S.INV(RAND())</f>
        <v>5.3447906956943046E-3</v>
      </c>
      <c r="U5836" s="59">
        <f ca="1">Dashboard!D$8* Dashboard!$F$4+Dashboard!D$10*SQRT(Dashboard!$F$4) * _xlfn.NORM.S.INV(RAND())</f>
        <v>6.201554223021203E-2</v>
      </c>
    </row>
    <row r="5837" spans="18:21" x14ac:dyDescent="0.2">
      <c r="R5837" s="49">
        <v>5835</v>
      </c>
      <c r="S5837" s="59">
        <f ca="1">Dashboard!B$8* Dashboard!$F$4+Dashboard!B$10*SQRT(Dashboard!$F$4) * _xlfn.NORM.S.INV(RAND())</f>
        <v>-4.7314052042449324E-2</v>
      </c>
      <c r="T5837" s="59">
        <f ca="1">Dashboard!C$8* Dashboard!$F$4+Dashboard!C$10*SQRT(Dashboard!$F$4) * _xlfn.NORM.S.INV(RAND())</f>
        <v>1.6973948783278483E-2</v>
      </c>
      <c r="U5837" s="59">
        <f ca="1">Dashboard!D$8* Dashboard!$F$4+Dashboard!D$10*SQRT(Dashboard!$F$4) * _xlfn.NORM.S.INV(RAND())</f>
        <v>4.5362725193509928E-3</v>
      </c>
    </row>
    <row r="5838" spans="18:21" x14ac:dyDescent="0.2">
      <c r="R5838" s="49">
        <v>5836</v>
      </c>
      <c r="S5838" s="59">
        <f ca="1">Dashboard!B$8* Dashboard!$F$4+Dashboard!B$10*SQRT(Dashboard!$F$4) * _xlfn.NORM.S.INV(RAND())</f>
        <v>2.9829216180017874E-2</v>
      </c>
      <c r="T5838" s="59">
        <f ca="1">Dashboard!C$8* Dashboard!$F$4+Dashboard!C$10*SQRT(Dashboard!$F$4) * _xlfn.NORM.S.INV(RAND())</f>
        <v>8.7157742768575464E-3</v>
      </c>
      <c r="U5838" s="59">
        <f ca="1">Dashboard!D$8* Dashboard!$F$4+Dashboard!D$10*SQRT(Dashboard!$F$4) * _xlfn.NORM.S.INV(RAND())</f>
        <v>-4.8728614865551571E-4</v>
      </c>
    </row>
    <row r="5839" spans="18:21" x14ac:dyDescent="0.2">
      <c r="R5839" s="49">
        <v>5837</v>
      </c>
      <c r="S5839" s="59">
        <f ca="1">Dashboard!B$8* Dashboard!$F$4+Dashboard!B$10*SQRT(Dashboard!$F$4) * _xlfn.NORM.S.INV(RAND())</f>
        <v>-2.0229039067643971E-2</v>
      </c>
      <c r="T5839" s="59">
        <f ca="1">Dashboard!C$8* Dashboard!$F$4+Dashboard!C$10*SQRT(Dashboard!$F$4) * _xlfn.NORM.S.INV(RAND())</f>
        <v>1.3545653576627133E-2</v>
      </c>
      <c r="U5839" s="59">
        <f ca="1">Dashboard!D$8* Dashboard!$F$4+Dashboard!D$10*SQRT(Dashboard!$F$4) * _xlfn.NORM.S.INV(RAND())</f>
        <v>-6.7913710738643565E-3</v>
      </c>
    </row>
    <row r="5840" spans="18:21" x14ac:dyDescent="0.2">
      <c r="R5840" s="49">
        <v>5838</v>
      </c>
      <c r="S5840" s="59">
        <f ca="1">Dashboard!B$8* Dashboard!$F$4+Dashboard!B$10*SQRT(Dashboard!$F$4) * _xlfn.NORM.S.INV(RAND())</f>
        <v>-6.5569531966787858E-2</v>
      </c>
      <c r="T5840" s="59">
        <f ca="1">Dashboard!C$8* Dashboard!$F$4+Dashboard!C$10*SQRT(Dashboard!$F$4) * _xlfn.NORM.S.INV(RAND())</f>
        <v>7.6070433323561018E-3</v>
      </c>
      <c r="U5840" s="59">
        <f ca="1">Dashboard!D$8* Dashboard!$F$4+Dashboard!D$10*SQRT(Dashboard!$F$4) * _xlfn.NORM.S.INV(RAND())</f>
        <v>-6.1092277802516581E-2</v>
      </c>
    </row>
    <row r="5841" spans="18:21" x14ac:dyDescent="0.2">
      <c r="R5841" s="49">
        <v>5839</v>
      </c>
      <c r="S5841" s="59">
        <f ca="1">Dashboard!B$8* Dashboard!$F$4+Dashboard!B$10*SQRT(Dashboard!$F$4) * _xlfn.NORM.S.INV(RAND())</f>
        <v>-1.8666289320157549E-2</v>
      </c>
      <c r="T5841" s="59">
        <f ca="1">Dashboard!C$8* Dashboard!$F$4+Dashboard!C$10*SQRT(Dashboard!$F$4) * _xlfn.NORM.S.INV(RAND())</f>
        <v>3.0460338475537734E-2</v>
      </c>
      <c r="U5841" s="59">
        <f ca="1">Dashboard!D$8* Dashboard!$F$4+Dashboard!D$10*SQRT(Dashboard!$F$4) * _xlfn.NORM.S.INV(RAND())</f>
        <v>-6.7627259264359954E-3</v>
      </c>
    </row>
    <row r="5842" spans="18:21" x14ac:dyDescent="0.2">
      <c r="R5842" s="49">
        <v>5840</v>
      </c>
      <c r="S5842" s="59">
        <f ca="1">Dashboard!B$8* Dashboard!$F$4+Dashboard!B$10*SQRT(Dashboard!$F$4) * _xlfn.NORM.S.INV(RAND())</f>
        <v>2.265341622577248E-2</v>
      </c>
      <c r="T5842" s="59">
        <f ca="1">Dashboard!C$8* Dashboard!$F$4+Dashboard!C$10*SQRT(Dashboard!$F$4) * _xlfn.NORM.S.INV(RAND())</f>
        <v>-1.5131132953544651E-2</v>
      </c>
      <c r="U5842" s="59">
        <f ca="1">Dashboard!D$8* Dashboard!$F$4+Dashboard!D$10*SQRT(Dashboard!$F$4) * _xlfn.NORM.S.INV(RAND())</f>
        <v>-2.6196620020186471E-2</v>
      </c>
    </row>
    <row r="5843" spans="18:21" x14ac:dyDescent="0.2">
      <c r="R5843" s="49">
        <v>5841</v>
      </c>
      <c r="S5843" s="59">
        <f ca="1">Dashboard!B$8* Dashboard!$F$4+Dashboard!B$10*SQRT(Dashboard!$F$4) * _xlfn.NORM.S.INV(RAND())</f>
        <v>4.4062978318318145E-2</v>
      </c>
      <c r="T5843" s="59">
        <f ca="1">Dashboard!C$8* Dashboard!$F$4+Dashboard!C$10*SQRT(Dashboard!$F$4) * _xlfn.NORM.S.INV(RAND())</f>
        <v>-1.3257252364393703E-2</v>
      </c>
      <c r="U5843" s="59">
        <f ca="1">Dashboard!D$8* Dashboard!$F$4+Dashboard!D$10*SQRT(Dashboard!$F$4) * _xlfn.NORM.S.INV(RAND())</f>
        <v>-2.3700958345491133E-2</v>
      </c>
    </row>
    <row r="5844" spans="18:21" x14ac:dyDescent="0.2">
      <c r="R5844" s="49">
        <v>5842</v>
      </c>
      <c r="S5844" s="59">
        <f ca="1">Dashboard!B$8* Dashboard!$F$4+Dashboard!B$10*SQRT(Dashboard!$F$4) * _xlfn.NORM.S.INV(RAND())</f>
        <v>-7.298529900902068E-3</v>
      </c>
      <c r="T5844" s="59">
        <f ca="1">Dashboard!C$8* Dashboard!$F$4+Dashboard!C$10*SQRT(Dashboard!$F$4) * _xlfn.NORM.S.INV(RAND())</f>
        <v>-6.7689146732986529E-3</v>
      </c>
      <c r="U5844" s="59">
        <f ca="1">Dashboard!D$8* Dashboard!$F$4+Dashboard!D$10*SQRT(Dashboard!$F$4) * _xlfn.NORM.S.INV(RAND())</f>
        <v>4.3769843333941252E-2</v>
      </c>
    </row>
    <row r="5845" spans="18:21" x14ac:dyDescent="0.2">
      <c r="R5845" s="49">
        <v>5843</v>
      </c>
      <c r="S5845" s="59">
        <f ca="1">Dashboard!B$8* Dashboard!$F$4+Dashboard!B$10*SQRT(Dashboard!$F$4) * _xlfn.NORM.S.INV(RAND())</f>
        <v>-3.3114211715341492E-2</v>
      </c>
      <c r="T5845" s="59">
        <f ca="1">Dashboard!C$8* Dashboard!$F$4+Dashboard!C$10*SQRT(Dashboard!$F$4) * _xlfn.NORM.S.INV(RAND())</f>
        <v>6.7906750107625244E-2</v>
      </c>
      <c r="U5845" s="59">
        <f ca="1">Dashboard!D$8* Dashboard!$F$4+Dashboard!D$10*SQRT(Dashboard!$F$4) * _xlfn.NORM.S.INV(RAND())</f>
        <v>8.4708654721866155E-3</v>
      </c>
    </row>
    <row r="5846" spans="18:21" x14ac:dyDescent="0.2">
      <c r="R5846" s="49">
        <v>5844</v>
      </c>
      <c r="S5846" s="59">
        <f ca="1">Dashboard!B$8* Dashboard!$F$4+Dashboard!B$10*SQRT(Dashboard!$F$4) * _xlfn.NORM.S.INV(RAND())</f>
        <v>3.2517459421166704E-2</v>
      </c>
      <c r="T5846" s="59">
        <f ca="1">Dashboard!C$8* Dashboard!$F$4+Dashboard!C$10*SQRT(Dashboard!$F$4) * _xlfn.NORM.S.INV(RAND())</f>
        <v>-1.7574054128059246E-2</v>
      </c>
      <c r="U5846" s="59">
        <f ca="1">Dashboard!D$8* Dashboard!$F$4+Dashboard!D$10*SQRT(Dashboard!$F$4) * _xlfn.NORM.S.INV(RAND())</f>
        <v>-6.5189048512018538E-2</v>
      </c>
    </row>
    <row r="5847" spans="18:21" x14ac:dyDescent="0.2">
      <c r="R5847" s="49">
        <v>5845</v>
      </c>
      <c r="S5847" s="59">
        <f ca="1">Dashboard!B$8* Dashboard!$F$4+Dashboard!B$10*SQRT(Dashboard!$F$4) * _xlfn.NORM.S.INV(RAND())</f>
        <v>-1.1717643667483175E-3</v>
      </c>
      <c r="T5847" s="59">
        <f ca="1">Dashboard!C$8* Dashboard!$F$4+Dashboard!C$10*SQRT(Dashboard!$F$4) * _xlfn.NORM.S.INV(RAND())</f>
        <v>8.6339764520088659E-3</v>
      </c>
      <c r="U5847" s="59">
        <f ca="1">Dashboard!D$8* Dashboard!$F$4+Dashboard!D$10*SQRT(Dashboard!$F$4) * _xlfn.NORM.S.INV(RAND())</f>
        <v>-3.8641184583367037E-2</v>
      </c>
    </row>
    <row r="5848" spans="18:21" x14ac:dyDescent="0.2">
      <c r="R5848" s="49">
        <v>5846</v>
      </c>
      <c r="S5848" s="59">
        <f ca="1">Dashboard!B$8* Dashboard!$F$4+Dashboard!B$10*SQRT(Dashboard!$F$4) * _xlfn.NORM.S.INV(RAND())</f>
        <v>1.2660442222363366E-2</v>
      </c>
      <c r="T5848" s="59">
        <f ca="1">Dashboard!C$8* Dashboard!$F$4+Dashboard!C$10*SQRT(Dashboard!$F$4) * _xlfn.NORM.S.INV(RAND())</f>
        <v>-5.1263953456983487E-2</v>
      </c>
      <c r="U5848" s="59">
        <f ca="1">Dashboard!D$8* Dashboard!$F$4+Dashboard!D$10*SQRT(Dashboard!$F$4) * _xlfn.NORM.S.INV(RAND())</f>
        <v>-1.2490013472476412E-2</v>
      </c>
    </row>
    <row r="5849" spans="18:21" x14ac:dyDescent="0.2">
      <c r="R5849" s="49">
        <v>5847</v>
      </c>
      <c r="S5849" s="59">
        <f ca="1">Dashboard!B$8* Dashboard!$F$4+Dashboard!B$10*SQRT(Dashboard!$F$4) * _xlfn.NORM.S.INV(RAND())</f>
        <v>1.4560733851552154E-3</v>
      </c>
      <c r="T5849" s="59">
        <f ca="1">Dashboard!C$8* Dashboard!$F$4+Dashboard!C$10*SQRT(Dashboard!$F$4) * _xlfn.NORM.S.INV(RAND())</f>
        <v>2.9983417648255961E-2</v>
      </c>
      <c r="U5849" s="59">
        <f ca="1">Dashboard!D$8* Dashboard!$F$4+Dashboard!D$10*SQRT(Dashboard!$F$4) * _xlfn.NORM.S.INV(RAND())</f>
        <v>3.3926601206659357E-2</v>
      </c>
    </row>
    <row r="5850" spans="18:21" x14ac:dyDescent="0.2">
      <c r="R5850" s="49">
        <v>5848</v>
      </c>
      <c r="S5850" s="59">
        <f ca="1">Dashboard!B$8* Dashboard!$F$4+Dashboard!B$10*SQRT(Dashboard!$F$4) * _xlfn.NORM.S.INV(RAND())</f>
        <v>1.334405373927069E-2</v>
      </c>
      <c r="T5850" s="59">
        <f ca="1">Dashboard!C$8* Dashboard!$F$4+Dashboard!C$10*SQRT(Dashboard!$F$4) * _xlfn.NORM.S.INV(RAND())</f>
        <v>-1.49041539919481E-2</v>
      </c>
      <c r="U5850" s="59">
        <f ca="1">Dashboard!D$8* Dashboard!$F$4+Dashboard!D$10*SQRT(Dashboard!$F$4) * _xlfn.NORM.S.INV(RAND())</f>
        <v>1.1417596534060777E-2</v>
      </c>
    </row>
    <row r="5851" spans="18:21" x14ac:dyDescent="0.2">
      <c r="R5851" s="49">
        <v>5849</v>
      </c>
      <c r="S5851" s="59">
        <f ca="1">Dashboard!B$8* Dashboard!$F$4+Dashboard!B$10*SQRT(Dashboard!$F$4) * _xlfn.NORM.S.INV(RAND())</f>
        <v>4.5866688936715368E-2</v>
      </c>
      <c r="T5851" s="59">
        <f ca="1">Dashboard!C$8* Dashboard!$F$4+Dashboard!C$10*SQRT(Dashboard!$F$4) * _xlfn.NORM.S.INV(RAND())</f>
        <v>4.1936002522738748E-2</v>
      </c>
      <c r="U5851" s="59">
        <f ca="1">Dashboard!D$8* Dashboard!$F$4+Dashboard!D$10*SQRT(Dashboard!$F$4) * _xlfn.NORM.S.INV(RAND())</f>
        <v>6.4610733961965039E-2</v>
      </c>
    </row>
    <row r="5852" spans="18:21" x14ac:dyDescent="0.2">
      <c r="R5852" s="49">
        <v>5850</v>
      </c>
      <c r="S5852" s="59">
        <f ca="1">Dashboard!B$8* Dashboard!$F$4+Dashboard!B$10*SQRT(Dashboard!$F$4) * _xlfn.NORM.S.INV(RAND())</f>
        <v>5.1115586816194603E-2</v>
      </c>
      <c r="T5852" s="59">
        <f ca="1">Dashboard!C$8* Dashboard!$F$4+Dashboard!C$10*SQRT(Dashboard!$F$4) * _xlfn.NORM.S.INV(RAND())</f>
        <v>3.1307204408153488E-2</v>
      </c>
      <c r="U5852" s="59">
        <f ca="1">Dashboard!D$8* Dashboard!$F$4+Dashboard!D$10*SQRT(Dashboard!$F$4) * _xlfn.NORM.S.INV(RAND())</f>
        <v>4.133865419664145E-3</v>
      </c>
    </row>
    <row r="5853" spans="18:21" x14ac:dyDescent="0.2">
      <c r="R5853" s="49">
        <v>5851</v>
      </c>
      <c r="S5853" s="59">
        <f ca="1">Dashboard!B$8* Dashboard!$F$4+Dashboard!B$10*SQRT(Dashboard!$F$4) * _xlfn.NORM.S.INV(RAND())</f>
        <v>-2.1098176399282957E-2</v>
      </c>
      <c r="T5853" s="59">
        <f ca="1">Dashboard!C$8* Dashboard!$F$4+Dashboard!C$10*SQRT(Dashboard!$F$4) * _xlfn.NORM.S.INV(RAND())</f>
        <v>1.0047745257233042E-2</v>
      </c>
      <c r="U5853" s="59">
        <f ca="1">Dashboard!D$8* Dashboard!$F$4+Dashboard!D$10*SQRT(Dashboard!$F$4) * _xlfn.NORM.S.INV(RAND())</f>
        <v>-6.8295811377960355E-2</v>
      </c>
    </row>
    <row r="5854" spans="18:21" x14ac:dyDescent="0.2">
      <c r="R5854" s="49">
        <v>5852</v>
      </c>
      <c r="S5854" s="59">
        <f ca="1">Dashboard!B$8* Dashboard!$F$4+Dashboard!B$10*SQRT(Dashboard!$F$4) * _xlfn.NORM.S.INV(RAND())</f>
        <v>4.1770618752875133E-2</v>
      </c>
      <c r="T5854" s="59">
        <f ca="1">Dashboard!C$8* Dashboard!$F$4+Dashboard!C$10*SQRT(Dashboard!$F$4) * _xlfn.NORM.S.INV(RAND())</f>
        <v>-4.2210561564024257E-3</v>
      </c>
      <c r="U5854" s="59">
        <f ca="1">Dashboard!D$8* Dashboard!$F$4+Dashboard!D$10*SQRT(Dashboard!$F$4) * _xlfn.NORM.S.INV(RAND())</f>
        <v>-4.5061880877709628E-3</v>
      </c>
    </row>
    <row r="5855" spans="18:21" x14ac:dyDescent="0.2">
      <c r="R5855" s="49">
        <v>5853</v>
      </c>
      <c r="S5855" s="59">
        <f ca="1">Dashboard!B$8* Dashboard!$F$4+Dashboard!B$10*SQRT(Dashboard!$F$4) * _xlfn.NORM.S.INV(RAND())</f>
        <v>-6.7822048890496422E-2</v>
      </c>
      <c r="T5855" s="59">
        <f ca="1">Dashboard!C$8* Dashboard!$F$4+Dashboard!C$10*SQRT(Dashboard!$F$4) * _xlfn.NORM.S.INV(RAND())</f>
        <v>4.175533977616163E-2</v>
      </c>
      <c r="U5855" s="59">
        <f ca="1">Dashboard!D$8* Dashboard!$F$4+Dashboard!D$10*SQRT(Dashboard!$F$4) * _xlfn.NORM.S.INV(RAND())</f>
        <v>-1.7618954425720149E-2</v>
      </c>
    </row>
    <row r="5856" spans="18:21" x14ac:dyDescent="0.2">
      <c r="R5856" s="49">
        <v>5854</v>
      </c>
      <c r="S5856" s="59">
        <f ca="1">Dashboard!B$8* Dashboard!$F$4+Dashboard!B$10*SQRT(Dashboard!$F$4) * _xlfn.NORM.S.INV(RAND())</f>
        <v>-2.2734080788196838E-2</v>
      </c>
      <c r="T5856" s="59">
        <f ca="1">Dashboard!C$8* Dashboard!$F$4+Dashboard!C$10*SQRT(Dashboard!$F$4) * _xlfn.NORM.S.INV(RAND())</f>
        <v>-5.1187714533463399E-3</v>
      </c>
      <c r="U5856" s="59">
        <f ca="1">Dashboard!D$8* Dashboard!$F$4+Dashboard!D$10*SQRT(Dashboard!$F$4) * _xlfn.NORM.S.INV(RAND())</f>
        <v>-1.8006387029871257E-2</v>
      </c>
    </row>
    <row r="5857" spans="18:21" x14ac:dyDescent="0.2">
      <c r="R5857" s="49">
        <v>5855</v>
      </c>
      <c r="S5857" s="59">
        <f ca="1">Dashboard!B$8* Dashboard!$F$4+Dashboard!B$10*SQRT(Dashboard!$F$4) * _xlfn.NORM.S.INV(RAND())</f>
        <v>2.7125066416258063E-4</v>
      </c>
      <c r="T5857" s="59">
        <f ca="1">Dashboard!C$8* Dashboard!$F$4+Dashboard!C$10*SQRT(Dashboard!$F$4) * _xlfn.NORM.S.INV(RAND())</f>
        <v>6.035862761693514E-2</v>
      </c>
      <c r="U5857" s="59">
        <f ca="1">Dashboard!D$8* Dashboard!$F$4+Dashboard!D$10*SQRT(Dashboard!$F$4) * _xlfn.NORM.S.INV(RAND())</f>
        <v>3.3931150457961592E-2</v>
      </c>
    </row>
    <row r="5858" spans="18:21" x14ac:dyDescent="0.2">
      <c r="R5858" s="49">
        <v>5856</v>
      </c>
      <c r="S5858" s="59">
        <f ca="1">Dashboard!B$8* Dashboard!$F$4+Dashboard!B$10*SQRT(Dashboard!$F$4) * _xlfn.NORM.S.INV(RAND())</f>
        <v>-1.6449882168406801E-2</v>
      </c>
      <c r="T5858" s="59">
        <f ca="1">Dashboard!C$8* Dashboard!$F$4+Dashboard!C$10*SQRT(Dashboard!$F$4) * _xlfn.NORM.S.INV(RAND())</f>
        <v>-9.9329631165329391E-3</v>
      </c>
      <c r="U5858" s="59">
        <f ca="1">Dashboard!D$8* Dashboard!$F$4+Dashboard!D$10*SQRT(Dashboard!$F$4) * _xlfn.NORM.S.INV(RAND())</f>
        <v>7.0155235505970137E-2</v>
      </c>
    </row>
    <row r="5859" spans="18:21" x14ac:dyDescent="0.2">
      <c r="R5859" s="49">
        <v>5857</v>
      </c>
      <c r="S5859" s="59">
        <f ca="1">Dashboard!B$8* Dashboard!$F$4+Dashboard!B$10*SQRT(Dashboard!$F$4) * _xlfn.NORM.S.INV(RAND())</f>
        <v>2.4339850734777214E-2</v>
      </c>
      <c r="T5859" s="59">
        <f ca="1">Dashboard!C$8* Dashboard!$F$4+Dashboard!C$10*SQRT(Dashboard!$F$4) * _xlfn.NORM.S.INV(RAND())</f>
        <v>1.7949761748880341E-2</v>
      </c>
      <c r="U5859" s="59">
        <f ca="1">Dashboard!D$8* Dashboard!$F$4+Dashboard!D$10*SQRT(Dashboard!$F$4) * _xlfn.NORM.S.INV(RAND())</f>
        <v>-2.2576991997426021E-2</v>
      </c>
    </row>
    <row r="5860" spans="18:21" x14ac:dyDescent="0.2">
      <c r="R5860" s="49">
        <v>5858</v>
      </c>
      <c r="S5860" s="59">
        <f ca="1">Dashboard!B$8* Dashboard!$F$4+Dashboard!B$10*SQRT(Dashboard!$F$4) * _xlfn.NORM.S.INV(RAND())</f>
        <v>-1.2452783215982006E-3</v>
      </c>
      <c r="T5860" s="59">
        <f ca="1">Dashboard!C$8* Dashboard!$F$4+Dashboard!C$10*SQRT(Dashboard!$F$4) * _xlfn.NORM.S.INV(RAND())</f>
        <v>1.3874215878814423E-2</v>
      </c>
      <c r="U5860" s="59">
        <f ca="1">Dashboard!D$8* Dashboard!$F$4+Dashboard!D$10*SQRT(Dashboard!$F$4) * _xlfn.NORM.S.INV(RAND())</f>
        <v>-1.5480257550192847E-2</v>
      </c>
    </row>
    <row r="5861" spans="18:21" x14ac:dyDescent="0.2">
      <c r="R5861" s="49">
        <v>5859</v>
      </c>
      <c r="S5861" s="59">
        <f ca="1">Dashboard!B$8* Dashboard!$F$4+Dashboard!B$10*SQRT(Dashboard!$F$4) * _xlfn.NORM.S.INV(RAND())</f>
        <v>4.3215599384436996E-2</v>
      </c>
      <c r="T5861" s="59">
        <f ca="1">Dashboard!C$8* Dashboard!$F$4+Dashboard!C$10*SQRT(Dashboard!$F$4) * _xlfn.NORM.S.INV(RAND())</f>
        <v>1.5462267342055077E-2</v>
      </c>
      <c r="U5861" s="59">
        <f ca="1">Dashboard!D$8* Dashboard!$F$4+Dashboard!D$10*SQRT(Dashboard!$F$4) * _xlfn.NORM.S.INV(RAND())</f>
        <v>4.5748815484480607E-2</v>
      </c>
    </row>
    <row r="5862" spans="18:21" x14ac:dyDescent="0.2">
      <c r="R5862" s="49">
        <v>5860</v>
      </c>
      <c r="S5862" s="59">
        <f ca="1">Dashboard!B$8* Dashboard!$F$4+Dashboard!B$10*SQRT(Dashboard!$F$4) * _xlfn.NORM.S.INV(RAND())</f>
        <v>1.1073528809110712E-2</v>
      </c>
      <c r="T5862" s="59">
        <f ca="1">Dashboard!C$8* Dashboard!$F$4+Dashboard!C$10*SQRT(Dashboard!$F$4) * _xlfn.NORM.S.INV(RAND())</f>
        <v>-3.5228964825266924E-3</v>
      </c>
      <c r="U5862" s="59">
        <f ca="1">Dashboard!D$8* Dashboard!$F$4+Dashboard!D$10*SQRT(Dashboard!$F$4) * _xlfn.NORM.S.INV(RAND())</f>
        <v>1.6920378830211379E-2</v>
      </c>
    </row>
    <row r="5863" spans="18:21" x14ac:dyDescent="0.2">
      <c r="R5863" s="49">
        <v>5861</v>
      </c>
      <c r="S5863" s="59">
        <f ca="1">Dashboard!B$8* Dashboard!$F$4+Dashboard!B$10*SQRT(Dashboard!$F$4) * _xlfn.NORM.S.INV(RAND())</f>
        <v>4.8440109404406011E-2</v>
      </c>
      <c r="T5863" s="59">
        <f ca="1">Dashboard!C$8* Dashboard!$F$4+Dashboard!C$10*SQRT(Dashboard!$F$4) * _xlfn.NORM.S.INV(RAND())</f>
        <v>3.6733667352676323E-2</v>
      </c>
      <c r="U5863" s="59">
        <f ca="1">Dashboard!D$8* Dashboard!$F$4+Dashboard!D$10*SQRT(Dashboard!$F$4) * _xlfn.NORM.S.INV(RAND())</f>
        <v>-2.4681558214224672E-2</v>
      </c>
    </row>
    <row r="5864" spans="18:21" x14ac:dyDescent="0.2">
      <c r="R5864" s="49">
        <v>5862</v>
      </c>
      <c r="S5864" s="59">
        <f ca="1">Dashboard!B$8* Dashboard!$F$4+Dashboard!B$10*SQRT(Dashboard!$F$4) * _xlfn.NORM.S.INV(RAND())</f>
        <v>1.9077506108248952E-2</v>
      </c>
      <c r="T5864" s="59">
        <f ca="1">Dashboard!C$8* Dashboard!$F$4+Dashboard!C$10*SQRT(Dashboard!$F$4) * _xlfn.NORM.S.INV(RAND())</f>
        <v>6.0768940807947258E-2</v>
      </c>
      <c r="U5864" s="59">
        <f ca="1">Dashboard!D$8* Dashboard!$F$4+Dashboard!D$10*SQRT(Dashboard!$F$4) * _xlfn.NORM.S.INV(RAND())</f>
        <v>-4.8859162696252836E-3</v>
      </c>
    </row>
    <row r="5865" spans="18:21" x14ac:dyDescent="0.2">
      <c r="R5865" s="49">
        <v>5863</v>
      </c>
      <c r="S5865" s="59">
        <f ca="1">Dashboard!B$8* Dashboard!$F$4+Dashboard!B$10*SQRT(Dashboard!$F$4) * _xlfn.NORM.S.INV(RAND())</f>
        <v>5.0680807858555166E-2</v>
      </c>
      <c r="T5865" s="59">
        <f ca="1">Dashboard!C$8* Dashboard!$F$4+Dashboard!C$10*SQRT(Dashboard!$F$4) * _xlfn.NORM.S.INV(RAND())</f>
        <v>-4.3831886952782576E-2</v>
      </c>
      <c r="U5865" s="59">
        <f ca="1">Dashboard!D$8* Dashboard!$F$4+Dashboard!D$10*SQRT(Dashboard!$F$4) * _xlfn.NORM.S.INV(RAND())</f>
        <v>5.7310220261727308E-2</v>
      </c>
    </row>
    <row r="5866" spans="18:21" x14ac:dyDescent="0.2">
      <c r="R5866" s="49">
        <v>5864</v>
      </c>
      <c r="S5866" s="59">
        <f ca="1">Dashboard!B$8* Dashboard!$F$4+Dashboard!B$10*SQRT(Dashboard!$F$4) * _xlfn.NORM.S.INV(RAND())</f>
        <v>-5.9751474283696697E-3</v>
      </c>
      <c r="T5866" s="59">
        <f ca="1">Dashboard!C$8* Dashboard!$F$4+Dashboard!C$10*SQRT(Dashboard!$F$4) * _xlfn.NORM.S.INV(RAND())</f>
        <v>-4.1564779246373633E-2</v>
      </c>
      <c r="U5866" s="59">
        <f ca="1">Dashboard!D$8* Dashboard!$F$4+Dashboard!D$10*SQRT(Dashboard!$F$4) * _xlfn.NORM.S.INV(RAND())</f>
        <v>-5.3761747077594256E-2</v>
      </c>
    </row>
    <row r="5867" spans="18:21" x14ac:dyDescent="0.2">
      <c r="R5867" s="49">
        <v>5865</v>
      </c>
      <c r="S5867" s="59">
        <f ca="1">Dashboard!B$8* Dashboard!$F$4+Dashboard!B$10*SQRT(Dashboard!$F$4) * _xlfn.NORM.S.INV(RAND())</f>
        <v>-8.3804640636216704E-2</v>
      </c>
      <c r="T5867" s="59">
        <f ca="1">Dashboard!C$8* Dashboard!$F$4+Dashboard!C$10*SQRT(Dashboard!$F$4) * _xlfn.NORM.S.INV(RAND())</f>
        <v>2.4150291878051178E-2</v>
      </c>
      <c r="U5867" s="59">
        <f ca="1">Dashboard!D$8* Dashboard!$F$4+Dashboard!D$10*SQRT(Dashboard!$F$4) * _xlfn.NORM.S.INV(RAND())</f>
        <v>-7.2890409279697975E-3</v>
      </c>
    </row>
    <row r="5868" spans="18:21" x14ac:dyDescent="0.2">
      <c r="R5868" s="49">
        <v>5866</v>
      </c>
      <c r="S5868" s="59">
        <f ca="1">Dashboard!B$8* Dashboard!$F$4+Dashboard!B$10*SQRT(Dashboard!$F$4) * _xlfn.NORM.S.INV(RAND())</f>
        <v>-3.0122809216868211E-2</v>
      </c>
      <c r="T5868" s="59">
        <f ca="1">Dashboard!C$8* Dashboard!$F$4+Dashboard!C$10*SQRT(Dashboard!$F$4) * _xlfn.NORM.S.INV(RAND())</f>
        <v>4.7855000491213502E-2</v>
      </c>
      <c r="U5868" s="59">
        <f ca="1">Dashboard!D$8* Dashboard!$F$4+Dashboard!D$10*SQRT(Dashboard!$F$4) * _xlfn.NORM.S.INV(RAND())</f>
        <v>-2.125156649208317E-4</v>
      </c>
    </row>
    <row r="5869" spans="18:21" x14ac:dyDescent="0.2">
      <c r="R5869" s="49">
        <v>5867</v>
      </c>
      <c r="S5869" s="59">
        <f ca="1">Dashboard!B$8* Dashboard!$F$4+Dashboard!B$10*SQRT(Dashboard!$F$4) * _xlfn.NORM.S.INV(RAND())</f>
        <v>3.5587657469970356E-2</v>
      </c>
      <c r="T5869" s="59">
        <f ca="1">Dashboard!C$8* Dashboard!$F$4+Dashboard!C$10*SQRT(Dashboard!$F$4) * _xlfn.NORM.S.INV(RAND())</f>
        <v>2.7391399949267117E-2</v>
      </c>
      <c r="U5869" s="59">
        <f ca="1">Dashboard!D$8* Dashboard!$F$4+Dashboard!D$10*SQRT(Dashboard!$F$4) * _xlfn.NORM.S.INV(RAND())</f>
        <v>-3.2433927280397193E-2</v>
      </c>
    </row>
    <row r="5870" spans="18:21" x14ac:dyDescent="0.2">
      <c r="R5870" s="49">
        <v>5868</v>
      </c>
      <c r="S5870" s="59">
        <f ca="1">Dashboard!B$8* Dashboard!$F$4+Dashboard!B$10*SQRT(Dashboard!$F$4) * _xlfn.NORM.S.INV(RAND())</f>
        <v>-1.7171617021671114E-3</v>
      </c>
      <c r="T5870" s="59">
        <f ca="1">Dashboard!C$8* Dashboard!$F$4+Dashboard!C$10*SQRT(Dashboard!$F$4) * _xlfn.NORM.S.INV(RAND())</f>
        <v>8.3060177944657282E-2</v>
      </c>
      <c r="U5870" s="59">
        <f ca="1">Dashboard!D$8* Dashboard!$F$4+Dashboard!D$10*SQRT(Dashboard!$F$4) * _xlfn.NORM.S.INV(RAND())</f>
        <v>-9.0223755689419777E-3</v>
      </c>
    </row>
    <row r="5871" spans="18:21" x14ac:dyDescent="0.2">
      <c r="R5871" s="49">
        <v>5869</v>
      </c>
      <c r="S5871" s="59">
        <f ca="1">Dashboard!B$8* Dashboard!$F$4+Dashboard!B$10*SQRT(Dashboard!$F$4) * _xlfn.NORM.S.INV(RAND())</f>
        <v>-2.2587970908798417E-2</v>
      </c>
      <c r="T5871" s="59">
        <f ca="1">Dashboard!C$8* Dashboard!$F$4+Dashboard!C$10*SQRT(Dashboard!$F$4) * _xlfn.NORM.S.INV(RAND())</f>
        <v>2.8261571203949794E-2</v>
      </c>
      <c r="U5871" s="59">
        <f ca="1">Dashboard!D$8* Dashboard!$F$4+Dashboard!D$10*SQRT(Dashboard!$F$4) * _xlfn.NORM.S.INV(RAND())</f>
        <v>-4.2752883055696585E-2</v>
      </c>
    </row>
    <row r="5872" spans="18:21" x14ac:dyDescent="0.2">
      <c r="R5872" s="49">
        <v>5870</v>
      </c>
      <c r="S5872" s="59">
        <f ca="1">Dashboard!B$8* Dashboard!$F$4+Dashboard!B$10*SQRT(Dashboard!$F$4) * _xlfn.NORM.S.INV(RAND())</f>
        <v>5.4421847748794785E-2</v>
      </c>
      <c r="T5872" s="59">
        <f ca="1">Dashboard!C$8* Dashboard!$F$4+Dashboard!C$10*SQRT(Dashboard!$F$4) * _xlfn.NORM.S.INV(RAND())</f>
        <v>2.0349058029007689E-3</v>
      </c>
      <c r="U5872" s="59">
        <f ca="1">Dashboard!D$8* Dashboard!$F$4+Dashboard!D$10*SQRT(Dashboard!$F$4) * _xlfn.NORM.S.INV(RAND())</f>
        <v>-4.3615390264215084E-2</v>
      </c>
    </row>
    <row r="5873" spans="18:21" x14ac:dyDescent="0.2">
      <c r="R5873" s="49">
        <v>5871</v>
      </c>
      <c r="S5873" s="59">
        <f ca="1">Dashboard!B$8* Dashboard!$F$4+Dashboard!B$10*SQRT(Dashboard!$F$4) * _xlfn.NORM.S.INV(RAND())</f>
        <v>-4.7203277510445174E-2</v>
      </c>
      <c r="T5873" s="59">
        <f ca="1">Dashboard!C$8* Dashboard!$F$4+Dashboard!C$10*SQRT(Dashboard!$F$4) * _xlfn.NORM.S.INV(RAND())</f>
        <v>3.4877740200949491E-2</v>
      </c>
      <c r="U5873" s="59">
        <f ca="1">Dashboard!D$8* Dashboard!$F$4+Dashboard!D$10*SQRT(Dashboard!$F$4) * _xlfn.NORM.S.INV(RAND())</f>
        <v>1.4519260593411477E-2</v>
      </c>
    </row>
    <row r="5874" spans="18:21" x14ac:dyDescent="0.2">
      <c r="R5874" s="49">
        <v>5872</v>
      </c>
      <c r="S5874" s="59">
        <f ca="1">Dashboard!B$8* Dashboard!$F$4+Dashboard!B$10*SQRT(Dashboard!$F$4) * _xlfn.NORM.S.INV(RAND())</f>
        <v>1.3930167046037148E-2</v>
      </c>
      <c r="T5874" s="59">
        <f ca="1">Dashboard!C$8* Dashboard!$F$4+Dashboard!C$10*SQRT(Dashboard!$F$4) * _xlfn.NORM.S.INV(RAND())</f>
        <v>6.1944798531254577E-2</v>
      </c>
      <c r="U5874" s="59">
        <f ca="1">Dashboard!D$8* Dashboard!$F$4+Dashboard!D$10*SQRT(Dashboard!$F$4) * _xlfn.NORM.S.INV(RAND())</f>
        <v>-3.8493061997928887E-2</v>
      </c>
    </row>
    <row r="5875" spans="18:21" x14ac:dyDescent="0.2">
      <c r="R5875" s="49">
        <v>5873</v>
      </c>
      <c r="S5875" s="59">
        <f ca="1">Dashboard!B$8* Dashboard!$F$4+Dashboard!B$10*SQRT(Dashboard!$F$4) * _xlfn.NORM.S.INV(RAND())</f>
        <v>-1.3430269781613208E-3</v>
      </c>
      <c r="T5875" s="59">
        <f ca="1">Dashboard!C$8* Dashboard!$F$4+Dashboard!C$10*SQRT(Dashboard!$F$4) * _xlfn.NORM.S.INV(RAND())</f>
        <v>4.8638800461775794E-2</v>
      </c>
      <c r="U5875" s="59">
        <f ca="1">Dashboard!D$8* Dashboard!$F$4+Dashboard!D$10*SQRT(Dashboard!$F$4) * _xlfn.NORM.S.INV(RAND())</f>
        <v>-1.9936688907344954E-2</v>
      </c>
    </row>
    <row r="5876" spans="18:21" x14ac:dyDescent="0.2">
      <c r="R5876" s="49">
        <v>5874</v>
      </c>
      <c r="S5876" s="59">
        <f ca="1">Dashboard!B$8* Dashboard!$F$4+Dashboard!B$10*SQRT(Dashboard!$F$4) * _xlfn.NORM.S.INV(RAND())</f>
        <v>-2.0036310940396811E-2</v>
      </c>
      <c r="T5876" s="59">
        <f ca="1">Dashboard!C$8* Dashboard!$F$4+Dashboard!C$10*SQRT(Dashboard!$F$4) * _xlfn.NORM.S.INV(RAND())</f>
        <v>-2.1620076815588186E-2</v>
      </c>
      <c r="U5876" s="59">
        <f ca="1">Dashboard!D$8* Dashboard!$F$4+Dashboard!D$10*SQRT(Dashboard!$F$4) * _xlfn.NORM.S.INV(RAND())</f>
        <v>-1.8817301748857089E-2</v>
      </c>
    </row>
    <row r="5877" spans="18:21" x14ac:dyDescent="0.2">
      <c r="R5877" s="49">
        <v>5875</v>
      </c>
      <c r="S5877" s="59">
        <f ca="1">Dashboard!B$8* Dashboard!$F$4+Dashboard!B$10*SQRT(Dashboard!$F$4) * _xlfn.NORM.S.INV(RAND())</f>
        <v>-3.7874710724150829E-2</v>
      </c>
      <c r="T5877" s="59">
        <f ca="1">Dashboard!C$8* Dashboard!$F$4+Dashboard!C$10*SQRT(Dashboard!$F$4) * _xlfn.NORM.S.INV(RAND())</f>
        <v>-2.2593702809845691E-3</v>
      </c>
      <c r="U5877" s="59">
        <f ca="1">Dashboard!D$8* Dashboard!$F$4+Dashboard!D$10*SQRT(Dashboard!$F$4) * _xlfn.NORM.S.INV(RAND())</f>
        <v>2.2601134606159295E-2</v>
      </c>
    </row>
    <row r="5878" spans="18:21" x14ac:dyDescent="0.2">
      <c r="R5878" s="49">
        <v>5876</v>
      </c>
      <c r="S5878" s="59">
        <f ca="1">Dashboard!B$8* Dashboard!$F$4+Dashboard!B$10*SQRT(Dashboard!$F$4) * _xlfn.NORM.S.INV(RAND())</f>
        <v>-1.9300581734656044E-3</v>
      </c>
      <c r="T5878" s="59">
        <f ca="1">Dashboard!C$8* Dashboard!$F$4+Dashboard!C$10*SQRT(Dashboard!$F$4) * _xlfn.NORM.S.INV(RAND())</f>
        <v>2.0115071146637659E-2</v>
      </c>
      <c r="U5878" s="59">
        <f ca="1">Dashboard!D$8* Dashboard!$F$4+Dashboard!D$10*SQRT(Dashboard!$F$4) * _xlfn.NORM.S.INV(RAND())</f>
        <v>-1.996949809924068E-2</v>
      </c>
    </row>
    <row r="5879" spans="18:21" x14ac:dyDescent="0.2">
      <c r="R5879" s="49">
        <v>5877</v>
      </c>
      <c r="S5879" s="59">
        <f ca="1">Dashboard!B$8* Dashboard!$F$4+Dashboard!B$10*SQRT(Dashboard!$F$4) * _xlfn.NORM.S.INV(RAND())</f>
        <v>-5.2752066368697455E-2</v>
      </c>
      <c r="T5879" s="59">
        <f ca="1">Dashboard!C$8* Dashboard!$F$4+Dashboard!C$10*SQRT(Dashboard!$F$4) * _xlfn.NORM.S.INV(RAND())</f>
        <v>-4.0051358017010562E-2</v>
      </c>
      <c r="U5879" s="59">
        <f ca="1">Dashboard!D$8* Dashboard!$F$4+Dashboard!D$10*SQRT(Dashboard!$F$4) * _xlfn.NORM.S.INV(RAND())</f>
        <v>-7.3546824901773028E-3</v>
      </c>
    </row>
    <row r="5880" spans="18:21" x14ac:dyDescent="0.2">
      <c r="R5880" s="49">
        <v>5878</v>
      </c>
      <c r="S5880" s="59">
        <f ca="1">Dashboard!B$8* Dashboard!$F$4+Dashboard!B$10*SQRT(Dashboard!$F$4) * _xlfn.NORM.S.INV(RAND())</f>
        <v>-1.7142648589436361E-2</v>
      </c>
      <c r="T5880" s="59">
        <f ca="1">Dashboard!C$8* Dashboard!$F$4+Dashboard!C$10*SQRT(Dashboard!$F$4) * _xlfn.NORM.S.INV(RAND())</f>
        <v>-4.0726542358067068E-3</v>
      </c>
      <c r="U5880" s="59">
        <f ca="1">Dashboard!D$8* Dashboard!$F$4+Dashboard!D$10*SQRT(Dashboard!$F$4) * _xlfn.NORM.S.INV(RAND())</f>
        <v>8.4336179388225761E-3</v>
      </c>
    </row>
    <row r="5881" spans="18:21" x14ac:dyDescent="0.2">
      <c r="R5881" s="49">
        <v>5879</v>
      </c>
      <c r="S5881" s="59">
        <f ca="1">Dashboard!B$8* Dashboard!$F$4+Dashboard!B$10*SQRT(Dashboard!$F$4) * _xlfn.NORM.S.INV(RAND())</f>
        <v>-6.0770057535196459E-3</v>
      </c>
      <c r="T5881" s="59">
        <f ca="1">Dashboard!C$8* Dashboard!$F$4+Dashboard!C$10*SQRT(Dashboard!$F$4) * _xlfn.NORM.S.INV(RAND())</f>
        <v>-3.8524410951345629E-2</v>
      </c>
      <c r="U5881" s="59">
        <f ca="1">Dashboard!D$8* Dashboard!$F$4+Dashboard!D$10*SQRT(Dashboard!$F$4) * _xlfn.NORM.S.INV(RAND())</f>
        <v>-3.9482708407710863E-2</v>
      </c>
    </row>
    <row r="5882" spans="18:21" x14ac:dyDescent="0.2">
      <c r="R5882" s="49">
        <v>5880</v>
      </c>
      <c r="S5882" s="59">
        <f ca="1">Dashboard!B$8* Dashboard!$F$4+Dashboard!B$10*SQRT(Dashboard!$F$4) * _xlfn.NORM.S.INV(RAND())</f>
        <v>3.8608006680488118E-3</v>
      </c>
      <c r="T5882" s="59">
        <f ca="1">Dashboard!C$8* Dashboard!$F$4+Dashboard!C$10*SQRT(Dashboard!$F$4) * _xlfn.NORM.S.INV(RAND())</f>
        <v>-5.8122135858556787E-2</v>
      </c>
      <c r="U5882" s="59">
        <f ca="1">Dashboard!D$8* Dashboard!$F$4+Dashboard!D$10*SQRT(Dashboard!$F$4) * _xlfn.NORM.S.INV(RAND())</f>
        <v>2.2434122108653632E-2</v>
      </c>
    </row>
    <row r="5883" spans="18:21" x14ac:dyDescent="0.2">
      <c r="R5883" s="49">
        <v>5881</v>
      </c>
      <c r="S5883" s="59">
        <f ca="1">Dashboard!B$8* Dashboard!$F$4+Dashboard!B$10*SQRT(Dashboard!$F$4) * _xlfn.NORM.S.INV(RAND())</f>
        <v>-2.3749008392666198E-4</v>
      </c>
      <c r="T5883" s="59">
        <f ca="1">Dashboard!C$8* Dashboard!$F$4+Dashboard!C$10*SQRT(Dashboard!$F$4) * _xlfn.NORM.S.INV(RAND())</f>
        <v>2.1147096974324032E-2</v>
      </c>
      <c r="U5883" s="59">
        <f ca="1">Dashboard!D$8* Dashboard!$F$4+Dashboard!D$10*SQRT(Dashboard!$F$4) * _xlfn.NORM.S.INV(RAND())</f>
        <v>-2.2899306650479009E-2</v>
      </c>
    </row>
    <row r="5884" spans="18:21" x14ac:dyDescent="0.2">
      <c r="R5884" s="49">
        <v>5882</v>
      </c>
      <c r="S5884" s="59">
        <f ca="1">Dashboard!B$8* Dashboard!$F$4+Dashboard!B$10*SQRT(Dashboard!$F$4) * _xlfn.NORM.S.INV(RAND())</f>
        <v>6.7559322366460648E-3</v>
      </c>
      <c r="T5884" s="59">
        <f ca="1">Dashboard!C$8* Dashboard!$F$4+Dashboard!C$10*SQRT(Dashboard!$F$4) * _xlfn.NORM.S.INV(RAND())</f>
        <v>3.231568549462703E-3</v>
      </c>
      <c r="U5884" s="59">
        <f ca="1">Dashboard!D$8* Dashboard!$F$4+Dashboard!D$10*SQRT(Dashboard!$F$4) * _xlfn.NORM.S.INV(RAND())</f>
        <v>-3.2521181197217891E-2</v>
      </c>
    </row>
    <row r="5885" spans="18:21" x14ac:dyDescent="0.2">
      <c r="R5885" s="49">
        <v>5883</v>
      </c>
      <c r="S5885" s="59">
        <f ca="1">Dashboard!B$8* Dashboard!$F$4+Dashboard!B$10*SQRT(Dashboard!$F$4) * _xlfn.NORM.S.INV(RAND())</f>
        <v>-7.3386434550161547E-4</v>
      </c>
      <c r="T5885" s="59">
        <f ca="1">Dashboard!C$8* Dashboard!$F$4+Dashboard!C$10*SQRT(Dashboard!$F$4) * _xlfn.NORM.S.INV(RAND())</f>
        <v>-2.4384183217637724E-2</v>
      </c>
      <c r="U5885" s="59">
        <f ca="1">Dashboard!D$8* Dashboard!$F$4+Dashboard!D$10*SQRT(Dashboard!$F$4) * _xlfn.NORM.S.INV(RAND())</f>
        <v>-1.2906197008675452E-2</v>
      </c>
    </row>
    <row r="5886" spans="18:21" x14ac:dyDescent="0.2">
      <c r="R5886" s="49">
        <v>5884</v>
      </c>
      <c r="S5886" s="59">
        <f ca="1">Dashboard!B$8* Dashboard!$F$4+Dashboard!B$10*SQRT(Dashboard!$F$4) * _xlfn.NORM.S.INV(RAND())</f>
        <v>2.0379410117989556E-2</v>
      </c>
      <c r="T5886" s="59">
        <f ca="1">Dashboard!C$8* Dashboard!$F$4+Dashboard!C$10*SQRT(Dashboard!$F$4) * _xlfn.NORM.S.INV(RAND())</f>
        <v>1.565164738295742E-2</v>
      </c>
      <c r="U5886" s="59">
        <f ca="1">Dashboard!D$8* Dashboard!$F$4+Dashboard!D$10*SQRT(Dashboard!$F$4) * _xlfn.NORM.S.INV(RAND())</f>
        <v>2.6660151915024025E-2</v>
      </c>
    </row>
    <row r="5887" spans="18:21" x14ac:dyDescent="0.2">
      <c r="R5887" s="49">
        <v>5885</v>
      </c>
      <c r="S5887" s="59">
        <f ca="1">Dashboard!B$8* Dashboard!$F$4+Dashboard!B$10*SQRT(Dashboard!$F$4) * _xlfn.NORM.S.INV(RAND())</f>
        <v>-5.7399690323049556E-2</v>
      </c>
      <c r="T5887" s="59">
        <f ca="1">Dashboard!C$8* Dashboard!$F$4+Dashboard!C$10*SQRT(Dashboard!$F$4) * _xlfn.NORM.S.INV(RAND())</f>
        <v>-1.935947756457463E-2</v>
      </c>
      <c r="U5887" s="59">
        <f ca="1">Dashboard!D$8* Dashboard!$F$4+Dashboard!D$10*SQRT(Dashboard!$F$4) * _xlfn.NORM.S.INV(RAND())</f>
        <v>-8.9293907247771885E-3</v>
      </c>
    </row>
    <row r="5888" spans="18:21" x14ac:dyDescent="0.2">
      <c r="R5888" s="49">
        <v>5886</v>
      </c>
      <c r="S5888" s="59">
        <f ca="1">Dashboard!B$8* Dashboard!$F$4+Dashboard!B$10*SQRT(Dashboard!$F$4) * _xlfn.NORM.S.INV(RAND())</f>
        <v>4.3045749846952648E-2</v>
      </c>
      <c r="T5888" s="59">
        <f ca="1">Dashboard!C$8* Dashboard!$F$4+Dashboard!C$10*SQRT(Dashboard!$F$4) * _xlfn.NORM.S.INV(RAND())</f>
        <v>-2.8269166296749224E-2</v>
      </c>
      <c r="U5888" s="59">
        <f ca="1">Dashboard!D$8* Dashboard!$F$4+Dashboard!D$10*SQRT(Dashboard!$F$4) * _xlfn.NORM.S.INV(RAND())</f>
        <v>4.5355785666725969E-2</v>
      </c>
    </row>
    <row r="5889" spans="18:21" x14ac:dyDescent="0.2">
      <c r="R5889" s="49">
        <v>5887</v>
      </c>
      <c r="S5889" s="59">
        <f ca="1">Dashboard!B$8* Dashboard!$F$4+Dashboard!B$10*SQRT(Dashboard!$F$4) * _xlfn.NORM.S.INV(RAND())</f>
        <v>3.540067244088744E-3</v>
      </c>
      <c r="T5889" s="59">
        <f ca="1">Dashboard!C$8* Dashboard!$F$4+Dashboard!C$10*SQRT(Dashboard!$F$4) * _xlfn.NORM.S.INV(RAND())</f>
        <v>7.5137626885938315E-3</v>
      </c>
      <c r="U5889" s="59">
        <f ca="1">Dashboard!D$8* Dashboard!$F$4+Dashboard!D$10*SQRT(Dashboard!$F$4) * _xlfn.NORM.S.INV(RAND())</f>
        <v>8.0029006852846453E-3</v>
      </c>
    </row>
    <row r="5890" spans="18:21" x14ac:dyDescent="0.2">
      <c r="R5890" s="49">
        <v>5888</v>
      </c>
      <c r="S5890" s="59">
        <f ca="1">Dashboard!B$8* Dashboard!$F$4+Dashboard!B$10*SQRT(Dashboard!$F$4) * _xlfn.NORM.S.INV(RAND())</f>
        <v>7.973946098884719E-3</v>
      </c>
      <c r="T5890" s="59">
        <f ca="1">Dashboard!C$8* Dashboard!$F$4+Dashboard!C$10*SQRT(Dashboard!$F$4) * _xlfn.NORM.S.INV(RAND())</f>
        <v>-6.0287748366479141E-2</v>
      </c>
      <c r="U5890" s="59">
        <f ca="1">Dashboard!D$8* Dashboard!$F$4+Dashboard!D$10*SQRT(Dashboard!$F$4) * _xlfn.NORM.S.INV(RAND())</f>
        <v>-2.5101403712995971E-3</v>
      </c>
    </row>
    <row r="5891" spans="18:21" x14ac:dyDescent="0.2">
      <c r="R5891" s="49">
        <v>5889</v>
      </c>
      <c r="S5891" s="59">
        <f ca="1">Dashboard!B$8* Dashboard!$F$4+Dashboard!B$10*SQRT(Dashboard!$F$4) * _xlfn.NORM.S.INV(RAND())</f>
        <v>-3.0710797891362898E-2</v>
      </c>
      <c r="T5891" s="59">
        <f ca="1">Dashboard!C$8* Dashboard!$F$4+Dashboard!C$10*SQRT(Dashboard!$F$4) * _xlfn.NORM.S.INV(RAND())</f>
        <v>7.7223214150351355E-3</v>
      </c>
      <c r="U5891" s="59">
        <f ca="1">Dashboard!D$8* Dashboard!$F$4+Dashboard!D$10*SQRT(Dashboard!$F$4) * _xlfn.NORM.S.INV(RAND())</f>
        <v>3.7012063035981056E-2</v>
      </c>
    </row>
    <row r="5892" spans="18:21" x14ac:dyDescent="0.2">
      <c r="R5892" s="49">
        <v>5890</v>
      </c>
      <c r="S5892" s="59">
        <f ca="1">Dashboard!B$8* Dashboard!$F$4+Dashboard!B$10*SQRT(Dashboard!$F$4) * _xlfn.NORM.S.INV(RAND())</f>
        <v>-7.8123661395362301E-4</v>
      </c>
      <c r="T5892" s="59">
        <f ca="1">Dashboard!C$8* Dashboard!$F$4+Dashboard!C$10*SQRT(Dashboard!$F$4) * _xlfn.NORM.S.INV(RAND())</f>
        <v>5.1756993454023289E-3</v>
      </c>
      <c r="U5892" s="59">
        <f ca="1">Dashboard!D$8* Dashboard!$F$4+Dashboard!D$10*SQRT(Dashboard!$F$4) * _xlfn.NORM.S.INV(RAND())</f>
        <v>-3.5565423992576915E-2</v>
      </c>
    </row>
    <row r="5893" spans="18:21" x14ac:dyDescent="0.2">
      <c r="R5893" s="49">
        <v>5891</v>
      </c>
      <c r="S5893" s="59">
        <f ca="1">Dashboard!B$8* Dashboard!$F$4+Dashboard!B$10*SQRT(Dashboard!$F$4) * _xlfn.NORM.S.INV(RAND())</f>
        <v>2.0079258015125043E-2</v>
      </c>
      <c r="T5893" s="59">
        <f ca="1">Dashboard!C$8* Dashboard!$F$4+Dashboard!C$10*SQRT(Dashboard!$F$4) * _xlfn.NORM.S.INV(RAND())</f>
        <v>5.3583112047997469E-2</v>
      </c>
      <c r="U5893" s="59">
        <f ca="1">Dashboard!D$8* Dashboard!$F$4+Dashboard!D$10*SQRT(Dashboard!$F$4) * _xlfn.NORM.S.INV(RAND())</f>
        <v>-3.757832537349319E-2</v>
      </c>
    </row>
    <row r="5894" spans="18:21" x14ac:dyDescent="0.2">
      <c r="R5894" s="49">
        <v>5892</v>
      </c>
      <c r="S5894" s="59">
        <f ca="1">Dashboard!B$8* Dashboard!$F$4+Dashboard!B$10*SQRT(Dashboard!$F$4) * _xlfn.NORM.S.INV(RAND())</f>
        <v>-2.3474383941630601E-2</v>
      </c>
      <c r="T5894" s="59">
        <f ca="1">Dashboard!C$8* Dashboard!$F$4+Dashboard!C$10*SQRT(Dashboard!$F$4) * _xlfn.NORM.S.INV(RAND())</f>
        <v>-2.6273344264041709E-2</v>
      </c>
      <c r="U5894" s="59">
        <f ca="1">Dashboard!D$8* Dashboard!$F$4+Dashboard!D$10*SQRT(Dashboard!$F$4) * _xlfn.NORM.S.INV(RAND())</f>
        <v>-1.74167727063297E-2</v>
      </c>
    </row>
    <row r="5895" spans="18:21" x14ac:dyDescent="0.2">
      <c r="R5895" s="49">
        <v>5893</v>
      </c>
      <c r="S5895" s="59">
        <f ca="1">Dashboard!B$8* Dashboard!$F$4+Dashboard!B$10*SQRT(Dashboard!$F$4) * _xlfn.NORM.S.INV(RAND())</f>
        <v>-1.9165655305298016E-2</v>
      </c>
      <c r="T5895" s="59">
        <f ca="1">Dashboard!C$8* Dashboard!$F$4+Dashboard!C$10*SQRT(Dashboard!$F$4) * _xlfn.NORM.S.INV(RAND())</f>
        <v>4.2381093715668602E-2</v>
      </c>
      <c r="U5895" s="59">
        <f ca="1">Dashboard!D$8* Dashboard!$F$4+Dashboard!D$10*SQRT(Dashboard!$F$4) * _xlfn.NORM.S.INV(RAND())</f>
        <v>-3.9289538113583169E-2</v>
      </c>
    </row>
    <row r="5896" spans="18:21" x14ac:dyDescent="0.2">
      <c r="R5896" s="49">
        <v>5894</v>
      </c>
      <c r="S5896" s="59">
        <f ca="1">Dashboard!B$8* Dashboard!$F$4+Dashboard!B$10*SQRT(Dashboard!$F$4) * _xlfn.NORM.S.INV(RAND())</f>
        <v>2.1897014599232587E-2</v>
      </c>
      <c r="T5896" s="59">
        <f ca="1">Dashboard!C$8* Dashboard!$F$4+Dashboard!C$10*SQRT(Dashboard!$F$4) * _xlfn.NORM.S.INV(RAND())</f>
        <v>-4.7379505062676061E-2</v>
      </c>
      <c r="U5896" s="59">
        <f ca="1">Dashboard!D$8* Dashboard!$F$4+Dashboard!D$10*SQRT(Dashboard!$F$4) * _xlfn.NORM.S.INV(RAND())</f>
        <v>-9.3252641809121305E-3</v>
      </c>
    </row>
    <row r="5897" spans="18:21" x14ac:dyDescent="0.2">
      <c r="R5897" s="49">
        <v>5895</v>
      </c>
      <c r="S5897" s="59">
        <f ca="1">Dashboard!B$8* Dashboard!$F$4+Dashboard!B$10*SQRT(Dashboard!$F$4) * _xlfn.NORM.S.INV(RAND())</f>
        <v>-2.4186294974061245E-2</v>
      </c>
      <c r="T5897" s="59">
        <f ca="1">Dashboard!C$8* Dashboard!$F$4+Dashboard!C$10*SQRT(Dashboard!$F$4) * _xlfn.NORM.S.INV(RAND())</f>
        <v>-3.6259919540011377E-2</v>
      </c>
      <c r="U5897" s="59">
        <f ca="1">Dashboard!D$8* Dashboard!$F$4+Dashboard!D$10*SQRT(Dashboard!$F$4) * _xlfn.NORM.S.INV(RAND())</f>
        <v>1.7013682875975525E-3</v>
      </c>
    </row>
    <row r="5898" spans="18:21" x14ac:dyDescent="0.2">
      <c r="R5898" s="49">
        <v>5896</v>
      </c>
      <c r="S5898" s="59">
        <f ca="1">Dashboard!B$8* Dashboard!$F$4+Dashboard!B$10*SQRT(Dashboard!$F$4) * _xlfn.NORM.S.INV(RAND())</f>
        <v>2.9981492247138322E-2</v>
      </c>
      <c r="T5898" s="59">
        <f ca="1">Dashboard!C$8* Dashboard!$F$4+Dashboard!C$10*SQRT(Dashboard!$F$4) * _xlfn.NORM.S.INV(RAND())</f>
        <v>-3.1572163611127038E-2</v>
      </c>
      <c r="U5898" s="59">
        <f ca="1">Dashboard!D$8* Dashboard!$F$4+Dashboard!D$10*SQRT(Dashboard!$F$4) * _xlfn.NORM.S.INV(RAND())</f>
        <v>-6.4913930535231465E-2</v>
      </c>
    </row>
    <row r="5899" spans="18:21" x14ac:dyDescent="0.2">
      <c r="R5899" s="49">
        <v>5897</v>
      </c>
      <c r="S5899" s="59">
        <f ca="1">Dashboard!B$8* Dashboard!$F$4+Dashboard!B$10*SQRT(Dashboard!$F$4) * _xlfn.NORM.S.INV(RAND())</f>
        <v>-3.3292667405697328E-2</v>
      </c>
      <c r="T5899" s="59">
        <f ca="1">Dashboard!C$8* Dashboard!$F$4+Dashboard!C$10*SQRT(Dashboard!$F$4) * _xlfn.NORM.S.INV(RAND())</f>
        <v>-2.3160206708603182E-2</v>
      </c>
      <c r="U5899" s="59">
        <f ca="1">Dashboard!D$8* Dashboard!$F$4+Dashboard!D$10*SQRT(Dashboard!$F$4) * _xlfn.NORM.S.INV(RAND())</f>
        <v>2.9541367889601287E-2</v>
      </c>
    </row>
    <row r="5900" spans="18:21" x14ac:dyDescent="0.2">
      <c r="R5900" s="49">
        <v>5898</v>
      </c>
      <c r="S5900" s="59">
        <f ca="1">Dashboard!B$8* Dashboard!$F$4+Dashboard!B$10*SQRT(Dashboard!$F$4) * _xlfn.NORM.S.INV(RAND())</f>
        <v>6.3665529160542911E-2</v>
      </c>
      <c r="T5900" s="59">
        <f ca="1">Dashboard!C$8* Dashboard!$F$4+Dashboard!C$10*SQRT(Dashboard!$F$4) * _xlfn.NORM.S.INV(RAND())</f>
        <v>-2.5588237559157984E-2</v>
      </c>
      <c r="U5900" s="59">
        <f ca="1">Dashboard!D$8* Dashboard!$F$4+Dashboard!D$10*SQRT(Dashboard!$F$4) * _xlfn.NORM.S.INV(RAND())</f>
        <v>-3.6411204382242685E-2</v>
      </c>
    </row>
    <row r="5901" spans="18:21" x14ac:dyDescent="0.2">
      <c r="R5901" s="49">
        <v>5899</v>
      </c>
      <c r="S5901" s="59">
        <f ca="1">Dashboard!B$8* Dashboard!$F$4+Dashboard!B$10*SQRT(Dashboard!$F$4) * _xlfn.NORM.S.INV(RAND())</f>
        <v>9.8198185385106156E-3</v>
      </c>
      <c r="T5901" s="59">
        <f ca="1">Dashboard!C$8* Dashboard!$F$4+Dashboard!C$10*SQRT(Dashboard!$F$4) * _xlfn.NORM.S.INV(RAND())</f>
        <v>7.6531884271897818E-2</v>
      </c>
      <c r="U5901" s="59">
        <f ca="1">Dashboard!D$8* Dashboard!$F$4+Dashboard!D$10*SQRT(Dashboard!$F$4) * _xlfn.NORM.S.INV(RAND())</f>
        <v>-3.8878713620661982E-2</v>
      </c>
    </row>
    <row r="5902" spans="18:21" x14ac:dyDescent="0.2">
      <c r="R5902" s="49">
        <v>5900</v>
      </c>
      <c r="S5902" s="59">
        <f ca="1">Dashboard!B$8* Dashboard!$F$4+Dashboard!B$10*SQRT(Dashboard!$F$4) * _xlfn.NORM.S.INV(RAND())</f>
        <v>3.2718068243307127E-2</v>
      </c>
      <c r="T5902" s="59">
        <f ca="1">Dashboard!C$8* Dashboard!$F$4+Dashboard!C$10*SQRT(Dashboard!$F$4) * _xlfn.NORM.S.INV(RAND())</f>
        <v>4.2884732817717118E-2</v>
      </c>
      <c r="U5902" s="59">
        <f ca="1">Dashboard!D$8* Dashboard!$F$4+Dashboard!D$10*SQRT(Dashboard!$F$4) * _xlfn.NORM.S.INV(RAND())</f>
        <v>1.5104008480348685E-2</v>
      </c>
    </row>
    <row r="5903" spans="18:21" x14ac:dyDescent="0.2">
      <c r="R5903" s="49">
        <v>5901</v>
      </c>
      <c r="S5903" s="59">
        <f ca="1">Dashboard!B$8* Dashboard!$F$4+Dashboard!B$10*SQRT(Dashboard!$F$4) * _xlfn.NORM.S.INV(RAND())</f>
        <v>9.4365538500142329E-3</v>
      </c>
      <c r="T5903" s="59">
        <f ca="1">Dashboard!C$8* Dashboard!$F$4+Dashboard!C$10*SQRT(Dashboard!$F$4) * _xlfn.NORM.S.INV(RAND())</f>
        <v>6.2065544291771642E-2</v>
      </c>
      <c r="U5903" s="59">
        <f ca="1">Dashboard!D$8* Dashboard!$F$4+Dashboard!D$10*SQRT(Dashboard!$F$4) * _xlfn.NORM.S.INV(RAND())</f>
        <v>-6.5733023579748126E-2</v>
      </c>
    </row>
    <row r="5904" spans="18:21" x14ac:dyDescent="0.2">
      <c r="R5904" s="49">
        <v>5902</v>
      </c>
      <c r="S5904" s="59">
        <f ca="1">Dashboard!B$8* Dashboard!$F$4+Dashboard!B$10*SQRT(Dashboard!$F$4) * _xlfn.NORM.S.INV(RAND())</f>
        <v>-7.0405280000917711E-3</v>
      </c>
      <c r="T5904" s="59">
        <f ca="1">Dashboard!C$8* Dashboard!$F$4+Dashboard!C$10*SQRT(Dashboard!$F$4) * _xlfn.NORM.S.INV(RAND())</f>
        <v>-1.711905050941058E-2</v>
      </c>
      <c r="U5904" s="59">
        <f ca="1">Dashboard!D$8* Dashboard!$F$4+Dashboard!D$10*SQRT(Dashboard!$F$4) * _xlfn.NORM.S.INV(RAND())</f>
        <v>2.0917273265888468E-2</v>
      </c>
    </row>
    <row r="5905" spans="18:21" x14ac:dyDescent="0.2">
      <c r="R5905" s="49">
        <v>5903</v>
      </c>
      <c r="S5905" s="59">
        <f ca="1">Dashboard!B$8* Dashboard!$F$4+Dashboard!B$10*SQRT(Dashboard!$F$4) * _xlfn.NORM.S.INV(RAND())</f>
        <v>1.1029950801986115E-2</v>
      </c>
      <c r="T5905" s="59">
        <f ca="1">Dashboard!C$8* Dashboard!$F$4+Dashboard!C$10*SQRT(Dashboard!$F$4) * _xlfn.NORM.S.INV(RAND())</f>
        <v>-5.461280424449115E-2</v>
      </c>
      <c r="U5905" s="59">
        <f ca="1">Dashboard!D$8* Dashboard!$F$4+Dashboard!D$10*SQRT(Dashboard!$F$4) * _xlfn.NORM.S.INV(RAND())</f>
        <v>5.5285179060705542E-2</v>
      </c>
    </row>
    <row r="5906" spans="18:21" x14ac:dyDescent="0.2">
      <c r="R5906" s="49">
        <v>5904</v>
      </c>
      <c r="S5906" s="59">
        <f ca="1">Dashboard!B$8* Dashboard!$F$4+Dashboard!B$10*SQRT(Dashboard!$F$4) * _xlfn.NORM.S.INV(RAND())</f>
        <v>3.0819843410068652E-2</v>
      </c>
      <c r="T5906" s="59">
        <f ca="1">Dashboard!C$8* Dashboard!$F$4+Dashboard!C$10*SQRT(Dashboard!$F$4) * _xlfn.NORM.S.INV(RAND())</f>
        <v>2.6890626147472289E-2</v>
      </c>
      <c r="U5906" s="59">
        <f ca="1">Dashboard!D$8* Dashboard!$F$4+Dashboard!D$10*SQRT(Dashboard!$F$4) * _xlfn.NORM.S.INV(RAND())</f>
        <v>3.6165015915646886E-2</v>
      </c>
    </row>
    <row r="5907" spans="18:21" x14ac:dyDescent="0.2">
      <c r="R5907" s="49">
        <v>5905</v>
      </c>
      <c r="S5907" s="59">
        <f ca="1">Dashboard!B$8* Dashboard!$F$4+Dashboard!B$10*SQRT(Dashboard!$F$4) * _xlfn.NORM.S.INV(RAND())</f>
        <v>1.1376357467508376E-2</v>
      </c>
      <c r="T5907" s="59">
        <f ca="1">Dashboard!C$8* Dashboard!$F$4+Dashboard!C$10*SQRT(Dashboard!$F$4) * _xlfn.NORM.S.INV(RAND())</f>
        <v>-1.431235325477364E-2</v>
      </c>
      <c r="U5907" s="59">
        <f ca="1">Dashboard!D$8* Dashboard!$F$4+Dashboard!D$10*SQRT(Dashboard!$F$4) * _xlfn.NORM.S.INV(RAND())</f>
        <v>8.5299295442969568E-3</v>
      </c>
    </row>
    <row r="5908" spans="18:21" x14ac:dyDescent="0.2">
      <c r="R5908" s="49">
        <v>5906</v>
      </c>
      <c r="S5908" s="59">
        <f ca="1">Dashboard!B$8* Dashboard!$F$4+Dashboard!B$10*SQRT(Dashboard!$F$4) * _xlfn.NORM.S.INV(RAND())</f>
        <v>2.1643129124651736E-3</v>
      </c>
      <c r="T5908" s="59">
        <f ca="1">Dashboard!C$8* Dashboard!$F$4+Dashboard!C$10*SQRT(Dashboard!$F$4) * _xlfn.NORM.S.INV(RAND())</f>
        <v>7.3423321892900795E-2</v>
      </c>
      <c r="U5908" s="59">
        <f ca="1">Dashboard!D$8* Dashboard!$F$4+Dashboard!D$10*SQRT(Dashboard!$F$4) * _xlfn.NORM.S.INV(RAND())</f>
        <v>5.4535345442531531E-2</v>
      </c>
    </row>
    <row r="5909" spans="18:21" x14ac:dyDescent="0.2">
      <c r="R5909" s="49">
        <v>5907</v>
      </c>
      <c r="S5909" s="59">
        <f ca="1">Dashboard!B$8* Dashboard!$F$4+Dashboard!B$10*SQRT(Dashboard!$F$4) * _xlfn.NORM.S.INV(RAND())</f>
        <v>-5.2670994115658447E-2</v>
      </c>
      <c r="T5909" s="59">
        <f ca="1">Dashboard!C$8* Dashboard!$F$4+Dashboard!C$10*SQRT(Dashboard!$F$4) * _xlfn.NORM.S.INV(RAND())</f>
        <v>2.7021244378689416E-2</v>
      </c>
      <c r="U5909" s="59">
        <f ca="1">Dashboard!D$8* Dashboard!$F$4+Dashboard!D$10*SQRT(Dashboard!$F$4) * _xlfn.NORM.S.INV(RAND())</f>
        <v>1.131161314764572E-2</v>
      </c>
    </row>
    <row r="5910" spans="18:21" x14ac:dyDescent="0.2">
      <c r="R5910" s="49">
        <v>5908</v>
      </c>
      <c r="S5910" s="59">
        <f ca="1">Dashboard!B$8* Dashboard!$F$4+Dashboard!B$10*SQRT(Dashboard!$F$4) * _xlfn.NORM.S.INV(RAND())</f>
        <v>-4.445519422559328E-3</v>
      </c>
      <c r="T5910" s="59">
        <f ca="1">Dashboard!C$8* Dashboard!$F$4+Dashboard!C$10*SQRT(Dashboard!$F$4) * _xlfn.NORM.S.INV(RAND())</f>
        <v>1.814454246774036E-2</v>
      </c>
      <c r="U5910" s="59">
        <f ca="1">Dashboard!D$8* Dashboard!$F$4+Dashboard!D$10*SQRT(Dashboard!$F$4) * _xlfn.NORM.S.INV(RAND())</f>
        <v>6.3899867708491244E-4</v>
      </c>
    </row>
    <row r="5911" spans="18:21" x14ac:dyDescent="0.2">
      <c r="R5911" s="49">
        <v>5909</v>
      </c>
      <c r="S5911" s="59">
        <f ca="1">Dashboard!B$8* Dashboard!$F$4+Dashboard!B$10*SQRT(Dashboard!$F$4) * _xlfn.NORM.S.INV(RAND())</f>
        <v>-1.8140288227562057E-2</v>
      </c>
      <c r="T5911" s="59">
        <f ca="1">Dashboard!C$8* Dashboard!$F$4+Dashboard!C$10*SQRT(Dashboard!$F$4) * _xlfn.NORM.S.INV(RAND())</f>
        <v>-1.5369696626306498E-2</v>
      </c>
      <c r="U5911" s="59">
        <f ca="1">Dashboard!D$8* Dashboard!$F$4+Dashboard!D$10*SQRT(Dashboard!$F$4) * _xlfn.NORM.S.INV(RAND())</f>
        <v>-4.8443357484480302E-2</v>
      </c>
    </row>
    <row r="5912" spans="18:21" x14ac:dyDescent="0.2">
      <c r="R5912" s="49">
        <v>5910</v>
      </c>
      <c r="S5912" s="59">
        <f ca="1">Dashboard!B$8* Dashboard!$F$4+Dashboard!B$10*SQRT(Dashboard!$F$4) * _xlfn.NORM.S.INV(RAND())</f>
        <v>3.8433133876043087E-2</v>
      </c>
      <c r="T5912" s="59">
        <f ca="1">Dashboard!C$8* Dashboard!$F$4+Dashboard!C$10*SQRT(Dashboard!$F$4) * _xlfn.NORM.S.INV(RAND())</f>
        <v>1.6282483794808379E-2</v>
      </c>
      <c r="U5912" s="59">
        <f ca="1">Dashboard!D$8* Dashboard!$F$4+Dashboard!D$10*SQRT(Dashboard!$F$4) * _xlfn.NORM.S.INV(RAND())</f>
        <v>2.2782701016409213E-2</v>
      </c>
    </row>
    <row r="5913" spans="18:21" x14ac:dyDescent="0.2">
      <c r="R5913" s="49">
        <v>5911</v>
      </c>
      <c r="S5913" s="59">
        <f ca="1">Dashboard!B$8* Dashboard!$F$4+Dashboard!B$10*SQRT(Dashboard!$F$4) * _xlfn.NORM.S.INV(RAND())</f>
        <v>-6.6293473303037833E-3</v>
      </c>
      <c r="T5913" s="59">
        <f ca="1">Dashboard!C$8* Dashboard!$F$4+Dashboard!C$10*SQRT(Dashboard!$F$4) * _xlfn.NORM.S.INV(RAND())</f>
        <v>1.0464106621753122E-2</v>
      </c>
      <c r="U5913" s="59">
        <f ca="1">Dashboard!D$8* Dashboard!$F$4+Dashboard!D$10*SQRT(Dashboard!$F$4) * _xlfn.NORM.S.INV(RAND())</f>
        <v>-3.5971721647071297E-2</v>
      </c>
    </row>
    <row r="5914" spans="18:21" x14ac:dyDescent="0.2">
      <c r="R5914" s="49">
        <v>5912</v>
      </c>
      <c r="S5914" s="59">
        <f ca="1">Dashboard!B$8* Dashboard!$F$4+Dashboard!B$10*SQRT(Dashboard!$F$4) * _xlfn.NORM.S.INV(RAND())</f>
        <v>-5.8296658234960105E-3</v>
      </c>
      <c r="T5914" s="59">
        <f ca="1">Dashboard!C$8* Dashboard!$F$4+Dashboard!C$10*SQRT(Dashboard!$F$4) * _xlfn.NORM.S.INV(RAND())</f>
        <v>1.4906215659775499E-2</v>
      </c>
      <c r="U5914" s="59">
        <f ca="1">Dashboard!D$8* Dashboard!$F$4+Dashboard!D$10*SQRT(Dashboard!$F$4) * _xlfn.NORM.S.INV(RAND())</f>
        <v>-8.8783763150446383E-3</v>
      </c>
    </row>
    <row r="5915" spans="18:21" x14ac:dyDescent="0.2">
      <c r="R5915" s="49">
        <v>5913</v>
      </c>
      <c r="S5915" s="59">
        <f ca="1">Dashboard!B$8* Dashboard!$F$4+Dashboard!B$10*SQRT(Dashboard!$F$4) * _xlfn.NORM.S.INV(RAND())</f>
        <v>1.6250074866766238E-2</v>
      </c>
      <c r="T5915" s="59">
        <f ca="1">Dashboard!C$8* Dashboard!$F$4+Dashboard!C$10*SQRT(Dashboard!$F$4) * _xlfn.NORM.S.INV(RAND())</f>
        <v>-2.3514117703323682E-2</v>
      </c>
      <c r="U5915" s="59">
        <f ca="1">Dashboard!D$8* Dashboard!$F$4+Dashboard!D$10*SQRT(Dashboard!$F$4) * _xlfn.NORM.S.INV(RAND())</f>
        <v>2.8560974597607973E-3</v>
      </c>
    </row>
    <row r="5916" spans="18:21" x14ac:dyDescent="0.2">
      <c r="R5916" s="49">
        <v>5914</v>
      </c>
      <c r="S5916" s="59">
        <f ca="1">Dashboard!B$8* Dashboard!$F$4+Dashboard!B$10*SQRT(Dashboard!$F$4) * _xlfn.NORM.S.INV(RAND())</f>
        <v>1.5645187223251728E-2</v>
      </c>
      <c r="T5916" s="59">
        <f ca="1">Dashboard!C$8* Dashboard!$F$4+Dashboard!C$10*SQRT(Dashboard!$F$4) * _xlfn.NORM.S.INV(RAND())</f>
        <v>1.8086452759447586E-3</v>
      </c>
      <c r="U5916" s="59">
        <f ca="1">Dashboard!D$8* Dashboard!$F$4+Dashboard!D$10*SQRT(Dashboard!$F$4) * _xlfn.NORM.S.INV(RAND())</f>
        <v>3.4814136604450277E-3</v>
      </c>
    </row>
    <row r="5917" spans="18:21" x14ac:dyDescent="0.2">
      <c r="R5917" s="49">
        <v>5915</v>
      </c>
      <c r="S5917" s="59">
        <f ca="1">Dashboard!B$8* Dashboard!$F$4+Dashboard!B$10*SQRT(Dashboard!$F$4) * _xlfn.NORM.S.INV(RAND())</f>
        <v>2.0152206653248739E-2</v>
      </c>
      <c r="T5917" s="59">
        <f ca="1">Dashboard!C$8* Dashboard!$F$4+Dashboard!C$10*SQRT(Dashboard!$F$4) * _xlfn.NORM.S.INV(RAND())</f>
        <v>-2.3456497907911725E-2</v>
      </c>
      <c r="U5917" s="59">
        <f ca="1">Dashboard!D$8* Dashboard!$F$4+Dashboard!D$10*SQRT(Dashboard!$F$4) * _xlfn.NORM.S.INV(RAND())</f>
        <v>-5.387128699832134E-2</v>
      </c>
    </row>
    <row r="5918" spans="18:21" x14ac:dyDescent="0.2">
      <c r="R5918" s="49">
        <v>5916</v>
      </c>
      <c r="S5918" s="59">
        <f ca="1">Dashboard!B$8* Dashboard!$F$4+Dashboard!B$10*SQRT(Dashboard!$F$4) * _xlfn.NORM.S.INV(RAND())</f>
        <v>-6.8635257346656292E-3</v>
      </c>
      <c r="T5918" s="59">
        <f ca="1">Dashboard!C$8* Dashboard!$F$4+Dashboard!C$10*SQRT(Dashboard!$F$4) * _xlfn.NORM.S.INV(RAND())</f>
        <v>-3.0796419681280034E-2</v>
      </c>
      <c r="U5918" s="59">
        <f ca="1">Dashboard!D$8* Dashboard!$F$4+Dashboard!D$10*SQRT(Dashboard!$F$4) * _xlfn.NORM.S.INV(RAND())</f>
        <v>2.7159645868344684E-2</v>
      </c>
    </row>
    <row r="5919" spans="18:21" x14ac:dyDescent="0.2">
      <c r="R5919" s="49">
        <v>5917</v>
      </c>
      <c r="S5919" s="59">
        <f ca="1">Dashboard!B$8* Dashboard!$F$4+Dashboard!B$10*SQRT(Dashboard!$F$4) * _xlfn.NORM.S.INV(RAND())</f>
        <v>3.1640133790529344E-2</v>
      </c>
      <c r="T5919" s="59">
        <f ca="1">Dashboard!C$8* Dashboard!$F$4+Dashboard!C$10*SQRT(Dashboard!$F$4) * _xlfn.NORM.S.INV(RAND())</f>
        <v>-1.0358810085557314E-3</v>
      </c>
      <c r="U5919" s="59">
        <f ca="1">Dashboard!D$8* Dashboard!$F$4+Dashboard!D$10*SQRT(Dashboard!$F$4) * _xlfn.NORM.S.INV(RAND())</f>
        <v>-2.5354588799779611E-2</v>
      </c>
    </row>
    <row r="5920" spans="18:21" x14ac:dyDescent="0.2">
      <c r="R5920" s="49">
        <v>5918</v>
      </c>
      <c r="S5920" s="59">
        <f ca="1">Dashboard!B$8* Dashboard!$F$4+Dashboard!B$10*SQRT(Dashboard!$F$4) * _xlfn.NORM.S.INV(RAND())</f>
        <v>-1.4309451197572268E-2</v>
      </c>
      <c r="T5920" s="59">
        <f ca="1">Dashboard!C$8* Dashboard!$F$4+Dashboard!C$10*SQRT(Dashboard!$F$4) * _xlfn.NORM.S.INV(RAND())</f>
        <v>2.2448343167997958E-2</v>
      </c>
      <c r="U5920" s="59">
        <f ca="1">Dashboard!D$8* Dashboard!$F$4+Dashboard!D$10*SQRT(Dashboard!$F$4) * _xlfn.NORM.S.INV(RAND())</f>
        <v>1.3571547379061545E-3</v>
      </c>
    </row>
    <row r="5921" spans="18:21" x14ac:dyDescent="0.2">
      <c r="R5921" s="49">
        <v>5919</v>
      </c>
      <c r="S5921" s="59">
        <f ca="1">Dashboard!B$8* Dashboard!$F$4+Dashboard!B$10*SQRT(Dashboard!$F$4) * _xlfn.NORM.S.INV(RAND())</f>
        <v>-2.2652548467012213E-3</v>
      </c>
      <c r="T5921" s="59">
        <f ca="1">Dashboard!C$8* Dashboard!$F$4+Dashboard!C$10*SQRT(Dashboard!$F$4) * _xlfn.NORM.S.INV(RAND())</f>
        <v>-1.3515758021668323E-2</v>
      </c>
      <c r="U5921" s="59">
        <f ca="1">Dashboard!D$8* Dashboard!$F$4+Dashboard!D$10*SQRT(Dashboard!$F$4) * _xlfn.NORM.S.INV(RAND())</f>
        <v>5.4453845946174327E-2</v>
      </c>
    </row>
    <row r="5922" spans="18:21" x14ac:dyDescent="0.2">
      <c r="R5922" s="49">
        <v>5920</v>
      </c>
      <c r="S5922" s="59">
        <f ca="1">Dashboard!B$8* Dashboard!$F$4+Dashboard!B$10*SQRT(Dashboard!$F$4) * _xlfn.NORM.S.INV(RAND())</f>
        <v>6.4401955660627445E-3</v>
      </c>
      <c r="T5922" s="59">
        <f ca="1">Dashboard!C$8* Dashboard!$F$4+Dashboard!C$10*SQRT(Dashboard!$F$4) * _xlfn.NORM.S.INV(RAND())</f>
        <v>-2.4886522795245312E-2</v>
      </c>
      <c r="U5922" s="59">
        <f ca="1">Dashboard!D$8* Dashboard!$F$4+Dashboard!D$10*SQRT(Dashboard!$F$4) * _xlfn.NORM.S.INV(RAND())</f>
        <v>0.1077377709736449</v>
      </c>
    </row>
    <row r="5923" spans="18:21" x14ac:dyDescent="0.2">
      <c r="R5923" s="49">
        <v>5921</v>
      </c>
      <c r="S5923" s="59">
        <f ca="1">Dashboard!B$8* Dashboard!$F$4+Dashboard!B$10*SQRT(Dashboard!$F$4) * _xlfn.NORM.S.INV(RAND())</f>
        <v>2.2893010835619503E-2</v>
      </c>
      <c r="T5923" s="59">
        <f ca="1">Dashboard!C$8* Dashboard!$F$4+Dashboard!C$10*SQRT(Dashboard!$F$4) * _xlfn.NORM.S.INV(RAND())</f>
        <v>2.339274684281926E-3</v>
      </c>
      <c r="U5923" s="59">
        <f ca="1">Dashboard!D$8* Dashboard!$F$4+Dashboard!D$10*SQRT(Dashboard!$F$4) * _xlfn.NORM.S.INV(RAND())</f>
        <v>4.2766070412079089E-2</v>
      </c>
    </row>
    <row r="5924" spans="18:21" x14ac:dyDescent="0.2">
      <c r="R5924" s="49">
        <v>5922</v>
      </c>
      <c r="S5924" s="59">
        <f ca="1">Dashboard!B$8* Dashboard!$F$4+Dashboard!B$10*SQRT(Dashboard!$F$4) * _xlfn.NORM.S.INV(RAND())</f>
        <v>-1.913444543866636E-2</v>
      </c>
      <c r="T5924" s="59">
        <f ca="1">Dashboard!C$8* Dashboard!$F$4+Dashboard!C$10*SQRT(Dashboard!$F$4) * _xlfn.NORM.S.INV(RAND())</f>
        <v>-1.0541931972760505E-2</v>
      </c>
      <c r="U5924" s="59">
        <f ca="1">Dashboard!D$8* Dashboard!$F$4+Dashboard!D$10*SQRT(Dashboard!$F$4) * _xlfn.NORM.S.INV(RAND())</f>
        <v>-2.1747320298880327E-2</v>
      </c>
    </row>
    <row r="5925" spans="18:21" x14ac:dyDescent="0.2">
      <c r="R5925" s="49">
        <v>5923</v>
      </c>
      <c r="S5925" s="59">
        <f ca="1">Dashboard!B$8* Dashboard!$F$4+Dashboard!B$10*SQRT(Dashboard!$F$4) * _xlfn.NORM.S.INV(RAND())</f>
        <v>-4.4171010393366421E-3</v>
      </c>
      <c r="T5925" s="59">
        <f ca="1">Dashboard!C$8* Dashboard!$F$4+Dashboard!C$10*SQRT(Dashboard!$F$4) * _xlfn.NORM.S.INV(RAND())</f>
        <v>8.9992903837692699E-3</v>
      </c>
      <c r="U5925" s="59">
        <f ca="1">Dashboard!D$8* Dashboard!$F$4+Dashboard!D$10*SQRT(Dashboard!$F$4) * _xlfn.NORM.S.INV(RAND())</f>
        <v>-3.2343037083600493E-2</v>
      </c>
    </row>
    <row r="5926" spans="18:21" x14ac:dyDescent="0.2">
      <c r="R5926" s="49">
        <v>5924</v>
      </c>
      <c r="S5926" s="59">
        <f ca="1">Dashboard!B$8* Dashboard!$F$4+Dashboard!B$10*SQRT(Dashboard!$F$4) * _xlfn.NORM.S.INV(RAND())</f>
        <v>-4.2992144869493334E-2</v>
      </c>
      <c r="T5926" s="59">
        <f ca="1">Dashboard!C$8* Dashboard!$F$4+Dashboard!C$10*SQRT(Dashboard!$F$4) * _xlfn.NORM.S.INV(RAND())</f>
        <v>-2.2851694889341658E-3</v>
      </c>
      <c r="U5926" s="59">
        <f ca="1">Dashboard!D$8* Dashboard!$F$4+Dashboard!D$10*SQRT(Dashboard!$F$4) * _xlfn.NORM.S.INV(RAND())</f>
        <v>-4.3976763259473257E-2</v>
      </c>
    </row>
    <row r="5927" spans="18:21" x14ac:dyDescent="0.2">
      <c r="R5927" s="49">
        <v>5925</v>
      </c>
      <c r="S5927" s="59">
        <f ca="1">Dashboard!B$8* Dashboard!$F$4+Dashboard!B$10*SQRT(Dashboard!$F$4) * _xlfn.NORM.S.INV(RAND())</f>
        <v>-8.4498546284172502E-3</v>
      </c>
      <c r="T5927" s="59">
        <f ca="1">Dashboard!C$8* Dashboard!$F$4+Dashboard!C$10*SQRT(Dashboard!$F$4) * _xlfn.NORM.S.INV(RAND())</f>
        <v>-6.8050541876242487E-2</v>
      </c>
      <c r="U5927" s="59">
        <f ca="1">Dashboard!D$8* Dashboard!$F$4+Dashboard!D$10*SQRT(Dashboard!$F$4) * _xlfn.NORM.S.INV(RAND())</f>
        <v>5.5453297849780404E-2</v>
      </c>
    </row>
    <row r="5928" spans="18:21" x14ac:dyDescent="0.2">
      <c r="R5928" s="49">
        <v>5926</v>
      </c>
      <c r="S5928" s="59">
        <f ca="1">Dashboard!B$8* Dashboard!$F$4+Dashboard!B$10*SQRT(Dashboard!$F$4) * _xlfn.NORM.S.INV(RAND())</f>
        <v>-7.0422214122712268E-2</v>
      </c>
      <c r="T5928" s="59">
        <f ca="1">Dashboard!C$8* Dashboard!$F$4+Dashboard!C$10*SQRT(Dashboard!$F$4) * _xlfn.NORM.S.INV(RAND())</f>
        <v>-2.6805590200493012E-2</v>
      </c>
      <c r="U5928" s="59">
        <f ca="1">Dashboard!D$8* Dashboard!$F$4+Dashboard!D$10*SQRT(Dashboard!$F$4) * _xlfn.NORM.S.INV(RAND())</f>
        <v>-3.2468938366796929E-2</v>
      </c>
    </row>
    <row r="5929" spans="18:21" x14ac:dyDescent="0.2">
      <c r="R5929" s="49">
        <v>5927</v>
      </c>
      <c r="S5929" s="59">
        <f ca="1">Dashboard!B$8* Dashboard!$F$4+Dashboard!B$10*SQRT(Dashboard!$F$4) * _xlfn.NORM.S.INV(RAND())</f>
        <v>6.3973737581226722E-2</v>
      </c>
      <c r="T5929" s="59">
        <f ca="1">Dashboard!C$8* Dashboard!$F$4+Dashboard!C$10*SQRT(Dashboard!$F$4) * _xlfn.NORM.S.INV(RAND())</f>
        <v>3.4589229868076485E-2</v>
      </c>
      <c r="U5929" s="59">
        <f ca="1">Dashboard!D$8* Dashboard!$F$4+Dashboard!D$10*SQRT(Dashboard!$F$4) * _xlfn.NORM.S.INV(RAND())</f>
        <v>-2.4212989914361969E-2</v>
      </c>
    </row>
    <row r="5930" spans="18:21" x14ac:dyDescent="0.2">
      <c r="R5930" s="49">
        <v>5928</v>
      </c>
      <c r="S5930" s="59">
        <f ca="1">Dashboard!B$8* Dashboard!$F$4+Dashboard!B$10*SQRT(Dashboard!$F$4) * _xlfn.NORM.S.INV(RAND())</f>
        <v>-4.8234518907000368E-2</v>
      </c>
      <c r="T5930" s="59">
        <f ca="1">Dashboard!C$8* Dashboard!$F$4+Dashboard!C$10*SQRT(Dashboard!$F$4) * _xlfn.NORM.S.INV(RAND())</f>
        <v>-3.257337020988584E-3</v>
      </c>
      <c r="U5930" s="59">
        <f ca="1">Dashboard!D$8* Dashboard!$F$4+Dashboard!D$10*SQRT(Dashboard!$F$4) * _xlfn.NORM.S.INV(RAND())</f>
        <v>5.8376950030340893E-2</v>
      </c>
    </row>
    <row r="5931" spans="18:21" x14ac:dyDescent="0.2">
      <c r="R5931" s="49">
        <v>5929</v>
      </c>
      <c r="S5931" s="59">
        <f ca="1">Dashboard!B$8* Dashboard!$F$4+Dashboard!B$10*SQRT(Dashboard!$F$4) * _xlfn.NORM.S.INV(RAND())</f>
        <v>-1.1958233780736863E-2</v>
      </c>
      <c r="T5931" s="59">
        <f ca="1">Dashboard!C$8* Dashboard!$F$4+Dashboard!C$10*SQRT(Dashboard!$F$4) * _xlfn.NORM.S.INV(RAND())</f>
        <v>-9.1317641707844253E-3</v>
      </c>
      <c r="U5931" s="59">
        <f ca="1">Dashboard!D$8* Dashboard!$F$4+Dashboard!D$10*SQRT(Dashboard!$F$4) * _xlfn.NORM.S.INV(RAND())</f>
        <v>1.7007472162223959E-2</v>
      </c>
    </row>
    <row r="5932" spans="18:21" x14ac:dyDescent="0.2">
      <c r="R5932" s="49">
        <v>5930</v>
      </c>
      <c r="S5932" s="59">
        <f ca="1">Dashboard!B$8* Dashboard!$F$4+Dashboard!B$10*SQRT(Dashboard!$F$4) * _xlfn.NORM.S.INV(RAND())</f>
        <v>-7.2042093904455332E-2</v>
      </c>
      <c r="T5932" s="59">
        <f ca="1">Dashboard!C$8* Dashboard!$F$4+Dashboard!C$10*SQRT(Dashboard!$F$4) * _xlfn.NORM.S.INV(RAND())</f>
        <v>-2.6656350216003589E-2</v>
      </c>
      <c r="U5932" s="59">
        <f ca="1">Dashboard!D$8* Dashboard!$F$4+Dashboard!D$10*SQRT(Dashboard!$F$4) * _xlfn.NORM.S.INV(RAND())</f>
        <v>1.6533084615616825E-2</v>
      </c>
    </row>
    <row r="5933" spans="18:21" x14ac:dyDescent="0.2">
      <c r="R5933" s="49">
        <v>5931</v>
      </c>
      <c r="S5933" s="59">
        <f ca="1">Dashboard!B$8* Dashboard!$F$4+Dashboard!B$10*SQRT(Dashboard!$F$4) * _xlfn.NORM.S.INV(RAND())</f>
        <v>3.0095941938316759E-2</v>
      </c>
      <c r="T5933" s="59">
        <f ca="1">Dashboard!C$8* Dashboard!$F$4+Dashboard!C$10*SQRT(Dashboard!$F$4) * _xlfn.NORM.S.INV(RAND())</f>
        <v>-4.4489216286532948E-2</v>
      </c>
      <c r="U5933" s="59">
        <f ca="1">Dashboard!D$8* Dashboard!$F$4+Dashboard!D$10*SQRT(Dashboard!$F$4) * _xlfn.NORM.S.INV(RAND())</f>
        <v>2.5931315009326571E-2</v>
      </c>
    </row>
    <row r="5934" spans="18:21" x14ac:dyDescent="0.2">
      <c r="R5934" s="49">
        <v>5932</v>
      </c>
      <c r="S5934" s="59">
        <f ca="1">Dashboard!B$8* Dashboard!$F$4+Dashboard!B$10*SQRT(Dashboard!$F$4) * _xlfn.NORM.S.INV(RAND())</f>
        <v>-2.8664798722015626E-2</v>
      </c>
      <c r="T5934" s="59">
        <f ca="1">Dashboard!C$8* Dashboard!$F$4+Dashboard!C$10*SQRT(Dashboard!$F$4) * _xlfn.NORM.S.INV(RAND())</f>
        <v>3.0436240730942546E-2</v>
      </c>
      <c r="U5934" s="59">
        <f ca="1">Dashboard!D$8* Dashboard!$F$4+Dashboard!D$10*SQRT(Dashboard!$F$4) * _xlfn.NORM.S.INV(RAND())</f>
        <v>-5.3094650540436482E-3</v>
      </c>
    </row>
    <row r="5935" spans="18:21" x14ac:dyDescent="0.2">
      <c r="R5935" s="49">
        <v>5933</v>
      </c>
      <c r="S5935" s="59">
        <f ca="1">Dashboard!B$8* Dashboard!$F$4+Dashboard!B$10*SQRT(Dashboard!$F$4) * _xlfn.NORM.S.INV(RAND())</f>
        <v>6.5296625667354613E-2</v>
      </c>
      <c r="T5935" s="59">
        <f ca="1">Dashboard!C$8* Dashboard!$F$4+Dashboard!C$10*SQRT(Dashboard!$F$4) * _xlfn.NORM.S.INV(RAND())</f>
        <v>2.6747904339341485E-2</v>
      </c>
      <c r="U5935" s="59">
        <f ca="1">Dashboard!D$8* Dashboard!$F$4+Dashboard!D$10*SQRT(Dashboard!$F$4) * _xlfn.NORM.S.INV(RAND())</f>
        <v>5.8920560026179281E-3</v>
      </c>
    </row>
    <row r="5936" spans="18:21" x14ac:dyDescent="0.2">
      <c r="R5936" s="49">
        <v>5934</v>
      </c>
      <c r="S5936" s="59">
        <f ca="1">Dashboard!B$8* Dashboard!$F$4+Dashboard!B$10*SQRT(Dashboard!$F$4) * _xlfn.NORM.S.INV(RAND())</f>
        <v>-7.89403427346827E-3</v>
      </c>
      <c r="T5936" s="59">
        <f ca="1">Dashboard!C$8* Dashboard!$F$4+Dashboard!C$10*SQRT(Dashboard!$F$4) * _xlfn.NORM.S.INV(RAND())</f>
        <v>5.0932197646329821E-2</v>
      </c>
      <c r="U5936" s="59">
        <f ca="1">Dashboard!D$8* Dashboard!$F$4+Dashboard!D$10*SQRT(Dashboard!$F$4) * _xlfn.NORM.S.INV(RAND())</f>
        <v>-5.3952911869539653E-3</v>
      </c>
    </row>
    <row r="5937" spans="18:21" x14ac:dyDescent="0.2">
      <c r="R5937" s="49">
        <v>5935</v>
      </c>
      <c r="S5937" s="59">
        <f ca="1">Dashboard!B$8* Dashboard!$F$4+Dashboard!B$10*SQRT(Dashboard!$F$4) * _xlfn.NORM.S.INV(RAND())</f>
        <v>4.2952844636092002E-2</v>
      </c>
      <c r="T5937" s="59">
        <f ca="1">Dashboard!C$8* Dashboard!$F$4+Dashboard!C$10*SQRT(Dashboard!$F$4) * _xlfn.NORM.S.INV(RAND())</f>
        <v>-1.6298609309829688E-2</v>
      </c>
      <c r="U5937" s="59">
        <f ca="1">Dashboard!D$8* Dashboard!$F$4+Dashboard!D$10*SQRT(Dashboard!$F$4) * _xlfn.NORM.S.INV(RAND())</f>
        <v>1.8917919936574247E-2</v>
      </c>
    </row>
    <row r="5938" spans="18:21" x14ac:dyDescent="0.2">
      <c r="R5938" s="49">
        <v>5936</v>
      </c>
      <c r="S5938" s="59">
        <f ca="1">Dashboard!B$8* Dashboard!$F$4+Dashboard!B$10*SQRT(Dashboard!$F$4) * _xlfn.NORM.S.INV(RAND())</f>
        <v>-1.5115889485734495E-2</v>
      </c>
      <c r="T5938" s="59">
        <f ca="1">Dashboard!C$8* Dashboard!$F$4+Dashboard!C$10*SQRT(Dashboard!$F$4) * _xlfn.NORM.S.INV(RAND())</f>
        <v>4.2125461304081187E-2</v>
      </c>
      <c r="U5938" s="59">
        <f ca="1">Dashboard!D$8* Dashboard!$F$4+Dashboard!D$10*SQRT(Dashboard!$F$4) * _xlfn.NORM.S.INV(RAND())</f>
        <v>8.090636735424905E-3</v>
      </c>
    </row>
    <row r="5939" spans="18:21" x14ac:dyDescent="0.2">
      <c r="R5939" s="49">
        <v>5937</v>
      </c>
      <c r="S5939" s="59">
        <f ca="1">Dashboard!B$8* Dashboard!$F$4+Dashboard!B$10*SQRT(Dashboard!$F$4) * _xlfn.NORM.S.INV(RAND())</f>
        <v>4.1629787403307958E-2</v>
      </c>
      <c r="T5939" s="59">
        <f ca="1">Dashboard!C$8* Dashboard!$F$4+Dashboard!C$10*SQRT(Dashboard!$F$4) * _xlfn.NORM.S.INV(RAND())</f>
        <v>3.9497854832319074E-2</v>
      </c>
      <c r="U5939" s="59">
        <f ca="1">Dashboard!D$8* Dashboard!$F$4+Dashboard!D$10*SQRT(Dashboard!$F$4) * _xlfn.NORM.S.INV(RAND())</f>
        <v>7.087771996612805E-3</v>
      </c>
    </row>
    <row r="5940" spans="18:21" x14ac:dyDescent="0.2">
      <c r="R5940" s="49">
        <v>5938</v>
      </c>
      <c r="S5940" s="59">
        <f ca="1">Dashboard!B$8* Dashboard!$F$4+Dashboard!B$10*SQRT(Dashboard!$F$4) * _xlfn.NORM.S.INV(RAND())</f>
        <v>-6.9104143919177852E-2</v>
      </c>
      <c r="T5940" s="59">
        <f ca="1">Dashboard!C$8* Dashboard!$F$4+Dashboard!C$10*SQRT(Dashboard!$F$4) * _xlfn.NORM.S.INV(RAND())</f>
        <v>4.082580602567052E-2</v>
      </c>
      <c r="U5940" s="59">
        <f ca="1">Dashboard!D$8* Dashboard!$F$4+Dashboard!D$10*SQRT(Dashboard!$F$4) * _xlfn.NORM.S.INV(RAND())</f>
        <v>-4.9860124263435592E-2</v>
      </c>
    </row>
    <row r="5941" spans="18:21" x14ac:dyDescent="0.2">
      <c r="R5941" s="49">
        <v>5939</v>
      </c>
      <c r="S5941" s="59">
        <f ca="1">Dashboard!B$8* Dashboard!$F$4+Dashboard!B$10*SQRT(Dashboard!$F$4) * _xlfn.NORM.S.INV(RAND())</f>
        <v>-2.6173011551411341E-4</v>
      </c>
      <c r="T5941" s="59">
        <f ca="1">Dashboard!C$8* Dashboard!$F$4+Dashboard!C$10*SQRT(Dashboard!$F$4) * _xlfn.NORM.S.INV(RAND())</f>
        <v>4.4265890787439661E-3</v>
      </c>
      <c r="U5941" s="59">
        <f ca="1">Dashboard!D$8* Dashboard!$F$4+Dashboard!D$10*SQRT(Dashboard!$F$4) * _xlfn.NORM.S.INV(RAND())</f>
        <v>6.5110752910433178E-3</v>
      </c>
    </row>
    <row r="5942" spans="18:21" x14ac:dyDescent="0.2">
      <c r="R5942" s="49">
        <v>5940</v>
      </c>
      <c r="S5942" s="59">
        <f ca="1">Dashboard!B$8* Dashboard!$F$4+Dashboard!B$10*SQRT(Dashboard!$F$4) * _xlfn.NORM.S.INV(RAND())</f>
        <v>-6.3428611683124178E-2</v>
      </c>
      <c r="T5942" s="59">
        <f ca="1">Dashboard!C$8* Dashboard!$F$4+Dashboard!C$10*SQRT(Dashboard!$F$4) * _xlfn.NORM.S.INV(RAND())</f>
        <v>-7.4780184222800639E-2</v>
      </c>
      <c r="U5942" s="59">
        <f ca="1">Dashboard!D$8* Dashboard!$F$4+Dashboard!D$10*SQRT(Dashboard!$F$4) * _xlfn.NORM.S.INV(RAND())</f>
        <v>8.4261395686772312E-3</v>
      </c>
    </row>
    <row r="5943" spans="18:21" x14ac:dyDescent="0.2">
      <c r="R5943" s="49">
        <v>5941</v>
      </c>
      <c r="S5943" s="59">
        <f ca="1">Dashboard!B$8* Dashboard!$F$4+Dashboard!B$10*SQRT(Dashboard!$F$4) * _xlfn.NORM.S.INV(RAND())</f>
        <v>4.6148765810032188E-2</v>
      </c>
      <c r="T5943" s="59">
        <f ca="1">Dashboard!C$8* Dashboard!$F$4+Dashboard!C$10*SQRT(Dashboard!$F$4) * _xlfn.NORM.S.INV(RAND())</f>
        <v>-7.7354605456350306E-3</v>
      </c>
      <c r="U5943" s="59">
        <f ca="1">Dashboard!D$8* Dashboard!$F$4+Dashboard!D$10*SQRT(Dashboard!$F$4) * _xlfn.NORM.S.INV(RAND())</f>
        <v>5.8850951044062932E-2</v>
      </c>
    </row>
    <row r="5944" spans="18:21" x14ac:dyDescent="0.2">
      <c r="R5944" s="49">
        <v>5942</v>
      </c>
      <c r="S5944" s="59">
        <f ca="1">Dashboard!B$8* Dashboard!$F$4+Dashboard!B$10*SQRT(Dashboard!$F$4) * _xlfn.NORM.S.INV(RAND())</f>
        <v>-3.8067209106093488E-3</v>
      </c>
      <c r="T5944" s="59">
        <f ca="1">Dashboard!C$8* Dashboard!$F$4+Dashboard!C$10*SQRT(Dashboard!$F$4) * _xlfn.NORM.S.INV(RAND())</f>
        <v>-6.8693399517152726E-2</v>
      </c>
      <c r="U5944" s="59">
        <f ca="1">Dashboard!D$8* Dashboard!$F$4+Dashboard!D$10*SQRT(Dashboard!$F$4) * _xlfn.NORM.S.INV(RAND())</f>
        <v>1.4613859062274323E-2</v>
      </c>
    </row>
    <row r="5945" spans="18:21" x14ac:dyDescent="0.2">
      <c r="R5945" s="49">
        <v>5943</v>
      </c>
      <c r="S5945" s="59">
        <f ca="1">Dashboard!B$8* Dashboard!$F$4+Dashboard!B$10*SQRT(Dashboard!$F$4) * _xlfn.NORM.S.INV(RAND())</f>
        <v>-2.6804648903150784E-2</v>
      </c>
      <c r="T5945" s="59">
        <f ca="1">Dashboard!C$8* Dashboard!$F$4+Dashboard!C$10*SQRT(Dashboard!$F$4) * _xlfn.NORM.S.INV(RAND())</f>
        <v>-1.0028731518832757E-2</v>
      </c>
      <c r="U5945" s="59">
        <f ca="1">Dashboard!D$8* Dashboard!$F$4+Dashboard!D$10*SQRT(Dashboard!$F$4) * _xlfn.NORM.S.INV(RAND())</f>
        <v>-5.0581068212773243E-2</v>
      </c>
    </row>
    <row r="5946" spans="18:21" x14ac:dyDescent="0.2">
      <c r="R5946" s="49">
        <v>5944</v>
      </c>
      <c r="S5946" s="59">
        <f ca="1">Dashboard!B$8* Dashboard!$F$4+Dashboard!B$10*SQRT(Dashboard!$F$4) * _xlfn.NORM.S.INV(RAND())</f>
        <v>1.6576518874986221E-2</v>
      </c>
      <c r="T5946" s="59">
        <f ca="1">Dashboard!C$8* Dashboard!$F$4+Dashboard!C$10*SQRT(Dashboard!$F$4) * _xlfn.NORM.S.INV(RAND())</f>
        <v>-1.1678810594033286E-3</v>
      </c>
      <c r="U5946" s="59">
        <f ca="1">Dashboard!D$8* Dashboard!$F$4+Dashboard!D$10*SQRT(Dashboard!$F$4) * _xlfn.NORM.S.INV(RAND())</f>
        <v>-6.9548720564586122E-2</v>
      </c>
    </row>
    <row r="5947" spans="18:21" x14ac:dyDescent="0.2">
      <c r="R5947" s="49">
        <v>5945</v>
      </c>
      <c r="S5947" s="59">
        <f ca="1">Dashboard!B$8* Dashboard!$F$4+Dashboard!B$10*SQRT(Dashboard!$F$4) * _xlfn.NORM.S.INV(RAND())</f>
        <v>1.7697726087922548E-2</v>
      </c>
      <c r="T5947" s="59">
        <f ca="1">Dashboard!C$8* Dashboard!$F$4+Dashboard!C$10*SQRT(Dashboard!$F$4) * _xlfn.NORM.S.INV(RAND())</f>
        <v>-1.9117338141273728E-3</v>
      </c>
      <c r="U5947" s="59">
        <f ca="1">Dashboard!D$8* Dashboard!$F$4+Dashboard!D$10*SQRT(Dashboard!$F$4) * _xlfn.NORM.S.INV(RAND())</f>
        <v>2.5091276379489463E-2</v>
      </c>
    </row>
    <row r="5948" spans="18:21" x14ac:dyDescent="0.2">
      <c r="R5948" s="49">
        <v>5946</v>
      </c>
      <c r="S5948" s="59">
        <f ca="1">Dashboard!B$8* Dashboard!$F$4+Dashboard!B$10*SQRT(Dashboard!$F$4) * _xlfn.NORM.S.INV(RAND())</f>
        <v>-9.7740054479494593E-3</v>
      </c>
      <c r="T5948" s="59">
        <f ca="1">Dashboard!C$8* Dashboard!$F$4+Dashboard!C$10*SQRT(Dashboard!$F$4) * _xlfn.NORM.S.INV(RAND())</f>
        <v>6.0847769535540925E-3</v>
      </c>
      <c r="U5948" s="59">
        <f ca="1">Dashboard!D$8* Dashboard!$F$4+Dashboard!D$10*SQRT(Dashboard!$F$4) * _xlfn.NORM.S.INV(RAND())</f>
        <v>3.2311243557132176E-4</v>
      </c>
    </row>
    <row r="5949" spans="18:21" x14ac:dyDescent="0.2">
      <c r="R5949" s="49">
        <v>5947</v>
      </c>
      <c r="S5949" s="59">
        <f ca="1">Dashboard!B$8* Dashboard!$F$4+Dashboard!B$10*SQRT(Dashboard!$F$4) * _xlfn.NORM.S.INV(RAND())</f>
        <v>-6.2670458756368966E-2</v>
      </c>
      <c r="T5949" s="59">
        <f ca="1">Dashboard!C$8* Dashboard!$F$4+Dashboard!C$10*SQRT(Dashboard!$F$4) * _xlfn.NORM.S.INV(RAND())</f>
        <v>-4.7467599869676696E-3</v>
      </c>
      <c r="U5949" s="59">
        <f ca="1">Dashboard!D$8* Dashboard!$F$4+Dashboard!D$10*SQRT(Dashboard!$F$4) * _xlfn.NORM.S.INV(RAND())</f>
        <v>3.4355223061484204E-2</v>
      </c>
    </row>
    <row r="5950" spans="18:21" x14ac:dyDescent="0.2">
      <c r="R5950" s="49">
        <v>5948</v>
      </c>
      <c r="S5950" s="59">
        <f ca="1">Dashboard!B$8* Dashboard!$F$4+Dashboard!B$10*SQRT(Dashboard!$F$4) * _xlfn.NORM.S.INV(RAND())</f>
        <v>1.2646835568095026E-2</v>
      </c>
      <c r="T5950" s="59">
        <f ca="1">Dashboard!C$8* Dashboard!$F$4+Dashboard!C$10*SQRT(Dashboard!$F$4) * _xlfn.NORM.S.INV(RAND())</f>
        <v>-2.4195188564082988E-2</v>
      </c>
      <c r="U5950" s="59">
        <f ca="1">Dashboard!D$8* Dashboard!$F$4+Dashboard!D$10*SQRT(Dashboard!$F$4) * _xlfn.NORM.S.INV(RAND())</f>
        <v>-2.8658456014016336E-2</v>
      </c>
    </row>
    <row r="5951" spans="18:21" x14ac:dyDescent="0.2">
      <c r="R5951" s="49">
        <v>5949</v>
      </c>
      <c r="S5951" s="59">
        <f ca="1">Dashboard!B$8* Dashboard!$F$4+Dashboard!B$10*SQRT(Dashboard!$F$4) * _xlfn.NORM.S.INV(RAND())</f>
        <v>1.4263861446102163E-2</v>
      </c>
      <c r="T5951" s="59">
        <f ca="1">Dashboard!C$8* Dashboard!$F$4+Dashboard!C$10*SQRT(Dashboard!$F$4) * _xlfn.NORM.S.INV(RAND())</f>
        <v>3.793669307683261E-2</v>
      </c>
      <c r="U5951" s="59">
        <f ca="1">Dashboard!D$8* Dashboard!$F$4+Dashboard!D$10*SQRT(Dashboard!$F$4) * _xlfn.NORM.S.INV(RAND())</f>
        <v>-1.1640963702950421E-2</v>
      </c>
    </row>
    <row r="5952" spans="18:21" x14ac:dyDescent="0.2">
      <c r="R5952" s="49">
        <v>5950</v>
      </c>
      <c r="S5952" s="59">
        <f ca="1">Dashboard!B$8* Dashboard!$F$4+Dashboard!B$10*SQRT(Dashboard!$F$4) * _xlfn.NORM.S.INV(RAND())</f>
        <v>4.5270149061487325E-2</v>
      </c>
      <c r="T5952" s="59">
        <f ca="1">Dashboard!C$8* Dashboard!$F$4+Dashboard!C$10*SQRT(Dashboard!$F$4) * _xlfn.NORM.S.INV(RAND())</f>
        <v>2.4637613865249416E-2</v>
      </c>
      <c r="U5952" s="59">
        <f ca="1">Dashboard!D$8* Dashboard!$F$4+Dashboard!D$10*SQRT(Dashboard!$F$4) * _xlfn.NORM.S.INV(RAND())</f>
        <v>9.0511620378930431E-4</v>
      </c>
    </row>
    <row r="5953" spans="18:21" x14ac:dyDescent="0.2">
      <c r="R5953" s="49">
        <v>5951</v>
      </c>
      <c r="S5953" s="59">
        <f ca="1">Dashboard!B$8* Dashboard!$F$4+Dashboard!B$10*SQRT(Dashboard!$F$4) * _xlfn.NORM.S.INV(RAND())</f>
        <v>9.4603930326031642E-3</v>
      </c>
      <c r="T5953" s="59">
        <f ca="1">Dashboard!C$8* Dashboard!$F$4+Dashboard!C$10*SQRT(Dashboard!$F$4) * _xlfn.NORM.S.INV(RAND())</f>
        <v>5.7193505020841737E-2</v>
      </c>
      <c r="U5953" s="59">
        <f ca="1">Dashboard!D$8* Dashboard!$F$4+Dashboard!D$10*SQRT(Dashboard!$F$4) * _xlfn.NORM.S.INV(RAND())</f>
        <v>-1.450226773279069E-3</v>
      </c>
    </row>
    <row r="5954" spans="18:21" x14ac:dyDescent="0.2">
      <c r="R5954" s="49">
        <v>5952</v>
      </c>
      <c r="S5954" s="59">
        <f ca="1">Dashboard!B$8* Dashboard!$F$4+Dashboard!B$10*SQRT(Dashboard!$F$4) * _xlfn.NORM.S.INV(RAND())</f>
        <v>2.6455108599049863E-2</v>
      </c>
      <c r="T5954" s="59">
        <f ca="1">Dashboard!C$8* Dashboard!$F$4+Dashboard!C$10*SQRT(Dashboard!$F$4) * _xlfn.NORM.S.INV(RAND())</f>
        <v>3.1197534324872569E-2</v>
      </c>
      <c r="U5954" s="59">
        <f ca="1">Dashboard!D$8* Dashboard!$F$4+Dashboard!D$10*SQRT(Dashboard!$F$4) * _xlfn.NORM.S.INV(RAND())</f>
        <v>3.4557176293369102E-2</v>
      </c>
    </row>
    <row r="5955" spans="18:21" x14ac:dyDescent="0.2">
      <c r="R5955" s="49">
        <v>5953</v>
      </c>
      <c r="S5955" s="59">
        <f ca="1">Dashboard!B$8* Dashboard!$F$4+Dashboard!B$10*SQRT(Dashboard!$F$4) * _xlfn.NORM.S.INV(RAND())</f>
        <v>-5.3878772267754366E-2</v>
      </c>
      <c r="T5955" s="59">
        <f ca="1">Dashboard!C$8* Dashboard!$F$4+Dashboard!C$10*SQRT(Dashboard!$F$4) * _xlfn.NORM.S.INV(RAND())</f>
        <v>2.9878882562035317E-2</v>
      </c>
      <c r="U5955" s="59">
        <f ca="1">Dashboard!D$8* Dashboard!$F$4+Dashboard!D$10*SQRT(Dashboard!$F$4) * _xlfn.NORM.S.INV(RAND())</f>
        <v>4.6550413383653573E-2</v>
      </c>
    </row>
    <row r="5956" spans="18:21" x14ac:dyDescent="0.2">
      <c r="R5956" s="49">
        <v>5954</v>
      </c>
      <c r="S5956" s="59">
        <f ca="1">Dashboard!B$8* Dashboard!$F$4+Dashboard!B$10*SQRT(Dashboard!$F$4) * _xlfn.NORM.S.INV(RAND())</f>
        <v>7.8275468162934222E-2</v>
      </c>
      <c r="T5956" s="59">
        <f ca="1">Dashboard!C$8* Dashboard!$F$4+Dashboard!C$10*SQRT(Dashboard!$F$4) * _xlfn.NORM.S.INV(RAND())</f>
        <v>-2.2485556446218073E-2</v>
      </c>
      <c r="U5956" s="59">
        <f ca="1">Dashboard!D$8* Dashboard!$F$4+Dashboard!D$10*SQRT(Dashboard!$F$4) * _xlfn.NORM.S.INV(RAND())</f>
        <v>-1.7727898255537513E-3</v>
      </c>
    </row>
    <row r="5957" spans="18:21" x14ac:dyDescent="0.2">
      <c r="R5957" s="49">
        <v>5955</v>
      </c>
      <c r="S5957" s="59">
        <f ca="1">Dashboard!B$8* Dashboard!$F$4+Dashboard!B$10*SQRT(Dashboard!$F$4) * _xlfn.NORM.S.INV(RAND())</f>
        <v>1.10267343704237E-2</v>
      </c>
      <c r="T5957" s="59">
        <f ca="1">Dashboard!C$8* Dashboard!$F$4+Dashboard!C$10*SQRT(Dashboard!$F$4) * _xlfn.NORM.S.INV(RAND())</f>
        <v>1.7803567407551946E-2</v>
      </c>
      <c r="U5957" s="59">
        <f ca="1">Dashboard!D$8* Dashboard!$F$4+Dashboard!D$10*SQRT(Dashboard!$F$4) * _xlfn.NORM.S.INV(RAND())</f>
        <v>-1.7413846335224546E-2</v>
      </c>
    </row>
    <row r="5958" spans="18:21" x14ac:dyDescent="0.2">
      <c r="R5958" s="49">
        <v>5956</v>
      </c>
      <c r="S5958" s="59">
        <f ca="1">Dashboard!B$8* Dashboard!$F$4+Dashboard!B$10*SQRT(Dashboard!$F$4) * _xlfn.NORM.S.INV(RAND())</f>
        <v>-1.0407845895568724E-2</v>
      </c>
      <c r="T5958" s="59">
        <f ca="1">Dashboard!C$8* Dashboard!$F$4+Dashboard!C$10*SQRT(Dashboard!$F$4) * _xlfn.NORM.S.INV(RAND())</f>
        <v>-1.7376074815321257E-2</v>
      </c>
      <c r="U5958" s="59">
        <f ca="1">Dashboard!D$8* Dashboard!$F$4+Dashboard!D$10*SQRT(Dashboard!$F$4) * _xlfn.NORM.S.INV(RAND())</f>
        <v>-7.6649034036347747E-3</v>
      </c>
    </row>
    <row r="5959" spans="18:21" x14ac:dyDescent="0.2">
      <c r="R5959" s="49">
        <v>5957</v>
      </c>
      <c r="S5959" s="59">
        <f ca="1">Dashboard!B$8* Dashboard!$F$4+Dashboard!B$10*SQRT(Dashboard!$F$4) * _xlfn.NORM.S.INV(RAND())</f>
        <v>-5.9469670620332954E-2</v>
      </c>
      <c r="T5959" s="59">
        <f ca="1">Dashboard!C$8* Dashboard!$F$4+Dashboard!C$10*SQRT(Dashboard!$F$4) * _xlfn.NORM.S.INV(RAND())</f>
        <v>1.3977222654783386E-3</v>
      </c>
      <c r="U5959" s="59">
        <f ca="1">Dashboard!D$8* Dashboard!$F$4+Dashboard!D$10*SQRT(Dashboard!$F$4) * _xlfn.NORM.S.INV(RAND())</f>
        <v>-2.1856830321306694E-2</v>
      </c>
    </row>
    <row r="5960" spans="18:21" x14ac:dyDescent="0.2">
      <c r="R5960" s="49">
        <v>5958</v>
      </c>
      <c r="S5960" s="59">
        <f ca="1">Dashboard!B$8* Dashboard!$F$4+Dashboard!B$10*SQRT(Dashboard!$F$4) * _xlfn.NORM.S.INV(RAND())</f>
        <v>4.0091308693694476E-2</v>
      </c>
      <c r="T5960" s="59">
        <f ca="1">Dashboard!C$8* Dashboard!$F$4+Dashboard!C$10*SQRT(Dashboard!$F$4) * _xlfn.NORM.S.INV(RAND())</f>
        <v>-3.1823283088847229E-2</v>
      </c>
      <c r="U5960" s="59">
        <f ca="1">Dashboard!D$8* Dashboard!$F$4+Dashboard!D$10*SQRT(Dashboard!$F$4) * _xlfn.NORM.S.INV(RAND())</f>
        <v>-5.8093174211871716E-3</v>
      </c>
    </row>
    <row r="5961" spans="18:21" x14ac:dyDescent="0.2">
      <c r="R5961" s="49">
        <v>5959</v>
      </c>
      <c r="S5961" s="59">
        <f ca="1">Dashboard!B$8* Dashboard!$F$4+Dashboard!B$10*SQRT(Dashboard!$F$4) * _xlfn.NORM.S.INV(RAND())</f>
        <v>8.6271121492163504E-3</v>
      </c>
      <c r="T5961" s="59">
        <f ca="1">Dashboard!C$8* Dashboard!$F$4+Dashboard!C$10*SQRT(Dashboard!$F$4) * _xlfn.NORM.S.INV(RAND())</f>
        <v>2.6459905352802102E-2</v>
      </c>
      <c r="U5961" s="59">
        <f ca="1">Dashboard!D$8* Dashboard!$F$4+Dashboard!D$10*SQRT(Dashboard!$F$4) * _xlfn.NORM.S.INV(RAND())</f>
        <v>1.3041993610068615E-2</v>
      </c>
    </row>
    <row r="5962" spans="18:21" x14ac:dyDescent="0.2">
      <c r="R5962" s="49">
        <v>5960</v>
      </c>
      <c r="S5962" s="59">
        <f ca="1">Dashboard!B$8* Dashboard!$F$4+Dashboard!B$10*SQRT(Dashboard!$F$4) * _xlfn.NORM.S.INV(RAND())</f>
        <v>-1.6335500049576283E-2</v>
      </c>
      <c r="T5962" s="59">
        <f ca="1">Dashboard!C$8* Dashboard!$F$4+Dashboard!C$10*SQRT(Dashboard!$F$4) * _xlfn.NORM.S.INV(RAND())</f>
        <v>1.1440843709173622E-2</v>
      </c>
      <c r="U5962" s="59">
        <f ca="1">Dashboard!D$8* Dashboard!$F$4+Dashboard!D$10*SQRT(Dashboard!$F$4) * _xlfn.NORM.S.INV(RAND())</f>
        <v>1.332670091805894E-2</v>
      </c>
    </row>
    <row r="5963" spans="18:21" x14ac:dyDescent="0.2">
      <c r="R5963" s="49">
        <v>5961</v>
      </c>
      <c r="S5963" s="59">
        <f ca="1">Dashboard!B$8* Dashboard!$F$4+Dashboard!B$10*SQRT(Dashboard!$F$4) * _xlfn.NORM.S.INV(RAND())</f>
        <v>4.3626291542073432E-2</v>
      </c>
      <c r="T5963" s="59">
        <f ca="1">Dashboard!C$8* Dashboard!$F$4+Dashboard!C$10*SQRT(Dashboard!$F$4) * _xlfn.NORM.S.INV(RAND())</f>
        <v>4.0822086129582158E-2</v>
      </c>
      <c r="U5963" s="59">
        <f ca="1">Dashboard!D$8* Dashboard!$F$4+Dashboard!D$10*SQRT(Dashboard!$F$4) * _xlfn.NORM.S.INV(RAND())</f>
        <v>-3.8784929792262779E-2</v>
      </c>
    </row>
    <row r="5964" spans="18:21" x14ac:dyDescent="0.2">
      <c r="R5964" s="49">
        <v>5962</v>
      </c>
      <c r="S5964" s="59">
        <f ca="1">Dashboard!B$8* Dashboard!$F$4+Dashboard!B$10*SQRT(Dashboard!$F$4) * _xlfn.NORM.S.INV(RAND())</f>
        <v>1.7552195899887421E-2</v>
      </c>
      <c r="T5964" s="59">
        <f ca="1">Dashboard!C$8* Dashboard!$F$4+Dashboard!C$10*SQRT(Dashboard!$F$4) * _xlfn.NORM.S.INV(RAND())</f>
        <v>2.64422126791433E-2</v>
      </c>
      <c r="U5964" s="59">
        <f ca="1">Dashboard!D$8* Dashboard!$F$4+Dashboard!D$10*SQRT(Dashboard!$F$4) * _xlfn.NORM.S.INV(RAND())</f>
        <v>-1.4315107341704093E-2</v>
      </c>
    </row>
    <row r="5965" spans="18:21" x14ac:dyDescent="0.2">
      <c r="R5965" s="49">
        <v>5963</v>
      </c>
      <c r="S5965" s="59">
        <f ca="1">Dashboard!B$8* Dashboard!$F$4+Dashboard!B$10*SQRT(Dashboard!$F$4) * _xlfn.NORM.S.INV(RAND())</f>
        <v>3.7893853030690781E-2</v>
      </c>
      <c r="T5965" s="59">
        <f ca="1">Dashboard!C$8* Dashboard!$F$4+Dashboard!C$10*SQRT(Dashboard!$F$4) * _xlfn.NORM.S.INV(RAND())</f>
        <v>1.4641178617283149E-2</v>
      </c>
      <c r="U5965" s="59">
        <f ca="1">Dashboard!D$8* Dashboard!$F$4+Dashboard!D$10*SQRT(Dashboard!$F$4) * _xlfn.NORM.S.INV(RAND())</f>
        <v>1.1940080871428017E-2</v>
      </c>
    </row>
    <row r="5966" spans="18:21" x14ac:dyDescent="0.2">
      <c r="R5966" s="49">
        <v>5964</v>
      </c>
      <c r="S5966" s="59">
        <f ca="1">Dashboard!B$8* Dashboard!$F$4+Dashboard!B$10*SQRT(Dashboard!$F$4) * _xlfn.NORM.S.INV(RAND())</f>
        <v>3.6304931424526218E-2</v>
      </c>
      <c r="T5966" s="59">
        <f ca="1">Dashboard!C$8* Dashboard!$F$4+Dashboard!C$10*SQRT(Dashboard!$F$4) * _xlfn.NORM.S.INV(RAND())</f>
        <v>4.7913072116957424E-2</v>
      </c>
      <c r="U5966" s="59">
        <f ca="1">Dashboard!D$8* Dashboard!$F$4+Dashboard!D$10*SQRT(Dashboard!$F$4) * _xlfn.NORM.S.INV(RAND())</f>
        <v>2.7321675308133352E-2</v>
      </c>
    </row>
    <row r="5967" spans="18:21" x14ac:dyDescent="0.2">
      <c r="R5967" s="49">
        <v>5965</v>
      </c>
      <c r="S5967" s="59">
        <f ca="1">Dashboard!B$8* Dashboard!$F$4+Dashboard!B$10*SQRT(Dashboard!$F$4) * _xlfn.NORM.S.INV(RAND())</f>
        <v>3.4586362864103486E-2</v>
      </c>
      <c r="T5967" s="59">
        <f ca="1">Dashboard!C$8* Dashboard!$F$4+Dashboard!C$10*SQRT(Dashboard!$F$4) * _xlfn.NORM.S.INV(RAND())</f>
        <v>-3.3865915107216628E-2</v>
      </c>
      <c r="U5967" s="59">
        <f ca="1">Dashboard!D$8* Dashboard!$F$4+Dashboard!D$10*SQRT(Dashboard!$F$4) * _xlfn.NORM.S.INV(RAND())</f>
        <v>3.5890297699366427E-4</v>
      </c>
    </row>
    <row r="5968" spans="18:21" x14ac:dyDescent="0.2">
      <c r="R5968" s="49">
        <v>5966</v>
      </c>
      <c r="S5968" s="59">
        <f ca="1">Dashboard!B$8* Dashboard!$F$4+Dashboard!B$10*SQRT(Dashboard!$F$4) * _xlfn.NORM.S.INV(RAND())</f>
        <v>-3.7189444434935541E-2</v>
      </c>
      <c r="T5968" s="59">
        <f ca="1">Dashboard!C$8* Dashboard!$F$4+Dashboard!C$10*SQRT(Dashboard!$F$4) * _xlfn.NORM.S.INV(RAND())</f>
        <v>1.9480535485961029E-3</v>
      </c>
      <c r="U5968" s="59">
        <f ca="1">Dashboard!D$8* Dashboard!$F$4+Dashboard!D$10*SQRT(Dashboard!$F$4) * _xlfn.NORM.S.INV(RAND())</f>
        <v>-3.1186281218656516E-2</v>
      </c>
    </row>
    <row r="5969" spans="18:21" x14ac:dyDescent="0.2">
      <c r="R5969" s="49">
        <v>5967</v>
      </c>
      <c r="S5969" s="59">
        <f ca="1">Dashboard!B$8* Dashboard!$F$4+Dashboard!B$10*SQRT(Dashboard!$F$4) * _xlfn.NORM.S.INV(RAND())</f>
        <v>-2.6783726062360479E-2</v>
      </c>
      <c r="T5969" s="59">
        <f ca="1">Dashboard!C$8* Dashboard!$F$4+Dashboard!C$10*SQRT(Dashboard!$F$4) * _xlfn.NORM.S.INV(RAND())</f>
        <v>2.681067493352194E-2</v>
      </c>
      <c r="U5969" s="59">
        <f ca="1">Dashboard!D$8* Dashboard!$F$4+Dashboard!D$10*SQRT(Dashboard!$F$4) * _xlfn.NORM.S.INV(RAND())</f>
        <v>-2.0122525565141332E-2</v>
      </c>
    </row>
    <row r="5970" spans="18:21" x14ac:dyDescent="0.2">
      <c r="R5970" s="49">
        <v>5968</v>
      </c>
      <c r="S5970" s="59">
        <f ca="1">Dashboard!B$8* Dashboard!$F$4+Dashboard!B$10*SQRT(Dashboard!$F$4) * _xlfn.NORM.S.INV(RAND())</f>
        <v>3.0072499956238341E-2</v>
      </c>
      <c r="T5970" s="59">
        <f ca="1">Dashboard!C$8* Dashboard!$F$4+Dashboard!C$10*SQRT(Dashboard!$F$4) * _xlfn.NORM.S.INV(RAND())</f>
        <v>-4.5919578509093534E-2</v>
      </c>
      <c r="U5970" s="59">
        <f ca="1">Dashboard!D$8* Dashboard!$F$4+Dashboard!D$10*SQRT(Dashboard!$F$4) * _xlfn.NORM.S.INV(RAND())</f>
        <v>2.8576755340731778E-2</v>
      </c>
    </row>
    <row r="5971" spans="18:21" x14ac:dyDescent="0.2">
      <c r="R5971" s="49">
        <v>5969</v>
      </c>
      <c r="S5971" s="59">
        <f ca="1">Dashboard!B$8* Dashboard!$F$4+Dashboard!B$10*SQRT(Dashboard!$F$4) * _xlfn.NORM.S.INV(RAND())</f>
        <v>6.242468167022952E-2</v>
      </c>
      <c r="T5971" s="59">
        <f ca="1">Dashboard!C$8* Dashboard!$F$4+Dashboard!C$10*SQRT(Dashboard!$F$4) * _xlfn.NORM.S.INV(RAND())</f>
        <v>-2.2760037690341482E-2</v>
      </c>
      <c r="U5971" s="59">
        <f ca="1">Dashboard!D$8* Dashboard!$F$4+Dashboard!D$10*SQRT(Dashboard!$F$4) * _xlfn.NORM.S.INV(RAND())</f>
        <v>4.481646121277439E-2</v>
      </c>
    </row>
    <row r="5972" spans="18:21" x14ac:dyDescent="0.2">
      <c r="R5972" s="49">
        <v>5970</v>
      </c>
      <c r="S5972" s="59">
        <f ca="1">Dashboard!B$8* Dashboard!$F$4+Dashboard!B$10*SQRT(Dashboard!$F$4) * _xlfn.NORM.S.INV(RAND())</f>
        <v>-1.240434015039096E-2</v>
      </c>
      <c r="T5972" s="59">
        <f ca="1">Dashboard!C$8* Dashboard!$F$4+Dashboard!C$10*SQRT(Dashboard!$F$4) * _xlfn.NORM.S.INV(RAND())</f>
        <v>5.1330214577285975E-2</v>
      </c>
      <c r="U5972" s="59">
        <f ca="1">Dashboard!D$8* Dashboard!$F$4+Dashboard!D$10*SQRT(Dashboard!$F$4) * _xlfn.NORM.S.INV(RAND())</f>
        <v>-2.4606056306746126E-2</v>
      </c>
    </row>
    <row r="5973" spans="18:21" x14ac:dyDescent="0.2">
      <c r="R5973" s="49">
        <v>5971</v>
      </c>
      <c r="S5973" s="59">
        <f ca="1">Dashboard!B$8* Dashboard!$F$4+Dashboard!B$10*SQRT(Dashboard!$F$4) * _xlfn.NORM.S.INV(RAND())</f>
        <v>4.271473960755074E-2</v>
      </c>
      <c r="T5973" s="59">
        <f ca="1">Dashboard!C$8* Dashboard!$F$4+Dashboard!C$10*SQRT(Dashboard!$F$4) * _xlfn.NORM.S.INV(RAND())</f>
        <v>2.1519433922385613E-2</v>
      </c>
      <c r="U5973" s="59">
        <f ca="1">Dashboard!D$8* Dashboard!$F$4+Dashboard!D$10*SQRT(Dashboard!$F$4) * _xlfn.NORM.S.INV(RAND())</f>
        <v>-2.8400279104084353E-2</v>
      </c>
    </row>
    <row r="5974" spans="18:21" x14ac:dyDescent="0.2">
      <c r="R5974" s="49">
        <v>5972</v>
      </c>
      <c r="S5974" s="59">
        <f ca="1">Dashboard!B$8* Dashboard!$F$4+Dashboard!B$10*SQRT(Dashboard!$F$4) * _xlfn.NORM.S.INV(RAND())</f>
        <v>3.3060270564791723E-2</v>
      </c>
      <c r="T5974" s="59">
        <f ca="1">Dashboard!C$8* Dashboard!$F$4+Dashboard!C$10*SQRT(Dashboard!$F$4) * _xlfn.NORM.S.INV(RAND())</f>
        <v>4.5935155951299267E-2</v>
      </c>
      <c r="U5974" s="59">
        <f ca="1">Dashboard!D$8* Dashboard!$F$4+Dashboard!D$10*SQRT(Dashboard!$F$4) * _xlfn.NORM.S.INV(RAND())</f>
        <v>5.398787251168901E-2</v>
      </c>
    </row>
    <row r="5975" spans="18:21" x14ac:dyDescent="0.2">
      <c r="R5975" s="49">
        <v>5973</v>
      </c>
      <c r="S5975" s="59">
        <f ca="1">Dashboard!B$8* Dashboard!$F$4+Dashboard!B$10*SQRT(Dashboard!$F$4) * _xlfn.NORM.S.INV(RAND())</f>
        <v>6.8137752817875999E-2</v>
      </c>
      <c r="T5975" s="59">
        <f ca="1">Dashboard!C$8* Dashboard!$F$4+Dashboard!C$10*SQRT(Dashboard!$F$4) * _xlfn.NORM.S.INV(RAND())</f>
        <v>5.0815133295556349E-2</v>
      </c>
      <c r="U5975" s="59">
        <f ca="1">Dashboard!D$8* Dashboard!$F$4+Dashboard!D$10*SQRT(Dashboard!$F$4) * _xlfn.NORM.S.INV(RAND())</f>
        <v>1.2530090184899678E-4</v>
      </c>
    </row>
    <row r="5976" spans="18:21" x14ac:dyDescent="0.2">
      <c r="R5976" s="49">
        <v>5974</v>
      </c>
      <c r="S5976" s="59">
        <f ca="1">Dashboard!B$8* Dashboard!$F$4+Dashboard!B$10*SQRT(Dashboard!$F$4) * _xlfn.NORM.S.INV(RAND())</f>
        <v>6.5967284317177202E-3</v>
      </c>
      <c r="T5976" s="59">
        <f ca="1">Dashboard!C$8* Dashboard!$F$4+Dashboard!C$10*SQRT(Dashboard!$F$4) * _xlfn.NORM.S.INV(RAND())</f>
        <v>-1.3163956124386967E-3</v>
      </c>
      <c r="U5976" s="59">
        <f ca="1">Dashboard!D$8* Dashboard!$F$4+Dashboard!D$10*SQRT(Dashboard!$F$4) * _xlfn.NORM.S.INV(RAND())</f>
        <v>-4.3011575465594573E-3</v>
      </c>
    </row>
    <row r="5977" spans="18:21" x14ac:dyDescent="0.2">
      <c r="R5977" s="49">
        <v>5975</v>
      </c>
      <c r="S5977" s="59">
        <f ca="1">Dashboard!B$8* Dashboard!$F$4+Dashboard!B$10*SQRT(Dashboard!$F$4) * _xlfn.NORM.S.INV(RAND())</f>
        <v>4.106746145172719E-2</v>
      </c>
      <c r="T5977" s="59">
        <f ca="1">Dashboard!C$8* Dashboard!$F$4+Dashboard!C$10*SQRT(Dashboard!$F$4) * _xlfn.NORM.S.INV(RAND())</f>
        <v>3.8651734731002647E-2</v>
      </c>
      <c r="U5977" s="59">
        <f ca="1">Dashboard!D$8* Dashboard!$F$4+Dashboard!D$10*SQRT(Dashboard!$F$4) * _xlfn.NORM.S.INV(RAND())</f>
        <v>-2.4828886757443415E-2</v>
      </c>
    </row>
    <row r="5978" spans="18:21" x14ac:dyDescent="0.2">
      <c r="R5978" s="49">
        <v>5976</v>
      </c>
      <c r="S5978" s="59">
        <f ca="1">Dashboard!B$8* Dashboard!$F$4+Dashboard!B$10*SQRT(Dashboard!$F$4) * _xlfn.NORM.S.INV(RAND())</f>
        <v>-5.2702635406132417E-2</v>
      </c>
      <c r="T5978" s="59">
        <f ca="1">Dashboard!C$8* Dashboard!$F$4+Dashboard!C$10*SQRT(Dashboard!$F$4) * _xlfn.NORM.S.INV(RAND())</f>
        <v>-2.0268337066972678E-2</v>
      </c>
      <c r="U5978" s="59">
        <f ca="1">Dashboard!D$8* Dashboard!$F$4+Dashboard!D$10*SQRT(Dashboard!$F$4) * _xlfn.NORM.S.INV(RAND())</f>
        <v>-4.7246261112428717E-2</v>
      </c>
    </row>
    <row r="5979" spans="18:21" x14ac:dyDescent="0.2">
      <c r="R5979" s="49">
        <v>5977</v>
      </c>
      <c r="S5979" s="59">
        <f ca="1">Dashboard!B$8* Dashboard!$F$4+Dashboard!B$10*SQRT(Dashboard!$F$4) * _xlfn.NORM.S.INV(RAND())</f>
        <v>-6.2863668234817205E-2</v>
      </c>
      <c r="T5979" s="59">
        <f ca="1">Dashboard!C$8* Dashboard!$F$4+Dashboard!C$10*SQRT(Dashboard!$F$4) * _xlfn.NORM.S.INV(RAND())</f>
        <v>-6.3603777451790291E-3</v>
      </c>
      <c r="U5979" s="59">
        <f ca="1">Dashboard!D$8* Dashboard!$F$4+Dashboard!D$10*SQRT(Dashboard!$F$4) * _xlfn.NORM.S.INV(RAND())</f>
        <v>-6.1404901322258017E-2</v>
      </c>
    </row>
    <row r="5980" spans="18:21" x14ac:dyDescent="0.2">
      <c r="R5980" s="49">
        <v>5978</v>
      </c>
      <c r="S5980" s="59">
        <f ca="1">Dashboard!B$8* Dashboard!$F$4+Dashboard!B$10*SQRT(Dashboard!$F$4) * _xlfn.NORM.S.INV(RAND())</f>
        <v>5.0752720759337122E-2</v>
      </c>
      <c r="T5980" s="59">
        <f ca="1">Dashboard!C$8* Dashboard!$F$4+Dashboard!C$10*SQRT(Dashboard!$F$4) * _xlfn.NORM.S.INV(RAND())</f>
        <v>2.789298874479422E-5</v>
      </c>
      <c r="U5980" s="59">
        <f ca="1">Dashboard!D$8* Dashboard!$F$4+Dashboard!D$10*SQRT(Dashboard!$F$4) * _xlfn.NORM.S.INV(RAND())</f>
        <v>-3.6313750557367677E-3</v>
      </c>
    </row>
    <row r="5981" spans="18:21" x14ac:dyDescent="0.2">
      <c r="R5981" s="49">
        <v>5979</v>
      </c>
      <c r="S5981" s="59">
        <f ca="1">Dashboard!B$8* Dashboard!$F$4+Dashboard!B$10*SQRT(Dashboard!$F$4) * _xlfn.NORM.S.INV(RAND())</f>
        <v>2.2160276432202169E-2</v>
      </c>
      <c r="T5981" s="59">
        <f ca="1">Dashboard!C$8* Dashboard!$F$4+Dashboard!C$10*SQRT(Dashboard!$F$4) * _xlfn.NORM.S.INV(RAND())</f>
        <v>-7.4417178147065222E-2</v>
      </c>
      <c r="U5981" s="59">
        <f ca="1">Dashboard!D$8* Dashboard!$F$4+Dashboard!D$10*SQRT(Dashboard!$F$4) * _xlfn.NORM.S.INV(RAND())</f>
        <v>-1.5540309854836776E-2</v>
      </c>
    </row>
    <row r="5982" spans="18:21" x14ac:dyDescent="0.2">
      <c r="R5982" s="49">
        <v>5980</v>
      </c>
      <c r="S5982" s="59">
        <f ca="1">Dashboard!B$8* Dashboard!$F$4+Dashboard!B$10*SQRT(Dashboard!$F$4) * _xlfn.NORM.S.INV(RAND())</f>
        <v>3.9002988566650923E-2</v>
      </c>
      <c r="T5982" s="59">
        <f ca="1">Dashboard!C$8* Dashboard!$F$4+Dashboard!C$10*SQRT(Dashboard!$F$4) * _xlfn.NORM.S.INV(RAND())</f>
        <v>4.4231681288173563E-2</v>
      </c>
      <c r="U5982" s="59">
        <f ca="1">Dashboard!D$8* Dashboard!$F$4+Dashboard!D$10*SQRT(Dashboard!$F$4) * _xlfn.NORM.S.INV(RAND())</f>
        <v>6.4777212373937337E-4</v>
      </c>
    </row>
    <row r="5983" spans="18:21" x14ac:dyDescent="0.2">
      <c r="R5983" s="49">
        <v>5981</v>
      </c>
      <c r="S5983" s="59">
        <f ca="1">Dashboard!B$8* Dashboard!$F$4+Dashboard!B$10*SQRT(Dashboard!$F$4) * _xlfn.NORM.S.INV(RAND())</f>
        <v>-1.9645455271052811E-2</v>
      </c>
      <c r="T5983" s="59">
        <f ca="1">Dashboard!C$8* Dashboard!$F$4+Dashboard!C$10*SQRT(Dashboard!$F$4) * _xlfn.NORM.S.INV(RAND())</f>
        <v>3.770612643526982E-2</v>
      </c>
      <c r="U5983" s="59">
        <f ca="1">Dashboard!D$8* Dashboard!$F$4+Dashboard!D$10*SQRT(Dashboard!$F$4) * _xlfn.NORM.S.INV(RAND())</f>
        <v>-2.8034229431629192E-3</v>
      </c>
    </row>
    <row r="5984" spans="18:21" x14ac:dyDescent="0.2">
      <c r="R5984" s="49">
        <v>5982</v>
      </c>
      <c r="S5984" s="59">
        <f ca="1">Dashboard!B$8* Dashboard!$F$4+Dashboard!B$10*SQRT(Dashboard!$F$4) * _xlfn.NORM.S.INV(RAND())</f>
        <v>3.4640472142102578E-2</v>
      </c>
      <c r="T5984" s="59">
        <f ca="1">Dashboard!C$8* Dashboard!$F$4+Dashboard!C$10*SQRT(Dashboard!$F$4) * _xlfn.NORM.S.INV(RAND())</f>
        <v>3.1351553860477624E-2</v>
      </c>
      <c r="U5984" s="59">
        <f ca="1">Dashboard!D$8* Dashboard!$F$4+Dashboard!D$10*SQRT(Dashboard!$F$4) * _xlfn.NORM.S.INV(RAND())</f>
        <v>-4.0092003817379044E-3</v>
      </c>
    </row>
    <row r="5985" spans="18:21" x14ac:dyDescent="0.2">
      <c r="R5985" s="49">
        <v>5983</v>
      </c>
      <c r="S5985" s="59">
        <f ca="1">Dashboard!B$8* Dashboard!$F$4+Dashboard!B$10*SQRT(Dashboard!$F$4) * _xlfn.NORM.S.INV(RAND())</f>
        <v>-1.8305040495353826E-2</v>
      </c>
      <c r="T5985" s="59">
        <f ca="1">Dashboard!C$8* Dashboard!$F$4+Dashboard!C$10*SQRT(Dashboard!$F$4) * _xlfn.NORM.S.INV(RAND())</f>
        <v>1.4660224013135048E-2</v>
      </c>
      <c r="U5985" s="59">
        <f ca="1">Dashboard!D$8* Dashboard!$F$4+Dashboard!D$10*SQRT(Dashboard!$F$4) * _xlfn.NORM.S.INV(RAND())</f>
        <v>-3.2819436392394884E-3</v>
      </c>
    </row>
    <row r="5986" spans="18:21" x14ac:dyDescent="0.2">
      <c r="R5986" s="49">
        <v>5984</v>
      </c>
      <c r="S5986" s="59">
        <f ca="1">Dashboard!B$8* Dashboard!$F$4+Dashboard!B$10*SQRT(Dashboard!$F$4) * _xlfn.NORM.S.INV(RAND())</f>
        <v>2.6712025257372022E-3</v>
      </c>
      <c r="T5986" s="59">
        <f ca="1">Dashboard!C$8* Dashboard!$F$4+Dashboard!C$10*SQRT(Dashboard!$F$4) * _xlfn.NORM.S.INV(RAND())</f>
        <v>-7.6969604022969788E-3</v>
      </c>
      <c r="U5986" s="59">
        <f ca="1">Dashboard!D$8* Dashboard!$F$4+Dashboard!D$10*SQRT(Dashboard!$F$4) * _xlfn.NORM.S.INV(RAND())</f>
        <v>-4.1790929461474835E-2</v>
      </c>
    </row>
    <row r="5987" spans="18:21" x14ac:dyDescent="0.2">
      <c r="R5987" s="49">
        <v>5985</v>
      </c>
      <c r="S5987" s="59">
        <f ca="1">Dashboard!B$8* Dashboard!$F$4+Dashboard!B$10*SQRT(Dashboard!$F$4) * _xlfn.NORM.S.INV(RAND())</f>
        <v>-9.6379131159916474E-4</v>
      </c>
      <c r="T5987" s="59">
        <f ca="1">Dashboard!C$8* Dashboard!$F$4+Dashboard!C$10*SQRT(Dashboard!$F$4) * _xlfn.NORM.S.INV(RAND())</f>
        <v>5.3223973672825484E-2</v>
      </c>
      <c r="U5987" s="59">
        <f ca="1">Dashboard!D$8* Dashboard!$F$4+Dashboard!D$10*SQRT(Dashboard!$F$4) * _xlfn.NORM.S.INV(RAND())</f>
        <v>-4.6840776850170893E-2</v>
      </c>
    </row>
    <row r="5988" spans="18:21" x14ac:dyDescent="0.2">
      <c r="R5988" s="49">
        <v>5986</v>
      </c>
      <c r="S5988" s="59">
        <f ca="1">Dashboard!B$8* Dashboard!$F$4+Dashboard!B$10*SQRT(Dashboard!$F$4) * _xlfn.NORM.S.INV(RAND())</f>
        <v>2.1903143328888521E-2</v>
      </c>
      <c r="T5988" s="59">
        <f ca="1">Dashboard!C$8* Dashboard!$F$4+Dashboard!C$10*SQRT(Dashboard!$F$4) * _xlfn.NORM.S.INV(RAND())</f>
        <v>3.1716737730767351E-2</v>
      </c>
      <c r="U5988" s="59">
        <f ca="1">Dashboard!D$8* Dashboard!$F$4+Dashboard!D$10*SQRT(Dashboard!$F$4) * _xlfn.NORM.S.INV(RAND())</f>
        <v>1.5028461164419034E-2</v>
      </c>
    </row>
    <row r="5989" spans="18:21" x14ac:dyDescent="0.2">
      <c r="R5989" s="49">
        <v>5987</v>
      </c>
      <c r="S5989" s="59">
        <f ca="1">Dashboard!B$8* Dashboard!$F$4+Dashboard!B$10*SQRT(Dashboard!$F$4) * _xlfn.NORM.S.INV(RAND())</f>
        <v>-1.2583112660149269E-2</v>
      </c>
      <c r="T5989" s="59">
        <f ca="1">Dashboard!C$8* Dashboard!$F$4+Dashboard!C$10*SQRT(Dashboard!$F$4) * _xlfn.NORM.S.INV(RAND())</f>
        <v>3.3270229729996048E-2</v>
      </c>
      <c r="U5989" s="59">
        <f ca="1">Dashboard!D$8* Dashboard!$F$4+Dashboard!D$10*SQRT(Dashboard!$F$4) * _xlfn.NORM.S.INV(RAND())</f>
        <v>-3.2287550715062112E-2</v>
      </c>
    </row>
    <row r="5990" spans="18:21" x14ac:dyDescent="0.2">
      <c r="R5990" s="49">
        <v>5988</v>
      </c>
      <c r="S5990" s="59">
        <f ca="1">Dashboard!B$8* Dashboard!$F$4+Dashboard!B$10*SQRT(Dashboard!$F$4) * _xlfn.NORM.S.INV(RAND())</f>
        <v>-1.1278763380048475E-3</v>
      </c>
      <c r="T5990" s="59">
        <f ca="1">Dashboard!C$8* Dashboard!$F$4+Dashboard!C$10*SQRT(Dashboard!$F$4) * _xlfn.NORM.S.INV(RAND())</f>
        <v>-1.4573075299906778E-3</v>
      </c>
      <c r="U5990" s="59">
        <f ca="1">Dashboard!D$8* Dashboard!$F$4+Dashboard!D$10*SQRT(Dashboard!$F$4) * _xlfn.NORM.S.INV(RAND())</f>
        <v>1.7310986091903558E-2</v>
      </c>
    </row>
    <row r="5991" spans="18:21" x14ac:dyDescent="0.2">
      <c r="R5991" s="49">
        <v>5989</v>
      </c>
      <c r="S5991" s="59">
        <f ca="1">Dashboard!B$8* Dashboard!$F$4+Dashboard!B$10*SQRT(Dashboard!$F$4) * _xlfn.NORM.S.INV(RAND())</f>
        <v>-2.6258563545154101E-2</v>
      </c>
      <c r="T5991" s="59">
        <f ca="1">Dashboard!C$8* Dashboard!$F$4+Dashboard!C$10*SQRT(Dashboard!$F$4) * _xlfn.NORM.S.INV(RAND())</f>
        <v>4.2222919909561063E-2</v>
      </c>
      <c r="U5991" s="59">
        <f ca="1">Dashboard!D$8* Dashboard!$F$4+Dashboard!D$10*SQRT(Dashboard!$F$4) * _xlfn.NORM.S.INV(RAND())</f>
        <v>8.417163576634917E-3</v>
      </c>
    </row>
    <row r="5992" spans="18:21" x14ac:dyDescent="0.2">
      <c r="R5992" s="49">
        <v>5990</v>
      </c>
      <c r="S5992" s="59">
        <f ca="1">Dashboard!B$8* Dashboard!$F$4+Dashboard!B$10*SQRT(Dashboard!$F$4) * _xlfn.NORM.S.INV(RAND())</f>
        <v>2.2992589414898977E-2</v>
      </c>
      <c r="T5992" s="59">
        <f ca="1">Dashboard!C$8* Dashboard!$F$4+Dashboard!C$10*SQRT(Dashboard!$F$4) * _xlfn.NORM.S.INV(RAND())</f>
        <v>-4.6886122140466273E-2</v>
      </c>
      <c r="U5992" s="59">
        <f ca="1">Dashboard!D$8* Dashboard!$F$4+Dashboard!D$10*SQRT(Dashboard!$F$4) * _xlfn.NORM.S.INV(RAND())</f>
        <v>2.5839787530225485E-2</v>
      </c>
    </row>
    <row r="5993" spans="18:21" x14ac:dyDescent="0.2">
      <c r="R5993" s="49">
        <v>5991</v>
      </c>
      <c r="S5993" s="59">
        <f ca="1">Dashboard!B$8* Dashboard!$F$4+Dashboard!B$10*SQRT(Dashboard!$F$4) * _xlfn.NORM.S.INV(RAND())</f>
        <v>2.2625503832112905E-2</v>
      </c>
      <c r="T5993" s="59">
        <f ca="1">Dashboard!C$8* Dashboard!$F$4+Dashboard!C$10*SQRT(Dashboard!$F$4) * _xlfn.NORM.S.INV(RAND())</f>
        <v>4.8591106850143936E-2</v>
      </c>
      <c r="U5993" s="59">
        <f ca="1">Dashboard!D$8* Dashboard!$F$4+Dashboard!D$10*SQRT(Dashboard!$F$4) * _xlfn.NORM.S.INV(RAND())</f>
        <v>-6.4454094646630045E-2</v>
      </c>
    </row>
    <row r="5994" spans="18:21" x14ac:dyDescent="0.2">
      <c r="R5994" s="49">
        <v>5992</v>
      </c>
      <c r="S5994" s="59">
        <f ca="1">Dashboard!B$8* Dashboard!$F$4+Dashboard!B$10*SQRT(Dashboard!$F$4) * _xlfn.NORM.S.INV(RAND())</f>
        <v>1.471229416876167E-2</v>
      </c>
      <c r="T5994" s="59">
        <f ca="1">Dashboard!C$8* Dashboard!$F$4+Dashboard!C$10*SQRT(Dashboard!$F$4) * _xlfn.NORM.S.INV(RAND())</f>
        <v>-1.9057535208108538E-2</v>
      </c>
      <c r="U5994" s="59">
        <f ca="1">Dashboard!D$8* Dashboard!$F$4+Dashboard!D$10*SQRT(Dashboard!$F$4) * _xlfn.NORM.S.INV(RAND())</f>
        <v>-2.2444961724392573E-2</v>
      </c>
    </row>
    <row r="5995" spans="18:21" x14ac:dyDescent="0.2">
      <c r="R5995" s="49">
        <v>5993</v>
      </c>
      <c r="S5995" s="59">
        <f ca="1">Dashboard!B$8* Dashboard!$F$4+Dashboard!B$10*SQRT(Dashboard!$F$4) * _xlfn.NORM.S.INV(RAND())</f>
        <v>-3.7534056886426179E-2</v>
      </c>
      <c r="T5995" s="59">
        <f ca="1">Dashboard!C$8* Dashboard!$F$4+Dashboard!C$10*SQRT(Dashboard!$F$4) * _xlfn.NORM.S.INV(RAND())</f>
        <v>-1.0677419664714652E-2</v>
      </c>
      <c r="U5995" s="59">
        <f ca="1">Dashboard!D$8* Dashboard!$F$4+Dashboard!D$10*SQRT(Dashboard!$F$4) * _xlfn.NORM.S.INV(RAND())</f>
        <v>-1.6473503662172383E-2</v>
      </c>
    </row>
    <row r="5996" spans="18:21" x14ac:dyDescent="0.2">
      <c r="R5996" s="49">
        <v>5994</v>
      </c>
      <c r="S5996" s="59">
        <f ca="1">Dashboard!B$8* Dashboard!$F$4+Dashboard!B$10*SQRT(Dashboard!$F$4) * _xlfn.NORM.S.INV(RAND())</f>
        <v>-1.1816423861307681E-2</v>
      </c>
      <c r="T5996" s="59">
        <f ca="1">Dashboard!C$8* Dashboard!$F$4+Dashboard!C$10*SQRT(Dashboard!$F$4) * _xlfn.NORM.S.INV(RAND())</f>
        <v>-2.2734614968954788E-2</v>
      </c>
      <c r="U5996" s="59">
        <f ca="1">Dashboard!D$8* Dashboard!$F$4+Dashboard!D$10*SQRT(Dashboard!$F$4) * _xlfn.NORM.S.INV(RAND())</f>
        <v>5.4170515699106955E-2</v>
      </c>
    </row>
    <row r="5997" spans="18:21" x14ac:dyDescent="0.2">
      <c r="R5997" s="49">
        <v>5995</v>
      </c>
      <c r="S5997" s="59">
        <f ca="1">Dashboard!B$8* Dashboard!$F$4+Dashboard!B$10*SQRT(Dashboard!$F$4) * _xlfn.NORM.S.INV(RAND())</f>
        <v>3.1307832374904421E-3</v>
      </c>
      <c r="T5997" s="59">
        <f ca="1">Dashboard!C$8* Dashboard!$F$4+Dashboard!C$10*SQRT(Dashboard!$F$4) * _xlfn.NORM.S.INV(RAND())</f>
        <v>-3.3804488182699655E-2</v>
      </c>
      <c r="U5997" s="59">
        <f ca="1">Dashboard!D$8* Dashboard!$F$4+Dashboard!D$10*SQRT(Dashboard!$F$4) * _xlfn.NORM.S.INV(RAND())</f>
        <v>-4.5279655526857865E-2</v>
      </c>
    </row>
    <row r="5998" spans="18:21" x14ac:dyDescent="0.2">
      <c r="R5998" s="49">
        <v>5996</v>
      </c>
      <c r="S5998" s="59">
        <f ca="1">Dashboard!B$8* Dashboard!$F$4+Dashboard!B$10*SQRT(Dashboard!$F$4) * _xlfn.NORM.S.INV(RAND())</f>
        <v>1.5588932872661018E-2</v>
      </c>
      <c r="T5998" s="59">
        <f ca="1">Dashboard!C$8* Dashboard!$F$4+Dashboard!C$10*SQRT(Dashboard!$F$4) * _xlfn.NORM.S.INV(RAND())</f>
        <v>-3.2382399218553931E-2</v>
      </c>
      <c r="U5998" s="59">
        <f ca="1">Dashboard!D$8* Dashboard!$F$4+Dashboard!D$10*SQRT(Dashboard!$F$4) * _xlfn.NORM.S.INV(RAND())</f>
        <v>3.9748390503965961E-2</v>
      </c>
    </row>
    <row r="5999" spans="18:21" x14ac:dyDescent="0.2">
      <c r="R5999" s="49">
        <v>5997</v>
      </c>
      <c r="S5999" s="59">
        <f ca="1">Dashboard!B$8* Dashboard!$F$4+Dashboard!B$10*SQRT(Dashboard!$F$4) * _xlfn.NORM.S.INV(RAND())</f>
        <v>-2.6396081371240526E-2</v>
      </c>
      <c r="T5999" s="59">
        <f ca="1">Dashboard!C$8* Dashboard!$F$4+Dashboard!C$10*SQRT(Dashboard!$F$4) * _xlfn.NORM.S.INV(RAND())</f>
        <v>1.2221223666684241E-2</v>
      </c>
      <c r="U5999" s="59">
        <f ca="1">Dashboard!D$8* Dashboard!$F$4+Dashboard!D$10*SQRT(Dashboard!$F$4) * _xlfn.NORM.S.INV(RAND())</f>
        <v>-2.1792322384404438E-2</v>
      </c>
    </row>
    <row r="6000" spans="18:21" x14ac:dyDescent="0.2">
      <c r="R6000" s="49">
        <v>5998</v>
      </c>
      <c r="S6000" s="59">
        <f ca="1">Dashboard!B$8* Dashboard!$F$4+Dashboard!B$10*SQRT(Dashboard!$F$4) * _xlfn.NORM.S.INV(RAND())</f>
        <v>-1.1556589998108855E-4</v>
      </c>
      <c r="T6000" s="59">
        <f ca="1">Dashboard!C$8* Dashboard!$F$4+Dashboard!C$10*SQRT(Dashboard!$F$4) * _xlfn.NORM.S.INV(RAND())</f>
        <v>-2.6229197761976936E-2</v>
      </c>
      <c r="U6000" s="59">
        <f ca="1">Dashboard!D$8* Dashboard!$F$4+Dashboard!D$10*SQRT(Dashboard!$F$4) * _xlfn.NORM.S.INV(RAND())</f>
        <v>-2.2572132603595571E-2</v>
      </c>
    </row>
    <row r="6001" spans="18:21" x14ac:dyDescent="0.2">
      <c r="R6001" s="49">
        <v>5999</v>
      </c>
      <c r="S6001" s="59">
        <f ca="1">Dashboard!B$8* Dashboard!$F$4+Dashboard!B$10*SQRT(Dashboard!$F$4) * _xlfn.NORM.S.INV(RAND())</f>
        <v>3.5710519800363244E-2</v>
      </c>
      <c r="T6001" s="59">
        <f ca="1">Dashboard!C$8* Dashboard!$F$4+Dashboard!C$10*SQRT(Dashboard!$F$4) * _xlfn.NORM.S.INV(RAND())</f>
        <v>-4.5487955380887769E-2</v>
      </c>
      <c r="U6001" s="59">
        <f ca="1">Dashboard!D$8* Dashboard!$F$4+Dashboard!D$10*SQRT(Dashboard!$F$4) * _xlfn.NORM.S.INV(RAND())</f>
        <v>-1.9399222139899554E-2</v>
      </c>
    </row>
    <row r="6002" spans="18:21" x14ac:dyDescent="0.2">
      <c r="R6002" s="49">
        <v>6000</v>
      </c>
      <c r="S6002" s="59">
        <f ca="1">Dashboard!B$8* Dashboard!$F$4+Dashboard!B$10*SQRT(Dashboard!$F$4) * _xlfn.NORM.S.INV(RAND())</f>
        <v>-2.4954600471621673E-2</v>
      </c>
      <c r="T6002" s="59">
        <f ca="1">Dashboard!C$8* Dashboard!$F$4+Dashboard!C$10*SQRT(Dashboard!$F$4) * _xlfn.NORM.S.INV(RAND())</f>
        <v>-1.9059169247259335E-2</v>
      </c>
      <c r="U6002" s="59">
        <f ca="1">Dashboard!D$8* Dashboard!$F$4+Dashboard!D$10*SQRT(Dashboard!$F$4) * _xlfn.NORM.S.INV(RAND())</f>
        <v>-5.9665629143882445E-2</v>
      </c>
    </row>
    <row r="6003" spans="18:21" x14ac:dyDescent="0.2">
      <c r="R6003" s="49">
        <v>6001</v>
      </c>
      <c r="S6003" s="59">
        <f ca="1">Dashboard!B$8* Dashboard!$F$4+Dashboard!B$10*SQRT(Dashboard!$F$4) * _xlfn.NORM.S.INV(RAND())</f>
        <v>4.1150933443731816E-2</v>
      </c>
      <c r="T6003" s="59">
        <f ca="1">Dashboard!C$8* Dashboard!$F$4+Dashboard!C$10*SQRT(Dashboard!$F$4) * _xlfn.NORM.S.INV(RAND())</f>
        <v>-4.0715319491050041E-2</v>
      </c>
      <c r="U6003" s="59">
        <f ca="1">Dashboard!D$8* Dashboard!$F$4+Dashboard!D$10*SQRT(Dashboard!$F$4) * _xlfn.NORM.S.INV(RAND())</f>
        <v>1.73384588032925E-2</v>
      </c>
    </row>
    <row r="6004" spans="18:21" x14ac:dyDescent="0.2">
      <c r="R6004" s="49">
        <v>6002</v>
      </c>
      <c r="S6004" s="59">
        <f ca="1">Dashboard!B$8* Dashboard!$F$4+Dashboard!B$10*SQRT(Dashboard!$F$4) * _xlfn.NORM.S.INV(RAND())</f>
        <v>1.9474378000700315E-2</v>
      </c>
      <c r="T6004" s="59">
        <f ca="1">Dashboard!C$8* Dashboard!$F$4+Dashboard!C$10*SQRT(Dashboard!$F$4) * _xlfn.NORM.S.INV(RAND())</f>
        <v>-3.2052392650935131E-2</v>
      </c>
      <c r="U6004" s="59">
        <f ca="1">Dashboard!D$8* Dashboard!$F$4+Dashboard!D$10*SQRT(Dashboard!$F$4) * _xlfn.NORM.S.INV(RAND())</f>
        <v>-4.4556293736359553E-2</v>
      </c>
    </row>
    <row r="6005" spans="18:21" x14ac:dyDescent="0.2">
      <c r="R6005" s="49">
        <v>6003</v>
      </c>
      <c r="S6005" s="59">
        <f ca="1">Dashboard!B$8* Dashboard!$F$4+Dashboard!B$10*SQRT(Dashboard!$F$4) * _xlfn.NORM.S.INV(RAND())</f>
        <v>2.1579389617370819E-2</v>
      </c>
      <c r="T6005" s="59">
        <f ca="1">Dashboard!C$8* Dashboard!$F$4+Dashboard!C$10*SQRT(Dashboard!$F$4) * _xlfn.NORM.S.INV(RAND())</f>
        <v>2.4410407347153166E-2</v>
      </c>
      <c r="U6005" s="59">
        <f ca="1">Dashboard!D$8* Dashboard!$F$4+Dashboard!D$10*SQRT(Dashboard!$F$4) * _xlfn.NORM.S.INV(RAND())</f>
        <v>3.5714869434131769E-2</v>
      </c>
    </row>
    <row r="6006" spans="18:21" x14ac:dyDescent="0.2">
      <c r="R6006" s="49">
        <v>6004</v>
      </c>
      <c r="S6006" s="59">
        <f ca="1">Dashboard!B$8* Dashboard!$F$4+Dashboard!B$10*SQRT(Dashboard!$F$4) * _xlfn.NORM.S.INV(RAND())</f>
        <v>1.8264523938726088E-2</v>
      </c>
      <c r="T6006" s="59">
        <f ca="1">Dashboard!C$8* Dashboard!$F$4+Dashboard!C$10*SQRT(Dashboard!$F$4) * _xlfn.NORM.S.INV(RAND())</f>
        <v>1.9424579237075325E-2</v>
      </c>
      <c r="U6006" s="59">
        <f ca="1">Dashboard!D$8* Dashboard!$F$4+Dashboard!D$10*SQRT(Dashboard!$F$4) * _xlfn.NORM.S.INV(RAND())</f>
        <v>1.0028749013357846E-2</v>
      </c>
    </row>
    <row r="6007" spans="18:21" x14ac:dyDescent="0.2">
      <c r="R6007" s="49">
        <v>6005</v>
      </c>
      <c r="S6007" s="59">
        <f ca="1">Dashboard!B$8* Dashboard!$F$4+Dashboard!B$10*SQRT(Dashboard!$F$4) * _xlfn.NORM.S.INV(RAND())</f>
        <v>1.8011123811369628E-2</v>
      </c>
      <c r="T6007" s="59">
        <f ca="1">Dashboard!C$8* Dashboard!$F$4+Dashboard!C$10*SQRT(Dashboard!$F$4) * _xlfn.NORM.S.INV(RAND())</f>
        <v>-5.2488062468035645E-3</v>
      </c>
      <c r="U6007" s="59">
        <f ca="1">Dashboard!D$8* Dashboard!$F$4+Dashboard!D$10*SQRT(Dashboard!$F$4) * _xlfn.NORM.S.INV(RAND())</f>
        <v>8.9721986596016916E-3</v>
      </c>
    </row>
    <row r="6008" spans="18:21" x14ac:dyDescent="0.2">
      <c r="R6008" s="49">
        <v>6006</v>
      </c>
      <c r="S6008" s="59">
        <f ca="1">Dashboard!B$8* Dashboard!$F$4+Dashboard!B$10*SQRT(Dashboard!$F$4) * _xlfn.NORM.S.INV(RAND())</f>
        <v>1.277062039594566E-2</v>
      </c>
      <c r="T6008" s="59">
        <f ca="1">Dashboard!C$8* Dashboard!$F$4+Dashboard!C$10*SQRT(Dashboard!$F$4) * _xlfn.NORM.S.INV(RAND())</f>
        <v>2.0668023554052034E-2</v>
      </c>
      <c r="U6008" s="59">
        <f ca="1">Dashboard!D$8* Dashboard!$F$4+Dashboard!D$10*SQRT(Dashboard!$F$4) * _xlfn.NORM.S.INV(RAND())</f>
        <v>1.5953626201911687E-2</v>
      </c>
    </row>
    <row r="6009" spans="18:21" x14ac:dyDescent="0.2">
      <c r="R6009" s="49">
        <v>6007</v>
      </c>
      <c r="S6009" s="59">
        <f ca="1">Dashboard!B$8* Dashboard!$F$4+Dashboard!B$10*SQRT(Dashboard!$F$4) * _xlfn.NORM.S.INV(RAND())</f>
        <v>-1.9943213620517083E-2</v>
      </c>
      <c r="T6009" s="59">
        <f ca="1">Dashboard!C$8* Dashboard!$F$4+Dashboard!C$10*SQRT(Dashboard!$F$4) * _xlfn.NORM.S.INV(RAND())</f>
        <v>-2.5510165201275831E-2</v>
      </c>
      <c r="U6009" s="59">
        <f ca="1">Dashboard!D$8* Dashboard!$F$4+Dashboard!D$10*SQRT(Dashboard!$F$4) * _xlfn.NORM.S.INV(RAND())</f>
        <v>3.1100395189433146E-2</v>
      </c>
    </row>
    <row r="6010" spans="18:21" x14ac:dyDescent="0.2">
      <c r="R6010" s="49">
        <v>6008</v>
      </c>
      <c r="S6010" s="59">
        <f ca="1">Dashboard!B$8* Dashboard!$F$4+Dashboard!B$10*SQRT(Dashboard!$F$4) * _xlfn.NORM.S.INV(RAND())</f>
        <v>3.3343063123228253E-2</v>
      </c>
      <c r="T6010" s="59">
        <f ca="1">Dashboard!C$8* Dashboard!$F$4+Dashboard!C$10*SQRT(Dashboard!$F$4) * _xlfn.NORM.S.INV(RAND())</f>
        <v>2.2403071441981025E-2</v>
      </c>
      <c r="U6010" s="59">
        <f ca="1">Dashboard!D$8* Dashboard!$F$4+Dashboard!D$10*SQRT(Dashboard!$F$4) * _xlfn.NORM.S.INV(RAND())</f>
        <v>4.9069178674086252E-3</v>
      </c>
    </row>
    <row r="6011" spans="18:21" x14ac:dyDescent="0.2">
      <c r="R6011" s="49">
        <v>6009</v>
      </c>
      <c r="S6011" s="59">
        <f ca="1">Dashboard!B$8* Dashboard!$F$4+Dashboard!B$10*SQRT(Dashboard!$F$4) * _xlfn.NORM.S.INV(RAND())</f>
        <v>-2.1858624604626214E-4</v>
      </c>
      <c r="T6011" s="59">
        <f ca="1">Dashboard!C$8* Dashboard!$F$4+Dashboard!C$10*SQRT(Dashboard!$F$4) * _xlfn.NORM.S.INV(RAND())</f>
        <v>7.8355524464141832E-2</v>
      </c>
      <c r="U6011" s="59">
        <f ca="1">Dashboard!D$8* Dashboard!$F$4+Dashboard!D$10*SQRT(Dashboard!$F$4) * _xlfn.NORM.S.INV(RAND())</f>
        <v>8.8798882808502639E-3</v>
      </c>
    </row>
    <row r="6012" spans="18:21" x14ac:dyDescent="0.2">
      <c r="R6012" s="49">
        <v>6010</v>
      </c>
      <c r="S6012" s="59">
        <f ca="1">Dashboard!B$8* Dashboard!$F$4+Dashboard!B$10*SQRT(Dashboard!$F$4) * _xlfn.NORM.S.INV(RAND())</f>
        <v>-1.6166453778247311E-2</v>
      </c>
      <c r="T6012" s="59">
        <f ca="1">Dashboard!C$8* Dashboard!$F$4+Dashboard!C$10*SQRT(Dashboard!$F$4) * _xlfn.NORM.S.INV(RAND())</f>
        <v>1.8155215135041043E-2</v>
      </c>
      <c r="U6012" s="59">
        <f ca="1">Dashboard!D$8* Dashboard!$F$4+Dashboard!D$10*SQRT(Dashboard!$F$4) * _xlfn.NORM.S.INV(RAND())</f>
        <v>1.161905477441686E-3</v>
      </c>
    </row>
    <row r="6013" spans="18:21" x14ac:dyDescent="0.2">
      <c r="R6013" s="49">
        <v>6011</v>
      </c>
      <c r="S6013" s="59">
        <f ca="1">Dashboard!B$8* Dashboard!$F$4+Dashboard!B$10*SQRT(Dashboard!$F$4) * _xlfn.NORM.S.INV(RAND())</f>
        <v>4.2767713224086353E-2</v>
      </c>
      <c r="T6013" s="59">
        <f ca="1">Dashboard!C$8* Dashboard!$F$4+Dashboard!C$10*SQRT(Dashboard!$F$4) * _xlfn.NORM.S.INV(RAND())</f>
        <v>-3.1306132106887423E-2</v>
      </c>
      <c r="U6013" s="59">
        <f ca="1">Dashboard!D$8* Dashboard!$F$4+Dashboard!D$10*SQRT(Dashboard!$F$4) * _xlfn.NORM.S.INV(RAND())</f>
        <v>1.3269414950276764E-2</v>
      </c>
    </row>
    <row r="6014" spans="18:21" x14ac:dyDescent="0.2">
      <c r="R6014" s="49">
        <v>6012</v>
      </c>
      <c r="S6014" s="59">
        <f ca="1">Dashboard!B$8* Dashboard!$F$4+Dashboard!B$10*SQRT(Dashboard!$F$4) * _xlfn.NORM.S.INV(RAND())</f>
        <v>2.7227226556555961E-2</v>
      </c>
      <c r="T6014" s="59">
        <f ca="1">Dashboard!C$8* Dashboard!$F$4+Dashboard!C$10*SQRT(Dashboard!$F$4) * _xlfn.NORM.S.INV(RAND())</f>
        <v>-5.9916082266374987E-2</v>
      </c>
      <c r="U6014" s="59">
        <f ca="1">Dashboard!D$8* Dashboard!$F$4+Dashboard!D$10*SQRT(Dashboard!$F$4) * _xlfn.NORM.S.INV(RAND())</f>
        <v>-2.577583309135776E-2</v>
      </c>
    </row>
    <row r="6015" spans="18:21" x14ac:dyDescent="0.2">
      <c r="R6015" s="49">
        <v>6013</v>
      </c>
      <c r="S6015" s="59">
        <f ca="1">Dashboard!B$8* Dashboard!$F$4+Dashboard!B$10*SQRT(Dashboard!$F$4) * _xlfn.NORM.S.INV(RAND())</f>
        <v>-3.0289680210947964E-3</v>
      </c>
      <c r="T6015" s="59">
        <f ca="1">Dashboard!C$8* Dashboard!$F$4+Dashboard!C$10*SQRT(Dashboard!$F$4) * _xlfn.NORM.S.INV(RAND())</f>
        <v>3.3167515366365002E-2</v>
      </c>
      <c r="U6015" s="59">
        <f ca="1">Dashboard!D$8* Dashboard!$F$4+Dashboard!D$10*SQRT(Dashboard!$F$4) * _xlfn.NORM.S.INV(RAND())</f>
        <v>-1.4643049838181056E-2</v>
      </c>
    </row>
    <row r="6016" spans="18:21" x14ac:dyDescent="0.2">
      <c r="R6016" s="49">
        <v>6014</v>
      </c>
      <c r="S6016" s="59">
        <f ca="1">Dashboard!B$8* Dashboard!$F$4+Dashboard!B$10*SQRT(Dashboard!$F$4) * _xlfn.NORM.S.INV(RAND())</f>
        <v>1.3770227058371465E-2</v>
      </c>
      <c r="T6016" s="59">
        <f ca="1">Dashboard!C$8* Dashboard!$F$4+Dashboard!C$10*SQRT(Dashboard!$F$4) * _xlfn.NORM.S.INV(RAND())</f>
        <v>-1.7307935103674007E-2</v>
      </c>
      <c r="U6016" s="59">
        <f ca="1">Dashboard!D$8* Dashboard!$F$4+Dashboard!D$10*SQRT(Dashboard!$F$4) * _xlfn.NORM.S.INV(RAND())</f>
        <v>2.2035102824070315E-3</v>
      </c>
    </row>
    <row r="6017" spans="18:21" x14ac:dyDescent="0.2">
      <c r="R6017" s="49">
        <v>6015</v>
      </c>
      <c r="S6017" s="59">
        <f ca="1">Dashboard!B$8* Dashboard!$F$4+Dashboard!B$10*SQRT(Dashboard!$F$4) * _xlfn.NORM.S.INV(RAND())</f>
        <v>3.5789750447892616E-3</v>
      </c>
      <c r="T6017" s="59">
        <f ca="1">Dashboard!C$8* Dashboard!$F$4+Dashboard!C$10*SQRT(Dashboard!$F$4) * _xlfn.NORM.S.INV(RAND())</f>
        <v>-2.1278237559717056E-2</v>
      </c>
      <c r="U6017" s="59">
        <f ca="1">Dashboard!D$8* Dashboard!$F$4+Dashboard!D$10*SQRT(Dashboard!$F$4) * _xlfn.NORM.S.INV(RAND())</f>
        <v>1.9854394783802388E-2</v>
      </c>
    </row>
    <row r="6018" spans="18:21" x14ac:dyDescent="0.2">
      <c r="R6018" s="49">
        <v>6016</v>
      </c>
      <c r="S6018" s="59">
        <f ca="1">Dashboard!B$8* Dashboard!$F$4+Dashboard!B$10*SQRT(Dashboard!$F$4) * _xlfn.NORM.S.INV(RAND())</f>
        <v>-1.137898918478846E-2</v>
      </c>
      <c r="T6018" s="59">
        <f ca="1">Dashboard!C$8* Dashboard!$F$4+Dashboard!C$10*SQRT(Dashboard!$F$4) * _xlfn.NORM.S.INV(RAND())</f>
        <v>-6.5939121122010738E-2</v>
      </c>
      <c r="U6018" s="59">
        <f ca="1">Dashboard!D$8* Dashboard!$F$4+Dashboard!D$10*SQRT(Dashboard!$F$4) * _xlfn.NORM.S.INV(RAND())</f>
        <v>-2.7838488789422348E-2</v>
      </c>
    </row>
    <row r="6019" spans="18:21" x14ac:dyDescent="0.2">
      <c r="R6019" s="49">
        <v>6017</v>
      </c>
      <c r="S6019" s="59">
        <f ca="1">Dashboard!B$8* Dashboard!$F$4+Dashboard!B$10*SQRT(Dashboard!$F$4) * _xlfn.NORM.S.INV(RAND())</f>
        <v>-1.6027393624147013E-2</v>
      </c>
      <c r="T6019" s="59">
        <f ca="1">Dashboard!C$8* Dashboard!$F$4+Dashboard!C$10*SQRT(Dashboard!$F$4) * _xlfn.NORM.S.INV(RAND())</f>
        <v>3.6055498805058822E-3</v>
      </c>
      <c r="U6019" s="59">
        <f ca="1">Dashboard!D$8* Dashboard!$F$4+Dashboard!D$10*SQRT(Dashboard!$F$4) * _xlfn.NORM.S.INV(RAND())</f>
        <v>1.7548547376897199E-2</v>
      </c>
    </row>
    <row r="6020" spans="18:21" x14ac:dyDescent="0.2">
      <c r="R6020" s="49">
        <v>6018</v>
      </c>
      <c r="S6020" s="59">
        <f ca="1">Dashboard!B$8* Dashboard!$F$4+Dashboard!B$10*SQRT(Dashboard!$F$4) * _xlfn.NORM.S.INV(RAND())</f>
        <v>-2.5335577156677842E-2</v>
      </c>
      <c r="T6020" s="59">
        <f ca="1">Dashboard!C$8* Dashboard!$F$4+Dashboard!C$10*SQRT(Dashboard!$F$4) * _xlfn.NORM.S.INV(RAND())</f>
        <v>2.267350529160686E-2</v>
      </c>
      <c r="U6020" s="59">
        <f ca="1">Dashboard!D$8* Dashboard!$F$4+Dashboard!D$10*SQRT(Dashboard!$F$4) * _xlfn.NORM.S.INV(RAND())</f>
        <v>-3.4426094879657004E-2</v>
      </c>
    </row>
    <row r="6021" spans="18:21" x14ac:dyDescent="0.2">
      <c r="R6021" s="49">
        <v>6019</v>
      </c>
      <c r="S6021" s="59">
        <f ca="1">Dashboard!B$8* Dashboard!$F$4+Dashboard!B$10*SQRT(Dashboard!$F$4) * _xlfn.NORM.S.INV(RAND())</f>
        <v>-2.6628687248967083E-3</v>
      </c>
      <c r="T6021" s="59">
        <f ca="1">Dashboard!C$8* Dashboard!$F$4+Dashboard!C$10*SQRT(Dashboard!$F$4) * _xlfn.NORM.S.INV(RAND())</f>
        <v>1.4740642150032898E-2</v>
      </c>
      <c r="U6021" s="59">
        <f ca="1">Dashboard!D$8* Dashboard!$F$4+Dashboard!D$10*SQRT(Dashboard!$F$4) * _xlfn.NORM.S.INV(RAND())</f>
        <v>2.9633623492001212E-2</v>
      </c>
    </row>
    <row r="6022" spans="18:21" x14ac:dyDescent="0.2">
      <c r="R6022" s="49">
        <v>6020</v>
      </c>
      <c r="S6022" s="59">
        <f ca="1">Dashboard!B$8* Dashboard!$F$4+Dashboard!B$10*SQRT(Dashboard!$F$4) * _xlfn.NORM.S.INV(RAND())</f>
        <v>-1.2260402618721805E-2</v>
      </c>
      <c r="T6022" s="59">
        <f ca="1">Dashboard!C$8* Dashboard!$F$4+Dashboard!C$10*SQRT(Dashboard!$F$4) * _xlfn.NORM.S.INV(RAND())</f>
        <v>6.7451851669540444E-2</v>
      </c>
      <c r="U6022" s="59">
        <f ca="1">Dashboard!D$8* Dashboard!$F$4+Dashboard!D$10*SQRT(Dashboard!$F$4) * _xlfn.NORM.S.INV(RAND())</f>
        <v>4.4695711917008161E-3</v>
      </c>
    </row>
    <row r="6023" spans="18:21" x14ac:dyDescent="0.2">
      <c r="R6023" s="49">
        <v>6021</v>
      </c>
      <c r="S6023" s="59">
        <f ca="1">Dashboard!B$8* Dashboard!$F$4+Dashboard!B$10*SQRT(Dashboard!$F$4) * _xlfn.NORM.S.INV(RAND())</f>
        <v>-9.1013553225279958E-3</v>
      </c>
      <c r="T6023" s="59">
        <f ca="1">Dashboard!C$8* Dashboard!$F$4+Dashboard!C$10*SQRT(Dashboard!$F$4) * _xlfn.NORM.S.INV(RAND())</f>
        <v>3.3059054805853902E-2</v>
      </c>
      <c r="U6023" s="59">
        <f ca="1">Dashboard!D$8* Dashboard!$F$4+Dashboard!D$10*SQRT(Dashboard!$F$4) * _xlfn.NORM.S.INV(RAND())</f>
        <v>5.8069540056705452E-3</v>
      </c>
    </row>
    <row r="6024" spans="18:21" x14ac:dyDescent="0.2">
      <c r="R6024" s="49">
        <v>6022</v>
      </c>
      <c r="S6024" s="59">
        <f ca="1">Dashboard!B$8* Dashboard!$F$4+Dashboard!B$10*SQRT(Dashboard!$F$4) * _xlfn.NORM.S.INV(RAND())</f>
        <v>-6.8992758765626678E-3</v>
      </c>
      <c r="T6024" s="59">
        <f ca="1">Dashboard!C$8* Dashboard!$F$4+Dashboard!C$10*SQRT(Dashboard!$F$4) * _xlfn.NORM.S.INV(RAND())</f>
        <v>1.0233627002078857E-2</v>
      </c>
      <c r="U6024" s="59">
        <f ca="1">Dashboard!D$8* Dashboard!$F$4+Dashboard!D$10*SQRT(Dashboard!$F$4) * _xlfn.NORM.S.INV(RAND())</f>
        <v>4.1181249720228734E-2</v>
      </c>
    </row>
    <row r="6025" spans="18:21" x14ac:dyDescent="0.2">
      <c r="R6025" s="49">
        <v>6023</v>
      </c>
      <c r="S6025" s="59">
        <f ca="1">Dashboard!B$8* Dashboard!$F$4+Dashboard!B$10*SQRT(Dashboard!$F$4) * _xlfn.NORM.S.INV(RAND())</f>
        <v>3.3947160622806359E-2</v>
      </c>
      <c r="T6025" s="59">
        <f ca="1">Dashboard!C$8* Dashboard!$F$4+Dashboard!C$10*SQRT(Dashboard!$F$4) * _xlfn.NORM.S.INV(RAND())</f>
        <v>2.8404817003953482E-4</v>
      </c>
      <c r="U6025" s="59">
        <f ca="1">Dashboard!D$8* Dashboard!$F$4+Dashboard!D$10*SQRT(Dashboard!$F$4) * _xlfn.NORM.S.INV(RAND())</f>
        <v>5.6124501797745734E-3</v>
      </c>
    </row>
    <row r="6026" spans="18:21" x14ac:dyDescent="0.2">
      <c r="R6026" s="49">
        <v>6024</v>
      </c>
      <c r="S6026" s="59">
        <f ca="1">Dashboard!B$8* Dashboard!$F$4+Dashboard!B$10*SQRT(Dashboard!$F$4) * _xlfn.NORM.S.INV(RAND())</f>
        <v>5.1310473670660578E-4</v>
      </c>
      <c r="T6026" s="59">
        <f ca="1">Dashboard!C$8* Dashboard!$F$4+Dashboard!C$10*SQRT(Dashboard!$F$4) * _xlfn.NORM.S.INV(RAND())</f>
        <v>3.9646637216924713E-2</v>
      </c>
      <c r="U6026" s="59">
        <f ca="1">Dashboard!D$8* Dashboard!$F$4+Dashboard!D$10*SQRT(Dashboard!$F$4) * _xlfn.NORM.S.INV(RAND())</f>
        <v>-4.4199744262779193E-2</v>
      </c>
    </row>
    <row r="6027" spans="18:21" x14ac:dyDescent="0.2">
      <c r="R6027" s="49">
        <v>6025</v>
      </c>
      <c r="S6027" s="59">
        <f ca="1">Dashboard!B$8* Dashboard!$F$4+Dashboard!B$10*SQRT(Dashboard!$F$4) * _xlfn.NORM.S.INV(RAND())</f>
        <v>2.869199844571426E-3</v>
      </c>
      <c r="T6027" s="59">
        <f ca="1">Dashboard!C$8* Dashboard!$F$4+Dashboard!C$10*SQRT(Dashboard!$F$4) * _xlfn.NORM.S.INV(RAND())</f>
        <v>8.2633925037275652E-2</v>
      </c>
      <c r="U6027" s="59">
        <f ca="1">Dashboard!D$8* Dashboard!$F$4+Dashboard!D$10*SQRT(Dashboard!$F$4) * _xlfn.NORM.S.INV(RAND())</f>
        <v>-4.3357570461753647E-2</v>
      </c>
    </row>
    <row r="6028" spans="18:21" x14ac:dyDescent="0.2">
      <c r="R6028" s="49">
        <v>6026</v>
      </c>
      <c r="S6028" s="59">
        <f ca="1">Dashboard!B$8* Dashboard!$F$4+Dashboard!B$10*SQRT(Dashboard!$F$4) * _xlfn.NORM.S.INV(RAND())</f>
        <v>1.1415286143937128E-2</v>
      </c>
      <c r="T6028" s="59">
        <f ca="1">Dashboard!C$8* Dashboard!$F$4+Dashboard!C$10*SQRT(Dashboard!$F$4) * _xlfn.NORM.S.INV(RAND())</f>
        <v>1.5804749111686677E-2</v>
      </c>
      <c r="U6028" s="59">
        <f ca="1">Dashboard!D$8* Dashboard!$F$4+Dashboard!D$10*SQRT(Dashboard!$F$4) * _xlfn.NORM.S.INV(RAND())</f>
        <v>-1.950354797330698E-2</v>
      </c>
    </row>
    <row r="6029" spans="18:21" x14ac:dyDescent="0.2">
      <c r="R6029" s="49">
        <v>6027</v>
      </c>
      <c r="S6029" s="59">
        <f ca="1">Dashboard!B$8* Dashboard!$F$4+Dashboard!B$10*SQRT(Dashboard!$F$4) * _xlfn.NORM.S.INV(RAND())</f>
        <v>1.5614148355209802E-2</v>
      </c>
      <c r="T6029" s="59">
        <f ca="1">Dashboard!C$8* Dashboard!$F$4+Dashboard!C$10*SQRT(Dashboard!$F$4) * _xlfn.NORM.S.INV(RAND())</f>
        <v>3.089223747409385E-2</v>
      </c>
      <c r="U6029" s="59">
        <f ca="1">Dashboard!D$8* Dashboard!$F$4+Dashboard!D$10*SQRT(Dashboard!$F$4) * _xlfn.NORM.S.INV(RAND())</f>
        <v>1.6589792933151794E-2</v>
      </c>
    </row>
    <row r="6030" spans="18:21" x14ac:dyDescent="0.2">
      <c r="R6030" s="49">
        <v>6028</v>
      </c>
      <c r="S6030" s="59">
        <f ca="1">Dashboard!B$8* Dashboard!$F$4+Dashboard!B$10*SQRT(Dashboard!$F$4) * _xlfn.NORM.S.INV(RAND())</f>
        <v>-5.9288747484917394E-2</v>
      </c>
      <c r="T6030" s="59">
        <f ca="1">Dashboard!C$8* Dashboard!$F$4+Dashboard!C$10*SQRT(Dashboard!$F$4) * _xlfn.NORM.S.INV(RAND())</f>
        <v>4.4200116099047032E-2</v>
      </c>
      <c r="U6030" s="59">
        <f ca="1">Dashboard!D$8* Dashboard!$F$4+Dashboard!D$10*SQRT(Dashboard!$F$4) * _xlfn.NORM.S.INV(RAND())</f>
        <v>-9.6339113363345802E-3</v>
      </c>
    </row>
    <row r="6031" spans="18:21" x14ac:dyDescent="0.2">
      <c r="R6031" s="49">
        <v>6029</v>
      </c>
      <c r="S6031" s="59">
        <f ca="1">Dashboard!B$8* Dashboard!$F$4+Dashboard!B$10*SQRT(Dashboard!$F$4) * _xlfn.NORM.S.INV(RAND())</f>
        <v>-2.5525524610491228E-2</v>
      </c>
      <c r="T6031" s="59">
        <f ca="1">Dashboard!C$8* Dashboard!$F$4+Dashboard!C$10*SQRT(Dashboard!$F$4) * _xlfn.NORM.S.INV(RAND())</f>
        <v>1.7506058090313786E-2</v>
      </c>
      <c r="U6031" s="59">
        <f ca="1">Dashboard!D$8* Dashboard!$F$4+Dashboard!D$10*SQRT(Dashboard!$F$4) * _xlfn.NORM.S.INV(RAND())</f>
        <v>3.3720660187309195E-2</v>
      </c>
    </row>
    <row r="6032" spans="18:21" x14ac:dyDescent="0.2">
      <c r="R6032" s="49">
        <v>6030</v>
      </c>
      <c r="S6032" s="59">
        <f ca="1">Dashboard!B$8* Dashboard!$F$4+Dashboard!B$10*SQRT(Dashboard!$F$4) * _xlfn.NORM.S.INV(RAND())</f>
        <v>-2.3042155339279488E-2</v>
      </c>
      <c r="T6032" s="59">
        <f ca="1">Dashboard!C$8* Dashboard!$F$4+Dashboard!C$10*SQRT(Dashboard!$F$4) * _xlfn.NORM.S.INV(RAND())</f>
        <v>-5.5896644265675657E-2</v>
      </c>
      <c r="U6032" s="59">
        <f ca="1">Dashboard!D$8* Dashboard!$F$4+Dashboard!D$10*SQRT(Dashboard!$F$4) * _xlfn.NORM.S.INV(RAND())</f>
        <v>6.0712021024201486E-2</v>
      </c>
    </row>
    <row r="6033" spans="18:21" x14ac:dyDescent="0.2">
      <c r="R6033" s="49">
        <v>6031</v>
      </c>
      <c r="S6033" s="59">
        <f ca="1">Dashboard!B$8* Dashboard!$F$4+Dashboard!B$10*SQRT(Dashboard!$F$4) * _xlfn.NORM.S.INV(RAND())</f>
        <v>-1.8787008301377798E-3</v>
      </c>
      <c r="T6033" s="59">
        <f ca="1">Dashboard!C$8* Dashboard!$F$4+Dashboard!C$10*SQRT(Dashboard!$F$4) * _xlfn.NORM.S.INV(RAND())</f>
        <v>7.2958505529073254E-4</v>
      </c>
      <c r="U6033" s="59">
        <f ca="1">Dashboard!D$8* Dashboard!$F$4+Dashboard!D$10*SQRT(Dashboard!$F$4) * _xlfn.NORM.S.INV(RAND())</f>
        <v>-2.4581495962537617E-2</v>
      </c>
    </row>
    <row r="6034" spans="18:21" x14ac:dyDescent="0.2">
      <c r="R6034" s="49">
        <v>6032</v>
      </c>
      <c r="S6034" s="59">
        <f ca="1">Dashboard!B$8* Dashboard!$F$4+Dashboard!B$10*SQRT(Dashboard!$F$4) * _xlfn.NORM.S.INV(RAND())</f>
        <v>-7.5398963830344088E-3</v>
      </c>
      <c r="T6034" s="59">
        <f ca="1">Dashboard!C$8* Dashboard!$F$4+Dashboard!C$10*SQRT(Dashboard!$F$4) * _xlfn.NORM.S.INV(RAND())</f>
        <v>6.1872963883360367E-2</v>
      </c>
      <c r="U6034" s="59">
        <f ca="1">Dashboard!D$8* Dashboard!$F$4+Dashboard!D$10*SQRT(Dashboard!$F$4) * _xlfn.NORM.S.INV(RAND())</f>
        <v>2.1174076463726627E-2</v>
      </c>
    </row>
    <row r="6035" spans="18:21" x14ac:dyDescent="0.2">
      <c r="R6035" s="49">
        <v>6033</v>
      </c>
      <c r="S6035" s="59">
        <f ca="1">Dashboard!B$8* Dashboard!$F$4+Dashboard!B$10*SQRT(Dashboard!$F$4) * _xlfn.NORM.S.INV(RAND())</f>
        <v>3.424225114465488E-2</v>
      </c>
      <c r="T6035" s="59">
        <f ca="1">Dashboard!C$8* Dashboard!$F$4+Dashboard!C$10*SQRT(Dashboard!$F$4) * _xlfn.NORM.S.INV(RAND())</f>
        <v>2.3598922793199858E-2</v>
      </c>
      <c r="U6035" s="59">
        <f ca="1">Dashboard!D$8* Dashboard!$F$4+Dashboard!D$10*SQRT(Dashboard!$F$4) * _xlfn.NORM.S.INV(RAND())</f>
        <v>1.2513650038667147E-2</v>
      </c>
    </row>
    <row r="6036" spans="18:21" x14ac:dyDescent="0.2">
      <c r="R6036" s="49">
        <v>6034</v>
      </c>
      <c r="S6036" s="59">
        <f ca="1">Dashboard!B$8* Dashboard!$F$4+Dashboard!B$10*SQRT(Dashboard!$F$4) * _xlfn.NORM.S.INV(RAND())</f>
        <v>-5.1682262504627735E-3</v>
      </c>
      <c r="T6036" s="59">
        <f ca="1">Dashboard!C$8* Dashboard!$F$4+Dashboard!C$10*SQRT(Dashboard!$F$4) * _xlfn.NORM.S.INV(RAND())</f>
        <v>4.300176205147889E-2</v>
      </c>
      <c r="U6036" s="59">
        <f ca="1">Dashboard!D$8* Dashboard!$F$4+Dashboard!D$10*SQRT(Dashboard!$F$4) * _xlfn.NORM.S.INV(RAND())</f>
        <v>5.1799036084487361E-2</v>
      </c>
    </row>
    <row r="6037" spans="18:21" x14ac:dyDescent="0.2">
      <c r="R6037" s="49">
        <v>6035</v>
      </c>
      <c r="S6037" s="59">
        <f ca="1">Dashboard!B$8* Dashboard!$F$4+Dashboard!B$10*SQRT(Dashboard!$F$4) * _xlfn.NORM.S.INV(RAND())</f>
        <v>-2.0857230947799843E-2</v>
      </c>
      <c r="T6037" s="59">
        <f ca="1">Dashboard!C$8* Dashboard!$F$4+Dashboard!C$10*SQRT(Dashboard!$F$4) * _xlfn.NORM.S.INV(RAND())</f>
        <v>-1.222443477541682E-2</v>
      </c>
      <c r="U6037" s="59">
        <f ca="1">Dashboard!D$8* Dashboard!$F$4+Dashboard!D$10*SQRT(Dashboard!$F$4) * _xlfn.NORM.S.INV(RAND())</f>
        <v>1.0800142892631861E-2</v>
      </c>
    </row>
    <row r="6038" spans="18:21" x14ac:dyDescent="0.2">
      <c r="R6038" s="49">
        <v>6036</v>
      </c>
      <c r="S6038" s="59">
        <f ca="1">Dashboard!B$8* Dashboard!$F$4+Dashboard!B$10*SQRT(Dashboard!$F$4) * _xlfn.NORM.S.INV(RAND())</f>
        <v>-3.1240602948535749E-2</v>
      </c>
      <c r="T6038" s="59">
        <f ca="1">Dashboard!C$8* Dashboard!$F$4+Dashboard!C$10*SQRT(Dashboard!$F$4) * _xlfn.NORM.S.INV(RAND())</f>
        <v>-1.1150613641609523E-2</v>
      </c>
      <c r="U6038" s="59">
        <f ca="1">Dashboard!D$8* Dashboard!$F$4+Dashboard!D$10*SQRT(Dashboard!$F$4) * _xlfn.NORM.S.INV(RAND())</f>
        <v>-1.0862701239104373E-5</v>
      </c>
    </row>
    <row r="6039" spans="18:21" x14ac:dyDescent="0.2">
      <c r="R6039" s="49">
        <v>6037</v>
      </c>
      <c r="S6039" s="59">
        <f ca="1">Dashboard!B$8* Dashboard!$F$4+Dashboard!B$10*SQRT(Dashboard!$F$4) * _xlfn.NORM.S.INV(RAND())</f>
        <v>2.416022444474749E-4</v>
      </c>
      <c r="T6039" s="59">
        <f ca="1">Dashboard!C$8* Dashboard!$F$4+Dashboard!C$10*SQRT(Dashboard!$F$4) * _xlfn.NORM.S.INV(RAND())</f>
        <v>-5.954332478373024E-3</v>
      </c>
      <c r="U6039" s="59">
        <f ca="1">Dashboard!D$8* Dashboard!$F$4+Dashboard!D$10*SQRT(Dashboard!$F$4) * _xlfn.NORM.S.INV(RAND())</f>
        <v>2.8089155322716233E-2</v>
      </c>
    </row>
    <row r="6040" spans="18:21" x14ac:dyDescent="0.2">
      <c r="R6040" s="49">
        <v>6038</v>
      </c>
      <c r="S6040" s="59">
        <f ca="1">Dashboard!B$8* Dashboard!$F$4+Dashboard!B$10*SQRT(Dashboard!$F$4) * _xlfn.NORM.S.INV(RAND())</f>
        <v>7.8584001881575355E-2</v>
      </c>
      <c r="T6040" s="59">
        <f ca="1">Dashboard!C$8* Dashboard!$F$4+Dashboard!C$10*SQRT(Dashboard!$F$4) * _xlfn.NORM.S.INV(RAND())</f>
        <v>6.6891101642781267E-2</v>
      </c>
      <c r="U6040" s="59">
        <f ca="1">Dashboard!D$8* Dashboard!$F$4+Dashboard!D$10*SQRT(Dashboard!$F$4) * _xlfn.NORM.S.INV(RAND())</f>
        <v>1.1739976420076837E-2</v>
      </c>
    </row>
    <row r="6041" spans="18:21" x14ac:dyDescent="0.2">
      <c r="R6041" s="49">
        <v>6039</v>
      </c>
      <c r="S6041" s="59">
        <f ca="1">Dashboard!B$8* Dashboard!$F$4+Dashboard!B$10*SQRT(Dashboard!$F$4) * _xlfn.NORM.S.INV(RAND())</f>
        <v>-3.2529051313687316E-2</v>
      </c>
      <c r="T6041" s="59">
        <f ca="1">Dashboard!C$8* Dashboard!$F$4+Dashboard!C$10*SQRT(Dashboard!$F$4) * _xlfn.NORM.S.INV(RAND())</f>
        <v>4.2890736074326405E-2</v>
      </c>
      <c r="U6041" s="59">
        <f ca="1">Dashboard!D$8* Dashboard!$F$4+Dashboard!D$10*SQRT(Dashboard!$F$4) * _xlfn.NORM.S.INV(RAND())</f>
        <v>-1.5484534909227549E-2</v>
      </c>
    </row>
    <row r="6042" spans="18:21" x14ac:dyDescent="0.2">
      <c r="R6042" s="49">
        <v>6040</v>
      </c>
      <c r="S6042" s="59">
        <f ca="1">Dashboard!B$8* Dashboard!$F$4+Dashboard!B$10*SQRT(Dashboard!$F$4) * _xlfn.NORM.S.INV(RAND())</f>
        <v>6.7463126877182044E-3</v>
      </c>
      <c r="T6042" s="59">
        <f ca="1">Dashboard!C$8* Dashboard!$F$4+Dashboard!C$10*SQRT(Dashboard!$F$4) * _xlfn.NORM.S.INV(RAND())</f>
        <v>1.7360101133358816E-2</v>
      </c>
      <c r="U6042" s="59">
        <f ca="1">Dashboard!D$8* Dashboard!$F$4+Dashboard!D$10*SQRT(Dashboard!$F$4) * _xlfn.NORM.S.INV(RAND())</f>
        <v>-4.6180966366400726E-2</v>
      </c>
    </row>
    <row r="6043" spans="18:21" x14ac:dyDescent="0.2">
      <c r="R6043" s="49">
        <v>6041</v>
      </c>
      <c r="S6043" s="59">
        <f ca="1">Dashboard!B$8* Dashboard!$F$4+Dashboard!B$10*SQRT(Dashboard!$F$4) * _xlfn.NORM.S.INV(RAND())</f>
        <v>1.2792944962502247E-2</v>
      </c>
      <c r="T6043" s="59">
        <f ca="1">Dashboard!C$8* Dashboard!$F$4+Dashboard!C$10*SQRT(Dashboard!$F$4) * _xlfn.NORM.S.INV(RAND())</f>
        <v>-4.0801319345477205E-2</v>
      </c>
      <c r="U6043" s="59">
        <f ca="1">Dashboard!D$8* Dashboard!$F$4+Dashboard!D$10*SQRT(Dashboard!$F$4) * _xlfn.NORM.S.INV(RAND())</f>
        <v>-1.473422357702279E-2</v>
      </c>
    </row>
    <row r="6044" spans="18:21" x14ac:dyDescent="0.2">
      <c r="R6044" s="49">
        <v>6042</v>
      </c>
      <c r="S6044" s="59">
        <f ca="1">Dashboard!B$8* Dashboard!$F$4+Dashboard!B$10*SQRT(Dashboard!$F$4) * _xlfn.NORM.S.INV(RAND())</f>
        <v>5.6785445384074408E-3</v>
      </c>
      <c r="T6044" s="59">
        <f ca="1">Dashboard!C$8* Dashboard!$F$4+Dashboard!C$10*SQRT(Dashboard!$F$4) * _xlfn.NORM.S.INV(RAND())</f>
        <v>3.6982999595810112E-2</v>
      </c>
      <c r="U6044" s="59">
        <f ca="1">Dashboard!D$8* Dashboard!$F$4+Dashboard!D$10*SQRT(Dashboard!$F$4) * _xlfn.NORM.S.INV(RAND())</f>
        <v>7.8521786370126107E-3</v>
      </c>
    </row>
    <row r="6045" spans="18:21" x14ac:dyDescent="0.2">
      <c r="R6045" s="49">
        <v>6043</v>
      </c>
      <c r="S6045" s="59">
        <f ca="1">Dashboard!B$8* Dashboard!$F$4+Dashboard!B$10*SQRT(Dashboard!$F$4) * _xlfn.NORM.S.INV(RAND())</f>
        <v>2.135091800634945E-3</v>
      </c>
      <c r="T6045" s="59">
        <f ca="1">Dashboard!C$8* Dashboard!$F$4+Dashboard!C$10*SQRT(Dashboard!$F$4) * _xlfn.NORM.S.INV(RAND())</f>
        <v>5.2962535401294116E-3</v>
      </c>
      <c r="U6045" s="59">
        <f ca="1">Dashboard!D$8* Dashboard!$F$4+Dashboard!D$10*SQRT(Dashboard!$F$4) * _xlfn.NORM.S.INV(RAND())</f>
        <v>-3.9388122003260646E-2</v>
      </c>
    </row>
    <row r="6046" spans="18:21" x14ac:dyDescent="0.2">
      <c r="R6046" s="49">
        <v>6044</v>
      </c>
      <c r="S6046" s="59">
        <f ca="1">Dashboard!B$8* Dashboard!$F$4+Dashboard!B$10*SQRT(Dashboard!$F$4) * _xlfn.NORM.S.INV(RAND())</f>
        <v>6.8186662711405398E-3</v>
      </c>
      <c r="T6046" s="59">
        <f ca="1">Dashboard!C$8* Dashboard!$F$4+Dashboard!C$10*SQRT(Dashboard!$F$4) * _xlfn.NORM.S.INV(RAND())</f>
        <v>2.9640854376375377E-2</v>
      </c>
      <c r="U6046" s="59">
        <f ca="1">Dashboard!D$8* Dashboard!$F$4+Dashboard!D$10*SQRT(Dashboard!$F$4) * _xlfn.NORM.S.INV(RAND())</f>
        <v>-2.9600452962961748E-2</v>
      </c>
    </row>
    <row r="6047" spans="18:21" x14ac:dyDescent="0.2">
      <c r="R6047" s="49">
        <v>6045</v>
      </c>
      <c r="S6047" s="59">
        <f ca="1">Dashboard!B$8* Dashboard!$F$4+Dashboard!B$10*SQRT(Dashboard!$F$4) * _xlfn.NORM.S.INV(RAND())</f>
        <v>4.865850875583666E-2</v>
      </c>
      <c r="T6047" s="59">
        <f ca="1">Dashboard!C$8* Dashboard!$F$4+Dashboard!C$10*SQRT(Dashboard!$F$4) * _xlfn.NORM.S.INV(RAND())</f>
        <v>3.1191370821507403E-2</v>
      </c>
      <c r="U6047" s="59">
        <f ca="1">Dashboard!D$8* Dashboard!$F$4+Dashboard!D$10*SQRT(Dashboard!$F$4) * _xlfn.NORM.S.INV(RAND())</f>
        <v>-6.6176925920952076E-2</v>
      </c>
    </row>
    <row r="6048" spans="18:21" x14ac:dyDescent="0.2">
      <c r="R6048" s="49">
        <v>6046</v>
      </c>
      <c r="S6048" s="59">
        <f ca="1">Dashboard!B$8* Dashboard!$F$4+Dashboard!B$10*SQRT(Dashboard!$F$4) * _xlfn.NORM.S.INV(RAND())</f>
        <v>-1.7893895861653485E-2</v>
      </c>
      <c r="T6048" s="59">
        <f ca="1">Dashboard!C$8* Dashboard!$F$4+Dashboard!C$10*SQRT(Dashboard!$F$4) * _xlfn.NORM.S.INV(RAND())</f>
        <v>1.8978290566016624E-2</v>
      </c>
      <c r="U6048" s="59">
        <f ca="1">Dashboard!D$8* Dashboard!$F$4+Dashboard!D$10*SQRT(Dashboard!$F$4) * _xlfn.NORM.S.INV(RAND())</f>
        <v>-1.8218185236936444E-2</v>
      </c>
    </row>
    <row r="6049" spans="18:21" x14ac:dyDescent="0.2">
      <c r="R6049" s="49">
        <v>6047</v>
      </c>
      <c r="S6049" s="59">
        <f ca="1">Dashboard!B$8* Dashboard!$F$4+Dashboard!B$10*SQRT(Dashboard!$F$4) * _xlfn.NORM.S.INV(RAND())</f>
        <v>-7.4484287682606044E-3</v>
      </c>
      <c r="T6049" s="59">
        <f ca="1">Dashboard!C$8* Dashboard!$F$4+Dashboard!C$10*SQRT(Dashboard!$F$4) * _xlfn.NORM.S.INV(RAND())</f>
        <v>-3.549537373398659E-2</v>
      </c>
      <c r="U6049" s="59">
        <f ca="1">Dashboard!D$8* Dashboard!$F$4+Dashboard!D$10*SQRT(Dashboard!$F$4) * _xlfn.NORM.S.INV(RAND())</f>
        <v>1.6651702270666156E-3</v>
      </c>
    </row>
    <row r="6050" spans="18:21" x14ac:dyDescent="0.2">
      <c r="R6050" s="49">
        <v>6048</v>
      </c>
      <c r="S6050" s="59">
        <f ca="1">Dashboard!B$8* Dashboard!$F$4+Dashboard!B$10*SQRT(Dashboard!$F$4) * _xlfn.NORM.S.INV(RAND())</f>
        <v>2.2749682179254202E-2</v>
      </c>
      <c r="T6050" s="59">
        <f ca="1">Dashboard!C$8* Dashboard!$F$4+Dashboard!C$10*SQRT(Dashboard!$F$4) * _xlfn.NORM.S.INV(RAND())</f>
        <v>1.7886367942829964E-2</v>
      </c>
      <c r="U6050" s="59">
        <f ca="1">Dashboard!D$8* Dashboard!$F$4+Dashboard!D$10*SQRT(Dashboard!$F$4) * _xlfn.NORM.S.INV(RAND())</f>
        <v>-3.4345812789076703E-2</v>
      </c>
    </row>
    <row r="6051" spans="18:21" x14ac:dyDescent="0.2">
      <c r="R6051" s="49">
        <v>6049</v>
      </c>
      <c r="S6051" s="59">
        <f ca="1">Dashboard!B$8* Dashboard!$F$4+Dashboard!B$10*SQRT(Dashboard!$F$4) * _xlfn.NORM.S.INV(RAND())</f>
        <v>5.7349523161750307E-2</v>
      </c>
      <c r="T6051" s="59">
        <f ca="1">Dashboard!C$8* Dashboard!$F$4+Dashboard!C$10*SQRT(Dashboard!$F$4) * _xlfn.NORM.S.INV(RAND())</f>
        <v>1.2045384534457419E-2</v>
      </c>
      <c r="U6051" s="59">
        <f ca="1">Dashboard!D$8* Dashboard!$F$4+Dashboard!D$10*SQRT(Dashboard!$F$4) * _xlfn.NORM.S.INV(RAND())</f>
        <v>-2.6355581202039204E-2</v>
      </c>
    </row>
    <row r="6052" spans="18:21" x14ac:dyDescent="0.2">
      <c r="R6052" s="49">
        <v>6050</v>
      </c>
      <c r="S6052" s="59">
        <f ca="1">Dashboard!B$8* Dashboard!$F$4+Dashboard!B$10*SQRT(Dashboard!$F$4) * _xlfn.NORM.S.INV(RAND())</f>
        <v>-1.4337146797423364E-2</v>
      </c>
      <c r="T6052" s="59">
        <f ca="1">Dashboard!C$8* Dashboard!$F$4+Dashboard!C$10*SQRT(Dashboard!$F$4) * _xlfn.NORM.S.INV(RAND())</f>
        <v>-9.4037624609658796E-3</v>
      </c>
      <c r="U6052" s="59">
        <f ca="1">Dashboard!D$8* Dashboard!$F$4+Dashboard!D$10*SQRT(Dashboard!$F$4) * _xlfn.NORM.S.INV(RAND())</f>
        <v>1.3617802705435455E-2</v>
      </c>
    </row>
    <row r="6053" spans="18:21" x14ac:dyDescent="0.2">
      <c r="R6053" s="49">
        <v>6051</v>
      </c>
      <c r="S6053" s="59">
        <f ca="1">Dashboard!B$8* Dashboard!$F$4+Dashboard!B$10*SQRT(Dashboard!$F$4) * _xlfn.NORM.S.INV(RAND())</f>
        <v>3.5376072789269825E-2</v>
      </c>
      <c r="T6053" s="59">
        <f ca="1">Dashboard!C$8* Dashboard!$F$4+Dashboard!C$10*SQRT(Dashboard!$F$4) * _xlfn.NORM.S.INV(RAND())</f>
        <v>-4.0303312940281888E-2</v>
      </c>
      <c r="U6053" s="59">
        <f ca="1">Dashboard!D$8* Dashboard!$F$4+Dashboard!D$10*SQRT(Dashboard!$F$4) * _xlfn.NORM.S.INV(RAND())</f>
        <v>-4.0240859212076228E-2</v>
      </c>
    </row>
    <row r="6054" spans="18:21" x14ac:dyDescent="0.2">
      <c r="R6054" s="49">
        <v>6052</v>
      </c>
      <c r="S6054" s="59">
        <f ca="1">Dashboard!B$8* Dashboard!$F$4+Dashboard!B$10*SQRT(Dashboard!$F$4) * _xlfn.NORM.S.INV(RAND())</f>
        <v>-1.6126071478235006E-2</v>
      </c>
      <c r="T6054" s="59">
        <f ca="1">Dashboard!C$8* Dashboard!$F$4+Dashboard!C$10*SQRT(Dashboard!$F$4) * _xlfn.NORM.S.INV(RAND())</f>
        <v>-3.6158275394463681E-2</v>
      </c>
      <c r="U6054" s="59">
        <f ca="1">Dashboard!D$8* Dashboard!$F$4+Dashboard!D$10*SQRT(Dashboard!$F$4) * _xlfn.NORM.S.INV(RAND())</f>
        <v>-1.7260728170292793E-2</v>
      </c>
    </row>
    <row r="6055" spans="18:21" x14ac:dyDescent="0.2">
      <c r="R6055" s="49">
        <v>6053</v>
      </c>
      <c r="S6055" s="59">
        <f ca="1">Dashboard!B$8* Dashboard!$F$4+Dashboard!B$10*SQRT(Dashboard!$F$4) * _xlfn.NORM.S.INV(RAND())</f>
        <v>-7.0623361333593329E-2</v>
      </c>
      <c r="T6055" s="59">
        <f ca="1">Dashboard!C$8* Dashboard!$F$4+Dashboard!C$10*SQRT(Dashboard!$F$4) * _xlfn.NORM.S.INV(RAND())</f>
        <v>-7.0375631314266813E-3</v>
      </c>
      <c r="U6055" s="59">
        <f ca="1">Dashboard!D$8* Dashboard!$F$4+Dashboard!D$10*SQRT(Dashboard!$F$4) * _xlfn.NORM.S.INV(RAND())</f>
        <v>4.2849013679780217E-2</v>
      </c>
    </row>
    <row r="6056" spans="18:21" x14ac:dyDescent="0.2">
      <c r="R6056" s="49">
        <v>6054</v>
      </c>
      <c r="S6056" s="59">
        <f ca="1">Dashboard!B$8* Dashboard!$F$4+Dashboard!B$10*SQRT(Dashboard!$F$4) * _xlfn.NORM.S.INV(RAND())</f>
        <v>1.5160444268005195E-2</v>
      </c>
      <c r="T6056" s="59">
        <f ca="1">Dashboard!C$8* Dashboard!$F$4+Dashboard!C$10*SQRT(Dashboard!$F$4) * _xlfn.NORM.S.INV(RAND())</f>
        <v>-2.2482039257194657E-2</v>
      </c>
      <c r="U6056" s="59">
        <f ca="1">Dashboard!D$8* Dashboard!$F$4+Dashboard!D$10*SQRT(Dashboard!$F$4) * _xlfn.NORM.S.INV(RAND())</f>
        <v>2.892563847676455E-3</v>
      </c>
    </row>
    <row r="6057" spans="18:21" x14ac:dyDescent="0.2">
      <c r="R6057" s="49">
        <v>6055</v>
      </c>
      <c r="S6057" s="59">
        <f ca="1">Dashboard!B$8* Dashboard!$F$4+Dashboard!B$10*SQRT(Dashboard!$F$4) * _xlfn.NORM.S.INV(RAND())</f>
        <v>3.277625478407222E-3</v>
      </c>
      <c r="T6057" s="59">
        <f ca="1">Dashboard!C$8* Dashboard!$F$4+Dashboard!C$10*SQRT(Dashboard!$F$4) * _xlfn.NORM.S.INV(RAND())</f>
        <v>-2.5981483731791256E-2</v>
      </c>
      <c r="U6057" s="59">
        <f ca="1">Dashboard!D$8* Dashboard!$F$4+Dashboard!D$10*SQRT(Dashboard!$F$4) * _xlfn.NORM.S.INV(RAND())</f>
        <v>-2.9279862049822525E-2</v>
      </c>
    </row>
    <row r="6058" spans="18:21" x14ac:dyDescent="0.2">
      <c r="R6058" s="49">
        <v>6056</v>
      </c>
      <c r="S6058" s="59">
        <f ca="1">Dashboard!B$8* Dashboard!$F$4+Dashboard!B$10*SQRT(Dashboard!$F$4) * _xlfn.NORM.S.INV(RAND())</f>
        <v>1.1701435874801039E-2</v>
      </c>
      <c r="T6058" s="59">
        <f ca="1">Dashboard!C$8* Dashboard!$F$4+Dashboard!C$10*SQRT(Dashboard!$F$4) * _xlfn.NORM.S.INV(RAND())</f>
        <v>3.0547214708409959E-2</v>
      </c>
      <c r="U6058" s="59">
        <f ca="1">Dashboard!D$8* Dashboard!$F$4+Dashboard!D$10*SQRT(Dashboard!$F$4) * _xlfn.NORM.S.INV(RAND())</f>
        <v>-2.1191219893067676E-2</v>
      </c>
    </row>
    <row r="6059" spans="18:21" x14ac:dyDescent="0.2">
      <c r="R6059" s="49">
        <v>6057</v>
      </c>
      <c r="S6059" s="59">
        <f ca="1">Dashboard!B$8* Dashboard!$F$4+Dashboard!B$10*SQRT(Dashboard!$F$4) * _xlfn.NORM.S.INV(RAND())</f>
        <v>-5.7841285799362853E-2</v>
      </c>
      <c r="T6059" s="59">
        <f ca="1">Dashboard!C$8* Dashboard!$F$4+Dashboard!C$10*SQRT(Dashboard!$F$4) * _xlfn.NORM.S.INV(RAND())</f>
        <v>-3.1290328282248585E-2</v>
      </c>
      <c r="U6059" s="59">
        <f ca="1">Dashboard!D$8* Dashboard!$F$4+Dashboard!D$10*SQRT(Dashboard!$F$4) * _xlfn.NORM.S.INV(RAND())</f>
        <v>-3.0076677445873671E-2</v>
      </c>
    </row>
    <row r="6060" spans="18:21" x14ac:dyDescent="0.2">
      <c r="R6060" s="49">
        <v>6058</v>
      </c>
      <c r="S6060" s="59">
        <f ca="1">Dashboard!B$8* Dashboard!$F$4+Dashboard!B$10*SQRT(Dashboard!$F$4) * _xlfn.NORM.S.INV(RAND())</f>
        <v>-3.0670583974228602E-2</v>
      </c>
      <c r="T6060" s="59">
        <f ca="1">Dashboard!C$8* Dashboard!$F$4+Dashboard!C$10*SQRT(Dashboard!$F$4) * _xlfn.NORM.S.INV(RAND())</f>
        <v>-1.3447404574807059E-2</v>
      </c>
      <c r="U6060" s="59">
        <f ca="1">Dashboard!D$8* Dashboard!$F$4+Dashboard!D$10*SQRT(Dashboard!$F$4) * _xlfn.NORM.S.INV(RAND())</f>
        <v>3.9201521854710705E-3</v>
      </c>
    </row>
    <row r="6061" spans="18:21" x14ac:dyDescent="0.2">
      <c r="R6061" s="49">
        <v>6059</v>
      </c>
      <c r="S6061" s="59">
        <f ca="1">Dashboard!B$8* Dashboard!$F$4+Dashboard!B$10*SQRT(Dashboard!$F$4) * _xlfn.NORM.S.INV(RAND())</f>
        <v>-4.9556091139045501E-2</v>
      </c>
      <c r="T6061" s="59">
        <f ca="1">Dashboard!C$8* Dashboard!$F$4+Dashboard!C$10*SQRT(Dashboard!$F$4) * _xlfn.NORM.S.INV(RAND())</f>
        <v>4.8731963065172967E-2</v>
      </c>
      <c r="U6061" s="59">
        <f ca="1">Dashboard!D$8* Dashboard!$F$4+Dashboard!D$10*SQRT(Dashboard!$F$4) * _xlfn.NORM.S.INV(RAND())</f>
        <v>1.0228388450641779E-2</v>
      </c>
    </row>
    <row r="6062" spans="18:21" x14ac:dyDescent="0.2">
      <c r="R6062" s="49">
        <v>6060</v>
      </c>
      <c r="S6062" s="59">
        <f ca="1">Dashboard!B$8* Dashboard!$F$4+Dashboard!B$10*SQRT(Dashboard!$F$4) * _xlfn.NORM.S.INV(RAND())</f>
        <v>9.1010503109612735E-3</v>
      </c>
      <c r="T6062" s="59">
        <f ca="1">Dashboard!C$8* Dashboard!$F$4+Dashboard!C$10*SQRT(Dashboard!$F$4) * _xlfn.NORM.S.INV(RAND())</f>
        <v>-7.4836507412900837E-3</v>
      </c>
      <c r="U6062" s="59">
        <f ca="1">Dashboard!D$8* Dashboard!$F$4+Dashboard!D$10*SQRT(Dashboard!$F$4) * _xlfn.NORM.S.INV(RAND())</f>
        <v>-2.5665447885382803E-2</v>
      </c>
    </row>
    <row r="6063" spans="18:21" x14ac:dyDescent="0.2">
      <c r="R6063" s="49">
        <v>6061</v>
      </c>
      <c r="S6063" s="59">
        <f ca="1">Dashboard!B$8* Dashboard!$F$4+Dashboard!B$10*SQRT(Dashboard!$F$4) * _xlfn.NORM.S.INV(RAND())</f>
        <v>-2.59822975556473E-2</v>
      </c>
      <c r="T6063" s="59">
        <f ca="1">Dashboard!C$8* Dashboard!$F$4+Dashboard!C$10*SQRT(Dashboard!$F$4) * _xlfn.NORM.S.INV(RAND())</f>
        <v>1.1507212346603981E-2</v>
      </c>
      <c r="U6063" s="59">
        <f ca="1">Dashboard!D$8* Dashboard!$F$4+Dashboard!D$10*SQRT(Dashboard!$F$4) * _xlfn.NORM.S.INV(RAND())</f>
        <v>-2.8408439916193656E-3</v>
      </c>
    </row>
    <row r="6064" spans="18:21" x14ac:dyDescent="0.2">
      <c r="R6064" s="49">
        <v>6062</v>
      </c>
      <c r="S6064" s="59">
        <f ca="1">Dashboard!B$8* Dashboard!$F$4+Dashboard!B$10*SQRT(Dashboard!$F$4) * _xlfn.NORM.S.INV(RAND())</f>
        <v>-8.0454366582654313E-2</v>
      </c>
      <c r="T6064" s="59">
        <f ca="1">Dashboard!C$8* Dashboard!$F$4+Dashboard!C$10*SQRT(Dashboard!$F$4) * _xlfn.NORM.S.INV(RAND())</f>
        <v>-2.1174249265977114E-3</v>
      </c>
      <c r="U6064" s="59">
        <f ca="1">Dashboard!D$8* Dashboard!$F$4+Dashboard!D$10*SQRT(Dashboard!$F$4) * _xlfn.NORM.S.INV(RAND())</f>
        <v>7.284540853341423E-2</v>
      </c>
    </row>
    <row r="6065" spans="18:21" x14ac:dyDescent="0.2">
      <c r="R6065" s="49">
        <v>6063</v>
      </c>
      <c r="S6065" s="59">
        <f ca="1">Dashboard!B$8* Dashboard!$F$4+Dashboard!B$10*SQRT(Dashboard!$F$4) * _xlfn.NORM.S.INV(RAND())</f>
        <v>-7.7983051279454513E-2</v>
      </c>
      <c r="T6065" s="59">
        <f ca="1">Dashboard!C$8* Dashboard!$F$4+Dashboard!C$10*SQRT(Dashboard!$F$4) * _xlfn.NORM.S.INV(RAND())</f>
        <v>4.7936651002291567E-2</v>
      </c>
      <c r="U6065" s="59">
        <f ca="1">Dashboard!D$8* Dashboard!$F$4+Dashboard!D$10*SQRT(Dashboard!$F$4) * _xlfn.NORM.S.INV(RAND())</f>
        <v>-9.9883616731892867E-3</v>
      </c>
    </row>
    <row r="6066" spans="18:21" x14ac:dyDescent="0.2">
      <c r="R6066" s="49">
        <v>6064</v>
      </c>
      <c r="S6066" s="59">
        <f ca="1">Dashboard!B$8* Dashboard!$F$4+Dashboard!B$10*SQRT(Dashboard!$F$4) * _xlfn.NORM.S.INV(RAND())</f>
        <v>-1.0029445432568358E-2</v>
      </c>
      <c r="T6066" s="59">
        <f ca="1">Dashboard!C$8* Dashboard!$F$4+Dashboard!C$10*SQRT(Dashboard!$F$4) * _xlfn.NORM.S.INV(RAND())</f>
        <v>2.004048759678927E-2</v>
      </c>
      <c r="U6066" s="59">
        <f ca="1">Dashboard!D$8* Dashboard!$F$4+Dashboard!D$10*SQRT(Dashboard!$F$4) * _xlfn.NORM.S.INV(RAND())</f>
        <v>1.9226406951363389E-2</v>
      </c>
    </row>
    <row r="6067" spans="18:21" x14ac:dyDescent="0.2">
      <c r="R6067" s="49">
        <v>6065</v>
      </c>
      <c r="S6067" s="59">
        <f ca="1">Dashboard!B$8* Dashboard!$F$4+Dashboard!B$10*SQRT(Dashboard!$F$4) * _xlfn.NORM.S.INV(RAND())</f>
        <v>2.5960214778674016E-2</v>
      </c>
      <c r="T6067" s="59">
        <f ca="1">Dashboard!C$8* Dashboard!$F$4+Dashboard!C$10*SQRT(Dashboard!$F$4) * _xlfn.NORM.S.INV(RAND())</f>
        <v>-4.32291356724058E-2</v>
      </c>
      <c r="U6067" s="59">
        <f ca="1">Dashboard!D$8* Dashboard!$F$4+Dashboard!D$10*SQRT(Dashboard!$F$4) * _xlfn.NORM.S.INV(RAND())</f>
        <v>-3.1630248977664782E-2</v>
      </c>
    </row>
    <row r="6068" spans="18:21" x14ac:dyDescent="0.2">
      <c r="R6068" s="49">
        <v>6066</v>
      </c>
      <c r="S6068" s="59">
        <f ca="1">Dashboard!B$8* Dashboard!$F$4+Dashboard!B$10*SQRT(Dashboard!$F$4) * _xlfn.NORM.S.INV(RAND())</f>
        <v>1.4491546162643561E-2</v>
      </c>
      <c r="T6068" s="59">
        <f ca="1">Dashboard!C$8* Dashboard!$F$4+Dashboard!C$10*SQRT(Dashboard!$F$4) * _xlfn.NORM.S.INV(RAND())</f>
        <v>-9.7052610098999313E-3</v>
      </c>
      <c r="U6068" s="59">
        <f ca="1">Dashboard!D$8* Dashboard!$F$4+Dashboard!D$10*SQRT(Dashboard!$F$4) * _xlfn.NORM.S.INV(RAND())</f>
        <v>-4.1008556053229582E-2</v>
      </c>
    </row>
    <row r="6069" spans="18:21" x14ac:dyDescent="0.2">
      <c r="R6069" s="49">
        <v>6067</v>
      </c>
      <c r="S6069" s="59">
        <f ca="1">Dashboard!B$8* Dashboard!$F$4+Dashboard!B$10*SQRT(Dashboard!$F$4) * _xlfn.NORM.S.INV(RAND())</f>
        <v>3.6951969998531356E-2</v>
      </c>
      <c r="T6069" s="59">
        <f ca="1">Dashboard!C$8* Dashboard!$F$4+Dashboard!C$10*SQRT(Dashboard!$F$4) * _xlfn.NORM.S.INV(RAND())</f>
        <v>-1.9103283725344991E-3</v>
      </c>
      <c r="U6069" s="59">
        <f ca="1">Dashboard!D$8* Dashboard!$F$4+Dashboard!D$10*SQRT(Dashboard!$F$4) * _xlfn.NORM.S.INV(RAND())</f>
        <v>4.0660671660665943E-4</v>
      </c>
    </row>
    <row r="6070" spans="18:21" x14ac:dyDescent="0.2">
      <c r="R6070" s="49">
        <v>6068</v>
      </c>
      <c r="S6070" s="59">
        <f ca="1">Dashboard!B$8* Dashboard!$F$4+Dashboard!B$10*SQRT(Dashboard!$F$4) * _xlfn.NORM.S.INV(RAND())</f>
        <v>-4.8826889170053962E-2</v>
      </c>
      <c r="T6070" s="59">
        <f ca="1">Dashboard!C$8* Dashboard!$F$4+Dashboard!C$10*SQRT(Dashboard!$F$4) * _xlfn.NORM.S.INV(RAND())</f>
        <v>2.6792135559437182E-2</v>
      </c>
      <c r="U6070" s="59">
        <f ca="1">Dashboard!D$8* Dashboard!$F$4+Dashboard!D$10*SQRT(Dashboard!$F$4) * _xlfn.NORM.S.INV(RAND())</f>
        <v>-9.3366095068546564E-3</v>
      </c>
    </row>
    <row r="6071" spans="18:21" x14ac:dyDescent="0.2">
      <c r="R6071" s="49">
        <v>6069</v>
      </c>
      <c r="S6071" s="59">
        <f ca="1">Dashboard!B$8* Dashboard!$F$4+Dashboard!B$10*SQRT(Dashboard!$F$4) * _xlfn.NORM.S.INV(RAND())</f>
        <v>-3.1778623398104479E-2</v>
      </c>
      <c r="T6071" s="59">
        <f ca="1">Dashboard!C$8* Dashboard!$F$4+Dashboard!C$10*SQRT(Dashboard!$F$4) * _xlfn.NORM.S.INV(RAND())</f>
        <v>-1.7116752937512015E-2</v>
      </c>
      <c r="U6071" s="59">
        <f ca="1">Dashboard!D$8* Dashboard!$F$4+Dashboard!D$10*SQRT(Dashboard!$F$4) * _xlfn.NORM.S.INV(RAND())</f>
        <v>-1.2908200132639602E-2</v>
      </c>
    </row>
    <row r="6072" spans="18:21" x14ac:dyDescent="0.2">
      <c r="R6072" s="49">
        <v>6070</v>
      </c>
      <c r="S6072" s="59">
        <f ca="1">Dashboard!B$8* Dashboard!$F$4+Dashboard!B$10*SQRT(Dashboard!$F$4) * _xlfn.NORM.S.INV(RAND())</f>
        <v>-1.0279686436903062E-2</v>
      </c>
      <c r="T6072" s="59">
        <f ca="1">Dashboard!C$8* Dashboard!$F$4+Dashboard!C$10*SQRT(Dashboard!$F$4) * _xlfn.NORM.S.INV(RAND())</f>
        <v>4.6505019869680312E-3</v>
      </c>
      <c r="U6072" s="59">
        <f ca="1">Dashboard!D$8* Dashboard!$F$4+Dashboard!D$10*SQRT(Dashboard!$F$4) * _xlfn.NORM.S.INV(RAND())</f>
        <v>-3.2818479282888592E-2</v>
      </c>
    </row>
    <row r="6073" spans="18:21" x14ac:dyDescent="0.2">
      <c r="R6073" s="49">
        <v>6071</v>
      </c>
      <c r="S6073" s="59">
        <f ca="1">Dashboard!B$8* Dashboard!$F$4+Dashboard!B$10*SQRT(Dashboard!$F$4) * _xlfn.NORM.S.INV(RAND())</f>
        <v>-9.6460606116970209E-3</v>
      </c>
      <c r="T6073" s="59">
        <f ca="1">Dashboard!C$8* Dashboard!$F$4+Dashboard!C$10*SQRT(Dashboard!$F$4) * _xlfn.NORM.S.INV(RAND())</f>
        <v>1.2192318853735326E-2</v>
      </c>
      <c r="U6073" s="59">
        <f ca="1">Dashboard!D$8* Dashboard!$F$4+Dashboard!D$10*SQRT(Dashboard!$F$4) * _xlfn.NORM.S.INV(RAND())</f>
        <v>-2.0786210396499489E-2</v>
      </c>
    </row>
    <row r="6074" spans="18:21" x14ac:dyDescent="0.2">
      <c r="R6074" s="49">
        <v>6072</v>
      </c>
      <c r="S6074" s="59">
        <f ca="1">Dashboard!B$8* Dashboard!$F$4+Dashboard!B$10*SQRT(Dashboard!$F$4) * _xlfn.NORM.S.INV(RAND())</f>
        <v>-3.1849742965279704E-2</v>
      </c>
      <c r="T6074" s="59">
        <f ca="1">Dashboard!C$8* Dashboard!$F$4+Dashboard!C$10*SQRT(Dashboard!$F$4) * _xlfn.NORM.S.INV(RAND())</f>
        <v>6.4888079940656179E-2</v>
      </c>
      <c r="U6074" s="59">
        <f ca="1">Dashboard!D$8* Dashboard!$F$4+Dashboard!D$10*SQRT(Dashboard!$F$4) * _xlfn.NORM.S.INV(RAND())</f>
        <v>-2.2813408412251504E-2</v>
      </c>
    </row>
    <row r="6075" spans="18:21" x14ac:dyDescent="0.2">
      <c r="R6075" s="49">
        <v>6073</v>
      </c>
      <c r="S6075" s="59">
        <f ca="1">Dashboard!B$8* Dashboard!$F$4+Dashboard!B$10*SQRT(Dashboard!$F$4) * _xlfn.NORM.S.INV(RAND())</f>
        <v>2.9279558861976286E-2</v>
      </c>
      <c r="T6075" s="59">
        <f ca="1">Dashboard!C$8* Dashboard!$F$4+Dashboard!C$10*SQRT(Dashboard!$F$4) * _xlfn.NORM.S.INV(RAND())</f>
        <v>8.3045835785728796E-3</v>
      </c>
      <c r="U6075" s="59">
        <f ca="1">Dashboard!D$8* Dashboard!$F$4+Dashboard!D$10*SQRT(Dashboard!$F$4) * _xlfn.NORM.S.INV(RAND())</f>
        <v>1.6461543230882779E-3</v>
      </c>
    </row>
    <row r="6076" spans="18:21" x14ac:dyDescent="0.2">
      <c r="R6076" s="49">
        <v>6074</v>
      </c>
      <c r="S6076" s="59">
        <f ca="1">Dashboard!B$8* Dashboard!$F$4+Dashboard!B$10*SQRT(Dashboard!$F$4) * _xlfn.NORM.S.INV(RAND())</f>
        <v>-7.3101297272458218E-2</v>
      </c>
      <c r="T6076" s="59">
        <f ca="1">Dashboard!C$8* Dashboard!$F$4+Dashboard!C$10*SQRT(Dashboard!$F$4) * _xlfn.NORM.S.INV(RAND())</f>
        <v>3.9375781422335936E-2</v>
      </c>
      <c r="U6076" s="59">
        <f ca="1">Dashboard!D$8* Dashboard!$F$4+Dashboard!D$10*SQRT(Dashboard!$F$4) * _xlfn.NORM.S.INV(RAND())</f>
        <v>5.1038676925599146E-3</v>
      </c>
    </row>
    <row r="6077" spans="18:21" x14ac:dyDescent="0.2">
      <c r="R6077" s="49">
        <v>6075</v>
      </c>
      <c r="S6077" s="59">
        <f ca="1">Dashboard!B$8* Dashboard!$F$4+Dashboard!B$10*SQRT(Dashboard!$F$4) * _xlfn.NORM.S.INV(RAND())</f>
        <v>1.8066403247734383E-2</v>
      </c>
      <c r="T6077" s="59">
        <f ca="1">Dashboard!C$8* Dashboard!$F$4+Dashboard!C$10*SQRT(Dashboard!$F$4) * _xlfn.NORM.S.INV(RAND())</f>
        <v>-4.4859738492660263E-2</v>
      </c>
      <c r="U6077" s="59">
        <f ca="1">Dashboard!D$8* Dashboard!$F$4+Dashboard!D$10*SQRT(Dashboard!$F$4) * _xlfn.NORM.S.INV(RAND())</f>
        <v>-3.2376965312172863E-3</v>
      </c>
    </row>
    <row r="6078" spans="18:21" x14ac:dyDescent="0.2">
      <c r="R6078" s="49">
        <v>6076</v>
      </c>
      <c r="S6078" s="59">
        <f ca="1">Dashboard!B$8* Dashboard!$F$4+Dashboard!B$10*SQRT(Dashboard!$F$4) * _xlfn.NORM.S.INV(RAND())</f>
        <v>2.1916363045690543E-2</v>
      </c>
      <c r="T6078" s="59">
        <f ca="1">Dashboard!C$8* Dashboard!$F$4+Dashboard!C$10*SQRT(Dashboard!$F$4) * _xlfn.NORM.S.INV(RAND())</f>
        <v>3.849403386554863E-2</v>
      </c>
      <c r="U6078" s="59">
        <f ca="1">Dashboard!D$8* Dashboard!$F$4+Dashboard!D$10*SQRT(Dashboard!$F$4) * _xlfn.NORM.S.INV(RAND())</f>
        <v>1.0526039610809862E-2</v>
      </c>
    </row>
    <row r="6079" spans="18:21" x14ac:dyDescent="0.2">
      <c r="R6079" s="49">
        <v>6077</v>
      </c>
      <c r="S6079" s="59">
        <f ca="1">Dashboard!B$8* Dashboard!$F$4+Dashboard!B$10*SQRT(Dashboard!$F$4) * _xlfn.NORM.S.INV(RAND())</f>
        <v>1.9094039786327795E-3</v>
      </c>
      <c r="T6079" s="59">
        <f ca="1">Dashboard!C$8* Dashboard!$F$4+Dashboard!C$10*SQRT(Dashboard!$F$4) * _xlfn.NORM.S.INV(RAND())</f>
        <v>-2.5316058117303138E-2</v>
      </c>
      <c r="U6079" s="59">
        <f ca="1">Dashboard!D$8* Dashboard!$F$4+Dashboard!D$10*SQRT(Dashboard!$F$4) * _xlfn.NORM.S.INV(RAND())</f>
        <v>-3.6132536530024087E-2</v>
      </c>
    </row>
    <row r="6080" spans="18:21" x14ac:dyDescent="0.2">
      <c r="R6080" s="49">
        <v>6078</v>
      </c>
      <c r="S6080" s="59">
        <f ca="1">Dashboard!B$8* Dashboard!$F$4+Dashboard!B$10*SQRT(Dashboard!$F$4) * _xlfn.NORM.S.INV(RAND())</f>
        <v>1.1943984080054293E-2</v>
      </c>
      <c r="T6080" s="59">
        <f ca="1">Dashboard!C$8* Dashboard!$F$4+Dashboard!C$10*SQRT(Dashboard!$F$4) * _xlfn.NORM.S.INV(RAND())</f>
        <v>2.3488112439266996E-2</v>
      </c>
      <c r="U6080" s="59">
        <f ca="1">Dashboard!D$8* Dashboard!$F$4+Dashboard!D$10*SQRT(Dashboard!$F$4) * _xlfn.NORM.S.INV(RAND())</f>
        <v>4.1557584034248455E-3</v>
      </c>
    </row>
    <row r="6081" spans="18:21" x14ac:dyDescent="0.2">
      <c r="R6081" s="49">
        <v>6079</v>
      </c>
      <c r="S6081" s="59">
        <f ca="1">Dashboard!B$8* Dashboard!$F$4+Dashboard!B$10*SQRT(Dashboard!$F$4) * _xlfn.NORM.S.INV(RAND())</f>
        <v>-2.5760980514501373E-3</v>
      </c>
      <c r="T6081" s="59">
        <f ca="1">Dashboard!C$8* Dashboard!$F$4+Dashboard!C$10*SQRT(Dashboard!$F$4) * _xlfn.NORM.S.INV(RAND())</f>
        <v>-1.3638590506645691E-3</v>
      </c>
      <c r="U6081" s="59">
        <f ca="1">Dashboard!D$8* Dashboard!$F$4+Dashboard!D$10*SQRT(Dashboard!$F$4) * _xlfn.NORM.S.INV(RAND())</f>
        <v>-6.4303383202591611E-3</v>
      </c>
    </row>
    <row r="6082" spans="18:21" x14ac:dyDescent="0.2">
      <c r="R6082" s="49">
        <v>6080</v>
      </c>
      <c r="S6082" s="59">
        <f ca="1">Dashboard!B$8* Dashboard!$F$4+Dashboard!B$10*SQRT(Dashboard!$F$4) * _xlfn.NORM.S.INV(RAND())</f>
        <v>3.3739138707420846E-2</v>
      </c>
      <c r="T6082" s="59">
        <f ca="1">Dashboard!C$8* Dashboard!$F$4+Dashboard!C$10*SQRT(Dashboard!$F$4) * _xlfn.NORM.S.INV(RAND())</f>
        <v>-3.3018384141115825E-2</v>
      </c>
      <c r="U6082" s="59">
        <f ca="1">Dashboard!D$8* Dashboard!$F$4+Dashboard!D$10*SQRT(Dashboard!$F$4) * _xlfn.NORM.S.INV(RAND())</f>
        <v>-2.1191056567791289E-2</v>
      </c>
    </row>
    <row r="6083" spans="18:21" x14ac:dyDescent="0.2">
      <c r="R6083" s="49">
        <v>6081</v>
      </c>
      <c r="S6083" s="59">
        <f ca="1">Dashboard!B$8* Dashboard!$F$4+Dashboard!B$10*SQRT(Dashboard!$F$4) * _xlfn.NORM.S.INV(RAND())</f>
        <v>-2.4329344050931949E-2</v>
      </c>
      <c r="T6083" s="59">
        <f ca="1">Dashboard!C$8* Dashboard!$F$4+Dashboard!C$10*SQRT(Dashboard!$F$4) * _xlfn.NORM.S.INV(RAND())</f>
        <v>4.4908739138289876E-2</v>
      </c>
      <c r="U6083" s="59">
        <f ca="1">Dashboard!D$8* Dashboard!$F$4+Dashboard!D$10*SQRT(Dashboard!$F$4) * _xlfn.NORM.S.INV(RAND())</f>
        <v>1.6630951451394423E-2</v>
      </c>
    </row>
    <row r="6084" spans="18:21" x14ac:dyDescent="0.2">
      <c r="R6084" s="49">
        <v>6082</v>
      </c>
      <c r="S6084" s="59">
        <f ca="1">Dashboard!B$8* Dashboard!$F$4+Dashboard!B$10*SQRT(Dashboard!$F$4) * _xlfn.NORM.S.INV(RAND())</f>
        <v>-6.1029408698885712E-3</v>
      </c>
      <c r="T6084" s="59">
        <f ca="1">Dashboard!C$8* Dashboard!$F$4+Dashboard!C$10*SQRT(Dashboard!$F$4) * _xlfn.NORM.S.INV(RAND())</f>
        <v>-7.3785315135006723E-3</v>
      </c>
      <c r="U6084" s="59">
        <f ca="1">Dashboard!D$8* Dashboard!$F$4+Dashboard!D$10*SQRT(Dashboard!$F$4) * _xlfn.NORM.S.INV(RAND())</f>
        <v>-1.4366987452049196E-2</v>
      </c>
    </row>
    <row r="6085" spans="18:21" x14ac:dyDescent="0.2">
      <c r="R6085" s="49">
        <v>6083</v>
      </c>
      <c r="S6085" s="59">
        <f ca="1">Dashboard!B$8* Dashboard!$F$4+Dashboard!B$10*SQRT(Dashboard!$F$4) * _xlfn.NORM.S.INV(RAND())</f>
        <v>-1.2940195584839932E-2</v>
      </c>
      <c r="T6085" s="59">
        <f ca="1">Dashboard!C$8* Dashboard!$F$4+Dashboard!C$10*SQRT(Dashboard!$F$4) * _xlfn.NORM.S.INV(RAND())</f>
        <v>-8.5992407668981849E-3</v>
      </c>
      <c r="U6085" s="59">
        <f ca="1">Dashboard!D$8* Dashboard!$F$4+Dashboard!D$10*SQRT(Dashboard!$F$4) * _xlfn.NORM.S.INV(RAND())</f>
        <v>8.9279363595419683E-3</v>
      </c>
    </row>
    <row r="6086" spans="18:21" x14ac:dyDescent="0.2">
      <c r="R6086" s="49">
        <v>6084</v>
      </c>
      <c r="S6086" s="59">
        <f ca="1">Dashboard!B$8* Dashboard!$F$4+Dashboard!B$10*SQRT(Dashboard!$F$4) * _xlfn.NORM.S.INV(RAND())</f>
        <v>-2.2789799828571558E-2</v>
      </c>
      <c r="T6086" s="59">
        <f ca="1">Dashboard!C$8* Dashboard!$F$4+Dashboard!C$10*SQRT(Dashboard!$F$4) * _xlfn.NORM.S.INV(RAND())</f>
        <v>1.8066543184116324E-2</v>
      </c>
      <c r="U6086" s="59">
        <f ca="1">Dashboard!D$8* Dashboard!$F$4+Dashboard!D$10*SQRT(Dashboard!$F$4) * _xlfn.NORM.S.INV(RAND())</f>
        <v>-1.8560247871430926E-2</v>
      </c>
    </row>
    <row r="6087" spans="18:21" x14ac:dyDescent="0.2">
      <c r="R6087" s="49">
        <v>6085</v>
      </c>
      <c r="S6087" s="59">
        <f ca="1">Dashboard!B$8* Dashboard!$F$4+Dashboard!B$10*SQRT(Dashboard!$F$4) * _xlfn.NORM.S.INV(RAND())</f>
        <v>3.1517575963786564E-2</v>
      </c>
      <c r="T6087" s="59">
        <f ca="1">Dashboard!C$8* Dashboard!$F$4+Dashboard!C$10*SQRT(Dashboard!$F$4) * _xlfn.NORM.S.INV(RAND())</f>
        <v>-2.0606526889826476E-2</v>
      </c>
      <c r="U6087" s="59">
        <f ca="1">Dashboard!D$8* Dashboard!$F$4+Dashboard!D$10*SQRT(Dashboard!$F$4) * _xlfn.NORM.S.INV(RAND())</f>
        <v>-4.576248009713501E-2</v>
      </c>
    </row>
    <row r="6088" spans="18:21" x14ac:dyDescent="0.2">
      <c r="R6088" s="49">
        <v>6086</v>
      </c>
      <c r="S6088" s="59">
        <f ca="1">Dashboard!B$8* Dashboard!$F$4+Dashboard!B$10*SQRT(Dashboard!$F$4) * _xlfn.NORM.S.INV(RAND())</f>
        <v>-7.6989809768098737E-3</v>
      </c>
      <c r="T6088" s="59">
        <f ca="1">Dashboard!C$8* Dashboard!$F$4+Dashboard!C$10*SQRT(Dashboard!$F$4) * _xlfn.NORM.S.INV(RAND())</f>
        <v>1.0839535511221478E-3</v>
      </c>
      <c r="U6088" s="59">
        <f ca="1">Dashboard!D$8* Dashboard!$F$4+Dashboard!D$10*SQRT(Dashboard!$F$4) * _xlfn.NORM.S.INV(RAND())</f>
        <v>3.0541478495897591E-2</v>
      </c>
    </row>
    <row r="6089" spans="18:21" x14ac:dyDescent="0.2">
      <c r="R6089" s="49">
        <v>6087</v>
      </c>
      <c r="S6089" s="59">
        <f ca="1">Dashboard!B$8* Dashboard!$F$4+Dashboard!B$10*SQRT(Dashboard!$F$4) * _xlfn.NORM.S.INV(RAND())</f>
        <v>2.8714128370912272E-2</v>
      </c>
      <c r="T6089" s="59">
        <f ca="1">Dashboard!C$8* Dashboard!$F$4+Dashboard!C$10*SQRT(Dashboard!$F$4) * _xlfn.NORM.S.INV(RAND())</f>
        <v>-4.5643097603605846E-2</v>
      </c>
      <c r="U6089" s="59">
        <f ca="1">Dashboard!D$8* Dashboard!$F$4+Dashboard!D$10*SQRT(Dashboard!$F$4) * _xlfn.NORM.S.INV(RAND())</f>
        <v>-9.5441346455517034E-3</v>
      </c>
    </row>
    <row r="6090" spans="18:21" x14ac:dyDescent="0.2">
      <c r="R6090" s="49">
        <v>6088</v>
      </c>
      <c r="S6090" s="59">
        <f ca="1">Dashboard!B$8* Dashboard!$F$4+Dashboard!B$10*SQRT(Dashboard!$F$4) * _xlfn.NORM.S.INV(RAND())</f>
        <v>3.7165571894095667E-2</v>
      </c>
      <c r="T6090" s="59">
        <f ca="1">Dashboard!C$8* Dashboard!$F$4+Dashboard!C$10*SQRT(Dashboard!$F$4) * _xlfn.NORM.S.INV(RAND())</f>
        <v>1.9382423202653438E-2</v>
      </c>
      <c r="U6090" s="59">
        <f ca="1">Dashboard!D$8* Dashboard!$F$4+Dashboard!D$10*SQRT(Dashboard!$F$4) * _xlfn.NORM.S.INV(RAND())</f>
        <v>-5.9264806289456773E-3</v>
      </c>
    </row>
    <row r="6091" spans="18:21" x14ac:dyDescent="0.2">
      <c r="R6091" s="49">
        <v>6089</v>
      </c>
      <c r="S6091" s="59">
        <f ca="1">Dashboard!B$8* Dashboard!$F$4+Dashboard!B$10*SQRT(Dashboard!$F$4) * _xlfn.NORM.S.INV(RAND())</f>
        <v>-1.1745539091339161E-2</v>
      </c>
      <c r="T6091" s="59">
        <f ca="1">Dashboard!C$8* Dashboard!$F$4+Dashboard!C$10*SQRT(Dashboard!$F$4) * _xlfn.NORM.S.INV(RAND())</f>
        <v>2.1941655645103808E-2</v>
      </c>
      <c r="U6091" s="59">
        <f ca="1">Dashboard!D$8* Dashboard!$F$4+Dashboard!D$10*SQRT(Dashboard!$F$4) * _xlfn.NORM.S.INV(RAND())</f>
        <v>-1.2824762014558401E-2</v>
      </c>
    </row>
    <row r="6092" spans="18:21" x14ac:dyDescent="0.2">
      <c r="R6092" s="49">
        <v>6090</v>
      </c>
      <c r="S6092" s="59">
        <f ca="1">Dashboard!B$8* Dashboard!$F$4+Dashboard!B$10*SQRT(Dashboard!$F$4) * _xlfn.NORM.S.INV(RAND())</f>
        <v>1.5388942062325708E-3</v>
      </c>
      <c r="T6092" s="59">
        <f ca="1">Dashboard!C$8* Dashboard!$F$4+Dashboard!C$10*SQRT(Dashboard!$F$4) * _xlfn.NORM.S.INV(RAND())</f>
        <v>3.4170324580732575E-2</v>
      </c>
      <c r="U6092" s="59">
        <f ca="1">Dashboard!D$8* Dashboard!$F$4+Dashboard!D$10*SQRT(Dashboard!$F$4) * _xlfn.NORM.S.INV(RAND())</f>
        <v>9.9658428930575887E-3</v>
      </c>
    </row>
    <row r="6093" spans="18:21" x14ac:dyDescent="0.2">
      <c r="R6093" s="49">
        <v>6091</v>
      </c>
      <c r="S6093" s="59">
        <f ca="1">Dashboard!B$8* Dashboard!$F$4+Dashboard!B$10*SQRT(Dashboard!$F$4) * _xlfn.NORM.S.INV(RAND())</f>
        <v>-5.9371842141996332E-2</v>
      </c>
      <c r="T6093" s="59">
        <f ca="1">Dashboard!C$8* Dashboard!$F$4+Dashboard!C$10*SQRT(Dashboard!$F$4) * _xlfn.NORM.S.INV(RAND())</f>
        <v>1.5113098121728144E-3</v>
      </c>
      <c r="U6093" s="59">
        <f ca="1">Dashboard!D$8* Dashboard!$F$4+Dashboard!D$10*SQRT(Dashboard!$F$4) * _xlfn.NORM.S.INV(RAND())</f>
        <v>1.1745245016031853E-2</v>
      </c>
    </row>
    <row r="6094" spans="18:21" x14ac:dyDescent="0.2">
      <c r="R6094" s="49">
        <v>6092</v>
      </c>
      <c r="S6094" s="59">
        <f ca="1">Dashboard!B$8* Dashboard!$F$4+Dashboard!B$10*SQRT(Dashboard!$F$4) * _xlfn.NORM.S.INV(RAND())</f>
        <v>2.1543108298073071E-2</v>
      </c>
      <c r="T6094" s="59">
        <f ca="1">Dashboard!C$8* Dashboard!$F$4+Dashboard!C$10*SQRT(Dashboard!$F$4) * _xlfn.NORM.S.INV(RAND())</f>
        <v>-5.074802926985119E-2</v>
      </c>
      <c r="U6094" s="59">
        <f ca="1">Dashboard!D$8* Dashboard!$F$4+Dashboard!D$10*SQRT(Dashboard!$F$4) * _xlfn.NORM.S.INV(RAND())</f>
        <v>-2.8066781967415542E-2</v>
      </c>
    </row>
    <row r="6095" spans="18:21" x14ac:dyDescent="0.2">
      <c r="R6095" s="49">
        <v>6093</v>
      </c>
      <c r="S6095" s="59">
        <f ca="1">Dashboard!B$8* Dashboard!$F$4+Dashboard!B$10*SQRT(Dashboard!$F$4) * _xlfn.NORM.S.INV(RAND())</f>
        <v>-8.0803840239120524E-3</v>
      </c>
      <c r="T6095" s="59">
        <f ca="1">Dashboard!C$8* Dashboard!$F$4+Dashboard!C$10*SQRT(Dashboard!$F$4) * _xlfn.NORM.S.INV(RAND())</f>
        <v>-4.559440397389221E-3</v>
      </c>
      <c r="U6095" s="59">
        <f ca="1">Dashboard!D$8* Dashboard!$F$4+Dashboard!D$10*SQRT(Dashboard!$F$4) * _xlfn.NORM.S.INV(RAND())</f>
        <v>-8.7207747973351429E-3</v>
      </c>
    </row>
    <row r="6096" spans="18:21" x14ac:dyDescent="0.2">
      <c r="R6096" s="49">
        <v>6094</v>
      </c>
      <c r="S6096" s="59">
        <f ca="1">Dashboard!B$8* Dashboard!$F$4+Dashboard!B$10*SQRT(Dashboard!$F$4) * _xlfn.NORM.S.INV(RAND())</f>
        <v>-1.8432765076019285E-2</v>
      </c>
      <c r="T6096" s="59">
        <f ca="1">Dashboard!C$8* Dashboard!$F$4+Dashboard!C$10*SQRT(Dashboard!$F$4) * _xlfn.NORM.S.INV(RAND())</f>
        <v>-1.7857301210263909E-2</v>
      </c>
      <c r="U6096" s="59">
        <f ca="1">Dashboard!D$8* Dashboard!$F$4+Dashboard!D$10*SQRT(Dashboard!$F$4) * _xlfn.NORM.S.INV(RAND())</f>
        <v>2.473446861088794E-2</v>
      </c>
    </row>
    <row r="6097" spans="18:21" x14ac:dyDescent="0.2">
      <c r="R6097" s="49">
        <v>6095</v>
      </c>
      <c r="S6097" s="59">
        <f ca="1">Dashboard!B$8* Dashboard!$F$4+Dashboard!B$10*SQRT(Dashboard!$F$4) * _xlfn.NORM.S.INV(RAND())</f>
        <v>-6.5089554335398519E-3</v>
      </c>
      <c r="T6097" s="59">
        <f ca="1">Dashboard!C$8* Dashboard!$F$4+Dashboard!C$10*SQRT(Dashboard!$F$4) * _xlfn.NORM.S.INV(RAND())</f>
        <v>4.2415274729006656E-2</v>
      </c>
      <c r="U6097" s="59">
        <f ca="1">Dashboard!D$8* Dashboard!$F$4+Dashboard!D$10*SQRT(Dashboard!$F$4) * _xlfn.NORM.S.INV(RAND())</f>
        <v>-3.5791653525118934E-2</v>
      </c>
    </row>
    <row r="6098" spans="18:21" x14ac:dyDescent="0.2">
      <c r="R6098" s="49">
        <v>6096</v>
      </c>
      <c r="S6098" s="59">
        <f ca="1">Dashboard!B$8* Dashboard!$F$4+Dashboard!B$10*SQRT(Dashboard!$F$4) * _xlfn.NORM.S.INV(RAND())</f>
        <v>2.9001395853956438E-3</v>
      </c>
      <c r="T6098" s="59">
        <f ca="1">Dashboard!C$8* Dashboard!$F$4+Dashboard!C$10*SQRT(Dashboard!$F$4) * _xlfn.NORM.S.INV(RAND())</f>
        <v>-5.7441639937120736E-3</v>
      </c>
      <c r="U6098" s="59">
        <f ca="1">Dashboard!D$8* Dashboard!$F$4+Dashboard!D$10*SQRT(Dashboard!$F$4) * _xlfn.NORM.S.INV(RAND())</f>
        <v>-3.2088402487327201E-2</v>
      </c>
    </row>
    <row r="6099" spans="18:21" x14ac:dyDescent="0.2">
      <c r="R6099" s="49">
        <v>6097</v>
      </c>
      <c r="S6099" s="59">
        <f ca="1">Dashboard!B$8* Dashboard!$F$4+Dashboard!B$10*SQRT(Dashboard!$F$4) * _xlfn.NORM.S.INV(RAND())</f>
        <v>-2.5201547764155223E-2</v>
      </c>
      <c r="T6099" s="59">
        <f ca="1">Dashboard!C$8* Dashboard!$F$4+Dashboard!C$10*SQRT(Dashboard!$F$4) * _xlfn.NORM.S.INV(RAND())</f>
        <v>3.2783830584360296E-2</v>
      </c>
      <c r="U6099" s="59">
        <f ca="1">Dashboard!D$8* Dashboard!$F$4+Dashboard!D$10*SQRT(Dashboard!$F$4) * _xlfn.NORM.S.INV(RAND())</f>
        <v>-1.6179630406972925E-2</v>
      </c>
    </row>
    <row r="6100" spans="18:21" x14ac:dyDescent="0.2">
      <c r="R6100" s="49">
        <v>6098</v>
      </c>
      <c r="S6100" s="59">
        <f ca="1">Dashboard!B$8* Dashboard!$F$4+Dashboard!B$10*SQRT(Dashboard!$F$4) * _xlfn.NORM.S.INV(RAND())</f>
        <v>-1.5857328085475377E-2</v>
      </c>
      <c r="T6100" s="59">
        <f ca="1">Dashboard!C$8* Dashboard!$F$4+Dashboard!C$10*SQRT(Dashboard!$F$4) * _xlfn.NORM.S.INV(RAND())</f>
        <v>5.8472136136165323E-2</v>
      </c>
      <c r="U6100" s="59">
        <f ca="1">Dashboard!D$8* Dashboard!$F$4+Dashboard!D$10*SQRT(Dashboard!$F$4) * _xlfn.NORM.S.INV(RAND())</f>
        <v>9.1071800068594916E-3</v>
      </c>
    </row>
    <row r="6101" spans="18:21" x14ac:dyDescent="0.2">
      <c r="R6101" s="49">
        <v>6099</v>
      </c>
      <c r="S6101" s="59">
        <f ca="1">Dashboard!B$8* Dashboard!$F$4+Dashboard!B$10*SQRT(Dashboard!$F$4) * _xlfn.NORM.S.INV(RAND())</f>
        <v>3.8381817775648679E-4</v>
      </c>
      <c r="T6101" s="59">
        <f ca="1">Dashboard!C$8* Dashboard!$F$4+Dashboard!C$10*SQRT(Dashboard!$F$4) * _xlfn.NORM.S.INV(RAND())</f>
        <v>6.3770720465363513E-4</v>
      </c>
      <c r="U6101" s="59">
        <f ca="1">Dashboard!D$8* Dashboard!$F$4+Dashboard!D$10*SQRT(Dashboard!$F$4) * _xlfn.NORM.S.INV(RAND())</f>
        <v>1.4956404716518745E-2</v>
      </c>
    </row>
    <row r="6102" spans="18:21" x14ac:dyDescent="0.2">
      <c r="R6102" s="49">
        <v>6100</v>
      </c>
      <c r="S6102" s="59">
        <f ca="1">Dashboard!B$8* Dashboard!$F$4+Dashboard!B$10*SQRT(Dashboard!$F$4) * _xlfn.NORM.S.INV(RAND())</f>
        <v>-9.7947106589288575E-3</v>
      </c>
      <c r="T6102" s="59">
        <f ca="1">Dashboard!C$8* Dashboard!$F$4+Dashboard!C$10*SQRT(Dashboard!$F$4) * _xlfn.NORM.S.INV(RAND())</f>
        <v>5.0533207947732516E-3</v>
      </c>
      <c r="U6102" s="59">
        <f ca="1">Dashboard!D$8* Dashboard!$F$4+Dashboard!D$10*SQRT(Dashboard!$F$4) * _xlfn.NORM.S.INV(RAND())</f>
        <v>6.6649098810957529E-3</v>
      </c>
    </row>
    <row r="6103" spans="18:21" x14ac:dyDescent="0.2">
      <c r="R6103" s="49">
        <v>6101</v>
      </c>
      <c r="S6103" s="59">
        <f ca="1">Dashboard!B$8* Dashboard!$F$4+Dashboard!B$10*SQRT(Dashboard!$F$4) * _xlfn.NORM.S.INV(RAND())</f>
        <v>-5.6401592523076208E-2</v>
      </c>
      <c r="T6103" s="59">
        <f ca="1">Dashboard!C$8* Dashboard!$F$4+Dashboard!C$10*SQRT(Dashboard!$F$4) * _xlfn.NORM.S.INV(RAND())</f>
        <v>5.4274229802635042E-2</v>
      </c>
      <c r="U6103" s="59">
        <f ca="1">Dashboard!D$8* Dashboard!$F$4+Dashboard!D$10*SQRT(Dashboard!$F$4) * _xlfn.NORM.S.INV(RAND())</f>
        <v>2.9327968059591959E-2</v>
      </c>
    </row>
    <row r="6104" spans="18:21" x14ac:dyDescent="0.2">
      <c r="R6104" s="49">
        <v>6102</v>
      </c>
      <c r="S6104" s="59">
        <f ca="1">Dashboard!B$8* Dashboard!$F$4+Dashboard!B$10*SQRT(Dashboard!$F$4) * _xlfn.NORM.S.INV(RAND())</f>
        <v>3.543888360878119E-2</v>
      </c>
      <c r="T6104" s="59">
        <f ca="1">Dashboard!C$8* Dashboard!$F$4+Dashboard!C$10*SQRT(Dashboard!$F$4) * _xlfn.NORM.S.INV(RAND())</f>
        <v>-3.4665259406388191E-2</v>
      </c>
      <c r="U6104" s="59">
        <f ca="1">Dashboard!D$8* Dashboard!$F$4+Dashboard!D$10*SQRT(Dashboard!$F$4) * _xlfn.NORM.S.INV(RAND())</f>
        <v>7.8942927947996441E-2</v>
      </c>
    </row>
    <row r="6105" spans="18:21" x14ac:dyDescent="0.2">
      <c r="R6105" s="49">
        <v>6103</v>
      </c>
      <c r="S6105" s="59">
        <f ca="1">Dashboard!B$8* Dashboard!$F$4+Dashboard!B$10*SQRT(Dashboard!$F$4) * _xlfn.NORM.S.INV(RAND())</f>
        <v>1.997413580620612E-2</v>
      </c>
      <c r="T6105" s="59">
        <f ca="1">Dashboard!C$8* Dashboard!$F$4+Dashboard!C$10*SQRT(Dashboard!$F$4) * _xlfn.NORM.S.INV(RAND())</f>
        <v>8.7406649481456128E-2</v>
      </c>
      <c r="U6105" s="59">
        <f ca="1">Dashboard!D$8* Dashboard!$F$4+Dashboard!D$10*SQRT(Dashboard!$F$4) * _xlfn.NORM.S.INV(RAND())</f>
        <v>5.8251726129602902E-2</v>
      </c>
    </row>
    <row r="6106" spans="18:21" x14ac:dyDescent="0.2">
      <c r="R6106" s="49">
        <v>6104</v>
      </c>
      <c r="S6106" s="59">
        <f ca="1">Dashboard!B$8* Dashboard!$F$4+Dashboard!B$10*SQRT(Dashboard!$F$4) * _xlfn.NORM.S.INV(RAND())</f>
        <v>-6.7264439547172455E-2</v>
      </c>
      <c r="T6106" s="59">
        <f ca="1">Dashboard!C$8* Dashboard!$F$4+Dashboard!C$10*SQRT(Dashboard!$F$4) * _xlfn.NORM.S.INV(RAND())</f>
        <v>2.2920326879215861E-2</v>
      </c>
      <c r="U6106" s="59">
        <f ca="1">Dashboard!D$8* Dashboard!$F$4+Dashboard!D$10*SQRT(Dashboard!$F$4) * _xlfn.NORM.S.INV(RAND())</f>
        <v>5.2992779620320779E-3</v>
      </c>
    </row>
    <row r="6107" spans="18:21" x14ac:dyDescent="0.2">
      <c r="R6107" s="49">
        <v>6105</v>
      </c>
      <c r="S6107" s="59">
        <f ca="1">Dashboard!B$8* Dashboard!$F$4+Dashboard!B$10*SQRT(Dashboard!$F$4) * _xlfn.NORM.S.INV(RAND())</f>
        <v>1.816732900956939E-2</v>
      </c>
      <c r="T6107" s="59">
        <f ca="1">Dashboard!C$8* Dashboard!$F$4+Dashboard!C$10*SQRT(Dashboard!$F$4) * _xlfn.NORM.S.INV(RAND())</f>
        <v>-2.7803797588832817E-2</v>
      </c>
      <c r="U6107" s="59">
        <f ca="1">Dashboard!D$8* Dashboard!$F$4+Dashboard!D$10*SQRT(Dashboard!$F$4) * _xlfn.NORM.S.INV(RAND())</f>
        <v>2.4658738531764843E-2</v>
      </c>
    </row>
    <row r="6108" spans="18:21" x14ac:dyDescent="0.2">
      <c r="R6108" s="49">
        <v>6106</v>
      </c>
      <c r="S6108" s="59">
        <f ca="1">Dashboard!B$8* Dashboard!$F$4+Dashboard!B$10*SQRT(Dashboard!$F$4) * _xlfn.NORM.S.INV(RAND())</f>
        <v>-5.7973613260315679E-2</v>
      </c>
      <c r="T6108" s="59">
        <f ca="1">Dashboard!C$8* Dashboard!$F$4+Dashboard!C$10*SQRT(Dashboard!$F$4) * _xlfn.NORM.S.INV(RAND())</f>
        <v>-1.9896764615267709E-3</v>
      </c>
      <c r="U6108" s="59">
        <f ca="1">Dashboard!D$8* Dashboard!$F$4+Dashboard!D$10*SQRT(Dashboard!$F$4) * _xlfn.NORM.S.INV(RAND())</f>
        <v>2.681210964116101E-3</v>
      </c>
    </row>
    <row r="6109" spans="18:21" x14ac:dyDescent="0.2">
      <c r="R6109" s="49">
        <v>6107</v>
      </c>
      <c r="S6109" s="59">
        <f ca="1">Dashboard!B$8* Dashboard!$F$4+Dashboard!B$10*SQRT(Dashboard!$F$4) * _xlfn.NORM.S.INV(RAND())</f>
        <v>1.8554572796312882E-2</v>
      </c>
      <c r="T6109" s="59">
        <f ca="1">Dashboard!C$8* Dashboard!$F$4+Dashboard!C$10*SQRT(Dashboard!$F$4) * _xlfn.NORM.S.INV(RAND())</f>
        <v>-3.8183472363819797E-2</v>
      </c>
      <c r="U6109" s="59">
        <f ca="1">Dashboard!D$8* Dashboard!$F$4+Dashboard!D$10*SQRT(Dashboard!$F$4) * _xlfn.NORM.S.INV(RAND())</f>
        <v>-8.9483352081573628E-3</v>
      </c>
    </row>
    <row r="6110" spans="18:21" x14ac:dyDescent="0.2">
      <c r="R6110" s="49">
        <v>6108</v>
      </c>
      <c r="S6110" s="59">
        <f ca="1">Dashboard!B$8* Dashboard!$F$4+Dashboard!B$10*SQRT(Dashboard!$F$4) * _xlfn.NORM.S.INV(RAND())</f>
        <v>-6.8217745386110343E-3</v>
      </c>
      <c r="T6110" s="59">
        <f ca="1">Dashboard!C$8* Dashboard!$F$4+Dashboard!C$10*SQRT(Dashboard!$F$4) * _xlfn.NORM.S.INV(RAND())</f>
        <v>5.1157821315736735E-2</v>
      </c>
      <c r="U6110" s="59">
        <f ca="1">Dashboard!D$8* Dashboard!$F$4+Dashboard!D$10*SQRT(Dashboard!$F$4) * _xlfn.NORM.S.INV(RAND())</f>
        <v>3.5931928665396802E-2</v>
      </c>
    </row>
    <row r="6111" spans="18:21" x14ac:dyDescent="0.2">
      <c r="R6111" s="49">
        <v>6109</v>
      </c>
      <c r="S6111" s="59">
        <f ca="1">Dashboard!B$8* Dashboard!$F$4+Dashboard!B$10*SQRT(Dashboard!$F$4) * _xlfn.NORM.S.INV(RAND())</f>
        <v>1.2472484660548023E-2</v>
      </c>
      <c r="T6111" s="59">
        <f ca="1">Dashboard!C$8* Dashboard!$F$4+Dashboard!C$10*SQRT(Dashboard!$F$4) * _xlfn.NORM.S.INV(RAND())</f>
        <v>5.6911650208409749E-2</v>
      </c>
      <c r="U6111" s="59">
        <f ca="1">Dashboard!D$8* Dashboard!$F$4+Dashboard!D$10*SQRT(Dashboard!$F$4) * _xlfn.NORM.S.INV(RAND())</f>
        <v>2.4512903593394047E-3</v>
      </c>
    </row>
    <row r="6112" spans="18:21" x14ac:dyDescent="0.2">
      <c r="R6112" s="49">
        <v>6110</v>
      </c>
      <c r="S6112" s="59">
        <f ca="1">Dashboard!B$8* Dashboard!$F$4+Dashboard!B$10*SQRT(Dashboard!$F$4) * _xlfn.NORM.S.INV(RAND())</f>
        <v>-8.0423307221973092E-3</v>
      </c>
      <c r="T6112" s="59">
        <f ca="1">Dashboard!C$8* Dashboard!$F$4+Dashboard!C$10*SQRT(Dashboard!$F$4) * _xlfn.NORM.S.INV(RAND())</f>
        <v>-1.3756337507519891E-2</v>
      </c>
      <c r="U6112" s="59">
        <f ca="1">Dashboard!D$8* Dashboard!$F$4+Dashboard!D$10*SQRT(Dashboard!$F$4) * _xlfn.NORM.S.INV(RAND())</f>
        <v>-2.8237340222773355E-2</v>
      </c>
    </row>
    <row r="6113" spans="18:21" x14ac:dyDescent="0.2">
      <c r="R6113" s="49">
        <v>6111</v>
      </c>
      <c r="S6113" s="59">
        <f ca="1">Dashboard!B$8* Dashboard!$F$4+Dashboard!B$10*SQRT(Dashboard!$F$4) * _xlfn.NORM.S.INV(RAND())</f>
        <v>-5.78022562653508E-2</v>
      </c>
      <c r="T6113" s="59">
        <f ca="1">Dashboard!C$8* Dashboard!$F$4+Dashboard!C$10*SQRT(Dashboard!$F$4) * _xlfn.NORM.S.INV(RAND())</f>
        <v>4.3355107006128046E-5</v>
      </c>
      <c r="U6113" s="59">
        <f ca="1">Dashboard!D$8* Dashboard!$F$4+Dashboard!D$10*SQRT(Dashboard!$F$4) * _xlfn.NORM.S.INV(RAND())</f>
        <v>2.1119164256221915E-2</v>
      </c>
    </row>
    <row r="6114" spans="18:21" x14ac:dyDescent="0.2">
      <c r="R6114" s="49">
        <v>6112</v>
      </c>
      <c r="S6114" s="59">
        <f ca="1">Dashboard!B$8* Dashboard!$F$4+Dashboard!B$10*SQRT(Dashboard!$F$4) * _xlfn.NORM.S.INV(RAND())</f>
        <v>6.956597965324449E-3</v>
      </c>
      <c r="T6114" s="59">
        <f ca="1">Dashboard!C$8* Dashboard!$F$4+Dashboard!C$10*SQRT(Dashboard!$F$4) * _xlfn.NORM.S.INV(RAND())</f>
        <v>-1.8328918776614259E-2</v>
      </c>
      <c r="U6114" s="59">
        <f ca="1">Dashboard!D$8* Dashboard!$F$4+Dashboard!D$10*SQRT(Dashboard!$F$4) * _xlfn.NORM.S.INV(RAND())</f>
        <v>6.3047106764526559E-2</v>
      </c>
    </row>
    <row r="6115" spans="18:21" x14ac:dyDescent="0.2">
      <c r="R6115" s="49">
        <v>6113</v>
      </c>
      <c r="S6115" s="59">
        <f ca="1">Dashboard!B$8* Dashboard!$F$4+Dashboard!B$10*SQRT(Dashboard!$F$4) * _xlfn.NORM.S.INV(RAND())</f>
        <v>1.6579668597402494E-2</v>
      </c>
      <c r="T6115" s="59">
        <f ca="1">Dashboard!C$8* Dashboard!$F$4+Dashboard!C$10*SQRT(Dashboard!$F$4) * _xlfn.NORM.S.INV(RAND())</f>
        <v>4.0626316128007628E-2</v>
      </c>
      <c r="U6115" s="59">
        <f ca="1">Dashboard!D$8* Dashboard!$F$4+Dashboard!D$10*SQRT(Dashboard!$F$4) * _xlfn.NORM.S.INV(RAND())</f>
        <v>-5.3953575661053769E-3</v>
      </c>
    </row>
    <row r="6116" spans="18:21" x14ac:dyDescent="0.2">
      <c r="R6116" s="49">
        <v>6114</v>
      </c>
      <c r="S6116" s="59">
        <f ca="1">Dashboard!B$8* Dashboard!$F$4+Dashboard!B$10*SQRT(Dashboard!$F$4) * _xlfn.NORM.S.INV(RAND())</f>
        <v>-4.448393150643374E-2</v>
      </c>
      <c r="T6116" s="59">
        <f ca="1">Dashboard!C$8* Dashboard!$F$4+Dashboard!C$10*SQRT(Dashboard!$F$4) * _xlfn.NORM.S.INV(RAND())</f>
        <v>-2.964516008015471E-2</v>
      </c>
      <c r="U6116" s="59">
        <f ca="1">Dashboard!D$8* Dashboard!$F$4+Dashboard!D$10*SQRT(Dashboard!$F$4) * _xlfn.NORM.S.INV(RAND())</f>
        <v>-2.4836309450427987E-2</v>
      </c>
    </row>
    <row r="6117" spans="18:21" x14ac:dyDescent="0.2">
      <c r="R6117" s="49">
        <v>6115</v>
      </c>
      <c r="S6117" s="59">
        <f ca="1">Dashboard!B$8* Dashboard!$F$4+Dashboard!B$10*SQRT(Dashboard!$F$4) * _xlfn.NORM.S.INV(RAND())</f>
        <v>-1.1506581152082359E-2</v>
      </c>
      <c r="T6117" s="59">
        <f ca="1">Dashboard!C$8* Dashboard!$F$4+Dashboard!C$10*SQRT(Dashboard!$F$4) * _xlfn.NORM.S.INV(RAND())</f>
        <v>-2.8517914356447158E-2</v>
      </c>
      <c r="U6117" s="59">
        <f ca="1">Dashboard!D$8* Dashboard!$F$4+Dashboard!D$10*SQRT(Dashboard!$F$4) * _xlfn.NORM.S.INV(RAND())</f>
        <v>-9.0990356011375461E-3</v>
      </c>
    </row>
    <row r="6118" spans="18:21" x14ac:dyDescent="0.2">
      <c r="R6118" s="49">
        <v>6116</v>
      </c>
      <c r="S6118" s="59">
        <f ca="1">Dashboard!B$8* Dashboard!$F$4+Dashboard!B$10*SQRT(Dashboard!$F$4) * _xlfn.NORM.S.INV(RAND())</f>
        <v>6.2162039014429637E-3</v>
      </c>
      <c r="T6118" s="59">
        <f ca="1">Dashboard!C$8* Dashboard!$F$4+Dashboard!C$10*SQRT(Dashboard!$F$4) * _xlfn.NORM.S.INV(RAND())</f>
        <v>3.6436966146352688E-2</v>
      </c>
      <c r="U6118" s="59">
        <f ca="1">Dashboard!D$8* Dashboard!$F$4+Dashboard!D$10*SQRT(Dashboard!$F$4) * _xlfn.NORM.S.INV(RAND())</f>
        <v>-1.2884410302097696E-3</v>
      </c>
    </row>
    <row r="6119" spans="18:21" x14ac:dyDescent="0.2">
      <c r="R6119" s="49">
        <v>6117</v>
      </c>
      <c r="S6119" s="59">
        <f ca="1">Dashboard!B$8* Dashboard!$F$4+Dashboard!B$10*SQRT(Dashboard!$F$4) * _xlfn.NORM.S.INV(RAND())</f>
        <v>1.5386454734348329E-3</v>
      </c>
      <c r="T6119" s="59">
        <f ca="1">Dashboard!C$8* Dashboard!$F$4+Dashboard!C$10*SQRT(Dashboard!$F$4) * _xlfn.NORM.S.INV(RAND())</f>
        <v>5.2892255638122476E-3</v>
      </c>
      <c r="U6119" s="59">
        <f ca="1">Dashboard!D$8* Dashboard!$F$4+Dashboard!D$10*SQRT(Dashboard!$F$4) * _xlfn.NORM.S.INV(RAND())</f>
        <v>3.3780037526440182E-2</v>
      </c>
    </row>
    <row r="6120" spans="18:21" x14ac:dyDescent="0.2">
      <c r="R6120" s="49">
        <v>6118</v>
      </c>
      <c r="S6120" s="59">
        <f ca="1">Dashboard!B$8* Dashboard!$F$4+Dashboard!B$10*SQRT(Dashboard!$F$4) * _xlfn.NORM.S.INV(RAND())</f>
        <v>-6.9232822872756401E-3</v>
      </c>
      <c r="T6120" s="59">
        <f ca="1">Dashboard!C$8* Dashboard!$F$4+Dashboard!C$10*SQRT(Dashboard!$F$4) * _xlfn.NORM.S.INV(RAND())</f>
        <v>-5.3815668650324798E-2</v>
      </c>
      <c r="U6120" s="59">
        <f ca="1">Dashboard!D$8* Dashboard!$F$4+Dashboard!D$10*SQRT(Dashboard!$F$4) * _xlfn.NORM.S.INV(RAND())</f>
        <v>-4.7677360562244746E-2</v>
      </c>
    </row>
    <row r="6121" spans="18:21" x14ac:dyDescent="0.2">
      <c r="R6121" s="49">
        <v>6119</v>
      </c>
      <c r="S6121" s="59">
        <f ca="1">Dashboard!B$8* Dashboard!$F$4+Dashboard!B$10*SQRT(Dashboard!$F$4) * _xlfn.NORM.S.INV(RAND())</f>
        <v>-2.6599913820053479E-2</v>
      </c>
      <c r="T6121" s="59">
        <f ca="1">Dashboard!C$8* Dashboard!$F$4+Dashboard!C$10*SQRT(Dashboard!$F$4) * _xlfn.NORM.S.INV(RAND())</f>
        <v>5.9347079497700204E-2</v>
      </c>
      <c r="U6121" s="59">
        <f ca="1">Dashboard!D$8* Dashboard!$F$4+Dashboard!D$10*SQRT(Dashboard!$F$4) * _xlfn.NORM.S.INV(RAND())</f>
        <v>3.5720048211465426E-2</v>
      </c>
    </row>
    <row r="6122" spans="18:21" x14ac:dyDescent="0.2">
      <c r="R6122" s="49">
        <v>6120</v>
      </c>
      <c r="S6122" s="59">
        <f ca="1">Dashboard!B$8* Dashboard!$F$4+Dashboard!B$10*SQRT(Dashboard!$F$4) * _xlfn.NORM.S.INV(RAND())</f>
        <v>-1.9385099349812744E-2</v>
      </c>
      <c r="T6122" s="59">
        <f ca="1">Dashboard!C$8* Dashboard!$F$4+Dashboard!C$10*SQRT(Dashboard!$F$4) * _xlfn.NORM.S.INV(RAND())</f>
        <v>-1.4542905550996865E-2</v>
      </c>
      <c r="U6122" s="59">
        <f ca="1">Dashboard!D$8* Dashboard!$F$4+Dashboard!D$10*SQRT(Dashboard!$F$4) * _xlfn.NORM.S.INV(RAND())</f>
        <v>4.3311418214282055E-2</v>
      </c>
    </row>
    <row r="6123" spans="18:21" x14ac:dyDescent="0.2">
      <c r="R6123" s="49">
        <v>6121</v>
      </c>
      <c r="S6123" s="59">
        <f ca="1">Dashboard!B$8* Dashboard!$F$4+Dashboard!B$10*SQRT(Dashboard!$F$4) * _xlfn.NORM.S.INV(RAND())</f>
        <v>6.7517013168780747E-4</v>
      </c>
      <c r="T6123" s="59">
        <f ca="1">Dashboard!C$8* Dashboard!$F$4+Dashboard!C$10*SQRT(Dashboard!$F$4) * _xlfn.NORM.S.INV(RAND())</f>
        <v>4.1713686135221532E-3</v>
      </c>
      <c r="U6123" s="59">
        <f ca="1">Dashboard!D$8* Dashboard!$F$4+Dashboard!D$10*SQRT(Dashboard!$F$4) * _xlfn.NORM.S.INV(RAND())</f>
        <v>-5.3631861831156171E-3</v>
      </c>
    </row>
    <row r="6124" spans="18:21" x14ac:dyDescent="0.2">
      <c r="R6124" s="49">
        <v>6122</v>
      </c>
      <c r="S6124" s="59">
        <f ca="1">Dashboard!B$8* Dashboard!$F$4+Dashboard!B$10*SQRT(Dashboard!$F$4) * _xlfn.NORM.S.INV(RAND())</f>
        <v>3.9982771744019048E-2</v>
      </c>
      <c r="T6124" s="59">
        <f ca="1">Dashboard!C$8* Dashboard!$F$4+Dashboard!C$10*SQRT(Dashboard!$F$4) * _xlfn.NORM.S.INV(RAND())</f>
        <v>-1.0219468942306246E-2</v>
      </c>
      <c r="U6124" s="59">
        <f ca="1">Dashboard!D$8* Dashboard!$F$4+Dashboard!D$10*SQRT(Dashboard!$F$4) * _xlfn.NORM.S.INV(RAND())</f>
        <v>6.5572844350441223E-2</v>
      </c>
    </row>
    <row r="6125" spans="18:21" x14ac:dyDescent="0.2">
      <c r="R6125" s="49">
        <v>6123</v>
      </c>
      <c r="S6125" s="59">
        <f ca="1">Dashboard!B$8* Dashboard!$F$4+Dashboard!B$10*SQRT(Dashboard!$F$4) * _xlfn.NORM.S.INV(RAND())</f>
        <v>5.8146474066102117E-3</v>
      </c>
      <c r="T6125" s="59">
        <f ca="1">Dashboard!C$8* Dashboard!$F$4+Dashboard!C$10*SQRT(Dashboard!$F$4) * _xlfn.NORM.S.INV(RAND())</f>
        <v>1.8936411558750421E-2</v>
      </c>
      <c r="U6125" s="59">
        <f ca="1">Dashboard!D$8* Dashboard!$F$4+Dashboard!D$10*SQRT(Dashboard!$F$4) * _xlfn.NORM.S.INV(RAND())</f>
        <v>-3.7406817392398636E-2</v>
      </c>
    </row>
    <row r="6126" spans="18:21" x14ac:dyDescent="0.2">
      <c r="R6126" s="49">
        <v>6124</v>
      </c>
      <c r="S6126" s="59">
        <f ca="1">Dashboard!B$8* Dashboard!$F$4+Dashboard!B$10*SQRT(Dashboard!$F$4) * _xlfn.NORM.S.INV(RAND())</f>
        <v>-1.7663681378993552E-2</v>
      </c>
      <c r="T6126" s="59">
        <f ca="1">Dashboard!C$8* Dashboard!$F$4+Dashboard!C$10*SQRT(Dashboard!$F$4) * _xlfn.NORM.S.INV(RAND())</f>
        <v>-1.7298329292819277E-2</v>
      </c>
      <c r="U6126" s="59">
        <f ca="1">Dashboard!D$8* Dashboard!$F$4+Dashboard!D$10*SQRT(Dashboard!$F$4) * _xlfn.NORM.S.INV(RAND())</f>
        <v>-1.5797398469607836E-2</v>
      </c>
    </row>
    <row r="6127" spans="18:21" x14ac:dyDescent="0.2">
      <c r="R6127" s="49">
        <v>6125</v>
      </c>
      <c r="S6127" s="59">
        <f ca="1">Dashboard!B$8* Dashboard!$F$4+Dashboard!B$10*SQRT(Dashboard!$F$4) * _xlfn.NORM.S.INV(RAND())</f>
        <v>-3.8132299810052484E-3</v>
      </c>
      <c r="T6127" s="59">
        <f ca="1">Dashboard!C$8* Dashboard!$F$4+Dashboard!C$10*SQRT(Dashboard!$F$4) * _xlfn.NORM.S.INV(RAND())</f>
        <v>1.3492848132199156E-2</v>
      </c>
      <c r="U6127" s="59">
        <f ca="1">Dashboard!D$8* Dashboard!$F$4+Dashboard!D$10*SQRT(Dashboard!$F$4) * _xlfn.NORM.S.INV(RAND())</f>
        <v>-2.6514698163540408E-3</v>
      </c>
    </row>
    <row r="6128" spans="18:21" x14ac:dyDescent="0.2">
      <c r="R6128" s="49">
        <v>6126</v>
      </c>
      <c r="S6128" s="59">
        <f ca="1">Dashboard!B$8* Dashboard!$F$4+Dashboard!B$10*SQRT(Dashboard!$F$4) * _xlfn.NORM.S.INV(RAND())</f>
        <v>-1.5248102380102864E-2</v>
      </c>
      <c r="T6128" s="59">
        <f ca="1">Dashboard!C$8* Dashboard!$F$4+Dashboard!C$10*SQRT(Dashboard!$F$4) * _xlfn.NORM.S.INV(RAND())</f>
        <v>3.6569411596286662E-2</v>
      </c>
      <c r="U6128" s="59">
        <f ca="1">Dashboard!D$8* Dashboard!$F$4+Dashboard!D$10*SQRT(Dashboard!$F$4) * _xlfn.NORM.S.INV(RAND())</f>
        <v>-2.0946785739313429E-2</v>
      </c>
    </row>
    <row r="6129" spans="18:21" x14ac:dyDescent="0.2">
      <c r="R6129" s="49">
        <v>6127</v>
      </c>
      <c r="S6129" s="59">
        <f ca="1">Dashboard!B$8* Dashboard!$F$4+Dashboard!B$10*SQRT(Dashboard!$F$4) * _xlfn.NORM.S.INV(RAND())</f>
        <v>-2.5484103101327302E-2</v>
      </c>
      <c r="T6129" s="59">
        <f ca="1">Dashboard!C$8* Dashboard!$F$4+Dashboard!C$10*SQRT(Dashboard!$F$4) * _xlfn.NORM.S.INV(RAND())</f>
        <v>-3.025652308789192E-2</v>
      </c>
      <c r="U6129" s="59">
        <f ca="1">Dashboard!D$8* Dashboard!$F$4+Dashboard!D$10*SQRT(Dashboard!$F$4) * _xlfn.NORM.S.INV(RAND())</f>
        <v>-1.6524629567878941E-2</v>
      </c>
    </row>
    <row r="6130" spans="18:21" x14ac:dyDescent="0.2">
      <c r="R6130" s="49">
        <v>6128</v>
      </c>
      <c r="S6130" s="59">
        <f ca="1">Dashboard!B$8* Dashboard!$F$4+Dashboard!B$10*SQRT(Dashboard!$F$4) * _xlfn.NORM.S.INV(RAND())</f>
        <v>-2.7954360158286957E-2</v>
      </c>
      <c r="T6130" s="59">
        <f ca="1">Dashboard!C$8* Dashboard!$F$4+Dashboard!C$10*SQRT(Dashboard!$F$4) * _xlfn.NORM.S.INV(RAND())</f>
        <v>-6.5071298194035496E-2</v>
      </c>
      <c r="U6130" s="59">
        <f ca="1">Dashboard!D$8* Dashboard!$F$4+Dashboard!D$10*SQRT(Dashboard!$F$4) * _xlfn.NORM.S.INV(RAND())</f>
        <v>1.5785977734935463E-2</v>
      </c>
    </row>
    <row r="6131" spans="18:21" x14ac:dyDescent="0.2">
      <c r="R6131" s="49">
        <v>6129</v>
      </c>
      <c r="S6131" s="59">
        <f ca="1">Dashboard!B$8* Dashboard!$F$4+Dashboard!B$10*SQRT(Dashboard!$F$4) * _xlfn.NORM.S.INV(RAND())</f>
        <v>1.2340679027883409E-2</v>
      </c>
      <c r="T6131" s="59">
        <f ca="1">Dashboard!C$8* Dashboard!$F$4+Dashboard!C$10*SQRT(Dashboard!$F$4) * _xlfn.NORM.S.INV(RAND())</f>
        <v>4.7029977816091972E-2</v>
      </c>
      <c r="U6131" s="59">
        <f ca="1">Dashboard!D$8* Dashboard!$F$4+Dashboard!D$10*SQRT(Dashboard!$F$4) * _xlfn.NORM.S.INV(RAND())</f>
        <v>-4.3585466532559777E-2</v>
      </c>
    </row>
    <row r="6132" spans="18:21" x14ac:dyDescent="0.2">
      <c r="R6132" s="49">
        <v>6130</v>
      </c>
      <c r="S6132" s="59">
        <f ca="1">Dashboard!B$8* Dashboard!$F$4+Dashboard!B$10*SQRT(Dashboard!$F$4) * _xlfn.NORM.S.INV(RAND())</f>
        <v>-6.0969933241654204E-3</v>
      </c>
      <c r="T6132" s="59">
        <f ca="1">Dashboard!C$8* Dashboard!$F$4+Dashboard!C$10*SQRT(Dashboard!$F$4) * _xlfn.NORM.S.INV(RAND())</f>
        <v>9.1301003516563208E-3</v>
      </c>
      <c r="U6132" s="59">
        <f ca="1">Dashboard!D$8* Dashboard!$F$4+Dashboard!D$10*SQRT(Dashboard!$F$4) * _xlfn.NORM.S.INV(RAND())</f>
        <v>1.2032059224632919E-2</v>
      </c>
    </row>
    <row r="6133" spans="18:21" x14ac:dyDescent="0.2">
      <c r="R6133" s="49">
        <v>6131</v>
      </c>
      <c r="S6133" s="59">
        <f ca="1">Dashboard!B$8* Dashboard!$F$4+Dashboard!B$10*SQRT(Dashboard!$F$4) * _xlfn.NORM.S.INV(RAND())</f>
        <v>-1.6276903371157548E-2</v>
      </c>
      <c r="T6133" s="59">
        <f ca="1">Dashboard!C$8* Dashboard!$F$4+Dashboard!C$10*SQRT(Dashboard!$F$4) * _xlfn.NORM.S.INV(RAND())</f>
        <v>2.7468089377656071E-2</v>
      </c>
      <c r="U6133" s="59">
        <f ca="1">Dashboard!D$8* Dashboard!$F$4+Dashboard!D$10*SQRT(Dashboard!$F$4) * _xlfn.NORM.S.INV(RAND())</f>
        <v>-5.648564529301723E-2</v>
      </c>
    </row>
    <row r="6134" spans="18:21" x14ac:dyDescent="0.2">
      <c r="R6134" s="49">
        <v>6132</v>
      </c>
      <c r="S6134" s="59">
        <f ca="1">Dashboard!B$8* Dashboard!$F$4+Dashboard!B$10*SQRT(Dashboard!$F$4) * _xlfn.NORM.S.INV(RAND())</f>
        <v>-9.2396492824351317E-3</v>
      </c>
      <c r="T6134" s="59">
        <f ca="1">Dashboard!C$8* Dashboard!$F$4+Dashboard!C$10*SQRT(Dashboard!$F$4) * _xlfn.NORM.S.INV(RAND())</f>
        <v>6.2643769496218513E-2</v>
      </c>
      <c r="U6134" s="59">
        <f ca="1">Dashboard!D$8* Dashboard!$F$4+Dashboard!D$10*SQRT(Dashboard!$F$4) * _xlfn.NORM.S.INV(RAND())</f>
        <v>2.2410885178137076E-2</v>
      </c>
    </row>
    <row r="6135" spans="18:21" x14ac:dyDescent="0.2">
      <c r="R6135" s="49">
        <v>6133</v>
      </c>
      <c r="S6135" s="59">
        <f ca="1">Dashboard!B$8* Dashboard!$F$4+Dashboard!B$10*SQRT(Dashboard!$F$4) * _xlfn.NORM.S.INV(RAND())</f>
        <v>2.7237225369667627E-2</v>
      </c>
      <c r="T6135" s="59">
        <f ca="1">Dashboard!C$8* Dashboard!$F$4+Dashboard!C$10*SQRT(Dashboard!$F$4) * _xlfn.NORM.S.INV(RAND())</f>
        <v>6.6862328540465893E-2</v>
      </c>
      <c r="U6135" s="59">
        <f ca="1">Dashboard!D$8* Dashboard!$F$4+Dashboard!D$10*SQRT(Dashboard!$F$4) * _xlfn.NORM.S.INV(RAND())</f>
        <v>-2.8847013492486775E-2</v>
      </c>
    </row>
    <row r="6136" spans="18:21" x14ac:dyDescent="0.2">
      <c r="R6136" s="49">
        <v>6134</v>
      </c>
      <c r="S6136" s="59">
        <f ca="1">Dashboard!B$8* Dashboard!$F$4+Dashboard!B$10*SQRT(Dashboard!$F$4) * _xlfn.NORM.S.INV(RAND())</f>
        <v>-4.5002025518349018E-2</v>
      </c>
      <c r="T6136" s="59">
        <f ca="1">Dashboard!C$8* Dashboard!$F$4+Dashboard!C$10*SQRT(Dashboard!$F$4) * _xlfn.NORM.S.INV(RAND())</f>
        <v>7.3581161646305807E-2</v>
      </c>
      <c r="U6136" s="59">
        <f ca="1">Dashboard!D$8* Dashboard!$F$4+Dashboard!D$10*SQRT(Dashboard!$F$4) * _xlfn.NORM.S.INV(RAND())</f>
        <v>-3.8221142434540098E-2</v>
      </c>
    </row>
    <row r="6137" spans="18:21" x14ac:dyDescent="0.2">
      <c r="R6137" s="49">
        <v>6135</v>
      </c>
      <c r="S6137" s="59">
        <f ca="1">Dashboard!B$8* Dashboard!$F$4+Dashboard!B$10*SQRT(Dashboard!$F$4) * _xlfn.NORM.S.INV(RAND())</f>
        <v>-2.4639506013880375E-2</v>
      </c>
      <c r="T6137" s="59">
        <f ca="1">Dashboard!C$8* Dashboard!$F$4+Dashboard!C$10*SQRT(Dashboard!$F$4) * _xlfn.NORM.S.INV(RAND())</f>
        <v>-3.1333521929367524E-2</v>
      </c>
      <c r="U6137" s="59">
        <f ca="1">Dashboard!D$8* Dashboard!$F$4+Dashboard!D$10*SQRT(Dashboard!$F$4) * _xlfn.NORM.S.INV(RAND())</f>
        <v>2.0917970524057423E-2</v>
      </c>
    </row>
    <row r="6138" spans="18:21" x14ac:dyDescent="0.2">
      <c r="R6138" s="49">
        <v>6136</v>
      </c>
      <c r="S6138" s="59">
        <f ca="1">Dashboard!B$8* Dashboard!$F$4+Dashboard!B$10*SQRT(Dashboard!$F$4) * _xlfn.NORM.S.INV(RAND())</f>
        <v>1.9314470721502559E-2</v>
      </c>
      <c r="T6138" s="59">
        <f ca="1">Dashboard!C$8* Dashboard!$F$4+Dashboard!C$10*SQRT(Dashboard!$F$4) * _xlfn.NORM.S.INV(RAND())</f>
        <v>2.6914701262619268E-3</v>
      </c>
      <c r="U6138" s="59">
        <f ca="1">Dashboard!D$8* Dashboard!$F$4+Dashboard!D$10*SQRT(Dashboard!$F$4) * _xlfn.NORM.S.INV(RAND())</f>
        <v>-4.8350982865350847E-2</v>
      </c>
    </row>
    <row r="6139" spans="18:21" x14ac:dyDescent="0.2">
      <c r="R6139" s="49">
        <v>6137</v>
      </c>
      <c r="S6139" s="59">
        <f ca="1">Dashboard!B$8* Dashboard!$F$4+Dashboard!B$10*SQRT(Dashboard!$F$4) * _xlfn.NORM.S.INV(RAND())</f>
        <v>1.2665165442004184E-2</v>
      </c>
      <c r="T6139" s="59">
        <f ca="1">Dashboard!C$8* Dashboard!$F$4+Dashboard!C$10*SQRT(Dashboard!$F$4) * _xlfn.NORM.S.INV(RAND())</f>
        <v>-4.4133878481271691E-2</v>
      </c>
      <c r="U6139" s="59">
        <f ca="1">Dashboard!D$8* Dashboard!$F$4+Dashboard!D$10*SQRT(Dashboard!$F$4) * _xlfn.NORM.S.INV(RAND())</f>
        <v>2.309352736999036E-2</v>
      </c>
    </row>
    <row r="6140" spans="18:21" x14ac:dyDescent="0.2">
      <c r="R6140" s="49">
        <v>6138</v>
      </c>
      <c r="S6140" s="59">
        <f ca="1">Dashboard!B$8* Dashboard!$F$4+Dashboard!B$10*SQRT(Dashboard!$F$4) * _xlfn.NORM.S.INV(RAND())</f>
        <v>-2.9342199747142486E-2</v>
      </c>
      <c r="T6140" s="59">
        <f ca="1">Dashboard!C$8* Dashboard!$F$4+Dashboard!C$10*SQRT(Dashboard!$F$4) * _xlfn.NORM.S.INV(RAND())</f>
        <v>1.6425711953196469E-2</v>
      </c>
      <c r="U6140" s="59">
        <f ca="1">Dashboard!D$8* Dashboard!$F$4+Dashboard!D$10*SQRT(Dashboard!$F$4) * _xlfn.NORM.S.INV(RAND())</f>
        <v>-5.0552282436291424E-2</v>
      </c>
    </row>
    <row r="6141" spans="18:21" x14ac:dyDescent="0.2">
      <c r="R6141" s="49">
        <v>6139</v>
      </c>
      <c r="S6141" s="59">
        <f ca="1">Dashboard!B$8* Dashboard!$F$4+Dashboard!B$10*SQRT(Dashboard!$F$4) * _xlfn.NORM.S.INV(RAND())</f>
        <v>-2.5832023433154092E-2</v>
      </c>
      <c r="T6141" s="59">
        <f ca="1">Dashboard!C$8* Dashboard!$F$4+Dashboard!C$10*SQRT(Dashboard!$F$4) * _xlfn.NORM.S.INV(RAND())</f>
        <v>8.2616465923179144E-5</v>
      </c>
      <c r="U6141" s="59">
        <f ca="1">Dashboard!D$8* Dashboard!$F$4+Dashboard!D$10*SQRT(Dashboard!$F$4) * _xlfn.NORM.S.INV(RAND())</f>
        <v>-2.9744804570576738E-2</v>
      </c>
    </row>
    <row r="6142" spans="18:21" x14ac:dyDescent="0.2">
      <c r="R6142" s="49">
        <v>6140</v>
      </c>
      <c r="S6142" s="59">
        <f ca="1">Dashboard!B$8* Dashboard!$F$4+Dashboard!B$10*SQRT(Dashboard!$F$4) * _xlfn.NORM.S.INV(RAND())</f>
        <v>2.5073754506791661E-2</v>
      </c>
      <c r="T6142" s="59">
        <f ca="1">Dashboard!C$8* Dashboard!$F$4+Dashboard!C$10*SQRT(Dashboard!$F$4) * _xlfn.NORM.S.INV(RAND())</f>
        <v>8.8832012173538866E-2</v>
      </c>
      <c r="U6142" s="59">
        <f ca="1">Dashboard!D$8* Dashboard!$F$4+Dashboard!D$10*SQRT(Dashboard!$F$4) * _xlfn.NORM.S.INV(RAND())</f>
        <v>-1.7605666836862419E-2</v>
      </c>
    </row>
    <row r="6143" spans="18:21" x14ac:dyDescent="0.2">
      <c r="R6143" s="49">
        <v>6141</v>
      </c>
      <c r="S6143" s="59">
        <f ca="1">Dashboard!B$8* Dashboard!$F$4+Dashboard!B$10*SQRT(Dashboard!$F$4) * _xlfn.NORM.S.INV(RAND())</f>
        <v>3.9347938446198053E-3</v>
      </c>
      <c r="T6143" s="59">
        <f ca="1">Dashboard!C$8* Dashboard!$F$4+Dashboard!C$10*SQRT(Dashboard!$F$4) * _xlfn.NORM.S.INV(RAND())</f>
        <v>7.0006241371385674E-3</v>
      </c>
      <c r="U6143" s="59">
        <f ca="1">Dashboard!D$8* Dashboard!$F$4+Dashboard!D$10*SQRT(Dashboard!$F$4) * _xlfn.NORM.S.INV(RAND())</f>
        <v>1.1849931847020096E-2</v>
      </c>
    </row>
    <row r="6144" spans="18:21" x14ac:dyDescent="0.2">
      <c r="R6144" s="49">
        <v>6142</v>
      </c>
      <c r="S6144" s="59">
        <f ca="1">Dashboard!B$8* Dashboard!$F$4+Dashboard!B$10*SQRT(Dashboard!$F$4) * _xlfn.NORM.S.INV(RAND())</f>
        <v>-5.1842312422788077E-2</v>
      </c>
      <c r="T6144" s="59">
        <f ca="1">Dashboard!C$8* Dashboard!$F$4+Dashboard!C$10*SQRT(Dashboard!$F$4) * _xlfn.NORM.S.INV(RAND())</f>
        <v>-8.1559653416145225E-3</v>
      </c>
      <c r="U6144" s="59">
        <f ca="1">Dashboard!D$8* Dashboard!$F$4+Dashboard!D$10*SQRT(Dashboard!$F$4) * _xlfn.NORM.S.INV(RAND())</f>
        <v>-1.3994907001284923E-3</v>
      </c>
    </row>
    <row r="6145" spans="18:21" x14ac:dyDescent="0.2">
      <c r="R6145" s="49">
        <v>6143</v>
      </c>
      <c r="S6145" s="59">
        <f ca="1">Dashboard!B$8* Dashboard!$F$4+Dashboard!B$10*SQRT(Dashboard!$F$4) * _xlfn.NORM.S.INV(RAND())</f>
        <v>-1.1282780098748394E-2</v>
      </c>
      <c r="T6145" s="59">
        <f ca="1">Dashboard!C$8* Dashboard!$F$4+Dashboard!C$10*SQRT(Dashboard!$F$4) * _xlfn.NORM.S.INV(RAND())</f>
        <v>-6.8372787725819494E-3</v>
      </c>
      <c r="U6145" s="59">
        <f ca="1">Dashboard!D$8* Dashboard!$F$4+Dashboard!D$10*SQRT(Dashboard!$F$4) * _xlfn.NORM.S.INV(RAND())</f>
        <v>1.3595690953121475E-2</v>
      </c>
    </row>
    <row r="6146" spans="18:21" x14ac:dyDescent="0.2">
      <c r="R6146" s="49">
        <v>6144</v>
      </c>
      <c r="S6146" s="59">
        <f ca="1">Dashboard!B$8* Dashboard!$F$4+Dashboard!B$10*SQRT(Dashboard!$F$4) * _xlfn.NORM.S.INV(RAND())</f>
        <v>2.190015496451099E-2</v>
      </c>
      <c r="T6146" s="59">
        <f ca="1">Dashboard!C$8* Dashboard!$F$4+Dashboard!C$10*SQRT(Dashboard!$F$4) * _xlfn.NORM.S.INV(RAND())</f>
        <v>-5.8407829576760467E-2</v>
      </c>
      <c r="U6146" s="59">
        <f ca="1">Dashboard!D$8* Dashboard!$F$4+Dashboard!D$10*SQRT(Dashboard!$F$4) * _xlfn.NORM.S.INV(RAND())</f>
        <v>3.8898527207843245E-2</v>
      </c>
    </row>
    <row r="6147" spans="18:21" x14ac:dyDescent="0.2">
      <c r="R6147" s="49">
        <v>6145</v>
      </c>
      <c r="S6147" s="59">
        <f ca="1">Dashboard!B$8* Dashboard!$F$4+Dashboard!B$10*SQRT(Dashboard!$F$4) * _xlfn.NORM.S.INV(RAND())</f>
        <v>-4.995686419077499E-2</v>
      </c>
      <c r="T6147" s="59">
        <f ca="1">Dashboard!C$8* Dashboard!$F$4+Dashboard!C$10*SQRT(Dashboard!$F$4) * _xlfn.NORM.S.INV(RAND())</f>
        <v>2.321678387883394E-3</v>
      </c>
      <c r="U6147" s="59">
        <f ca="1">Dashboard!D$8* Dashboard!$F$4+Dashboard!D$10*SQRT(Dashboard!$F$4) * _xlfn.NORM.S.INV(RAND())</f>
        <v>8.2228750543550725E-4</v>
      </c>
    </row>
    <row r="6148" spans="18:21" x14ac:dyDescent="0.2">
      <c r="R6148" s="49">
        <v>6146</v>
      </c>
      <c r="S6148" s="59">
        <f ca="1">Dashboard!B$8* Dashboard!$F$4+Dashboard!B$10*SQRT(Dashboard!$F$4) * _xlfn.NORM.S.INV(RAND())</f>
        <v>-1.0293794208747192E-2</v>
      </c>
      <c r="T6148" s="59">
        <f ca="1">Dashboard!C$8* Dashboard!$F$4+Dashboard!C$10*SQRT(Dashboard!$F$4) * _xlfn.NORM.S.INV(RAND())</f>
        <v>-2.5403743443323145E-2</v>
      </c>
      <c r="U6148" s="59">
        <f ca="1">Dashboard!D$8* Dashboard!$F$4+Dashboard!D$10*SQRT(Dashboard!$F$4) * _xlfn.NORM.S.INV(RAND())</f>
        <v>5.3373995972329863E-2</v>
      </c>
    </row>
    <row r="6149" spans="18:21" x14ac:dyDescent="0.2">
      <c r="R6149" s="49">
        <v>6147</v>
      </c>
      <c r="S6149" s="59">
        <f ca="1">Dashboard!B$8* Dashboard!$F$4+Dashboard!B$10*SQRT(Dashboard!$F$4) * _xlfn.NORM.S.INV(RAND())</f>
        <v>3.7681441410653847E-2</v>
      </c>
      <c r="T6149" s="59">
        <f ca="1">Dashboard!C$8* Dashboard!$F$4+Dashboard!C$10*SQRT(Dashboard!$F$4) * _xlfn.NORM.S.INV(RAND())</f>
        <v>-4.5623230939444488E-2</v>
      </c>
      <c r="U6149" s="59">
        <f ca="1">Dashboard!D$8* Dashboard!$F$4+Dashboard!D$10*SQRT(Dashboard!$F$4) * _xlfn.NORM.S.INV(RAND())</f>
        <v>1.45380129709745E-2</v>
      </c>
    </row>
    <row r="6150" spans="18:21" x14ac:dyDescent="0.2">
      <c r="R6150" s="49">
        <v>6148</v>
      </c>
      <c r="S6150" s="59">
        <f ca="1">Dashboard!B$8* Dashboard!$F$4+Dashboard!B$10*SQRT(Dashboard!$F$4) * _xlfn.NORM.S.INV(RAND())</f>
        <v>3.3004203380908134E-2</v>
      </c>
      <c r="T6150" s="59">
        <f ca="1">Dashboard!C$8* Dashboard!$F$4+Dashboard!C$10*SQRT(Dashboard!$F$4) * _xlfn.NORM.S.INV(RAND())</f>
        <v>-2.7354065471187464E-2</v>
      </c>
      <c r="U6150" s="59">
        <f ca="1">Dashboard!D$8* Dashboard!$F$4+Dashboard!D$10*SQRT(Dashboard!$F$4) * _xlfn.NORM.S.INV(RAND())</f>
        <v>2.6037764561574406E-2</v>
      </c>
    </row>
    <row r="6151" spans="18:21" x14ac:dyDescent="0.2">
      <c r="R6151" s="49">
        <v>6149</v>
      </c>
      <c r="S6151" s="59">
        <f ca="1">Dashboard!B$8* Dashboard!$F$4+Dashboard!B$10*SQRT(Dashboard!$F$4) * _xlfn.NORM.S.INV(RAND())</f>
        <v>-5.1477947882876053E-2</v>
      </c>
      <c r="T6151" s="59">
        <f ca="1">Dashboard!C$8* Dashboard!$F$4+Dashboard!C$10*SQRT(Dashboard!$F$4) * _xlfn.NORM.S.INV(RAND())</f>
        <v>-3.0342119994239873E-3</v>
      </c>
      <c r="U6151" s="59">
        <f ca="1">Dashboard!D$8* Dashboard!$F$4+Dashboard!D$10*SQRT(Dashboard!$F$4) * _xlfn.NORM.S.INV(RAND())</f>
        <v>-1.4123556577008617E-2</v>
      </c>
    </row>
    <row r="6152" spans="18:21" x14ac:dyDescent="0.2">
      <c r="R6152" s="49">
        <v>6150</v>
      </c>
      <c r="S6152" s="59">
        <f ca="1">Dashboard!B$8* Dashboard!$F$4+Dashboard!B$10*SQRT(Dashboard!$F$4) * _xlfn.NORM.S.INV(RAND())</f>
        <v>3.8212580773908003E-2</v>
      </c>
      <c r="T6152" s="59">
        <f ca="1">Dashboard!C$8* Dashboard!$F$4+Dashboard!C$10*SQRT(Dashboard!$F$4) * _xlfn.NORM.S.INV(RAND())</f>
        <v>-3.3087760224435291E-2</v>
      </c>
      <c r="U6152" s="59">
        <f ca="1">Dashboard!D$8* Dashboard!$F$4+Dashboard!D$10*SQRT(Dashboard!$F$4) * _xlfn.NORM.S.INV(RAND())</f>
        <v>1.072926403492017E-2</v>
      </c>
    </row>
    <row r="6153" spans="18:21" x14ac:dyDescent="0.2">
      <c r="R6153" s="49">
        <v>6151</v>
      </c>
      <c r="S6153" s="59">
        <f ca="1">Dashboard!B$8* Dashboard!$F$4+Dashboard!B$10*SQRT(Dashboard!$F$4) * _xlfn.NORM.S.INV(RAND())</f>
        <v>6.8328729792708053E-3</v>
      </c>
      <c r="T6153" s="59">
        <f ca="1">Dashboard!C$8* Dashboard!$F$4+Dashboard!C$10*SQRT(Dashboard!$F$4) * _xlfn.NORM.S.INV(RAND())</f>
        <v>-5.5906700858202582E-2</v>
      </c>
      <c r="U6153" s="59">
        <f ca="1">Dashboard!D$8* Dashboard!$F$4+Dashboard!D$10*SQRT(Dashboard!$F$4) * _xlfn.NORM.S.INV(RAND())</f>
        <v>-5.637483207343065E-3</v>
      </c>
    </row>
    <row r="6154" spans="18:21" x14ac:dyDescent="0.2">
      <c r="R6154" s="49">
        <v>6152</v>
      </c>
      <c r="S6154" s="59">
        <f ca="1">Dashboard!B$8* Dashboard!$F$4+Dashboard!B$10*SQRT(Dashboard!$F$4) * _xlfn.NORM.S.INV(RAND())</f>
        <v>-1.7905172614334851E-2</v>
      </c>
      <c r="T6154" s="59">
        <f ca="1">Dashboard!C$8* Dashboard!$F$4+Dashboard!C$10*SQRT(Dashboard!$F$4) * _xlfn.NORM.S.INV(RAND())</f>
        <v>-5.1082386902296252E-2</v>
      </c>
      <c r="U6154" s="59">
        <f ca="1">Dashboard!D$8* Dashboard!$F$4+Dashboard!D$10*SQRT(Dashboard!$F$4) * _xlfn.NORM.S.INV(RAND())</f>
        <v>4.7455714885891509E-2</v>
      </c>
    </row>
    <row r="6155" spans="18:21" x14ac:dyDescent="0.2">
      <c r="R6155" s="49">
        <v>6153</v>
      </c>
      <c r="S6155" s="59">
        <f ca="1">Dashboard!B$8* Dashboard!$F$4+Dashboard!B$10*SQRT(Dashboard!$F$4) * _xlfn.NORM.S.INV(RAND())</f>
        <v>3.2755915214597014E-4</v>
      </c>
      <c r="T6155" s="59">
        <f ca="1">Dashboard!C$8* Dashboard!$F$4+Dashboard!C$10*SQRT(Dashboard!$F$4) * _xlfn.NORM.S.INV(RAND())</f>
        <v>-2.288007744338522E-2</v>
      </c>
      <c r="U6155" s="59">
        <f ca="1">Dashboard!D$8* Dashboard!$F$4+Dashboard!D$10*SQRT(Dashboard!$F$4) * _xlfn.NORM.S.INV(RAND())</f>
        <v>-3.1366312244527093E-2</v>
      </c>
    </row>
    <row r="6156" spans="18:21" x14ac:dyDescent="0.2">
      <c r="R6156" s="49">
        <v>6154</v>
      </c>
      <c r="S6156" s="59">
        <f ca="1">Dashboard!B$8* Dashboard!$F$4+Dashboard!B$10*SQRT(Dashboard!$F$4) * _xlfn.NORM.S.INV(RAND())</f>
        <v>-4.3932951711153278E-3</v>
      </c>
      <c r="T6156" s="59">
        <f ca="1">Dashboard!C$8* Dashboard!$F$4+Dashboard!C$10*SQRT(Dashboard!$F$4) * _xlfn.NORM.S.INV(RAND())</f>
        <v>-1.3560835813623502E-2</v>
      </c>
      <c r="U6156" s="59">
        <f ca="1">Dashboard!D$8* Dashboard!$F$4+Dashboard!D$10*SQRT(Dashboard!$F$4) * _xlfn.NORM.S.INV(RAND())</f>
        <v>5.9514609485435861E-2</v>
      </c>
    </row>
    <row r="6157" spans="18:21" x14ac:dyDescent="0.2">
      <c r="R6157" s="49">
        <v>6155</v>
      </c>
      <c r="S6157" s="59">
        <f ca="1">Dashboard!B$8* Dashboard!$F$4+Dashboard!B$10*SQRT(Dashboard!$F$4) * _xlfn.NORM.S.INV(RAND())</f>
        <v>-1.0279499480347787E-2</v>
      </c>
      <c r="T6157" s="59">
        <f ca="1">Dashboard!C$8* Dashboard!$F$4+Dashboard!C$10*SQRT(Dashboard!$F$4) * _xlfn.NORM.S.INV(RAND())</f>
        <v>1.5106313047835308E-2</v>
      </c>
      <c r="U6157" s="59">
        <f ca="1">Dashboard!D$8* Dashboard!$F$4+Dashboard!D$10*SQRT(Dashboard!$F$4) * _xlfn.NORM.S.INV(RAND())</f>
        <v>-1.4755350037336239E-2</v>
      </c>
    </row>
    <row r="6158" spans="18:21" x14ac:dyDescent="0.2">
      <c r="R6158" s="49">
        <v>6156</v>
      </c>
      <c r="S6158" s="59">
        <f ca="1">Dashboard!B$8* Dashboard!$F$4+Dashboard!B$10*SQRT(Dashboard!$F$4) * _xlfn.NORM.S.INV(RAND())</f>
        <v>-3.2374048514927346E-2</v>
      </c>
      <c r="T6158" s="59">
        <f ca="1">Dashboard!C$8* Dashboard!$F$4+Dashboard!C$10*SQRT(Dashboard!$F$4) * _xlfn.NORM.S.INV(RAND())</f>
        <v>4.0427358014964429E-2</v>
      </c>
      <c r="U6158" s="59">
        <f ca="1">Dashboard!D$8* Dashboard!$F$4+Dashboard!D$10*SQRT(Dashboard!$F$4) * _xlfn.NORM.S.INV(RAND())</f>
        <v>-1.4199757569511555E-2</v>
      </c>
    </row>
    <row r="6159" spans="18:21" x14ac:dyDescent="0.2">
      <c r="R6159" s="49">
        <v>6157</v>
      </c>
      <c r="S6159" s="59">
        <f ca="1">Dashboard!B$8* Dashboard!$F$4+Dashboard!B$10*SQRT(Dashboard!$F$4) * _xlfn.NORM.S.INV(RAND())</f>
        <v>-1.230061159594331E-2</v>
      </c>
      <c r="T6159" s="59">
        <f ca="1">Dashboard!C$8* Dashboard!$F$4+Dashboard!C$10*SQRT(Dashboard!$F$4) * _xlfn.NORM.S.INV(RAND())</f>
        <v>5.0731759054671467E-3</v>
      </c>
      <c r="U6159" s="59">
        <f ca="1">Dashboard!D$8* Dashboard!$F$4+Dashboard!D$10*SQRT(Dashboard!$F$4) * _xlfn.NORM.S.INV(RAND())</f>
        <v>-2.4672892804278451E-3</v>
      </c>
    </row>
    <row r="6160" spans="18:21" x14ac:dyDescent="0.2">
      <c r="R6160" s="49">
        <v>6158</v>
      </c>
      <c r="S6160" s="59">
        <f ca="1">Dashboard!B$8* Dashboard!$F$4+Dashboard!B$10*SQRT(Dashboard!$F$4) * _xlfn.NORM.S.INV(RAND())</f>
        <v>-1.2477200739271039E-3</v>
      </c>
      <c r="T6160" s="59">
        <f ca="1">Dashboard!C$8* Dashboard!$F$4+Dashboard!C$10*SQRT(Dashboard!$F$4) * _xlfn.NORM.S.INV(RAND())</f>
        <v>5.9470213888663817E-2</v>
      </c>
      <c r="U6160" s="59">
        <f ca="1">Dashboard!D$8* Dashboard!$F$4+Dashboard!D$10*SQRT(Dashboard!$F$4) * _xlfn.NORM.S.INV(RAND())</f>
        <v>-1.3274250853310783E-2</v>
      </c>
    </row>
    <row r="6161" spans="18:21" x14ac:dyDescent="0.2">
      <c r="R6161" s="49">
        <v>6159</v>
      </c>
      <c r="S6161" s="59">
        <f ca="1">Dashboard!B$8* Dashboard!$F$4+Dashboard!B$10*SQRT(Dashboard!$F$4) * _xlfn.NORM.S.INV(RAND())</f>
        <v>-4.5465742429501299E-2</v>
      </c>
      <c r="T6161" s="59">
        <f ca="1">Dashboard!C$8* Dashboard!$F$4+Dashboard!C$10*SQRT(Dashboard!$F$4) * _xlfn.NORM.S.INV(RAND())</f>
        <v>1.9778917596104836E-2</v>
      </c>
      <c r="U6161" s="59">
        <f ca="1">Dashboard!D$8* Dashboard!$F$4+Dashboard!D$10*SQRT(Dashboard!$F$4) * _xlfn.NORM.S.INV(RAND())</f>
        <v>-8.9948003065029227E-3</v>
      </c>
    </row>
    <row r="6162" spans="18:21" x14ac:dyDescent="0.2">
      <c r="R6162" s="49">
        <v>6160</v>
      </c>
      <c r="S6162" s="59">
        <f ca="1">Dashboard!B$8* Dashboard!$F$4+Dashboard!B$10*SQRT(Dashboard!$F$4) * _xlfn.NORM.S.INV(RAND())</f>
        <v>-5.4976874064609396E-2</v>
      </c>
      <c r="T6162" s="59">
        <f ca="1">Dashboard!C$8* Dashboard!$F$4+Dashboard!C$10*SQRT(Dashboard!$F$4) * _xlfn.NORM.S.INV(RAND())</f>
        <v>-5.1564889381641207E-2</v>
      </c>
      <c r="U6162" s="59">
        <f ca="1">Dashboard!D$8* Dashboard!$F$4+Dashboard!D$10*SQRT(Dashboard!$F$4) * _xlfn.NORM.S.INV(RAND())</f>
        <v>-6.4114777171261541E-3</v>
      </c>
    </row>
    <row r="6163" spans="18:21" x14ac:dyDescent="0.2">
      <c r="R6163" s="49">
        <v>6161</v>
      </c>
      <c r="S6163" s="59">
        <f ca="1">Dashboard!B$8* Dashboard!$F$4+Dashboard!B$10*SQRT(Dashboard!$F$4) * _xlfn.NORM.S.INV(RAND())</f>
        <v>-3.6755589515299601E-3</v>
      </c>
      <c r="T6163" s="59">
        <f ca="1">Dashboard!C$8* Dashboard!$F$4+Dashboard!C$10*SQRT(Dashboard!$F$4) * _xlfn.NORM.S.INV(RAND())</f>
        <v>-3.7527831063678156E-3</v>
      </c>
      <c r="U6163" s="59">
        <f ca="1">Dashboard!D$8* Dashboard!$F$4+Dashboard!D$10*SQRT(Dashboard!$F$4) * _xlfn.NORM.S.INV(RAND())</f>
        <v>3.0069484232103892E-2</v>
      </c>
    </row>
    <row r="6164" spans="18:21" x14ac:dyDescent="0.2">
      <c r="R6164" s="49">
        <v>6162</v>
      </c>
      <c r="S6164" s="59">
        <f ca="1">Dashboard!B$8* Dashboard!$F$4+Dashboard!B$10*SQRT(Dashboard!$F$4) * _xlfn.NORM.S.INV(RAND())</f>
        <v>1.1894861893107719E-3</v>
      </c>
      <c r="T6164" s="59">
        <f ca="1">Dashboard!C$8* Dashboard!$F$4+Dashboard!C$10*SQRT(Dashboard!$F$4) * _xlfn.NORM.S.INV(RAND())</f>
        <v>1.5124007720434266E-2</v>
      </c>
      <c r="U6164" s="59">
        <f ca="1">Dashboard!D$8* Dashboard!$F$4+Dashboard!D$10*SQRT(Dashboard!$F$4) * _xlfn.NORM.S.INV(RAND())</f>
        <v>-5.6326110914332317E-3</v>
      </c>
    </row>
    <row r="6165" spans="18:21" x14ac:dyDescent="0.2">
      <c r="R6165" s="49">
        <v>6163</v>
      </c>
      <c r="S6165" s="59">
        <f ca="1">Dashboard!B$8* Dashboard!$F$4+Dashboard!B$10*SQRT(Dashboard!$F$4) * _xlfn.NORM.S.INV(RAND())</f>
        <v>-4.073396055672155E-2</v>
      </c>
      <c r="T6165" s="59">
        <f ca="1">Dashboard!C$8* Dashboard!$F$4+Dashboard!C$10*SQRT(Dashboard!$F$4) * _xlfn.NORM.S.INV(RAND())</f>
        <v>-1.5367825915402106E-2</v>
      </c>
      <c r="U6165" s="59">
        <f ca="1">Dashboard!D$8* Dashboard!$F$4+Dashboard!D$10*SQRT(Dashboard!$F$4) * _xlfn.NORM.S.INV(RAND())</f>
        <v>4.6322700783462352E-2</v>
      </c>
    </row>
    <row r="6166" spans="18:21" x14ac:dyDescent="0.2">
      <c r="R6166" s="49">
        <v>6164</v>
      </c>
      <c r="S6166" s="59">
        <f ca="1">Dashboard!B$8* Dashboard!$F$4+Dashboard!B$10*SQRT(Dashboard!$F$4) * _xlfn.NORM.S.INV(RAND())</f>
        <v>-6.7528756340763576E-4</v>
      </c>
      <c r="T6166" s="59">
        <f ca="1">Dashboard!C$8* Dashboard!$F$4+Dashboard!C$10*SQRT(Dashboard!$F$4) * _xlfn.NORM.S.INV(RAND())</f>
        <v>3.2177011858207087E-2</v>
      </c>
      <c r="U6166" s="59">
        <f ca="1">Dashboard!D$8* Dashboard!$F$4+Dashboard!D$10*SQRT(Dashboard!$F$4) * _xlfn.NORM.S.INV(RAND())</f>
        <v>2.5660176918034801E-2</v>
      </c>
    </row>
    <row r="6167" spans="18:21" x14ac:dyDescent="0.2">
      <c r="R6167" s="49">
        <v>6165</v>
      </c>
      <c r="S6167" s="59">
        <f ca="1">Dashboard!B$8* Dashboard!$F$4+Dashboard!B$10*SQRT(Dashboard!$F$4) * _xlfn.NORM.S.INV(RAND())</f>
        <v>-3.913369816608276E-2</v>
      </c>
      <c r="T6167" s="59">
        <f ca="1">Dashboard!C$8* Dashboard!$F$4+Dashboard!C$10*SQRT(Dashboard!$F$4) * _xlfn.NORM.S.INV(RAND())</f>
        <v>-7.7282475076226362E-2</v>
      </c>
      <c r="U6167" s="59">
        <f ca="1">Dashboard!D$8* Dashboard!$F$4+Dashboard!D$10*SQRT(Dashboard!$F$4) * _xlfn.NORM.S.INV(RAND())</f>
        <v>2.1485854984248477E-2</v>
      </c>
    </row>
    <row r="6168" spans="18:21" x14ac:dyDescent="0.2">
      <c r="R6168" s="49">
        <v>6166</v>
      </c>
      <c r="S6168" s="59">
        <f ca="1">Dashboard!B$8* Dashboard!$F$4+Dashboard!B$10*SQRT(Dashboard!$F$4) * _xlfn.NORM.S.INV(RAND())</f>
        <v>-2.6894049120575525E-2</v>
      </c>
      <c r="T6168" s="59">
        <f ca="1">Dashboard!C$8* Dashboard!$F$4+Dashboard!C$10*SQRT(Dashboard!$F$4) * _xlfn.NORM.S.INV(RAND())</f>
        <v>1.0792980186773394E-2</v>
      </c>
      <c r="U6168" s="59">
        <f ca="1">Dashboard!D$8* Dashboard!$F$4+Dashboard!D$10*SQRT(Dashboard!$F$4) * _xlfn.NORM.S.INV(RAND())</f>
        <v>1.3286852012905527E-2</v>
      </c>
    </row>
    <row r="6169" spans="18:21" x14ac:dyDescent="0.2">
      <c r="R6169" s="49">
        <v>6167</v>
      </c>
      <c r="S6169" s="59">
        <f ca="1">Dashboard!B$8* Dashboard!$F$4+Dashboard!B$10*SQRT(Dashboard!$F$4) * _xlfn.NORM.S.INV(RAND())</f>
        <v>7.2236702039577601E-3</v>
      </c>
      <c r="T6169" s="59">
        <f ca="1">Dashboard!C$8* Dashboard!$F$4+Dashboard!C$10*SQRT(Dashboard!$F$4) * _xlfn.NORM.S.INV(RAND())</f>
        <v>3.4815939577568004E-2</v>
      </c>
      <c r="U6169" s="59">
        <f ca="1">Dashboard!D$8* Dashboard!$F$4+Dashboard!D$10*SQRT(Dashboard!$F$4) * _xlfn.NORM.S.INV(RAND())</f>
        <v>-2.0839427668107894E-3</v>
      </c>
    </row>
    <row r="6170" spans="18:21" x14ac:dyDescent="0.2">
      <c r="R6170" s="49">
        <v>6168</v>
      </c>
      <c r="S6170" s="59">
        <f ca="1">Dashboard!B$8* Dashboard!$F$4+Dashboard!B$10*SQRT(Dashboard!$F$4) * _xlfn.NORM.S.INV(RAND())</f>
        <v>1.8223150230513102E-2</v>
      </c>
      <c r="T6170" s="59">
        <f ca="1">Dashboard!C$8* Dashboard!$F$4+Dashboard!C$10*SQRT(Dashboard!$F$4) * _xlfn.NORM.S.INV(RAND())</f>
        <v>6.0936142803596029E-2</v>
      </c>
      <c r="U6170" s="59">
        <f ca="1">Dashboard!D$8* Dashboard!$F$4+Dashboard!D$10*SQRT(Dashboard!$F$4) * _xlfn.NORM.S.INV(RAND())</f>
        <v>8.7852323340421035E-3</v>
      </c>
    </row>
    <row r="6171" spans="18:21" x14ac:dyDescent="0.2">
      <c r="R6171" s="49">
        <v>6169</v>
      </c>
      <c r="S6171" s="59">
        <f ca="1">Dashboard!B$8* Dashboard!$F$4+Dashboard!B$10*SQRT(Dashboard!$F$4) * _xlfn.NORM.S.INV(RAND())</f>
        <v>4.474015022364581E-2</v>
      </c>
      <c r="T6171" s="59">
        <f ca="1">Dashboard!C$8* Dashboard!$F$4+Dashboard!C$10*SQRT(Dashboard!$F$4) * _xlfn.NORM.S.INV(RAND())</f>
        <v>5.0487027919114059E-2</v>
      </c>
      <c r="U6171" s="59">
        <f ca="1">Dashboard!D$8* Dashboard!$F$4+Dashboard!D$10*SQRT(Dashboard!$F$4) * _xlfn.NORM.S.INV(RAND())</f>
        <v>9.1763734058231249E-3</v>
      </c>
    </row>
    <row r="6172" spans="18:21" x14ac:dyDescent="0.2">
      <c r="R6172" s="49">
        <v>6170</v>
      </c>
      <c r="S6172" s="59">
        <f ca="1">Dashboard!B$8* Dashboard!$F$4+Dashboard!B$10*SQRT(Dashboard!$F$4) * _xlfn.NORM.S.INV(RAND())</f>
        <v>-5.328932301390369E-2</v>
      </c>
      <c r="T6172" s="59">
        <f ca="1">Dashboard!C$8* Dashboard!$F$4+Dashboard!C$10*SQRT(Dashboard!$F$4) * _xlfn.NORM.S.INV(RAND())</f>
        <v>9.376325384978762E-3</v>
      </c>
      <c r="U6172" s="59">
        <f ca="1">Dashboard!D$8* Dashboard!$F$4+Dashboard!D$10*SQRT(Dashboard!$F$4) * _xlfn.NORM.S.INV(RAND())</f>
        <v>5.1600261158945816E-2</v>
      </c>
    </row>
    <row r="6173" spans="18:21" x14ac:dyDescent="0.2">
      <c r="R6173" s="49">
        <v>6171</v>
      </c>
      <c r="S6173" s="59">
        <f ca="1">Dashboard!B$8* Dashboard!$F$4+Dashboard!B$10*SQRT(Dashboard!$F$4) * _xlfn.NORM.S.INV(RAND())</f>
        <v>-2.6070537021387195E-2</v>
      </c>
      <c r="T6173" s="59">
        <f ca="1">Dashboard!C$8* Dashboard!$F$4+Dashboard!C$10*SQRT(Dashboard!$F$4) * _xlfn.NORM.S.INV(RAND())</f>
        <v>1.6883350758666652E-2</v>
      </c>
      <c r="U6173" s="59">
        <f ca="1">Dashboard!D$8* Dashboard!$F$4+Dashboard!D$10*SQRT(Dashboard!$F$4) * _xlfn.NORM.S.INV(RAND())</f>
        <v>1.799120903273697E-2</v>
      </c>
    </row>
    <row r="6174" spans="18:21" x14ac:dyDescent="0.2">
      <c r="R6174" s="49">
        <v>6172</v>
      </c>
      <c r="S6174" s="59">
        <f ca="1">Dashboard!B$8* Dashboard!$F$4+Dashboard!B$10*SQRT(Dashboard!$F$4) * _xlfn.NORM.S.INV(RAND())</f>
        <v>7.0468944495364668E-3</v>
      </c>
      <c r="T6174" s="59">
        <f ca="1">Dashboard!C$8* Dashboard!$F$4+Dashboard!C$10*SQRT(Dashboard!$F$4) * _xlfn.NORM.S.INV(RAND())</f>
        <v>-6.4265186270119526E-2</v>
      </c>
      <c r="U6174" s="59">
        <f ca="1">Dashboard!D$8* Dashboard!$F$4+Dashboard!D$10*SQRT(Dashboard!$F$4) * _xlfn.NORM.S.INV(RAND())</f>
        <v>-3.4710996240616798E-2</v>
      </c>
    </row>
    <row r="6175" spans="18:21" x14ac:dyDescent="0.2">
      <c r="R6175" s="49">
        <v>6173</v>
      </c>
      <c r="S6175" s="59">
        <f ca="1">Dashboard!B$8* Dashboard!$F$4+Dashboard!B$10*SQRT(Dashboard!$F$4) * _xlfn.NORM.S.INV(RAND())</f>
        <v>5.5432867295327534E-4</v>
      </c>
      <c r="T6175" s="59">
        <f ca="1">Dashboard!C$8* Dashboard!$F$4+Dashboard!C$10*SQRT(Dashboard!$F$4) * _xlfn.NORM.S.INV(RAND())</f>
        <v>-2.0700524121135849E-2</v>
      </c>
      <c r="U6175" s="59">
        <f ca="1">Dashboard!D$8* Dashboard!$F$4+Dashboard!D$10*SQRT(Dashboard!$F$4) * _xlfn.NORM.S.INV(RAND())</f>
        <v>-2.3187993091071616E-2</v>
      </c>
    </row>
    <row r="6176" spans="18:21" x14ac:dyDescent="0.2">
      <c r="R6176" s="49">
        <v>6174</v>
      </c>
      <c r="S6176" s="59">
        <f ca="1">Dashboard!B$8* Dashboard!$F$4+Dashboard!B$10*SQRT(Dashboard!$F$4) * _xlfn.NORM.S.INV(RAND())</f>
        <v>-3.8403500220737533E-2</v>
      </c>
      <c r="T6176" s="59">
        <f ca="1">Dashboard!C$8* Dashboard!$F$4+Dashboard!C$10*SQRT(Dashboard!$F$4) * _xlfn.NORM.S.INV(RAND())</f>
        <v>2.4203957690978561E-2</v>
      </c>
      <c r="U6176" s="59">
        <f ca="1">Dashboard!D$8* Dashboard!$F$4+Dashboard!D$10*SQRT(Dashboard!$F$4) * _xlfn.NORM.S.INV(RAND())</f>
        <v>9.7302733086943247E-3</v>
      </c>
    </row>
    <row r="6177" spans="18:21" x14ac:dyDescent="0.2">
      <c r="R6177" s="49">
        <v>6175</v>
      </c>
      <c r="S6177" s="59">
        <f ca="1">Dashboard!B$8* Dashboard!$F$4+Dashboard!B$10*SQRT(Dashboard!$F$4) * _xlfn.NORM.S.INV(RAND())</f>
        <v>5.13953031613173E-3</v>
      </c>
      <c r="T6177" s="59">
        <f ca="1">Dashboard!C$8* Dashboard!$F$4+Dashboard!C$10*SQRT(Dashboard!$F$4) * _xlfn.NORM.S.INV(RAND())</f>
        <v>5.7274693385496407E-2</v>
      </c>
      <c r="U6177" s="59">
        <f ca="1">Dashboard!D$8* Dashboard!$F$4+Dashboard!D$10*SQRT(Dashboard!$F$4) * _xlfn.NORM.S.INV(RAND())</f>
        <v>-7.7796031964706995E-3</v>
      </c>
    </row>
    <row r="6178" spans="18:21" x14ac:dyDescent="0.2">
      <c r="R6178" s="49">
        <v>6176</v>
      </c>
      <c r="S6178" s="59">
        <f ca="1">Dashboard!B$8* Dashboard!$F$4+Dashboard!B$10*SQRT(Dashboard!$F$4) * _xlfn.NORM.S.INV(RAND())</f>
        <v>-1.1744927207311975E-2</v>
      </c>
      <c r="T6178" s="59">
        <f ca="1">Dashboard!C$8* Dashboard!$F$4+Dashboard!C$10*SQRT(Dashboard!$F$4) * _xlfn.NORM.S.INV(RAND())</f>
        <v>-4.6482139469997907E-2</v>
      </c>
      <c r="U6178" s="59">
        <f ca="1">Dashboard!D$8* Dashboard!$F$4+Dashboard!D$10*SQRT(Dashboard!$F$4) * _xlfn.NORM.S.INV(RAND())</f>
        <v>4.0765131043658392E-2</v>
      </c>
    </row>
    <row r="6179" spans="18:21" x14ac:dyDescent="0.2">
      <c r="R6179" s="49">
        <v>6177</v>
      </c>
      <c r="S6179" s="59">
        <f ca="1">Dashboard!B$8* Dashboard!$F$4+Dashboard!B$10*SQRT(Dashboard!$F$4) * _xlfn.NORM.S.INV(RAND())</f>
        <v>2.4627673350247709E-2</v>
      </c>
      <c r="T6179" s="59">
        <f ca="1">Dashboard!C$8* Dashboard!$F$4+Dashboard!C$10*SQRT(Dashboard!$F$4) * _xlfn.NORM.S.INV(RAND())</f>
        <v>1.8195125808966855E-2</v>
      </c>
      <c r="U6179" s="59">
        <f ca="1">Dashboard!D$8* Dashboard!$F$4+Dashboard!D$10*SQRT(Dashboard!$F$4) * _xlfn.NORM.S.INV(RAND())</f>
        <v>3.3522321628029247E-2</v>
      </c>
    </row>
    <row r="6180" spans="18:21" x14ac:dyDescent="0.2">
      <c r="R6180" s="49">
        <v>6178</v>
      </c>
      <c r="S6180" s="59">
        <f ca="1">Dashboard!B$8* Dashboard!$F$4+Dashboard!B$10*SQRT(Dashboard!$F$4) * _xlfn.NORM.S.INV(RAND())</f>
        <v>-7.800795159879928E-2</v>
      </c>
      <c r="T6180" s="59">
        <f ca="1">Dashboard!C$8* Dashboard!$F$4+Dashboard!C$10*SQRT(Dashboard!$F$4) * _xlfn.NORM.S.INV(RAND())</f>
        <v>-6.850368951751154E-2</v>
      </c>
      <c r="U6180" s="59">
        <f ca="1">Dashboard!D$8* Dashboard!$F$4+Dashboard!D$10*SQRT(Dashboard!$F$4) * _xlfn.NORM.S.INV(RAND())</f>
        <v>7.5103201408728296E-2</v>
      </c>
    </row>
    <row r="6181" spans="18:21" x14ac:dyDescent="0.2">
      <c r="R6181" s="49">
        <v>6179</v>
      </c>
      <c r="S6181" s="59">
        <f ca="1">Dashboard!B$8* Dashboard!$F$4+Dashboard!B$10*SQRT(Dashboard!$F$4) * _xlfn.NORM.S.INV(RAND())</f>
        <v>-4.162138960262389E-2</v>
      </c>
      <c r="T6181" s="59">
        <f ca="1">Dashboard!C$8* Dashboard!$F$4+Dashboard!C$10*SQRT(Dashboard!$F$4) * _xlfn.NORM.S.INV(RAND())</f>
        <v>2.6089491617654125E-2</v>
      </c>
      <c r="U6181" s="59">
        <f ca="1">Dashboard!D$8* Dashboard!$F$4+Dashboard!D$10*SQRT(Dashboard!$F$4) * _xlfn.NORM.S.INV(RAND())</f>
        <v>5.4472913709311413E-2</v>
      </c>
    </row>
    <row r="6182" spans="18:21" x14ac:dyDescent="0.2">
      <c r="R6182" s="49">
        <v>6180</v>
      </c>
      <c r="S6182" s="59">
        <f ca="1">Dashboard!B$8* Dashboard!$F$4+Dashboard!B$10*SQRT(Dashboard!$F$4) * _xlfn.NORM.S.INV(RAND())</f>
        <v>5.9814094728067833E-3</v>
      </c>
      <c r="T6182" s="59">
        <f ca="1">Dashboard!C$8* Dashboard!$F$4+Dashboard!C$10*SQRT(Dashboard!$F$4) * _xlfn.NORM.S.INV(RAND())</f>
        <v>-2.2698263638909276E-2</v>
      </c>
      <c r="U6182" s="59">
        <f ca="1">Dashboard!D$8* Dashboard!$F$4+Dashboard!D$10*SQRT(Dashboard!$F$4) * _xlfn.NORM.S.INV(RAND())</f>
        <v>-9.3072240214063275E-3</v>
      </c>
    </row>
    <row r="6183" spans="18:21" x14ac:dyDescent="0.2">
      <c r="R6183" s="49">
        <v>6181</v>
      </c>
      <c r="S6183" s="59">
        <f ca="1">Dashboard!B$8* Dashboard!$F$4+Dashboard!B$10*SQRT(Dashboard!$F$4) * _xlfn.NORM.S.INV(RAND())</f>
        <v>3.9898799043291116E-3</v>
      </c>
      <c r="T6183" s="59">
        <f ca="1">Dashboard!C$8* Dashboard!$F$4+Dashboard!C$10*SQRT(Dashboard!$F$4) * _xlfn.NORM.S.INV(RAND())</f>
        <v>1.7281255220405363E-2</v>
      </c>
      <c r="U6183" s="59">
        <f ca="1">Dashboard!D$8* Dashboard!$F$4+Dashboard!D$10*SQRT(Dashboard!$F$4) * _xlfn.NORM.S.INV(RAND())</f>
        <v>1.1313217420535043E-2</v>
      </c>
    </row>
    <row r="6184" spans="18:21" x14ac:dyDescent="0.2">
      <c r="R6184" s="49">
        <v>6182</v>
      </c>
      <c r="S6184" s="59">
        <f ca="1">Dashboard!B$8* Dashboard!$F$4+Dashboard!B$10*SQRT(Dashboard!$F$4) * _xlfn.NORM.S.INV(RAND())</f>
        <v>-3.6359045010917544E-2</v>
      </c>
      <c r="T6184" s="59">
        <f ca="1">Dashboard!C$8* Dashboard!$F$4+Dashboard!C$10*SQRT(Dashboard!$F$4) * _xlfn.NORM.S.INV(RAND())</f>
        <v>2.3618618049134611E-2</v>
      </c>
      <c r="U6184" s="59">
        <f ca="1">Dashboard!D$8* Dashboard!$F$4+Dashboard!D$10*SQRT(Dashboard!$F$4) * _xlfn.NORM.S.INV(RAND())</f>
        <v>7.3352720191876275E-3</v>
      </c>
    </row>
    <row r="6185" spans="18:21" x14ac:dyDescent="0.2">
      <c r="R6185" s="49">
        <v>6183</v>
      </c>
      <c r="S6185" s="59">
        <f ca="1">Dashboard!B$8* Dashboard!$F$4+Dashboard!B$10*SQRT(Dashboard!$F$4) * _xlfn.NORM.S.INV(RAND())</f>
        <v>8.7972660902636661E-3</v>
      </c>
      <c r="T6185" s="59">
        <f ca="1">Dashboard!C$8* Dashboard!$F$4+Dashboard!C$10*SQRT(Dashboard!$F$4) * _xlfn.NORM.S.INV(RAND())</f>
        <v>1.2320286485863492E-2</v>
      </c>
      <c r="U6185" s="59">
        <f ca="1">Dashboard!D$8* Dashboard!$F$4+Dashboard!D$10*SQRT(Dashboard!$F$4) * _xlfn.NORM.S.INV(RAND())</f>
        <v>-4.0296141846321951E-2</v>
      </c>
    </row>
    <row r="6186" spans="18:21" x14ac:dyDescent="0.2">
      <c r="R6186" s="49">
        <v>6184</v>
      </c>
      <c r="S6186" s="59">
        <f ca="1">Dashboard!B$8* Dashboard!$F$4+Dashboard!B$10*SQRT(Dashboard!$F$4) * _xlfn.NORM.S.INV(RAND())</f>
        <v>1.3675428601529517E-3</v>
      </c>
      <c r="T6186" s="59">
        <f ca="1">Dashboard!C$8* Dashboard!$F$4+Dashboard!C$10*SQRT(Dashboard!$F$4) * _xlfn.NORM.S.INV(RAND())</f>
        <v>-3.6264485126364238E-2</v>
      </c>
      <c r="U6186" s="59">
        <f ca="1">Dashboard!D$8* Dashboard!$F$4+Dashboard!D$10*SQRT(Dashboard!$F$4) * _xlfn.NORM.S.INV(RAND())</f>
        <v>2.2189260657359846E-2</v>
      </c>
    </row>
    <row r="6187" spans="18:21" x14ac:dyDescent="0.2">
      <c r="R6187" s="49">
        <v>6185</v>
      </c>
      <c r="S6187" s="59">
        <f ca="1">Dashboard!B$8* Dashboard!$F$4+Dashboard!B$10*SQRT(Dashboard!$F$4) * _xlfn.NORM.S.INV(RAND())</f>
        <v>-7.1147932348831475E-2</v>
      </c>
      <c r="T6187" s="59">
        <f ca="1">Dashboard!C$8* Dashboard!$F$4+Dashboard!C$10*SQRT(Dashboard!$F$4) * _xlfn.NORM.S.INV(RAND())</f>
        <v>2.862659706140367E-2</v>
      </c>
      <c r="U6187" s="59">
        <f ca="1">Dashboard!D$8* Dashboard!$F$4+Dashboard!D$10*SQRT(Dashboard!$F$4) * _xlfn.NORM.S.INV(RAND())</f>
        <v>-2.76028986864067E-2</v>
      </c>
    </row>
    <row r="6188" spans="18:21" x14ac:dyDescent="0.2">
      <c r="R6188" s="49">
        <v>6186</v>
      </c>
      <c r="S6188" s="59">
        <f ca="1">Dashboard!B$8* Dashboard!$F$4+Dashboard!B$10*SQRT(Dashboard!$F$4) * _xlfn.NORM.S.INV(RAND())</f>
        <v>-1.0943016210466755E-2</v>
      </c>
      <c r="T6188" s="59">
        <f ca="1">Dashboard!C$8* Dashboard!$F$4+Dashboard!C$10*SQRT(Dashboard!$F$4) * _xlfn.NORM.S.INV(RAND())</f>
        <v>-6.4898300385273319E-2</v>
      </c>
      <c r="U6188" s="59">
        <f ca="1">Dashboard!D$8* Dashboard!$F$4+Dashboard!D$10*SQRT(Dashboard!$F$4) * _xlfn.NORM.S.INV(RAND())</f>
        <v>-2.4882059655212504E-2</v>
      </c>
    </row>
    <row r="6189" spans="18:21" x14ac:dyDescent="0.2">
      <c r="R6189" s="49">
        <v>6187</v>
      </c>
      <c r="S6189" s="59">
        <f ca="1">Dashboard!B$8* Dashboard!$F$4+Dashboard!B$10*SQRT(Dashboard!$F$4) * _xlfn.NORM.S.INV(RAND())</f>
        <v>-4.0902607131583814E-2</v>
      </c>
      <c r="T6189" s="59">
        <f ca="1">Dashboard!C$8* Dashboard!$F$4+Dashboard!C$10*SQRT(Dashboard!$F$4) * _xlfn.NORM.S.INV(RAND())</f>
        <v>1.0350013286328716E-2</v>
      </c>
      <c r="U6189" s="59">
        <f ca="1">Dashboard!D$8* Dashboard!$F$4+Dashboard!D$10*SQRT(Dashboard!$F$4) * _xlfn.NORM.S.INV(RAND())</f>
        <v>3.6781079266545738E-2</v>
      </c>
    </row>
    <row r="6190" spans="18:21" x14ac:dyDescent="0.2">
      <c r="R6190" s="49">
        <v>6188</v>
      </c>
      <c r="S6190" s="59">
        <f ca="1">Dashboard!B$8* Dashboard!$F$4+Dashboard!B$10*SQRT(Dashboard!$F$4) * _xlfn.NORM.S.INV(RAND())</f>
        <v>-1.9200188572045803E-2</v>
      </c>
      <c r="T6190" s="59">
        <f ca="1">Dashboard!C$8* Dashboard!$F$4+Dashboard!C$10*SQRT(Dashboard!$F$4) * _xlfn.NORM.S.INV(RAND())</f>
        <v>1.2849466557262726E-2</v>
      </c>
      <c r="U6190" s="59">
        <f ca="1">Dashboard!D$8* Dashboard!$F$4+Dashboard!D$10*SQRT(Dashboard!$F$4) * _xlfn.NORM.S.INV(RAND())</f>
        <v>2.026632777987222E-3</v>
      </c>
    </row>
    <row r="6191" spans="18:21" x14ac:dyDescent="0.2">
      <c r="R6191" s="49">
        <v>6189</v>
      </c>
      <c r="S6191" s="59">
        <f ca="1">Dashboard!B$8* Dashboard!$F$4+Dashboard!B$10*SQRT(Dashboard!$F$4) * _xlfn.NORM.S.INV(RAND())</f>
        <v>1.4877073338271906E-2</v>
      </c>
      <c r="T6191" s="59">
        <f ca="1">Dashboard!C$8* Dashboard!$F$4+Dashboard!C$10*SQRT(Dashboard!$F$4) * _xlfn.NORM.S.INV(RAND())</f>
        <v>9.5340668419606998E-3</v>
      </c>
      <c r="U6191" s="59">
        <f ca="1">Dashboard!D$8* Dashboard!$F$4+Dashboard!D$10*SQRT(Dashboard!$F$4) * _xlfn.NORM.S.INV(RAND())</f>
        <v>-1.6249917184967648E-2</v>
      </c>
    </row>
    <row r="6192" spans="18:21" x14ac:dyDescent="0.2">
      <c r="R6192" s="49">
        <v>6190</v>
      </c>
      <c r="S6192" s="59">
        <f ca="1">Dashboard!B$8* Dashboard!$F$4+Dashboard!B$10*SQRT(Dashboard!$F$4) * _xlfn.NORM.S.INV(RAND())</f>
        <v>-3.6030808615832563E-2</v>
      </c>
      <c r="T6192" s="59">
        <f ca="1">Dashboard!C$8* Dashboard!$F$4+Dashboard!C$10*SQRT(Dashboard!$F$4) * _xlfn.NORM.S.INV(RAND())</f>
        <v>-3.7736949506092354E-2</v>
      </c>
      <c r="U6192" s="59">
        <f ca="1">Dashboard!D$8* Dashboard!$F$4+Dashboard!D$10*SQRT(Dashboard!$F$4) * _xlfn.NORM.S.INV(RAND())</f>
        <v>-1.2211862384301851E-2</v>
      </c>
    </row>
    <row r="6193" spans="18:21" x14ac:dyDescent="0.2">
      <c r="R6193" s="49">
        <v>6191</v>
      </c>
      <c r="S6193" s="59">
        <f ca="1">Dashboard!B$8* Dashboard!$F$4+Dashboard!B$10*SQRT(Dashboard!$F$4) * _xlfn.NORM.S.INV(RAND())</f>
        <v>3.6451775283399365E-2</v>
      </c>
      <c r="T6193" s="59">
        <f ca="1">Dashboard!C$8* Dashboard!$F$4+Dashboard!C$10*SQRT(Dashboard!$F$4) * _xlfn.NORM.S.INV(RAND())</f>
        <v>5.8293885349346104E-2</v>
      </c>
      <c r="U6193" s="59">
        <f ca="1">Dashboard!D$8* Dashboard!$F$4+Dashboard!D$10*SQRT(Dashboard!$F$4) * _xlfn.NORM.S.INV(RAND())</f>
        <v>-9.6697956014008546E-3</v>
      </c>
    </row>
    <row r="6194" spans="18:21" x14ac:dyDescent="0.2">
      <c r="R6194" s="49">
        <v>6192</v>
      </c>
      <c r="S6194" s="59">
        <f ca="1">Dashboard!B$8* Dashboard!$F$4+Dashboard!B$10*SQRT(Dashboard!$F$4) * _xlfn.NORM.S.INV(RAND())</f>
        <v>1.4728965251640564E-2</v>
      </c>
      <c r="T6194" s="59">
        <f ca="1">Dashboard!C$8* Dashboard!$F$4+Dashboard!C$10*SQRT(Dashboard!$F$4) * _xlfn.NORM.S.INV(RAND())</f>
        <v>3.8677221332304151E-3</v>
      </c>
      <c r="U6194" s="59">
        <f ca="1">Dashboard!D$8* Dashboard!$F$4+Dashboard!D$10*SQRT(Dashboard!$F$4) * _xlfn.NORM.S.INV(RAND())</f>
        <v>1.2184712310019984E-2</v>
      </c>
    </row>
    <row r="6195" spans="18:21" x14ac:dyDescent="0.2">
      <c r="R6195" s="49">
        <v>6193</v>
      </c>
      <c r="S6195" s="59">
        <f ca="1">Dashboard!B$8* Dashboard!$F$4+Dashboard!B$10*SQRT(Dashboard!$F$4) * _xlfn.NORM.S.INV(RAND())</f>
        <v>-2.127379129436395E-2</v>
      </c>
      <c r="T6195" s="59">
        <f ca="1">Dashboard!C$8* Dashboard!$F$4+Dashboard!C$10*SQRT(Dashboard!$F$4) * _xlfn.NORM.S.INV(RAND())</f>
        <v>-2.5097138171146491E-2</v>
      </c>
      <c r="U6195" s="59">
        <f ca="1">Dashboard!D$8* Dashboard!$F$4+Dashboard!D$10*SQRT(Dashboard!$F$4) * _xlfn.NORM.S.INV(RAND())</f>
        <v>-4.8525654905241598E-2</v>
      </c>
    </row>
    <row r="6196" spans="18:21" x14ac:dyDescent="0.2">
      <c r="R6196" s="49">
        <v>6194</v>
      </c>
      <c r="S6196" s="59">
        <f ca="1">Dashboard!B$8* Dashboard!$F$4+Dashboard!B$10*SQRT(Dashboard!$F$4) * _xlfn.NORM.S.INV(RAND())</f>
        <v>-1.6112490409446654E-2</v>
      </c>
      <c r="T6196" s="59">
        <f ca="1">Dashboard!C$8* Dashboard!$F$4+Dashboard!C$10*SQRT(Dashboard!$F$4) * _xlfn.NORM.S.INV(RAND())</f>
        <v>-3.6692637668461439E-2</v>
      </c>
      <c r="U6196" s="59">
        <f ca="1">Dashboard!D$8* Dashboard!$F$4+Dashboard!D$10*SQRT(Dashboard!$F$4) * _xlfn.NORM.S.INV(RAND())</f>
        <v>3.620363906251859E-2</v>
      </c>
    </row>
    <row r="6197" spans="18:21" x14ac:dyDescent="0.2">
      <c r="R6197" s="49">
        <v>6195</v>
      </c>
      <c r="S6197" s="59">
        <f ca="1">Dashboard!B$8* Dashboard!$F$4+Dashboard!B$10*SQRT(Dashboard!$F$4) * _xlfn.NORM.S.INV(RAND())</f>
        <v>-2.5377664075164556E-2</v>
      </c>
      <c r="T6197" s="59">
        <f ca="1">Dashboard!C$8* Dashboard!$F$4+Dashboard!C$10*SQRT(Dashboard!$F$4) * _xlfn.NORM.S.INV(RAND())</f>
        <v>-3.3169637296745708E-3</v>
      </c>
      <c r="U6197" s="59">
        <f ca="1">Dashboard!D$8* Dashboard!$F$4+Dashboard!D$10*SQRT(Dashboard!$F$4) * _xlfn.NORM.S.INV(RAND())</f>
        <v>-5.583683131442136E-2</v>
      </c>
    </row>
    <row r="6198" spans="18:21" x14ac:dyDescent="0.2">
      <c r="R6198" s="49">
        <v>6196</v>
      </c>
      <c r="S6198" s="59">
        <f ca="1">Dashboard!B$8* Dashboard!$F$4+Dashboard!B$10*SQRT(Dashboard!$F$4) * _xlfn.NORM.S.INV(RAND())</f>
        <v>9.6153878124911833E-3</v>
      </c>
      <c r="T6198" s="59">
        <f ca="1">Dashboard!C$8* Dashboard!$F$4+Dashboard!C$10*SQRT(Dashboard!$F$4) * _xlfn.NORM.S.INV(RAND())</f>
        <v>9.8295912507063501E-3</v>
      </c>
      <c r="U6198" s="59">
        <f ca="1">Dashboard!D$8* Dashboard!$F$4+Dashboard!D$10*SQRT(Dashboard!$F$4) * _xlfn.NORM.S.INV(RAND())</f>
        <v>-2.1232671968941502E-2</v>
      </c>
    </row>
    <row r="6199" spans="18:21" x14ac:dyDescent="0.2">
      <c r="R6199" s="49">
        <v>6197</v>
      </c>
      <c r="S6199" s="59">
        <f ca="1">Dashboard!B$8* Dashboard!$F$4+Dashboard!B$10*SQRT(Dashboard!$F$4) * _xlfn.NORM.S.INV(RAND())</f>
        <v>2.0197253953204368E-2</v>
      </c>
      <c r="T6199" s="59">
        <f ca="1">Dashboard!C$8* Dashboard!$F$4+Dashboard!C$10*SQRT(Dashboard!$F$4) * _xlfn.NORM.S.INV(RAND())</f>
        <v>-1.4949097537917785E-2</v>
      </c>
      <c r="U6199" s="59">
        <f ca="1">Dashboard!D$8* Dashboard!$F$4+Dashboard!D$10*SQRT(Dashboard!$F$4) * _xlfn.NORM.S.INV(RAND())</f>
        <v>5.7949316947703215E-2</v>
      </c>
    </row>
    <row r="6200" spans="18:21" x14ac:dyDescent="0.2">
      <c r="R6200" s="49">
        <v>6198</v>
      </c>
      <c r="S6200" s="59">
        <f ca="1">Dashboard!B$8* Dashboard!$F$4+Dashboard!B$10*SQRT(Dashboard!$F$4) * _xlfn.NORM.S.INV(RAND())</f>
        <v>-5.6495409175726444E-2</v>
      </c>
      <c r="T6200" s="59">
        <f ca="1">Dashboard!C$8* Dashboard!$F$4+Dashboard!C$10*SQRT(Dashboard!$F$4) * _xlfn.NORM.S.INV(RAND())</f>
        <v>2.2866846242531116E-2</v>
      </c>
      <c r="U6200" s="59">
        <f ca="1">Dashboard!D$8* Dashboard!$F$4+Dashboard!D$10*SQRT(Dashboard!$F$4) * _xlfn.NORM.S.INV(RAND())</f>
        <v>3.9684872816251167E-2</v>
      </c>
    </row>
    <row r="6201" spans="18:21" x14ac:dyDescent="0.2">
      <c r="R6201" s="49">
        <v>6199</v>
      </c>
      <c r="S6201" s="59">
        <f ca="1">Dashboard!B$8* Dashboard!$F$4+Dashboard!B$10*SQRT(Dashboard!$F$4) * _xlfn.NORM.S.INV(RAND())</f>
        <v>6.2055438888567072E-2</v>
      </c>
      <c r="T6201" s="59">
        <f ca="1">Dashboard!C$8* Dashboard!$F$4+Dashboard!C$10*SQRT(Dashboard!$F$4) * _xlfn.NORM.S.INV(RAND())</f>
        <v>9.3972528581360674E-3</v>
      </c>
      <c r="U6201" s="59">
        <f ca="1">Dashboard!D$8* Dashboard!$F$4+Dashboard!D$10*SQRT(Dashboard!$F$4) * _xlfn.NORM.S.INV(RAND())</f>
        <v>-2.2046336938982558E-3</v>
      </c>
    </row>
    <row r="6202" spans="18:21" x14ac:dyDescent="0.2">
      <c r="R6202" s="49">
        <v>6200</v>
      </c>
      <c r="S6202" s="59">
        <f ca="1">Dashboard!B$8* Dashboard!$F$4+Dashboard!B$10*SQRT(Dashboard!$F$4) * _xlfn.NORM.S.INV(RAND())</f>
        <v>7.4659235488286745E-3</v>
      </c>
      <c r="T6202" s="59">
        <f ca="1">Dashboard!C$8* Dashboard!$F$4+Dashboard!C$10*SQRT(Dashboard!$F$4) * _xlfn.NORM.S.INV(RAND())</f>
        <v>-8.0823697060353854E-3</v>
      </c>
      <c r="U6202" s="59">
        <f ca="1">Dashboard!D$8* Dashboard!$F$4+Dashboard!D$10*SQRT(Dashboard!$F$4) * _xlfn.NORM.S.INV(RAND())</f>
        <v>-4.1598517132634982E-4</v>
      </c>
    </row>
    <row r="6203" spans="18:21" x14ac:dyDescent="0.2">
      <c r="R6203" s="49">
        <v>6201</v>
      </c>
      <c r="S6203" s="59">
        <f ca="1">Dashboard!B$8* Dashboard!$F$4+Dashboard!B$10*SQRT(Dashboard!$F$4) * _xlfn.NORM.S.INV(RAND())</f>
        <v>-2.8130878791807916E-2</v>
      </c>
      <c r="T6203" s="59">
        <f ca="1">Dashboard!C$8* Dashboard!$F$4+Dashboard!C$10*SQRT(Dashboard!$F$4) * _xlfn.NORM.S.INV(RAND())</f>
        <v>4.4130047962615652E-2</v>
      </c>
      <c r="U6203" s="59">
        <f ca="1">Dashboard!D$8* Dashboard!$F$4+Dashboard!D$10*SQRT(Dashboard!$F$4) * _xlfn.NORM.S.INV(RAND())</f>
        <v>2.0081875381841894E-2</v>
      </c>
    </row>
    <row r="6204" spans="18:21" x14ac:dyDescent="0.2">
      <c r="R6204" s="49">
        <v>6202</v>
      </c>
      <c r="S6204" s="59">
        <f ca="1">Dashboard!B$8* Dashboard!$F$4+Dashboard!B$10*SQRT(Dashboard!$F$4) * _xlfn.NORM.S.INV(RAND())</f>
        <v>5.5548777867699906E-2</v>
      </c>
      <c r="T6204" s="59">
        <f ca="1">Dashboard!C$8* Dashboard!$F$4+Dashboard!C$10*SQRT(Dashboard!$F$4) * _xlfn.NORM.S.INV(RAND())</f>
        <v>4.6384125082125929E-2</v>
      </c>
      <c r="U6204" s="59">
        <f ca="1">Dashboard!D$8* Dashboard!$F$4+Dashboard!D$10*SQRT(Dashboard!$F$4) * _xlfn.NORM.S.INV(RAND())</f>
        <v>-1.7157496743702813E-3</v>
      </c>
    </row>
    <row r="6205" spans="18:21" x14ac:dyDescent="0.2">
      <c r="R6205" s="49">
        <v>6203</v>
      </c>
      <c r="S6205" s="59">
        <f ca="1">Dashboard!B$8* Dashboard!$F$4+Dashboard!B$10*SQRT(Dashboard!$F$4) * _xlfn.NORM.S.INV(RAND())</f>
        <v>1.0342436109584647E-2</v>
      </c>
      <c r="T6205" s="59">
        <f ca="1">Dashboard!C$8* Dashboard!$F$4+Dashboard!C$10*SQRT(Dashboard!$F$4) * _xlfn.NORM.S.INV(RAND())</f>
        <v>-3.9515681252032288E-2</v>
      </c>
      <c r="U6205" s="59">
        <f ca="1">Dashboard!D$8* Dashboard!$F$4+Dashboard!D$10*SQRT(Dashboard!$F$4) * _xlfn.NORM.S.INV(RAND())</f>
        <v>-1.660439667506183E-2</v>
      </c>
    </row>
    <row r="6206" spans="18:21" x14ac:dyDescent="0.2">
      <c r="R6206" s="49">
        <v>6204</v>
      </c>
      <c r="S6206" s="59">
        <f ca="1">Dashboard!B$8* Dashboard!$F$4+Dashboard!B$10*SQRT(Dashboard!$F$4) * _xlfn.NORM.S.INV(RAND())</f>
        <v>2.1413414972599482E-3</v>
      </c>
      <c r="T6206" s="59">
        <f ca="1">Dashboard!C$8* Dashboard!$F$4+Dashboard!C$10*SQRT(Dashboard!$F$4) * _xlfn.NORM.S.INV(RAND())</f>
        <v>1.0739296446935567E-2</v>
      </c>
      <c r="U6206" s="59">
        <f ca="1">Dashboard!D$8* Dashboard!$F$4+Dashboard!D$10*SQRT(Dashboard!$F$4) * _xlfn.NORM.S.INV(RAND())</f>
        <v>-1.5107886390706048E-2</v>
      </c>
    </row>
    <row r="6207" spans="18:21" x14ac:dyDescent="0.2">
      <c r="R6207" s="49">
        <v>6205</v>
      </c>
      <c r="S6207" s="59">
        <f ca="1">Dashboard!B$8* Dashboard!$F$4+Dashboard!B$10*SQRT(Dashboard!$F$4) * _xlfn.NORM.S.INV(RAND())</f>
        <v>-4.1721262811529207E-2</v>
      </c>
      <c r="T6207" s="59">
        <f ca="1">Dashboard!C$8* Dashboard!$F$4+Dashboard!C$10*SQRT(Dashboard!$F$4) * _xlfn.NORM.S.INV(RAND())</f>
        <v>2.7937784183830163E-2</v>
      </c>
      <c r="U6207" s="59">
        <f ca="1">Dashboard!D$8* Dashboard!$F$4+Dashboard!D$10*SQRT(Dashboard!$F$4) * _xlfn.NORM.S.INV(RAND())</f>
        <v>1.8243867249113727E-2</v>
      </c>
    </row>
    <row r="6208" spans="18:21" x14ac:dyDescent="0.2">
      <c r="R6208" s="49">
        <v>6206</v>
      </c>
      <c r="S6208" s="59">
        <f ca="1">Dashboard!B$8* Dashboard!$F$4+Dashboard!B$10*SQRT(Dashboard!$F$4) * _xlfn.NORM.S.INV(RAND())</f>
        <v>-4.8483157259169588E-2</v>
      </c>
      <c r="T6208" s="59">
        <f ca="1">Dashboard!C$8* Dashboard!$F$4+Dashboard!C$10*SQRT(Dashboard!$F$4) * _xlfn.NORM.S.INV(RAND())</f>
        <v>-6.4315268685475824E-2</v>
      </c>
      <c r="U6208" s="59">
        <f ca="1">Dashboard!D$8* Dashboard!$F$4+Dashboard!D$10*SQRT(Dashboard!$F$4) * _xlfn.NORM.S.INV(RAND())</f>
        <v>3.2847063798975833E-2</v>
      </c>
    </row>
    <row r="6209" spans="18:21" x14ac:dyDescent="0.2">
      <c r="R6209" s="49">
        <v>6207</v>
      </c>
      <c r="S6209" s="59">
        <f ca="1">Dashboard!B$8* Dashboard!$F$4+Dashboard!B$10*SQRT(Dashboard!$F$4) * _xlfn.NORM.S.INV(RAND())</f>
        <v>-3.9836013380699434E-2</v>
      </c>
      <c r="T6209" s="59">
        <f ca="1">Dashboard!C$8* Dashboard!$F$4+Dashboard!C$10*SQRT(Dashboard!$F$4) * _xlfn.NORM.S.INV(RAND())</f>
        <v>1.939819304082642E-2</v>
      </c>
      <c r="U6209" s="59">
        <f ca="1">Dashboard!D$8* Dashboard!$F$4+Dashboard!D$10*SQRT(Dashboard!$F$4) * _xlfn.NORM.S.INV(RAND())</f>
        <v>-5.9607789456101266E-3</v>
      </c>
    </row>
    <row r="6210" spans="18:21" x14ac:dyDescent="0.2">
      <c r="R6210" s="49">
        <v>6208</v>
      </c>
      <c r="S6210" s="59">
        <f ca="1">Dashboard!B$8* Dashboard!$F$4+Dashboard!B$10*SQRT(Dashboard!$F$4) * _xlfn.NORM.S.INV(RAND())</f>
        <v>3.2365950671301678E-2</v>
      </c>
      <c r="T6210" s="59">
        <f ca="1">Dashboard!C$8* Dashboard!$F$4+Dashboard!C$10*SQRT(Dashboard!$F$4) * _xlfn.NORM.S.INV(RAND())</f>
        <v>5.3859343100920193E-2</v>
      </c>
      <c r="U6210" s="59">
        <f ca="1">Dashboard!D$8* Dashboard!$F$4+Dashboard!D$10*SQRT(Dashboard!$F$4) * _xlfn.NORM.S.INV(RAND())</f>
        <v>-4.2684840126104608E-3</v>
      </c>
    </row>
    <row r="6211" spans="18:21" x14ac:dyDescent="0.2">
      <c r="R6211" s="49">
        <v>6209</v>
      </c>
      <c r="S6211" s="59">
        <f ca="1">Dashboard!B$8* Dashboard!$F$4+Dashboard!B$10*SQRT(Dashboard!$F$4) * _xlfn.NORM.S.INV(RAND())</f>
        <v>1.3819695074478323E-3</v>
      </c>
      <c r="T6211" s="59">
        <f ca="1">Dashboard!C$8* Dashboard!$F$4+Dashboard!C$10*SQRT(Dashboard!$F$4) * _xlfn.NORM.S.INV(RAND())</f>
        <v>1.679385922823827E-2</v>
      </c>
      <c r="U6211" s="59">
        <f ca="1">Dashboard!D$8* Dashboard!$F$4+Dashboard!D$10*SQRT(Dashboard!$F$4) * _xlfn.NORM.S.INV(RAND())</f>
        <v>5.1154288827615069E-6</v>
      </c>
    </row>
    <row r="6212" spans="18:21" x14ac:dyDescent="0.2">
      <c r="R6212" s="49">
        <v>6210</v>
      </c>
      <c r="S6212" s="59">
        <f ca="1">Dashboard!B$8* Dashboard!$F$4+Dashboard!B$10*SQRT(Dashboard!$F$4) * _xlfn.NORM.S.INV(RAND())</f>
        <v>4.0173137674370897E-2</v>
      </c>
      <c r="T6212" s="59">
        <f ca="1">Dashboard!C$8* Dashboard!$F$4+Dashboard!C$10*SQRT(Dashboard!$F$4) * _xlfn.NORM.S.INV(RAND())</f>
        <v>6.678175220122394E-3</v>
      </c>
      <c r="U6212" s="59">
        <f ca="1">Dashboard!D$8* Dashboard!$F$4+Dashboard!D$10*SQRT(Dashboard!$F$4) * _xlfn.NORM.S.INV(RAND())</f>
        <v>-2.6535004051783259E-2</v>
      </c>
    </row>
    <row r="6213" spans="18:21" x14ac:dyDescent="0.2">
      <c r="R6213" s="49">
        <v>6211</v>
      </c>
      <c r="S6213" s="59">
        <f ca="1">Dashboard!B$8* Dashboard!$F$4+Dashboard!B$10*SQRT(Dashboard!$F$4) * _xlfn.NORM.S.INV(RAND())</f>
        <v>3.4200480910137041E-2</v>
      </c>
      <c r="T6213" s="59">
        <f ca="1">Dashboard!C$8* Dashboard!$F$4+Dashboard!C$10*SQRT(Dashboard!$F$4) * _xlfn.NORM.S.INV(RAND())</f>
        <v>4.5000070353760274E-2</v>
      </c>
      <c r="U6213" s="59">
        <f ca="1">Dashboard!D$8* Dashboard!$F$4+Dashboard!D$10*SQRT(Dashboard!$F$4) * _xlfn.NORM.S.INV(RAND())</f>
        <v>8.9026206378884261E-3</v>
      </c>
    </row>
    <row r="6214" spans="18:21" x14ac:dyDescent="0.2">
      <c r="R6214" s="49">
        <v>6212</v>
      </c>
      <c r="S6214" s="59">
        <f ca="1">Dashboard!B$8* Dashboard!$F$4+Dashboard!B$10*SQRT(Dashboard!$F$4) * _xlfn.NORM.S.INV(RAND())</f>
        <v>1.7766683053017845E-2</v>
      </c>
      <c r="T6214" s="59">
        <f ca="1">Dashboard!C$8* Dashboard!$F$4+Dashboard!C$10*SQRT(Dashboard!$F$4) * _xlfn.NORM.S.INV(RAND())</f>
        <v>-1.2020436947168398E-2</v>
      </c>
      <c r="U6214" s="59">
        <f ca="1">Dashboard!D$8* Dashboard!$F$4+Dashboard!D$10*SQRT(Dashboard!$F$4) * _xlfn.NORM.S.INV(RAND())</f>
        <v>1.5722727950843177E-2</v>
      </c>
    </row>
    <row r="6215" spans="18:21" x14ac:dyDescent="0.2">
      <c r="R6215" s="49">
        <v>6213</v>
      </c>
      <c r="S6215" s="59">
        <f ca="1">Dashboard!B$8* Dashboard!$F$4+Dashboard!B$10*SQRT(Dashboard!$F$4) * _xlfn.NORM.S.INV(RAND())</f>
        <v>-1.8747723487981333E-2</v>
      </c>
      <c r="T6215" s="59">
        <f ca="1">Dashboard!C$8* Dashboard!$F$4+Dashboard!C$10*SQRT(Dashboard!$F$4) * _xlfn.NORM.S.INV(RAND())</f>
        <v>-4.0023820743221639E-2</v>
      </c>
      <c r="U6215" s="59">
        <f ca="1">Dashboard!D$8* Dashboard!$F$4+Dashboard!D$10*SQRT(Dashboard!$F$4) * _xlfn.NORM.S.INV(RAND())</f>
        <v>-2.7829261479203973E-2</v>
      </c>
    </row>
    <row r="6216" spans="18:21" x14ac:dyDescent="0.2">
      <c r="R6216" s="49">
        <v>6214</v>
      </c>
      <c r="S6216" s="59">
        <f ca="1">Dashboard!B$8* Dashboard!$F$4+Dashboard!B$10*SQRT(Dashboard!$F$4) * _xlfn.NORM.S.INV(RAND())</f>
        <v>-2.3171376856635735E-2</v>
      </c>
      <c r="T6216" s="59">
        <f ca="1">Dashboard!C$8* Dashboard!$F$4+Dashboard!C$10*SQRT(Dashboard!$F$4) * _xlfn.NORM.S.INV(RAND())</f>
        <v>-3.3628281023338211E-3</v>
      </c>
      <c r="U6216" s="59">
        <f ca="1">Dashboard!D$8* Dashboard!$F$4+Dashboard!D$10*SQRT(Dashboard!$F$4) * _xlfn.NORM.S.INV(RAND())</f>
        <v>-4.4406268965768755E-2</v>
      </c>
    </row>
    <row r="6217" spans="18:21" x14ac:dyDescent="0.2">
      <c r="R6217" s="49">
        <v>6215</v>
      </c>
      <c r="S6217" s="59">
        <f ca="1">Dashboard!B$8* Dashboard!$F$4+Dashboard!B$10*SQRT(Dashboard!$F$4) * _xlfn.NORM.S.INV(RAND())</f>
        <v>5.0671929256639991E-2</v>
      </c>
      <c r="T6217" s="59">
        <f ca="1">Dashboard!C$8* Dashboard!$F$4+Dashboard!C$10*SQRT(Dashboard!$F$4) * _xlfn.NORM.S.INV(RAND())</f>
        <v>-5.7659992414094259E-2</v>
      </c>
      <c r="U6217" s="59">
        <f ca="1">Dashboard!D$8* Dashboard!$F$4+Dashboard!D$10*SQRT(Dashboard!$F$4) * _xlfn.NORM.S.INV(RAND())</f>
        <v>-2.1626069862499552E-2</v>
      </c>
    </row>
    <row r="6218" spans="18:21" x14ac:dyDescent="0.2">
      <c r="R6218" s="49">
        <v>6216</v>
      </c>
      <c r="S6218" s="59">
        <f ca="1">Dashboard!B$8* Dashboard!$F$4+Dashboard!B$10*SQRT(Dashboard!$F$4) * _xlfn.NORM.S.INV(RAND())</f>
        <v>3.8422021320492904E-2</v>
      </c>
      <c r="T6218" s="59">
        <f ca="1">Dashboard!C$8* Dashboard!$F$4+Dashboard!C$10*SQRT(Dashboard!$F$4) * _xlfn.NORM.S.INV(RAND())</f>
        <v>3.8496896505174273E-2</v>
      </c>
      <c r="U6218" s="59">
        <f ca="1">Dashboard!D$8* Dashboard!$F$4+Dashboard!D$10*SQRT(Dashboard!$F$4) * _xlfn.NORM.S.INV(RAND())</f>
        <v>3.5433519300640808E-2</v>
      </c>
    </row>
    <row r="6219" spans="18:21" x14ac:dyDescent="0.2">
      <c r="R6219" s="49">
        <v>6217</v>
      </c>
      <c r="S6219" s="59">
        <f ca="1">Dashboard!B$8* Dashboard!$F$4+Dashboard!B$10*SQRT(Dashboard!$F$4) * _xlfn.NORM.S.INV(RAND())</f>
        <v>3.8138823510752758E-3</v>
      </c>
      <c r="T6219" s="59">
        <f ca="1">Dashboard!C$8* Dashboard!$F$4+Dashboard!C$10*SQRT(Dashboard!$F$4) * _xlfn.NORM.S.INV(RAND())</f>
        <v>8.4468820197039669E-3</v>
      </c>
      <c r="U6219" s="59">
        <f ca="1">Dashboard!D$8* Dashboard!$F$4+Dashboard!D$10*SQRT(Dashboard!$F$4) * _xlfn.NORM.S.INV(RAND())</f>
        <v>-1.544206585034864E-2</v>
      </c>
    </row>
    <row r="6220" spans="18:21" x14ac:dyDescent="0.2">
      <c r="R6220" s="49">
        <v>6218</v>
      </c>
      <c r="S6220" s="59">
        <f ca="1">Dashboard!B$8* Dashboard!$F$4+Dashboard!B$10*SQRT(Dashboard!$F$4) * _xlfn.NORM.S.INV(RAND())</f>
        <v>-8.8591790408777751E-3</v>
      </c>
      <c r="T6220" s="59">
        <f ca="1">Dashboard!C$8* Dashboard!$F$4+Dashboard!C$10*SQRT(Dashboard!$F$4) * _xlfn.NORM.S.INV(RAND())</f>
        <v>-1.0453928007485333E-2</v>
      </c>
      <c r="U6220" s="59">
        <f ca="1">Dashboard!D$8* Dashboard!$F$4+Dashboard!D$10*SQRT(Dashboard!$F$4) * _xlfn.NORM.S.INV(RAND())</f>
        <v>-2.2484894765200741E-2</v>
      </c>
    </row>
    <row r="6221" spans="18:21" x14ac:dyDescent="0.2">
      <c r="R6221" s="49">
        <v>6219</v>
      </c>
      <c r="S6221" s="59">
        <f ca="1">Dashboard!B$8* Dashboard!$F$4+Dashboard!B$10*SQRT(Dashboard!$F$4) * _xlfn.NORM.S.INV(RAND())</f>
        <v>-4.8631796331903661E-3</v>
      </c>
      <c r="T6221" s="59">
        <f ca="1">Dashboard!C$8* Dashboard!$F$4+Dashboard!C$10*SQRT(Dashboard!$F$4) * _xlfn.NORM.S.INV(RAND())</f>
        <v>6.8210881589447613E-3</v>
      </c>
      <c r="U6221" s="59">
        <f ca="1">Dashboard!D$8* Dashboard!$F$4+Dashboard!D$10*SQRT(Dashboard!$F$4) * _xlfn.NORM.S.INV(RAND())</f>
        <v>-2.368333140062295E-2</v>
      </c>
    </row>
    <row r="6222" spans="18:21" x14ac:dyDescent="0.2">
      <c r="R6222" s="49">
        <v>6220</v>
      </c>
      <c r="S6222" s="59">
        <f ca="1">Dashboard!B$8* Dashboard!$F$4+Dashboard!B$10*SQRT(Dashboard!$F$4) * _xlfn.NORM.S.INV(RAND())</f>
        <v>-1.10776514912744E-2</v>
      </c>
      <c r="T6222" s="59">
        <f ca="1">Dashboard!C$8* Dashboard!$F$4+Dashboard!C$10*SQRT(Dashboard!$F$4) * _xlfn.NORM.S.INV(RAND())</f>
        <v>-2.0361663855783297E-2</v>
      </c>
      <c r="U6222" s="59">
        <f ca="1">Dashboard!D$8* Dashboard!$F$4+Dashboard!D$10*SQRT(Dashboard!$F$4) * _xlfn.NORM.S.INV(RAND())</f>
        <v>-1.0101331095320276E-2</v>
      </c>
    </row>
    <row r="6223" spans="18:21" x14ac:dyDescent="0.2">
      <c r="R6223" s="49">
        <v>6221</v>
      </c>
      <c r="S6223" s="59">
        <f ca="1">Dashboard!B$8* Dashboard!$F$4+Dashboard!B$10*SQRT(Dashboard!$F$4) * _xlfn.NORM.S.INV(RAND())</f>
        <v>-3.7502563660984763E-2</v>
      </c>
      <c r="T6223" s="59">
        <f ca="1">Dashboard!C$8* Dashboard!$F$4+Dashboard!C$10*SQRT(Dashboard!$F$4) * _xlfn.NORM.S.INV(RAND())</f>
        <v>-1.8169205850821289E-2</v>
      </c>
      <c r="U6223" s="59">
        <f ca="1">Dashboard!D$8* Dashboard!$F$4+Dashboard!D$10*SQRT(Dashboard!$F$4) * _xlfn.NORM.S.INV(RAND())</f>
        <v>5.3908860017635668E-3</v>
      </c>
    </row>
    <row r="6224" spans="18:21" x14ac:dyDescent="0.2">
      <c r="R6224" s="49">
        <v>6222</v>
      </c>
      <c r="S6224" s="59">
        <f ca="1">Dashboard!B$8* Dashboard!$F$4+Dashboard!B$10*SQRT(Dashboard!$F$4) * _xlfn.NORM.S.INV(RAND())</f>
        <v>-7.8897045530304036E-3</v>
      </c>
      <c r="T6224" s="59">
        <f ca="1">Dashboard!C$8* Dashboard!$F$4+Dashboard!C$10*SQRT(Dashboard!$F$4) * _xlfn.NORM.S.INV(RAND())</f>
        <v>5.3088652249419964E-2</v>
      </c>
      <c r="U6224" s="59">
        <f ca="1">Dashboard!D$8* Dashboard!$F$4+Dashboard!D$10*SQRT(Dashboard!$F$4) * _xlfn.NORM.S.INV(RAND())</f>
        <v>-5.1772932036074505E-2</v>
      </c>
    </row>
    <row r="6225" spans="18:21" x14ac:dyDescent="0.2">
      <c r="R6225" s="49">
        <v>6223</v>
      </c>
      <c r="S6225" s="59">
        <f ca="1">Dashboard!B$8* Dashboard!$F$4+Dashboard!B$10*SQRT(Dashboard!$F$4) * _xlfn.NORM.S.INV(RAND())</f>
        <v>3.5170154867798634E-2</v>
      </c>
      <c r="T6225" s="59">
        <f ca="1">Dashboard!C$8* Dashboard!$F$4+Dashboard!C$10*SQRT(Dashboard!$F$4) * _xlfn.NORM.S.INV(RAND())</f>
        <v>-5.4908946368571902E-2</v>
      </c>
      <c r="U6225" s="59">
        <f ca="1">Dashboard!D$8* Dashboard!$F$4+Dashboard!D$10*SQRT(Dashboard!$F$4) * _xlfn.NORM.S.INV(RAND())</f>
        <v>-5.3801219810692405E-3</v>
      </c>
    </row>
    <row r="6226" spans="18:21" x14ac:dyDescent="0.2">
      <c r="R6226" s="49">
        <v>6224</v>
      </c>
      <c r="S6226" s="59">
        <f ca="1">Dashboard!B$8* Dashboard!$F$4+Dashboard!B$10*SQRT(Dashboard!$F$4) * _xlfn.NORM.S.INV(RAND())</f>
        <v>-3.0332094933715782E-2</v>
      </c>
      <c r="T6226" s="59">
        <f ca="1">Dashboard!C$8* Dashboard!$F$4+Dashboard!C$10*SQRT(Dashboard!$F$4) * _xlfn.NORM.S.INV(RAND())</f>
        <v>7.2556113748277005E-3</v>
      </c>
      <c r="U6226" s="59">
        <f ca="1">Dashboard!D$8* Dashboard!$F$4+Dashboard!D$10*SQRT(Dashboard!$F$4) * _xlfn.NORM.S.INV(RAND())</f>
        <v>-1.454336960560648E-2</v>
      </c>
    </row>
    <row r="6227" spans="18:21" x14ac:dyDescent="0.2">
      <c r="R6227" s="49">
        <v>6225</v>
      </c>
      <c r="S6227" s="59">
        <f ca="1">Dashboard!B$8* Dashboard!$F$4+Dashboard!B$10*SQRT(Dashboard!$F$4) * _xlfn.NORM.S.INV(RAND())</f>
        <v>3.972409899801177E-2</v>
      </c>
      <c r="T6227" s="59">
        <f ca="1">Dashboard!C$8* Dashboard!$F$4+Dashboard!C$10*SQRT(Dashboard!$F$4) * _xlfn.NORM.S.INV(RAND())</f>
        <v>2.6189032555339716E-2</v>
      </c>
      <c r="U6227" s="59">
        <f ca="1">Dashboard!D$8* Dashboard!$F$4+Dashboard!D$10*SQRT(Dashboard!$F$4) * _xlfn.NORM.S.INV(RAND())</f>
        <v>1.221136072310012E-3</v>
      </c>
    </row>
    <row r="6228" spans="18:21" x14ac:dyDescent="0.2">
      <c r="R6228" s="49">
        <v>6226</v>
      </c>
      <c r="S6228" s="59">
        <f ca="1">Dashboard!B$8* Dashboard!$F$4+Dashboard!B$10*SQRT(Dashboard!$F$4) * _xlfn.NORM.S.INV(RAND())</f>
        <v>-1.6138979511000726E-2</v>
      </c>
      <c r="T6228" s="59">
        <f ca="1">Dashboard!C$8* Dashboard!$F$4+Dashboard!C$10*SQRT(Dashboard!$F$4) * _xlfn.NORM.S.INV(RAND())</f>
        <v>-5.0377184760316544E-2</v>
      </c>
      <c r="U6228" s="59">
        <f ca="1">Dashboard!D$8* Dashboard!$F$4+Dashboard!D$10*SQRT(Dashboard!$F$4) * _xlfn.NORM.S.INV(RAND())</f>
        <v>3.7448847495312541E-2</v>
      </c>
    </row>
    <row r="6229" spans="18:21" x14ac:dyDescent="0.2">
      <c r="R6229" s="49">
        <v>6227</v>
      </c>
      <c r="S6229" s="59">
        <f ca="1">Dashboard!B$8* Dashboard!$F$4+Dashboard!B$10*SQRT(Dashboard!$F$4) * _xlfn.NORM.S.INV(RAND())</f>
        <v>4.0837940559821623E-2</v>
      </c>
      <c r="T6229" s="59">
        <f ca="1">Dashboard!C$8* Dashboard!$F$4+Dashboard!C$10*SQRT(Dashboard!$F$4) * _xlfn.NORM.S.INV(RAND())</f>
        <v>-4.9543204814024466E-2</v>
      </c>
      <c r="U6229" s="59">
        <f ca="1">Dashboard!D$8* Dashboard!$F$4+Dashboard!D$10*SQRT(Dashboard!$F$4) * _xlfn.NORM.S.INV(RAND())</f>
        <v>2.8360046093718397E-2</v>
      </c>
    </row>
    <row r="6230" spans="18:21" x14ac:dyDescent="0.2">
      <c r="R6230" s="49">
        <v>6228</v>
      </c>
      <c r="S6230" s="59">
        <f ca="1">Dashboard!B$8* Dashboard!$F$4+Dashboard!B$10*SQRT(Dashboard!$F$4) * _xlfn.NORM.S.INV(RAND())</f>
        <v>2.8194838463831327E-2</v>
      </c>
      <c r="T6230" s="59">
        <f ca="1">Dashboard!C$8* Dashboard!$F$4+Dashboard!C$10*SQRT(Dashboard!$F$4) * _xlfn.NORM.S.INV(RAND())</f>
        <v>-2.0895385611088297E-2</v>
      </c>
      <c r="U6230" s="59">
        <f ca="1">Dashboard!D$8* Dashboard!$F$4+Dashboard!D$10*SQRT(Dashboard!$F$4) * _xlfn.NORM.S.INV(RAND())</f>
        <v>6.7293209607941443E-3</v>
      </c>
    </row>
    <row r="6231" spans="18:21" x14ac:dyDescent="0.2">
      <c r="R6231" s="49">
        <v>6229</v>
      </c>
      <c r="S6231" s="59">
        <f ca="1">Dashboard!B$8* Dashboard!$F$4+Dashboard!B$10*SQRT(Dashboard!$F$4) * _xlfn.NORM.S.INV(RAND())</f>
        <v>3.4246524189469739E-2</v>
      </c>
      <c r="T6231" s="59">
        <f ca="1">Dashboard!C$8* Dashboard!$F$4+Dashboard!C$10*SQRT(Dashboard!$F$4) * _xlfn.NORM.S.INV(RAND())</f>
        <v>-1.1387875643506344E-2</v>
      </c>
      <c r="U6231" s="59">
        <f ca="1">Dashboard!D$8* Dashboard!$F$4+Dashboard!D$10*SQRT(Dashboard!$F$4) * _xlfn.NORM.S.INV(RAND())</f>
        <v>-1.9217981971599837E-2</v>
      </c>
    </row>
    <row r="6232" spans="18:21" x14ac:dyDescent="0.2">
      <c r="R6232" s="49">
        <v>6230</v>
      </c>
      <c r="S6232" s="59">
        <f ca="1">Dashboard!B$8* Dashboard!$F$4+Dashboard!B$10*SQRT(Dashboard!$F$4) * _xlfn.NORM.S.INV(RAND())</f>
        <v>-2.4182903042175484E-2</v>
      </c>
      <c r="T6232" s="59">
        <f ca="1">Dashboard!C$8* Dashboard!$F$4+Dashboard!C$10*SQRT(Dashboard!$F$4) * _xlfn.NORM.S.INV(RAND())</f>
        <v>3.2997803104476746E-2</v>
      </c>
      <c r="U6232" s="59">
        <f ca="1">Dashboard!D$8* Dashboard!$F$4+Dashboard!D$10*SQRT(Dashboard!$F$4) * _xlfn.NORM.S.INV(RAND())</f>
        <v>-3.691375732579541E-2</v>
      </c>
    </row>
    <row r="6233" spans="18:21" x14ac:dyDescent="0.2">
      <c r="R6233" s="49">
        <v>6231</v>
      </c>
      <c r="S6233" s="59">
        <f ca="1">Dashboard!B$8* Dashboard!$F$4+Dashboard!B$10*SQRT(Dashboard!$F$4) * _xlfn.NORM.S.INV(RAND())</f>
        <v>-5.1190204259477387E-2</v>
      </c>
      <c r="T6233" s="59">
        <f ca="1">Dashboard!C$8* Dashboard!$F$4+Dashboard!C$10*SQRT(Dashboard!$F$4) * _xlfn.NORM.S.INV(RAND())</f>
        <v>1.4009868096812882E-2</v>
      </c>
      <c r="U6233" s="59">
        <f ca="1">Dashboard!D$8* Dashboard!$F$4+Dashboard!D$10*SQRT(Dashboard!$F$4) * _xlfn.NORM.S.INV(RAND())</f>
        <v>-4.0958790709430669E-2</v>
      </c>
    </row>
    <row r="6234" spans="18:21" x14ac:dyDescent="0.2">
      <c r="R6234" s="49">
        <v>6232</v>
      </c>
      <c r="S6234" s="59">
        <f ca="1">Dashboard!B$8* Dashboard!$F$4+Dashboard!B$10*SQRT(Dashboard!$F$4) * _xlfn.NORM.S.INV(RAND())</f>
        <v>1.5068464019120138E-2</v>
      </c>
      <c r="T6234" s="59">
        <f ca="1">Dashboard!C$8* Dashboard!$F$4+Dashboard!C$10*SQRT(Dashboard!$F$4) * _xlfn.NORM.S.INV(RAND())</f>
        <v>2.3964407952902722E-2</v>
      </c>
      <c r="U6234" s="59">
        <f ca="1">Dashboard!D$8* Dashboard!$F$4+Dashboard!D$10*SQRT(Dashboard!$F$4) * _xlfn.NORM.S.INV(RAND())</f>
        <v>-1.1926494076394307E-2</v>
      </c>
    </row>
    <row r="6235" spans="18:21" x14ac:dyDescent="0.2">
      <c r="R6235" s="49">
        <v>6233</v>
      </c>
      <c r="S6235" s="59">
        <f ca="1">Dashboard!B$8* Dashboard!$F$4+Dashboard!B$10*SQRT(Dashboard!$F$4) * _xlfn.NORM.S.INV(RAND())</f>
        <v>-9.1116677020796431E-3</v>
      </c>
      <c r="T6235" s="59">
        <f ca="1">Dashboard!C$8* Dashboard!$F$4+Dashboard!C$10*SQRT(Dashboard!$F$4) * _xlfn.NORM.S.INV(RAND())</f>
        <v>5.6214648670572659E-2</v>
      </c>
      <c r="U6235" s="59">
        <f ca="1">Dashboard!D$8* Dashboard!$F$4+Dashboard!D$10*SQRT(Dashboard!$F$4) * _xlfn.NORM.S.INV(RAND())</f>
        <v>1.5785430328380583E-2</v>
      </c>
    </row>
    <row r="6236" spans="18:21" x14ac:dyDescent="0.2">
      <c r="R6236" s="49">
        <v>6234</v>
      </c>
      <c r="S6236" s="59">
        <f ca="1">Dashboard!B$8* Dashboard!$F$4+Dashboard!B$10*SQRT(Dashboard!$F$4) * _xlfn.NORM.S.INV(RAND())</f>
        <v>-5.3129583975826913E-2</v>
      </c>
      <c r="T6236" s="59">
        <f ca="1">Dashboard!C$8* Dashboard!$F$4+Dashboard!C$10*SQRT(Dashboard!$F$4) * _xlfn.NORM.S.INV(RAND())</f>
        <v>3.6060935872524839E-2</v>
      </c>
      <c r="U6236" s="59">
        <f ca="1">Dashboard!D$8* Dashboard!$F$4+Dashboard!D$10*SQRT(Dashboard!$F$4) * _xlfn.NORM.S.INV(RAND())</f>
        <v>-8.1434295798510539E-2</v>
      </c>
    </row>
    <row r="6237" spans="18:21" x14ac:dyDescent="0.2">
      <c r="R6237" s="49">
        <v>6235</v>
      </c>
      <c r="S6237" s="59">
        <f ca="1">Dashboard!B$8* Dashboard!$F$4+Dashboard!B$10*SQRT(Dashboard!$F$4) * _xlfn.NORM.S.INV(RAND())</f>
        <v>-1.7536282512694491E-2</v>
      </c>
      <c r="T6237" s="59">
        <f ca="1">Dashboard!C$8* Dashboard!$F$4+Dashboard!C$10*SQRT(Dashboard!$F$4) * _xlfn.NORM.S.INV(RAND())</f>
        <v>-2.5536797865756099E-2</v>
      </c>
      <c r="U6237" s="59">
        <f ca="1">Dashboard!D$8* Dashboard!$F$4+Dashboard!D$10*SQRT(Dashboard!$F$4) * _xlfn.NORM.S.INV(RAND())</f>
        <v>-2.2280059257744145E-3</v>
      </c>
    </row>
    <row r="6238" spans="18:21" x14ac:dyDescent="0.2">
      <c r="R6238" s="49">
        <v>6236</v>
      </c>
      <c r="S6238" s="59">
        <f ca="1">Dashboard!B$8* Dashboard!$F$4+Dashboard!B$10*SQRT(Dashboard!$F$4) * _xlfn.NORM.S.INV(RAND())</f>
        <v>-4.2840041668882174E-2</v>
      </c>
      <c r="T6238" s="59">
        <f ca="1">Dashboard!C$8* Dashboard!$F$4+Dashboard!C$10*SQRT(Dashboard!$F$4) * _xlfn.NORM.S.INV(RAND())</f>
        <v>3.8055383200482048E-3</v>
      </c>
      <c r="U6238" s="59">
        <f ca="1">Dashboard!D$8* Dashboard!$F$4+Dashboard!D$10*SQRT(Dashboard!$F$4) * _xlfn.NORM.S.INV(RAND())</f>
        <v>1.1688557247470217E-2</v>
      </c>
    </row>
    <row r="6239" spans="18:21" x14ac:dyDescent="0.2">
      <c r="R6239" s="49">
        <v>6237</v>
      </c>
      <c r="S6239" s="59">
        <f ca="1">Dashboard!B$8* Dashboard!$F$4+Dashboard!B$10*SQRT(Dashboard!$F$4) * _xlfn.NORM.S.INV(RAND())</f>
        <v>1.6353367252340913E-2</v>
      </c>
      <c r="T6239" s="59">
        <f ca="1">Dashboard!C$8* Dashboard!$F$4+Dashboard!C$10*SQRT(Dashboard!$F$4) * _xlfn.NORM.S.INV(RAND())</f>
        <v>-8.6932210265011113E-3</v>
      </c>
      <c r="U6239" s="59">
        <f ca="1">Dashboard!D$8* Dashboard!$F$4+Dashboard!D$10*SQRT(Dashboard!$F$4) * _xlfn.NORM.S.INV(RAND())</f>
        <v>-3.8187882521848168E-2</v>
      </c>
    </row>
    <row r="6240" spans="18:21" x14ac:dyDescent="0.2">
      <c r="R6240" s="49">
        <v>6238</v>
      </c>
      <c r="S6240" s="59">
        <f ca="1">Dashboard!B$8* Dashboard!$F$4+Dashboard!B$10*SQRT(Dashboard!$F$4) * _xlfn.NORM.S.INV(RAND())</f>
        <v>-5.8540103690053972E-3</v>
      </c>
      <c r="T6240" s="59">
        <f ca="1">Dashboard!C$8* Dashboard!$F$4+Dashboard!C$10*SQRT(Dashboard!$F$4) * _xlfn.NORM.S.INV(RAND())</f>
        <v>-2.3930512982831144E-2</v>
      </c>
      <c r="U6240" s="59">
        <f ca="1">Dashboard!D$8* Dashboard!$F$4+Dashboard!D$10*SQRT(Dashboard!$F$4) * _xlfn.NORM.S.INV(RAND())</f>
        <v>-1.3608448785094859E-2</v>
      </c>
    </row>
    <row r="6241" spans="18:21" x14ac:dyDescent="0.2">
      <c r="R6241" s="49">
        <v>6239</v>
      </c>
      <c r="S6241" s="59">
        <f ca="1">Dashboard!B$8* Dashboard!$F$4+Dashboard!B$10*SQRT(Dashboard!$F$4) * _xlfn.NORM.S.INV(RAND())</f>
        <v>-7.6416422494498801E-2</v>
      </c>
      <c r="T6241" s="59">
        <f ca="1">Dashboard!C$8* Dashboard!$F$4+Dashboard!C$10*SQRT(Dashboard!$F$4) * _xlfn.NORM.S.INV(RAND())</f>
        <v>3.8764223127197753E-2</v>
      </c>
      <c r="U6241" s="59">
        <f ca="1">Dashboard!D$8* Dashboard!$F$4+Dashboard!D$10*SQRT(Dashboard!$F$4) * _xlfn.NORM.S.INV(RAND())</f>
        <v>-2.393417021408515E-2</v>
      </c>
    </row>
    <row r="6242" spans="18:21" x14ac:dyDescent="0.2">
      <c r="R6242" s="49">
        <v>6240</v>
      </c>
      <c r="S6242" s="59">
        <f ca="1">Dashboard!B$8* Dashboard!$F$4+Dashboard!B$10*SQRT(Dashboard!$F$4) * _xlfn.NORM.S.INV(RAND())</f>
        <v>-6.5540577293566214E-3</v>
      </c>
      <c r="T6242" s="59">
        <f ca="1">Dashboard!C$8* Dashboard!$F$4+Dashboard!C$10*SQRT(Dashboard!$F$4) * _xlfn.NORM.S.INV(RAND())</f>
        <v>1.7363620485368162E-2</v>
      </c>
      <c r="U6242" s="59">
        <f ca="1">Dashboard!D$8* Dashboard!$F$4+Dashboard!D$10*SQRT(Dashboard!$F$4) * _xlfn.NORM.S.INV(RAND())</f>
        <v>-3.97197873713779E-2</v>
      </c>
    </row>
    <row r="6243" spans="18:21" x14ac:dyDescent="0.2">
      <c r="R6243" s="49">
        <v>6241</v>
      </c>
      <c r="S6243" s="59">
        <f ca="1">Dashboard!B$8* Dashboard!$F$4+Dashboard!B$10*SQRT(Dashboard!$F$4) * _xlfn.NORM.S.INV(RAND())</f>
        <v>3.3637270137355867E-2</v>
      </c>
      <c r="T6243" s="59">
        <f ca="1">Dashboard!C$8* Dashboard!$F$4+Dashboard!C$10*SQRT(Dashboard!$F$4) * _xlfn.NORM.S.INV(RAND())</f>
        <v>1.9406671605474629E-2</v>
      </c>
      <c r="U6243" s="59">
        <f ca="1">Dashboard!D$8* Dashboard!$F$4+Dashboard!D$10*SQRT(Dashboard!$F$4) * _xlfn.NORM.S.INV(RAND())</f>
        <v>2.036884407053963E-2</v>
      </c>
    </row>
    <row r="6244" spans="18:21" x14ac:dyDescent="0.2">
      <c r="R6244" s="49">
        <v>6242</v>
      </c>
      <c r="S6244" s="59">
        <f ca="1">Dashboard!B$8* Dashboard!$F$4+Dashboard!B$10*SQRT(Dashboard!$F$4) * _xlfn.NORM.S.INV(RAND())</f>
        <v>-5.7418051691898057E-2</v>
      </c>
      <c r="T6244" s="59">
        <f ca="1">Dashboard!C$8* Dashboard!$F$4+Dashboard!C$10*SQRT(Dashboard!$F$4) * _xlfn.NORM.S.INV(RAND())</f>
        <v>4.41926641955167E-2</v>
      </c>
      <c r="U6244" s="59">
        <f ca="1">Dashboard!D$8* Dashboard!$F$4+Dashboard!D$10*SQRT(Dashboard!$F$4) * _xlfn.NORM.S.INV(RAND())</f>
        <v>6.1398647115058269E-2</v>
      </c>
    </row>
    <row r="6245" spans="18:21" x14ac:dyDescent="0.2">
      <c r="R6245" s="49">
        <v>6243</v>
      </c>
      <c r="S6245" s="59">
        <f ca="1">Dashboard!B$8* Dashboard!$F$4+Dashboard!B$10*SQRT(Dashboard!$F$4) * _xlfn.NORM.S.INV(RAND())</f>
        <v>-2.1150269237386207E-2</v>
      </c>
      <c r="T6245" s="59">
        <f ca="1">Dashboard!C$8* Dashboard!$F$4+Dashboard!C$10*SQRT(Dashboard!$F$4) * _xlfn.NORM.S.INV(RAND())</f>
        <v>-4.3991216259478771E-2</v>
      </c>
      <c r="U6245" s="59">
        <f ca="1">Dashboard!D$8* Dashboard!$F$4+Dashboard!D$10*SQRT(Dashboard!$F$4) * _xlfn.NORM.S.INV(RAND())</f>
        <v>2.1536735866450649E-2</v>
      </c>
    </row>
    <row r="6246" spans="18:21" x14ac:dyDescent="0.2">
      <c r="R6246" s="49">
        <v>6244</v>
      </c>
      <c r="S6246" s="59">
        <f ca="1">Dashboard!B$8* Dashboard!$F$4+Dashboard!B$10*SQRT(Dashboard!$F$4) * _xlfn.NORM.S.INV(RAND())</f>
        <v>8.091935243292785E-3</v>
      </c>
      <c r="T6246" s="59">
        <f ca="1">Dashboard!C$8* Dashboard!$F$4+Dashboard!C$10*SQRT(Dashboard!$F$4) * _xlfn.NORM.S.INV(RAND())</f>
        <v>2.2764799490596638E-2</v>
      </c>
      <c r="U6246" s="59">
        <f ca="1">Dashboard!D$8* Dashboard!$F$4+Dashboard!D$10*SQRT(Dashboard!$F$4) * _xlfn.NORM.S.INV(RAND())</f>
        <v>4.346856497877011E-3</v>
      </c>
    </row>
    <row r="6247" spans="18:21" x14ac:dyDescent="0.2">
      <c r="R6247" s="49">
        <v>6245</v>
      </c>
      <c r="S6247" s="59">
        <f ca="1">Dashboard!B$8* Dashboard!$F$4+Dashboard!B$10*SQRT(Dashboard!$F$4) * _xlfn.NORM.S.INV(RAND())</f>
        <v>-2.2434232396171452E-3</v>
      </c>
      <c r="T6247" s="59">
        <f ca="1">Dashboard!C$8* Dashboard!$F$4+Dashboard!C$10*SQRT(Dashboard!$F$4) * _xlfn.NORM.S.INV(RAND())</f>
        <v>-1.1777682928895673E-2</v>
      </c>
      <c r="U6247" s="59">
        <f ca="1">Dashboard!D$8* Dashboard!$F$4+Dashboard!D$10*SQRT(Dashboard!$F$4) * _xlfn.NORM.S.INV(RAND())</f>
        <v>-4.3834504961609046E-2</v>
      </c>
    </row>
    <row r="6248" spans="18:21" x14ac:dyDescent="0.2">
      <c r="R6248" s="49">
        <v>6246</v>
      </c>
      <c r="S6248" s="59">
        <f ca="1">Dashboard!B$8* Dashboard!$F$4+Dashboard!B$10*SQRT(Dashboard!$F$4) * _xlfn.NORM.S.INV(RAND())</f>
        <v>9.9945778124978277E-2</v>
      </c>
      <c r="T6248" s="59">
        <f ca="1">Dashboard!C$8* Dashboard!$F$4+Dashboard!C$10*SQRT(Dashboard!$F$4) * _xlfn.NORM.S.INV(RAND())</f>
        <v>-7.2554117431342276E-4</v>
      </c>
      <c r="U6248" s="59">
        <f ca="1">Dashboard!D$8* Dashboard!$F$4+Dashboard!D$10*SQRT(Dashboard!$F$4) * _xlfn.NORM.S.INV(RAND())</f>
        <v>-2.164714049935007E-2</v>
      </c>
    </row>
    <row r="6249" spans="18:21" x14ac:dyDescent="0.2">
      <c r="R6249" s="49">
        <v>6247</v>
      </c>
      <c r="S6249" s="59">
        <f ca="1">Dashboard!B$8* Dashboard!$F$4+Dashboard!B$10*SQRT(Dashboard!$F$4) * _xlfn.NORM.S.INV(RAND())</f>
        <v>2.5260116274737603E-3</v>
      </c>
      <c r="T6249" s="59">
        <f ca="1">Dashboard!C$8* Dashboard!$F$4+Dashboard!C$10*SQRT(Dashboard!$F$4) * _xlfn.NORM.S.INV(RAND())</f>
        <v>1.5345028056542823E-2</v>
      </c>
      <c r="U6249" s="59">
        <f ca="1">Dashboard!D$8* Dashboard!$F$4+Dashboard!D$10*SQRT(Dashboard!$F$4) * _xlfn.NORM.S.INV(RAND())</f>
        <v>1.1826565220287825E-2</v>
      </c>
    </row>
    <row r="6250" spans="18:21" x14ac:dyDescent="0.2">
      <c r="R6250" s="49">
        <v>6248</v>
      </c>
      <c r="S6250" s="59">
        <f ca="1">Dashboard!B$8* Dashboard!$F$4+Dashboard!B$10*SQRT(Dashboard!$F$4) * _xlfn.NORM.S.INV(RAND())</f>
        <v>-8.0988237771441804E-3</v>
      </c>
      <c r="T6250" s="59">
        <f ca="1">Dashboard!C$8* Dashboard!$F$4+Dashboard!C$10*SQRT(Dashboard!$F$4) * _xlfn.NORM.S.INV(RAND())</f>
        <v>-2.5798359949826755E-2</v>
      </c>
      <c r="U6250" s="59">
        <f ca="1">Dashboard!D$8* Dashboard!$F$4+Dashboard!D$10*SQRT(Dashboard!$F$4) * _xlfn.NORM.S.INV(RAND())</f>
        <v>-2.0941315667213023E-2</v>
      </c>
    </row>
    <row r="6251" spans="18:21" x14ac:dyDescent="0.2">
      <c r="R6251" s="49">
        <v>6249</v>
      </c>
      <c r="S6251" s="59">
        <f ca="1">Dashboard!B$8* Dashboard!$F$4+Dashboard!B$10*SQRT(Dashboard!$F$4) * _xlfn.NORM.S.INV(RAND())</f>
        <v>1.807774286147102E-2</v>
      </c>
      <c r="T6251" s="59">
        <f ca="1">Dashboard!C$8* Dashboard!$F$4+Dashboard!C$10*SQRT(Dashboard!$F$4) * _xlfn.NORM.S.INV(RAND())</f>
        <v>4.5423464327832286E-2</v>
      </c>
      <c r="U6251" s="59">
        <f ca="1">Dashboard!D$8* Dashboard!$F$4+Dashboard!D$10*SQRT(Dashboard!$F$4) * _xlfn.NORM.S.INV(RAND())</f>
        <v>-5.3876279767241103E-2</v>
      </c>
    </row>
    <row r="6252" spans="18:21" x14ac:dyDescent="0.2">
      <c r="R6252" s="49">
        <v>6250</v>
      </c>
      <c r="S6252" s="59">
        <f ca="1">Dashboard!B$8* Dashboard!$F$4+Dashboard!B$10*SQRT(Dashboard!$F$4) * _xlfn.NORM.S.INV(RAND())</f>
        <v>4.009663265163374E-2</v>
      </c>
      <c r="T6252" s="59">
        <f ca="1">Dashboard!C$8* Dashboard!$F$4+Dashboard!C$10*SQRT(Dashboard!$F$4) * _xlfn.NORM.S.INV(RAND())</f>
        <v>-4.9885961003525353E-2</v>
      </c>
      <c r="U6252" s="59">
        <f ca="1">Dashboard!D$8* Dashboard!$F$4+Dashboard!D$10*SQRT(Dashboard!$F$4) * _xlfn.NORM.S.INV(RAND())</f>
        <v>1.031367716806264E-2</v>
      </c>
    </row>
    <row r="6253" spans="18:21" x14ac:dyDescent="0.2">
      <c r="R6253" s="49">
        <v>6251</v>
      </c>
      <c r="S6253" s="59">
        <f ca="1">Dashboard!B$8* Dashboard!$F$4+Dashboard!B$10*SQRT(Dashboard!$F$4) * _xlfn.NORM.S.INV(RAND())</f>
        <v>-1.727555042145467E-2</v>
      </c>
      <c r="T6253" s="59">
        <f ca="1">Dashboard!C$8* Dashboard!$F$4+Dashboard!C$10*SQRT(Dashboard!$F$4) * _xlfn.NORM.S.INV(RAND())</f>
        <v>-4.3857546330581726E-2</v>
      </c>
      <c r="U6253" s="59">
        <f ca="1">Dashboard!D$8* Dashboard!$F$4+Dashboard!D$10*SQRT(Dashboard!$F$4) * _xlfn.NORM.S.INV(RAND())</f>
        <v>4.7235586042055709E-2</v>
      </c>
    </row>
    <row r="6254" spans="18:21" x14ac:dyDescent="0.2">
      <c r="R6254" s="49">
        <v>6252</v>
      </c>
      <c r="S6254" s="59">
        <f ca="1">Dashboard!B$8* Dashboard!$F$4+Dashboard!B$10*SQRT(Dashboard!$F$4) * _xlfn.NORM.S.INV(RAND())</f>
        <v>-5.0030422866791782E-2</v>
      </c>
      <c r="T6254" s="59">
        <f ca="1">Dashboard!C$8* Dashboard!$F$4+Dashboard!C$10*SQRT(Dashboard!$F$4) * _xlfn.NORM.S.INV(RAND())</f>
        <v>3.6287716315387096E-2</v>
      </c>
      <c r="U6254" s="59">
        <f ca="1">Dashboard!D$8* Dashboard!$F$4+Dashboard!D$10*SQRT(Dashboard!$F$4) * _xlfn.NORM.S.INV(RAND())</f>
        <v>9.0569816247365977E-4</v>
      </c>
    </row>
    <row r="6255" spans="18:21" x14ac:dyDescent="0.2">
      <c r="R6255" s="49">
        <v>6253</v>
      </c>
      <c r="S6255" s="59">
        <f ca="1">Dashboard!B$8* Dashboard!$F$4+Dashboard!B$10*SQRT(Dashboard!$F$4) * _xlfn.NORM.S.INV(RAND())</f>
        <v>-5.1792228580873206E-2</v>
      </c>
      <c r="T6255" s="59">
        <f ca="1">Dashboard!C$8* Dashboard!$F$4+Dashboard!C$10*SQRT(Dashboard!$F$4) * _xlfn.NORM.S.INV(RAND())</f>
        <v>-1.9536273418395464E-2</v>
      </c>
      <c r="U6255" s="59">
        <f ca="1">Dashboard!D$8* Dashboard!$F$4+Dashboard!D$10*SQRT(Dashboard!$F$4) * _xlfn.NORM.S.INV(RAND())</f>
        <v>-1.7240234587097118E-2</v>
      </c>
    </row>
    <row r="6256" spans="18:21" x14ac:dyDescent="0.2">
      <c r="R6256" s="49">
        <v>6254</v>
      </c>
      <c r="S6256" s="59">
        <f ca="1">Dashboard!B$8* Dashboard!$F$4+Dashboard!B$10*SQRT(Dashboard!$F$4) * _xlfn.NORM.S.INV(RAND())</f>
        <v>9.6580223361592051E-3</v>
      </c>
      <c r="T6256" s="59">
        <f ca="1">Dashboard!C$8* Dashboard!$F$4+Dashboard!C$10*SQRT(Dashboard!$F$4) * _xlfn.NORM.S.INV(RAND())</f>
        <v>-3.024974901299116E-2</v>
      </c>
      <c r="U6256" s="59">
        <f ca="1">Dashboard!D$8* Dashboard!$F$4+Dashboard!D$10*SQRT(Dashboard!$F$4) * _xlfn.NORM.S.INV(RAND())</f>
        <v>3.0568981430460773E-3</v>
      </c>
    </row>
    <row r="6257" spans="18:21" x14ac:dyDescent="0.2">
      <c r="R6257" s="49">
        <v>6255</v>
      </c>
      <c r="S6257" s="59">
        <f ca="1">Dashboard!B$8* Dashboard!$F$4+Dashboard!B$10*SQRT(Dashboard!$F$4) * _xlfn.NORM.S.INV(RAND())</f>
        <v>1.3157566579622854E-2</v>
      </c>
      <c r="T6257" s="59">
        <f ca="1">Dashboard!C$8* Dashboard!$F$4+Dashboard!C$10*SQRT(Dashboard!$F$4) * _xlfn.NORM.S.INV(RAND())</f>
        <v>3.1791653072749983E-2</v>
      </c>
      <c r="U6257" s="59">
        <f ca="1">Dashboard!D$8* Dashboard!$F$4+Dashboard!D$10*SQRT(Dashboard!$F$4) * _xlfn.NORM.S.INV(RAND())</f>
        <v>-1.2098050441737191E-2</v>
      </c>
    </row>
    <row r="6258" spans="18:21" x14ac:dyDescent="0.2">
      <c r="R6258" s="49">
        <v>6256</v>
      </c>
      <c r="S6258" s="59">
        <f ca="1">Dashboard!B$8* Dashboard!$F$4+Dashboard!B$10*SQRT(Dashboard!$F$4) * _xlfn.NORM.S.INV(RAND())</f>
        <v>-3.5141214829497266E-2</v>
      </c>
      <c r="T6258" s="59">
        <f ca="1">Dashboard!C$8* Dashboard!$F$4+Dashboard!C$10*SQRT(Dashboard!$F$4) * _xlfn.NORM.S.INV(RAND())</f>
        <v>-1.3683425575470035E-2</v>
      </c>
      <c r="U6258" s="59">
        <f ca="1">Dashboard!D$8* Dashboard!$F$4+Dashboard!D$10*SQRT(Dashboard!$F$4) * _xlfn.NORM.S.INV(RAND())</f>
        <v>3.0763964965933883E-3</v>
      </c>
    </row>
    <row r="6259" spans="18:21" x14ac:dyDescent="0.2">
      <c r="R6259" s="49">
        <v>6257</v>
      </c>
      <c r="S6259" s="59">
        <f ca="1">Dashboard!B$8* Dashboard!$F$4+Dashboard!B$10*SQRT(Dashboard!$F$4) * _xlfn.NORM.S.INV(RAND())</f>
        <v>7.9758318157921379E-3</v>
      </c>
      <c r="T6259" s="59">
        <f ca="1">Dashboard!C$8* Dashboard!$F$4+Dashboard!C$10*SQRT(Dashboard!$F$4) * _xlfn.NORM.S.INV(RAND())</f>
        <v>2.9510182188211574E-2</v>
      </c>
      <c r="U6259" s="59">
        <f ca="1">Dashboard!D$8* Dashboard!$F$4+Dashboard!D$10*SQRT(Dashboard!$F$4) * _xlfn.NORM.S.INV(RAND())</f>
        <v>7.2908938300516183E-3</v>
      </c>
    </row>
    <row r="6260" spans="18:21" x14ac:dyDescent="0.2">
      <c r="R6260" s="49">
        <v>6258</v>
      </c>
      <c r="S6260" s="59">
        <f ca="1">Dashboard!B$8* Dashboard!$F$4+Dashboard!B$10*SQRT(Dashboard!$F$4) * _xlfn.NORM.S.INV(RAND())</f>
        <v>-1.376111212966806E-2</v>
      </c>
      <c r="T6260" s="59">
        <f ca="1">Dashboard!C$8* Dashboard!$F$4+Dashboard!C$10*SQRT(Dashboard!$F$4) * _xlfn.NORM.S.INV(RAND())</f>
        <v>3.1444379553227366E-3</v>
      </c>
      <c r="U6260" s="59">
        <f ca="1">Dashboard!D$8* Dashboard!$F$4+Dashboard!D$10*SQRT(Dashboard!$F$4) * _xlfn.NORM.S.INV(RAND())</f>
        <v>-4.5271227295051026E-4</v>
      </c>
    </row>
    <row r="6261" spans="18:21" x14ac:dyDescent="0.2">
      <c r="R6261" s="49">
        <v>6259</v>
      </c>
      <c r="S6261" s="59">
        <f ca="1">Dashboard!B$8* Dashboard!$F$4+Dashboard!B$10*SQRT(Dashboard!$F$4) * _xlfn.NORM.S.INV(RAND())</f>
        <v>-6.1332218973347251E-2</v>
      </c>
      <c r="T6261" s="59">
        <f ca="1">Dashboard!C$8* Dashboard!$F$4+Dashboard!C$10*SQRT(Dashboard!$F$4) * _xlfn.NORM.S.INV(RAND())</f>
        <v>-6.1392843876732772E-2</v>
      </c>
      <c r="U6261" s="59">
        <f ca="1">Dashboard!D$8* Dashboard!$F$4+Dashboard!D$10*SQRT(Dashboard!$F$4) * _xlfn.NORM.S.INV(RAND())</f>
        <v>9.570863220527439E-3</v>
      </c>
    </row>
    <row r="6262" spans="18:21" x14ac:dyDescent="0.2">
      <c r="R6262" s="49">
        <v>6260</v>
      </c>
      <c r="S6262" s="59">
        <f ca="1">Dashboard!B$8* Dashboard!$F$4+Dashboard!B$10*SQRT(Dashboard!$F$4) * _xlfn.NORM.S.INV(RAND())</f>
        <v>3.4011133275602548E-3</v>
      </c>
      <c r="T6262" s="59">
        <f ca="1">Dashboard!C$8* Dashboard!$F$4+Dashboard!C$10*SQRT(Dashboard!$F$4) * _xlfn.NORM.S.INV(RAND())</f>
        <v>-3.9868288868898309E-2</v>
      </c>
      <c r="U6262" s="59">
        <f ca="1">Dashboard!D$8* Dashboard!$F$4+Dashboard!D$10*SQRT(Dashboard!$F$4) * _xlfn.NORM.S.INV(RAND())</f>
        <v>2.2938392248490484E-2</v>
      </c>
    </row>
    <row r="6263" spans="18:21" x14ac:dyDescent="0.2">
      <c r="R6263" s="49">
        <v>6261</v>
      </c>
      <c r="S6263" s="59">
        <f ca="1">Dashboard!B$8* Dashboard!$F$4+Dashboard!B$10*SQRT(Dashboard!$F$4) * _xlfn.NORM.S.INV(RAND())</f>
        <v>-1.4387159764584741E-2</v>
      </c>
      <c r="T6263" s="59">
        <f ca="1">Dashboard!C$8* Dashboard!$F$4+Dashboard!C$10*SQRT(Dashboard!$F$4) * _xlfn.NORM.S.INV(RAND())</f>
        <v>-5.6626037636688345E-2</v>
      </c>
      <c r="U6263" s="59">
        <f ca="1">Dashboard!D$8* Dashboard!$F$4+Dashboard!D$10*SQRT(Dashboard!$F$4) * _xlfn.NORM.S.INV(RAND())</f>
        <v>-1.3554998734042603E-2</v>
      </c>
    </row>
    <row r="6264" spans="18:21" x14ac:dyDescent="0.2">
      <c r="R6264" s="49">
        <v>6262</v>
      </c>
      <c r="S6264" s="59">
        <f ca="1">Dashboard!B$8* Dashboard!$F$4+Dashboard!B$10*SQRT(Dashboard!$F$4) * _xlfn.NORM.S.INV(RAND())</f>
        <v>-1.748353192356359E-2</v>
      </c>
      <c r="T6264" s="59">
        <f ca="1">Dashboard!C$8* Dashboard!$F$4+Dashboard!C$10*SQRT(Dashboard!$F$4) * _xlfn.NORM.S.INV(RAND())</f>
        <v>9.2838015400294443E-3</v>
      </c>
      <c r="U6264" s="59">
        <f ca="1">Dashboard!D$8* Dashboard!$F$4+Dashboard!D$10*SQRT(Dashboard!$F$4) * _xlfn.NORM.S.INV(RAND())</f>
        <v>-3.173534590453609E-2</v>
      </c>
    </row>
    <row r="6265" spans="18:21" x14ac:dyDescent="0.2">
      <c r="R6265" s="49">
        <v>6263</v>
      </c>
      <c r="S6265" s="59">
        <f ca="1">Dashboard!B$8* Dashboard!$F$4+Dashboard!B$10*SQRT(Dashboard!$F$4) * _xlfn.NORM.S.INV(RAND())</f>
        <v>-5.2911574777781849E-2</v>
      </c>
      <c r="T6265" s="59">
        <f ca="1">Dashboard!C$8* Dashboard!$F$4+Dashboard!C$10*SQRT(Dashboard!$F$4) * _xlfn.NORM.S.INV(RAND())</f>
        <v>-1.1522450472044178E-2</v>
      </c>
      <c r="U6265" s="59">
        <f ca="1">Dashboard!D$8* Dashboard!$F$4+Dashboard!D$10*SQRT(Dashboard!$F$4) * _xlfn.NORM.S.INV(RAND())</f>
        <v>-3.5070785821681771E-2</v>
      </c>
    </row>
    <row r="6266" spans="18:21" x14ac:dyDescent="0.2">
      <c r="R6266" s="49">
        <v>6264</v>
      </c>
      <c r="S6266" s="59">
        <f ca="1">Dashboard!B$8* Dashboard!$F$4+Dashboard!B$10*SQRT(Dashboard!$F$4) * _xlfn.NORM.S.INV(RAND())</f>
        <v>2.0144870952770587E-2</v>
      </c>
      <c r="T6266" s="59">
        <f ca="1">Dashboard!C$8* Dashboard!$F$4+Dashboard!C$10*SQRT(Dashboard!$F$4) * _xlfn.NORM.S.INV(RAND())</f>
        <v>-7.3475291337987025E-2</v>
      </c>
      <c r="U6266" s="59">
        <f ca="1">Dashboard!D$8* Dashboard!$F$4+Dashboard!D$10*SQRT(Dashboard!$F$4) * _xlfn.NORM.S.INV(RAND())</f>
        <v>4.667354335682581E-2</v>
      </c>
    </row>
    <row r="6267" spans="18:21" x14ac:dyDescent="0.2">
      <c r="R6267" s="49">
        <v>6265</v>
      </c>
      <c r="S6267" s="59">
        <f ca="1">Dashboard!B$8* Dashboard!$F$4+Dashboard!B$10*SQRT(Dashboard!$F$4) * _xlfn.NORM.S.INV(RAND())</f>
        <v>-6.6705884893844599E-3</v>
      </c>
      <c r="T6267" s="59">
        <f ca="1">Dashboard!C$8* Dashboard!$F$4+Dashboard!C$10*SQRT(Dashboard!$F$4) * _xlfn.NORM.S.INV(RAND())</f>
        <v>-1.9496164942600272E-2</v>
      </c>
      <c r="U6267" s="59">
        <f ca="1">Dashboard!D$8* Dashboard!$F$4+Dashboard!D$10*SQRT(Dashboard!$F$4) * _xlfn.NORM.S.INV(RAND())</f>
        <v>3.6270676737624234E-2</v>
      </c>
    </row>
    <row r="6268" spans="18:21" x14ac:dyDescent="0.2">
      <c r="R6268" s="49">
        <v>6266</v>
      </c>
      <c r="S6268" s="59">
        <f ca="1">Dashboard!B$8* Dashboard!$F$4+Dashboard!B$10*SQRT(Dashboard!$F$4) * _xlfn.NORM.S.INV(RAND())</f>
        <v>-2.7946372670257067E-3</v>
      </c>
      <c r="T6268" s="59">
        <f ca="1">Dashboard!C$8* Dashboard!$F$4+Dashboard!C$10*SQRT(Dashboard!$F$4) * _xlfn.NORM.S.INV(RAND())</f>
        <v>-4.1605917131782653E-2</v>
      </c>
      <c r="U6268" s="59">
        <f ca="1">Dashboard!D$8* Dashboard!$F$4+Dashboard!D$10*SQRT(Dashboard!$F$4) * _xlfn.NORM.S.INV(RAND())</f>
        <v>-7.0422279433210569E-2</v>
      </c>
    </row>
    <row r="6269" spans="18:21" x14ac:dyDescent="0.2">
      <c r="R6269" s="49">
        <v>6267</v>
      </c>
      <c r="S6269" s="59">
        <f ca="1">Dashboard!B$8* Dashboard!$F$4+Dashboard!B$10*SQRT(Dashboard!$F$4) * _xlfn.NORM.S.INV(RAND())</f>
        <v>-5.3195440628092401E-2</v>
      </c>
      <c r="T6269" s="59">
        <f ca="1">Dashboard!C$8* Dashboard!$F$4+Dashboard!C$10*SQRT(Dashboard!$F$4) * _xlfn.NORM.S.INV(RAND())</f>
        <v>7.1368088977225366E-3</v>
      </c>
      <c r="U6269" s="59">
        <f ca="1">Dashboard!D$8* Dashboard!$F$4+Dashboard!D$10*SQRT(Dashboard!$F$4) * _xlfn.NORM.S.INV(RAND())</f>
        <v>1.5449054585581849E-2</v>
      </c>
    </row>
    <row r="6270" spans="18:21" x14ac:dyDescent="0.2">
      <c r="R6270" s="49">
        <v>6268</v>
      </c>
      <c r="S6270" s="59">
        <f ca="1">Dashboard!B$8* Dashboard!$F$4+Dashboard!B$10*SQRT(Dashboard!$F$4) * _xlfn.NORM.S.INV(RAND())</f>
        <v>-1.606981732333752E-2</v>
      </c>
      <c r="T6270" s="59">
        <f ca="1">Dashboard!C$8* Dashboard!$F$4+Dashboard!C$10*SQRT(Dashboard!$F$4) * _xlfn.NORM.S.INV(RAND())</f>
        <v>-2.1584907269671574E-2</v>
      </c>
      <c r="U6270" s="59">
        <f ca="1">Dashboard!D$8* Dashboard!$F$4+Dashboard!D$10*SQRT(Dashboard!$F$4) * _xlfn.NORM.S.INV(RAND())</f>
        <v>5.0985065498726327E-2</v>
      </c>
    </row>
    <row r="6271" spans="18:21" x14ac:dyDescent="0.2">
      <c r="R6271" s="49">
        <v>6269</v>
      </c>
      <c r="S6271" s="59">
        <f ca="1">Dashboard!B$8* Dashboard!$F$4+Dashboard!B$10*SQRT(Dashboard!$F$4) * _xlfn.NORM.S.INV(RAND())</f>
        <v>9.1612537136937441E-3</v>
      </c>
      <c r="T6271" s="59">
        <f ca="1">Dashboard!C$8* Dashboard!$F$4+Dashboard!C$10*SQRT(Dashboard!$F$4) * _xlfn.NORM.S.INV(RAND())</f>
        <v>4.3752074490883822E-2</v>
      </c>
      <c r="U6271" s="59">
        <f ca="1">Dashboard!D$8* Dashboard!$F$4+Dashboard!D$10*SQRT(Dashboard!$F$4) * _xlfn.NORM.S.INV(RAND())</f>
        <v>7.1050988044753197E-2</v>
      </c>
    </row>
    <row r="6272" spans="18:21" x14ac:dyDescent="0.2">
      <c r="R6272" s="49">
        <v>6270</v>
      </c>
      <c r="S6272" s="59">
        <f ca="1">Dashboard!B$8* Dashboard!$F$4+Dashboard!B$10*SQRT(Dashboard!$F$4) * _xlfn.NORM.S.INV(RAND())</f>
        <v>-4.3410257375787976E-3</v>
      </c>
      <c r="T6272" s="59">
        <f ca="1">Dashboard!C$8* Dashboard!$F$4+Dashboard!C$10*SQRT(Dashboard!$F$4) * _xlfn.NORM.S.INV(RAND())</f>
        <v>-6.256878949729411E-3</v>
      </c>
      <c r="U6272" s="59">
        <f ca="1">Dashboard!D$8* Dashboard!$F$4+Dashboard!D$10*SQRT(Dashboard!$F$4) * _xlfn.NORM.S.INV(RAND())</f>
        <v>-3.0993186910333554E-2</v>
      </c>
    </row>
    <row r="6273" spans="18:21" x14ac:dyDescent="0.2">
      <c r="R6273" s="49">
        <v>6271</v>
      </c>
      <c r="S6273" s="59">
        <f ca="1">Dashboard!B$8* Dashboard!$F$4+Dashboard!B$10*SQRT(Dashboard!$F$4) * _xlfn.NORM.S.INV(RAND())</f>
        <v>2.8540572827090063E-2</v>
      </c>
      <c r="T6273" s="59">
        <f ca="1">Dashboard!C$8* Dashboard!$F$4+Dashboard!C$10*SQRT(Dashboard!$F$4) * _xlfn.NORM.S.INV(RAND())</f>
        <v>-4.8382028505585387E-2</v>
      </c>
      <c r="U6273" s="59">
        <f ca="1">Dashboard!D$8* Dashboard!$F$4+Dashboard!D$10*SQRT(Dashboard!$F$4) * _xlfn.NORM.S.INV(RAND())</f>
        <v>4.5473808306074344E-2</v>
      </c>
    </row>
    <row r="6274" spans="18:21" x14ac:dyDescent="0.2">
      <c r="R6274" s="49">
        <v>6272</v>
      </c>
      <c r="S6274" s="59">
        <f ca="1">Dashboard!B$8* Dashboard!$F$4+Dashboard!B$10*SQRT(Dashboard!$F$4) * _xlfn.NORM.S.INV(RAND())</f>
        <v>2.3428871482985333E-4</v>
      </c>
      <c r="T6274" s="59">
        <f ca="1">Dashboard!C$8* Dashboard!$F$4+Dashboard!C$10*SQRT(Dashboard!$F$4) * _xlfn.NORM.S.INV(RAND())</f>
        <v>2.269915387167451E-2</v>
      </c>
      <c r="U6274" s="59">
        <f ca="1">Dashboard!D$8* Dashboard!$F$4+Dashboard!D$10*SQRT(Dashboard!$F$4) * _xlfn.NORM.S.INV(RAND())</f>
        <v>-7.4908018433954435E-2</v>
      </c>
    </row>
    <row r="6275" spans="18:21" x14ac:dyDescent="0.2">
      <c r="R6275" s="49">
        <v>6273</v>
      </c>
      <c r="S6275" s="59">
        <f ca="1">Dashboard!B$8* Dashboard!$F$4+Dashboard!B$10*SQRT(Dashboard!$F$4) * _xlfn.NORM.S.INV(RAND())</f>
        <v>-1.4810760430860485E-2</v>
      </c>
      <c r="T6275" s="59">
        <f ca="1">Dashboard!C$8* Dashboard!$F$4+Dashboard!C$10*SQRT(Dashboard!$F$4) * _xlfn.NORM.S.INV(RAND())</f>
        <v>1.1211695285065814E-3</v>
      </c>
      <c r="U6275" s="59">
        <f ca="1">Dashboard!D$8* Dashboard!$F$4+Dashboard!D$10*SQRT(Dashboard!$F$4) * _xlfn.NORM.S.INV(RAND())</f>
        <v>3.837872205188133E-2</v>
      </c>
    </row>
    <row r="6276" spans="18:21" x14ac:dyDescent="0.2">
      <c r="R6276" s="49">
        <v>6274</v>
      </c>
      <c r="S6276" s="59">
        <f ca="1">Dashboard!B$8* Dashboard!$F$4+Dashboard!B$10*SQRT(Dashboard!$F$4) * _xlfn.NORM.S.INV(RAND())</f>
        <v>-3.932958283954794E-2</v>
      </c>
      <c r="T6276" s="59">
        <f ca="1">Dashboard!C$8* Dashboard!$F$4+Dashboard!C$10*SQRT(Dashboard!$F$4) * _xlfn.NORM.S.INV(RAND())</f>
        <v>2.1269090099526652E-2</v>
      </c>
      <c r="U6276" s="59">
        <f ca="1">Dashboard!D$8* Dashboard!$F$4+Dashboard!D$10*SQRT(Dashboard!$F$4) * _xlfn.NORM.S.INV(RAND())</f>
        <v>4.3832311290718871E-2</v>
      </c>
    </row>
    <row r="6277" spans="18:21" x14ac:dyDescent="0.2">
      <c r="R6277" s="49">
        <v>6275</v>
      </c>
      <c r="S6277" s="59">
        <f ca="1">Dashboard!B$8* Dashboard!$F$4+Dashboard!B$10*SQRT(Dashboard!$F$4) * _xlfn.NORM.S.INV(RAND())</f>
        <v>-7.0014957542552742E-2</v>
      </c>
      <c r="T6277" s="59">
        <f ca="1">Dashboard!C$8* Dashboard!$F$4+Dashboard!C$10*SQRT(Dashboard!$F$4) * _xlfn.NORM.S.INV(RAND())</f>
        <v>-4.645225210256141E-2</v>
      </c>
      <c r="U6277" s="59">
        <f ca="1">Dashboard!D$8* Dashboard!$F$4+Dashboard!D$10*SQRT(Dashboard!$F$4) * _xlfn.NORM.S.INV(RAND())</f>
        <v>2.3053617905966804E-2</v>
      </c>
    </row>
    <row r="6278" spans="18:21" x14ac:dyDescent="0.2">
      <c r="R6278" s="49">
        <v>6276</v>
      </c>
      <c r="S6278" s="59">
        <f ca="1">Dashboard!B$8* Dashboard!$F$4+Dashboard!B$10*SQRT(Dashboard!$F$4) * _xlfn.NORM.S.INV(RAND())</f>
        <v>-1.2890726210173713E-2</v>
      </c>
      <c r="T6278" s="59">
        <f ca="1">Dashboard!C$8* Dashboard!$F$4+Dashboard!C$10*SQRT(Dashboard!$F$4) * _xlfn.NORM.S.INV(RAND())</f>
        <v>3.7171267260834431E-2</v>
      </c>
      <c r="U6278" s="59">
        <f ca="1">Dashboard!D$8* Dashboard!$F$4+Dashboard!D$10*SQRT(Dashboard!$F$4) * _xlfn.NORM.S.INV(RAND())</f>
        <v>3.7118740297878802E-2</v>
      </c>
    </row>
    <row r="6279" spans="18:21" x14ac:dyDescent="0.2">
      <c r="R6279" s="49">
        <v>6277</v>
      </c>
      <c r="S6279" s="59">
        <f ca="1">Dashboard!B$8* Dashboard!$F$4+Dashboard!B$10*SQRT(Dashboard!$F$4) * _xlfn.NORM.S.INV(RAND())</f>
        <v>-4.029053425380464E-2</v>
      </c>
      <c r="T6279" s="59">
        <f ca="1">Dashboard!C$8* Dashboard!$F$4+Dashboard!C$10*SQRT(Dashboard!$F$4) * _xlfn.NORM.S.INV(RAND())</f>
        <v>-1.0495443671187194E-3</v>
      </c>
      <c r="U6279" s="59">
        <f ca="1">Dashboard!D$8* Dashboard!$F$4+Dashboard!D$10*SQRT(Dashboard!$F$4) * _xlfn.NORM.S.INV(RAND())</f>
        <v>-2.2769689284919122E-2</v>
      </c>
    </row>
    <row r="6280" spans="18:21" x14ac:dyDescent="0.2">
      <c r="R6280" s="49">
        <v>6278</v>
      </c>
      <c r="S6280" s="59">
        <f ca="1">Dashboard!B$8* Dashboard!$F$4+Dashboard!B$10*SQRT(Dashboard!$F$4) * _xlfn.NORM.S.INV(RAND())</f>
        <v>-4.1699143279592538E-2</v>
      </c>
      <c r="T6280" s="59">
        <f ca="1">Dashboard!C$8* Dashboard!$F$4+Dashboard!C$10*SQRT(Dashboard!$F$4) * _xlfn.NORM.S.INV(RAND())</f>
        <v>-3.0699667447191738E-2</v>
      </c>
      <c r="U6280" s="59">
        <f ca="1">Dashboard!D$8* Dashboard!$F$4+Dashboard!D$10*SQRT(Dashboard!$F$4) * _xlfn.NORM.S.INV(RAND())</f>
        <v>2.5314785387450207E-2</v>
      </c>
    </row>
    <row r="6281" spans="18:21" x14ac:dyDescent="0.2">
      <c r="R6281" s="49">
        <v>6279</v>
      </c>
      <c r="S6281" s="59">
        <f ca="1">Dashboard!B$8* Dashboard!$F$4+Dashboard!B$10*SQRT(Dashboard!$F$4) * _xlfn.NORM.S.INV(RAND())</f>
        <v>-1.7765635512475737E-2</v>
      </c>
      <c r="T6281" s="59">
        <f ca="1">Dashboard!C$8* Dashboard!$F$4+Dashboard!C$10*SQRT(Dashboard!$F$4) * _xlfn.NORM.S.INV(RAND())</f>
        <v>6.4210349056615976E-2</v>
      </c>
      <c r="U6281" s="59">
        <f ca="1">Dashboard!D$8* Dashboard!$F$4+Dashboard!D$10*SQRT(Dashboard!$F$4) * _xlfn.NORM.S.INV(RAND())</f>
        <v>4.1945997241197984E-2</v>
      </c>
    </row>
    <row r="6282" spans="18:21" x14ac:dyDescent="0.2">
      <c r="R6282" s="49">
        <v>6280</v>
      </c>
      <c r="S6282" s="59">
        <f ca="1">Dashboard!B$8* Dashboard!$F$4+Dashboard!B$10*SQRT(Dashboard!$F$4) * _xlfn.NORM.S.INV(RAND())</f>
        <v>1.6882756923968283E-2</v>
      </c>
      <c r="T6282" s="59">
        <f ca="1">Dashboard!C$8* Dashboard!$F$4+Dashboard!C$10*SQRT(Dashboard!$F$4) * _xlfn.NORM.S.INV(RAND())</f>
        <v>1.4756077738037377E-2</v>
      </c>
      <c r="U6282" s="59">
        <f ca="1">Dashboard!D$8* Dashboard!$F$4+Dashboard!D$10*SQRT(Dashboard!$F$4) * _xlfn.NORM.S.INV(RAND())</f>
        <v>1.9388936062000303E-2</v>
      </c>
    </row>
    <row r="6283" spans="18:21" x14ac:dyDescent="0.2">
      <c r="R6283" s="49">
        <v>6281</v>
      </c>
      <c r="S6283" s="59">
        <f ca="1">Dashboard!B$8* Dashboard!$F$4+Dashboard!B$10*SQRT(Dashboard!$F$4) * _xlfn.NORM.S.INV(RAND())</f>
        <v>1.8707027429012139E-2</v>
      </c>
      <c r="T6283" s="59">
        <f ca="1">Dashboard!C$8* Dashboard!$F$4+Dashboard!C$10*SQRT(Dashboard!$F$4) * _xlfn.NORM.S.INV(RAND())</f>
        <v>1.5854321412241947E-2</v>
      </c>
      <c r="U6283" s="59">
        <f ca="1">Dashboard!D$8* Dashboard!$F$4+Dashboard!D$10*SQRT(Dashboard!$F$4) * _xlfn.NORM.S.INV(RAND())</f>
        <v>2.4414536019565728E-2</v>
      </c>
    </row>
    <row r="6284" spans="18:21" x14ac:dyDescent="0.2">
      <c r="R6284" s="49">
        <v>6282</v>
      </c>
      <c r="S6284" s="59">
        <f ca="1">Dashboard!B$8* Dashboard!$F$4+Dashboard!B$10*SQRT(Dashboard!$F$4) * _xlfn.NORM.S.INV(RAND())</f>
        <v>-1.9869552698936345E-2</v>
      </c>
      <c r="T6284" s="59">
        <f ca="1">Dashboard!C$8* Dashboard!$F$4+Dashboard!C$10*SQRT(Dashboard!$F$4) * _xlfn.NORM.S.INV(RAND())</f>
        <v>-1.2791418456199646E-2</v>
      </c>
      <c r="U6284" s="59">
        <f ca="1">Dashboard!D$8* Dashboard!$F$4+Dashboard!D$10*SQRT(Dashboard!$F$4) * _xlfn.NORM.S.INV(RAND())</f>
        <v>4.5937616412458665E-2</v>
      </c>
    </row>
    <row r="6285" spans="18:21" x14ac:dyDescent="0.2">
      <c r="R6285" s="49">
        <v>6283</v>
      </c>
      <c r="S6285" s="59">
        <f ca="1">Dashboard!B$8* Dashboard!$F$4+Dashboard!B$10*SQRT(Dashboard!$F$4) * _xlfn.NORM.S.INV(RAND())</f>
        <v>-2.1486209349011479E-2</v>
      </c>
      <c r="T6285" s="59">
        <f ca="1">Dashboard!C$8* Dashboard!$F$4+Dashboard!C$10*SQRT(Dashboard!$F$4) * _xlfn.NORM.S.INV(RAND())</f>
        <v>-3.1789361473847831E-2</v>
      </c>
      <c r="U6285" s="59">
        <f ca="1">Dashboard!D$8* Dashboard!$F$4+Dashboard!D$10*SQRT(Dashboard!$F$4) * _xlfn.NORM.S.INV(RAND())</f>
        <v>2.2892619418672898E-3</v>
      </c>
    </row>
    <row r="6286" spans="18:21" x14ac:dyDescent="0.2">
      <c r="R6286" s="49">
        <v>6284</v>
      </c>
      <c r="S6286" s="59">
        <f ca="1">Dashboard!B$8* Dashboard!$F$4+Dashboard!B$10*SQRT(Dashboard!$F$4) * _xlfn.NORM.S.INV(RAND())</f>
        <v>-5.6684452947824482E-2</v>
      </c>
      <c r="T6286" s="59">
        <f ca="1">Dashboard!C$8* Dashboard!$F$4+Dashboard!C$10*SQRT(Dashboard!$F$4) * _xlfn.NORM.S.INV(RAND())</f>
        <v>1.8224389480887018E-2</v>
      </c>
      <c r="U6286" s="59">
        <f ca="1">Dashboard!D$8* Dashboard!$F$4+Dashboard!D$10*SQRT(Dashboard!$F$4) * _xlfn.NORM.S.INV(RAND())</f>
        <v>-5.1130885339587323E-3</v>
      </c>
    </row>
    <row r="6287" spans="18:21" x14ac:dyDescent="0.2">
      <c r="R6287" s="49">
        <v>6285</v>
      </c>
      <c r="S6287" s="59">
        <f ca="1">Dashboard!B$8* Dashboard!$F$4+Dashboard!B$10*SQRT(Dashboard!$F$4) * _xlfn.NORM.S.INV(RAND())</f>
        <v>1.7914634056133132E-2</v>
      </c>
      <c r="T6287" s="59">
        <f ca="1">Dashboard!C$8* Dashboard!$F$4+Dashboard!C$10*SQRT(Dashboard!$F$4) * _xlfn.NORM.S.INV(RAND())</f>
        <v>-3.7881039711287319E-2</v>
      </c>
      <c r="U6287" s="59">
        <f ca="1">Dashboard!D$8* Dashboard!$F$4+Dashboard!D$10*SQRT(Dashboard!$F$4) * _xlfn.NORM.S.INV(RAND())</f>
        <v>-3.1133632520313089E-2</v>
      </c>
    </row>
    <row r="6288" spans="18:21" x14ac:dyDescent="0.2">
      <c r="R6288" s="49">
        <v>6286</v>
      </c>
      <c r="S6288" s="59">
        <f ca="1">Dashboard!B$8* Dashboard!$F$4+Dashboard!B$10*SQRT(Dashboard!$F$4) * _xlfn.NORM.S.INV(RAND())</f>
        <v>-1.1788596047901617E-2</v>
      </c>
      <c r="T6288" s="59">
        <f ca="1">Dashboard!C$8* Dashboard!$F$4+Dashboard!C$10*SQRT(Dashboard!$F$4) * _xlfn.NORM.S.INV(RAND())</f>
        <v>3.1656576266498669E-2</v>
      </c>
      <c r="U6288" s="59">
        <f ca="1">Dashboard!D$8* Dashboard!$F$4+Dashboard!D$10*SQRT(Dashboard!$F$4) * _xlfn.NORM.S.INV(RAND())</f>
        <v>-2.5073109557168544E-2</v>
      </c>
    </row>
    <row r="6289" spans="18:21" x14ac:dyDescent="0.2">
      <c r="R6289" s="49">
        <v>6287</v>
      </c>
      <c r="S6289" s="59">
        <f ca="1">Dashboard!B$8* Dashboard!$F$4+Dashboard!B$10*SQRT(Dashboard!$F$4) * _xlfn.NORM.S.INV(RAND())</f>
        <v>-2.4024718047351817E-2</v>
      </c>
      <c r="T6289" s="59">
        <f ca="1">Dashboard!C$8* Dashboard!$F$4+Dashboard!C$10*SQRT(Dashboard!$F$4) * _xlfn.NORM.S.INV(RAND())</f>
        <v>6.0874131928714978E-2</v>
      </c>
      <c r="U6289" s="59">
        <f ca="1">Dashboard!D$8* Dashboard!$F$4+Dashboard!D$10*SQRT(Dashboard!$F$4) * _xlfn.NORM.S.INV(RAND())</f>
        <v>6.3747793188808105E-2</v>
      </c>
    </row>
    <row r="6290" spans="18:21" x14ac:dyDescent="0.2">
      <c r="R6290" s="49">
        <v>6288</v>
      </c>
      <c r="S6290" s="59">
        <f ca="1">Dashboard!B$8* Dashboard!$F$4+Dashboard!B$10*SQRT(Dashboard!$F$4) * _xlfn.NORM.S.INV(RAND())</f>
        <v>-2.8585419420285758E-2</v>
      </c>
      <c r="T6290" s="59">
        <f ca="1">Dashboard!C$8* Dashboard!$F$4+Dashboard!C$10*SQRT(Dashboard!$F$4) * _xlfn.NORM.S.INV(RAND())</f>
        <v>1.285364839448618E-3</v>
      </c>
      <c r="U6290" s="59">
        <f ca="1">Dashboard!D$8* Dashboard!$F$4+Dashboard!D$10*SQRT(Dashboard!$F$4) * _xlfn.NORM.S.INV(RAND())</f>
        <v>-4.302387711307443E-3</v>
      </c>
    </row>
    <row r="6291" spans="18:21" x14ac:dyDescent="0.2">
      <c r="R6291" s="49">
        <v>6289</v>
      </c>
      <c r="S6291" s="59">
        <f ca="1">Dashboard!B$8* Dashboard!$F$4+Dashboard!B$10*SQRT(Dashboard!$F$4) * _xlfn.NORM.S.INV(RAND())</f>
        <v>5.883972311743875E-2</v>
      </c>
      <c r="T6291" s="59">
        <f ca="1">Dashboard!C$8* Dashboard!$F$4+Dashboard!C$10*SQRT(Dashboard!$F$4) * _xlfn.NORM.S.INV(RAND())</f>
        <v>-3.1998941067832659E-2</v>
      </c>
      <c r="U6291" s="59">
        <f ca="1">Dashboard!D$8* Dashboard!$F$4+Dashboard!D$10*SQRT(Dashboard!$F$4) * _xlfn.NORM.S.INV(RAND())</f>
        <v>-5.4626023093149428E-2</v>
      </c>
    </row>
    <row r="6292" spans="18:21" x14ac:dyDescent="0.2">
      <c r="R6292" s="49">
        <v>6290</v>
      </c>
      <c r="S6292" s="59">
        <f ca="1">Dashboard!B$8* Dashboard!$F$4+Dashboard!B$10*SQRT(Dashboard!$F$4) * _xlfn.NORM.S.INV(RAND())</f>
        <v>-5.0957700941052708E-3</v>
      </c>
      <c r="T6292" s="59">
        <f ca="1">Dashboard!C$8* Dashboard!$F$4+Dashboard!C$10*SQRT(Dashboard!$F$4) * _xlfn.NORM.S.INV(RAND())</f>
        <v>2.4267113847556202E-2</v>
      </c>
      <c r="U6292" s="59">
        <f ca="1">Dashboard!D$8* Dashboard!$F$4+Dashboard!D$10*SQRT(Dashboard!$F$4) * _xlfn.NORM.S.INV(RAND())</f>
        <v>-2.0033029035792148E-2</v>
      </c>
    </row>
    <row r="6293" spans="18:21" x14ac:dyDescent="0.2">
      <c r="R6293" s="49">
        <v>6291</v>
      </c>
      <c r="S6293" s="59">
        <f ca="1">Dashboard!B$8* Dashboard!$F$4+Dashboard!B$10*SQRT(Dashboard!$F$4) * _xlfn.NORM.S.INV(RAND())</f>
        <v>5.9976079723389839E-3</v>
      </c>
      <c r="T6293" s="59">
        <f ca="1">Dashboard!C$8* Dashboard!$F$4+Dashboard!C$10*SQRT(Dashboard!$F$4) * _xlfn.NORM.S.INV(RAND())</f>
        <v>-1.4623199114118949E-3</v>
      </c>
      <c r="U6293" s="59">
        <f ca="1">Dashboard!D$8* Dashboard!$F$4+Dashboard!D$10*SQRT(Dashboard!$F$4) * _xlfn.NORM.S.INV(RAND())</f>
        <v>2.679541822684325E-2</v>
      </c>
    </row>
    <row r="6294" spans="18:21" x14ac:dyDescent="0.2">
      <c r="R6294" s="49">
        <v>6292</v>
      </c>
      <c r="S6294" s="59">
        <f ca="1">Dashboard!B$8* Dashboard!$F$4+Dashboard!B$10*SQRT(Dashboard!$F$4) * _xlfn.NORM.S.INV(RAND())</f>
        <v>3.3150154712954384E-2</v>
      </c>
      <c r="T6294" s="59">
        <f ca="1">Dashboard!C$8* Dashboard!$F$4+Dashboard!C$10*SQRT(Dashboard!$F$4) * _xlfn.NORM.S.INV(RAND())</f>
        <v>2.2468945144671847E-3</v>
      </c>
      <c r="U6294" s="59">
        <f ca="1">Dashboard!D$8* Dashboard!$F$4+Dashboard!D$10*SQRT(Dashboard!$F$4) * _xlfn.NORM.S.INV(RAND())</f>
        <v>1.9817678956179446E-2</v>
      </c>
    </row>
    <row r="6295" spans="18:21" x14ac:dyDescent="0.2">
      <c r="R6295" s="49">
        <v>6293</v>
      </c>
      <c r="S6295" s="59">
        <f ca="1">Dashboard!B$8* Dashboard!$F$4+Dashboard!B$10*SQRT(Dashboard!$F$4) * _xlfn.NORM.S.INV(RAND())</f>
        <v>3.6223358416144665E-3</v>
      </c>
      <c r="T6295" s="59">
        <f ca="1">Dashboard!C$8* Dashboard!$F$4+Dashboard!C$10*SQRT(Dashboard!$F$4) * _xlfn.NORM.S.INV(RAND())</f>
        <v>-7.5778011424976642E-3</v>
      </c>
      <c r="U6295" s="59">
        <f ca="1">Dashboard!D$8* Dashboard!$F$4+Dashboard!D$10*SQRT(Dashboard!$F$4) * _xlfn.NORM.S.INV(RAND())</f>
        <v>-6.3807046076606458E-3</v>
      </c>
    </row>
    <row r="6296" spans="18:21" x14ac:dyDescent="0.2">
      <c r="R6296" s="49">
        <v>6294</v>
      </c>
      <c r="S6296" s="59">
        <f ca="1">Dashboard!B$8* Dashboard!$F$4+Dashboard!B$10*SQRT(Dashboard!$F$4) * _xlfn.NORM.S.INV(RAND())</f>
        <v>-5.5174813255884064E-3</v>
      </c>
      <c r="T6296" s="59">
        <f ca="1">Dashboard!C$8* Dashboard!$F$4+Dashboard!C$10*SQRT(Dashboard!$F$4) * _xlfn.NORM.S.INV(RAND())</f>
        <v>6.5508116958041096E-2</v>
      </c>
      <c r="U6296" s="59">
        <f ca="1">Dashboard!D$8* Dashboard!$F$4+Dashboard!D$10*SQRT(Dashboard!$F$4) * _xlfn.NORM.S.INV(RAND())</f>
        <v>-1.7628789452286873E-2</v>
      </c>
    </row>
    <row r="6297" spans="18:21" x14ac:dyDescent="0.2">
      <c r="R6297" s="49">
        <v>6295</v>
      </c>
      <c r="S6297" s="59">
        <f ca="1">Dashboard!B$8* Dashboard!$F$4+Dashboard!B$10*SQRT(Dashboard!$F$4) * _xlfn.NORM.S.INV(RAND())</f>
        <v>-5.577485759673792E-2</v>
      </c>
      <c r="T6297" s="59">
        <f ca="1">Dashboard!C$8* Dashboard!$F$4+Dashboard!C$10*SQRT(Dashboard!$F$4) * _xlfn.NORM.S.INV(RAND())</f>
        <v>-9.8728893751908256E-3</v>
      </c>
      <c r="U6297" s="59">
        <f ca="1">Dashboard!D$8* Dashboard!$F$4+Dashboard!D$10*SQRT(Dashboard!$F$4) * _xlfn.NORM.S.INV(RAND())</f>
        <v>-1.0184493588515382E-2</v>
      </c>
    </row>
    <row r="6298" spans="18:21" x14ac:dyDescent="0.2">
      <c r="R6298" s="49">
        <v>6296</v>
      </c>
      <c r="S6298" s="59">
        <f ca="1">Dashboard!B$8* Dashboard!$F$4+Dashboard!B$10*SQRT(Dashboard!$F$4) * _xlfn.NORM.S.INV(RAND())</f>
        <v>-3.0138316423817993E-2</v>
      </c>
      <c r="T6298" s="59">
        <f ca="1">Dashboard!C$8* Dashboard!$F$4+Dashboard!C$10*SQRT(Dashboard!$F$4) * _xlfn.NORM.S.INV(RAND())</f>
        <v>1.1913162455186326E-2</v>
      </c>
      <c r="U6298" s="59">
        <f ca="1">Dashboard!D$8* Dashboard!$F$4+Dashboard!D$10*SQRT(Dashboard!$F$4) * _xlfn.NORM.S.INV(RAND())</f>
        <v>1.5924205396150821E-2</v>
      </c>
    </row>
    <row r="6299" spans="18:21" x14ac:dyDescent="0.2">
      <c r="R6299" s="49">
        <v>6297</v>
      </c>
      <c r="S6299" s="59">
        <f ca="1">Dashboard!B$8* Dashboard!$F$4+Dashboard!B$10*SQRT(Dashboard!$F$4) * _xlfn.NORM.S.INV(RAND())</f>
        <v>-6.5345806677922336E-2</v>
      </c>
      <c r="T6299" s="59">
        <f ca="1">Dashboard!C$8* Dashboard!$F$4+Dashboard!C$10*SQRT(Dashboard!$F$4) * _xlfn.NORM.S.INV(RAND())</f>
        <v>1.0191026359384021E-2</v>
      </c>
      <c r="U6299" s="59">
        <f ca="1">Dashboard!D$8* Dashboard!$F$4+Dashboard!D$10*SQRT(Dashboard!$F$4) * _xlfn.NORM.S.INV(RAND())</f>
        <v>6.0055892165502651E-3</v>
      </c>
    </row>
    <row r="6300" spans="18:21" x14ac:dyDescent="0.2">
      <c r="R6300" s="49">
        <v>6298</v>
      </c>
      <c r="S6300" s="59">
        <f ca="1">Dashboard!B$8* Dashboard!$F$4+Dashboard!B$10*SQRT(Dashboard!$F$4) * _xlfn.NORM.S.INV(RAND())</f>
        <v>-8.6641944265935383E-4</v>
      </c>
      <c r="T6300" s="59">
        <f ca="1">Dashboard!C$8* Dashboard!$F$4+Dashboard!C$10*SQRT(Dashboard!$F$4) * _xlfn.NORM.S.INV(RAND())</f>
        <v>1.0994201761661663E-2</v>
      </c>
      <c r="U6300" s="59">
        <f ca="1">Dashboard!D$8* Dashboard!$F$4+Dashboard!D$10*SQRT(Dashboard!$F$4) * _xlfn.NORM.S.INV(RAND())</f>
        <v>4.3657290713018604E-2</v>
      </c>
    </row>
    <row r="6301" spans="18:21" x14ac:dyDescent="0.2">
      <c r="R6301" s="49">
        <v>6299</v>
      </c>
      <c r="S6301" s="59">
        <f ca="1">Dashboard!B$8* Dashboard!$F$4+Dashboard!B$10*SQRT(Dashboard!$F$4) * _xlfn.NORM.S.INV(RAND())</f>
        <v>2.7414643354831741E-3</v>
      </c>
      <c r="T6301" s="59">
        <f ca="1">Dashboard!C$8* Dashboard!$F$4+Dashboard!C$10*SQRT(Dashboard!$F$4) * _xlfn.NORM.S.INV(RAND())</f>
        <v>1.7856829600621221E-4</v>
      </c>
      <c r="U6301" s="59">
        <f ca="1">Dashboard!D$8* Dashboard!$F$4+Dashboard!D$10*SQRT(Dashboard!$F$4) * _xlfn.NORM.S.INV(RAND())</f>
        <v>-2.7708555721609799E-2</v>
      </c>
    </row>
    <row r="6302" spans="18:21" x14ac:dyDescent="0.2">
      <c r="R6302" s="49">
        <v>6300</v>
      </c>
      <c r="S6302" s="59">
        <f ca="1">Dashboard!B$8* Dashboard!$F$4+Dashboard!B$10*SQRT(Dashboard!$F$4) * _xlfn.NORM.S.INV(RAND())</f>
        <v>-4.5472357135101608E-3</v>
      </c>
      <c r="T6302" s="59">
        <f ca="1">Dashboard!C$8* Dashboard!$F$4+Dashboard!C$10*SQRT(Dashboard!$F$4) * _xlfn.NORM.S.INV(RAND())</f>
        <v>2.7916504827035536E-2</v>
      </c>
      <c r="U6302" s="59">
        <f ca="1">Dashboard!D$8* Dashboard!$F$4+Dashboard!D$10*SQRT(Dashboard!$F$4) * _xlfn.NORM.S.INV(RAND())</f>
        <v>2.6126492130757989E-2</v>
      </c>
    </row>
    <row r="6303" spans="18:21" x14ac:dyDescent="0.2">
      <c r="R6303" s="49">
        <v>6301</v>
      </c>
      <c r="S6303" s="59">
        <f ca="1">Dashboard!B$8* Dashboard!$F$4+Dashboard!B$10*SQRT(Dashboard!$F$4) * _xlfn.NORM.S.INV(RAND())</f>
        <v>-4.7191545584076483E-2</v>
      </c>
      <c r="T6303" s="59">
        <f ca="1">Dashboard!C$8* Dashboard!$F$4+Dashboard!C$10*SQRT(Dashboard!$F$4) * _xlfn.NORM.S.INV(RAND())</f>
        <v>-3.3444508238204178E-3</v>
      </c>
      <c r="U6303" s="59">
        <f ca="1">Dashboard!D$8* Dashboard!$F$4+Dashboard!D$10*SQRT(Dashboard!$F$4) * _xlfn.NORM.S.INV(RAND())</f>
        <v>-7.6763385376338297E-2</v>
      </c>
    </row>
    <row r="6304" spans="18:21" x14ac:dyDescent="0.2">
      <c r="R6304" s="49">
        <v>6302</v>
      </c>
      <c r="S6304" s="59">
        <f ca="1">Dashboard!B$8* Dashboard!$F$4+Dashboard!B$10*SQRT(Dashboard!$F$4) * _xlfn.NORM.S.INV(RAND())</f>
        <v>4.2582384413306834E-2</v>
      </c>
      <c r="T6304" s="59">
        <f ca="1">Dashboard!C$8* Dashboard!$F$4+Dashboard!C$10*SQRT(Dashboard!$F$4) * _xlfn.NORM.S.INV(RAND())</f>
        <v>3.8965846412818958E-2</v>
      </c>
      <c r="U6304" s="59">
        <f ca="1">Dashboard!D$8* Dashboard!$F$4+Dashboard!D$10*SQRT(Dashboard!$F$4) * _xlfn.NORM.S.INV(RAND())</f>
        <v>-3.6144441749701176E-2</v>
      </c>
    </row>
    <row r="6305" spans="18:21" x14ac:dyDescent="0.2">
      <c r="R6305" s="49">
        <v>6303</v>
      </c>
      <c r="S6305" s="59">
        <f ca="1">Dashboard!B$8* Dashboard!$F$4+Dashboard!B$10*SQRT(Dashboard!$F$4) * _xlfn.NORM.S.INV(RAND())</f>
        <v>3.4283769125951345E-2</v>
      </c>
      <c r="T6305" s="59">
        <f ca="1">Dashboard!C$8* Dashboard!$F$4+Dashboard!C$10*SQRT(Dashboard!$F$4) * _xlfn.NORM.S.INV(RAND())</f>
        <v>-2.1194570025524252E-2</v>
      </c>
      <c r="U6305" s="59">
        <f ca="1">Dashboard!D$8* Dashboard!$F$4+Dashboard!D$10*SQRT(Dashboard!$F$4) * _xlfn.NORM.S.INV(RAND())</f>
        <v>-7.7219804545821964E-4</v>
      </c>
    </row>
    <row r="6306" spans="18:21" x14ac:dyDescent="0.2">
      <c r="R6306" s="49">
        <v>6304</v>
      </c>
      <c r="S6306" s="59">
        <f ca="1">Dashboard!B$8* Dashboard!$F$4+Dashboard!B$10*SQRT(Dashboard!$F$4) * _xlfn.NORM.S.INV(RAND())</f>
        <v>-6.0108566817935631E-2</v>
      </c>
      <c r="T6306" s="59">
        <f ca="1">Dashboard!C$8* Dashboard!$F$4+Dashboard!C$10*SQRT(Dashboard!$F$4) * _xlfn.NORM.S.INV(RAND())</f>
        <v>1.4041690144839837E-2</v>
      </c>
      <c r="U6306" s="59">
        <f ca="1">Dashboard!D$8* Dashboard!$F$4+Dashboard!D$10*SQRT(Dashboard!$F$4) * _xlfn.NORM.S.INV(RAND())</f>
        <v>-3.8709056673330473E-2</v>
      </c>
    </row>
    <row r="6307" spans="18:21" x14ac:dyDescent="0.2">
      <c r="R6307" s="49">
        <v>6305</v>
      </c>
      <c r="S6307" s="59">
        <f ca="1">Dashboard!B$8* Dashboard!$F$4+Dashboard!B$10*SQRT(Dashboard!$F$4) * _xlfn.NORM.S.INV(RAND())</f>
        <v>-5.6443747709575109E-2</v>
      </c>
      <c r="T6307" s="59">
        <f ca="1">Dashboard!C$8* Dashboard!$F$4+Dashboard!C$10*SQRT(Dashboard!$F$4) * _xlfn.NORM.S.INV(RAND())</f>
        <v>1.2485741680815888E-2</v>
      </c>
      <c r="U6307" s="59">
        <f ca="1">Dashboard!D$8* Dashboard!$F$4+Dashboard!D$10*SQRT(Dashboard!$F$4) * _xlfn.NORM.S.INV(RAND())</f>
        <v>2.8498121440595721E-2</v>
      </c>
    </row>
    <row r="6308" spans="18:21" x14ac:dyDescent="0.2">
      <c r="R6308" s="49">
        <v>6306</v>
      </c>
      <c r="S6308" s="59">
        <f ca="1">Dashboard!B$8* Dashboard!$F$4+Dashboard!B$10*SQRT(Dashboard!$F$4) * _xlfn.NORM.S.INV(RAND())</f>
        <v>-6.4936358416506565E-2</v>
      </c>
      <c r="T6308" s="59">
        <f ca="1">Dashboard!C$8* Dashboard!$F$4+Dashboard!C$10*SQRT(Dashboard!$F$4) * _xlfn.NORM.S.INV(RAND())</f>
        <v>6.1408265810798383E-2</v>
      </c>
      <c r="U6308" s="59">
        <f ca="1">Dashboard!D$8* Dashboard!$F$4+Dashboard!D$10*SQRT(Dashboard!$F$4) * _xlfn.NORM.S.INV(RAND())</f>
        <v>9.9115377456757608E-2</v>
      </c>
    </row>
    <row r="6309" spans="18:21" x14ac:dyDescent="0.2">
      <c r="R6309" s="49">
        <v>6307</v>
      </c>
      <c r="S6309" s="59">
        <f ca="1">Dashboard!B$8* Dashboard!$F$4+Dashboard!B$10*SQRT(Dashboard!$F$4) * _xlfn.NORM.S.INV(RAND())</f>
        <v>-1.8378985908485735E-2</v>
      </c>
      <c r="T6309" s="59">
        <f ca="1">Dashboard!C$8* Dashboard!$F$4+Dashboard!C$10*SQRT(Dashboard!$F$4) * _xlfn.NORM.S.INV(RAND())</f>
        <v>3.9689818140657772E-2</v>
      </c>
      <c r="U6309" s="59">
        <f ca="1">Dashboard!D$8* Dashboard!$F$4+Dashboard!D$10*SQRT(Dashboard!$F$4) * _xlfn.NORM.S.INV(RAND())</f>
        <v>-2.4840108023934312E-2</v>
      </c>
    </row>
    <row r="6310" spans="18:21" x14ac:dyDescent="0.2">
      <c r="R6310" s="49">
        <v>6308</v>
      </c>
      <c r="S6310" s="59">
        <f ca="1">Dashboard!B$8* Dashboard!$F$4+Dashboard!B$10*SQRT(Dashboard!$F$4) * _xlfn.NORM.S.INV(RAND())</f>
        <v>-1.5028999021617454E-2</v>
      </c>
      <c r="T6310" s="59">
        <f ca="1">Dashboard!C$8* Dashboard!$F$4+Dashboard!C$10*SQRT(Dashboard!$F$4) * _xlfn.NORM.S.INV(RAND())</f>
        <v>5.6952868183307494E-3</v>
      </c>
      <c r="U6310" s="59">
        <f ca="1">Dashboard!D$8* Dashboard!$F$4+Dashboard!D$10*SQRT(Dashboard!$F$4) * _xlfn.NORM.S.INV(RAND())</f>
        <v>-2.6586906564380942E-2</v>
      </c>
    </row>
    <row r="6311" spans="18:21" x14ac:dyDescent="0.2">
      <c r="R6311" s="49">
        <v>6309</v>
      </c>
      <c r="S6311" s="59">
        <f ca="1">Dashboard!B$8* Dashboard!$F$4+Dashboard!B$10*SQRT(Dashboard!$F$4) * _xlfn.NORM.S.INV(RAND())</f>
        <v>2.3468160585018251E-2</v>
      </c>
      <c r="T6311" s="59">
        <f ca="1">Dashboard!C$8* Dashboard!$F$4+Dashboard!C$10*SQRT(Dashboard!$F$4) * _xlfn.NORM.S.INV(RAND())</f>
        <v>-5.3613138372235601E-2</v>
      </c>
      <c r="U6311" s="59">
        <f ca="1">Dashboard!D$8* Dashboard!$F$4+Dashboard!D$10*SQRT(Dashboard!$F$4) * _xlfn.NORM.S.INV(RAND())</f>
        <v>-1.677971666019993E-2</v>
      </c>
    </row>
    <row r="6312" spans="18:21" x14ac:dyDescent="0.2">
      <c r="R6312" s="49">
        <v>6310</v>
      </c>
      <c r="S6312" s="59">
        <f ca="1">Dashboard!B$8* Dashboard!$F$4+Dashboard!B$10*SQRT(Dashboard!$F$4) * _xlfn.NORM.S.INV(RAND())</f>
        <v>-4.9333019095160198E-2</v>
      </c>
      <c r="T6312" s="59">
        <f ca="1">Dashboard!C$8* Dashboard!$F$4+Dashboard!C$10*SQRT(Dashboard!$F$4) * _xlfn.NORM.S.INV(RAND())</f>
        <v>1.6479386734106937E-2</v>
      </c>
      <c r="U6312" s="59">
        <f ca="1">Dashboard!D$8* Dashboard!$F$4+Dashboard!D$10*SQRT(Dashboard!$F$4) * _xlfn.NORM.S.INV(RAND())</f>
        <v>-2.7711521677243637E-3</v>
      </c>
    </row>
    <row r="6313" spans="18:21" x14ac:dyDescent="0.2">
      <c r="R6313" s="49">
        <v>6311</v>
      </c>
      <c r="S6313" s="59">
        <f ca="1">Dashboard!B$8* Dashboard!$F$4+Dashboard!B$10*SQRT(Dashboard!$F$4) * _xlfn.NORM.S.INV(RAND())</f>
        <v>-1.844173074940976E-2</v>
      </c>
      <c r="T6313" s="59">
        <f ca="1">Dashboard!C$8* Dashboard!$F$4+Dashboard!C$10*SQRT(Dashboard!$F$4) * _xlfn.NORM.S.INV(RAND())</f>
        <v>2.2340475868673124E-3</v>
      </c>
      <c r="U6313" s="59">
        <f ca="1">Dashboard!D$8* Dashboard!$F$4+Dashboard!D$10*SQRT(Dashboard!$F$4) * _xlfn.NORM.S.INV(RAND())</f>
        <v>5.0642974551784931E-2</v>
      </c>
    </row>
    <row r="6314" spans="18:21" x14ac:dyDescent="0.2">
      <c r="R6314" s="49">
        <v>6312</v>
      </c>
      <c r="S6314" s="59">
        <f ca="1">Dashboard!B$8* Dashboard!$F$4+Dashboard!B$10*SQRT(Dashboard!$F$4) * _xlfn.NORM.S.INV(RAND())</f>
        <v>-1.6310884519108164E-2</v>
      </c>
      <c r="T6314" s="59">
        <f ca="1">Dashboard!C$8* Dashboard!$F$4+Dashboard!C$10*SQRT(Dashboard!$F$4) * _xlfn.NORM.S.INV(RAND())</f>
        <v>5.3707797651846953E-2</v>
      </c>
      <c r="U6314" s="59">
        <f ca="1">Dashboard!D$8* Dashboard!$F$4+Dashboard!D$10*SQRT(Dashboard!$F$4) * _xlfn.NORM.S.INV(RAND())</f>
        <v>2.117197770048776E-2</v>
      </c>
    </row>
    <row r="6315" spans="18:21" x14ac:dyDescent="0.2">
      <c r="R6315" s="49">
        <v>6313</v>
      </c>
      <c r="S6315" s="59">
        <f ca="1">Dashboard!B$8* Dashboard!$F$4+Dashboard!B$10*SQRT(Dashboard!$F$4) * _xlfn.NORM.S.INV(RAND())</f>
        <v>-2.6740292440643618E-2</v>
      </c>
      <c r="T6315" s="59">
        <f ca="1">Dashboard!C$8* Dashboard!$F$4+Dashboard!C$10*SQRT(Dashboard!$F$4) * _xlfn.NORM.S.INV(RAND())</f>
        <v>1.8161741287183817E-2</v>
      </c>
      <c r="U6315" s="59">
        <f ca="1">Dashboard!D$8* Dashboard!$F$4+Dashboard!D$10*SQRT(Dashboard!$F$4) * _xlfn.NORM.S.INV(RAND())</f>
        <v>-7.4016864635041632E-2</v>
      </c>
    </row>
    <row r="6316" spans="18:21" x14ac:dyDescent="0.2">
      <c r="R6316" s="49">
        <v>6314</v>
      </c>
      <c r="S6316" s="59">
        <f ca="1">Dashboard!B$8* Dashboard!$F$4+Dashboard!B$10*SQRT(Dashboard!$F$4) * _xlfn.NORM.S.INV(RAND())</f>
        <v>1.1144433996535016E-2</v>
      </c>
      <c r="T6316" s="59">
        <f ca="1">Dashboard!C$8* Dashboard!$F$4+Dashboard!C$10*SQRT(Dashboard!$F$4) * _xlfn.NORM.S.INV(RAND())</f>
        <v>-1.7162558708192582E-2</v>
      </c>
      <c r="U6316" s="59">
        <f ca="1">Dashboard!D$8* Dashboard!$F$4+Dashboard!D$10*SQRT(Dashboard!$F$4) * _xlfn.NORM.S.INV(RAND())</f>
        <v>5.6071286041749047E-2</v>
      </c>
    </row>
    <row r="6317" spans="18:21" x14ac:dyDescent="0.2">
      <c r="R6317" s="49">
        <v>6315</v>
      </c>
      <c r="S6317" s="59">
        <f ca="1">Dashboard!B$8* Dashboard!$F$4+Dashboard!B$10*SQRT(Dashboard!$F$4) * _xlfn.NORM.S.INV(RAND())</f>
        <v>2.2850716701120995E-2</v>
      </c>
      <c r="T6317" s="59">
        <f ca="1">Dashboard!C$8* Dashboard!$F$4+Dashboard!C$10*SQRT(Dashboard!$F$4) * _xlfn.NORM.S.INV(RAND())</f>
        <v>-1.5340044651122355E-2</v>
      </c>
      <c r="U6317" s="59">
        <f ca="1">Dashboard!D$8* Dashboard!$F$4+Dashboard!D$10*SQRT(Dashboard!$F$4) * _xlfn.NORM.S.INV(RAND())</f>
        <v>-4.2781171948110047E-3</v>
      </c>
    </row>
    <row r="6318" spans="18:21" x14ac:dyDescent="0.2">
      <c r="R6318" s="49">
        <v>6316</v>
      </c>
      <c r="S6318" s="59">
        <f ca="1">Dashboard!B$8* Dashboard!$F$4+Dashboard!B$10*SQRT(Dashboard!$F$4) * _xlfn.NORM.S.INV(RAND())</f>
        <v>-5.2650605036967904E-2</v>
      </c>
      <c r="T6318" s="59">
        <f ca="1">Dashboard!C$8* Dashboard!$F$4+Dashboard!C$10*SQRT(Dashboard!$F$4) * _xlfn.NORM.S.INV(RAND())</f>
        <v>-3.3033137328246844E-2</v>
      </c>
      <c r="U6318" s="59">
        <f ca="1">Dashboard!D$8* Dashboard!$F$4+Dashboard!D$10*SQRT(Dashboard!$F$4) * _xlfn.NORM.S.INV(RAND())</f>
        <v>1.4321288922215899E-2</v>
      </c>
    </row>
    <row r="6319" spans="18:21" x14ac:dyDescent="0.2">
      <c r="R6319" s="49">
        <v>6317</v>
      </c>
      <c r="S6319" s="59">
        <f ca="1">Dashboard!B$8* Dashboard!$F$4+Dashboard!B$10*SQRT(Dashboard!$F$4) * _xlfn.NORM.S.INV(RAND())</f>
        <v>4.6895551653872929E-2</v>
      </c>
      <c r="T6319" s="59">
        <f ca="1">Dashboard!C$8* Dashboard!$F$4+Dashboard!C$10*SQRT(Dashboard!$F$4) * _xlfn.NORM.S.INV(RAND())</f>
        <v>-8.7071840031284195E-2</v>
      </c>
      <c r="U6319" s="59">
        <f ca="1">Dashboard!D$8* Dashboard!$F$4+Dashboard!D$10*SQRT(Dashboard!$F$4) * _xlfn.NORM.S.INV(RAND())</f>
        <v>-3.7542996571697101E-2</v>
      </c>
    </row>
    <row r="6320" spans="18:21" x14ac:dyDescent="0.2">
      <c r="R6320" s="49">
        <v>6318</v>
      </c>
      <c r="S6320" s="59">
        <f ca="1">Dashboard!B$8* Dashboard!$F$4+Dashboard!B$10*SQRT(Dashboard!$F$4) * _xlfn.NORM.S.INV(RAND())</f>
        <v>-3.5053085586999128E-2</v>
      </c>
      <c r="T6320" s="59">
        <f ca="1">Dashboard!C$8* Dashboard!$F$4+Dashboard!C$10*SQRT(Dashboard!$F$4) * _xlfn.NORM.S.INV(RAND())</f>
        <v>-2.9452214476881327E-2</v>
      </c>
      <c r="U6320" s="59">
        <f ca="1">Dashboard!D$8* Dashboard!$F$4+Dashboard!D$10*SQRT(Dashboard!$F$4) * _xlfn.NORM.S.INV(RAND())</f>
        <v>-2.9319398101651385E-2</v>
      </c>
    </row>
    <row r="6321" spans="18:21" x14ac:dyDescent="0.2">
      <c r="R6321" s="49">
        <v>6319</v>
      </c>
      <c r="S6321" s="59">
        <f ca="1">Dashboard!B$8* Dashboard!$F$4+Dashboard!B$10*SQRT(Dashboard!$F$4) * _xlfn.NORM.S.INV(RAND())</f>
        <v>1.407113577856056E-2</v>
      </c>
      <c r="T6321" s="59">
        <f ca="1">Dashboard!C$8* Dashboard!$F$4+Dashboard!C$10*SQRT(Dashboard!$F$4) * _xlfn.NORM.S.INV(RAND())</f>
        <v>-4.0815979432306623E-2</v>
      </c>
      <c r="U6321" s="59">
        <f ca="1">Dashboard!D$8* Dashboard!$F$4+Dashboard!D$10*SQRT(Dashboard!$F$4) * _xlfn.NORM.S.INV(RAND())</f>
        <v>-4.498984159206533E-2</v>
      </c>
    </row>
    <row r="6322" spans="18:21" x14ac:dyDescent="0.2">
      <c r="R6322" s="49">
        <v>6320</v>
      </c>
      <c r="S6322" s="59">
        <f ca="1">Dashboard!B$8* Dashboard!$F$4+Dashboard!B$10*SQRT(Dashboard!$F$4) * _xlfn.NORM.S.INV(RAND())</f>
        <v>-1.7036014594289849E-2</v>
      </c>
      <c r="T6322" s="59">
        <f ca="1">Dashboard!C$8* Dashboard!$F$4+Dashboard!C$10*SQRT(Dashboard!$F$4) * _xlfn.NORM.S.INV(RAND())</f>
        <v>-6.064375228839289E-3</v>
      </c>
      <c r="U6322" s="59">
        <f ca="1">Dashboard!D$8* Dashboard!$F$4+Dashboard!D$10*SQRT(Dashboard!$F$4) * _xlfn.NORM.S.INV(RAND())</f>
        <v>-2.4928068622488211E-2</v>
      </c>
    </row>
    <row r="6323" spans="18:21" x14ac:dyDescent="0.2">
      <c r="R6323" s="49">
        <v>6321</v>
      </c>
      <c r="S6323" s="59">
        <f ca="1">Dashboard!B$8* Dashboard!$F$4+Dashboard!B$10*SQRT(Dashboard!$F$4) * _xlfn.NORM.S.INV(RAND())</f>
        <v>-4.2833893958186417E-2</v>
      </c>
      <c r="T6323" s="59">
        <f ca="1">Dashboard!C$8* Dashboard!$F$4+Dashboard!C$10*SQRT(Dashboard!$F$4) * _xlfn.NORM.S.INV(RAND())</f>
        <v>-6.9597004817661999E-3</v>
      </c>
      <c r="U6323" s="59">
        <f ca="1">Dashboard!D$8* Dashboard!$F$4+Dashboard!D$10*SQRT(Dashboard!$F$4) * _xlfn.NORM.S.INV(RAND())</f>
        <v>-2.6724524064380233E-2</v>
      </c>
    </row>
    <row r="6324" spans="18:21" x14ac:dyDescent="0.2">
      <c r="R6324" s="49">
        <v>6322</v>
      </c>
      <c r="S6324" s="59">
        <f ca="1">Dashboard!B$8* Dashboard!$F$4+Dashboard!B$10*SQRT(Dashboard!$F$4) * _xlfn.NORM.S.INV(RAND())</f>
        <v>-4.4870719429277719E-3</v>
      </c>
      <c r="T6324" s="59">
        <f ca="1">Dashboard!C$8* Dashboard!$F$4+Dashboard!C$10*SQRT(Dashboard!$F$4) * _xlfn.NORM.S.INV(RAND())</f>
        <v>6.9740321107388897E-2</v>
      </c>
      <c r="U6324" s="59">
        <f ca="1">Dashboard!D$8* Dashboard!$F$4+Dashboard!D$10*SQRT(Dashboard!$F$4) * _xlfn.NORM.S.INV(RAND())</f>
        <v>-4.5790860758754541E-2</v>
      </c>
    </row>
    <row r="6325" spans="18:21" x14ac:dyDescent="0.2">
      <c r="R6325" s="49">
        <v>6323</v>
      </c>
      <c r="S6325" s="59">
        <f ca="1">Dashboard!B$8* Dashboard!$F$4+Dashboard!B$10*SQRT(Dashboard!$F$4) * _xlfn.NORM.S.INV(RAND())</f>
        <v>-5.2857683352436277E-2</v>
      </c>
      <c r="T6325" s="59">
        <f ca="1">Dashboard!C$8* Dashboard!$F$4+Dashboard!C$10*SQRT(Dashboard!$F$4) * _xlfn.NORM.S.INV(RAND())</f>
        <v>4.4067440296897034E-2</v>
      </c>
      <c r="U6325" s="59">
        <f ca="1">Dashboard!D$8* Dashboard!$F$4+Dashboard!D$10*SQRT(Dashboard!$F$4) * _xlfn.NORM.S.INV(RAND())</f>
        <v>2.0341833736585557E-3</v>
      </c>
    </row>
    <row r="6326" spans="18:21" x14ac:dyDescent="0.2">
      <c r="R6326" s="49">
        <v>6324</v>
      </c>
      <c r="S6326" s="59">
        <f ca="1">Dashboard!B$8* Dashboard!$F$4+Dashboard!B$10*SQRT(Dashboard!$F$4) * _xlfn.NORM.S.INV(RAND())</f>
        <v>7.0542152063741322E-3</v>
      </c>
      <c r="T6326" s="59">
        <f ca="1">Dashboard!C$8* Dashboard!$F$4+Dashboard!C$10*SQRT(Dashboard!$F$4) * _xlfn.NORM.S.INV(RAND())</f>
        <v>7.8146319165164305E-2</v>
      </c>
      <c r="U6326" s="59">
        <f ca="1">Dashboard!D$8* Dashboard!$F$4+Dashboard!D$10*SQRT(Dashboard!$F$4) * _xlfn.NORM.S.INV(RAND())</f>
        <v>3.1221574670387484E-3</v>
      </c>
    </row>
    <row r="6327" spans="18:21" x14ac:dyDescent="0.2">
      <c r="R6327" s="49">
        <v>6325</v>
      </c>
      <c r="S6327" s="59">
        <f ca="1">Dashboard!B$8* Dashboard!$F$4+Dashboard!B$10*SQRT(Dashboard!$F$4) * _xlfn.NORM.S.INV(RAND())</f>
        <v>-5.5708165479710081E-2</v>
      </c>
      <c r="T6327" s="59">
        <f ca="1">Dashboard!C$8* Dashboard!$F$4+Dashboard!C$10*SQRT(Dashboard!$F$4) * _xlfn.NORM.S.INV(RAND())</f>
        <v>-2.0400804532456039E-2</v>
      </c>
      <c r="U6327" s="59">
        <f ca="1">Dashboard!D$8* Dashboard!$F$4+Dashboard!D$10*SQRT(Dashboard!$F$4) * _xlfn.NORM.S.INV(RAND())</f>
        <v>5.5338962318735793E-2</v>
      </c>
    </row>
    <row r="6328" spans="18:21" x14ac:dyDescent="0.2">
      <c r="R6328" s="49">
        <v>6326</v>
      </c>
      <c r="S6328" s="59">
        <f ca="1">Dashboard!B$8* Dashboard!$F$4+Dashboard!B$10*SQRT(Dashboard!$F$4) * _xlfn.NORM.S.INV(RAND())</f>
        <v>-1.0685475882035486E-2</v>
      </c>
      <c r="T6328" s="59">
        <f ca="1">Dashboard!C$8* Dashboard!$F$4+Dashboard!C$10*SQRT(Dashboard!$F$4) * _xlfn.NORM.S.INV(RAND())</f>
        <v>1.0071958782974798E-2</v>
      </c>
      <c r="U6328" s="59">
        <f ca="1">Dashboard!D$8* Dashboard!$F$4+Dashboard!D$10*SQRT(Dashboard!$F$4) * _xlfn.NORM.S.INV(RAND())</f>
        <v>-6.4463209059824446E-3</v>
      </c>
    </row>
    <row r="6329" spans="18:21" x14ac:dyDescent="0.2">
      <c r="R6329" s="49">
        <v>6327</v>
      </c>
      <c r="S6329" s="59">
        <f ca="1">Dashboard!B$8* Dashboard!$F$4+Dashboard!B$10*SQRT(Dashboard!$F$4) * _xlfn.NORM.S.INV(RAND())</f>
        <v>5.9313343633708455E-3</v>
      </c>
      <c r="T6329" s="59">
        <f ca="1">Dashboard!C$8* Dashboard!$F$4+Dashboard!C$10*SQRT(Dashboard!$F$4) * _xlfn.NORM.S.INV(RAND())</f>
        <v>4.7387566984598561E-2</v>
      </c>
      <c r="U6329" s="59">
        <f ca="1">Dashboard!D$8* Dashboard!$F$4+Dashboard!D$10*SQRT(Dashboard!$F$4) * _xlfn.NORM.S.INV(RAND())</f>
        <v>3.4627309563356697E-2</v>
      </c>
    </row>
    <row r="6330" spans="18:21" x14ac:dyDescent="0.2">
      <c r="R6330" s="49">
        <v>6328</v>
      </c>
      <c r="S6330" s="59">
        <f ca="1">Dashboard!B$8* Dashboard!$F$4+Dashboard!B$10*SQRT(Dashboard!$F$4) * _xlfn.NORM.S.INV(RAND())</f>
        <v>2.8883234869462968E-2</v>
      </c>
      <c r="T6330" s="59">
        <f ca="1">Dashboard!C$8* Dashboard!$F$4+Dashboard!C$10*SQRT(Dashboard!$F$4) * _xlfn.NORM.S.INV(RAND())</f>
        <v>-1.0216776668737788E-2</v>
      </c>
      <c r="U6330" s="59">
        <f ca="1">Dashboard!D$8* Dashboard!$F$4+Dashboard!D$10*SQRT(Dashboard!$F$4) * _xlfn.NORM.S.INV(RAND())</f>
        <v>2.8555843949158551E-2</v>
      </c>
    </row>
    <row r="6331" spans="18:21" x14ac:dyDescent="0.2">
      <c r="R6331" s="49">
        <v>6329</v>
      </c>
      <c r="S6331" s="59">
        <f ca="1">Dashboard!B$8* Dashboard!$F$4+Dashboard!B$10*SQRT(Dashboard!$F$4) * _xlfn.NORM.S.INV(RAND())</f>
        <v>1.777033144187537E-2</v>
      </c>
      <c r="T6331" s="59">
        <f ca="1">Dashboard!C$8* Dashboard!$F$4+Dashboard!C$10*SQRT(Dashboard!$F$4) * _xlfn.NORM.S.INV(RAND())</f>
        <v>1.0856300544881617E-2</v>
      </c>
      <c r="U6331" s="59">
        <f ca="1">Dashboard!D$8* Dashboard!$F$4+Dashboard!D$10*SQRT(Dashboard!$F$4) * _xlfn.NORM.S.INV(RAND())</f>
        <v>-1.969573952250811E-2</v>
      </c>
    </row>
    <row r="6332" spans="18:21" x14ac:dyDescent="0.2">
      <c r="R6332" s="49">
        <v>6330</v>
      </c>
      <c r="S6332" s="59">
        <f ca="1">Dashboard!B$8* Dashboard!$F$4+Dashboard!B$10*SQRT(Dashboard!$F$4) * _xlfn.NORM.S.INV(RAND())</f>
        <v>1.939464263737229E-2</v>
      </c>
      <c r="T6332" s="59">
        <f ca="1">Dashboard!C$8* Dashboard!$F$4+Dashboard!C$10*SQRT(Dashboard!$F$4) * _xlfn.NORM.S.INV(RAND())</f>
        <v>4.1154146009957371E-2</v>
      </c>
      <c r="U6332" s="59">
        <f ca="1">Dashboard!D$8* Dashboard!$F$4+Dashboard!D$10*SQRT(Dashboard!$F$4) * _xlfn.NORM.S.INV(RAND())</f>
        <v>4.3066043685361939E-4</v>
      </c>
    </row>
    <row r="6333" spans="18:21" x14ac:dyDescent="0.2">
      <c r="R6333" s="49">
        <v>6331</v>
      </c>
      <c r="S6333" s="59">
        <f ca="1">Dashboard!B$8* Dashboard!$F$4+Dashboard!B$10*SQRT(Dashboard!$F$4) * _xlfn.NORM.S.INV(RAND())</f>
        <v>-2.4765286736980578E-2</v>
      </c>
      <c r="T6333" s="59">
        <f ca="1">Dashboard!C$8* Dashboard!$F$4+Dashboard!C$10*SQRT(Dashboard!$F$4) * _xlfn.NORM.S.INV(RAND())</f>
        <v>2.5104805449260989E-3</v>
      </c>
      <c r="U6333" s="59">
        <f ca="1">Dashboard!D$8* Dashboard!$F$4+Dashboard!D$10*SQRT(Dashboard!$F$4) * _xlfn.NORM.S.INV(RAND())</f>
        <v>1.8546548456570857E-2</v>
      </c>
    </row>
    <row r="6334" spans="18:21" x14ac:dyDescent="0.2">
      <c r="R6334" s="49">
        <v>6332</v>
      </c>
      <c r="S6334" s="59">
        <f ca="1">Dashboard!B$8* Dashboard!$F$4+Dashboard!B$10*SQRT(Dashboard!$F$4) * _xlfn.NORM.S.INV(RAND())</f>
        <v>1.2999173892625745E-2</v>
      </c>
      <c r="T6334" s="59">
        <f ca="1">Dashboard!C$8* Dashboard!$F$4+Dashboard!C$10*SQRT(Dashboard!$F$4) * _xlfn.NORM.S.INV(RAND())</f>
        <v>-6.1011512738317411E-2</v>
      </c>
      <c r="U6334" s="59">
        <f ca="1">Dashboard!D$8* Dashboard!$F$4+Dashboard!D$10*SQRT(Dashboard!$F$4) * _xlfn.NORM.S.INV(RAND())</f>
        <v>4.284426874818296E-3</v>
      </c>
    </row>
    <row r="6335" spans="18:21" x14ac:dyDescent="0.2">
      <c r="R6335" s="49">
        <v>6333</v>
      </c>
      <c r="S6335" s="59">
        <f ca="1">Dashboard!B$8* Dashboard!$F$4+Dashboard!B$10*SQRT(Dashboard!$F$4) * _xlfn.NORM.S.INV(RAND())</f>
        <v>3.6028564718012593E-2</v>
      </c>
      <c r="T6335" s="59">
        <f ca="1">Dashboard!C$8* Dashboard!$F$4+Dashboard!C$10*SQRT(Dashboard!$F$4) * _xlfn.NORM.S.INV(RAND())</f>
        <v>1.1241064320443865E-3</v>
      </c>
      <c r="U6335" s="59">
        <f ca="1">Dashboard!D$8* Dashboard!$F$4+Dashboard!D$10*SQRT(Dashboard!$F$4) * _xlfn.NORM.S.INV(RAND())</f>
        <v>-8.8529437337200832E-3</v>
      </c>
    </row>
    <row r="6336" spans="18:21" x14ac:dyDescent="0.2">
      <c r="R6336" s="49">
        <v>6334</v>
      </c>
      <c r="S6336" s="59">
        <f ca="1">Dashboard!B$8* Dashboard!$F$4+Dashboard!B$10*SQRT(Dashboard!$F$4) * _xlfn.NORM.S.INV(RAND())</f>
        <v>1.3900864802409188E-2</v>
      </c>
      <c r="T6336" s="59">
        <f ca="1">Dashboard!C$8* Dashboard!$F$4+Dashboard!C$10*SQRT(Dashboard!$F$4) * _xlfn.NORM.S.INV(RAND())</f>
        <v>-4.1981186537143967E-3</v>
      </c>
      <c r="U6336" s="59">
        <f ca="1">Dashboard!D$8* Dashboard!$F$4+Dashboard!D$10*SQRT(Dashboard!$F$4) * _xlfn.NORM.S.INV(RAND())</f>
        <v>3.0103731517882079E-2</v>
      </c>
    </row>
    <row r="6337" spans="18:21" x14ac:dyDescent="0.2">
      <c r="R6337" s="49">
        <v>6335</v>
      </c>
      <c r="S6337" s="59">
        <f ca="1">Dashboard!B$8* Dashboard!$F$4+Dashboard!B$10*SQRT(Dashboard!$F$4) * _xlfn.NORM.S.INV(RAND())</f>
        <v>3.9196466519478272E-2</v>
      </c>
      <c r="T6337" s="59">
        <f ca="1">Dashboard!C$8* Dashboard!$F$4+Dashboard!C$10*SQRT(Dashboard!$F$4) * _xlfn.NORM.S.INV(RAND())</f>
        <v>-5.9848875719445471E-2</v>
      </c>
      <c r="U6337" s="59">
        <f ca="1">Dashboard!D$8* Dashboard!$F$4+Dashboard!D$10*SQRT(Dashboard!$F$4) * _xlfn.NORM.S.INV(RAND())</f>
        <v>4.0188905598517566E-2</v>
      </c>
    </row>
    <row r="6338" spans="18:21" x14ac:dyDescent="0.2">
      <c r="R6338" s="49">
        <v>6336</v>
      </c>
      <c r="S6338" s="59">
        <f ca="1">Dashboard!B$8* Dashboard!$F$4+Dashboard!B$10*SQRT(Dashboard!$F$4) * _xlfn.NORM.S.INV(RAND())</f>
        <v>-3.350187019543837E-2</v>
      </c>
      <c r="T6338" s="59">
        <f ca="1">Dashboard!C$8* Dashboard!$F$4+Dashboard!C$10*SQRT(Dashboard!$F$4) * _xlfn.NORM.S.INV(RAND())</f>
        <v>7.9702490732934533E-3</v>
      </c>
      <c r="U6338" s="59">
        <f ca="1">Dashboard!D$8* Dashboard!$F$4+Dashboard!D$10*SQRT(Dashboard!$F$4) * _xlfn.NORM.S.INV(RAND())</f>
        <v>-1.4283067371854868E-3</v>
      </c>
    </row>
    <row r="6339" spans="18:21" x14ac:dyDescent="0.2">
      <c r="R6339" s="49">
        <v>6337</v>
      </c>
      <c r="S6339" s="59">
        <f ca="1">Dashboard!B$8* Dashboard!$F$4+Dashboard!B$10*SQRT(Dashboard!$F$4) * _xlfn.NORM.S.INV(RAND())</f>
        <v>5.6864667836921297E-2</v>
      </c>
      <c r="T6339" s="59">
        <f ca="1">Dashboard!C$8* Dashboard!$F$4+Dashboard!C$10*SQRT(Dashboard!$F$4) * _xlfn.NORM.S.INV(RAND())</f>
        <v>5.8565162713263355E-4</v>
      </c>
      <c r="U6339" s="59">
        <f ca="1">Dashboard!D$8* Dashboard!$F$4+Dashboard!D$10*SQRT(Dashboard!$F$4) * _xlfn.NORM.S.INV(RAND())</f>
        <v>2.4162604234991399E-2</v>
      </c>
    </row>
    <row r="6340" spans="18:21" x14ac:dyDescent="0.2">
      <c r="R6340" s="49">
        <v>6338</v>
      </c>
      <c r="S6340" s="59">
        <f ca="1">Dashboard!B$8* Dashboard!$F$4+Dashboard!B$10*SQRT(Dashboard!$F$4) * _xlfn.NORM.S.INV(RAND())</f>
        <v>4.5356980965354697E-2</v>
      </c>
      <c r="T6340" s="59">
        <f ca="1">Dashboard!C$8* Dashboard!$F$4+Dashboard!C$10*SQRT(Dashboard!$F$4) * _xlfn.NORM.S.INV(RAND())</f>
        <v>-1.4492876749405869E-2</v>
      </c>
      <c r="U6340" s="59">
        <f ca="1">Dashboard!D$8* Dashboard!$F$4+Dashboard!D$10*SQRT(Dashboard!$F$4) * _xlfn.NORM.S.INV(RAND())</f>
        <v>3.4766739565142641E-3</v>
      </c>
    </row>
    <row r="6341" spans="18:21" x14ac:dyDescent="0.2">
      <c r="R6341" s="49">
        <v>6339</v>
      </c>
      <c r="S6341" s="59">
        <f ca="1">Dashboard!B$8* Dashboard!$F$4+Dashboard!B$10*SQRT(Dashboard!$F$4) * _xlfn.NORM.S.INV(RAND())</f>
        <v>2.7899141890753404E-2</v>
      </c>
      <c r="T6341" s="59">
        <f ca="1">Dashboard!C$8* Dashboard!$F$4+Dashboard!C$10*SQRT(Dashboard!$F$4) * _xlfn.NORM.S.INV(RAND())</f>
        <v>5.6662340336841501E-3</v>
      </c>
      <c r="U6341" s="59">
        <f ca="1">Dashboard!D$8* Dashboard!$F$4+Dashboard!D$10*SQRT(Dashboard!$F$4) * _xlfn.NORM.S.INV(RAND())</f>
        <v>1.4705788137454273E-2</v>
      </c>
    </row>
    <row r="6342" spans="18:21" x14ac:dyDescent="0.2">
      <c r="R6342" s="49">
        <v>6340</v>
      </c>
      <c r="S6342" s="59">
        <f ca="1">Dashboard!B$8* Dashboard!$F$4+Dashboard!B$10*SQRT(Dashboard!$F$4) * _xlfn.NORM.S.INV(RAND())</f>
        <v>-4.5584667785928601E-3</v>
      </c>
      <c r="T6342" s="59">
        <f ca="1">Dashboard!C$8* Dashboard!$F$4+Dashboard!C$10*SQRT(Dashboard!$F$4) * _xlfn.NORM.S.INV(RAND())</f>
        <v>4.1071295796925041E-2</v>
      </c>
      <c r="U6342" s="59">
        <f ca="1">Dashboard!D$8* Dashboard!$F$4+Dashboard!D$10*SQRT(Dashboard!$F$4) * _xlfn.NORM.S.INV(RAND())</f>
        <v>9.3544583109116586E-4</v>
      </c>
    </row>
    <row r="6343" spans="18:21" x14ac:dyDescent="0.2">
      <c r="R6343" s="49">
        <v>6341</v>
      </c>
      <c r="S6343" s="59">
        <f ca="1">Dashboard!B$8* Dashboard!$F$4+Dashboard!B$10*SQRT(Dashboard!$F$4) * _xlfn.NORM.S.INV(RAND())</f>
        <v>4.9601139378368606E-3</v>
      </c>
      <c r="T6343" s="59">
        <f ca="1">Dashboard!C$8* Dashboard!$F$4+Dashboard!C$10*SQRT(Dashboard!$F$4) * _xlfn.NORM.S.INV(RAND())</f>
        <v>2.9654828902728161E-2</v>
      </c>
      <c r="U6343" s="59">
        <f ca="1">Dashboard!D$8* Dashboard!$F$4+Dashboard!D$10*SQRT(Dashboard!$F$4) * _xlfn.NORM.S.INV(RAND())</f>
        <v>-5.5132710303200862E-2</v>
      </c>
    </row>
    <row r="6344" spans="18:21" x14ac:dyDescent="0.2">
      <c r="R6344" s="49">
        <v>6342</v>
      </c>
      <c r="S6344" s="59">
        <f ca="1">Dashboard!B$8* Dashboard!$F$4+Dashboard!B$10*SQRT(Dashboard!$F$4) * _xlfn.NORM.S.INV(RAND())</f>
        <v>1.2734667730591497E-2</v>
      </c>
      <c r="T6344" s="59">
        <f ca="1">Dashboard!C$8* Dashboard!$F$4+Dashboard!C$10*SQRT(Dashboard!$F$4) * _xlfn.NORM.S.INV(RAND())</f>
        <v>1.1329379680537741E-2</v>
      </c>
      <c r="U6344" s="59">
        <f ca="1">Dashboard!D$8* Dashboard!$F$4+Dashboard!D$10*SQRT(Dashboard!$F$4) * _xlfn.NORM.S.INV(RAND())</f>
        <v>-2.3240806115790704E-3</v>
      </c>
    </row>
    <row r="6345" spans="18:21" x14ac:dyDescent="0.2">
      <c r="R6345" s="49">
        <v>6343</v>
      </c>
      <c r="S6345" s="59">
        <f ca="1">Dashboard!B$8* Dashboard!$F$4+Dashboard!B$10*SQRT(Dashboard!$F$4) * _xlfn.NORM.S.INV(RAND())</f>
        <v>4.2004642390007872E-3</v>
      </c>
      <c r="T6345" s="59">
        <f ca="1">Dashboard!C$8* Dashboard!$F$4+Dashboard!C$10*SQRT(Dashboard!$F$4) * _xlfn.NORM.S.INV(RAND())</f>
        <v>6.1870514253416376E-3</v>
      </c>
      <c r="U6345" s="59">
        <f ca="1">Dashboard!D$8* Dashboard!$F$4+Dashboard!D$10*SQRT(Dashboard!$F$4) * _xlfn.NORM.S.INV(RAND())</f>
        <v>1.1360280166469379E-2</v>
      </c>
    </row>
    <row r="6346" spans="18:21" x14ac:dyDescent="0.2">
      <c r="R6346" s="49">
        <v>6344</v>
      </c>
      <c r="S6346" s="59">
        <f ca="1">Dashboard!B$8* Dashboard!$F$4+Dashboard!B$10*SQRT(Dashboard!$F$4) * _xlfn.NORM.S.INV(RAND())</f>
        <v>-1.4907754489982645E-2</v>
      </c>
      <c r="T6346" s="59">
        <f ca="1">Dashboard!C$8* Dashboard!$F$4+Dashboard!C$10*SQRT(Dashboard!$F$4) * _xlfn.NORM.S.INV(RAND())</f>
        <v>1.2383564141151986E-2</v>
      </c>
      <c r="U6346" s="59">
        <f ca="1">Dashboard!D$8* Dashboard!$F$4+Dashboard!D$10*SQRT(Dashboard!$F$4) * _xlfn.NORM.S.INV(RAND())</f>
        <v>-4.8208681816916815E-3</v>
      </c>
    </row>
    <row r="6347" spans="18:21" x14ac:dyDescent="0.2">
      <c r="R6347" s="49">
        <v>6345</v>
      </c>
      <c r="S6347" s="59">
        <f ca="1">Dashboard!B$8* Dashboard!$F$4+Dashboard!B$10*SQRT(Dashboard!$F$4) * _xlfn.NORM.S.INV(RAND())</f>
        <v>1.0056987554695505E-2</v>
      </c>
      <c r="T6347" s="59">
        <f ca="1">Dashboard!C$8* Dashboard!$F$4+Dashboard!C$10*SQRT(Dashboard!$F$4) * _xlfn.NORM.S.INV(RAND())</f>
        <v>-4.5692593755389678E-2</v>
      </c>
      <c r="U6347" s="59">
        <f ca="1">Dashboard!D$8* Dashboard!$F$4+Dashboard!D$10*SQRT(Dashboard!$F$4) * _xlfn.NORM.S.INV(RAND())</f>
        <v>-2.1510216284944813E-2</v>
      </c>
    </row>
    <row r="6348" spans="18:21" x14ac:dyDescent="0.2">
      <c r="R6348" s="49">
        <v>6346</v>
      </c>
      <c r="S6348" s="59">
        <f ca="1">Dashboard!B$8* Dashboard!$F$4+Dashboard!B$10*SQRT(Dashboard!$F$4) * _xlfn.NORM.S.INV(RAND())</f>
        <v>-1.9460551789272189E-2</v>
      </c>
      <c r="T6348" s="59">
        <f ca="1">Dashboard!C$8* Dashboard!$F$4+Dashboard!C$10*SQRT(Dashboard!$F$4) * _xlfn.NORM.S.INV(RAND())</f>
        <v>1.4054497935774256E-2</v>
      </c>
      <c r="U6348" s="59">
        <f ca="1">Dashboard!D$8* Dashboard!$F$4+Dashboard!D$10*SQRT(Dashboard!$F$4) * _xlfn.NORM.S.INV(RAND())</f>
        <v>2.5352234571562908E-3</v>
      </c>
    </row>
    <row r="6349" spans="18:21" x14ac:dyDescent="0.2">
      <c r="R6349" s="49">
        <v>6347</v>
      </c>
      <c r="S6349" s="59">
        <f ca="1">Dashboard!B$8* Dashboard!$F$4+Dashboard!B$10*SQRT(Dashboard!$F$4) * _xlfn.NORM.S.INV(RAND())</f>
        <v>4.0545631636575541E-2</v>
      </c>
      <c r="T6349" s="59">
        <f ca="1">Dashboard!C$8* Dashboard!$F$4+Dashboard!C$10*SQRT(Dashboard!$F$4) * _xlfn.NORM.S.INV(RAND())</f>
        <v>3.3367908939196153E-2</v>
      </c>
      <c r="U6349" s="59">
        <f ca="1">Dashboard!D$8* Dashboard!$F$4+Dashboard!D$10*SQRT(Dashboard!$F$4) * _xlfn.NORM.S.INV(RAND())</f>
        <v>7.6519254171077619E-3</v>
      </c>
    </row>
    <row r="6350" spans="18:21" x14ac:dyDescent="0.2">
      <c r="R6350" s="49">
        <v>6348</v>
      </c>
      <c r="S6350" s="59">
        <f ca="1">Dashboard!B$8* Dashboard!$F$4+Dashboard!B$10*SQRT(Dashboard!$F$4) * _xlfn.NORM.S.INV(RAND())</f>
        <v>6.5504188371197133E-2</v>
      </c>
      <c r="T6350" s="59">
        <f ca="1">Dashboard!C$8* Dashboard!$F$4+Dashboard!C$10*SQRT(Dashboard!$F$4) * _xlfn.NORM.S.INV(RAND())</f>
        <v>4.4664192890434898E-2</v>
      </c>
      <c r="U6350" s="59">
        <f ca="1">Dashboard!D$8* Dashboard!$F$4+Dashboard!D$10*SQRT(Dashboard!$F$4) * _xlfn.NORM.S.INV(RAND())</f>
        <v>8.8538825048078851E-3</v>
      </c>
    </row>
    <row r="6351" spans="18:21" x14ac:dyDescent="0.2">
      <c r="R6351" s="49">
        <v>6349</v>
      </c>
      <c r="S6351" s="59">
        <f ca="1">Dashboard!B$8* Dashboard!$F$4+Dashboard!B$10*SQRT(Dashboard!$F$4) * _xlfn.NORM.S.INV(RAND())</f>
        <v>7.9647512037444249E-3</v>
      </c>
      <c r="T6351" s="59">
        <f ca="1">Dashboard!C$8* Dashboard!$F$4+Dashboard!C$10*SQRT(Dashboard!$F$4) * _xlfn.NORM.S.INV(RAND())</f>
        <v>-3.5453936443707659E-2</v>
      </c>
      <c r="U6351" s="59">
        <f ca="1">Dashboard!D$8* Dashboard!$F$4+Dashboard!D$10*SQRT(Dashboard!$F$4) * _xlfn.NORM.S.INV(RAND())</f>
        <v>-9.1300053966993297E-3</v>
      </c>
    </row>
    <row r="6352" spans="18:21" x14ac:dyDescent="0.2">
      <c r="R6352" s="49">
        <v>6350</v>
      </c>
      <c r="S6352" s="59">
        <f ca="1">Dashboard!B$8* Dashboard!$F$4+Dashboard!B$10*SQRT(Dashboard!$F$4) * _xlfn.NORM.S.INV(RAND())</f>
        <v>-1.0457517280218478E-2</v>
      </c>
      <c r="T6352" s="59">
        <f ca="1">Dashboard!C$8* Dashboard!$F$4+Dashboard!C$10*SQRT(Dashboard!$F$4) * _xlfn.NORM.S.INV(RAND())</f>
        <v>-6.1188774353567024E-2</v>
      </c>
      <c r="U6352" s="59">
        <f ca="1">Dashboard!D$8* Dashboard!$F$4+Dashboard!D$10*SQRT(Dashboard!$F$4) * _xlfn.NORM.S.INV(RAND())</f>
        <v>-1.2219060655768577E-2</v>
      </c>
    </row>
    <row r="6353" spans="18:21" x14ac:dyDescent="0.2">
      <c r="R6353" s="49">
        <v>6351</v>
      </c>
      <c r="S6353" s="59">
        <f ca="1">Dashboard!B$8* Dashboard!$F$4+Dashboard!B$10*SQRT(Dashboard!$F$4) * _xlfn.NORM.S.INV(RAND())</f>
        <v>4.2148873299894529E-3</v>
      </c>
      <c r="T6353" s="59">
        <f ca="1">Dashboard!C$8* Dashboard!$F$4+Dashboard!C$10*SQRT(Dashboard!$F$4) * _xlfn.NORM.S.INV(RAND())</f>
        <v>2.2211735538758617E-2</v>
      </c>
      <c r="U6353" s="59">
        <f ca="1">Dashboard!D$8* Dashboard!$F$4+Dashboard!D$10*SQRT(Dashboard!$F$4) * _xlfn.NORM.S.INV(RAND())</f>
        <v>2.5333578586490282E-2</v>
      </c>
    </row>
    <row r="6354" spans="18:21" x14ac:dyDescent="0.2">
      <c r="R6354" s="49">
        <v>6352</v>
      </c>
      <c r="S6354" s="59">
        <f ca="1">Dashboard!B$8* Dashboard!$F$4+Dashboard!B$10*SQRT(Dashboard!$F$4) * _xlfn.NORM.S.INV(RAND())</f>
        <v>-2.1438098988902478E-3</v>
      </c>
      <c r="T6354" s="59">
        <f ca="1">Dashboard!C$8* Dashboard!$F$4+Dashboard!C$10*SQRT(Dashboard!$F$4) * _xlfn.NORM.S.INV(RAND())</f>
        <v>-5.6350113747527597E-3</v>
      </c>
      <c r="U6354" s="59">
        <f ca="1">Dashboard!D$8* Dashboard!$F$4+Dashboard!D$10*SQRT(Dashboard!$F$4) * _xlfn.NORM.S.INV(RAND())</f>
        <v>-3.4555399371649503E-3</v>
      </c>
    </row>
    <row r="6355" spans="18:21" x14ac:dyDescent="0.2">
      <c r="R6355" s="49">
        <v>6353</v>
      </c>
      <c r="S6355" s="59">
        <f ca="1">Dashboard!B$8* Dashboard!$F$4+Dashboard!B$10*SQRT(Dashboard!$F$4) * _xlfn.NORM.S.INV(RAND())</f>
        <v>7.1250606006428102E-2</v>
      </c>
      <c r="T6355" s="59">
        <f ca="1">Dashboard!C$8* Dashboard!$F$4+Dashboard!C$10*SQRT(Dashboard!$F$4) * _xlfn.NORM.S.INV(RAND())</f>
        <v>3.0903204189624413E-2</v>
      </c>
      <c r="U6355" s="59">
        <f ca="1">Dashboard!D$8* Dashboard!$F$4+Dashboard!D$10*SQRT(Dashboard!$F$4) * _xlfn.NORM.S.INV(RAND())</f>
        <v>2.3151930685934671E-2</v>
      </c>
    </row>
    <row r="6356" spans="18:21" x14ac:dyDescent="0.2">
      <c r="R6356" s="49">
        <v>6354</v>
      </c>
      <c r="S6356" s="59">
        <f ca="1">Dashboard!B$8* Dashboard!$F$4+Dashboard!B$10*SQRT(Dashboard!$F$4) * _xlfn.NORM.S.INV(RAND())</f>
        <v>1.5861635555452711E-2</v>
      </c>
      <c r="T6356" s="59">
        <f ca="1">Dashboard!C$8* Dashboard!$F$4+Dashboard!C$10*SQRT(Dashboard!$F$4) * _xlfn.NORM.S.INV(RAND())</f>
        <v>-8.4753094797159444E-3</v>
      </c>
      <c r="U6356" s="59">
        <f ca="1">Dashboard!D$8* Dashboard!$F$4+Dashboard!D$10*SQRT(Dashboard!$F$4) * _xlfn.NORM.S.INV(RAND())</f>
        <v>-5.9101030038214181E-2</v>
      </c>
    </row>
    <row r="6357" spans="18:21" x14ac:dyDescent="0.2">
      <c r="R6357" s="49">
        <v>6355</v>
      </c>
      <c r="S6357" s="59">
        <f ca="1">Dashboard!B$8* Dashboard!$F$4+Dashboard!B$10*SQRT(Dashboard!$F$4) * _xlfn.NORM.S.INV(RAND())</f>
        <v>1.4778165532882762E-3</v>
      </c>
      <c r="T6357" s="59">
        <f ca="1">Dashboard!C$8* Dashboard!$F$4+Dashboard!C$10*SQRT(Dashboard!$F$4) * _xlfn.NORM.S.INV(RAND())</f>
        <v>-4.2289126052873806E-2</v>
      </c>
      <c r="U6357" s="59">
        <f ca="1">Dashboard!D$8* Dashboard!$F$4+Dashboard!D$10*SQRT(Dashboard!$F$4) * _xlfn.NORM.S.INV(RAND())</f>
        <v>1.325582352422916E-2</v>
      </c>
    </row>
    <row r="6358" spans="18:21" x14ac:dyDescent="0.2">
      <c r="R6358" s="49">
        <v>6356</v>
      </c>
      <c r="S6358" s="59">
        <f ca="1">Dashboard!B$8* Dashboard!$F$4+Dashboard!B$10*SQRT(Dashboard!$F$4) * _xlfn.NORM.S.INV(RAND())</f>
        <v>4.1963399885906118E-2</v>
      </c>
      <c r="T6358" s="59">
        <f ca="1">Dashboard!C$8* Dashboard!$F$4+Dashboard!C$10*SQRT(Dashboard!$F$4) * _xlfn.NORM.S.INV(RAND())</f>
        <v>6.432495910207052E-2</v>
      </c>
      <c r="U6358" s="59">
        <f ca="1">Dashboard!D$8* Dashboard!$F$4+Dashboard!D$10*SQRT(Dashboard!$F$4) * _xlfn.NORM.S.INV(RAND())</f>
        <v>2.697867612811727E-2</v>
      </c>
    </row>
    <row r="6359" spans="18:21" x14ac:dyDescent="0.2">
      <c r="R6359" s="49">
        <v>6357</v>
      </c>
      <c r="S6359" s="59">
        <f ca="1">Dashboard!B$8* Dashboard!$F$4+Dashboard!B$10*SQRT(Dashboard!$F$4) * _xlfn.NORM.S.INV(RAND())</f>
        <v>-3.3468365738043022E-2</v>
      </c>
      <c r="T6359" s="59">
        <f ca="1">Dashboard!C$8* Dashboard!$F$4+Dashboard!C$10*SQRT(Dashboard!$F$4) * _xlfn.NORM.S.INV(RAND())</f>
        <v>-4.832489864141911E-2</v>
      </c>
      <c r="U6359" s="59">
        <f ca="1">Dashboard!D$8* Dashboard!$F$4+Dashboard!D$10*SQRT(Dashboard!$F$4) * _xlfn.NORM.S.INV(RAND())</f>
        <v>-2.11037419800762E-2</v>
      </c>
    </row>
    <row r="6360" spans="18:21" x14ac:dyDescent="0.2">
      <c r="R6360" s="49">
        <v>6358</v>
      </c>
      <c r="S6360" s="59">
        <f ca="1">Dashboard!B$8* Dashboard!$F$4+Dashboard!B$10*SQRT(Dashboard!$F$4) * _xlfn.NORM.S.INV(RAND())</f>
        <v>-2.0821298628101184E-2</v>
      </c>
      <c r="T6360" s="59">
        <f ca="1">Dashboard!C$8* Dashboard!$F$4+Dashboard!C$10*SQRT(Dashboard!$F$4) * _xlfn.NORM.S.INV(RAND())</f>
        <v>-8.7199253858308047E-3</v>
      </c>
      <c r="U6360" s="59">
        <f ca="1">Dashboard!D$8* Dashboard!$F$4+Dashboard!D$10*SQRT(Dashboard!$F$4) * _xlfn.NORM.S.INV(RAND())</f>
        <v>6.1053815089041332E-3</v>
      </c>
    </row>
    <row r="6361" spans="18:21" x14ac:dyDescent="0.2">
      <c r="R6361" s="49">
        <v>6359</v>
      </c>
      <c r="S6361" s="59">
        <f ca="1">Dashboard!B$8* Dashboard!$F$4+Dashboard!B$10*SQRT(Dashboard!$F$4) * _xlfn.NORM.S.INV(RAND())</f>
        <v>8.426226355581181E-3</v>
      </c>
      <c r="T6361" s="59">
        <f ca="1">Dashboard!C$8* Dashboard!$F$4+Dashboard!C$10*SQRT(Dashboard!$F$4) * _xlfn.NORM.S.INV(RAND())</f>
        <v>8.8405791756662015E-3</v>
      </c>
      <c r="U6361" s="59">
        <f ca="1">Dashboard!D$8* Dashboard!$F$4+Dashboard!D$10*SQRT(Dashboard!$F$4) * _xlfn.NORM.S.INV(RAND())</f>
        <v>2.6459628170452096E-2</v>
      </c>
    </row>
    <row r="6362" spans="18:21" x14ac:dyDescent="0.2">
      <c r="R6362" s="49">
        <v>6360</v>
      </c>
      <c r="S6362" s="59">
        <f ca="1">Dashboard!B$8* Dashboard!$F$4+Dashboard!B$10*SQRT(Dashboard!$F$4) * _xlfn.NORM.S.INV(RAND())</f>
        <v>-4.4786176421988531E-2</v>
      </c>
      <c r="T6362" s="59">
        <f ca="1">Dashboard!C$8* Dashboard!$F$4+Dashboard!C$10*SQRT(Dashboard!$F$4) * _xlfn.NORM.S.INV(RAND())</f>
        <v>1.0904680715772259E-2</v>
      </c>
      <c r="U6362" s="59">
        <f ca="1">Dashboard!D$8* Dashboard!$F$4+Dashboard!D$10*SQRT(Dashboard!$F$4) * _xlfn.NORM.S.INV(RAND())</f>
        <v>2.1215832409393603E-2</v>
      </c>
    </row>
    <row r="6363" spans="18:21" x14ac:dyDescent="0.2">
      <c r="R6363" s="49">
        <v>6361</v>
      </c>
      <c r="S6363" s="59">
        <f ca="1">Dashboard!B$8* Dashboard!$F$4+Dashboard!B$10*SQRT(Dashboard!$F$4) * _xlfn.NORM.S.INV(RAND())</f>
        <v>7.0558896708828575E-2</v>
      </c>
      <c r="T6363" s="59">
        <f ca="1">Dashboard!C$8* Dashboard!$F$4+Dashboard!C$10*SQRT(Dashboard!$F$4) * _xlfn.NORM.S.INV(RAND())</f>
        <v>2.9045500476404195E-3</v>
      </c>
      <c r="U6363" s="59">
        <f ca="1">Dashboard!D$8* Dashboard!$F$4+Dashboard!D$10*SQRT(Dashboard!$F$4) * _xlfn.NORM.S.INV(RAND())</f>
        <v>3.6426631873444533E-3</v>
      </c>
    </row>
    <row r="6364" spans="18:21" x14ac:dyDescent="0.2">
      <c r="R6364" s="49">
        <v>6362</v>
      </c>
      <c r="S6364" s="59">
        <f ca="1">Dashboard!B$8* Dashboard!$F$4+Dashboard!B$10*SQRT(Dashboard!$F$4) * _xlfn.NORM.S.INV(RAND())</f>
        <v>-2.3724823874448991E-2</v>
      </c>
      <c r="T6364" s="59">
        <f ca="1">Dashboard!C$8* Dashboard!$F$4+Dashboard!C$10*SQRT(Dashboard!$F$4) * _xlfn.NORM.S.INV(RAND())</f>
        <v>-3.1006506141067976E-2</v>
      </c>
      <c r="U6364" s="59">
        <f ca="1">Dashboard!D$8* Dashboard!$F$4+Dashboard!D$10*SQRT(Dashboard!$F$4) * _xlfn.NORM.S.INV(RAND())</f>
        <v>1.3517012215112076E-2</v>
      </c>
    </row>
    <row r="6365" spans="18:21" x14ac:dyDescent="0.2">
      <c r="R6365" s="49">
        <v>6363</v>
      </c>
      <c r="S6365" s="59">
        <f ca="1">Dashboard!B$8* Dashboard!$F$4+Dashboard!B$10*SQRT(Dashboard!$F$4) * _xlfn.NORM.S.INV(RAND())</f>
        <v>-1.3506703732339441E-2</v>
      </c>
      <c r="T6365" s="59">
        <f ca="1">Dashboard!C$8* Dashboard!$F$4+Dashboard!C$10*SQRT(Dashboard!$F$4) * _xlfn.NORM.S.INV(RAND())</f>
        <v>-3.7773345221989718E-2</v>
      </c>
      <c r="U6365" s="59">
        <f ca="1">Dashboard!D$8* Dashboard!$F$4+Dashboard!D$10*SQRT(Dashboard!$F$4) * _xlfn.NORM.S.INV(RAND())</f>
        <v>4.3728797078076934E-2</v>
      </c>
    </row>
    <row r="6366" spans="18:21" x14ac:dyDescent="0.2">
      <c r="R6366" s="49">
        <v>6364</v>
      </c>
      <c r="S6366" s="59">
        <f ca="1">Dashboard!B$8* Dashboard!$F$4+Dashboard!B$10*SQRT(Dashboard!$F$4) * _xlfn.NORM.S.INV(RAND())</f>
        <v>7.093722216739021E-3</v>
      </c>
      <c r="T6366" s="59">
        <f ca="1">Dashboard!C$8* Dashboard!$F$4+Dashboard!C$10*SQRT(Dashboard!$F$4) * _xlfn.NORM.S.INV(RAND())</f>
        <v>-7.6109506836072706E-3</v>
      </c>
      <c r="U6366" s="59">
        <f ca="1">Dashboard!D$8* Dashboard!$F$4+Dashboard!D$10*SQRT(Dashboard!$F$4) * _xlfn.NORM.S.INV(RAND())</f>
        <v>2.6647236985020233E-2</v>
      </c>
    </row>
    <row r="6367" spans="18:21" x14ac:dyDescent="0.2">
      <c r="R6367" s="49">
        <v>6365</v>
      </c>
      <c r="S6367" s="59">
        <f ca="1">Dashboard!B$8* Dashboard!$F$4+Dashboard!B$10*SQRT(Dashboard!$F$4) * _xlfn.NORM.S.INV(RAND())</f>
        <v>-5.3840277442423964E-2</v>
      </c>
      <c r="T6367" s="59">
        <f ca="1">Dashboard!C$8* Dashboard!$F$4+Dashboard!C$10*SQRT(Dashboard!$F$4) * _xlfn.NORM.S.INV(RAND())</f>
        <v>1.2219139445453147E-2</v>
      </c>
      <c r="U6367" s="59">
        <f ca="1">Dashboard!D$8* Dashboard!$F$4+Dashboard!D$10*SQRT(Dashboard!$F$4) * _xlfn.NORM.S.INV(RAND())</f>
        <v>3.0206425214353391E-2</v>
      </c>
    </row>
    <row r="6368" spans="18:21" x14ac:dyDescent="0.2">
      <c r="R6368" s="49">
        <v>6366</v>
      </c>
      <c r="S6368" s="59">
        <f ca="1">Dashboard!B$8* Dashboard!$F$4+Dashboard!B$10*SQRT(Dashboard!$F$4) * _xlfn.NORM.S.INV(RAND())</f>
        <v>2.747511698882743E-2</v>
      </c>
      <c r="T6368" s="59">
        <f ca="1">Dashboard!C$8* Dashboard!$F$4+Dashboard!C$10*SQRT(Dashboard!$F$4) * _xlfn.NORM.S.INV(RAND())</f>
        <v>3.8686905867975968E-3</v>
      </c>
      <c r="U6368" s="59">
        <f ca="1">Dashboard!D$8* Dashboard!$F$4+Dashboard!D$10*SQRT(Dashboard!$F$4) * _xlfn.NORM.S.INV(RAND())</f>
        <v>-3.7174961167171942E-2</v>
      </c>
    </row>
    <row r="6369" spans="18:21" x14ac:dyDescent="0.2">
      <c r="R6369" s="49">
        <v>6367</v>
      </c>
      <c r="S6369" s="59">
        <f ca="1">Dashboard!B$8* Dashboard!$F$4+Dashboard!B$10*SQRT(Dashboard!$F$4) * _xlfn.NORM.S.INV(RAND())</f>
        <v>-4.6961144849031862E-2</v>
      </c>
      <c r="T6369" s="59">
        <f ca="1">Dashboard!C$8* Dashboard!$F$4+Dashboard!C$10*SQRT(Dashboard!$F$4) * _xlfn.NORM.S.INV(RAND())</f>
        <v>9.5391656468230401E-3</v>
      </c>
      <c r="U6369" s="59">
        <f ca="1">Dashboard!D$8* Dashboard!$F$4+Dashboard!D$10*SQRT(Dashboard!$F$4) * _xlfn.NORM.S.INV(RAND())</f>
        <v>7.8909975927898376E-2</v>
      </c>
    </row>
    <row r="6370" spans="18:21" x14ac:dyDescent="0.2">
      <c r="R6370" s="49">
        <v>6368</v>
      </c>
      <c r="S6370" s="59">
        <f ca="1">Dashboard!B$8* Dashboard!$F$4+Dashboard!B$10*SQRT(Dashboard!$F$4) * _xlfn.NORM.S.INV(RAND())</f>
        <v>1.6725717327943368E-3</v>
      </c>
      <c r="T6370" s="59">
        <f ca="1">Dashboard!C$8* Dashboard!$F$4+Dashboard!C$10*SQRT(Dashboard!$F$4) * _xlfn.NORM.S.INV(RAND())</f>
        <v>4.9110702017317855E-2</v>
      </c>
      <c r="U6370" s="59">
        <f ca="1">Dashboard!D$8* Dashboard!$F$4+Dashboard!D$10*SQRT(Dashboard!$F$4) * _xlfn.NORM.S.INV(RAND())</f>
        <v>5.4439194207929281E-2</v>
      </c>
    </row>
    <row r="6371" spans="18:21" x14ac:dyDescent="0.2">
      <c r="R6371" s="49">
        <v>6369</v>
      </c>
      <c r="S6371" s="59">
        <f ca="1">Dashboard!B$8* Dashboard!$F$4+Dashboard!B$10*SQRT(Dashboard!$F$4) * _xlfn.NORM.S.INV(RAND())</f>
        <v>2.784737045581168E-3</v>
      </c>
      <c r="T6371" s="59">
        <f ca="1">Dashboard!C$8* Dashboard!$F$4+Dashboard!C$10*SQRT(Dashboard!$F$4) * _xlfn.NORM.S.INV(RAND())</f>
        <v>-5.5626472666424016E-2</v>
      </c>
      <c r="U6371" s="59">
        <f ca="1">Dashboard!D$8* Dashboard!$F$4+Dashboard!D$10*SQRT(Dashboard!$F$4) * _xlfn.NORM.S.INV(RAND())</f>
        <v>-1.963831329798291E-2</v>
      </c>
    </row>
    <row r="6372" spans="18:21" x14ac:dyDescent="0.2">
      <c r="R6372" s="49">
        <v>6370</v>
      </c>
      <c r="S6372" s="59">
        <f ca="1">Dashboard!B$8* Dashboard!$F$4+Dashboard!B$10*SQRT(Dashboard!$F$4) * _xlfn.NORM.S.INV(RAND())</f>
        <v>3.3823524795252607E-2</v>
      </c>
      <c r="T6372" s="59">
        <f ca="1">Dashboard!C$8* Dashboard!$F$4+Dashboard!C$10*SQRT(Dashboard!$F$4) * _xlfn.NORM.S.INV(RAND())</f>
        <v>-2.1506562168390499E-2</v>
      </c>
      <c r="U6372" s="59">
        <f ca="1">Dashboard!D$8* Dashboard!$F$4+Dashboard!D$10*SQRT(Dashboard!$F$4) * _xlfn.NORM.S.INV(RAND())</f>
        <v>-7.4310175267987754E-3</v>
      </c>
    </row>
    <row r="6373" spans="18:21" x14ac:dyDescent="0.2">
      <c r="R6373" s="49">
        <v>6371</v>
      </c>
      <c r="S6373" s="59">
        <f ca="1">Dashboard!B$8* Dashboard!$F$4+Dashboard!B$10*SQRT(Dashboard!$F$4) * _xlfn.NORM.S.INV(RAND())</f>
        <v>-5.2055542283264693E-2</v>
      </c>
      <c r="T6373" s="59">
        <f ca="1">Dashboard!C$8* Dashboard!$F$4+Dashboard!C$10*SQRT(Dashboard!$F$4) * _xlfn.NORM.S.INV(RAND())</f>
        <v>6.7850109304301132E-2</v>
      </c>
      <c r="U6373" s="59">
        <f ca="1">Dashboard!D$8* Dashboard!$F$4+Dashboard!D$10*SQRT(Dashboard!$F$4) * _xlfn.NORM.S.INV(RAND())</f>
        <v>3.6248626604271521E-2</v>
      </c>
    </row>
    <row r="6374" spans="18:21" x14ac:dyDescent="0.2">
      <c r="R6374" s="49">
        <v>6372</v>
      </c>
      <c r="S6374" s="59">
        <f ca="1">Dashboard!B$8* Dashboard!$F$4+Dashboard!B$10*SQRT(Dashboard!$F$4) * _xlfn.NORM.S.INV(RAND())</f>
        <v>3.4094594140756822E-2</v>
      </c>
      <c r="T6374" s="59">
        <f ca="1">Dashboard!C$8* Dashboard!$F$4+Dashboard!C$10*SQRT(Dashboard!$F$4) * _xlfn.NORM.S.INV(RAND())</f>
        <v>2.7750484436981512E-2</v>
      </c>
      <c r="U6374" s="59">
        <f ca="1">Dashboard!D$8* Dashboard!$F$4+Dashboard!D$10*SQRT(Dashboard!$F$4) * _xlfn.NORM.S.INV(RAND())</f>
        <v>-5.9285198884335172E-2</v>
      </c>
    </row>
    <row r="6375" spans="18:21" x14ac:dyDescent="0.2">
      <c r="R6375" s="49">
        <v>6373</v>
      </c>
      <c r="S6375" s="59">
        <f ca="1">Dashboard!B$8* Dashboard!$F$4+Dashboard!B$10*SQRT(Dashboard!$F$4) * _xlfn.NORM.S.INV(RAND())</f>
        <v>-8.4493227719180386E-3</v>
      </c>
      <c r="T6375" s="59">
        <f ca="1">Dashboard!C$8* Dashboard!$F$4+Dashboard!C$10*SQRT(Dashboard!$F$4) * _xlfn.NORM.S.INV(RAND())</f>
        <v>-6.2924665259727732E-3</v>
      </c>
      <c r="U6375" s="59">
        <f ca="1">Dashboard!D$8* Dashboard!$F$4+Dashboard!D$10*SQRT(Dashboard!$F$4) * _xlfn.NORM.S.INV(RAND())</f>
        <v>2.5631894556956244E-2</v>
      </c>
    </row>
    <row r="6376" spans="18:21" x14ac:dyDescent="0.2">
      <c r="R6376" s="49">
        <v>6374</v>
      </c>
      <c r="S6376" s="59">
        <f ca="1">Dashboard!B$8* Dashboard!$F$4+Dashboard!B$10*SQRT(Dashboard!$F$4) * _xlfn.NORM.S.INV(RAND())</f>
        <v>-7.153073790200537E-2</v>
      </c>
      <c r="T6376" s="59">
        <f ca="1">Dashboard!C$8* Dashboard!$F$4+Dashboard!C$10*SQRT(Dashboard!$F$4) * _xlfn.NORM.S.INV(RAND())</f>
        <v>8.5011997675649972E-2</v>
      </c>
      <c r="U6376" s="59">
        <f ca="1">Dashboard!D$8* Dashboard!$F$4+Dashboard!D$10*SQRT(Dashboard!$F$4) * _xlfn.NORM.S.INV(RAND())</f>
        <v>-1.535551096520512E-2</v>
      </c>
    </row>
    <row r="6377" spans="18:21" x14ac:dyDescent="0.2">
      <c r="R6377" s="49">
        <v>6375</v>
      </c>
      <c r="S6377" s="59">
        <f ca="1">Dashboard!B$8* Dashboard!$F$4+Dashboard!B$10*SQRT(Dashboard!$F$4) * _xlfn.NORM.S.INV(RAND())</f>
        <v>-4.1458583047372065E-3</v>
      </c>
      <c r="T6377" s="59">
        <f ca="1">Dashboard!C$8* Dashboard!$F$4+Dashboard!C$10*SQRT(Dashboard!$F$4) * _xlfn.NORM.S.INV(RAND())</f>
        <v>1.5121977024803751E-2</v>
      </c>
      <c r="U6377" s="59">
        <f ca="1">Dashboard!D$8* Dashboard!$F$4+Dashboard!D$10*SQRT(Dashboard!$F$4) * _xlfn.NORM.S.INV(RAND())</f>
        <v>3.6399227627573437E-2</v>
      </c>
    </row>
    <row r="6378" spans="18:21" x14ac:dyDescent="0.2">
      <c r="R6378" s="49">
        <v>6376</v>
      </c>
      <c r="S6378" s="59">
        <f ca="1">Dashboard!B$8* Dashboard!$F$4+Dashboard!B$10*SQRT(Dashboard!$F$4) * _xlfn.NORM.S.INV(RAND())</f>
        <v>2.4556496197468802E-2</v>
      </c>
      <c r="T6378" s="59">
        <f ca="1">Dashboard!C$8* Dashboard!$F$4+Dashboard!C$10*SQRT(Dashboard!$F$4) * _xlfn.NORM.S.INV(RAND())</f>
        <v>3.6385122183314328E-2</v>
      </c>
      <c r="U6378" s="59">
        <f ca="1">Dashboard!D$8* Dashboard!$F$4+Dashboard!D$10*SQRT(Dashboard!$F$4) * _xlfn.NORM.S.INV(RAND())</f>
        <v>-8.6364243573033555E-3</v>
      </c>
    </row>
    <row r="6379" spans="18:21" x14ac:dyDescent="0.2">
      <c r="R6379" s="49">
        <v>6377</v>
      </c>
      <c r="S6379" s="59">
        <f ca="1">Dashboard!B$8* Dashboard!$F$4+Dashboard!B$10*SQRT(Dashboard!$F$4) * _xlfn.NORM.S.INV(RAND())</f>
        <v>3.183861911329941E-2</v>
      </c>
      <c r="T6379" s="59">
        <f ca="1">Dashboard!C$8* Dashboard!$F$4+Dashboard!C$10*SQRT(Dashboard!$F$4) * _xlfn.NORM.S.INV(RAND())</f>
        <v>6.9199058313096362E-5</v>
      </c>
      <c r="U6379" s="59">
        <f ca="1">Dashboard!D$8* Dashboard!$F$4+Dashboard!D$10*SQRT(Dashboard!$F$4) * _xlfn.NORM.S.INV(RAND())</f>
        <v>-1.005562620811465E-2</v>
      </c>
    </row>
    <row r="6380" spans="18:21" x14ac:dyDescent="0.2">
      <c r="R6380" s="49">
        <v>6378</v>
      </c>
      <c r="S6380" s="59">
        <f ca="1">Dashboard!B$8* Dashboard!$F$4+Dashboard!B$10*SQRT(Dashboard!$F$4) * _xlfn.NORM.S.INV(RAND())</f>
        <v>9.1657269335609724E-3</v>
      </c>
      <c r="T6380" s="59">
        <f ca="1">Dashboard!C$8* Dashboard!$F$4+Dashboard!C$10*SQRT(Dashboard!$F$4) * _xlfn.NORM.S.INV(RAND())</f>
        <v>3.8833921643418062E-2</v>
      </c>
      <c r="U6380" s="59">
        <f ca="1">Dashboard!D$8* Dashboard!$F$4+Dashboard!D$10*SQRT(Dashboard!$F$4) * _xlfn.NORM.S.INV(RAND())</f>
        <v>-1.5053225798657342E-2</v>
      </c>
    </row>
    <row r="6381" spans="18:21" x14ac:dyDescent="0.2">
      <c r="R6381" s="49">
        <v>6379</v>
      </c>
      <c r="S6381" s="59">
        <f ca="1">Dashboard!B$8* Dashboard!$F$4+Dashboard!B$10*SQRT(Dashboard!$F$4) * _xlfn.NORM.S.INV(RAND())</f>
        <v>5.9775082332962998E-2</v>
      </c>
      <c r="T6381" s="59">
        <f ca="1">Dashboard!C$8* Dashboard!$F$4+Dashboard!C$10*SQRT(Dashboard!$F$4) * _xlfn.NORM.S.INV(RAND())</f>
        <v>1.7667775857896882E-4</v>
      </c>
      <c r="U6381" s="59">
        <f ca="1">Dashboard!D$8* Dashboard!$F$4+Dashboard!D$10*SQRT(Dashboard!$F$4) * _xlfn.NORM.S.INV(RAND())</f>
        <v>3.8532706822480466E-2</v>
      </c>
    </row>
    <row r="6382" spans="18:21" x14ac:dyDescent="0.2">
      <c r="R6382" s="49">
        <v>6380</v>
      </c>
      <c r="S6382" s="59">
        <f ca="1">Dashboard!B$8* Dashboard!$F$4+Dashboard!B$10*SQRT(Dashboard!$F$4) * _xlfn.NORM.S.INV(RAND())</f>
        <v>1.3509344480222245E-2</v>
      </c>
      <c r="T6382" s="59">
        <f ca="1">Dashboard!C$8* Dashboard!$F$4+Dashboard!C$10*SQRT(Dashboard!$F$4) * _xlfn.NORM.S.INV(RAND())</f>
        <v>-8.3118980117161435E-3</v>
      </c>
      <c r="U6382" s="59">
        <f ca="1">Dashboard!D$8* Dashboard!$F$4+Dashboard!D$10*SQRT(Dashboard!$F$4) * _xlfn.NORM.S.INV(RAND())</f>
        <v>-4.7952313405534693E-2</v>
      </c>
    </row>
    <row r="6383" spans="18:21" x14ac:dyDescent="0.2">
      <c r="R6383" s="49">
        <v>6381</v>
      </c>
      <c r="S6383" s="59">
        <f ca="1">Dashboard!B$8* Dashboard!$F$4+Dashboard!B$10*SQRT(Dashboard!$F$4) * _xlfn.NORM.S.INV(RAND())</f>
        <v>-1.5878059435393783E-2</v>
      </c>
      <c r="T6383" s="59">
        <f ca="1">Dashboard!C$8* Dashboard!$F$4+Dashboard!C$10*SQRT(Dashboard!$F$4) * _xlfn.NORM.S.INV(RAND())</f>
        <v>-4.9218711568905109E-2</v>
      </c>
      <c r="U6383" s="59">
        <f ca="1">Dashboard!D$8* Dashboard!$F$4+Dashboard!D$10*SQRT(Dashboard!$F$4) * _xlfn.NORM.S.INV(RAND())</f>
        <v>-5.4147482985737475E-2</v>
      </c>
    </row>
    <row r="6384" spans="18:21" x14ac:dyDescent="0.2">
      <c r="R6384" s="49">
        <v>6382</v>
      </c>
      <c r="S6384" s="59">
        <f ca="1">Dashboard!B$8* Dashboard!$F$4+Dashboard!B$10*SQRT(Dashboard!$F$4) * _xlfn.NORM.S.INV(RAND())</f>
        <v>4.8849193716778476E-2</v>
      </c>
      <c r="T6384" s="59">
        <f ca="1">Dashboard!C$8* Dashboard!$F$4+Dashboard!C$10*SQRT(Dashboard!$F$4) * _xlfn.NORM.S.INV(RAND())</f>
        <v>-1.4616386673557177E-2</v>
      </c>
      <c r="U6384" s="59">
        <f ca="1">Dashboard!D$8* Dashboard!$F$4+Dashboard!D$10*SQRT(Dashboard!$F$4) * _xlfn.NORM.S.INV(RAND())</f>
        <v>3.306314512853533E-2</v>
      </c>
    </row>
    <row r="6385" spans="18:21" x14ac:dyDescent="0.2">
      <c r="R6385" s="49">
        <v>6383</v>
      </c>
      <c r="S6385" s="59">
        <f ca="1">Dashboard!B$8* Dashboard!$F$4+Dashboard!B$10*SQRT(Dashboard!$F$4) * _xlfn.NORM.S.INV(RAND())</f>
        <v>-3.92045621606502E-2</v>
      </c>
      <c r="T6385" s="59">
        <f ca="1">Dashboard!C$8* Dashboard!$F$4+Dashboard!C$10*SQRT(Dashboard!$F$4) * _xlfn.NORM.S.INV(RAND())</f>
        <v>1.2276254099854475E-3</v>
      </c>
      <c r="U6385" s="59">
        <f ca="1">Dashboard!D$8* Dashboard!$F$4+Dashboard!D$10*SQRT(Dashboard!$F$4) * _xlfn.NORM.S.INV(RAND())</f>
        <v>6.1290882620605117E-3</v>
      </c>
    </row>
    <row r="6386" spans="18:21" x14ac:dyDescent="0.2">
      <c r="R6386" s="49">
        <v>6384</v>
      </c>
      <c r="S6386" s="59">
        <f ca="1">Dashboard!B$8* Dashboard!$F$4+Dashboard!B$10*SQRT(Dashboard!$F$4) * _xlfn.NORM.S.INV(RAND())</f>
        <v>-2.0268253402646909E-2</v>
      </c>
      <c r="T6386" s="59">
        <f ca="1">Dashboard!C$8* Dashboard!$F$4+Dashboard!C$10*SQRT(Dashboard!$F$4) * _xlfn.NORM.S.INV(RAND())</f>
        <v>2.4354323411498988E-2</v>
      </c>
      <c r="U6386" s="59">
        <f ca="1">Dashboard!D$8* Dashboard!$F$4+Dashboard!D$10*SQRT(Dashboard!$F$4) * _xlfn.NORM.S.INV(RAND())</f>
        <v>-4.3438701156642029E-2</v>
      </c>
    </row>
    <row r="6387" spans="18:21" x14ac:dyDescent="0.2">
      <c r="R6387" s="49">
        <v>6385</v>
      </c>
      <c r="S6387" s="59">
        <f ca="1">Dashboard!B$8* Dashboard!$F$4+Dashboard!B$10*SQRT(Dashboard!$F$4) * _xlfn.NORM.S.INV(RAND())</f>
        <v>-4.9630209405118558E-2</v>
      </c>
      <c r="T6387" s="59">
        <f ca="1">Dashboard!C$8* Dashboard!$F$4+Dashboard!C$10*SQRT(Dashboard!$F$4) * _xlfn.NORM.S.INV(RAND())</f>
        <v>-4.1955153148319248E-2</v>
      </c>
      <c r="U6387" s="59">
        <f ca="1">Dashboard!D$8* Dashboard!$F$4+Dashboard!D$10*SQRT(Dashboard!$F$4) * _xlfn.NORM.S.INV(RAND())</f>
        <v>-7.2930994498512397E-2</v>
      </c>
    </row>
    <row r="6388" spans="18:21" x14ac:dyDescent="0.2">
      <c r="R6388" s="49">
        <v>6386</v>
      </c>
      <c r="S6388" s="59">
        <f ca="1">Dashboard!B$8* Dashboard!$F$4+Dashboard!B$10*SQRT(Dashboard!$F$4) * _xlfn.NORM.S.INV(RAND())</f>
        <v>-4.3183062958979765E-2</v>
      </c>
      <c r="T6388" s="59">
        <f ca="1">Dashboard!C$8* Dashboard!$F$4+Dashboard!C$10*SQRT(Dashboard!$F$4) * _xlfn.NORM.S.INV(RAND())</f>
        <v>-4.660847037696568E-2</v>
      </c>
      <c r="U6388" s="59">
        <f ca="1">Dashboard!D$8* Dashboard!$F$4+Dashboard!D$10*SQRT(Dashboard!$F$4) * _xlfn.NORM.S.INV(RAND())</f>
        <v>5.7130527757140628E-2</v>
      </c>
    </row>
    <row r="6389" spans="18:21" x14ac:dyDescent="0.2">
      <c r="R6389" s="49">
        <v>6387</v>
      </c>
      <c r="S6389" s="59">
        <f ca="1">Dashboard!B$8* Dashboard!$F$4+Dashboard!B$10*SQRT(Dashboard!$F$4) * _xlfn.NORM.S.INV(RAND())</f>
        <v>-3.2456879795355907E-2</v>
      </c>
      <c r="T6389" s="59">
        <f ca="1">Dashboard!C$8* Dashboard!$F$4+Dashboard!C$10*SQRT(Dashboard!$F$4) * _xlfn.NORM.S.INV(RAND())</f>
        <v>4.9762553310815992E-2</v>
      </c>
      <c r="U6389" s="59">
        <f ca="1">Dashboard!D$8* Dashboard!$F$4+Dashboard!D$10*SQRT(Dashboard!$F$4) * _xlfn.NORM.S.INV(RAND())</f>
        <v>-1.9144805972928901E-2</v>
      </c>
    </row>
    <row r="6390" spans="18:21" x14ac:dyDescent="0.2">
      <c r="R6390" s="49">
        <v>6388</v>
      </c>
      <c r="S6390" s="59">
        <f ca="1">Dashboard!B$8* Dashboard!$F$4+Dashboard!B$10*SQRT(Dashboard!$F$4) * _xlfn.NORM.S.INV(RAND())</f>
        <v>-2.0184628713772114E-2</v>
      </c>
      <c r="T6390" s="59">
        <f ca="1">Dashboard!C$8* Dashboard!$F$4+Dashboard!C$10*SQRT(Dashboard!$F$4) * _xlfn.NORM.S.INV(RAND())</f>
        <v>8.1697472651201183E-3</v>
      </c>
      <c r="U6390" s="59">
        <f ca="1">Dashboard!D$8* Dashboard!$F$4+Dashboard!D$10*SQRT(Dashboard!$F$4) * _xlfn.NORM.S.INV(RAND())</f>
        <v>4.4204208781965737E-2</v>
      </c>
    </row>
    <row r="6391" spans="18:21" x14ac:dyDescent="0.2">
      <c r="R6391" s="49">
        <v>6389</v>
      </c>
      <c r="S6391" s="59">
        <f ca="1">Dashboard!B$8* Dashboard!$F$4+Dashboard!B$10*SQRT(Dashboard!$F$4) * _xlfn.NORM.S.INV(RAND())</f>
        <v>2.1905097433876038E-2</v>
      </c>
      <c r="T6391" s="59">
        <f ca="1">Dashboard!C$8* Dashboard!$F$4+Dashboard!C$10*SQRT(Dashboard!$F$4) * _xlfn.NORM.S.INV(RAND())</f>
        <v>-8.0500226871740868E-2</v>
      </c>
      <c r="U6391" s="59">
        <f ca="1">Dashboard!D$8* Dashboard!$F$4+Dashboard!D$10*SQRT(Dashboard!$F$4) * _xlfn.NORM.S.INV(RAND())</f>
        <v>-2.3903115504700694E-2</v>
      </c>
    </row>
    <row r="6392" spans="18:21" x14ac:dyDescent="0.2">
      <c r="R6392" s="49">
        <v>6390</v>
      </c>
      <c r="S6392" s="59">
        <f ca="1">Dashboard!B$8* Dashboard!$F$4+Dashboard!B$10*SQRT(Dashboard!$F$4) * _xlfn.NORM.S.INV(RAND())</f>
        <v>1.5858298393376866E-2</v>
      </c>
      <c r="T6392" s="59">
        <f ca="1">Dashboard!C$8* Dashboard!$F$4+Dashboard!C$10*SQRT(Dashboard!$F$4) * _xlfn.NORM.S.INV(RAND())</f>
        <v>-4.1609371706261547E-3</v>
      </c>
      <c r="U6392" s="59">
        <f ca="1">Dashboard!D$8* Dashboard!$F$4+Dashboard!D$10*SQRT(Dashboard!$F$4) * _xlfn.NORM.S.INV(RAND())</f>
        <v>-1.8448584287293041E-2</v>
      </c>
    </row>
    <row r="6393" spans="18:21" x14ac:dyDescent="0.2">
      <c r="R6393" s="49">
        <v>6391</v>
      </c>
      <c r="S6393" s="59">
        <f ca="1">Dashboard!B$8* Dashboard!$F$4+Dashboard!B$10*SQRT(Dashboard!$F$4) * _xlfn.NORM.S.INV(RAND())</f>
        <v>2.6006805738669911E-2</v>
      </c>
      <c r="T6393" s="59">
        <f ca="1">Dashboard!C$8* Dashboard!$F$4+Dashboard!C$10*SQRT(Dashboard!$F$4) * _xlfn.NORM.S.INV(RAND())</f>
        <v>-1.4235395837055517E-2</v>
      </c>
      <c r="U6393" s="59">
        <f ca="1">Dashboard!D$8* Dashboard!$F$4+Dashboard!D$10*SQRT(Dashboard!$F$4) * _xlfn.NORM.S.INV(RAND())</f>
        <v>1.7464530567217633E-2</v>
      </c>
    </row>
    <row r="6394" spans="18:21" x14ac:dyDescent="0.2">
      <c r="R6394" s="49">
        <v>6392</v>
      </c>
      <c r="S6394" s="59">
        <f ca="1">Dashboard!B$8* Dashboard!$F$4+Dashboard!B$10*SQRT(Dashboard!$F$4) * _xlfn.NORM.S.INV(RAND())</f>
        <v>-2.8010055305160549E-2</v>
      </c>
      <c r="T6394" s="59">
        <f ca="1">Dashboard!C$8* Dashboard!$F$4+Dashboard!C$10*SQRT(Dashboard!$F$4) * _xlfn.NORM.S.INV(RAND())</f>
        <v>-2.1905897218871314E-2</v>
      </c>
      <c r="U6394" s="59">
        <f ca="1">Dashboard!D$8* Dashboard!$F$4+Dashboard!D$10*SQRT(Dashboard!$F$4) * _xlfn.NORM.S.INV(RAND())</f>
        <v>-9.721283748665618E-3</v>
      </c>
    </row>
    <row r="6395" spans="18:21" x14ac:dyDescent="0.2">
      <c r="R6395" s="49">
        <v>6393</v>
      </c>
      <c r="S6395" s="59">
        <f ca="1">Dashboard!B$8* Dashboard!$F$4+Dashboard!B$10*SQRT(Dashboard!$F$4) * _xlfn.NORM.S.INV(RAND())</f>
        <v>-2.5404109156422133E-2</v>
      </c>
      <c r="T6395" s="59">
        <f ca="1">Dashboard!C$8* Dashboard!$F$4+Dashboard!C$10*SQRT(Dashboard!$F$4) * _xlfn.NORM.S.INV(RAND())</f>
        <v>8.0188999831009491E-3</v>
      </c>
      <c r="U6395" s="59">
        <f ca="1">Dashboard!D$8* Dashboard!$F$4+Dashboard!D$10*SQRT(Dashboard!$F$4) * _xlfn.NORM.S.INV(RAND())</f>
        <v>-5.0857832729259084E-3</v>
      </c>
    </row>
    <row r="6396" spans="18:21" x14ac:dyDescent="0.2">
      <c r="R6396" s="49">
        <v>6394</v>
      </c>
      <c r="S6396" s="59">
        <f ca="1">Dashboard!B$8* Dashboard!$F$4+Dashboard!B$10*SQRT(Dashboard!$F$4) * _xlfn.NORM.S.INV(RAND())</f>
        <v>3.078097365327423E-2</v>
      </c>
      <c r="T6396" s="59">
        <f ca="1">Dashboard!C$8* Dashboard!$F$4+Dashboard!C$10*SQRT(Dashboard!$F$4) * _xlfn.NORM.S.INV(RAND())</f>
        <v>-1.4655280934057657E-2</v>
      </c>
      <c r="U6396" s="59">
        <f ca="1">Dashboard!D$8* Dashboard!$F$4+Dashboard!D$10*SQRT(Dashboard!$F$4) * _xlfn.NORM.S.INV(RAND())</f>
        <v>1.5469750636747054E-2</v>
      </c>
    </row>
    <row r="6397" spans="18:21" x14ac:dyDescent="0.2">
      <c r="R6397" s="49">
        <v>6395</v>
      </c>
      <c r="S6397" s="59">
        <f ca="1">Dashboard!B$8* Dashboard!$F$4+Dashboard!B$10*SQRT(Dashboard!$F$4) * _xlfn.NORM.S.INV(RAND())</f>
        <v>6.4150926178109888E-3</v>
      </c>
      <c r="T6397" s="59">
        <f ca="1">Dashboard!C$8* Dashboard!$F$4+Dashboard!C$10*SQRT(Dashboard!$F$4) * _xlfn.NORM.S.INV(RAND())</f>
        <v>5.3171221121590652E-2</v>
      </c>
      <c r="U6397" s="59">
        <f ca="1">Dashboard!D$8* Dashboard!$F$4+Dashboard!D$10*SQRT(Dashboard!$F$4) * _xlfn.NORM.S.INV(RAND())</f>
        <v>3.4916554864327168E-2</v>
      </c>
    </row>
    <row r="6398" spans="18:21" x14ac:dyDescent="0.2">
      <c r="R6398" s="49">
        <v>6396</v>
      </c>
      <c r="S6398" s="59">
        <f ca="1">Dashboard!B$8* Dashboard!$F$4+Dashboard!B$10*SQRT(Dashboard!$F$4) * _xlfn.NORM.S.INV(RAND())</f>
        <v>-1.2093404360888143E-2</v>
      </c>
      <c r="T6398" s="59">
        <f ca="1">Dashboard!C$8* Dashboard!$F$4+Dashboard!C$10*SQRT(Dashboard!$F$4) * _xlfn.NORM.S.INV(RAND())</f>
        <v>2.2149908085511295E-2</v>
      </c>
      <c r="U6398" s="59">
        <f ca="1">Dashboard!D$8* Dashboard!$F$4+Dashboard!D$10*SQRT(Dashboard!$F$4) * _xlfn.NORM.S.INV(RAND())</f>
        <v>1.3909475572364929E-2</v>
      </c>
    </row>
    <row r="6399" spans="18:21" x14ac:dyDescent="0.2">
      <c r="R6399" s="49">
        <v>6397</v>
      </c>
      <c r="S6399" s="59">
        <f ca="1">Dashboard!B$8* Dashboard!$F$4+Dashboard!B$10*SQRT(Dashboard!$F$4) * _xlfn.NORM.S.INV(RAND())</f>
        <v>1.5895016456322415E-2</v>
      </c>
      <c r="T6399" s="59">
        <f ca="1">Dashboard!C$8* Dashboard!$F$4+Dashboard!C$10*SQRT(Dashboard!$F$4) * _xlfn.NORM.S.INV(RAND())</f>
        <v>3.2899952000412618E-2</v>
      </c>
      <c r="U6399" s="59">
        <f ca="1">Dashboard!D$8* Dashboard!$F$4+Dashboard!D$10*SQRT(Dashboard!$F$4) * _xlfn.NORM.S.INV(RAND())</f>
        <v>-4.6751747588556873E-2</v>
      </c>
    </row>
    <row r="6400" spans="18:21" x14ac:dyDescent="0.2">
      <c r="R6400" s="49">
        <v>6398</v>
      </c>
      <c r="S6400" s="59">
        <f ca="1">Dashboard!B$8* Dashboard!$F$4+Dashboard!B$10*SQRT(Dashboard!$F$4) * _xlfn.NORM.S.INV(RAND())</f>
        <v>-6.088212758276438E-2</v>
      </c>
      <c r="T6400" s="59">
        <f ca="1">Dashboard!C$8* Dashboard!$F$4+Dashboard!C$10*SQRT(Dashboard!$F$4) * _xlfn.NORM.S.INV(RAND())</f>
        <v>-7.9232419372928728E-3</v>
      </c>
      <c r="U6400" s="59">
        <f ca="1">Dashboard!D$8* Dashboard!$F$4+Dashboard!D$10*SQRT(Dashboard!$F$4) * _xlfn.NORM.S.INV(RAND())</f>
        <v>3.499033294115541E-2</v>
      </c>
    </row>
    <row r="6401" spans="18:21" x14ac:dyDescent="0.2">
      <c r="R6401" s="49">
        <v>6399</v>
      </c>
      <c r="S6401" s="59">
        <f ca="1">Dashboard!B$8* Dashboard!$F$4+Dashboard!B$10*SQRT(Dashboard!$F$4) * _xlfn.NORM.S.INV(RAND())</f>
        <v>2.4233594704688666E-2</v>
      </c>
      <c r="T6401" s="59">
        <f ca="1">Dashboard!C$8* Dashboard!$F$4+Dashboard!C$10*SQRT(Dashboard!$F$4) * _xlfn.NORM.S.INV(RAND())</f>
        <v>2.4140952834314774E-2</v>
      </c>
      <c r="U6401" s="59">
        <f ca="1">Dashboard!D$8* Dashboard!$F$4+Dashboard!D$10*SQRT(Dashboard!$F$4) * _xlfn.NORM.S.INV(RAND())</f>
        <v>1.3354570687703718E-2</v>
      </c>
    </row>
    <row r="6402" spans="18:21" x14ac:dyDescent="0.2">
      <c r="R6402" s="49">
        <v>6400</v>
      </c>
      <c r="S6402" s="59">
        <f ca="1">Dashboard!B$8* Dashboard!$F$4+Dashboard!B$10*SQRT(Dashboard!$F$4) * _xlfn.NORM.S.INV(RAND())</f>
        <v>-2.9887995857189729E-2</v>
      </c>
      <c r="T6402" s="59">
        <f ca="1">Dashboard!C$8* Dashboard!$F$4+Dashboard!C$10*SQRT(Dashboard!$F$4) * _xlfn.NORM.S.INV(RAND())</f>
        <v>-4.280587581746377E-2</v>
      </c>
      <c r="U6402" s="59">
        <f ca="1">Dashboard!D$8* Dashboard!$F$4+Dashboard!D$10*SQRT(Dashboard!$F$4) * _xlfn.NORM.S.INV(RAND())</f>
        <v>-1.327316165988935E-2</v>
      </c>
    </row>
    <row r="6403" spans="18:21" x14ac:dyDescent="0.2">
      <c r="R6403" s="49">
        <v>6401</v>
      </c>
      <c r="S6403" s="59">
        <f ca="1">Dashboard!B$8* Dashboard!$F$4+Dashboard!B$10*SQRT(Dashboard!$F$4) * _xlfn.NORM.S.INV(RAND())</f>
        <v>-3.3350532308269336E-2</v>
      </c>
      <c r="T6403" s="59">
        <f ca="1">Dashboard!C$8* Dashboard!$F$4+Dashboard!C$10*SQRT(Dashboard!$F$4) * _xlfn.NORM.S.INV(RAND())</f>
        <v>5.7023871471358206E-3</v>
      </c>
      <c r="U6403" s="59">
        <f ca="1">Dashboard!D$8* Dashboard!$F$4+Dashboard!D$10*SQRT(Dashboard!$F$4) * _xlfn.NORM.S.INV(RAND())</f>
        <v>4.8622581707102718E-3</v>
      </c>
    </row>
    <row r="6404" spans="18:21" x14ac:dyDescent="0.2">
      <c r="R6404" s="49">
        <v>6402</v>
      </c>
      <c r="S6404" s="59">
        <f ca="1">Dashboard!B$8* Dashboard!$F$4+Dashboard!B$10*SQRT(Dashboard!$F$4) * _xlfn.NORM.S.INV(RAND())</f>
        <v>-4.133482347224212E-2</v>
      </c>
      <c r="T6404" s="59">
        <f ca="1">Dashboard!C$8* Dashboard!$F$4+Dashboard!C$10*SQRT(Dashboard!$F$4) * _xlfn.NORM.S.INV(RAND())</f>
        <v>4.5714207946107824E-2</v>
      </c>
      <c r="U6404" s="59">
        <f ca="1">Dashboard!D$8* Dashboard!$F$4+Dashboard!D$10*SQRT(Dashboard!$F$4) * _xlfn.NORM.S.INV(RAND())</f>
        <v>-4.1912058878369178E-2</v>
      </c>
    </row>
    <row r="6405" spans="18:21" x14ac:dyDescent="0.2">
      <c r="R6405" s="49">
        <v>6403</v>
      </c>
      <c r="S6405" s="59">
        <f ca="1">Dashboard!B$8* Dashboard!$F$4+Dashboard!B$10*SQRT(Dashboard!$F$4) * _xlfn.NORM.S.INV(RAND())</f>
        <v>-4.6822446902081739E-2</v>
      </c>
      <c r="T6405" s="59">
        <f ca="1">Dashboard!C$8* Dashboard!$F$4+Dashboard!C$10*SQRT(Dashboard!$F$4) * _xlfn.NORM.S.INV(RAND())</f>
        <v>5.826427397519441E-2</v>
      </c>
      <c r="U6405" s="59">
        <f ca="1">Dashboard!D$8* Dashboard!$F$4+Dashboard!D$10*SQRT(Dashboard!$F$4) * _xlfn.NORM.S.INV(RAND())</f>
        <v>-6.5704962843027327E-3</v>
      </c>
    </row>
    <row r="6406" spans="18:21" x14ac:dyDescent="0.2">
      <c r="R6406" s="49">
        <v>6404</v>
      </c>
      <c r="S6406" s="59">
        <f ca="1">Dashboard!B$8* Dashboard!$F$4+Dashboard!B$10*SQRT(Dashboard!$F$4) * _xlfn.NORM.S.INV(RAND())</f>
        <v>9.476564503088819E-2</v>
      </c>
      <c r="T6406" s="59">
        <f ca="1">Dashboard!C$8* Dashboard!$F$4+Dashboard!C$10*SQRT(Dashboard!$F$4) * _xlfn.NORM.S.INV(RAND())</f>
        <v>-3.2032550869009094E-2</v>
      </c>
      <c r="U6406" s="59">
        <f ca="1">Dashboard!D$8* Dashboard!$F$4+Dashboard!D$10*SQRT(Dashboard!$F$4) * _xlfn.NORM.S.INV(RAND())</f>
        <v>3.7477852821322447E-2</v>
      </c>
    </row>
    <row r="6407" spans="18:21" x14ac:dyDescent="0.2">
      <c r="R6407" s="49">
        <v>6405</v>
      </c>
      <c r="S6407" s="59">
        <f ca="1">Dashboard!B$8* Dashboard!$F$4+Dashboard!B$10*SQRT(Dashboard!$F$4) * _xlfn.NORM.S.INV(RAND())</f>
        <v>-5.5190910838299273E-2</v>
      </c>
      <c r="T6407" s="59">
        <f ca="1">Dashboard!C$8* Dashboard!$F$4+Dashboard!C$10*SQRT(Dashboard!$F$4) * _xlfn.NORM.S.INV(RAND())</f>
        <v>3.4088590107474795E-3</v>
      </c>
      <c r="U6407" s="59">
        <f ca="1">Dashboard!D$8* Dashboard!$F$4+Dashboard!D$10*SQRT(Dashboard!$F$4) * _xlfn.NORM.S.INV(RAND())</f>
        <v>3.2865356733237242E-3</v>
      </c>
    </row>
    <row r="6408" spans="18:21" x14ac:dyDescent="0.2">
      <c r="R6408" s="49">
        <v>6406</v>
      </c>
      <c r="S6408" s="59">
        <f ca="1">Dashboard!B$8* Dashboard!$F$4+Dashboard!B$10*SQRT(Dashboard!$F$4) * _xlfn.NORM.S.INV(RAND())</f>
        <v>-4.1547226413541138E-2</v>
      </c>
      <c r="T6408" s="59">
        <f ca="1">Dashboard!C$8* Dashboard!$F$4+Dashboard!C$10*SQRT(Dashboard!$F$4) * _xlfn.NORM.S.INV(RAND())</f>
        <v>3.2086914114634955E-2</v>
      </c>
      <c r="U6408" s="59">
        <f ca="1">Dashboard!D$8* Dashboard!$F$4+Dashboard!D$10*SQRT(Dashboard!$F$4) * _xlfn.NORM.S.INV(RAND())</f>
        <v>-7.5437423452623109E-3</v>
      </c>
    </row>
    <row r="6409" spans="18:21" x14ac:dyDescent="0.2">
      <c r="R6409" s="49">
        <v>6407</v>
      </c>
      <c r="S6409" s="59">
        <f ca="1">Dashboard!B$8* Dashboard!$F$4+Dashboard!B$10*SQRT(Dashboard!$F$4) * _xlfn.NORM.S.INV(RAND())</f>
        <v>-4.2527755817039999E-2</v>
      </c>
      <c r="T6409" s="59">
        <f ca="1">Dashboard!C$8* Dashboard!$F$4+Dashboard!C$10*SQRT(Dashboard!$F$4) * _xlfn.NORM.S.INV(RAND())</f>
        <v>-2.3666293124887796E-2</v>
      </c>
      <c r="U6409" s="59">
        <f ca="1">Dashboard!D$8* Dashboard!$F$4+Dashboard!D$10*SQRT(Dashboard!$F$4) * _xlfn.NORM.S.INV(RAND())</f>
        <v>2.5080655610084886E-2</v>
      </c>
    </row>
    <row r="6410" spans="18:21" x14ac:dyDescent="0.2">
      <c r="R6410" s="49">
        <v>6408</v>
      </c>
      <c r="S6410" s="59">
        <f ca="1">Dashboard!B$8* Dashboard!$F$4+Dashboard!B$10*SQRT(Dashboard!$F$4) * _xlfn.NORM.S.INV(RAND())</f>
        <v>-2.4774955507308673E-3</v>
      </c>
      <c r="T6410" s="59">
        <f ca="1">Dashboard!C$8* Dashboard!$F$4+Dashboard!C$10*SQRT(Dashboard!$F$4) * _xlfn.NORM.S.INV(RAND())</f>
        <v>-7.2551419430424537E-3</v>
      </c>
      <c r="U6410" s="59">
        <f ca="1">Dashboard!D$8* Dashboard!$F$4+Dashboard!D$10*SQRT(Dashboard!$F$4) * _xlfn.NORM.S.INV(RAND())</f>
        <v>1.545526478133488E-2</v>
      </c>
    </row>
    <row r="6411" spans="18:21" x14ac:dyDescent="0.2">
      <c r="R6411" s="49">
        <v>6409</v>
      </c>
      <c r="S6411" s="59">
        <f ca="1">Dashboard!B$8* Dashboard!$F$4+Dashboard!B$10*SQRT(Dashboard!$F$4) * _xlfn.NORM.S.INV(RAND())</f>
        <v>-5.3668450210704051E-2</v>
      </c>
      <c r="T6411" s="59">
        <f ca="1">Dashboard!C$8* Dashboard!$F$4+Dashboard!C$10*SQRT(Dashboard!$F$4) * _xlfn.NORM.S.INV(RAND())</f>
        <v>-3.6589968741896274E-2</v>
      </c>
      <c r="U6411" s="59">
        <f ca="1">Dashboard!D$8* Dashboard!$F$4+Dashboard!D$10*SQRT(Dashboard!$F$4) * _xlfn.NORM.S.INV(RAND())</f>
        <v>-4.9476440800331079E-3</v>
      </c>
    </row>
    <row r="6412" spans="18:21" x14ac:dyDescent="0.2">
      <c r="R6412" s="49">
        <v>6410</v>
      </c>
      <c r="S6412" s="59">
        <f ca="1">Dashboard!B$8* Dashboard!$F$4+Dashboard!B$10*SQRT(Dashboard!$F$4) * _xlfn.NORM.S.INV(RAND())</f>
        <v>3.2178992054359763E-2</v>
      </c>
      <c r="T6412" s="59">
        <f ca="1">Dashboard!C$8* Dashboard!$F$4+Dashboard!C$10*SQRT(Dashboard!$F$4) * _xlfn.NORM.S.INV(RAND())</f>
        <v>-4.2174873762589007E-2</v>
      </c>
      <c r="U6412" s="59">
        <f ca="1">Dashboard!D$8* Dashboard!$F$4+Dashboard!D$10*SQRT(Dashboard!$F$4) * _xlfn.NORM.S.INV(RAND())</f>
        <v>4.1665215967515136E-2</v>
      </c>
    </row>
    <row r="6413" spans="18:21" x14ac:dyDescent="0.2">
      <c r="R6413" s="49">
        <v>6411</v>
      </c>
      <c r="S6413" s="59">
        <f ca="1">Dashboard!B$8* Dashboard!$F$4+Dashboard!B$10*SQRT(Dashboard!$F$4) * _xlfn.NORM.S.INV(RAND())</f>
        <v>-1.6477609734003508E-2</v>
      </c>
      <c r="T6413" s="59">
        <f ca="1">Dashboard!C$8* Dashboard!$F$4+Dashboard!C$10*SQRT(Dashboard!$F$4) * _xlfn.NORM.S.INV(RAND())</f>
        <v>-1.4094698246017445E-2</v>
      </c>
      <c r="U6413" s="59">
        <f ca="1">Dashboard!D$8* Dashboard!$F$4+Dashboard!D$10*SQRT(Dashboard!$F$4) * _xlfn.NORM.S.INV(RAND())</f>
        <v>-2.8197613737705435E-2</v>
      </c>
    </row>
    <row r="6414" spans="18:21" x14ac:dyDescent="0.2">
      <c r="R6414" s="49">
        <v>6412</v>
      </c>
      <c r="S6414" s="59">
        <f ca="1">Dashboard!B$8* Dashboard!$F$4+Dashboard!B$10*SQRT(Dashboard!$F$4) * _xlfn.NORM.S.INV(RAND())</f>
        <v>-1.6078729543231286E-2</v>
      </c>
      <c r="T6414" s="59">
        <f ca="1">Dashboard!C$8* Dashboard!$F$4+Dashboard!C$10*SQRT(Dashboard!$F$4) * _xlfn.NORM.S.INV(RAND())</f>
        <v>2.1314985934925257E-2</v>
      </c>
      <c r="U6414" s="59">
        <f ca="1">Dashboard!D$8* Dashboard!$F$4+Dashboard!D$10*SQRT(Dashboard!$F$4) * _xlfn.NORM.S.INV(RAND())</f>
        <v>9.4029966162231873E-3</v>
      </c>
    </row>
    <row r="6415" spans="18:21" x14ac:dyDescent="0.2">
      <c r="R6415" s="49">
        <v>6413</v>
      </c>
      <c r="S6415" s="59">
        <f ca="1">Dashboard!B$8* Dashboard!$F$4+Dashboard!B$10*SQRT(Dashboard!$F$4) * _xlfn.NORM.S.INV(RAND())</f>
        <v>4.6327987438648605E-2</v>
      </c>
      <c r="T6415" s="59">
        <f ca="1">Dashboard!C$8* Dashboard!$F$4+Dashboard!C$10*SQRT(Dashboard!$F$4) * _xlfn.NORM.S.INV(RAND())</f>
        <v>2.644885396807509E-2</v>
      </c>
      <c r="U6415" s="59">
        <f ca="1">Dashboard!D$8* Dashboard!$F$4+Dashboard!D$10*SQRT(Dashboard!$F$4) * _xlfn.NORM.S.INV(RAND())</f>
        <v>-3.7842115337696637E-2</v>
      </c>
    </row>
    <row r="6416" spans="18:21" x14ac:dyDescent="0.2">
      <c r="R6416" s="49">
        <v>6414</v>
      </c>
      <c r="S6416" s="59">
        <f ca="1">Dashboard!B$8* Dashboard!$F$4+Dashboard!B$10*SQRT(Dashboard!$F$4) * _xlfn.NORM.S.INV(RAND())</f>
        <v>-3.9465785790472378E-2</v>
      </c>
      <c r="T6416" s="59">
        <f ca="1">Dashboard!C$8* Dashboard!$F$4+Dashboard!C$10*SQRT(Dashboard!$F$4) * _xlfn.NORM.S.INV(RAND())</f>
        <v>4.759710703919004E-2</v>
      </c>
      <c r="U6416" s="59">
        <f ca="1">Dashboard!D$8* Dashboard!$F$4+Dashboard!D$10*SQRT(Dashboard!$F$4) * _xlfn.NORM.S.INV(RAND())</f>
        <v>1.7930504214543324E-2</v>
      </c>
    </row>
    <row r="6417" spans="18:21" x14ac:dyDescent="0.2">
      <c r="R6417" s="49">
        <v>6415</v>
      </c>
      <c r="S6417" s="59">
        <f ca="1">Dashboard!B$8* Dashboard!$F$4+Dashboard!B$10*SQRT(Dashboard!$F$4) * _xlfn.NORM.S.INV(RAND())</f>
        <v>-1.3937188062046845E-2</v>
      </c>
      <c r="T6417" s="59">
        <f ca="1">Dashboard!C$8* Dashboard!$F$4+Dashboard!C$10*SQRT(Dashboard!$F$4) * _xlfn.NORM.S.INV(RAND())</f>
        <v>-1.0779538846312935E-2</v>
      </c>
      <c r="U6417" s="59">
        <f ca="1">Dashboard!D$8* Dashboard!$F$4+Dashboard!D$10*SQRT(Dashboard!$F$4) * _xlfn.NORM.S.INV(RAND())</f>
        <v>-3.8969753176773494E-2</v>
      </c>
    </row>
    <row r="6418" spans="18:21" x14ac:dyDescent="0.2">
      <c r="R6418" s="49">
        <v>6416</v>
      </c>
      <c r="S6418" s="59">
        <f ca="1">Dashboard!B$8* Dashboard!$F$4+Dashboard!B$10*SQRT(Dashboard!$F$4) * _xlfn.NORM.S.INV(RAND())</f>
        <v>-1.3071021506691203E-2</v>
      </c>
      <c r="T6418" s="59">
        <f ca="1">Dashboard!C$8* Dashboard!$F$4+Dashboard!C$10*SQRT(Dashboard!$F$4) * _xlfn.NORM.S.INV(RAND())</f>
        <v>2.0976241637836419E-2</v>
      </c>
      <c r="U6418" s="59">
        <f ca="1">Dashboard!D$8* Dashboard!$F$4+Dashboard!D$10*SQRT(Dashboard!$F$4) * _xlfn.NORM.S.INV(RAND())</f>
        <v>-6.7743534952388829E-2</v>
      </c>
    </row>
    <row r="6419" spans="18:21" x14ac:dyDescent="0.2">
      <c r="R6419" s="49">
        <v>6417</v>
      </c>
      <c r="S6419" s="59">
        <f ca="1">Dashboard!B$8* Dashboard!$F$4+Dashboard!B$10*SQRT(Dashboard!$F$4) * _xlfn.NORM.S.INV(RAND())</f>
        <v>-2.8049760907816962E-4</v>
      </c>
      <c r="T6419" s="59">
        <f ca="1">Dashboard!C$8* Dashboard!$F$4+Dashboard!C$10*SQRT(Dashboard!$F$4) * _xlfn.NORM.S.INV(RAND())</f>
        <v>4.2021113532030571E-2</v>
      </c>
      <c r="U6419" s="59">
        <f ca="1">Dashboard!D$8* Dashboard!$F$4+Dashboard!D$10*SQRT(Dashboard!$F$4) * _xlfn.NORM.S.INV(RAND())</f>
        <v>-6.0537497168481502E-2</v>
      </c>
    </row>
    <row r="6420" spans="18:21" x14ac:dyDescent="0.2">
      <c r="R6420" s="49">
        <v>6418</v>
      </c>
      <c r="S6420" s="59">
        <f ca="1">Dashboard!B$8* Dashboard!$F$4+Dashboard!B$10*SQRT(Dashboard!$F$4) * _xlfn.NORM.S.INV(RAND())</f>
        <v>1.6650277021162284E-3</v>
      </c>
      <c r="T6420" s="59">
        <f ca="1">Dashboard!C$8* Dashboard!$F$4+Dashboard!C$10*SQRT(Dashboard!$F$4) * _xlfn.NORM.S.INV(RAND())</f>
        <v>-4.3183018501948946E-3</v>
      </c>
      <c r="U6420" s="59">
        <f ca="1">Dashboard!D$8* Dashboard!$F$4+Dashboard!D$10*SQRT(Dashboard!$F$4) * _xlfn.NORM.S.INV(RAND())</f>
        <v>2.1027694168804057E-2</v>
      </c>
    </row>
    <row r="6421" spans="18:21" x14ac:dyDescent="0.2">
      <c r="R6421" s="49">
        <v>6419</v>
      </c>
      <c r="S6421" s="59">
        <f ca="1">Dashboard!B$8* Dashboard!$F$4+Dashboard!B$10*SQRT(Dashboard!$F$4) * _xlfn.NORM.S.INV(RAND())</f>
        <v>-2.3061605349757111E-2</v>
      </c>
      <c r="T6421" s="59">
        <f ca="1">Dashboard!C$8* Dashboard!$F$4+Dashboard!C$10*SQRT(Dashboard!$F$4) * _xlfn.NORM.S.INV(RAND())</f>
        <v>4.4665239572124905E-2</v>
      </c>
      <c r="U6421" s="59">
        <f ca="1">Dashboard!D$8* Dashboard!$F$4+Dashboard!D$10*SQRT(Dashboard!$F$4) * _xlfn.NORM.S.INV(RAND())</f>
        <v>2.1073298659366285E-2</v>
      </c>
    </row>
    <row r="6422" spans="18:21" x14ac:dyDescent="0.2">
      <c r="R6422" s="49">
        <v>6420</v>
      </c>
      <c r="S6422" s="59">
        <f ca="1">Dashboard!B$8* Dashboard!$F$4+Dashboard!B$10*SQRT(Dashboard!$F$4) * _xlfn.NORM.S.INV(RAND())</f>
        <v>2.8246348158932084E-3</v>
      </c>
      <c r="T6422" s="59">
        <f ca="1">Dashboard!C$8* Dashboard!$F$4+Dashboard!C$10*SQRT(Dashboard!$F$4) * _xlfn.NORM.S.INV(RAND())</f>
        <v>-3.0486232890762934E-2</v>
      </c>
      <c r="U6422" s="59">
        <f ca="1">Dashboard!D$8* Dashboard!$F$4+Dashboard!D$10*SQRT(Dashboard!$F$4) * _xlfn.NORM.S.INV(RAND())</f>
        <v>-4.6963840505847371E-2</v>
      </c>
    </row>
    <row r="6423" spans="18:21" x14ac:dyDescent="0.2">
      <c r="R6423" s="49">
        <v>6421</v>
      </c>
      <c r="S6423" s="59">
        <f ca="1">Dashboard!B$8* Dashboard!$F$4+Dashboard!B$10*SQRT(Dashboard!$F$4) * _xlfn.NORM.S.INV(RAND())</f>
        <v>-1.5281614470176832E-2</v>
      </c>
      <c r="T6423" s="59">
        <f ca="1">Dashboard!C$8* Dashboard!$F$4+Dashboard!C$10*SQRT(Dashboard!$F$4) * _xlfn.NORM.S.INV(RAND())</f>
        <v>-6.6532056305422263E-2</v>
      </c>
      <c r="U6423" s="59">
        <f ca="1">Dashboard!D$8* Dashboard!$F$4+Dashboard!D$10*SQRT(Dashboard!$F$4) * _xlfn.NORM.S.INV(RAND())</f>
        <v>3.9391726117678022E-2</v>
      </c>
    </row>
    <row r="6424" spans="18:21" x14ac:dyDescent="0.2">
      <c r="R6424" s="49">
        <v>6422</v>
      </c>
      <c r="S6424" s="59">
        <f ca="1">Dashboard!B$8* Dashboard!$F$4+Dashboard!B$10*SQRT(Dashboard!$F$4) * _xlfn.NORM.S.INV(RAND())</f>
        <v>-1.5388075397618448E-2</v>
      </c>
      <c r="T6424" s="59">
        <f ca="1">Dashboard!C$8* Dashboard!$F$4+Dashboard!C$10*SQRT(Dashboard!$F$4) * _xlfn.NORM.S.INV(RAND())</f>
        <v>-3.0876546473781134E-2</v>
      </c>
      <c r="U6424" s="59">
        <f ca="1">Dashboard!D$8* Dashboard!$F$4+Dashboard!D$10*SQRT(Dashboard!$F$4) * _xlfn.NORM.S.INV(RAND())</f>
        <v>-1.1386762334909024E-2</v>
      </c>
    </row>
    <row r="6425" spans="18:21" x14ac:dyDescent="0.2">
      <c r="R6425" s="49">
        <v>6423</v>
      </c>
      <c r="S6425" s="59">
        <f ca="1">Dashboard!B$8* Dashboard!$F$4+Dashboard!B$10*SQRT(Dashboard!$F$4) * _xlfn.NORM.S.INV(RAND())</f>
        <v>1.6315962268127916E-3</v>
      </c>
      <c r="T6425" s="59">
        <f ca="1">Dashboard!C$8* Dashboard!$F$4+Dashboard!C$10*SQRT(Dashboard!$F$4) * _xlfn.NORM.S.INV(RAND())</f>
        <v>2.8573125364522105E-2</v>
      </c>
      <c r="U6425" s="59">
        <f ca="1">Dashboard!D$8* Dashboard!$F$4+Dashboard!D$10*SQRT(Dashboard!$F$4) * _xlfn.NORM.S.INV(RAND())</f>
        <v>2.219371576478121E-2</v>
      </c>
    </row>
    <row r="6426" spans="18:21" x14ac:dyDescent="0.2">
      <c r="R6426" s="49">
        <v>6424</v>
      </c>
      <c r="S6426" s="59">
        <f ca="1">Dashboard!B$8* Dashboard!$F$4+Dashboard!B$10*SQRT(Dashboard!$F$4) * _xlfn.NORM.S.INV(RAND())</f>
        <v>7.5945665297363785E-3</v>
      </c>
      <c r="T6426" s="59">
        <f ca="1">Dashboard!C$8* Dashboard!$F$4+Dashboard!C$10*SQRT(Dashboard!$F$4) * _xlfn.NORM.S.INV(RAND())</f>
        <v>2.0779711140633287E-3</v>
      </c>
      <c r="U6426" s="59">
        <f ca="1">Dashboard!D$8* Dashboard!$F$4+Dashboard!D$10*SQRT(Dashboard!$F$4) * _xlfn.NORM.S.INV(RAND())</f>
        <v>4.2492314309601313E-2</v>
      </c>
    </row>
    <row r="6427" spans="18:21" x14ac:dyDescent="0.2">
      <c r="R6427" s="49">
        <v>6425</v>
      </c>
      <c r="S6427" s="59">
        <f ca="1">Dashboard!B$8* Dashboard!$F$4+Dashboard!B$10*SQRT(Dashboard!$F$4) * _xlfn.NORM.S.INV(RAND())</f>
        <v>-6.7344139479223256E-2</v>
      </c>
      <c r="T6427" s="59">
        <f ca="1">Dashboard!C$8* Dashboard!$F$4+Dashboard!C$10*SQRT(Dashboard!$F$4) * _xlfn.NORM.S.INV(RAND())</f>
        <v>-5.8357171939055319E-2</v>
      </c>
      <c r="U6427" s="59">
        <f ca="1">Dashboard!D$8* Dashboard!$F$4+Dashboard!D$10*SQRT(Dashboard!$F$4) * _xlfn.NORM.S.INV(RAND())</f>
        <v>-3.3574467279630898E-2</v>
      </c>
    </row>
    <row r="6428" spans="18:21" x14ac:dyDescent="0.2">
      <c r="R6428" s="49">
        <v>6426</v>
      </c>
      <c r="S6428" s="59">
        <f ca="1">Dashboard!B$8* Dashboard!$F$4+Dashboard!B$10*SQRT(Dashboard!$F$4) * _xlfn.NORM.S.INV(RAND())</f>
        <v>2.0784274545167972E-2</v>
      </c>
      <c r="T6428" s="59">
        <f ca="1">Dashboard!C$8* Dashboard!$F$4+Dashboard!C$10*SQRT(Dashboard!$F$4) * _xlfn.NORM.S.INV(RAND())</f>
        <v>-1.1677200111541892E-2</v>
      </c>
      <c r="U6428" s="59">
        <f ca="1">Dashboard!D$8* Dashboard!$F$4+Dashboard!D$10*SQRT(Dashboard!$F$4) * _xlfn.NORM.S.INV(RAND())</f>
        <v>2.9560855015671687E-3</v>
      </c>
    </row>
    <row r="6429" spans="18:21" x14ac:dyDescent="0.2">
      <c r="R6429" s="49">
        <v>6427</v>
      </c>
      <c r="S6429" s="59">
        <f ca="1">Dashboard!B$8* Dashboard!$F$4+Dashboard!B$10*SQRT(Dashboard!$F$4) * _xlfn.NORM.S.INV(RAND())</f>
        <v>3.2677297077180527E-2</v>
      </c>
      <c r="T6429" s="59">
        <f ca="1">Dashboard!C$8* Dashboard!$F$4+Dashboard!C$10*SQRT(Dashboard!$F$4) * _xlfn.NORM.S.INV(RAND())</f>
        <v>-2.7188998491985004E-2</v>
      </c>
      <c r="U6429" s="59">
        <f ca="1">Dashboard!D$8* Dashboard!$F$4+Dashboard!D$10*SQRT(Dashboard!$F$4) * _xlfn.NORM.S.INV(RAND())</f>
        <v>1.9750708054715283E-2</v>
      </c>
    </row>
    <row r="6430" spans="18:21" x14ac:dyDescent="0.2">
      <c r="R6430" s="49">
        <v>6428</v>
      </c>
      <c r="S6430" s="59">
        <f ca="1">Dashboard!B$8* Dashboard!$F$4+Dashboard!B$10*SQRT(Dashboard!$F$4) * _xlfn.NORM.S.INV(RAND())</f>
        <v>-1.2453942944882711E-2</v>
      </c>
      <c r="T6430" s="59">
        <f ca="1">Dashboard!C$8* Dashboard!$F$4+Dashboard!C$10*SQRT(Dashboard!$F$4) * _xlfn.NORM.S.INV(RAND())</f>
        <v>-5.5874424987877322E-3</v>
      </c>
      <c r="U6430" s="59">
        <f ca="1">Dashboard!D$8* Dashboard!$F$4+Dashboard!D$10*SQRT(Dashboard!$F$4) * _xlfn.NORM.S.INV(RAND())</f>
        <v>7.92571132765333E-3</v>
      </c>
    </row>
    <row r="6431" spans="18:21" x14ac:dyDescent="0.2">
      <c r="R6431" s="49">
        <v>6429</v>
      </c>
      <c r="S6431" s="59">
        <f ca="1">Dashboard!B$8* Dashboard!$F$4+Dashboard!B$10*SQRT(Dashboard!$F$4) * _xlfn.NORM.S.INV(RAND())</f>
        <v>1.0735773345222245E-2</v>
      </c>
      <c r="T6431" s="59">
        <f ca="1">Dashboard!C$8* Dashboard!$F$4+Dashboard!C$10*SQRT(Dashboard!$F$4) * _xlfn.NORM.S.INV(RAND())</f>
        <v>-9.4501926749143046E-3</v>
      </c>
      <c r="U6431" s="59">
        <f ca="1">Dashboard!D$8* Dashboard!$F$4+Dashboard!D$10*SQRT(Dashboard!$F$4) * _xlfn.NORM.S.INV(RAND())</f>
        <v>9.8439854565810772E-4</v>
      </c>
    </row>
    <row r="6432" spans="18:21" x14ac:dyDescent="0.2">
      <c r="R6432" s="49">
        <v>6430</v>
      </c>
      <c r="S6432" s="59">
        <f ca="1">Dashboard!B$8* Dashboard!$F$4+Dashboard!B$10*SQRT(Dashboard!$F$4) * _xlfn.NORM.S.INV(RAND())</f>
        <v>5.4967194256411903E-2</v>
      </c>
      <c r="T6432" s="59">
        <f ca="1">Dashboard!C$8* Dashboard!$F$4+Dashboard!C$10*SQRT(Dashboard!$F$4) * _xlfn.NORM.S.INV(RAND())</f>
        <v>4.9032921810012436E-3</v>
      </c>
      <c r="U6432" s="59">
        <f ca="1">Dashboard!D$8* Dashboard!$F$4+Dashboard!D$10*SQRT(Dashboard!$F$4) * _xlfn.NORM.S.INV(RAND())</f>
        <v>3.1847623027932793E-2</v>
      </c>
    </row>
    <row r="6433" spans="18:21" x14ac:dyDescent="0.2">
      <c r="R6433" s="49">
        <v>6431</v>
      </c>
      <c r="S6433" s="59">
        <f ca="1">Dashboard!B$8* Dashboard!$F$4+Dashboard!B$10*SQRT(Dashboard!$F$4) * _xlfn.NORM.S.INV(RAND())</f>
        <v>2.1493900671331917E-2</v>
      </c>
      <c r="T6433" s="59">
        <f ca="1">Dashboard!C$8* Dashboard!$F$4+Dashboard!C$10*SQRT(Dashboard!$F$4) * _xlfn.NORM.S.INV(RAND())</f>
        <v>-1.960510627385003E-2</v>
      </c>
      <c r="U6433" s="59">
        <f ca="1">Dashboard!D$8* Dashboard!$F$4+Dashboard!D$10*SQRT(Dashboard!$F$4) * _xlfn.NORM.S.INV(RAND())</f>
        <v>-3.1460289586250786E-2</v>
      </c>
    </row>
    <row r="6434" spans="18:21" x14ac:dyDescent="0.2">
      <c r="R6434" s="49">
        <v>6432</v>
      </c>
      <c r="S6434" s="59">
        <f ca="1">Dashboard!B$8* Dashboard!$F$4+Dashboard!B$10*SQRT(Dashboard!$F$4) * _xlfn.NORM.S.INV(RAND())</f>
        <v>-7.1603787990583648E-3</v>
      </c>
      <c r="T6434" s="59">
        <f ca="1">Dashboard!C$8* Dashboard!$F$4+Dashboard!C$10*SQRT(Dashboard!$F$4) * _xlfn.NORM.S.INV(RAND())</f>
        <v>-1.8506837319098329E-2</v>
      </c>
      <c r="U6434" s="59">
        <f ca="1">Dashboard!D$8* Dashboard!$F$4+Dashboard!D$10*SQRT(Dashboard!$F$4) * _xlfn.NORM.S.INV(RAND())</f>
        <v>-1.5950239656512617E-2</v>
      </c>
    </row>
    <row r="6435" spans="18:21" x14ac:dyDescent="0.2">
      <c r="R6435" s="49">
        <v>6433</v>
      </c>
      <c r="S6435" s="59">
        <f ca="1">Dashboard!B$8* Dashboard!$F$4+Dashboard!B$10*SQRT(Dashboard!$F$4) * _xlfn.NORM.S.INV(RAND())</f>
        <v>1.3887347756781042E-3</v>
      </c>
      <c r="T6435" s="59">
        <f ca="1">Dashboard!C$8* Dashboard!$F$4+Dashboard!C$10*SQRT(Dashboard!$F$4) * _xlfn.NORM.S.INV(RAND())</f>
        <v>3.250366657716817E-3</v>
      </c>
      <c r="U6435" s="59">
        <f ca="1">Dashboard!D$8* Dashboard!$F$4+Dashboard!D$10*SQRT(Dashboard!$F$4) * _xlfn.NORM.S.INV(RAND())</f>
        <v>2.6009264358870875E-2</v>
      </c>
    </row>
    <row r="6436" spans="18:21" x14ac:dyDescent="0.2">
      <c r="R6436" s="49">
        <v>6434</v>
      </c>
      <c r="S6436" s="59">
        <f ca="1">Dashboard!B$8* Dashboard!$F$4+Dashboard!B$10*SQRT(Dashboard!$F$4) * _xlfn.NORM.S.INV(RAND())</f>
        <v>2.4878292844251117E-2</v>
      </c>
      <c r="T6436" s="59">
        <f ca="1">Dashboard!C$8* Dashboard!$F$4+Dashboard!C$10*SQRT(Dashboard!$F$4) * _xlfn.NORM.S.INV(RAND())</f>
        <v>-2.9698255854326536E-2</v>
      </c>
      <c r="U6436" s="59">
        <f ca="1">Dashboard!D$8* Dashboard!$F$4+Dashboard!D$10*SQRT(Dashboard!$F$4) * _xlfn.NORM.S.INV(RAND())</f>
        <v>-1.8806609217409797E-2</v>
      </c>
    </row>
    <row r="6437" spans="18:21" x14ac:dyDescent="0.2">
      <c r="R6437" s="49">
        <v>6435</v>
      </c>
      <c r="S6437" s="59">
        <f ca="1">Dashboard!B$8* Dashboard!$F$4+Dashboard!B$10*SQRT(Dashboard!$F$4) * _xlfn.NORM.S.INV(RAND())</f>
        <v>-6.9276145343471745E-3</v>
      </c>
      <c r="T6437" s="59">
        <f ca="1">Dashboard!C$8* Dashboard!$F$4+Dashboard!C$10*SQRT(Dashboard!$F$4) * _xlfn.NORM.S.INV(RAND())</f>
        <v>-2.4873946986278456E-2</v>
      </c>
      <c r="U6437" s="59">
        <f ca="1">Dashboard!D$8* Dashboard!$F$4+Dashboard!D$10*SQRT(Dashboard!$F$4) * _xlfn.NORM.S.INV(RAND())</f>
        <v>-1.1783481093519302E-2</v>
      </c>
    </row>
    <row r="6438" spans="18:21" x14ac:dyDescent="0.2">
      <c r="R6438" s="49">
        <v>6436</v>
      </c>
      <c r="S6438" s="59">
        <f ca="1">Dashboard!B$8* Dashboard!$F$4+Dashboard!B$10*SQRT(Dashboard!$F$4) * _xlfn.NORM.S.INV(RAND())</f>
        <v>-6.6811307290045668E-2</v>
      </c>
      <c r="T6438" s="59">
        <f ca="1">Dashboard!C$8* Dashboard!$F$4+Dashboard!C$10*SQRT(Dashboard!$F$4) * _xlfn.NORM.S.INV(RAND())</f>
        <v>-7.1116328198023706E-3</v>
      </c>
      <c r="U6438" s="59">
        <f ca="1">Dashboard!D$8* Dashboard!$F$4+Dashboard!D$10*SQRT(Dashboard!$F$4) * _xlfn.NORM.S.INV(RAND())</f>
        <v>-3.2060451656230546E-2</v>
      </c>
    </row>
    <row r="6439" spans="18:21" x14ac:dyDescent="0.2">
      <c r="R6439" s="49">
        <v>6437</v>
      </c>
      <c r="S6439" s="59">
        <f ca="1">Dashboard!B$8* Dashboard!$F$4+Dashboard!B$10*SQRT(Dashboard!$F$4) * _xlfn.NORM.S.INV(RAND())</f>
        <v>-1.2389905627684949E-2</v>
      </c>
      <c r="T6439" s="59">
        <f ca="1">Dashboard!C$8* Dashboard!$F$4+Dashboard!C$10*SQRT(Dashboard!$F$4) * _xlfn.NORM.S.INV(RAND())</f>
        <v>3.9099744878953534E-2</v>
      </c>
      <c r="U6439" s="59">
        <f ca="1">Dashboard!D$8* Dashboard!$F$4+Dashboard!D$10*SQRT(Dashboard!$F$4) * _xlfn.NORM.S.INV(RAND())</f>
        <v>-8.3778535617648007E-3</v>
      </c>
    </row>
    <row r="6440" spans="18:21" x14ac:dyDescent="0.2">
      <c r="R6440" s="49">
        <v>6438</v>
      </c>
      <c r="S6440" s="59">
        <f ca="1">Dashboard!B$8* Dashboard!$F$4+Dashboard!B$10*SQRT(Dashboard!$F$4) * _xlfn.NORM.S.INV(RAND())</f>
        <v>-4.2123089809648013E-3</v>
      </c>
      <c r="T6440" s="59">
        <f ca="1">Dashboard!C$8* Dashboard!$F$4+Dashboard!C$10*SQRT(Dashboard!$F$4) * _xlfn.NORM.S.INV(RAND())</f>
        <v>7.2736193325105584E-3</v>
      </c>
      <c r="U6440" s="59">
        <f ca="1">Dashboard!D$8* Dashboard!$F$4+Dashboard!D$10*SQRT(Dashboard!$F$4) * _xlfn.NORM.S.INV(RAND())</f>
        <v>-1.9834872032860384E-2</v>
      </c>
    </row>
    <row r="6441" spans="18:21" x14ac:dyDescent="0.2">
      <c r="R6441" s="49">
        <v>6439</v>
      </c>
      <c r="S6441" s="59">
        <f ca="1">Dashboard!B$8* Dashboard!$F$4+Dashboard!B$10*SQRT(Dashboard!$F$4) * _xlfn.NORM.S.INV(RAND())</f>
        <v>-3.3686217338171891E-2</v>
      </c>
      <c r="T6441" s="59">
        <f ca="1">Dashboard!C$8* Dashboard!$F$4+Dashboard!C$10*SQRT(Dashboard!$F$4) * _xlfn.NORM.S.INV(RAND())</f>
        <v>-2.5823350642240252E-2</v>
      </c>
      <c r="U6441" s="59">
        <f ca="1">Dashboard!D$8* Dashboard!$F$4+Dashboard!D$10*SQRT(Dashboard!$F$4) * _xlfn.NORM.S.INV(RAND())</f>
        <v>-2.5266753859878631E-3</v>
      </c>
    </row>
    <row r="6442" spans="18:21" x14ac:dyDescent="0.2">
      <c r="R6442" s="49">
        <v>6440</v>
      </c>
      <c r="S6442" s="59">
        <f ca="1">Dashboard!B$8* Dashboard!$F$4+Dashboard!B$10*SQRT(Dashboard!$F$4) * _xlfn.NORM.S.INV(RAND())</f>
        <v>-5.1752243621853204E-2</v>
      </c>
      <c r="T6442" s="59">
        <f ca="1">Dashboard!C$8* Dashboard!$F$4+Dashboard!C$10*SQRT(Dashboard!$F$4) * _xlfn.NORM.S.INV(RAND())</f>
        <v>-6.3166218551321499E-2</v>
      </c>
      <c r="U6442" s="59">
        <f ca="1">Dashboard!D$8* Dashboard!$F$4+Dashboard!D$10*SQRT(Dashboard!$F$4) * _xlfn.NORM.S.INV(RAND())</f>
        <v>3.5922081010623032E-2</v>
      </c>
    </row>
    <row r="6443" spans="18:21" x14ac:dyDescent="0.2">
      <c r="R6443" s="49">
        <v>6441</v>
      </c>
      <c r="S6443" s="59">
        <f ca="1">Dashboard!B$8* Dashboard!$F$4+Dashboard!B$10*SQRT(Dashboard!$F$4) * _xlfn.NORM.S.INV(RAND())</f>
        <v>-5.129578536303761E-2</v>
      </c>
      <c r="T6443" s="59">
        <f ca="1">Dashboard!C$8* Dashboard!$F$4+Dashboard!C$10*SQRT(Dashboard!$F$4) * _xlfn.NORM.S.INV(RAND())</f>
        <v>-5.786947129245947E-3</v>
      </c>
      <c r="U6443" s="59">
        <f ca="1">Dashboard!D$8* Dashboard!$F$4+Dashboard!D$10*SQRT(Dashboard!$F$4) * _xlfn.NORM.S.INV(RAND())</f>
        <v>-1.4725081654016802E-2</v>
      </c>
    </row>
    <row r="6444" spans="18:21" x14ac:dyDescent="0.2">
      <c r="R6444" s="49">
        <v>6442</v>
      </c>
      <c r="S6444" s="59">
        <f ca="1">Dashboard!B$8* Dashboard!$F$4+Dashboard!B$10*SQRT(Dashboard!$F$4) * _xlfn.NORM.S.INV(RAND())</f>
        <v>-1.8646091598046467E-2</v>
      </c>
      <c r="T6444" s="59">
        <f ca="1">Dashboard!C$8* Dashboard!$F$4+Dashboard!C$10*SQRT(Dashboard!$F$4) * _xlfn.NORM.S.INV(RAND())</f>
        <v>-1.8672958681816759E-2</v>
      </c>
      <c r="U6444" s="59">
        <f ca="1">Dashboard!D$8* Dashboard!$F$4+Dashboard!D$10*SQRT(Dashboard!$F$4) * _xlfn.NORM.S.INV(RAND())</f>
        <v>1.0378232173087485E-2</v>
      </c>
    </row>
    <row r="6445" spans="18:21" x14ac:dyDescent="0.2">
      <c r="R6445" s="49">
        <v>6443</v>
      </c>
      <c r="S6445" s="59">
        <f ca="1">Dashboard!B$8* Dashboard!$F$4+Dashboard!B$10*SQRT(Dashboard!$F$4) * _xlfn.NORM.S.INV(RAND())</f>
        <v>7.656456187193629E-2</v>
      </c>
      <c r="T6445" s="59">
        <f ca="1">Dashboard!C$8* Dashboard!$F$4+Dashboard!C$10*SQRT(Dashboard!$F$4) * _xlfn.NORM.S.INV(RAND())</f>
        <v>8.9874520735288302E-2</v>
      </c>
      <c r="U6445" s="59">
        <f ca="1">Dashboard!D$8* Dashboard!$F$4+Dashboard!D$10*SQRT(Dashboard!$F$4) * _xlfn.NORM.S.INV(RAND())</f>
        <v>1.6770619449105097E-2</v>
      </c>
    </row>
    <row r="6446" spans="18:21" x14ac:dyDescent="0.2">
      <c r="R6446" s="49">
        <v>6444</v>
      </c>
      <c r="S6446" s="59">
        <f ca="1">Dashboard!B$8* Dashboard!$F$4+Dashboard!B$10*SQRT(Dashboard!$F$4) * _xlfn.NORM.S.INV(RAND())</f>
        <v>-1.4972405260574714E-3</v>
      </c>
      <c r="T6446" s="59">
        <f ca="1">Dashboard!C$8* Dashboard!$F$4+Dashboard!C$10*SQRT(Dashboard!$F$4) * _xlfn.NORM.S.INV(RAND())</f>
        <v>4.1271354978847867E-2</v>
      </c>
      <c r="U6446" s="59">
        <f ca="1">Dashboard!D$8* Dashboard!$F$4+Dashboard!D$10*SQRT(Dashboard!$F$4) * _xlfn.NORM.S.INV(RAND())</f>
        <v>-8.1442660241457486E-4</v>
      </c>
    </row>
    <row r="6447" spans="18:21" x14ac:dyDescent="0.2">
      <c r="R6447" s="49">
        <v>6445</v>
      </c>
      <c r="S6447" s="59">
        <f ca="1">Dashboard!B$8* Dashboard!$F$4+Dashboard!B$10*SQRT(Dashboard!$F$4) * _xlfn.NORM.S.INV(RAND())</f>
        <v>-4.0193250019766261E-3</v>
      </c>
      <c r="T6447" s="59">
        <f ca="1">Dashboard!C$8* Dashboard!$F$4+Dashboard!C$10*SQRT(Dashboard!$F$4) * _xlfn.NORM.S.INV(RAND())</f>
        <v>-3.229417216579903E-2</v>
      </c>
      <c r="U6447" s="59">
        <f ca="1">Dashboard!D$8* Dashboard!$F$4+Dashboard!D$10*SQRT(Dashboard!$F$4) * _xlfn.NORM.S.INV(RAND())</f>
        <v>1.5931753874042266E-2</v>
      </c>
    </row>
    <row r="6448" spans="18:21" x14ac:dyDescent="0.2">
      <c r="R6448" s="49">
        <v>6446</v>
      </c>
      <c r="S6448" s="59">
        <f ca="1">Dashboard!B$8* Dashboard!$F$4+Dashboard!B$10*SQRT(Dashboard!$F$4) * _xlfn.NORM.S.INV(RAND())</f>
        <v>1.268424985758127E-2</v>
      </c>
      <c r="T6448" s="59">
        <f ca="1">Dashboard!C$8* Dashboard!$F$4+Dashboard!C$10*SQRT(Dashboard!$F$4) * _xlfn.NORM.S.INV(RAND())</f>
        <v>2.9929105210325466E-2</v>
      </c>
      <c r="U6448" s="59">
        <f ca="1">Dashboard!D$8* Dashboard!$F$4+Dashboard!D$10*SQRT(Dashboard!$F$4) * _xlfn.NORM.S.INV(RAND())</f>
        <v>-6.8811608238725425E-2</v>
      </c>
    </row>
    <row r="6449" spans="18:21" x14ac:dyDescent="0.2">
      <c r="R6449" s="49">
        <v>6447</v>
      </c>
      <c r="S6449" s="59">
        <f ca="1">Dashboard!B$8* Dashboard!$F$4+Dashboard!B$10*SQRT(Dashboard!$F$4) * _xlfn.NORM.S.INV(RAND())</f>
        <v>-1.9738727672619326E-2</v>
      </c>
      <c r="T6449" s="59">
        <f ca="1">Dashboard!C$8* Dashboard!$F$4+Dashboard!C$10*SQRT(Dashboard!$F$4) * _xlfn.NORM.S.INV(RAND())</f>
        <v>-0.10121415656924934</v>
      </c>
      <c r="U6449" s="59">
        <f ca="1">Dashboard!D$8* Dashboard!$F$4+Dashboard!D$10*SQRT(Dashboard!$F$4) * _xlfn.NORM.S.INV(RAND())</f>
        <v>4.2303118564279395E-3</v>
      </c>
    </row>
    <row r="6450" spans="18:21" x14ac:dyDescent="0.2">
      <c r="R6450" s="49">
        <v>6448</v>
      </c>
      <c r="S6450" s="59">
        <f ca="1">Dashboard!B$8* Dashboard!$F$4+Dashboard!B$10*SQRT(Dashboard!$F$4) * _xlfn.NORM.S.INV(RAND())</f>
        <v>-5.7202017209673998E-3</v>
      </c>
      <c r="T6450" s="59">
        <f ca="1">Dashboard!C$8* Dashboard!$F$4+Dashboard!C$10*SQRT(Dashboard!$F$4) * _xlfn.NORM.S.INV(RAND())</f>
        <v>-3.5689565440543388E-3</v>
      </c>
      <c r="U6450" s="59">
        <f ca="1">Dashboard!D$8* Dashboard!$F$4+Dashboard!D$10*SQRT(Dashboard!$F$4) * _xlfn.NORM.S.INV(RAND())</f>
        <v>-3.1085339068902307E-2</v>
      </c>
    </row>
    <row r="6451" spans="18:21" x14ac:dyDescent="0.2">
      <c r="R6451" s="49">
        <v>6449</v>
      </c>
      <c r="S6451" s="59">
        <f ca="1">Dashboard!B$8* Dashboard!$F$4+Dashboard!B$10*SQRT(Dashboard!$F$4) * _xlfn.NORM.S.INV(RAND())</f>
        <v>-1.7375903855394274E-2</v>
      </c>
      <c r="T6451" s="59">
        <f ca="1">Dashboard!C$8* Dashboard!$F$4+Dashboard!C$10*SQRT(Dashboard!$F$4) * _xlfn.NORM.S.INV(RAND())</f>
        <v>-4.3729771307686835E-2</v>
      </c>
      <c r="U6451" s="59">
        <f ca="1">Dashboard!D$8* Dashboard!$F$4+Dashboard!D$10*SQRT(Dashboard!$F$4) * _xlfn.NORM.S.INV(RAND())</f>
        <v>-2.5418821191327063E-2</v>
      </c>
    </row>
    <row r="6452" spans="18:21" x14ac:dyDescent="0.2">
      <c r="R6452" s="49">
        <v>6450</v>
      </c>
      <c r="S6452" s="59">
        <f ca="1">Dashboard!B$8* Dashboard!$F$4+Dashboard!B$10*SQRT(Dashboard!$F$4) * _xlfn.NORM.S.INV(RAND())</f>
        <v>3.4386834562205579E-2</v>
      </c>
      <c r="T6452" s="59">
        <f ca="1">Dashboard!C$8* Dashboard!$F$4+Dashboard!C$10*SQRT(Dashboard!$F$4) * _xlfn.NORM.S.INV(RAND())</f>
        <v>-5.1229858926866469E-4</v>
      </c>
      <c r="U6452" s="59">
        <f ca="1">Dashboard!D$8* Dashboard!$F$4+Dashboard!D$10*SQRT(Dashboard!$F$4) * _xlfn.NORM.S.INV(RAND())</f>
        <v>-1.2858722687846415E-2</v>
      </c>
    </row>
    <row r="6453" spans="18:21" x14ac:dyDescent="0.2">
      <c r="R6453" s="49">
        <v>6451</v>
      </c>
      <c r="S6453" s="59">
        <f ca="1">Dashboard!B$8* Dashboard!$F$4+Dashboard!B$10*SQRT(Dashboard!$F$4) * _xlfn.NORM.S.INV(RAND())</f>
        <v>-1.7405954423376339E-2</v>
      </c>
      <c r="T6453" s="59">
        <f ca="1">Dashboard!C$8* Dashboard!$F$4+Dashboard!C$10*SQRT(Dashboard!$F$4) * _xlfn.NORM.S.INV(RAND())</f>
        <v>3.2734219273737847E-2</v>
      </c>
      <c r="U6453" s="59">
        <f ca="1">Dashboard!D$8* Dashboard!$F$4+Dashboard!D$10*SQRT(Dashboard!$F$4) * _xlfn.NORM.S.INV(RAND())</f>
        <v>4.3201770401106648E-2</v>
      </c>
    </row>
    <row r="6454" spans="18:21" x14ac:dyDescent="0.2">
      <c r="R6454" s="49">
        <v>6452</v>
      </c>
      <c r="S6454" s="59">
        <f ca="1">Dashboard!B$8* Dashboard!$F$4+Dashboard!B$10*SQRT(Dashboard!$F$4) * _xlfn.NORM.S.INV(RAND())</f>
        <v>6.5173509099885566E-3</v>
      </c>
      <c r="T6454" s="59">
        <f ca="1">Dashboard!C$8* Dashboard!$F$4+Dashboard!C$10*SQRT(Dashboard!$F$4) * _xlfn.NORM.S.INV(RAND())</f>
        <v>-1.7291509992747419E-2</v>
      </c>
      <c r="U6454" s="59">
        <f ca="1">Dashboard!D$8* Dashboard!$F$4+Dashboard!D$10*SQRT(Dashboard!$F$4) * _xlfn.NORM.S.INV(RAND())</f>
        <v>-1.7815287682433841E-2</v>
      </c>
    </row>
    <row r="6455" spans="18:21" x14ac:dyDescent="0.2">
      <c r="R6455" s="49">
        <v>6453</v>
      </c>
      <c r="S6455" s="59">
        <f ca="1">Dashboard!B$8* Dashboard!$F$4+Dashboard!B$10*SQRT(Dashboard!$F$4) * _xlfn.NORM.S.INV(RAND())</f>
        <v>8.1408665537796937E-2</v>
      </c>
      <c r="T6455" s="59">
        <f ca="1">Dashboard!C$8* Dashboard!$F$4+Dashboard!C$10*SQRT(Dashboard!$F$4) * _xlfn.NORM.S.INV(RAND())</f>
        <v>-3.3712788453605563E-2</v>
      </c>
      <c r="U6455" s="59">
        <f ca="1">Dashboard!D$8* Dashboard!$F$4+Dashboard!D$10*SQRT(Dashboard!$F$4) * _xlfn.NORM.S.INV(RAND())</f>
        <v>4.6404929692647041E-2</v>
      </c>
    </row>
    <row r="6456" spans="18:21" x14ac:dyDescent="0.2">
      <c r="R6456" s="49">
        <v>6454</v>
      </c>
      <c r="S6456" s="59">
        <f ca="1">Dashboard!B$8* Dashboard!$F$4+Dashboard!B$10*SQRT(Dashboard!$F$4) * _xlfn.NORM.S.INV(RAND())</f>
        <v>-4.0725847373135456E-2</v>
      </c>
      <c r="T6456" s="59">
        <f ca="1">Dashboard!C$8* Dashboard!$F$4+Dashboard!C$10*SQRT(Dashboard!$F$4) * _xlfn.NORM.S.INV(RAND())</f>
        <v>2.5348644547209441E-2</v>
      </c>
      <c r="U6456" s="59">
        <f ca="1">Dashboard!D$8* Dashboard!$F$4+Dashboard!D$10*SQRT(Dashboard!$F$4) * _xlfn.NORM.S.INV(RAND())</f>
        <v>-2.0996265733263363E-3</v>
      </c>
    </row>
    <row r="6457" spans="18:21" x14ac:dyDescent="0.2">
      <c r="R6457" s="49">
        <v>6455</v>
      </c>
      <c r="S6457" s="59">
        <f ca="1">Dashboard!B$8* Dashboard!$F$4+Dashboard!B$10*SQRT(Dashboard!$F$4) * _xlfn.NORM.S.INV(RAND())</f>
        <v>4.1294540592311343E-2</v>
      </c>
      <c r="T6457" s="59">
        <f ca="1">Dashboard!C$8* Dashboard!$F$4+Dashboard!C$10*SQRT(Dashboard!$F$4) * _xlfn.NORM.S.INV(RAND())</f>
        <v>3.9806139544385014E-2</v>
      </c>
      <c r="U6457" s="59">
        <f ca="1">Dashboard!D$8* Dashboard!$F$4+Dashboard!D$10*SQRT(Dashboard!$F$4) * _xlfn.NORM.S.INV(RAND())</f>
        <v>-5.4775849257804758E-2</v>
      </c>
    </row>
    <row r="6458" spans="18:21" x14ac:dyDescent="0.2">
      <c r="R6458" s="49">
        <v>6456</v>
      </c>
      <c r="S6458" s="59">
        <f ca="1">Dashboard!B$8* Dashboard!$F$4+Dashboard!B$10*SQRT(Dashboard!$F$4) * _xlfn.NORM.S.INV(RAND())</f>
        <v>-7.054637078240192E-3</v>
      </c>
      <c r="T6458" s="59">
        <f ca="1">Dashboard!C$8* Dashboard!$F$4+Dashboard!C$10*SQRT(Dashboard!$F$4) * _xlfn.NORM.S.INV(RAND())</f>
        <v>-8.798411234731681E-3</v>
      </c>
      <c r="U6458" s="59">
        <f ca="1">Dashboard!D$8* Dashboard!$F$4+Dashboard!D$10*SQRT(Dashboard!$F$4) * _xlfn.NORM.S.INV(RAND())</f>
        <v>2.042225119581353E-3</v>
      </c>
    </row>
    <row r="6459" spans="18:21" x14ac:dyDescent="0.2">
      <c r="R6459" s="49">
        <v>6457</v>
      </c>
      <c r="S6459" s="59">
        <f ca="1">Dashboard!B$8* Dashboard!$F$4+Dashboard!B$10*SQRT(Dashboard!$F$4) * _xlfn.NORM.S.INV(RAND())</f>
        <v>5.9449883814352511E-2</v>
      </c>
      <c r="T6459" s="59">
        <f ca="1">Dashboard!C$8* Dashboard!$F$4+Dashboard!C$10*SQRT(Dashboard!$F$4) * _xlfn.NORM.S.INV(RAND())</f>
        <v>-2.8889376485466715E-3</v>
      </c>
      <c r="U6459" s="59">
        <f ca="1">Dashboard!D$8* Dashboard!$F$4+Dashboard!D$10*SQRT(Dashboard!$F$4) * _xlfn.NORM.S.INV(RAND())</f>
        <v>3.8758481406048727E-2</v>
      </c>
    </row>
    <row r="6460" spans="18:21" x14ac:dyDescent="0.2">
      <c r="R6460" s="49">
        <v>6458</v>
      </c>
      <c r="S6460" s="59">
        <f ca="1">Dashboard!B$8* Dashboard!$F$4+Dashboard!B$10*SQRT(Dashboard!$F$4) * _xlfn.NORM.S.INV(RAND())</f>
        <v>-3.0611611758512451E-2</v>
      </c>
      <c r="T6460" s="59">
        <f ca="1">Dashboard!C$8* Dashboard!$F$4+Dashboard!C$10*SQRT(Dashboard!$F$4) * _xlfn.NORM.S.INV(RAND())</f>
        <v>2.578428947746339E-2</v>
      </c>
      <c r="U6460" s="59">
        <f ca="1">Dashboard!D$8* Dashboard!$F$4+Dashboard!D$10*SQRT(Dashboard!$F$4) * _xlfn.NORM.S.INV(RAND())</f>
        <v>-3.3485780542776213E-2</v>
      </c>
    </row>
    <row r="6461" spans="18:21" x14ac:dyDescent="0.2">
      <c r="R6461" s="49">
        <v>6459</v>
      </c>
      <c r="S6461" s="59">
        <f ca="1">Dashboard!B$8* Dashboard!$F$4+Dashboard!B$10*SQRT(Dashboard!$F$4) * _xlfn.NORM.S.INV(RAND())</f>
        <v>-5.8067946676249427E-2</v>
      </c>
      <c r="T6461" s="59">
        <f ca="1">Dashboard!C$8* Dashboard!$F$4+Dashboard!C$10*SQRT(Dashboard!$F$4) * _xlfn.NORM.S.INV(RAND())</f>
        <v>-1.6695866923866227E-3</v>
      </c>
      <c r="U6461" s="59">
        <f ca="1">Dashboard!D$8* Dashboard!$F$4+Dashboard!D$10*SQRT(Dashboard!$F$4) * _xlfn.NORM.S.INV(RAND())</f>
        <v>9.5451116473410334E-3</v>
      </c>
    </row>
    <row r="6462" spans="18:21" x14ac:dyDescent="0.2">
      <c r="R6462" s="49">
        <v>6460</v>
      </c>
      <c r="S6462" s="59">
        <f ca="1">Dashboard!B$8* Dashboard!$F$4+Dashboard!B$10*SQRT(Dashboard!$F$4) * _xlfn.NORM.S.INV(RAND())</f>
        <v>2.8231428793607585E-2</v>
      </c>
      <c r="T6462" s="59">
        <f ca="1">Dashboard!C$8* Dashboard!$F$4+Dashboard!C$10*SQRT(Dashboard!$F$4) * _xlfn.NORM.S.INV(RAND())</f>
        <v>4.7806412629158759E-2</v>
      </c>
      <c r="U6462" s="59">
        <f ca="1">Dashboard!D$8* Dashboard!$F$4+Dashboard!D$10*SQRT(Dashboard!$F$4) * _xlfn.NORM.S.INV(RAND())</f>
        <v>1.3330422692127166E-2</v>
      </c>
    </row>
    <row r="6463" spans="18:21" x14ac:dyDescent="0.2">
      <c r="R6463" s="49">
        <v>6461</v>
      </c>
      <c r="S6463" s="59">
        <f ca="1">Dashboard!B$8* Dashboard!$F$4+Dashboard!B$10*SQRT(Dashboard!$F$4) * _xlfn.NORM.S.INV(RAND())</f>
        <v>-4.8078315345112713E-2</v>
      </c>
      <c r="T6463" s="59">
        <f ca="1">Dashboard!C$8* Dashboard!$F$4+Dashboard!C$10*SQRT(Dashboard!$F$4) * _xlfn.NORM.S.INV(RAND())</f>
        <v>3.7557940893931531E-2</v>
      </c>
      <c r="U6463" s="59">
        <f ca="1">Dashboard!D$8* Dashboard!$F$4+Dashboard!D$10*SQRT(Dashboard!$F$4) * _xlfn.NORM.S.INV(RAND())</f>
        <v>1.8132032597267859E-2</v>
      </c>
    </row>
    <row r="6464" spans="18:21" x14ac:dyDescent="0.2">
      <c r="R6464" s="49">
        <v>6462</v>
      </c>
      <c r="S6464" s="59">
        <f ca="1">Dashboard!B$8* Dashboard!$F$4+Dashboard!B$10*SQRT(Dashboard!$F$4) * _xlfn.NORM.S.INV(RAND())</f>
        <v>1.5138513023117564E-2</v>
      </c>
      <c r="T6464" s="59">
        <f ca="1">Dashboard!C$8* Dashboard!$F$4+Dashboard!C$10*SQRT(Dashboard!$F$4) * _xlfn.NORM.S.INV(RAND())</f>
        <v>-1.1352146900835487E-2</v>
      </c>
      <c r="U6464" s="59">
        <f ca="1">Dashboard!D$8* Dashboard!$F$4+Dashboard!D$10*SQRT(Dashboard!$F$4) * _xlfn.NORM.S.INV(RAND())</f>
        <v>4.6320306965966868E-2</v>
      </c>
    </row>
    <row r="6465" spans="18:21" x14ac:dyDescent="0.2">
      <c r="R6465" s="49">
        <v>6463</v>
      </c>
      <c r="S6465" s="59">
        <f ca="1">Dashboard!B$8* Dashboard!$F$4+Dashboard!B$10*SQRT(Dashboard!$F$4) * _xlfn.NORM.S.INV(RAND())</f>
        <v>2.8409854220763767E-2</v>
      </c>
      <c r="T6465" s="59">
        <f ca="1">Dashboard!C$8* Dashboard!$F$4+Dashboard!C$10*SQRT(Dashboard!$F$4) * _xlfn.NORM.S.INV(RAND())</f>
        <v>-1.9780058396847537E-2</v>
      </c>
      <c r="U6465" s="59">
        <f ca="1">Dashboard!D$8* Dashboard!$F$4+Dashboard!D$10*SQRT(Dashboard!$F$4) * _xlfn.NORM.S.INV(RAND())</f>
        <v>-3.5496323942188303E-2</v>
      </c>
    </row>
    <row r="6466" spans="18:21" x14ac:dyDescent="0.2">
      <c r="R6466" s="49">
        <v>6464</v>
      </c>
      <c r="S6466" s="59">
        <f ca="1">Dashboard!B$8* Dashboard!$F$4+Dashboard!B$10*SQRT(Dashboard!$F$4) * _xlfn.NORM.S.INV(RAND())</f>
        <v>-6.9328641069847791E-3</v>
      </c>
      <c r="T6466" s="59">
        <f ca="1">Dashboard!C$8* Dashboard!$F$4+Dashboard!C$10*SQRT(Dashboard!$F$4) * _xlfn.NORM.S.INV(RAND())</f>
        <v>-2.8144637378348863E-2</v>
      </c>
      <c r="U6466" s="59">
        <f ca="1">Dashboard!D$8* Dashboard!$F$4+Dashboard!D$10*SQRT(Dashboard!$F$4) * _xlfn.NORM.S.INV(RAND())</f>
        <v>-9.4062535011873952E-3</v>
      </c>
    </row>
    <row r="6467" spans="18:21" x14ac:dyDescent="0.2">
      <c r="R6467" s="49">
        <v>6465</v>
      </c>
      <c r="S6467" s="59">
        <f ca="1">Dashboard!B$8* Dashboard!$F$4+Dashboard!B$10*SQRT(Dashboard!$F$4) * _xlfn.NORM.S.INV(RAND())</f>
        <v>-6.3285880915134804E-3</v>
      </c>
      <c r="T6467" s="59">
        <f ca="1">Dashboard!C$8* Dashboard!$F$4+Dashboard!C$10*SQRT(Dashboard!$F$4) * _xlfn.NORM.S.INV(RAND())</f>
        <v>-3.9885635494635835E-2</v>
      </c>
      <c r="U6467" s="59">
        <f ca="1">Dashboard!D$8* Dashboard!$F$4+Dashboard!D$10*SQRT(Dashboard!$F$4) * _xlfn.NORM.S.INV(RAND())</f>
        <v>-4.9788816564665002E-3</v>
      </c>
    </row>
    <row r="6468" spans="18:21" x14ac:dyDescent="0.2">
      <c r="R6468" s="49">
        <v>6466</v>
      </c>
      <c r="S6468" s="59">
        <f ca="1">Dashboard!B$8* Dashboard!$F$4+Dashboard!B$10*SQRT(Dashboard!$F$4) * _xlfn.NORM.S.INV(RAND())</f>
        <v>1.5189881828812745E-2</v>
      </c>
      <c r="T6468" s="59">
        <f ca="1">Dashboard!C$8* Dashboard!$F$4+Dashboard!C$10*SQRT(Dashboard!$F$4) * _xlfn.NORM.S.INV(RAND())</f>
        <v>3.2165835150916484E-2</v>
      </c>
      <c r="U6468" s="59">
        <f ca="1">Dashboard!D$8* Dashboard!$F$4+Dashboard!D$10*SQRT(Dashboard!$F$4) * _xlfn.NORM.S.INV(RAND())</f>
        <v>-1.1401939389055336E-2</v>
      </c>
    </row>
    <row r="6469" spans="18:21" x14ac:dyDescent="0.2">
      <c r="R6469" s="49">
        <v>6467</v>
      </c>
      <c r="S6469" s="59">
        <f ca="1">Dashboard!B$8* Dashboard!$F$4+Dashboard!B$10*SQRT(Dashboard!$F$4) * _xlfn.NORM.S.INV(RAND())</f>
        <v>2.3460235792527165E-2</v>
      </c>
      <c r="T6469" s="59">
        <f ca="1">Dashboard!C$8* Dashboard!$F$4+Dashboard!C$10*SQRT(Dashboard!$F$4) * _xlfn.NORM.S.INV(RAND())</f>
        <v>7.3708055185439051E-3</v>
      </c>
      <c r="U6469" s="59">
        <f ca="1">Dashboard!D$8* Dashboard!$F$4+Dashboard!D$10*SQRT(Dashboard!$F$4) * _xlfn.NORM.S.INV(RAND())</f>
        <v>3.2829492499981384E-2</v>
      </c>
    </row>
    <row r="6470" spans="18:21" x14ac:dyDescent="0.2">
      <c r="R6470" s="49">
        <v>6468</v>
      </c>
      <c r="S6470" s="59">
        <f ca="1">Dashboard!B$8* Dashboard!$F$4+Dashboard!B$10*SQRT(Dashboard!$F$4) * _xlfn.NORM.S.INV(RAND())</f>
        <v>5.5202414812484547E-3</v>
      </c>
      <c r="T6470" s="59">
        <f ca="1">Dashboard!C$8* Dashboard!$F$4+Dashboard!C$10*SQRT(Dashboard!$F$4) * _xlfn.NORM.S.INV(RAND())</f>
        <v>3.3736548228680024E-2</v>
      </c>
      <c r="U6470" s="59">
        <f ca="1">Dashboard!D$8* Dashboard!$F$4+Dashboard!D$10*SQRT(Dashboard!$F$4) * _xlfn.NORM.S.INV(RAND())</f>
        <v>-6.3172583623470446E-2</v>
      </c>
    </row>
    <row r="6471" spans="18:21" x14ac:dyDescent="0.2">
      <c r="R6471" s="49">
        <v>6469</v>
      </c>
      <c r="S6471" s="59">
        <f ca="1">Dashboard!B$8* Dashboard!$F$4+Dashboard!B$10*SQRT(Dashboard!$F$4) * _xlfn.NORM.S.INV(RAND())</f>
        <v>1.0273705834489763E-2</v>
      </c>
      <c r="T6471" s="59">
        <f ca="1">Dashboard!C$8* Dashboard!$F$4+Dashboard!C$10*SQRT(Dashboard!$F$4) * _xlfn.NORM.S.INV(RAND())</f>
        <v>4.1213340042860119E-2</v>
      </c>
      <c r="U6471" s="59">
        <f ca="1">Dashboard!D$8* Dashboard!$F$4+Dashboard!D$10*SQRT(Dashboard!$F$4) * _xlfn.NORM.S.INV(RAND())</f>
        <v>-1.5079090665233903E-2</v>
      </c>
    </row>
    <row r="6472" spans="18:21" x14ac:dyDescent="0.2">
      <c r="R6472" s="49">
        <v>6470</v>
      </c>
      <c r="S6472" s="59">
        <f ca="1">Dashboard!B$8* Dashboard!$F$4+Dashboard!B$10*SQRT(Dashboard!$F$4) * _xlfn.NORM.S.INV(RAND())</f>
        <v>-7.0669612862239309E-3</v>
      </c>
      <c r="T6472" s="59">
        <f ca="1">Dashboard!C$8* Dashboard!$F$4+Dashboard!C$10*SQRT(Dashboard!$F$4) * _xlfn.NORM.S.INV(RAND())</f>
        <v>3.7911062399906194E-2</v>
      </c>
      <c r="U6472" s="59">
        <f ca="1">Dashboard!D$8* Dashboard!$F$4+Dashboard!D$10*SQRT(Dashboard!$F$4) * _xlfn.NORM.S.INV(RAND())</f>
        <v>1.7051811933250737E-2</v>
      </c>
    </row>
    <row r="6473" spans="18:21" x14ac:dyDescent="0.2">
      <c r="R6473" s="49">
        <v>6471</v>
      </c>
      <c r="S6473" s="59">
        <f ca="1">Dashboard!B$8* Dashboard!$F$4+Dashboard!B$10*SQRT(Dashboard!$F$4) * _xlfn.NORM.S.INV(RAND())</f>
        <v>-2.6976347765215597E-2</v>
      </c>
      <c r="T6473" s="59">
        <f ca="1">Dashboard!C$8* Dashboard!$F$4+Dashboard!C$10*SQRT(Dashboard!$F$4) * _xlfn.NORM.S.INV(RAND())</f>
        <v>-2.8406588543733171E-3</v>
      </c>
      <c r="U6473" s="59">
        <f ca="1">Dashboard!D$8* Dashboard!$F$4+Dashboard!D$10*SQRT(Dashboard!$F$4) * _xlfn.NORM.S.INV(RAND())</f>
        <v>-1.4779668239520972E-2</v>
      </c>
    </row>
    <row r="6474" spans="18:21" x14ac:dyDescent="0.2">
      <c r="R6474" s="49">
        <v>6472</v>
      </c>
      <c r="S6474" s="59">
        <f ca="1">Dashboard!B$8* Dashboard!$F$4+Dashboard!B$10*SQRT(Dashboard!$F$4) * _xlfn.NORM.S.INV(RAND())</f>
        <v>-1.9295499749376856E-2</v>
      </c>
      <c r="T6474" s="59">
        <f ca="1">Dashboard!C$8* Dashboard!$F$4+Dashboard!C$10*SQRT(Dashboard!$F$4) * _xlfn.NORM.S.INV(RAND())</f>
        <v>-5.2861461570564375E-4</v>
      </c>
      <c r="U6474" s="59">
        <f ca="1">Dashboard!D$8* Dashboard!$F$4+Dashboard!D$10*SQRT(Dashboard!$F$4) * _xlfn.NORM.S.INV(RAND())</f>
        <v>1.3232052738977844E-2</v>
      </c>
    </row>
    <row r="6475" spans="18:21" x14ac:dyDescent="0.2">
      <c r="R6475" s="49">
        <v>6473</v>
      </c>
      <c r="S6475" s="59">
        <f ca="1">Dashboard!B$8* Dashboard!$F$4+Dashboard!B$10*SQRT(Dashboard!$F$4) * _xlfn.NORM.S.INV(RAND())</f>
        <v>-1.3832157914270988E-2</v>
      </c>
      <c r="T6475" s="59">
        <f ca="1">Dashboard!C$8* Dashboard!$F$4+Dashboard!C$10*SQRT(Dashboard!$F$4) * _xlfn.NORM.S.INV(RAND())</f>
        <v>-1.3428017243061009E-2</v>
      </c>
      <c r="U6475" s="59">
        <f ca="1">Dashboard!D$8* Dashboard!$F$4+Dashboard!D$10*SQRT(Dashboard!$F$4) * _xlfn.NORM.S.INV(RAND())</f>
        <v>7.4540395073278698E-3</v>
      </c>
    </row>
    <row r="6476" spans="18:21" x14ac:dyDescent="0.2">
      <c r="R6476" s="49">
        <v>6474</v>
      </c>
      <c r="S6476" s="59">
        <f ca="1">Dashboard!B$8* Dashboard!$F$4+Dashboard!B$10*SQRT(Dashboard!$F$4) * _xlfn.NORM.S.INV(RAND())</f>
        <v>3.7372677388769187E-3</v>
      </c>
      <c r="T6476" s="59">
        <f ca="1">Dashboard!C$8* Dashboard!$F$4+Dashboard!C$10*SQRT(Dashboard!$F$4) * _xlfn.NORM.S.INV(RAND())</f>
        <v>3.8712745222639643E-2</v>
      </c>
      <c r="U6476" s="59">
        <f ca="1">Dashboard!D$8* Dashboard!$F$4+Dashboard!D$10*SQRT(Dashboard!$F$4) * _xlfn.NORM.S.INV(RAND())</f>
        <v>9.5004565375181576E-3</v>
      </c>
    </row>
    <row r="6477" spans="18:21" x14ac:dyDescent="0.2">
      <c r="R6477" s="49">
        <v>6475</v>
      </c>
      <c r="S6477" s="59">
        <f ca="1">Dashboard!B$8* Dashboard!$F$4+Dashboard!B$10*SQRT(Dashboard!$F$4) * _xlfn.NORM.S.INV(RAND())</f>
        <v>4.8443982442463188E-2</v>
      </c>
      <c r="T6477" s="59">
        <f ca="1">Dashboard!C$8* Dashboard!$F$4+Dashboard!C$10*SQRT(Dashboard!$F$4) * _xlfn.NORM.S.INV(RAND())</f>
        <v>5.523982098036331E-3</v>
      </c>
      <c r="U6477" s="59">
        <f ca="1">Dashboard!D$8* Dashboard!$F$4+Dashboard!D$10*SQRT(Dashboard!$F$4) * _xlfn.NORM.S.INV(RAND())</f>
        <v>1.613045616074725E-2</v>
      </c>
    </row>
    <row r="6478" spans="18:21" x14ac:dyDescent="0.2">
      <c r="R6478" s="49">
        <v>6476</v>
      </c>
      <c r="S6478" s="59">
        <f ca="1">Dashboard!B$8* Dashboard!$F$4+Dashboard!B$10*SQRT(Dashboard!$F$4) * _xlfn.NORM.S.INV(RAND())</f>
        <v>-2.7597147450990005E-2</v>
      </c>
      <c r="T6478" s="59">
        <f ca="1">Dashboard!C$8* Dashboard!$F$4+Dashboard!C$10*SQRT(Dashboard!$F$4) * _xlfn.NORM.S.INV(RAND())</f>
        <v>-3.6948972554145511E-2</v>
      </c>
      <c r="U6478" s="59">
        <f ca="1">Dashboard!D$8* Dashboard!$F$4+Dashboard!D$10*SQRT(Dashboard!$F$4) * _xlfn.NORM.S.INV(RAND())</f>
        <v>1.4512501777097344E-2</v>
      </c>
    </row>
    <row r="6479" spans="18:21" x14ac:dyDescent="0.2">
      <c r="R6479" s="49">
        <v>6477</v>
      </c>
      <c r="S6479" s="59">
        <f ca="1">Dashboard!B$8* Dashboard!$F$4+Dashboard!B$10*SQRT(Dashboard!$F$4) * _xlfn.NORM.S.INV(RAND())</f>
        <v>2.0505230119804985E-3</v>
      </c>
      <c r="T6479" s="59">
        <f ca="1">Dashboard!C$8* Dashboard!$F$4+Dashboard!C$10*SQRT(Dashboard!$F$4) * _xlfn.NORM.S.INV(RAND())</f>
        <v>1.4139273626979459E-2</v>
      </c>
      <c r="U6479" s="59">
        <f ca="1">Dashboard!D$8* Dashboard!$F$4+Dashboard!D$10*SQRT(Dashboard!$F$4) * _xlfn.NORM.S.INV(RAND())</f>
        <v>4.6724292125277851E-2</v>
      </c>
    </row>
    <row r="6480" spans="18:21" x14ac:dyDescent="0.2">
      <c r="R6480" s="49">
        <v>6478</v>
      </c>
      <c r="S6480" s="59">
        <f ca="1">Dashboard!B$8* Dashboard!$F$4+Dashboard!B$10*SQRT(Dashboard!$F$4) * _xlfn.NORM.S.INV(RAND())</f>
        <v>4.2185079686110502E-2</v>
      </c>
      <c r="T6480" s="59">
        <f ca="1">Dashboard!C$8* Dashboard!$F$4+Dashboard!C$10*SQRT(Dashboard!$F$4) * _xlfn.NORM.S.INV(RAND())</f>
        <v>3.2669513306497555E-3</v>
      </c>
      <c r="U6480" s="59">
        <f ca="1">Dashboard!D$8* Dashboard!$F$4+Dashboard!D$10*SQRT(Dashboard!$F$4) * _xlfn.NORM.S.INV(RAND())</f>
        <v>-1.1866565262079277E-2</v>
      </c>
    </row>
    <row r="6481" spans="18:21" x14ac:dyDescent="0.2">
      <c r="R6481" s="49">
        <v>6479</v>
      </c>
      <c r="S6481" s="59">
        <f ca="1">Dashboard!B$8* Dashboard!$F$4+Dashboard!B$10*SQRT(Dashboard!$F$4) * _xlfn.NORM.S.INV(RAND())</f>
        <v>3.0161388346027225E-2</v>
      </c>
      <c r="T6481" s="59">
        <f ca="1">Dashboard!C$8* Dashboard!$F$4+Dashboard!C$10*SQRT(Dashboard!$F$4) * _xlfn.NORM.S.INV(RAND())</f>
        <v>-5.692259402505089E-3</v>
      </c>
      <c r="U6481" s="59">
        <f ca="1">Dashboard!D$8* Dashboard!$F$4+Dashboard!D$10*SQRT(Dashboard!$F$4) * _xlfn.NORM.S.INV(RAND())</f>
        <v>-2.3708786781393151E-2</v>
      </c>
    </row>
    <row r="6482" spans="18:21" x14ac:dyDescent="0.2">
      <c r="R6482" s="49">
        <v>6480</v>
      </c>
      <c r="S6482" s="59">
        <f ca="1">Dashboard!B$8* Dashboard!$F$4+Dashboard!B$10*SQRT(Dashboard!$F$4) * _xlfn.NORM.S.INV(RAND())</f>
        <v>-2.8934527919363552E-2</v>
      </c>
      <c r="T6482" s="59">
        <f ca="1">Dashboard!C$8* Dashboard!$F$4+Dashboard!C$10*SQRT(Dashboard!$F$4) * _xlfn.NORM.S.INV(RAND())</f>
        <v>1.5182858712387937E-2</v>
      </c>
      <c r="U6482" s="59">
        <f ca="1">Dashboard!D$8* Dashboard!$F$4+Dashboard!D$10*SQRT(Dashboard!$F$4) * _xlfn.NORM.S.INV(RAND())</f>
        <v>-4.512679669979773E-2</v>
      </c>
    </row>
    <row r="6483" spans="18:21" x14ac:dyDescent="0.2">
      <c r="R6483" s="49">
        <v>6481</v>
      </c>
      <c r="S6483" s="59">
        <f ca="1">Dashboard!B$8* Dashboard!$F$4+Dashboard!B$10*SQRT(Dashboard!$F$4) * _xlfn.NORM.S.INV(RAND())</f>
        <v>-1.850677868241251E-2</v>
      </c>
      <c r="T6483" s="59">
        <f ca="1">Dashboard!C$8* Dashboard!$F$4+Dashboard!C$10*SQRT(Dashboard!$F$4) * _xlfn.NORM.S.INV(RAND())</f>
        <v>2.2512623209519841E-3</v>
      </c>
      <c r="U6483" s="59">
        <f ca="1">Dashboard!D$8* Dashboard!$F$4+Dashboard!D$10*SQRT(Dashboard!$F$4) * _xlfn.NORM.S.INV(RAND())</f>
        <v>1.70092495404701E-2</v>
      </c>
    </row>
    <row r="6484" spans="18:21" x14ac:dyDescent="0.2">
      <c r="R6484" s="49">
        <v>6482</v>
      </c>
      <c r="S6484" s="59">
        <f ca="1">Dashboard!B$8* Dashboard!$F$4+Dashboard!B$10*SQRT(Dashboard!$F$4) * _xlfn.NORM.S.INV(RAND())</f>
        <v>4.8563256463285354E-2</v>
      </c>
      <c r="T6484" s="59">
        <f ca="1">Dashboard!C$8* Dashboard!$F$4+Dashboard!C$10*SQRT(Dashboard!$F$4) * _xlfn.NORM.S.INV(RAND())</f>
        <v>1.0136767935388515E-2</v>
      </c>
      <c r="U6484" s="59">
        <f ca="1">Dashboard!D$8* Dashboard!$F$4+Dashboard!D$10*SQRT(Dashboard!$F$4) * _xlfn.NORM.S.INV(RAND())</f>
        <v>-1.7711996884240166E-3</v>
      </c>
    </row>
    <row r="6485" spans="18:21" x14ac:dyDescent="0.2">
      <c r="R6485" s="49">
        <v>6483</v>
      </c>
      <c r="S6485" s="59">
        <f ca="1">Dashboard!B$8* Dashboard!$F$4+Dashboard!B$10*SQRT(Dashboard!$F$4) * _xlfn.NORM.S.INV(RAND())</f>
        <v>-1.3914243132786351E-2</v>
      </c>
      <c r="T6485" s="59">
        <f ca="1">Dashboard!C$8* Dashboard!$F$4+Dashboard!C$10*SQRT(Dashboard!$F$4) * _xlfn.NORM.S.INV(RAND())</f>
        <v>3.2122645621688088E-2</v>
      </c>
      <c r="U6485" s="59">
        <f ca="1">Dashboard!D$8* Dashboard!$F$4+Dashboard!D$10*SQRT(Dashboard!$F$4) * _xlfn.NORM.S.INV(RAND())</f>
        <v>1.1933021714221724E-2</v>
      </c>
    </row>
    <row r="6486" spans="18:21" x14ac:dyDescent="0.2">
      <c r="R6486" s="49">
        <v>6484</v>
      </c>
      <c r="S6486" s="59">
        <f ca="1">Dashboard!B$8* Dashboard!$F$4+Dashboard!B$10*SQRT(Dashboard!$F$4) * _xlfn.NORM.S.INV(RAND())</f>
        <v>-4.7891960257279598E-2</v>
      </c>
      <c r="T6486" s="59">
        <f ca="1">Dashboard!C$8* Dashboard!$F$4+Dashboard!C$10*SQRT(Dashboard!$F$4) * _xlfn.NORM.S.INV(RAND())</f>
        <v>3.3335715005805434E-2</v>
      </c>
      <c r="U6486" s="59">
        <f ca="1">Dashboard!D$8* Dashboard!$F$4+Dashboard!D$10*SQRT(Dashboard!$F$4) * _xlfn.NORM.S.INV(RAND())</f>
        <v>2.1424922931864477E-2</v>
      </c>
    </row>
    <row r="6487" spans="18:21" x14ac:dyDescent="0.2">
      <c r="R6487" s="49">
        <v>6485</v>
      </c>
      <c r="S6487" s="59">
        <f ca="1">Dashboard!B$8* Dashboard!$F$4+Dashboard!B$10*SQRT(Dashboard!$F$4) * _xlfn.NORM.S.INV(RAND())</f>
        <v>5.329662998809952E-4</v>
      </c>
      <c r="T6487" s="59">
        <f ca="1">Dashboard!C$8* Dashboard!$F$4+Dashboard!C$10*SQRT(Dashboard!$F$4) * _xlfn.NORM.S.INV(RAND())</f>
        <v>3.5447450333057212E-2</v>
      </c>
      <c r="U6487" s="59">
        <f ca="1">Dashboard!D$8* Dashboard!$F$4+Dashboard!D$10*SQRT(Dashboard!$F$4) * _xlfn.NORM.S.INV(RAND())</f>
        <v>4.3109806822814796E-2</v>
      </c>
    </row>
    <row r="6488" spans="18:21" x14ac:dyDescent="0.2">
      <c r="R6488" s="49">
        <v>6486</v>
      </c>
      <c r="S6488" s="59">
        <f ca="1">Dashboard!B$8* Dashboard!$F$4+Dashboard!B$10*SQRT(Dashboard!$F$4) * _xlfn.NORM.S.INV(RAND())</f>
        <v>-3.4187745261769709E-2</v>
      </c>
      <c r="T6488" s="59">
        <f ca="1">Dashboard!C$8* Dashboard!$F$4+Dashboard!C$10*SQRT(Dashboard!$F$4) * _xlfn.NORM.S.INV(RAND())</f>
        <v>-4.3778454977743887E-2</v>
      </c>
      <c r="U6488" s="59">
        <f ca="1">Dashboard!D$8* Dashboard!$F$4+Dashboard!D$10*SQRT(Dashboard!$F$4) * _xlfn.NORM.S.INV(RAND())</f>
        <v>-3.4527626207646357E-2</v>
      </c>
    </row>
    <row r="6489" spans="18:21" x14ac:dyDescent="0.2">
      <c r="R6489" s="49">
        <v>6487</v>
      </c>
      <c r="S6489" s="59">
        <f ca="1">Dashboard!B$8* Dashboard!$F$4+Dashboard!B$10*SQRT(Dashboard!$F$4) * _xlfn.NORM.S.INV(RAND())</f>
        <v>3.1887118356192276E-2</v>
      </c>
      <c r="T6489" s="59">
        <f ca="1">Dashboard!C$8* Dashboard!$F$4+Dashboard!C$10*SQRT(Dashboard!$F$4) * _xlfn.NORM.S.INV(RAND())</f>
        <v>4.357234663510636E-3</v>
      </c>
      <c r="U6489" s="59">
        <f ca="1">Dashboard!D$8* Dashboard!$F$4+Dashboard!D$10*SQRT(Dashboard!$F$4) * _xlfn.NORM.S.INV(RAND())</f>
        <v>-5.3240249748699307E-2</v>
      </c>
    </row>
    <row r="6490" spans="18:21" x14ac:dyDescent="0.2">
      <c r="R6490" s="49">
        <v>6488</v>
      </c>
      <c r="S6490" s="59">
        <f ca="1">Dashboard!B$8* Dashboard!$F$4+Dashboard!B$10*SQRT(Dashboard!$F$4) * _xlfn.NORM.S.INV(RAND())</f>
        <v>-2.6183483678660927E-2</v>
      </c>
      <c r="T6490" s="59">
        <f ca="1">Dashboard!C$8* Dashboard!$F$4+Dashboard!C$10*SQRT(Dashboard!$F$4) * _xlfn.NORM.S.INV(RAND())</f>
        <v>-1.2255083505588484E-2</v>
      </c>
      <c r="U6490" s="59">
        <f ca="1">Dashboard!D$8* Dashboard!$F$4+Dashboard!D$10*SQRT(Dashboard!$F$4) * _xlfn.NORM.S.INV(RAND())</f>
        <v>7.9978692836439394E-2</v>
      </c>
    </row>
    <row r="6491" spans="18:21" x14ac:dyDescent="0.2">
      <c r="R6491" s="49">
        <v>6489</v>
      </c>
      <c r="S6491" s="59">
        <f ca="1">Dashboard!B$8* Dashboard!$F$4+Dashboard!B$10*SQRT(Dashboard!$F$4) * _xlfn.NORM.S.INV(RAND())</f>
        <v>-7.3592621850264569E-3</v>
      </c>
      <c r="T6491" s="59">
        <f ca="1">Dashboard!C$8* Dashboard!$F$4+Dashboard!C$10*SQRT(Dashboard!$F$4) * _xlfn.NORM.S.INV(RAND())</f>
        <v>-2.6877328298576014E-2</v>
      </c>
      <c r="U6491" s="59">
        <f ca="1">Dashboard!D$8* Dashboard!$F$4+Dashboard!D$10*SQRT(Dashboard!$F$4) * _xlfn.NORM.S.INV(RAND())</f>
        <v>1.9383425500522952E-3</v>
      </c>
    </row>
    <row r="6492" spans="18:21" x14ac:dyDescent="0.2">
      <c r="R6492" s="49">
        <v>6490</v>
      </c>
      <c r="S6492" s="59">
        <f ca="1">Dashboard!B$8* Dashboard!$F$4+Dashboard!B$10*SQRT(Dashboard!$F$4) * _xlfn.NORM.S.INV(RAND())</f>
        <v>-2.8396431802312196E-2</v>
      </c>
      <c r="T6492" s="59">
        <f ca="1">Dashboard!C$8* Dashboard!$F$4+Dashboard!C$10*SQRT(Dashboard!$F$4) * _xlfn.NORM.S.INV(RAND())</f>
        <v>-1.9171931794715893E-2</v>
      </c>
      <c r="U6492" s="59">
        <f ca="1">Dashboard!D$8* Dashboard!$F$4+Dashboard!D$10*SQRT(Dashboard!$F$4) * _xlfn.NORM.S.INV(RAND())</f>
        <v>2.4084544266989551E-2</v>
      </c>
    </row>
    <row r="6493" spans="18:21" x14ac:dyDescent="0.2">
      <c r="R6493" s="49">
        <v>6491</v>
      </c>
      <c r="S6493" s="59">
        <f ca="1">Dashboard!B$8* Dashboard!$F$4+Dashboard!B$10*SQRT(Dashboard!$F$4) * _xlfn.NORM.S.INV(RAND())</f>
        <v>-3.8772814764024742E-2</v>
      </c>
      <c r="T6493" s="59">
        <f ca="1">Dashboard!C$8* Dashboard!$F$4+Dashboard!C$10*SQRT(Dashboard!$F$4) * _xlfn.NORM.S.INV(RAND())</f>
        <v>-8.1155549478223281E-3</v>
      </c>
      <c r="U6493" s="59">
        <f ca="1">Dashboard!D$8* Dashboard!$F$4+Dashboard!D$10*SQRT(Dashboard!$F$4) * _xlfn.NORM.S.INV(RAND())</f>
        <v>1.8902122332375287E-3</v>
      </c>
    </row>
    <row r="6494" spans="18:21" x14ac:dyDescent="0.2">
      <c r="R6494" s="49">
        <v>6492</v>
      </c>
      <c r="S6494" s="59">
        <f ca="1">Dashboard!B$8* Dashboard!$F$4+Dashboard!B$10*SQRT(Dashboard!$F$4) * _xlfn.NORM.S.INV(RAND())</f>
        <v>-3.0185780064661334E-2</v>
      </c>
      <c r="T6494" s="59">
        <f ca="1">Dashboard!C$8* Dashboard!$F$4+Dashboard!C$10*SQRT(Dashboard!$F$4) * _xlfn.NORM.S.INV(RAND())</f>
        <v>2.0186062551959854E-2</v>
      </c>
      <c r="U6494" s="59">
        <f ca="1">Dashboard!D$8* Dashboard!$F$4+Dashboard!D$10*SQRT(Dashboard!$F$4) * _xlfn.NORM.S.INV(RAND())</f>
        <v>-6.7234298750101047E-3</v>
      </c>
    </row>
    <row r="6495" spans="18:21" x14ac:dyDescent="0.2">
      <c r="R6495" s="49">
        <v>6493</v>
      </c>
      <c r="S6495" s="59">
        <f ca="1">Dashboard!B$8* Dashboard!$F$4+Dashboard!B$10*SQRT(Dashboard!$F$4) * _xlfn.NORM.S.INV(RAND())</f>
        <v>3.9556434258894983E-2</v>
      </c>
      <c r="T6495" s="59">
        <f ca="1">Dashboard!C$8* Dashboard!$F$4+Dashboard!C$10*SQRT(Dashboard!$F$4) * _xlfn.NORM.S.INV(RAND())</f>
        <v>-1.3872586923953593E-2</v>
      </c>
      <c r="U6495" s="59">
        <f ca="1">Dashboard!D$8* Dashboard!$F$4+Dashboard!D$10*SQRT(Dashboard!$F$4) * _xlfn.NORM.S.INV(RAND())</f>
        <v>-4.3400940327798607E-2</v>
      </c>
    </row>
    <row r="6496" spans="18:21" x14ac:dyDescent="0.2">
      <c r="R6496" s="49">
        <v>6494</v>
      </c>
      <c r="S6496" s="59">
        <f ca="1">Dashboard!B$8* Dashboard!$F$4+Dashboard!B$10*SQRT(Dashboard!$F$4) * _xlfn.NORM.S.INV(RAND())</f>
        <v>1.465883290482487E-2</v>
      </c>
      <c r="T6496" s="59">
        <f ca="1">Dashboard!C$8* Dashboard!$F$4+Dashboard!C$10*SQRT(Dashboard!$F$4) * _xlfn.NORM.S.INV(RAND())</f>
        <v>-1.931844390157637E-2</v>
      </c>
      <c r="U6496" s="59">
        <f ca="1">Dashboard!D$8* Dashboard!$F$4+Dashboard!D$10*SQRT(Dashboard!$F$4) * _xlfn.NORM.S.INV(RAND())</f>
        <v>-1.6482488855667496E-3</v>
      </c>
    </row>
    <row r="6497" spans="18:21" x14ac:dyDescent="0.2">
      <c r="R6497" s="49">
        <v>6495</v>
      </c>
      <c r="S6497" s="59">
        <f ca="1">Dashboard!B$8* Dashboard!$F$4+Dashboard!B$10*SQRT(Dashboard!$F$4) * _xlfn.NORM.S.INV(RAND())</f>
        <v>-5.2072313274942834E-2</v>
      </c>
      <c r="T6497" s="59">
        <f ca="1">Dashboard!C$8* Dashboard!$F$4+Dashboard!C$10*SQRT(Dashboard!$F$4) * _xlfn.NORM.S.INV(RAND())</f>
        <v>2.8054566889978278E-2</v>
      </c>
      <c r="U6497" s="59">
        <f ca="1">Dashboard!D$8* Dashboard!$F$4+Dashboard!D$10*SQRT(Dashboard!$F$4) * _xlfn.NORM.S.INV(RAND())</f>
        <v>-1.0393411915445483E-2</v>
      </c>
    </row>
    <row r="6498" spans="18:21" x14ac:dyDescent="0.2">
      <c r="R6498" s="49">
        <v>6496</v>
      </c>
      <c r="S6498" s="59">
        <f ca="1">Dashboard!B$8* Dashboard!$F$4+Dashboard!B$10*SQRT(Dashboard!$F$4) * _xlfn.NORM.S.INV(RAND())</f>
        <v>-2.46829553689994E-3</v>
      </c>
      <c r="T6498" s="59">
        <f ca="1">Dashboard!C$8* Dashboard!$F$4+Dashboard!C$10*SQRT(Dashboard!$F$4) * _xlfn.NORM.S.INV(RAND())</f>
        <v>-1.8786432449854704E-2</v>
      </c>
      <c r="U6498" s="59">
        <f ca="1">Dashboard!D$8* Dashboard!$F$4+Dashboard!D$10*SQRT(Dashboard!$F$4) * _xlfn.NORM.S.INV(RAND())</f>
        <v>-1.9736902221746143E-2</v>
      </c>
    </row>
    <row r="6499" spans="18:21" x14ac:dyDescent="0.2">
      <c r="R6499" s="49">
        <v>6497</v>
      </c>
      <c r="S6499" s="59">
        <f ca="1">Dashboard!B$8* Dashboard!$F$4+Dashboard!B$10*SQRT(Dashboard!$F$4) * _xlfn.NORM.S.INV(RAND())</f>
        <v>-3.8798981699044992E-2</v>
      </c>
      <c r="T6499" s="59">
        <f ca="1">Dashboard!C$8* Dashboard!$F$4+Dashboard!C$10*SQRT(Dashboard!$F$4) * _xlfn.NORM.S.INV(RAND())</f>
        <v>-2.9710221248015218E-2</v>
      </c>
      <c r="U6499" s="59">
        <f ca="1">Dashboard!D$8* Dashboard!$F$4+Dashboard!D$10*SQRT(Dashboard!$F$4) * _xlfn.NORM.S.INV(RAND())</f>
        <v>-9.9384663845425124E-3</v>
      </c>
    </row>
    <row r="6500" spans="18:21" x14ac:dyDescent="0.2">
      <c r="R6500" s="49">
        <v>6498</v>
      </c>
      <c r="S6500" s="59">
        <f ca="1">Dashboard!B$8* Dashboard!$F$4+Dashboard!B$10*SQRT(Dashboard!$F$4) * _xlfn.NORM.S.INV(RAND())</f>
        <v>5.7998151827112619E-2</v>
      </c>
      <c r="T6500" s="59">
        <f ca="1">Dashboard!C$8* Dashboard!$F$4+Dashboard!C$10*SQRT(Dashboard!$F$4) * _xlfn.NORM.S.INV(RAND())</f>
        <v>2.0302564610387631E-2</v>
      </c>
      <c r="U6500" s="59">
        <f ca="1">Dashboard!D$8* Dashboard!$F$4+Dashboard!D$10*SQRT(Dashboard!$F$4) * _xlfn.NORM.S.INV(RAND())</f>
        <v>-2.0570931572512635E-2</v>
      </c>
    </row>
    <row r="6501" spans="18:21" x14ac:dyDescent="0.2">
      <c r="R6501" s="49">
        <v>6499</v>
      </c>
      <c r="S6501" s="59">
        <f ca="1">Dashboard!B$8* Dashboard!$F$4+Dashboard!B$10*SQRT(Dashboard!$F$4) * _xlfn.NORM.S.INV(RAND())</f>
        <v>-2.5380048438183617E-2</v>
      </c>
      <c r="T6501" s="59">
        <f ca="1">Dashboard!C$8* Dashboard!$F$4+Dashboard!C$10*SQRT(Dashboard!$F$4) * _xlfn.NORM.S.INV(RAND())</f>
        <v>-5.3864025425473153E-2</v>
      </c>
      <c r="U6501" s="59">
        <f ca="1">Dashboard!D$8* Dashboard!$F$4+Dashboard!D$10*SQRT(Dashboard!$F$4) * _xlfn.NORM.S.INV(RAND())</f>
        <v>-2.5388043688619764E-2</v>
      </c>
    </row>
    <row r="6502" spans="18:21" x14ac:dyDescent="0.2">
      <c r="R6502" s="49">
        <v>6500</v>
      </c>
      <c r="S6502" s="59">
        <f ca="1">Dashboard!B$8* Dashboard!$F$4+Dashboard!B$10*SQRT(Dashboard!$F$4) * _xlfn.NORM.S.INV(RAND())</f>
        <v>-9.4915631297234626E-3</v>
      </c>
      <c r="T6502" s="59">
        <f ca="1">Dashboard!C$8* Dashboard!$F$4+Dashboard!C$10*SQRT(Dashboard!$F$4) * _xlfn.NORM.S.INV(RAND())</f>
        <v>2.3800109342667904E-2</v>
      </c>
      <c r="U6502" s="59">
        <f ca="1">Dashboard!D$8* Dashboard!$F$4+Dashboard!D$10*SQRT(Dashboard!$F$4) * _xlfn.NORM.S.INV(RAND())</f>
        <v>-1.3827586557474585E-2</v>
      </c>
    </row>
    <row r="6503" spans="18:21" x14ac:dyDescent="0.2">
      <c r="R6503" s="49">
        <v>6501</v>
      </c>
      <c r="S6503" s="59">
        <f ca="1">Dashboard!B$8* Dashboard!$F$4+Dashboard!B$10*SQRT(Dashboard!$F$4) * _xlfn.NORM.S.INV(RAND())</f>
        <v>3.5260105479362112E-2</v>
      </c>
      <c r="T6503" s="59">
        <f ca="1">Dashboard!C$8* Dashboard!$F$4+Dashboard!C$10*SQRT(Dashboard!$F$4) * _xlfn.NORM.S.INV(RAND())</f>
        <v>-2.9352281142054851E-2</v>
      </c>
      <c r="U6503" s="59">
        <f ca="1">Dashboard!D$8* Dashboard!$F$4+Dashboard!D$10*SQRT(Dashboard!$F$4) * _xlfn.NORM.S.INV(RAND())</f>
        <v>3.5525935358116621E-2</v>
      </c>
    </row>
    <row r="6504" spans="18:21" x14ac:dyDescent="0.2">
      <c r="R6504" s="49">
        <v>6502</v>
      </c>
      <c r="S6504" s="59">
        <f ca="1">Dashboard!B$8* Dashboard!$F$4+Dashboard!B$10*SQRT(Dashboard!$F$4) * _xlfn.NORM.S.INV(RAND())</f>
        <v>-2.3495892691467714E-2</v>
      </c>
      <c r="T6504" s="59">
        <f ca="1">Dashboard!C$8* Dashboard!$F$4+Dashboard!C$10*SQRT(Dashboard!$F$4) * _xlfn.NORM.S.INV(RAND())</f>
        <v>-8.3763330144887328E-3</v>
      </c>
      <c r="U6504" s="59">
        <f ca="1">Dashboard!D$8* Dashboard!$F$4+Dashboard!D$10*SQRT(Dashboard!$F$4) * _xlfn.NORM.S.INV(RAND())</f>
        <v>2.5474867816128151E-3</v>
      </c>
    </row>
    <row r="6505" spans="18:21" x14ac:dyDescent="0.2">
      <c r="R6505" s="49">
        <v>6503</v>
      </c>
      <c r="S6505" s="59">
        <f ca="1">Dashboard!B$8* Dashboard!$F$4+Dashboard!B$10*SQRT(Dashboard!$F$4) * _xlfn.NORM.S.INV(RAND())</f>
        <v>5.6786062214179943E-3</v>
      </c>
      <c r="T6505" s="59">
        <f ca="1">Dashboard!C$8* Dashboard!$F$4+Dashboard!C$10*SQRT(Dashboard!$F$4) * _xlfn.NORM.S.INV(RAND())</f>
        <v>7.7520918747238741E-3</v>
      </c>
      <c r="U6505" s="59">
        <f ca="1">Dashboard!D$8* Dashboard!$F$4+Dashboard!D$10*SQRT(Dashboard!$F$4) * _xlfn.NORM.S.INV(RAND())</f>
        <v>-2.7015547711900179E-2</v>
      </c>
    </row>
    <row r="6506" spans="18:21" x14ac:dyDescent="0.2">
      <c r="R6506" s="49">
        <v>6504</v>
      </c>
      <c r="S6506" s="59">
        <f ca="1">Dashboard!B$8* Dashboard!$F$4+Dashboard!B$10*SQRT(Dashboard!$F$4) * _xlfn.NORM.S.INV(RAND())</f>
        <v>-1.7551468353319687E-2</v>
      </c>
      <c r="T6506" s="59">
        <f ca="1">Dashboard!C$8* Dashboard!$F$4+Dashboard!C$10*SQRT(Dashboard!$F$4) * _xlfn.NORM.S.INV(RAND())</f>
        <v>7.1627910709619269E-2</v>
      </c>
      <c r="U6506" s="59">
        <f ca="1">Dashboard!D$8* Dashboard!$F$4+Dashboard!D$10*SQRT(Dashboard!$F$4) * _xlfn.NORM.S.INV(RAND())</f>
        <v>1.2527498621630996E-3</v>
      </c>
    </row>
    <row r="6507" spans="18:21" x14ac:dyDescent="0.2">
      <c r="R6507" s="49">
        <v>6505</v>
      </c>
      <c r="S6507" s="59">
        <f ca="1">Dashboard!B$8* Dashboard!$F$4+Dashboard!B$10*SQRT(Dashboard!$F$4) * _xlfn.NORM.S.INV(RAND())</f>
        <v>-6.9365141977318764E-3</v>
      </c>
      <c r="T6507" s="59">
        <f ca="1">Dashboard!C$8* Dashboard!$F$4+Dashboard!C$10*SQRT(Dashboard!$F$4) * _xlfn.NORM.S.INV(RAND())</f>
        <v>-1.0842023915878431E-2</v>
      </c>
      <c r="U6507" s="59">
        <f ca="1">Dashboard!D$8* Dashboard!$F$4+Dashboard!D$10*SQRT(Dashboard!$F$4) * _xlfn.NORM.S.INV(RAND())</f>
        <v>-3.720396970316394E-2</v>
      </c>
    </row>
    <row r="6508" spans="18:21" x14ac:dyDescent="0.2">
      <c r="R6508" s="49">
        <v>6506</v>
      </c>
      <c r="S6508" s="59">
        <f ca="1">Dashboard!B$8* Dashboard!$F$4+Dashboard!B$10*SQRT(Dashboard!$F$4) * _xlfn.NORM.S.INV(RAND())</f>
        <v>1.3377492927737869E-2</v>
      </c>
      <c r="T6508" s="59">
        <f ca="1">Dashboard!C$8* Dashboard!$F$4+Dashboard!C$10*SQRT(Dashboard!$F$4) * _xlfn.NORM.S.INV(RAND())</f>
        <v>-2.2701056504106136E-2</v>
      </c>
      <c r="U6508" s="59">
        <f ca="1">Dashboard!D$8* Dashboard!$F$4+Dashboard!D$10*SQRT(Dashboard!$F$4) * _xlfn.NORM.S.INV(RAND())</f>
        <v>-3.4113171854851881E-4</v>
      </c>
    </row>
    <row r="6509" spans="18:21" x14ac:dyDescent="0.2">
      <c r="R6509" s="49">
        <v>6507</v>
      </c>
      <c r="S6509" s="59">
        <f ca="1">Dashboard!B$8* Dashboard!$F$4+Dashboard!B$10*SQRT(Dashboard!$F$4) * _xlfn.NORM.S.INV(RAND())</f>
        <v>-3.1516036777724819E-2</v>
      </c>
      <c r="T6509" s="59">
        <f ca="1">Dashboard!C$8* Dashboard!$F$4+Dashboard!C$10*SQRT(Dashboard!$F$4) * _xlfn.NORM.S.INV(RAND())</f>
        <v>1.2565013274993824E-3</v>
      </c>
      <c r="U6509" s="59">
        <f ca="1">Dashboard!D$8* Dashboard!$F$4+Dashboard!D$10*SQRT(Dashboard!$F$4) * _xlfn.NORM.S.INV(RAND())</f>
        <v>-3.0663927122564751E-2</v>
      </c>
    </row>
    <row r="6510" spans="18:21" x14ac:dyDescent="0.2">
      <c r="R6510" s="49">
        <v>6508</v>
      </c>
      <c r="S6510" s="59">
        <f ca="1">Dashboard!B$8* Dashboard!$F$4+Dashboard!B$10*SQRT(Dashboard!$F$4) * _xlfn.NORM.S.INV(RAND())</f>
        <v>2.6558635533399273E-3</v>
      </c>
      <c r="T6510" s="59">
        <f ca="1">Dashboard!C$8* Dashboard!$F$4+Dashboard!C$10*SQRT(Dashboard!$F$4) * _xlfn.NORM.S.INV(RAND())</f>
        <v>2.4852366640979884E-2</v>
      </c>
      <c r="U6510" s="59">
        <f ca="1">Dashboard!D$8* Dashboard!$F$4+Dashboard!D$10*SQRT(Dashboard!$F$4) * _xlfn.NORM.S.INV(RAND())</f>
        <v>-8.0757734051254956E-2</v>
      </c>
    </row>
    <row r="6511" spans="18:21" x14ac:dyDescent="0.2">
      <c r="R6511" s="49">
        <v>6509</v>
      </c>
      <c r="S6511" s="59">
        <f ca="1">Dashboard!B$8* Dashboard!$F$4+Dashboard!B$10*SQRT(Dashboard!$F$4) * _xlfn.NORM.S.INV(RAND())</f>
        <v>-1.4323991719487492E-2</v>
      </c>
      <c r="T6511" s="59">
        <f ca="1">Dashboard!C$8* Dashboard!$F$4+Dashboard!C$10*SQRT(Dashboard!$F$4) * _xlfn.NORM.S.INV(RAND())</f>
        <v>1.4182148036760642E-2</v>
      </c>
      <c r="U6511" s="59">
        <f ca="1">Dashboard!D$8* Dashboard!$F$4+Dashboard!D$10*SQRT(Dashboard!$F$4) * _xlfn.NORM.S.INV(RAND())</f>
        <v>5.1488499126059552E-2</v>
      </c>
    </row>
    <row r="6512" spans="18:21" x14ac:dyDescent="0.2">
      <c r="R6512" s="49">
        <v>6510</v>
      </c>
      <c r="S6512" s="59">
        <f ca="1">Dashboard!B$8* Dashboard!$F$4+Dashboard!B$10*SQRT(Dashboard!$F$4) * _xlfn.NORM.S.INV(RAND())</f>
        <v>6.1810857500958546E-3</v>
      </c>
      <c r="T6512" s="59">
        <f ca="1">Dashboard!C$8* Dashboard!$F$4+Dashboard!C$10*SQRT(Dashboard!$F$4) * _xlfn.NORM.S.INV(RAND())</f>
        <v>-3.9229345650915473E-2</v>
      </c>
      <c r="U6512" s="59">
        <f ca="1">Dashboard!D$8* Dashboard!$F$4+Dashboard!D$10*SQRT(Dashboard!$F$4) * _xlfn.NORM.S.INV(RAND())</f>
        <v>-2.3865488463384051E-2</v>
      </c>
    </row>
    <row r="6513" spans="18:21" x14ac:dyDescent="0.2">
      <c r="R6513" s="49">
        <v>6511</v>
      </c>
      <c r="S6513" s="59">
        <f ca="1">Dashboard!B$8* Dashboard!$F$4+Dashboard!B$10*SQRT(Dashboard!$F$4) * _xlfn.NORM.S.INV(RAND())</f>
        <v>5.3842169579325083E-3</v>
      </c>
      <c r="T6513" s="59">
        <f ca="1">Dashboard!C$8* Dashboard!$F$4+Dashboard!C$10*SQRT(Dashboard!$F$4) * _xlfn.NORM.S.INV(RAND())</f>
        <v>-2.9459630101150141E-2</v>
      </c>
      <c r="U6513" s="59">
        <f ca="1">Dashboard!D$8* Dashboard!$F$4+Dashboard!D$10*SQRT(Dashboard!$F$4) * _xlfn.NORM.S.INV(RAND())</f>
        <v>2.0259216849443956E-2</v>
      </c>
    </row>
    <row r="6514" spans="18:21" x14ac:dyDescent="0.2">
      <c r="R6514" s="49">
        <v>6512</v>
      </c>
      <c r="S6514" s="59">
        <f ca="1">Dashboard!B$8* Dashboard!$F$4+Dashboard!B$10*SQRT(Dashboard!$F$4) * _xlfn.NORM.S.INV(RAND())</f>
        <v>5.7493690613824935E-4</v>
      </c>
      <c r="T6514" s="59">
        <f ca="1">Dashboard!C$8* Dashboard!$F$4+Dashboard!C$10*SQRT(Dashboard!$F$4) * _xlfn.NORM.S.INV(RAND())</f>
        <v>2.3923156936354235E-2</v>
      </c>
      <c r="U6514" s="59">
        <f ca="1">Dashboard!D$8* Dashboard!$F$4+Dashboard!D$10*SQRT(Dashboard!$F$4) * _xlfn.NORM.S.INV(RAND())</f>
        <v>3.4940686865540024E-3</v>
      </c>
    </row>
    <row r="6515" spans="18:21" x14ac:dyDescent="0.2">
      <c r="R6515" s="49">
        <v>6513</v>
      </c>
      <c r="S6515" s="59">
        <f ca="1">Dashboard!B$8* Dashboard!$F$4+Dashboard!B$10*SQRT(Dashboard!$F$4) * _xlfn.NORM.S.INV(RAND())</f>
        <v>2.9041959829647718E-2</v>
      </c>
      <c r="T6515" s="59">
        <f ca="1">Dashboard!C$8* Dashboard!$F$4+Dashboard!C$10*SQRT(Dashboard!$F$4) * _xlfn.NORM.S.INV(RAND())</f>
        <v>-3.8540740748639134E-2</v>
      </c>
      <c r="U6515" s="59">
        <f ca="1">Dashboard!D$8* Dashboard!$F$4+Dashboard!D$10*SQRT(Dashboard!$F$4) * _xlfn.NORM.S.INV(RAND())</f>
        <v>1.7389936356651356E-2</v>
      </c>
    </row>
    <row r="6516" spans="18:21" x14ac:dyDescent="0.2">
      <c r="R6516" s="49">
        <v>6514</v>
      </c>
      <c r="S6516" s="59">
        <f ca="1">Dashboard!B$8* Dashboard!$F$4+Dashboard!B$10*SQRT(Dashboard!$F$4) * _xlfn.NORM.S.INV(RAND())</f>
        <v>7.8497597443043781E-3</v>
      </c>
      <c r="T6516" s="59">
        <f ca="1">Dashboard!C$8* Dashboard!$F$4+Dashboard!C$10*SQRT(Dashboard!$F$4) * _xlfn.NORM.S.INV(RAND())</f>
        <v>5.6815720977495578E-3</v>
      </c>
      <c r="U6516" s="59">
        <f ca="1">Dashboard!D$8* Dashboard!$F$4+Dashboard!D$10*SQRT(Dashboard!$F$4) * _xlfn.NORM.S.INV(RAND())</f>
        <v>1.0788417949708624E-2</v>
      </c>
    </row>
    <row r="6517" spans="18:21" x14ac:dyDescent="0.2">
      <c r="R6517" s="49">
        <v>6515</v>
      </c>
      <c r="S6517" s="59">
        <f ca="1">Dashboard!B$8* Dashboard!$F$4+Dashboard!B$10*SQRT(Dashboard!$F$4) * _xlfn.NORM.S.INV(RAND())</f>
        <v>2.4393402861996864E-2</v>
      </c>
      <c r="T6517" s="59">
        <f ca="1">Dashboard!C$8* Dashboard!$F$4+Dashboard!C$10*SQRT(Dashboard!$F$4) * _xlfn.NORM.S.INV(RAND())</f>
        <v>3.2885206169970024E-2</v>
      </c>
      <c r="U6517" s="59">
        <f ca="1">Dashboard!D$8* Dashboard!$F$4+Dashboard!D$10*SQRT(Dashboard!$F$4) * _xlfn.NORM.S.INV(RAND())</f>
        <v>8.3987872819429695E-5</v>
      </c>
    </row>
    <row r="6518" spans="18:21" x14ac:dyDescent="0.2">
      <c r="R6518" s="49">
        <v>6516</v>
      </c>
      <c r="S6518" s="59">
        <f ca="1">Dashboard!B$8* Dashboard!$F$4+Dashboard!B$10*SQRT(Dashboard!$F$4) * _xlfn.NORM.S.INV(RAND())</f>
        <v>-3.4809029755813251E-2</v>
      </c>
      <c r="T6518" s="59">
        <f ca="1">Dashboard!C$8* Dashboard!$F$4+Dashboard!C$10*SQRT(Dashboard!$F$4) * _xlfn.NORM.S.INV(RAND())</f>
        <v>5.3931487464540108E-2</v>
      </c>
      <c r="U6518" s="59">
        <f ca="1">Dashboard!D$8* Dashboard!$F$4+Dashboard!D$10*SQRT(Dashboard!$F$4) * _xlfn.NORM.S.INV(RAND())</f>
        <v>1.4685213543020503E-2</v>
      </c>
    </row>
    <row r="6519" spans="18:21" x14ac:dyDescent="0.2">
      <c r="R6519" s="49">
        <v>6517</v>
      </c>
      <c r="S6519" s="59">
        <f ca="1">Dashboard!B$8* Dashboard!$F$4+Dashboard!B$10*SQRT(Dashboard!$F$4) * _xlfn.NORM.S.INV(RAND())</f>
        <v>-2.4557975811084161E-2</v>
      </c>
      <c r="T6519" s="59">
        <f ca="1">Dashboard!C$8* Dashboard!$F$4+Dashboard!C$10*SQRT(Dashboard!$F$4) * _xlfn.NORM.S.INV(RAND())</f>
        <v>3.9789119894120921E-3</v>
      </c>
      <c r="U6519" s="59">
        <f ca="1">Dashboard!D$8* Dashboard!$F$4+Dashboard!D$10*SQRT(Dashboard!$F$4) * _xlfn.NORM.S.INV(RAND())</f>
        <v>4.7766524078906858E-2</v>
      </c>
    </row>
    <row r="6520" spans="18:21" x14ac:dyDescent="0.2">
      <c r="R6520" s="49">
        <v>6518</v>
      </c>
      <c r="S6520" s="59">
        <f ca="1">Dashboard!B$8* Dashboard!$F$4+Dashboard!B$10*SQRT(Dashboard!$F$4) * _xlfn.NORM.S.INV(RAND())</f>
        <v>-4.4640212328216827E-2</v>
      </c>
      <c r="T6520" s="59">
        <f ca="1">Dashboard!C$8* Dashboard!$F$4+Dashboard!C$10*SQRT(Dashboard!$F$4) * _xlfn.NORM.S.INV(RAND())</f>
        <v>9.2432023746345966E-3</v>
      </c>
      <c r="U6520" s="59">
        <f ca="1">Dashboard!D$8* Dashboard!$F$4+Dashboard!D$10*SQRT(Dashboard!$F$4) * _xlfn.NORM.S.INV(RAND())</f>
        <v>3.6811115058245402E-3</v>
      </c>
    </row>
    <row r="6521" spans="18:21" x14ac:dyDescent="0.2">
      <c r="R6521" s="49">
        <v>6519</v>
      </c>
      <c r="S6521" s="59">
        <f ca="1">Dashboard!B$8* Dashboard!$F$4+Dashboard!B$10*SQRT(Dashboard!$F$4) * _xlfn.NORM.S.INV(RAND())</f>
        <v>-2.0918692917589514E-2</v>
      </c>
      <c r="T6521" s="59">
        <f ca="1">Dashboard!C$8* Dashboard!$F$4+Dashboard!C$10*SQRT(Dashboard!$F$4) * _xlfn.NORM.S.INV(RAND())</f>
        <v>-5.0569449088070151E-2</v>
      </c>
      <c r="U6521" s="59">
        <f ca="1">Dashboard!D$8* Dashboard!$F$4+Dashboard!D$10*SQRT(Dashboard!$F$4) * _xlfn.NORM.S.INV(RAND())</f>
        <v>-2.2157024012369131E-2</v>
      </c>
    </row>
    <row r="6522" spans="18:21" x14ac:dyDescent="0.2">
      <c r="R6522" s="49">
        <v>6520</v>
      </c>
      <c r="S6522" s="59">
        <f ca="1">Dashboard!B$8* Dashboard!$F$4+Dashboard!B$10*SQRT(Dashboard!$F$4) * _xlfn.NORM.S.INV(RAND())</f>
        <v>-4.3893040103410415E-3</v>
      </c>
      <c r="T6522" s="59">
        <f ca="1">Dashboard!C$8* Dashboard!$F$4+Dashboard!C$10*SQRT(Dashboard!$F$4) * _xlfn.NORM.S.INV(RAND())</f>
        <v>2.030419900751828E-2</v>
      </c>
      <c r="U6522" s="59">
        <f ca="1">Dashboard!D$8* Dashboard!$F$4+Dashboard!D$10*SQRT(Dashboard!$F$4) * _xlfn.NORM.S.INV(RAND())</f>
        <v>-3.5324720088931394E-2</v>
      </c>
    </row>
    <row r="6523" spans="18:21" x14ac:dyDescent="0.2">
      <c r="R6523" s="49">
        <v>6521</v>
      </c>
      <c r="S6523" s="59">
        <f ca="1">Dashboard!B$8* Dashboard!$F$4+Dashboard!B$10*SQRT(Dashboard!$F$4) * _xlfn.NORM.S.INV(RAND())</f>
        <v>-3.8364924449742462E-3</v>
      </c>
      <c r="T6523" s="59">
        <f ca="1">Dashboard!C$8* Dashboard!$F$4+Dashboard!C$10*SQRT(Dashboard!$F$4) * _xlfn.NORM.S.INV(RAND())</f>
        <v>3.0963499701170093E-3</v>
      </c>
      <c r="U6523" s="59">
        <f ca="1">Dashboard!D$8* Dashboard!$F$4+Dashboard!D$10*SQRT(Dashboard!$F$4) * _xlfn.NORM.S.INV(RAND())</f>
        <v>6.0574071622224196E-2</v>
      </c>
    </row>
    <row r="6524" spans="18:21" x14ac:dyDescent="0.2">
      <c r="R6524" s="49">
        <v>6522</v>
      </c>
      <c r="S6524" s="59">
        <f ca="1">Dashboard!B$8* Dashboard!$F$4+Dashboard!B$10*SQRT(Dashboard!$F$4) * _xlfn.NORM.S.INV(RAND())</f>
        <v>-9.6101599106086615E-3</v>
      </c>
      <c r="T6524" s="59">
        <f ca="1">Dashboard!C$8* Dashboard!$F$4+Dashboard!C$10*SQRT(Dashboard!$F$4) * _xlfn.NORM.S.INV(RAND())</f>
        <v>2.0638521899753511E-2</v>
      </c>
      <c r="U6524" s="59">
        <f ca="1">Dashboard!D$8* Dashboard!$F$4+Dashboard!D$10*SQRT(Dashboard!$F$4) * _xlfn.NORM.S.INV(RAND())</f>
        <v>-1.9218507986128619E-2</v>
      </c>
    </row>
    <row r="6525" spans="18:21" x14ac:dyDescent="0.2">
      <c r="R6525" s="49">
        <v>6523</v>
      </c>
      <c r="S6525" s="59">
        <f ca="1">Dashboard!B$8* Dashboard!$F$4+Dashboard!B$10*SQRT(Dashboard!$F$4) * _xlfn.NORM.S.INV(RAND())</f>
        <v>1.4126000320372171E-2</v>
      </c>
      <c r="T6525" s="59">
        <f ca="1">Dashboard!C$8* Dashboard!$F$4+Dashboard!C$10*SQRT(Dashboard!$F$4) * _xlfn.NORM.S.INV(RAND())</f>
        <v>-6.5744018734056062E-3</v>
      </c>
      <c r="U6525" s="59">
        <f ca="1">Dashboard!D$8* Dashboard!$F$4+Dashboard!D$10*SQRT(Dashboard!$F$4) * _xlfn.NORM.S.INV(RAND())</f>
        <v>1.070001192006342E-2</v>
      </c>
    </row>
    <row r="6526" spans="18:21" x14ac:dyDescent="0.2">
      <c r="R6526" s="49">
        <v>6524</v>
      </c>
      <c r="S6526" s="59">
        <f ca="1">Dashboard!B$8* Dashboard!$F$4+Dashboard!B$10*SQRT(Dashboard!$F$4) * _xlfn.NORM.S.INV(RAND())</f>
        <v>-1.3001642001721863E-2</v>
      </c>
      <c r="T6526" s="59">
        <f ca="1">Dashboard!C$8* Dashboard!$F$4+Dashboard!C$10*SQRT(Dashboard!$F$4) * _xlfn.NORM.S.INV(RAND())</f>
        <v>5.7612090553885734E-2</v>
      </c>
      <c r="U6526" s="59">
        <f ca="1">Dashboard!D$8* Dashboard!$F$4+Dashboard!D$10*SQRT(Dashboard!$F$4) * _xlfn.NORM.S.INV(RAND())</f>
        <v>7.8546041266728244E-3</v>
      </c>
    </row>
    <row r="6527" spans="18:21" x14ac:dyDescent="0.2">
      <c r="R6527" s="49">
        <v>6525</v>
      </c>
      <c r="S6527" s="59">
        <f ca="1">Dashboard!B$8* Dashboard!$F$4+Dashboard!B$10*SQRT(Dashboard!$F$4) * _xlfn.NORM.S.INV(RAND())</f>
        <v>5.2245853430984174E-2</v>
      </c>
      <c r="T6527" s="59">
        <f ca="1">Dashboard!C$8* Dashboard!$F$4+Dashboard!C$10*SQRT(Dashboard!$F$4) * _xlfn.NORM.S.INV(RAND())</f>
        <v>-6.0021769646291773E-2</v>
      </c>
      <c r="U6527" s="59">
        <f ca="1">Dashboard!D$8* Dashboard!$F$4+Dashboard!D$10*SQRT(Dashboard!$F$4) * _xlfn.NORM.S.INV(RAND())</f>
        <v>-2.699652233171846E-2</v>
      </c>
    </row>
    <row r="6528" spans="18:21" x14ac:dyDescent="0.2">
      <c r="R6528" s="49">
        <v>6526</v>
      </c>
      <c r="S6528" s="59">
        <f ca="1">Dashboard!B$8* Dashboard!$F$4+Dashboard!B$10*SQRT(Dashboard!$F$4) * _xlfn.NORM.S.INV(RAND())</f>
        <v>-8.1618697741894682E-3</v>
      </c>
      <c r="T6528" s="59">
        <f ca="1">Dashboard!C$8* Dashboard!$F$4+Dashboard!C$10*SQRT(Dashboard!$F$4) * _xlfn.NORM.S.INV(RAND())</f>
        <v>-2.4359996499068434E-2</v>
      </c>
      <c r="U6528" s="59">
        <f ca="1">Dashboard!D$8* Dashboard!$F$4+Dashboard!D$10*SQRT(Dashboard!$F$4) * _xlfn.NORM.S.INV(RAND())</f>
        <v>1.486767816590644E-2</v>
      </c>
    </row>
    <row r="6529" spans="18:21" x14ac:dyDescent="0.2">
      <c r="R6529" s="49">
        <v>6527</v>
      </c>
      <c r="S6529" s="59">
        <f ca="1">Dashboard!B$8* Dashboard!$F$4+Dashboard!B$10*SQRT(Dashboard!$F$4) * _xlfn.NORM.S.INV(RAND())</f>
        <v>-3.0462122605669474E-2</v>
      </c>
      <c r="T6529" s="59">
        <f ca="1">Dashboard!C$8* Dashboard!$F$4+Dashboard!C$10*SQRT(Dashboard!$F$4) * _xlfn.NORM.S.INV(RAND())</f>
        <v>-6.7439266135990343E-3</v>
      </c>
      <c r="U6529" s="59">
        <f ca="1">Dashboard!D$8* Dashboard!$F$4+Dashboard!D$10*SQRT(Dashboard!$F$4) * _xlfn.NORM.S.INV(RAND())</f>
        <v>1.8984215338114799E-2</v>
      </c>
    </row>
    <row r="6530" spans="18:21" x14ac:dyDescent="0.2">
      <c r="R6530" s="49">
        <v>6528</v>
      </c>
      <c r="S6530" s="59">
        <f ca="1">Dashboard!B$8* Dashboard!$F$4+Dashboard!B$10*SQRT(Dashboard!$F$4) * _xlfn.NORM.S.INV(RAND())</f>
        <v>-4.1021832674790681E-3</v>
      </c>
      <c r="T6530" s="59">
        <f ca="1">Dashboard!C$8* Dashboard!$F$4+Dashboard!C$10*SQRT(Dashboard!$F$4) * _xlfn.NORM.S.INV(RAND())</f>
        <v>-6.0593987642182767E-2</v>
      </c>
      <c r="U6530" s="59">
        <f ca="1">Dashboard!D$8* Dashboard!$F$4+Dashboard!D$10*SQRT(Dashboard!$F$4) * _xlfn.NORM.S.INV(RAND())</f>
        <v>9.9844605679330813E-3</v>
      </c>
    </row>
    <row r="6531" spans="18:21" x14ac:dyDescent="0.2">
      <c r="R6531" s="49">
        <v>6529</v>
      </c>
      <c r="S6531" s="59">
        <f ca="1">Dashboard!B$8* Dashboard!$F$4+Dashboard!B$10*SQRT(Dashboard!$F$4) * _xlfn.NORM.S.INV(RAND())</f>
        <v>4.8780465009465365E-3</v>
      </c>
      <c r="T6531" s="59">
        <f ca="1">Dashboard!C$8* Dashboard!$F$4+Dashboard!C$10*SQRT(Dashboard!$F$4) * _xlfn.NORM.S.INV(RAND())</f>
        <v>-3.8872257550104844E-2</v>
      </c>
      <c r="U6531" s="59">
        <f ca="1">Dashboard!D$8* Dashboard!$F$4+Dashboard!D$10*SQRT(Dashboard!$F$4) * _xlfn.NORM.S.INV(RAND())</f>
        <v>4.9288082686677614E-2</v>
      </c>
    </row>
    <row r="6532" spans="18:21" x14ac:dyDescent="0.2">
      <c r="R6532" s="49">
        <v>6530</v>
      </c>
      <c r="S6532" s="59">
        <f ca="1">Dashboard!B$8* Dashboard!$F$4+Dashboard!B$10*SQRT(Dashboard!$F$4) * _xlfn.NORM.S.INV(RAND())</f>
        <v>-2.2346396457788881E-2</v>
      </c>
      <c r="T6532" s="59">
        <f ca="1">Dashboard!C$8* Dashboard!$F$4+Dashboard!C$10*SQRT(Dashboard!$F$4) * _xlfn.NORM.S.INV(RAND())</f>
        <v>4.0084513539027734E-2</v>
      </c>
      <c r="U6532" s="59">
        <f ca="1">Dashboard!D$8* Dashboard!$F$4+Dashboard!D$10*SQRT(Dashboard!$F$4) * _xlfn.NORM.S.INV(RAND())</f>
        <v>-1.0191030282374234E-2</v>
      </c>
    </row>
    <row r="6533" spans="18:21" x14ac:dyDescent="0.2">
      <c r="R6533" s="49">
        <v>6531</v>
      </c>
      <c r="S6533" s="59">
        <f ca="1">Dashboard!B$8* Dashboard!$F$4+Dashboard!B$10*SQRT(Dashboard!$F$4) * _xlfn.NORM.S.INV(RAND())</f>
        <v>7.6936829677610369E-2</v>
      </c>
      <c r="T6533" s="59">
        <f ca="1">Dashboard!C$8* Dashboard!$F$4+Dashboard!C$10*SQRT(Dashboard!$F$4) * _xlfn.NORM.S.INV(RAND())</f>
        <v>1.4695590793493161E-2</v>
      </c>
      <c r="U6533" s="59">
        <f ca="1">Dashboard!D$8* Dashboard!$F$4+Dashboard!D$10*SQRT(Dashboard!$F$4) * _xlfn.NORM.S.INV(RAND())</f>
        <v>-4.5477496945145642E-2</v>
      </c>
    </row>
    <row r="6534" spans="18:21" x14ac:dyDescent="0.2">
      <c r="R6534" s="49">
        <v>6532</v>
      </c>
      <c r="S6534" s="59">
        <f ca="1">Dashboard!B$8* Dashboard!$F$4+Dashboard!B$10*SQRT(Dashboard!$F$4) * _xlfn.NORM.S.INV(RAND())</f>
        <v>-2.5766137052740078E-2</v>
      </c>
      <c r="T6534" s="59">
        <f ca="1">Dashboard!C$8* Dashboard!$F$4+Dashboard!C$10*SQRT(Dashboard!$F$4) * _xlfn.NORM.S.INV(RAND())</f>
        <v>-2.2048111090598566E-2</v>
      </c>
      <c r="U6534" s="59">
        <f ca="1">Dashboard!D$8* Dashboard!$F$4+Dashboard!D$10*SQRT(Dashboard!$F$4) * _xlfn.NORM.S.INV(RAND())</f>
        <v>2.0985796789957777E-2</v>
      </c>
    </row>
    <row r="6535" spans="18:21" x14ac:dyDescent="0.2">
      <c r="R6535" s="49">
        <v>6533</v>
      </c>
      <c r="S6535" s="59">
        <f ca="1">Dashboard!B$8* Dashboard!$F$4+Dashboard!B$10*SQRT(Dashboard!$F$4) * _xlfn.NORM.S.INV(RAND())</f>
        <v>3.2912294084406872E-2</v>
      </c>
      <c r="T6535" s="59">
        <f ca="1">Dashboard!C$8* Dashboard!$F$4+Dashboard!C$10*SQRT(Dashboard!$F$4) * _xlfn.NORM.S.INV(RAND())</f>
        <v>5.8303361658889538E-2</v>
      </c>
      <c r="U6535" s="59">
        <f ca="1">Dashboard!D$8* Dashboard!$F$4+Dashboard!D$10*SQRT(Dashboard!$F$4) * _xlfn.NORM.S.INV(RAND())</f>
        <v>-7.2297498935825918E-2</v>
      </c>
    </row>
    <row r="6536" spans="18:21" x14ac:dyDescent="0.2">
      <c r="R6536" s="49">
        <v>6534</v>
      </c>
      <c r="S6536" s="59">
        <f ca="1">Dashboard!B$8* Dashboard!$F$4+Dashboard!B$10*SQRT(Dashboard!$F$4) * _xlfn.NORM.S.INV(RAND())</f>
        <v>-2.7283486168906586E-2</v>
      </c>
      <c r="T6536" s="59">
        <f ca="1">Dashboard!C$8* Dashboard!$F$4+Dashboard!C$10*SQRT(Dashboard!$F$4) * _xlfn.NORM.S.INV(RAND())</f>
        <v>-3.1745224982810037E-2</v>
      </c>
      <c r="U6536" s="59">
        <f ca="1">Dashboard!D$8* Dashboard!$F$4+Dashboard!D$10*SQRT(Dashboard!$F$4) * _xlfn.NORM.S.INV(RAND())</f>
        <v>7.880837613022813E-3</v>
      </c>
    </row>
    <row r="6537" spans="18:21" x14ac:dyDescent="0.2">
      <c r="R6537" s="49">
        <v>6535</v>
      </c>
      <c r="S6537" s="59">
        <f ca="1">Dashboard!B$8* Dashboard!$F$4+Dashboard!B$10*SQRT(Dashboard!$F$4) * _xlfn.NORM.S.INV(RAND())</f>
        <v>5.944977632708414E-3</v>
      </c>
      <c r="T6537" s="59">
        <f ca="1">Dashboard!C$8* Dashboard!$F$4+Dashboard!C$10*SQRT(Dashboard!$F$4) * _xlfn.NORM.S.INV(RAND())</f>
        <v>1.5367900353216748E-2</v>
      </c>
      <c r="U6537" s="59">
        <f ca="1">Dashboard!D$8* Dashboard!$F$4+Dashboard!D$10*SQRT(Dashboard!$F$4) * _xlfn.NORM.S.INV(RAND())</f>
        <v>-5.208294882209686E-2</v>
      </c>
    </row>
    <row r="6538" spans="18:21" x14ac:dyDescent="0.2">
      <c r="R6538" s="49">
        <v>6536</v>
      </c>
      <c r="S6538" s="59">
        <f ca="1">Dashboard!B$8* Dashboard!$F$4+Dashboard!B$10*SQRT(Dashboard!$F$4) * _xlfn.NORM.S.INV(RAND())</f>
        <v>-5.6779044059826776E-2</v>
      </c>
      <c r="T6538" s="59">
        <f ca="1">Dashboard!C$8* Dashboard!$F$4+Dashboard!C$10*SQRT(Dashboard!$F$4) * _xlfn.NORM.S.INV(RAND())</f>
        <v>-1.1038402913754016E-2</v>
      </c>
      <c r="U6538" s="59">
        <f ca="1">Dashboard!D$8* Dashboard!$F$4+Dashboard!D$10*SQRT(Dashboard!$F$4) * _xlfn.NORM.S.INV(RAND())</f>
        <v>-6.4004479301913971E-3</v>
      </c>
    </row>
    <row r="6539" spans="18:21" x14ac:dyDescent="0.2">
      <c r="R6539" s="49">
        <v>6537</v>
      </c>
      <c r="S6539" s="59">
        <f ca="1">Dashboard!B$8* Dashboard!$F$4+Dashboard!B$10*SQRT(Dashboard!$F$4) * _xlfn.NORM.S.INV(RAND())</f>
        <v>-2.9761843555502765E-2</v>
      </c>
      <c r="T6539" s="59">
        <f ca="1">Dashboard!C$8* Dashboard!$F$4+Dashboard!C$10*SQRT(Dashboard!$F$4) * _xlfn.NORM.S.INV(RAND())</f>
        <v>4.5238213055636536E-2</v>
      </c>
      <c r="U6539" s="59">
        <f ca="1">Dashboard!D$8* Dashboard!$F$4+Dashboard!D$10*SQRT(Dashboard!$F$4) * _xlfn.NORM.S.INV(RAND())</f>
        <v>-1.4989755213803253E-2</v>
      </c>
    </row>
    <row r="6540" spans="18:21" x14ac:dyDescent="0.2">
      <c r="R6540" s="49">
        <v>6538</v>
      </c>
      <c r="S6540" s="59">
        <f ca="1">Dashboard!B$8* Dashboard!$F$4+Dashboard!B$10*SQRT(Dashboard!$F$4) * _xlfn.NORM.S.INV(RAND())</f>
        <v>-4.4076311820933384E-2</v>
      </c>
      <c r="T6540" s="59">
        <f ca="1">Dashboard!C$8* Dashboard!$F$4+Dashboard!C$10*SQRT(Dashboard!$F$4) * _xlfn.NORM.S.INV(RAND())</f>
        <v>-1.2324106944201826E-3</v>
      </c>
      <c r="U6540" s="59">
        <f ca="1">Dashboard!D$8* Dashboard!$F$4+Dashboard!D$10*SQRT(Dashboard!$F$4) * _xlfn.NORM.S.INV(RAND())</f>
        <v>3.9869569638812781E-2</v>
      </c>
    </row>
    <row r="6541" spans="18:21" x14ac:dyDescent="0.2">
      <c r="R6541" s="49">
        <v>6539</v>
      </c>
      <c r="S6541" s="59">
        <f ca="1">Dashboard!B$8* Dashboard!$F$4+Dashboard!B$10*SQRT(Dashboard!$F$4) * _xlfn.NORM.S.INV(RAND())</f>
        <v>-1.8877209906682898E-2</v>
      </c>
      <c r="T6541" s="59">
        <f ca="1">Dashboard!C$8* Dashboard!$F$4+Dashboard!C$10*SQRT(Dashboard!$F$4) * _xlfn.NORM.S.INV(RAND())</f>
        <v>-3.9075965090538581E-2</v>
      </c>
      <c r="U6541" s="59">
        <f ca="1">Dashboard!D$8* Dashboard!$F$4+Dashboard!D$10*SQRT(Dashboard!$F$4) * _xlfn.NORM.S.INV(RAND())</f>
        <v>-1.5671322865418089E-2</v>
      </c>
    </row>
    <row r="6542" spans="18:21" x14ac:dyDescent="0.2">
      <c r="R6542" s="49">
        <v>6540</v>
      </c>
      <c r="S6542" s="59">
        <f ca="1">Dashboard!B$8* Dashboard!$F$4+Dashboard!B$10*SQRT(Dashboard!$F$4) * _xlfn.NORM.S.INV(RAND())</f>
        <v>2.7984126973681911E-2</v>
      </c>
      <c r="T6542" s="59">
        <f ca="1">Dashboard!C$8* Dashboard!$F$4+Dashboard!C$10*SQRT(Dashboard!$F$4) * _xlfn.NORM.S.INV(RAND())</f>
        <v>-2.8372230085495314E-2</v>
      </c>
      <c r="U6542" s="59">
        <f ca="1">Dashboard!D$8* Dashboard!$F$4+Dashboard!D$10*SQRT(Dashboard!$F$4) * _xlfn.NORM.S.INV(RAND())</f>
        <v>5.0878281533813241E-2</v>
      </c>
    </row>
    <row r="6543" spans="18:21" x14ac:dyDescent="0.2">
      <c r="R6543" s="49">
        <v>6541</v>
      </c>
      <c r="S6543" s="59">
        <f ca="1">Dashboard!B$8* Dashboard!$F$4+Dashboard!B$10*SQRT(Dashboard!$F$4) * _xlfn.NORM.S.INV(RAND())</f>
        <v>-3.9615634292124004E-3</v>
      </c>
      <c r="T6543" s="59">
        <f ca="1">Dashboard!C$8* Dashboard!$F$4+Dashboard!C$10*SQRT(Dashboard!$F$4) * _xlfn.NORM.S.INV(RAND())</f>
        <v>-1.5489490490841373E-2</v>
      </c>
      <c r="U6543" s="59">
        <f ca="1">Dashboard!D$8* Dashboard!$F$4+Dashboard!D$10*SQRT(Dashboard!$F$4) * _xlfn.NORM.S.INV(RAND())</f>
        <v>-5.5304634226121217E-4</v>
      </c>
    </row>
    <row r="6544" spans="18:21" x14ac:dyDescent="0.2">
      <c r="R6544" s="49">
        <v>6542</v>
      </c>
      <c r="S6544" s="59">
        <f ca="1">Dashboard!B$8* Dashboard!$F$4+Dashboard!B$10*SQRT(Dashboard!$F$4) * _xlfn.NORM.S.INV(RAND())</f>
        <v>5.055387998526225E-2</v>
      </c>
      <c r="T6544" s="59">
        <f ca="1">Dashboard!C$8* Dashboard!$F$4+Dashboard!C$10*SQRT(Dashboard!$F$4) * _xlfn.NORM.S.INV(RAND())</f>
        <v>6.8803394433485758E-3</v>
      </c>
      <c r="U6544" s="59">
        <f ca="1">Dashboard!D$8* Dashboard!$F$4+Dashboard!D$10*SQRT(Dashboard!$F$4) * _xlfn.NORM.S.INV(RAND())</f>
        <v>9.4762015095181205E-3</v>
      </c>
    </row>
    <row r="6545" spans="18:21" x14ac:dyDescent="0.2">
      <c r="R6545" s="49">
        <v>6543</v>
      </c>
      <c r="S6545" s="59">
        <f ca="1">Dashboard!B$8* Dashboard!$F$4+Dashboard!B$10*SQRT(Dashboard!$F$4) * _xlfn.NORM.S.INV(RAND())</f>
        <v>3.3563460418795592E-2</v>
      </c>
      <c r="T6545" s="59">
        <f ca="1">Dashboard!C$8* Dashboard!$F$4+Dashboard!C$10*SQRT(Dashboard!$F$4) * _xlfn.NORM.S.INV(RAND())</f>
        <v>1.2765277633212377E-2</v>
      </c>
      <c r="U6545" s="59">
        <f ca="1">Dashboard!D$8* Dashboard!$F$4+Dashboard!D$10*SQRT(Dashboard!$F$4) * _xlfn.NORM.S.INV(RAND())</f>
        <v>1.2243563922856006E-2</v>
      </c>
    </row>
    <row r="6546" spans="18:21" x14ac:dyDescent="0.2">
      <c r="R6546" s="49">
        <v>6544</v>
      </c>
      <c r="S6546" s="59">
        <f ca="1">Dashboard!B$8* Dashboard!$F$4+Dashboard!B$10*SQRT(Dashboard!$F$4) * _xlfn.NORM.S.INV(RAND())</f>
        <v>3.6594585832461758E-2</v>
      </c>
      <c r="T6546" s="59">
        <f ca="1">Dashboard!C$8* Dashboard!$F$4+Dashboard!C$10*SQRT(Dashboard!$F$4) * _xlfn.NORM.S.INV(RAND())</f>
        <v>3.2275878188233516E-4</v>
      </c>
      <c r="U6546" s="59">
        <f ca="1">Dashboard!D$8* Dashboard!$F$4+Dashboard!D$10*SQRT(Dashboard!$F$4) * _xlfn.NORM.S.INV(RAND())</f>
        <v>-1.4411137498402364E-2</v>
      </c>
    </row>
    <row r="6547" spans="18:21" x14ac:dyDescent="0.2">
      <c r="R6547" s="49">
        <v>6545</v>
      </c>
      <c r="S6547" s="59">
        <f ca="1">Dashboard!B$8* Dashboard!$F$4+Dashboard!B$10*SQRT(Dashboard!$F$4) * _xlfn.NORM.S.INV(RAND())</f>
        <v>2.7740528356925032E-2</v>
      </c>
      <c r="T6547" s="59">
        <f ca="1">Dashboard!C$8* Dashboard!$F$4+Dashboard!C$10*SQRT(Dashboard!$F$4) * _xlfn.NORM.S.INV(RAND())</f>
        <v>2.5171938113548977E-2</v>
      </c>
      <c r="U6547" s="59">
        <f ca="1">Dashboard!D$8* Dashboard!$F$4+Dashboard!D$10*SQRT(Dashboard!$F$4) * _xlfn.NORM.S.INV(RAND())</f>
        <v>8.19170660687445E-3</v>
      </c>
    </row>
    <row r="6548" spans="18:21" x14ac:dyDescent="0.2">
      <c r="R6548" s="49">
        <v>6546</v>
      </c>
      <c r="S6548" s="59">
        <f ca="1">Dashboard!B$8* Dashboard!$F$4+Dashboard!B$10*SQRT(Dashboard!$F$4) * _xlfn.NORM.S.INV(RAND())</f>
        <v>-6.6978342229714848E-3</v>
      </c>
      <c r="T6548" s="59">
        <f ca="1">Dashboard!C$8* Dashboard!$F$4+Dashboard!C$10*SQRT(Dashboard!$F$4) * _xlfn.NORM.S.INV(RAND())</f>
        <v>1.7768158564030936E-2</v>
      </c>
      <c r="U6548" s="59">
        <f ca="1">Dashboard!D$8* Dashboard!$F$4+Dashboard!D$10*SQRT(Dashboard!$F$4) * _xlfn.NORM.S.INV(RAND())</f>
        <v>1.2175931436552422E-2</v>
      </c>
    </row>
    <row r="6549" spans="18:21" x14ac:dyDescent="0.2">
      <c r="R6549" s="49">
        <v>6547</v>
      </c>
      <c r="S6549" s="59">
        <f ca="1">Dashboard!B$8* Dashboard!$F$4+Dashboard!B$10*SQRT(Dashboard!$F$4) * _xlfn.NORM.S.INV(RAND())</f>
        <v>-5.5146736234055041E-2</v>
      </c>
      <c r="T6549" s="59">
        <f ca="1">Dashboard!C$8* Dashboard!$F$4+Dashboard!C$10*SQRT(Dashboard!$F$4) * _xlfn.NORM.S.INV(RAND())</f>
        <v>4.8402412396708928E-2</v>
      </c>
      <c r="U6549" s="59">
        <f ca="1">Dashboard!D$8* Dashboard!$F$4+Dashboard!D$10*SQRT(Dashboard!$F$4) * _xlfn.NORM.S.INV(RAND())</f>
        <v>2.6717822341563547E-2</v>
      </c>
    </row>
    <row r="6550" spans="18:21" x14ac:dyDescent="0.2">
      <c r="R6550" s="49">
        <v>6548</v>
      </c>
      <c r="S6550" s="59">
        <f ca="1">Dashboard!B$8* Dashboard!$F$4+Dashboard!B$10*SQRT(Dashboard!$F$4) * _xlfn.NORM.S.INV(RAND())</f>
        <v>3.4057347306683972E-2</v>
      </c>
      <c r="T6550" s="59">
        <f ca="1">Dashboard!C$8* Dashboard!$F$4+Dashboard!C$10*SQRT(Dashboard!$F$4) * _xlfn.NORM.S.INV(RAND())</f>
        <v>-4.9467363996411641E-2</v>
      </c>
      <c r="U6550" s="59">
        <f ca="1">Dashboard!D$8* Dashboard!$F$4+Dashboard!D$10*SQRT(Dashboard!$F$4) * _xlfn.NORM.S.INV(RAND())</f>
        <v>-1.5323601217803854E-2</v>
      </c>
    </row>
    <row r="6551" spans="18:21" x14ac:dyDescent="0.2">
      <c r="R6551" s="49">
        <v>6549</v>
      </c>
      <c r="S6551" s="59">
        <f ca="1">Dashboard!B$8* Dashboard!$F$4+Dashboard!B$10*SQRT(Dashboard!$F$4) * _xlfn.NORM.S.INV(RAND())</f>
        <v>-4.7327154923554838E-3</v>
      </c>
      <c r="T6551" s="59">
        <f ca="1">Dashboard!C$8* Dashboard!$F$4+Dashboard!C$10*SQRT(Dashboard!$F$4) * _xlfn.NORM.S.INV(RAND())</f>
        <v>-5.4523317532106721E-2</v>
      </c>
      <c r="U6551" s="59">
        <f ca="1">Dashboard!D$8* Dashboard!$F$4+Dashboard!D$10*SQRT(Dashboard!$F$4) * _xlfn.NORM.S.INV(RAND())</f>
        <v>1.9215362004624474E-2</v>
      </c>
    </row>
    <row r="6552" spans="18:21" x14ac:dyDescent="0.2">
      <c r="R6552" s="49">
        <v>6550</v>
      </c>
      <c r="S6552" s="59">
        <f ca="1">Dashboard!B$8* Dashboard!$F$4+Dashboard!B$10*SQRT(Dashboard!$F$4) * _xlfn.NORM.S.INV(RAND())</f>
        <v>1.586234210717069E-2</v>
      </c>
      <c r="T6552" s="59">
        <f ca="1">Dashboard!C$8* Dashboard!$F$4+Dashboard!C$10*SQRT(Dashboard!$F$4) * _xlfn.NORM.S.INV(RAND())</f>
        <v>4.6673923703406213E-3</v>
      </c>
      <c r="U6552" s="59">
        <f ca="1">Dashboard!D$8* Dashboard!$F$4+Dashboard!D$10*SQRT(Dashboard!$F$4) * _xlfn.NORM.S.INV(RAND())</f>
        <v>-1.8605714240217164E-2</v>
      </c>
    </row>
    <row r="6553" spans="18:21" x14ac:dyDescent="0.2">
      <c r="R6553" s="49">
        <v>6551</v>
      </c>
      <c r="S6553" s="59">
        <f ca="1">Dashboard!B$8* Dashboard!$F$4+Dashboard!B$10*SQRT(Dashboard!$F$4) * _xlfn.NORM.S.INV(RAND())</f>
        <v>2.4123284632197345E-2</v>
      </c>
      <c r="T6553" s="59">
        <f ca="1">Dashboard!C$8* Dashboard!$F$4+Dashboard!C$10*SQRT(Dashboard!$F$4) * _xlfn.NORM.S.INV(RAND())</f>
        <v>1.9820448282040572E-2</v>
      </c>
      <c r="U6553" s="59">
        <f ca="1">Dashboard!D$8* Dashboard!$F$4+Dashboard!D$10*SQRT(Dashboard!$F$4) * _xlfn.NORM.S.INV(RAND())</f>
        <v>-3.8548184214910193E-2</v>
      </c>
    </row>
    <row r="6554" spans="18:21" x14ac:dyDescent="0.2">
      <c r="R6554" s="49">
        <v>6552</v>
      </c>
      <c r="S6554" s="59">
        <f ca="1">Dashboard!B$8* Dashboard!$F$4+Dashboard!B$10*SQRT(Dashboard!$F$4) * _xlfn.NORM.S.INV(RAND())</f>
        <v>2.4999709318877537E-2</v>
      </c>
      <c r="T6554" s="59">
        <f ca="1">Dashboard!C$8* Dashboard!$F$4+Dashboard!C$10*SQRT(Dashboard!$F$4) * _xlfn.NORM.S.INV(RAND())</f>
        <v>-4.8956045692644334E-2</v>
      </c>
      <c r="U6554" s="59">
        <f ca="1">Dashboard!D$8* Dashboard!$F$4+Dashboard!D$10*SQRT(Dashboard!$F$4) * _xlfn.NORM.S.INV(RAND())</f>
        <v>-1.2331527888374864E-3</v>
      </c>
    </row>
    <row r="6555" spans="18:21" x14ac:dyDescent="0.2">
      <c r="R6555" s="49">
        <v>6553</v>
      </c>
      <c r="S6555" s="59">
        <f ca="1">Dashboard!B$8* Dashboard!$F$4+Dashboard!B$10*SQRT(Dashboard!$F$4) * _xlfn.NORM.S.INV(RAND())</f>
        <v>-3.5741833699928033E-2</v>
      </c>
      <c r="T6555" s="59">
        <f ca="1">Dashboard!C$8* Dashboard!$F$4+Dashboard!C$10*SQRT(Dashboard!$F$4) * _xlfn.NORM.S.INV(RAND())</f>
        <v>-1.0017894892909558E-2</v>
      </c>
      <c r="U6555" s="59">
        <f ca="1">Dashboard!D$8* Dashboard!$F$4+Dashboard!D$10*SQRT(Dashboard!$F$4) * _xlfn.NORM.S.INV(RAND())</f>
        <v>-1.9155726292643723E-2</v>
      </c>
    </row>
    <row r="6556" spans="18:21" x14ac:dyDescent="0.2">
      <c r="R6556" s="49">
        <v>6554</v>
      </c>
      <c r="S6556" s="59">
        <f ca="1">Dashboard!B$8* Dashboard!$F$4+Dashboard!B$10*SQRT(Dashboard!$F$4) * _xlfn.NORM.S.INV(RAND())</f>
        <v>1.1851381180493085E-2</v>
      </c>
      <c r="T6556" s="59">
        <f ca="1">Dashboard!C$8* Dashboard!$F$4+Dashboard!C$10*SQRT(Dashboard!$F$4) * _xlfn.NORM.S.INV(RAND())</f>
        <v>-7.9514508833216264E-3</v>
      </c>
      <c r="U6556" s="59">
        <f ca="1">Dashboard!D$8* Dashboard!$F$4+Dashboard!D$10*SQRT(Dashboard!$F$4) * _xlfn.NORM.S.INV(RAND())</f>
        <v>4.2001659547817129E-2</v>
      </c>
    </row>
    <row r="6557" spans="18:21" x14ac:dyDescent="0.2">
      <c r="R6557" s="49">
        <v>6555</v>
      </c>
      <c r="S6557" s="59">
        <f ca="1">Dashboard!B$8* Dashboard!$F$4+Dashboard!B$10*SQRT(Dashboard!$F$4) * _xlfn.NORM.S.INV(RAND())</f>
        <v>4.3813214888513946E-2</v>
      </c>
      <c r="T6557" s="59">
        <f ca="1">Dashboard!C$8* Dashboard!$F$4+Dashboard!C$10*SQRT(Dashboard!$F$4) * _xlfn.NORM.S.INV(RAND())</f>
        <v>8.7994945151845493E-3</v>
      </c>
      <c r="U6557" s="59">
        <f ca="1">Dashboard!D$8* Dashboard!$F$4+Dashboard!D$10*SQRT(Dashboard!$F$4) * _xlfn.NORM.S.INV(RAND())</f>
        <v>-4.1187250658937229E-3</v>
      </c>
    </row>
    <row r="6558" spans="18:21" x14ac:dyDescent="0.2">
      <c r="R6558" s="49">
        <v>6556</v>
      </c>
      <c r="S6558" s="59">
        <f ca="1">Dashboard!B$8* Dashboard!$F$4+Dashboard!B$10*SQRT(Dashboard!$F$4) * _xlfn.NORM.S.INV(RAND())</f>
        <v>-1.6038436205401164E-2</v>
      </c>
      <c r="T6558" s="59">
        <f ca="1">Dashboard!C$8* Dashboard!$F$4+Dashboard!C$10*SQRT(Dashboard!$F$4) * _xlfn.NORM.S.INV(RAND())</f>
        <v>3.8046188001923968E-3</v>
      </c>
      <c r="U6558" s="59">
        <f ca="1">Dashboard!D$8* Dashboard!$F$4+Dashboard!D$10*SQRT(Dashboard!$F$4) * _xlfn.NORM.S.INV(RAND())</f>
        <v>2.3877721880389238E-2</v>
      </c>
    </row>
    <row r="6559" spans="18:21" x14ac:dyDescent="0.2">
      <c r="R6559" s="49">
        <v>6557</v>
      </c>
      <c r="S6559" s="59">
        <f ca="1">Dashboard!B$8* Dashboard!$F$4+Dashboard!B$10*SQRT(Dashboard!$F$4) * _xlfn.NORM.S.INV(RAND())</f>
        <v>-1.0669544748949872E-3</v>
      </c>
      <c r="T6559" s="59">
        <f ca="1">Dashboard!C$8* Dashboard!$F$4+Dashboard!C$10*SQRT(Dashboard!$F$4) * _xlfn.NORM.S.INV(RAND())</f>
        <v>3.1787863487020986E-2</v>
      </c>
      <c r="U6559" s="59">
        <f ca="1">Dashboard!D$8* Dashboard!$F$4+Dashboard!D$10*SQRT(Dashboard!$F$4) * _xlfn.NORM.S.INV(RAND())</f>
        <v>2.614761277035078E-2</v>
      </c>
    </row>
    <row r="6560" spans="18:21" x14ac:dyDescent="0.2">
      <c r="R6560" s="49">
        <v>6558</v>
      </c>
      <c r="S6560" s="59">
        <f ca="1">Dashboard!B$8* Dashboard!$F$4+Dashboard!B$10*SQRT(Dashboard!$F$4) * _xlfn.NORM.S.INV(RAND())</f>
        <v>2.3762034995728272E-2</v>
      </c>
      <c r="T6560" s="59">
        <f ca="1">Dashboard!C$8* Dashboard!$F$4+Dashboard!C$10*SQRT(Dashboard!$F$4) * _xlfn.NORM.S.INV(RAND())</f>
        <v>1.2925978658501522E-2</v>
      </c>
      <c r="U6560" s="59">
        <f ca="1">Dashboard!D$8* Dashboard!$F$4+Dashboard!D$10*SQRT(Dashboard!$F$4) * _xlfn.NORM.S.INV(RAND())</f>
        <v>-2.6576356452337954E-2</v>
      </c>
    </row>
    <row r="6561" spans="18:21" x14ac:dyDescent="0.2">
      <c r="R6561" s="49">
        <v>6559</v>
      </c>
      <c r="S6561" s="59">
        <f ca="1">Dashboard!B$8* Dashboard!$F$4+Dashboard!B$10*SQRT(Dashboard!$F$4) * _xlfn.NORM.S.INV(RAND())</f>
        <v>-4.7050643596598957E-3</v>
      </c>
      <c r="T6561" s="59">
        <f ca="1">Dashboard!C$8* Dashboard!$F$4+Dashboard!C$10*SQRT(Dashboard!$F$4) * _xlfn.NORM.S.INV(RAND())</f>
        <v>4.8075982583163403E-3</v>
      </c>
      <c r="U6561" s="59">
        <f ca="1">Dashboard!D$8* Dashboard!$F$4+Dashboard!D$10*SQRT(Dashboard!$F$4) * _xlfn.NORM.S.INV(RAND())</f>
        <v>1.1978553229606692E-2</v>
      </c>
    </row>
    <row r="6562" spans="18:21" x14ac:dyDescent="0.2">
      <c r="R6562" s="49">
        <v>6560</v>
      </c>
      <c r="S6562" s="59">
        <f ca="1">Dashboard!B$8* Dashboard!$F$4+Dashboard!B$10*SQRT(Dashboard!$F$4) * _xlfn.NORM.S.INV(RAND())</f>
        <v>-1.5763806931368359E-2</v>
      </c>
      <c r="T6562" s="59">
        <f ca="1">Dashboard!C$8* Dashboard!$F$4+Dashboard!C$10*SQRT(Dashboard!$F$4) * _xlfn.NORM.S.INV(RAND())</f>
        <v>-3.3526781185531748E-2</v>
      </c>
      <c r="U6562" s="59">
        <f ca="1">Dashboard!D$8* Dashboard!$F$4+Dashboard!D$10*SQRT(Dashboard!$F$4) * _xlfn.NORM.S.INV(RAND())</f>
        <v>-8.6765127072450324E-3</v>
      </c>
    </row>
    <row r="6563" spans="18:21" x14ac:dyDescent="0.2">
      <c r="R6563" s="49">
        <v>6561</v>
      </c>
      <c r="S6563" s="59">
        <f ca="1">Dashboard!B$8* Dashboard!$F$4+Dashboard!B$10*SQRT(Dashboard!$F$4) * _xlfn.NORM.S.INV(RAND())</f>
        <v>-1.7758667661061739E-2</v>
      </c>
      <c r="T6563" s="59">
        <f ca="1">Dashboard!C$8* Dashboard!$F$4+Dashboard!C$10*SQRT(Dashboard!$F$4) * _xlfn.NORM.S.INV(RAND())</f>
        <v>1.9529489989269667E-2</v>
      </c>
      <c r="U6563" s="59">
        <f ca="1">Dashboard!D$8* Dashboard!$F$4+Dashboard!D$10*SQRT(Dashboard!$F$4) * _xlfn.NORM.S.INV(RAND())</f>
        <v>-1.5766341076396878E-2</v>
      </c>
    </row>
    <row r="6564" spans="18:21" x14ac:dyDescent="0.2">
      <c r="R6564" s="49">
        <v>6562</v>
      </c>
      <c r="S6564" s="59">
        <f ca="1">Dashboard!B$8* Dashboard!$F$4+Dashboard!B$10*SQRT(Dashboard!$F$4) * _xlfn.NORM.S.INV(RAND())</f>
        <v>-1.2582818274320317E-2</v>
      </c>
      <c r="T6564" s="59">
        <f ca="1">Dashboard!C$8* Dashboard!$F$4+Dashboard!C$10*SQRT(Dashboard!$F$4) * _xlfn.NORM.S.INV(RAND())</f>
        <v>-5.4403625135932519E-2</v>
      </c>
      <c r="U6564" s="59">
        <f ca="1">Dashboard!D$8* Dashboard!$F$4+Dashboard!D$10*SQRT(Dashboard!$F$4) * _xlfn.NORM.S.INV(RAND())</f>
        <v>-1.9722215116187866E-2</v>
      </c>
    </row>
    <row r="6565" spans="18:21" x14ac:dyDescent="0.2">
      <c r="R6565" s="49">
        <v>6563</v>
      </c>
      <c r="S6565" s="59">
        <f ca="1">Dashboard!B$8* Dashboard!$F$4+Dashboard!B$10*SQRT(Dashboard!$F$4) * _xlfn.NORM.S.INV(RAND())</f>
        <v>1.255548401230207E-2</v>
      </c>
      <c r="T6565" s="59">
        <f ca="1">Dashboard!C$8* Dashboard!$F$4+Dashboard!C$10*SQRT(Dashboard!$F$4) * _xlfn.NORM.S.INV(RAND())</f>
        <v>1.8202494337383163E-2</v>
      </c>
      <c r="U6565" s="59">
        <f ca="1">Dashboard!D$8* Dashboard!$F$4+Dashboard!D$10*SQRT(Dashboard!$F$4) * _xlfn.NORM.S.INV(RAND())</f>
        <v>-4.5176210217122001E-3</v>
      </c>
    </row>
    <row r="6566" spans="18:21" x14ac:dyDescent="0.2">
      <c r="R6566" s="49">
        <v>6564</v>
      </c>
      <c r="S6566" s="59">
        <f ca="1">Dashboard!B$8* Dashboard!$F$4+Dashboard!B$10*SQRT(Dashboard!$F$4) * _xlfn.NORM.S.INV(RAND())</f>
        <v>2.9596194892664275E-2</v>
      </c>
      <c r="T6566" s="59">
        <f ca="1">Dashboard!C$8* Dashboard!$F$4+Dashboard!C$10*SQRT(Dashboard!$F$4) * _xlfn.NORM.S.INV(RAND())</f>
        <v>2.0959268593761356E-2</v>
      </c>
      <c r="U6566" s="59">
        <f ca="1">Dashboard!D$8* Dashboard!$F$4+Dashboard!D$10*SQRT(Dashboard!$F$4) * _xlfn.NORM.S.INV(RAND())</f>
        <v>-2.5292121109951937E-2</v>
      </c>
    </row>
    <row r="6567" spans="18:21" x14ac:dyDescent="0.2">
      <c r="R6567" s="49">
        <v>6565</v>
      </c>
      <c r="S6567" s="59">
        <f ca="1">Dashboard!B$8* Dashboard!$F$4+Dashboard!B$10*SQRT(Dashboard!$F$4) * _xlfn.NORM.S.INV(RAND())</f>
        <v>1.373595055257631E-2</v>
      </c>
      <c r="T6567" s="59">
        <f ca="1">Dashboard!C$8* Dashboard!$F$4+Dashboard!C$10*SQRT(Dashboard!$F$4) * _xlfn.NORM.S.INV(RAND())</f>
        <v>-1.7456358145260713E-3</v>
      </c>
      <c r="U6567" s="59">
        <f ca="1">Dashboard!D$8* Dashboard!$F$4+Dashboard!D$10*SQRT(Dashboard!$F$4) * _xlfn.NORM.S.INV(RAND())</f>
        <v>2.271464186699745E-2</v>
      </c>
    </row>
    <row r="6568" spans="18:21" x14ac:dyDescent="0.2">
      <c r="R6568" s="49">
        <v>6566</v>
      </c>
      <c r="S6568" s="59">
        <f ca="1">Dashboard!B$8* Dashboard!$F$4+Dashboard!B$10*SQRT(Dashboard!$F$4) * _xlfn.NORM.S.INV(RAND())</f>
        <v>2.9039860949037412E-2</v>
      </c>
      <c r="T6568" s="59">
        <f ca="1">Dashboard!C$8* Dashboard!$F$4+Dashboard!C$10*SQRT(Dashboard!$F$4) * _xlfn.NORM.S.INV(RAND())</f>
        <v>-3.3816144468809296E-2</v>
      </c>
      <c r="U6568" s="59">
        <f ca="1">Dashboard!D$8* Dashboard!$F$4+Dashboard!D$10*SQRT(Dashboard!$F$4) * _xlfn.NORM.S.INV(RAND())</f>
        <v>-7.2721814068836489E-4</v>
      </c>
    </row>
    <row r="6569" spans="18:21" x14ac:dyDescent="0.2">
      <c r="R6569" s="49">
        <v>6567</v>
      </c>
      <c r="S6569" s="59">
        <f ca="1">Dashboard!B$8* Dashboard!$F$4+Dashboard!B$10*SQRT(Dashboard!$F$4) * _xlfn.NORM.S.INV(RAND())</f>
        <v>-6.6491091449279491E-2</v>
      </c>
      <c r="T6569" s="59">
        <f ca="1">Dashboard!C$8* Dashboard!$F$4+Dashboard!C$10*SQRT(Dashboard!$F$4) * _xlfn.NORM.S.INV(RAND())</f>
        <v>2.9423227159684272E-2</v>
      </c>
      <c r="U6569" s="59">
        <f ca="1">Dashboard!D$8* Dashboard!$F$4+Dashboard!D$10*SQRT(Dashboard!$F$4) * _xlfn.NORM.S.INV(RAND())</f>
        <v>8.0709042071438822E-3</v>
      </c>
    </row>
    <row r="6570" spans="18:21" x14ac:dyDescent="0.2">
      <c r="R6570" s="49">
        <v>6568</v>
      </c>
      <c r="S6570" s="59">
        <f ca="1">Dashboard!B$8* Dashboard!$F$4+Dashboard!B$10*SQRT(Dashboard!$F$4) * _xlfn.NORM.S.INV(RAND())</f>
        <v>-6.635774928505761E-2</v>
      </c>
      <c r="T6570" s="59">
        <f ca="1">Dashboard!C$8* Dashboard!$F$4+Dashboard!C$10*SQRT(Dashboard!$F$4) * _xlfn.NORM.S.INV(RAND())</f>
        <v>1.7919103578997519E-2</v>
      </c>
      <c r="U6570" s="59">
        <f ca="1">Dashboard!D$8* Dashboard!$F$4+Dashboard!D$10*SQRT(Dashboard!$F$4) * _xlfn.NORM.S.INV(RAND())</f>
        <v>2.7189649254947181E-2</v>
      </c>
    </row>
    <row r="6571" spans="18:21" x14ac:dyDescent="0.2">
      <c r="R6571" s="49">
        <v>6569</v>
      </c>
      <c r="S6571" s="59">
        <f ca="1">Dashboard!B$8* Dashboard!$F$4+Dashboard!B$10*SQRT(Dashboard!$F$4) * _xlfn.NORM.S.INV(RAND())</f>
        <v>2.0984406579010489E-2</v>
      </c>
      <c r="T6571" s="59">
        <f ca="1">Dashboard!C$8* Dashboard!$F$4+Dashboard!C$10*SQRT(Dashboard!$F$4) * _xlfn.NORM.S.INV(RAND())</f>
        <v>1.7307199054561261E-2</v>
      </c>
      <c r="U6571" s="59">
        <f ca="1">Dashboard!D$8* Dashboard!$F$4+Dashboard!D$10*SQRT(Dashboard!$F$4) * _xlfn.NORM.S.INV(RAND())</f>
        <v>-4.5295370113585226E-2</v>
      </c>
    </row>
    <row r="6572" spans="18:21" x14ac:dyDescent="0.2">
      <c r="R6572" s="49">
        <v>6570</v>
      </c>
      <c r="S6572" s="59">
        <f ca="1">Dashboard!B$8* Dashboard!$F$4+Dashboard!B$10*SQRT(Dashboard!$F$4) * _xlfn.NORM.S.INV(RAND())</f>
        <v>2.0951806502889133E-3</v>
      </c>
      <c r="T6572" s="59">
        <f ca="1">Dashboard!C$8* Dashboard!$F$4+Dashboard!C$10*SQRT(Dashboard!$F$4) * _xlfn.NORM.S.INV(RAND())</f>
        <v>4.7059509495693107E-4</v>
      </c>
      <c r="U6572" s="59">
        <f ca="1">Dashboard!D$8* Dashboard!$F$4+Dashboard!D$10*SQRT(Dashboard!$F$4) * _xlfn.NORM.S.INV(RAND())</f>
        <v>-1.7477670869601451E-2</v>
      </c>
    </row>
    <row r="6573" spans="18:21" x14ac:dyDescent="0.2">
      <c r="R6573" s="49">
        <v>6571</v>
      </c>
      <c r="S6573" s="59">
        <f ca="1">Dashboard!B$8* Dashboard!$F$4+Dashboard!B$10*SQRT(Dashboard!$F$4) * _xlfn.NORM.S.INV(RAND())</f>
        <v>-2.5581493791935653E-2</v>
      </c>
      <c r="T6573" s="59">
        <f ca="1">Dashboard!C$8* Dashboard!$F$4+Dashboard!C$10*SQRT(Dashboard!$F$4) * _xlfn.NORM.S.INV(RAND())</f>
        <v>3.7029584920271481E-2</v>
      </c>
      <c r="U6573" s="59">
        <f ca="1">Dashboard!D$8* Dashboard!$F$4+Dashboard!D$10*SQRT(Dashboard!$F$4) * _xlfn.NORM.S.INV(RAND())</f>
        <v>1.6028814246624067E-2</v>
      </c>
    </row>
    <row r="6574" spans="18:21" x14ac:dyDescent="0.2">
      <c r="R6574" s="49">
        <v>6572</v>
      </c>
      <c r="S6574" s="59">
        <f ca="1">Dashboard!B$8* Dashboard!$F$4+Dashboard!B$10*SQRT(Dashboard!$F$4) * _xlfn.NORM.S.INV(RAND())</f>
        <v>-6.8567076838239368E-3</v>
      </c>
      <c r="T6574" s="59">
        <f ca="1">Dashboard!C$8* Dashboard!$F$4+Dashboard!C$10*SQRT(Dashboard!$F$4) * _xlfn.NORM.S.INV(RAND())</f>
        <v>1.4252472487779437E-2</v>
      </c>
      <c r="U6574" s="59">
        <f ca="1">Dashboard!D$8* Dashboard!$F$4+Dashboard!D$10*SQRT(Dashboard!$F$4) * _xlfn.NORM.S.INV(RAND())</f>
        <v>6.7696311142497037E-2</v>
      </c>
    </row>
    <row r="6575" spans="18:21" x14ac:dyDescent="0.2">
      <c r="R6575" s="49">
        <v>6573</v>
      </c>
      <c r="S6575" s="59">
        <f ca="1">Dashboard!B$8* Dashboard!$F$4+Dashboard!B$10*SQRT(Dashboard!$F$4) * _xlfn.NORM.S.INV(RAND())</f>
        <v>-3.1351719200521613E-2</v>
      </c>
      <c r="T6575" s="59">
        <f ca="1">Dashboard!C$8* Dashboard!$F$4+Dashboard!C$10*SQRT(Dashboard!$F$4) * _xlfn.NORM.S.INV(RAND())</f>
        <v>2.8593945676939268E-2</v>
      </c>
      <c r="U6575" s="59">
        <f ca="1">Dashboard!D$8* Dashboard!$F$4+Dashboard!D$10*SQRT(Dashboard!$F$4) * _xlfn.NORM.S.INV(RAND())</f>
        <v>1.5613693267415921E-2</v>
      </c>
    </row>
    <row r="6576" spans="18:21" x14ac:dyDescent="0.2">
      <c r="R6576" s="49">
        <v>6574</v>
      </c>
      <c r="S6576" s="59">
        <f ca="1">Dashboard!B$8* Dashboard!$F$4+Dashboard!B$10*SQRT(Dashboard!$F$4) * _xlfn.NORM.S.INV(RAND())</f>
        <v>2.7821594472262068E-2</v>
      </c>
      <c r="T6576" s="59">
        <f ca="1">Dashboard!C$8* Dashboard!$F$4+Dashboard!C$10*SQRT(Dashboard!$F$4) * _xlfn.NORM.S.INV(RAND())</f>
        <v>2.0799639518411288E-2</v>
      </c>
      <c r="U6576" s="59">
        <f ca="1">Dashboard!D$8* Dashboard!$F$4+Dashboard!D$10*SQRT(Dashboard!$F$4) * _xlfn.NORM.S.INV(RAND())</f>
        <v>-1.4224778793058624E-2</v>
      </c>
    </row>
    <row r="6577" spans="18:21" x14ac:dyDescent="0.2">
      <c r="R6577" s="49">
        <v>6575</v>
      </c>
      <c r="S6577" s="59">
        <f ca="1">Dashboard!B$8* Dashboard!$F$4+Dashboard!B$10*SQRT(Dashboard!$F$4) * _xlfn.NORM.S.INV(RAND())</f>
        <v>1.0194384311114352E-2</v>
      </c>
      <c r="T6577" s="59">
        <f ca="1">Dashboard!C$8* Dashboard!$F$4+Dashboard!C$10*SQRT(Dashboard!$F$4) * _xlfn.NORM.S.INV(RAND())</f>
        <v>1.2105124852421338E-3</v>
      </c>
      <c r="U6577" s="59">
        <f ca="1">Dashboard!D$8* Dashboard!$F$4+Dashboard!D$10*SQRT(Dashboard!$F$4) * _xlfn.NORM.S.INV(RAND())</f>
        <v>-1.8361151939867459E-3</v>
      </c>
    </row>
    <row r="6578" spans="18:21" x14ac:dyDescent="0.2">
      <c r="R6578" s="49">
        <v>6576</v>
      </c>
      <c r="S6578" s="59">
        <f ca="1">Dashboard!B$8* Dashboard!$F$4+Dashboard!B$10*SQRT(Dashboard!$F$4) * _xlfn.NORM.S.INV(RAND())</f>
        <v>-7.3414705524913783E-3</v>
      </c>
      <c r="T6578" s="59">
        <f ca="1">Dashboard!C$8* Dashboard!$F$4+Dashboard!C$10*SQRT(Dashboard!$F$4) * _xlfn.NORM.S.INV(RAND())</f>
        <v>3.0505322783297015E-2</v>
      </c>
      <c r="U6578" s="59">
        <f ca="1">Dashboard!D$8* Dashboard!$F$4+Dashboard!D$10*SQRT(Dashboard!$F$4) * _xlfn.NORM.S.INV(RAND())</f>
        <v>2.2402531197709283E-2</v>
      </c>
    </row>
    <row r="6579" spans="18:21" x14ac:dyDescent="0.2">
      <c r="R6579" s="49">
        <v>6577</v>
      </c>
      <c r="S6579" s="59">
        <f ca="1">Dashboard!B$8* Dashboard!$F$4+Dashboard!B$10*SQRT(Dashboard!$F$4) * _xlfn.NORM.S.INV(RAND())</f>
        <v>1.8345538664035668E-2</v>
      </c>
      <c r="T6579" s="59">
        <f ca="1">Dashboard!C$8* Dashboard!$F$4+Dashboard!C$10*SQRT(Dashboard!$F$4) * _xlfn.NORM.S.INV(RAND())</f>
        <v>9.2796969413839678E-3</v>
      </c>
      <c r="U6579" s="59">
        <f ca="1">Dashboard!D$8* Dashboard!$F$4+Dashboard!D$10*SQRT(Dashboard!$F$4) * _xlfn.NORM.S.INV(RAND())</f>
        <v>5.4228928874318023E-2</v>
      </c>
    </row>
    <row r="6580" spans="18:21" x14ac:dyDescent="0.2">
      <c r="R6580" s="49">
        <v>6578</v>
      </c>
      <c r="S6580" s="59">
        <f ca="1">Dashboard!B$8* Dashboard!$F$4+Dashboard!B$10*SQRT(Dashboard!$F$4) * _xlfn.NORM.S.INV(RAND())</f>
        <v>-4.8843381850358587E-2</v>
      </c>
      <c r="T6580" s="59">
        <f ca="1">Dashboard!C$8* Dashboard!$F$4+Dashboard!C$10*SQRT(Dashboard!$F$4) * _xlfn.NORM.S.INV(RAND())</f>
        <v>-5.0796934663832116E-2</v>
      </c>
      <c r="U6580" s="59">
        <f ca="1">Dashboard!D$8* Dashboard!$F$4+Dashboard!D$10*SQRT(Dashboard!$F$4) * _xlfn.NORM.S.INV(RAND())</f>
        <v>-1.2114678639321634E-3</v>
      </c>
    </row>
    <row r="6581" spans="18:21" x14ac:dyDescent="0.2">
      <c r="R6581" s="49">
        <v>6579</v>
      </c>
      <c r="S6581" s="59">
        <f ca="1">Dashboard!B$8* Dashboard!$F$4+Dashboard!B$10*SQRT(Dashboard!$F$4) * _xlfn.NORM.S.INV(RAND())</f>
        <v>4.1545299898560172E-2</v>
      </c>
      <c r="T6581" s="59">
        <f ca="1">Dashboard!C$8* Dashboard!$F$4+Dashboard!C$10*SQRT(Dashboard!$F$4) * _xlfn.NORM.S.INV(RAND())</f>
        <v>1.2317901683585061E-2</v>
      </c>
      <c r="U6581" s="59">
        <f ca="1">Dashboard!D$8* Dashboard!$F$4+Dashboard!D$10*SQRT(Dashboard!$F$4) * _xlfn.NORM.S.INV(RAND())</f>
        <v>-1.357815544625871E-2</v>
      </c>
    </row>
    <row r="6582" spans="18:21" x14ac:dyDescent="0.2">
      <c r="R6582" s="49">
        <v>6580</v>
      </c>
      <c r="S6582" s="59">
        <f ca="1">Dashboard!B$8* Dashboard!$F$4+Dashboard!B$10*SQRT(Dashboard!$F$4) * _xlfn.NORM.S.INV(RAND())</f>
        <v>-0.10535059372425043</v>
      </c>
      <c r="T6582" s="59">
        <f ca="1">Dashboard!C$8* Dashboard!$F$4+Dashboard!C$10*SQRT(Dashboard!$F$4) * _xlfn.NORM.S.INV(RAND())</f>
        <v>1.1956994798676575E-2</v>
      </c>
      <c r="U6582" s="59">
        <f ca="1">Dashboard!D$8* Dashboard!$F$4+Dashboard!D$10*SQRT(Dashboard!$F$4) * _xlfn.NORM.S.INV(RAND())</f>
        <v>8.2385869709022119E-2</v>
      </c>
    </row>
    <row r="6583" spans="18:21" x14ac:dyDescent="0.2">
      <c r="R6583" s="49">
        <v>6581</v>
      </c>
      <c r="S6583" s="59">
        <f ca="1">Dashboard!B$8* Dashboard!$F$4+Dashboard!B$10*SQRT(Dashboard!$F$4) * _xlfn.NORM.S.INV(RAND())</f>
        <v>2.707575829583786E-2</v>
      </c>
      <c r="T6583" s="59">
        <f ca="1">Dashboard!C$8* Dashboard!$F$4+Dashboard!C$10*SQRT(Dashboard!$F$4) * _xlfn.NORM.S.INV(RAND())</f>
        <v>-2.5783630542325065E-2</v>
      </c>
      <c r="U6583" s="59">
        <f ca="1">Dashboard!D$8* Dashboard!$F$4+Dashboard!D$10*SQRT(Dashboard!$F$4) * _xlfn.NORM.S.INV(RAND())</f>
        <v>4.0202763773246691E-2</v>
      </c>
    </row>
    <row r="6584" spans="18:21" x14ac:dyDescent="0.2">
      <c r="R6584" s="49">
        <v>6582</v>
      </c>
      <c r="S6584" s="59">
        <f ca="1">Dashboard!B$8* Dashboard!$F$4+Dashboard!B$10*SQRT(Dashboard!$F$4) * _xlfn.NORM.S.INV(RAND())</f>
        <v>-1.8892452044905979E-2</v>
      </c>
      <c r="T6584" s="59">
        <f ca="1">Dashboard!C$8* Dashboard!$F$4+Dashboard!C$10*SQRT(Dashboard!$F$4) * _xlfn.NORM.S.INV(RAND())</f>
        <v>-1.2478472917272856E-2</v>
      </c>
      <c r="U6584" s="59">
        <f ca="1">Dashboard!D$8* Dashboard!$F$4+Dashboard!D$10*SQRT(Dashboard!$F$4) * _xlfn.NORM.S.INV(RAND())</f>
        <v>-1.0439407949315721E-2</v>
      </c>
    </row>
    <row r="6585" spans="18:21" x14ac:dyDescent="0.2">
      <c r="R6585" s="49">
        <v>6583</v>
      </c>
      <c r="S6585" s="59">
        <f ca="1">Dashboard!B$8* Dashboard!$F$4+Dashboard!B$10*SQRT(Dashboard!$F$4) * _xlfn.NORM.S.INV(RAND())</f>
        <v>-1.6557501379194955E-2</v>
      </c>
      <c r="T6585" s="59">
        <f ca="1">Dashboard!C$8* Dashboard!$F$4+Dashboard!C$10*SQRT(Dashboard!$F$4) * _xlfn.NORM.S.INV(RAND())</f>
        <v>3.5840025772732338E-3</v>
      </c>
      <c r="U6585" s="59">
        <f ca="1">Dashboard!D$8* Dashboard!$F$4+Dashboard!D$10*SQRT(Dashboard!$F$4) * _xlfn.NORM.S.INV(RAND())</f>
        <v>-2.9113803184408225E-2</v>
      </c>
    </row>
    <row r="6586" spans="18:21" x14ac:dyDescent="0.2">
      <c r="R6586" s="49">
        <v>6584</v>
      </c>
      <c r="S6586" s="59">
        <f ca="1">Dashboard!B$8* Dashboard!$F$4+Dashboard!B$10*SQRT(Dashboard!$F$4) * _xlfn.NORM.S.INV(RAND())</f>
        <v>3.8292127770213312E-2</v>
      </c>
      <c r="T6586" s="59">
        <f ca="1">Dashboard!C$8* Dashboard!$F$4+Dashboard!C$10*SQRT(Dashboard!$F$4) * _xlfn.NORM.S.INV(RAND())</f>
        <v>-5.0964126614494558E-2</v>
      </c>
      <c r="U6586" s="59">
        <f ca="1">Dashboard!D$8* Dashboard!$F$4+Dashboard!D$10*SQRT(Dashboard!$F$4) * _xlfn.NORM.S.INV(RAND())</f>
        <v>4.8399533868448662E-2</v>
      </c>
    </row>
    <row r="6587" spans="18:21" x14ac:dyDescent="0.2">
      <c r="R6587" s="49">
        <v>6585</v>
      </c>
      <c r="S6587" s="59">
        <f ca="1">Dashboard!B$8* Dashboard!$F$4+Dashboard!B$10*SQRT(Dashboard!$F$4) * _xlfn.NORM.S.INV(RAND())</f>
        <v>-1.6382795935214231E-2</v>
      </c>
      <c r="T6587" s="59">
        <f ca="1">Dashboard!C$8* Dashboard!$F$4+Dashboard!C$10*SQRT(Dashboard!$F$4) * _xlfn.NORM.S.INV(RAND())</f>
        <v>-1.9363582645488386E-2</v>
      </c>
      <c r="U6587" s="59">
        <f ca="1">Dashboard!D$8* Dashboard!$F$4+Dashboard!D$10*SQRT(Dashboard!$F$4) * _xlfn.NORM.S.INV(RAND())</f>
        <v>1.4664130766684574E-2</v>
      </c>
    </row>
    <row r="6588" spans="18:21" x14ac:dyDescent="0.2">
      <c r="R6588" s="49">
        <v>6586</v>
      </c>
      <c r="S6588" s="59">
        <f ca="1">Dashboard!B$8* Dashboard!$F$4+Dashboard!B$10*SQRT(Dashboard!$F$4) * _xlfn.NORM.S.INV(RAND())</f>
        <v>-4.8714274572857746E-3</v>
      </c>
      <c r="T6588" s="59">
        <f ca="1">Dashboard!C$8* Dashboard!$F$4+Dashboard!C$10*SQRT(Dashboard!$F$4) * _xlfn.NORM.S.INV(RAND())</f>
        <v>2.5132379247290962E-2</v>
      </c>
      <c r="U6588" s="59">
        <f ca="1">Dashboard!D$8* Dashboard!$F$4+Dashboard!D$10*SQRT(Dashboard!$F$4) * _xlfn.NORM.S.INV(RAND())</f>
        <v>-7.4457599716788461E-2</v>
      </c>
    </row>
    <row r="6589" spans="18:21" x14ac:dyDescent="0.2">
      <c r="R6589" s="49">
        <v>6587</v>
      </c>
      <c r="S6589" s="59">
        <f ca="1">Dashboard!B$8* Dashboard!$F$4+Dashboard!B$10*SQRT(Dashboard!$F$4) * _xlfn.NORM.S.INV(RAND())</f>
        <v>-4.2209223553959924E-2</v>
      </c>
      <c r="T6589" s="59">
        <f ca="1">Dashboard!C$8* Dashboard!$F$4+Dashboard!C$10*SQRT(Dashboard!$F$4) * _xlfn.NORM.S.INV(RAND())</f>
        <v>6.7830352633902843E-2</v>
      </c>
      <c r="U6589" s="59">
        <f ca="1">Dashboard!D$8* Dashboard!$F$4+Dashboard!D$10*SQRT(Dashboard!$F$4) * _xlfn.NORM.S.INV(RAND())</f>
        <v>5.4840673289034509E-3</v>
      </c>
    </row>
    <row r="6590" spans="18:21" x14ac:dyDescent="0.2">
      <c r="R6590" s="49">
        <v>6588</v>
      </c>
      <c r="S6590" s="59">
        <f ca="1">Dashboard!B$8* Dashboard!$F$4+Dashboard!B$10*SQRT(Dashboard!$F$4) * _xlfn.NORM.S.INV(RAND())</f>
        <v>3.3408741182599573E-2</v>
      </c>
      <c r="T6590" s="59">
        <f ca="1">Dashboard!C$8* Dashboard!$F$4+Dashboard!C$10*SQRT(Dashboard!$F$4) * _xlfn.NORM.S.INV(RAND())</f>
        <v>-9.379302309160896E-2</v>
      </c>
      <c r="U6590" s="59">
        <f ca="1">Dashboard!D$8* Dashboard!$F$4+Dashboard!D$10*SQRT(Dashboard!$F$4) * _xlfn.NORM.S.INV(RAND())</f>
        <v>6.4628698077652105E-2</v>
      </c>
    </row>
    <row r="6591" spans="18:21" x14ac:dyDescent="0.2">
      <c r="R6591" s="49">
        <v>6589</v>
      </c>
      <c r="S6591" s="59">
        <f ca="1">Dashboard!B$8* Dashboard!$F$4+Dashboard!B$10*SQRT(Dashboard!$F$4) * _xlfn.NORM.S.INV(RAND())</f>
        <v>-4.9481228301146749E-2</v>
      </c>
      <c r="T6591" s="59">
        <f ca="1">Dashboard!C$8* Dashboard!$F$4+Dashboard!C$10*SQRT(Dashboard!$F$4) * _xlfn.NORM.S.INV(RAND())</f>
        <v>-1.095625171725868E-2</v>
      </c>
      <c r="U6591" s="59">
        <f ca="1">Dashboard!D$8* Dashboard!$F$4+Dashboard!D$10*SQRT(Dashboard!$F$4) * _xlfn.NORM.S.INV(RAND())</f>
        <v>-4.4127251742154656E-2</v>
      </c>
    </row>
    <row r="6592" spans="18:21" x14ac:dyDescent="0.2">
      <c r="R6592" s="49">
        <v>6590</v>
      </c>
      <c r="S6592" s="59">
        <f ca="1">Dashboard!B$8* Dashboard!$F$4+Dashboard!B$10*SQRT(Dashboard!$F$4) * _xlfn.NORM.S.INV(RAND())</f>
        <v>-5.0250944740096636E-2</v>
      </c>
      <c r="T6592" s="59">
        <f ca="1">Dashboard!C$8* Dashboard!$F$4+Dashboard!C$10*SQRT(Dashboard!$F$4) * _xlfn.NORM.S.INV(RAND())</f>
        <v>-1.7807053009427929E-3</v>
      </c>
      <c r="U6592" s="59">
        <f ca="1">Dashboard!D$8* Dashboard!$F$4+Dashboard!D$10*SQRT(Dashboard!$F$4) * _xlfn.NORM.S.INV(RAND())</f>
        <v>2.6559717869564951E-2</v>
      </c>
    </row>
    <row r="6593" spans="18:21" x14ac:dyDescent="0.2">
      <c r="R6593" s="49">
        <v>6591</v>
      </c>
      <c r="S6593" s="59">
        <f ca="1">Dashboard!B$8* Dashboard!$F$4+Dashboard!B$10*SQRT(Dashboard!$F$4) * _xlfn.NORM.S.INV(RAND())</f>
        <v>4.3278872948196455E-2</v>
      </c>
      <c r="T6593" s="59">
        <f ca="1">Dashboard!C$8* Dashboard!$F$4+Dashboard!C$10*SQRT(Dashboard!$F$4) * _xlfn.NORM.S.INV(RAND())</f>
        <v>-1.6963946256067983E-2</v>
      </c>
      <c r="U6593" s="59">
        <f ca="1">Dashboard!D$8* Dashboard!$F$4+Dashboard!D$10*SQRT(Dashboard!$F$4) * _xlfn.NORM.S.INV(RAND())</f>
        <v>-2.9321328326961025E-2</v>
      </c>
    </row>
    <row r="6594" spans="18:21" x14ac:dyDescent="0.2">
      <c r="R6594" s="49">
        <v>6592</v>
      </c>
      <c r="S6594" s="59">
        <f ca="1">Dashboard!B$8* Dashboard!$F$4+Dashboard!B$10*SQRT(Dashboard!$F$4) * _xlfn.NORM.S.INV(RAND())</f>
        <v>4.0836651962062417E-2</v>
      </c>
      <c r="T6594" s="59">
        <f ca="1">Dashboard!C$8* Dashboard!$F$4+Dashboard!C$10*SQRT(Dashboard!$F$4) * _xlfn.NORM.S.INV(RAND())</f>
        <v>7.2444765100301817E-2</v>
      </c>
      <c r="U6594" s="59">
        <f ca="1">Dashboard!D$8* Dashboard!$F$4+Dashboard!D$10*SQRT(Dashboard!$F$4) * _xlfn.NORM.S.INV(RAND())</f>
        <v>2.6278274507792243E-2</v>
      </c>
    </row>
    <row r="6595" spans="18:21" x14ac:dyDescent="0.2">
      <c r="R6595" s="49">
        <v>6593</v>
      </c>
      <c r="S6595" s="59">
        <f ca="1">Dashboard!B$8* Dashboard!$F$4+Dashboard!B$10*SQRT(Dashboard!$F$4) * _xlfn.NORM.S.INV(RAND())</f>
        <v>-3.2734877428347978E-2</v>
      </c>
      <c r="T6595" s="59">
        <f ca="1">Dashboard!C$8* Dashboard!$F$4+Dashboard!C$10*SQRT(Dashboard!$F$4) * _xlfn.NORM.S.INV(RAND())</f>
        <v>-1.4011338003929046E-2</v>
      </c>
      <c r="U6595" s="59">
        <f ca="1">Dashboard!D$8* Dashboard!$F$4+Dashboard!D$10*SQRT(Dashboard!$F$4) * _xlfn.NORM.S.INV(RAND())</f>
        <v>2.1865736985708806E-3</v>
      </c>
    </row>
    <row r="6596" spans="18:21" x14ac:dyDescent="0.2">
      <c r="R6596" s="49">
        <v>6594</v>
      </c>
      <c r="S6596" s="59">
        <f ca="1">Dashboard!B$8* Dashboard!$F$4+Dashboard!B$10*SQRT(Dashboard!$F$4) * _xlfn.NORM.S.INV(RAND())</f>
        <v>2.6665218301785372E-2</v>
      </c>
      <c r="T6596" s="59">
        <f ca="1">Dashboard!C$8* Dashboard!$F$4+Dashboard!C$10*SQRT(Dashboard!$F$4) * _xlfn.NORM.S.INV(RAND())</f>
        <v>6.3366038615019923E-2</v>
      </c>
      <c r="U6596" s="59">
        <f ca="1">Dashboard!D$8* Dashboard!$F$4+Dashboard!D$10*SQRT(Dashboard!$F$4) * _xlfn.NORM.S.INV(RAND())</f>
        <v>-1.9715803525229576E-2</v>
      </c>
    </row>
    <row r="6597" spans="18:21" x14ac:dyDescent="0.2">
      <c r="R6597" s="49">
        <v>6595</v>
      </c>
      <c r="S6597" s="59">
        <f ca="1">Dashboard!B$8* Dashboard!$F$4+Dashboard!B$10*SQRT(Dashboard!$F$4) * _xlfn.NORM.S.INV(RAND())</f>
        <v>-1.1070156245584911E-3</v>
      </c>
      <c r="T6597" s="59">
        <f ca="1">Dashboard!C$8* Dashboard!$F$4+Dashboard!C$10*SQRT(Dashboard!$F$4) * _xlfn.NORM.S.INV(RAND())</f>
        <v>3.2893905315449952E-2</v>
      </c>
      <c r="U6597" s="59">
        <f ca="1">Dashboard!D$8* Dashboard!$F$4+Dashboard!D$10*SQRT(Dashboard!$F$4) * _xlfn.NORM.S.INV(RAND())</f>
        <v>9.5291858678663594E-3</v>
      </c>
    </row>
    <row r="6598" spans="18:21" x14ac:dyDescent="0.2">
      <c r="R6598" s="49">
        <v>6596</v>
      </c>
      <c r="S6598" s="59">
        <f ca="1">Dashboard!B$8* Dashboard!$F$4+Dashboard!B$10*SQRT(Dashboard!$F$4) * _xlfn.NORM.S.INV(RAND())</f>
        <v>3.0922270896484583E-2</v>
      </c>
      <c r="T6598" s="59">
        <f ca="1">Dashboard!C$8* Dashboard!$F$4+Dashboard!C$10*SQRT(Dashboard!$F$4) * _xlfn.NORM.S.INV(RAND())</f>
        <v>-4.4032352466136862E-2</v>
      </c>
      <c r="U6598" s="59">
        <f ca="1">Dashboard!D$8* Dashboard!$F$4+Dashboard!D$10*SQRT(Dashboard!$F$4) * _xlfn.NORM.S.INV(RAND())</f>
        <v>-6.7421554843282702E-2</v>
      </c>
    </row>
    <row r="6599" spans="18:21" x14ac:dyDescent="0.2">
      <c r="R6599" s="49">
        <v>6597</v>
      </c>
      <c r="S6599" s="59">
        <f ca="1">Dashboard!B$8* Dashboard!$F$4+Dashboard!B$10*SQRT(Dashboard!$F$4) * _xlfn.NORM.S.INV(RAND())</f>
        <v>-5.0322178214753498E-3</v>
      </c>
      <c r="T6599" s="59">
        <f ca="1">Dashboard!C$8* Dashboard!$F$4+Dashboard!C$10*SQRT(Dashboard!$F$4) * _xlfn.NORM.S.INV(RAND())</f>
        <v>4.1437459678721499E-2</v>
      </c>
      <c r="U6599" s="59">
        <f ca="1">Dashboard!D$8* Dashboard!$F$4+Dashboard!D$10*SQRT(Dashboard!$F$4) * _xlfn.NORM.S.INV(RAND())</f>
        <v>2.1161448716239619E-2</v>
      </c>
    </row>
    <row r="6600" spans="18:21" x14ac:dyDescent="0.2">
      <c r="R6600" s="49">
        <v>6598</v>
      </c>
      <c r="S6600" s="59">
        <f ca="1">Dashboard!B$8* Dashboard!$F$4+Dashboard!B$10*SQRT(Dashboard!$F$4) * _xlfn.NORM.S.INV(RAND())</f>
        <v>1.0881551426292314E-2</v>
      </c>
      <c r="T6600" s="59">
        <f ca="1">Dashboard!C$8* Dashboard!$F$4+Dashboard!C$10*SQRT(Dashboard!$F$4) * _xlfn.NORM.S.INV(RAND())</f>
        <v>-7.474102268524214E-3</v>
      </c>
      <c r="U6600" s="59">
        <f ca="1">Dashboard!D$8* Dashboard!$F$4+Dashboard!D$10*SQRT(Dashboard!$F$4) * _xlfn.NORM.S.INV(RAND())</f>
        <v>5.3292318501921565E-3</v>
      </c>
    </row>
    <row r="6601" spans="18:21" x14ac:dyDescent="0.2">
      <c r="R6601" s="49">
        <v>6599</v>
      </c>
      <c r="S6601" s="59">
        <f ca="1">Dashboard!B$8* Dashboard!$F$4+Dashboard!B$10*SQRT(Dashboard!$F$4) * _xlfn.NORM.S.INV(RAND())</f>
        <v>1.3973107705921592E-2</v>
      </c>
      <c r="T6601" s="59">
        <f ca="1">Dashboard!C$8* Dashboard!$F$4+Dashboard!C$10*SQRT(Dashboard!$F$4) * _xlfn.NORM.S.INV(RAND())</f>
        <v>8.3848714532532842E-3</v>
      </c>
      <c r="U6601" s="59">
        <f ca="1">Dashboard!D$8* Dashboard!$F$4+Dashboard!D$10*SQRT(Dashboard!$F$4) * _xlfn.NORM.S.INV(RAND())</f>
        <v>-6.6675270560129446E-4</v>
      </c>
    </row>
    <row r="6602" spans="18:21" x14ac:dyDescent="0.2">
      <c r="R6602" s="49">
        <v>6600</v>
      </c>
      <c r="S6602" s="59">
        <f ca="1">Dashboard!B$8* Dashboard!$F$4+Dashboard!B$10*SQRT(Dashboard!$F$4) * _xlfn.NORM.S.INV(RAND())</f>
        <v>-6.4824067691653109E-2</v>
      </c>
      <c r="T6602" s="59">
        <f ca="1">Dashboard!C$8* Dashboard!$F$4+Dashboard!C$10*SQRT(Dashboard!$F$4) * _xlfn.NORM.S.INV(RAND())</f>
        <v>-1.083678008792777E-2</v>
      </c>
      <c r="U6602" s="59">
        <f ca="1">Dashboard!D$8* Dashboard!$F$4+Dashboard!D$10*SQRT(Dashboard!$F$4) * _xlfn.NORM.S.INV(RAND())</f>
        <v>-2.1815004674356021E-2</v>
      </c>
    </row>
    <row r="6603" spans="18:21" x14ac:dyDescent="0.2">
      <c r="R6603" s="49">
        <v>6601</v>
      </c>
      <c r="S6603" s="59">
        <f ca="1">Dashboard!B$8* Dashboard!$F$4+Dashboard!B$10*SQRT(Dashboard!$F$4) * _xlfn.NORM.S.INV(RAND())</f>
        <v>1.3337718146748811E-2</v>
      </c>
      <c r="T6603" s="59">
        <f ca="1">Dashboard!C$8* Dashboard!$F$4+Dashboard!C$10*SQRT(Dashboard!$F$4) * _xlfn.NORM.S.INV(RAND())</f>
        <v>-1.5198717327117091E-2</v>
      </c>
      <c r="U6603" s="59">
        <f ca="1">Dashboard!D$8* Dashboard!$F$4+Dashboard!D$10*SQRT(Dashboard!$F$4) * _xlfn.NORM.S.INV(RAND())</f>
        <v>4.8774524899997916E-2</v>
      </c>
    </row>
    <row r="6604" spans="18:21" x14ac:dyDescent="0.2">
      <c r="R6604" s="49">
        <v>6602</v>
      </c>
      <c r="S6604" s="59">
        <f ca="1">Dashboard!B$8* Dashboard!$F$4+Dashboard!B$10*SQRT(Dashboard!$F$4) * _xlfn.NORM.S.INV(RAND())</f>
        <v>-2.607358998518703E-2</v>
      </c>
      <c r="T6604" s="59">
        <f ca="1">Dashboard!C$8* Dashboard!$F$4+Dashboard!C$10*SQRT(Dashboard!$F$4) * _xlfn.NORM.S.INV(RAND())</f>
        <v>-2.0094309322973569E-3</v>
      </c>
      <c r="U6604" s="59">
        <f ca="1">Dashboard!D$8* Dashboard!$F$4+Dashboard!D$10*SQRT(Dashboard!$F$4) * _xlfn.NORM.S.INV(RAND())</f>
        <v>-5.4247311556537225E-2</v>
      </c>
    </row>
    <row r="6605" spans="18:21" x14ac:dyDescent="0.2">
      <c r="R6605" s="49">
        <v>6603</v>
      </c>
      <c r="S6605" s="59">
        <f ca="1">Dashboard!B$8* Dashboard!$F$4+Dashboard!B$10*SQRT(Dashboard!$F$4) * _xlfn.NORM.S.INV(RAND())</f>
        <v>-1.2975313526081118E-2</v>
      </c>
      <c r="T6605" s="59">
        <f ca="1">Dashboard!C$8* Dashboard!$F$4+Dashboard!C$10*SQRT(Dashboard!$F$4) * _xlfn.NORM.S.INV(RAND())</f>
        <v>5.538304761110743E-3</v>
      </c>
      <c r="U6605" s="59">
        <f ca="1">Dashboard!D$8* Dashboard!$F$4+Dashboard!D$10*SQRT(Dashboard!$F$4) * _xlfn.NORM.S.INV(RAND())</f>
        <v>5.7220839325813164E-2</v>
      </c>
    </row>
    <row r="6606" spans="18:21" x14ac:dyDescent="0.2">
      <c r="R6606" s="49">
        <v>6604</v>
      </c>
      <c r="S6606" s="59">
        <f ca="1">Dashboard!B$8* Dashboard!$F$4+Dashboard!B$10*SQRT(Dashboard!$F$4) * _xlfn.NORM.S.INV(RAND())</f>
        <v>2.170545683340323E-3</v>
      </c>
      <c r="T6606" s="59">
        <f ca="1">Dashboard!C$8* Dashboard!$F$4+Dashboard!C$10*SQRT(Dashboard!$F$4) * _xlfn.NORM.S.INV(RAND())</f>
        <v>1.4215037124879874E-2</v>
      </c>
      <c r="U6606" s="59">
        <f ca="1">Dashboard!D$8* Dashboard!$F$4+Dashboard!D$10*SQRT(Dashboard!$F$4) * _xlfn.NORM.S.INV(RAND())</f>
        <v>2.5746277481939099E-3</v>
      </c>
    </row>
    <row r="6607" spans="18:21" x14ac:dyDescent="0.2">
      <c r="R6607" s="49">
        <v>6605</v>
      </c>
      <c r="S6607" s="59">
        <f ca="1">Dashboard!B$8* Dashboard!$F$4+Dashboard!B$10*SQRT(Dashboard!$F$4) * _xlfn.NORM.S.INV(RAND())</f>
        <v>1.4463227114141769E-2</v>
      </c>
      <c r="T6607" s="59">
        <f ca="1">Dashboard!C$8* Dashboard!$F$4+Dashboard!C$10*SQRT(Dashboard!$F$4) * _xlfn.NORM.S.INV(RAND())</f>
        <v>-2.4137403181132239E-2</v>
      </c>
      <c r="U6607" s="59">
        <f ca="1">Dashboard!D$8* Dashboard!$F$4+Dashboard!D$10*SQRT(Dashboard!$F$4) * _xlfn.NORM.S.INV(RAND())</f>
        <v>-4.9835788462066051E-2</v>
      </c>
    </row>
    <row r="6608" spans="18:21" x14ac:dyDescent="0.2">
      <c r="R6608" s="49">
        <v>6606</v>
      </c>
      <c r="S6608" s="59">
        <f ca="1">Dashboard!B$8* Dashboard!$F$4+Dashboard!B$10*SQRT(Dashboard!$F$4) * _xlfn.NORM.S.INV(RAND())</f>
        <v>-2.6189827089891732E-2</v>
      </c>
      <c r="T6608" s="59">
        <f ca="1">Dashboard!C$8* Dashboard!$F$4+Dashboard!C$10*SQRT(Dashboard!$F$4) * _xlfn.NORM.S.INV(RAND())</f>
        <v>1.5507638990342291E-2</v>
      </c>
      <c r="U6608" s="59">
        <f ca="1">Dashboard!D$8* Dashboard!$F$4+Dashboard!D$10*SQRT(Dashboard!$F$4) * _xlfn.NORM.S.INV(RAND())</f>
        <v>-4.5335490405686088E-3</v>
      </c>
    </row>
    <row r="6609" spans="18:21" x14ac:dyDescent="0.2">
      <c r="R6609" s="49">
        <v>6607</v>
      </c>
      <c r="S6609" s="59">
        <f ca="1">Dashboard!B$8* Dashboard!$F$4+Dashboard!B$10*SQRT(Dashboard!$F$4) * _xlfn.NORM.S.INV(RAND())</f>
        <v>-3.0079418629559825E-2</v>
      </c>
      <c r="T6609" s="59">
        <f ca="1">Dashboard!C$8* Dashboard!$F$4+Dashboard!C$10*SQRT(Dashboard!$F$4) * _xlfn.NORM.S.INV(RAND())</f>
        <v>-2.0142947566158271E-2</v>
      </c>
      <c r="U6609" s="59">
        <f ca="1">Dashboard!D$8* Dashboard!$F$4+Dashboard!D$10*SQRT(Dashboard!$F$4) * _xlfn.NORM.S.INV(RAND())</f>
        <v>-1.7093890503824696E-4</v>
      </c>
    </row>
    <row r="6610" spans="18:21" x14ac:dyDescent="0.2">
      <c r="R6610" s="49">
        <v>6608</v>
      </c>
      <c r="S6610" s="59">
        <f ca="1">Dashboard!B$8* Dashboard!$F$4+Dashboard!B$10*SQRT(Dashboard!$F$4) * _xlfn.NORM.S.INV(RAND())</f>
        <v>-3.3950284355532392E-2</v>
      </c>
      <c r="T6610" s="59">
        <f ca="1">Dashboard!C$8* Dashboard!$F$4+Dashboard!C$10*SQRT(Dashboard!$F$4) * _xlfn.NORM.S.INV(RAND())</f>
        <v>-4.2139622730303153E-2</v>
      </c>
      <c r="U6610" s="59">
        <f ca="1">Dashboard!D$8* Dashboard!$F$4+Dashboard!D$10*SQRT(Dashboard!$F$4) * _xlfn.NORM.S.INV(RAND())</f>
        <v>-3.0681560915661574E-2</v>
      </c>
    </row>
    <row r="6611" spans="18:21" x14ac:dyDescent="0.2">
      <c r="R6611" s="49">
        <v>6609</v>
      </c>
      <c r="S6611" s="59">
        <f ca="1">Dashboard!B$8* Dashboard!$F$4+Dashboard!B$10*SQRT(Dashboard!$F$4) * _xlfn.NORM.S.INV(RAND())</f>
        <v>-9.1025676772040313E-3</v>
      </c>
      <c r="T6611" s="59">
        <f ca="1">Dashboard!C$8* Dashboard!$F$4+Dashboard!C$10*SQRT(Dashboard!$F$4) * _xlfn.NORM.S.INV(RAND())</f>
        <v>2.0291298158257375E-2</v>
      </c>
      <c r="U6611" s="59">
        <f ca="1">Dashboard!D$8* Dashboard!$F$4+Dashboard!D$10*SQRT(Dashboard!$F$4) * _xlfn.NORM.S.INV(RAND())</f>
        <v>-1.7181845397459958E-2</v>
      </c>
    </row>
    <row r="6612" spans="18:21" x14ac:dyDescent="0.2">
      <c r="R6612" s="49">
        <v>6610</v>
      </c>
      <c r="S6612" s="59">
        <f ca="1">Dashboard!B$8* Dashboard!$F$4+Dashboard!B$10*SQRT(Dashboard!$F$4) * _xlfn.NORM.S.INV(RAND())</f>
        <v>-3.1209856468381515E-2</v>
      </c>
      <c r="T6612" s="59">
        <f ca="1">Dashboard!C$8* Dashboard!$F$4+Dashboard!C$10*SQRT(Dashboard!$F$4) * _xlfn.NORM.S.INV(RAND())</f>
        <v>3.7133732415052475E-3</v>
      </c>
      <c r="U6612" s="59">
        <f ca="1">Dashboard!D$8* Dashboard!$F$4+Dashboard!D$10*SQRT(Dashboard!$F$4) * _xlfn.NORM.S.INV(RAND())</f>
        <v>-1.2108430496443076E-2</v>
      </c>
    </row>
    <row r="6613" spans="18:21" x14ac:dyDescent="0.2">
      <c r="R6613" s="49">
        <v>6611</v>
      </c>
      <c r="S6613" s="59">
        <f ca="1">Dashboard!B$8* Dashboard!$F$4+Dashboard!B$10*SQRT(Dashboard!$F$4) * _xlfn.NORM.S.INV(RAND())</f>
        <v>-7.4695602853475963E-3</v>
      </c>
      <c r="T6613" s="59">
        <f ca="1">Dashboard!C$8* Dashboard!$F$4+Dashboard!C$10*SQRT(Dashboard!$F$4) * _xlfn.NORM.S.INV(RAND())</f>
        <v>-2.7071062338305165E-2</v>
      </c>
      <c r="U6613" s="59">
        <f ca="1">Dashboard!D$8* Dashboard!$F$4+Dashboard!D$10*SQRT(Dashboard!$F$4) * _xlfn.NORM.S.INV(RAND())</f>
        <v>-2.4142096653349848E-2</v>
      </c>
    </row>
    <row r="6614" spans="18:21" x14ac:dyDescent="0.2">
      <c r="R6614" s="49">
        <v>6612</v>
      </c>
      <c r="S6614" s="59">
        <f ca="1">Dashboard!B$8* Dashboard!$F$4+Dashboard!B$10*SQRT(Dashboard!$F$4) * _xlfn.NORM.S.INV(RAND())</f>
        <v>-1.4554580414078585E-2</v>
      </c>
      <c r="T6614" s="59">
        <f ca="1">Dashboard!C$8* Dashboard!$F$4+Dashboard!C$10*SQRT(Dashboard!$F$4) * _xlfn.NORM.S.INV(RAND())</f>
        <v>1.5600944383883864E-2</v>
      </c>
      <c r="U6614" s="59">
        <f ca="1">Dashboard!D$8* Dashboard!$F$4+Dashboard!D$10*SQRT(Dashboard!$F$4) * _xlfn.NORM.S.INV(RAND())</f>
        <v>2.5522743147862381E-3</v>
      </c>
    </row>
    <row r="6615" spans="18:21" x14ac:dyDescent="0.2">
      <c r="R6615" s="49">
        <v>6613</v>
      </c>
      <c r="S6615" s="59">
        <f ca="1">Dashboard!B$8* Dashboard!$F$4+Dashboard!B$10*SQRT(Dashboard!$F$4) * _xlfn.NORM.S.INV(RAND())</f>
        <v>-4.3502608903095187E-2</v>
      </c>
      <c r="T6615" s="59">
        <f ca="1">Dashboard!C$8* Dashboard!$F$4+Dashboard!C$10*SQRT(Dashboard!$F$4) * _xlfn.NORM.S.INV(RAND())</f>
        <v>4.4214178530664838E-2</v>
      </c>
      <c r="U6615" s="59">
        <f ca="1">Dashboard!D$8* Dashboard!$F$4+Dashboard!D$10*SQRT(Dashboard!$F$4) * _xlfn.NORM.S.INV(RAND())</f>
        <v>-7.1214820796744113E-3</v>
      </c>
    </row>
    <row r="6616" spans="18:21" x14ac:dyDescent="0.2">
      <c r="R6616" s="49">
        <v>6614</v>
      </c>
      <c r="S6616" s="59">
        <f ca="1">Dashboard!B$8* Dashboard!$F$4+Dashboard!B$10*SQRT(Dashboard!$F$4) * _xlfn.NORM.S.INV(RAND())</f>
        <v>1.3568073165845138E-2</v>
      </c>
      <c r="T6616" s="59">
        <f ca="1">Dashboard!C$8* Dashboard!$F$4+Dashboard!C$10*SQRT(Dashboard!$F$4) * _xlfn.NORM.S.INV(RAND())</f>
        <v>-9.6807805079510492E-3</v>
      </c>
      <c r="U6616" s="59">
        <f ca="1">Dashboard!D$8* Dashboard!$F$4+Dashboard!D$10*SQRT(Dashboard!$F$4) * _xlfn.NORM.S.INV(RAND())</f>
        <v>2.3939928961813912E-2</v>
      </c>
    </row>
    <row r="6617" spans="18:21" x14ac:dyDescent="0.2">
      <c r="R6617" s="49">
        <v>6615</v>
      </c>
      <c r="S6617" s="59">
        <f ca="1">Dashboard!B$8* Dashboard!$F$4+Dashboard!B$10*SQRT(Dashboard!$F$4) * _xlfn.NORM.S.INV(RAND())</f>
        <v>-4.9226026893358477E-2</v>
      </c>
      <c r="T6617" s="59">
        <f ca="1">Dashboard!C$8* Dashboard!$F$4+Dashboard!C$10*SQRT(Dashboard!$F$4) * _xlfn.NORM.S.INV(RAND())</f>
        <v>4.2152819617685452E-2</v>
      </c>
      <c r="U6617" s="59">
        <f ca="1">Dashboard!D$8* Dashboard!$F$4+Dashboard!D$10*SQRT(Dashboard!$F$4) * _xlfn.NORM.S.INV(RAND())</f>
        <v>-4.0840404005129758E-3</v>
      </c>
    </row>
    <row r="6618" spans="18:21" x14ac:dyDescent="0.2">
      <c r="R6618" s="49">
        <v>6616</v>
      </c>
      <c r="S6618" s="59">
        <f ca="1">Dashboard!B$8* Dashboard!$F$4+Dashboard!B$10*SQRT(Dashboard!$F$4) * _xlfn.NORM.S.INV(RAND())</f>
        <v>9.3276461993628632E-4</v>
      </c>
      <c r="T6618" s="59">
        <f ca="1">Dashboard!C$8* Dashboard!$F$4+Dashboard!C$10*SQRT(Dashboard!$F$4) * _xlfn.NORM.S.INV(RAND())</f>
        <v>-2.5356655753679291E-2</v>
      </c>
      <c r="U6618" s="59">
        <f ca="1">Dashboard!D$8* Dashboard!$F$4+Dashboard!D$10*SQRT(Dashboard!$F$4) * _xlfn.NORM.S.INV(RAND())</f>
        <v>4.4804756366539543E-2</v>
      </c>
    </row>
    <row r="6619" spans="18:21" x14ac:dyDescent="0.2">
      <c r="R6619" s="49">
        <v>6617</v>
      </c>
      <c r="S6619" s="59">
        <f ca="1">Dashboard!B$8* Dashboard!$F$4+Dashboard!B$10*SQRT(Dashboard!$F$4) * _xlfn.NORM.S.INV(RAND())</f>
        <v>1.1785848818890379E-2</v>
      </c>
      <c r="T6619" s="59">
        <f ca="1">Dashboard!C$8* Dashboard!$F$4+Dashboard!C$10*SQRT(Dashboard!$F$4) * _xlfn.NORM.S.INV(RAND())</f>
        <v>1.1546345805173313E-2</v>
      </c>
      <c r="U6619" s="59">
        <f ca="1">Dashboard!D$8* Dashboard!$F$4+Dashboard!D$10*SQRT(Dashboard!$F$4) * _xlfn.NORM.S.INV(RAND())</f>
        <v>2.0086167909957403E-2</v>
      </c>
    </row>
    <row r="6620" spans="18:21" x14ac:dyDescent="0.2">
      <c r="R6620" s="49">
        <v>6618</v>
      </c>
      <c r="S6620" s="59">
        <f ca="1">Dashboard!B$8* Dashboard!$F$4+Dashboard!B$10*SQRT(Dashboard!$F$4) * _xlfn.NORM.S.INV(RAND())</f>
        <v>2.4466239294328097E-2</v>
      </c>
      <c r="T6620" s="59">
        <f ca="1">Dashboard!C$8* Dashboard!$F$4+Dashboard!C$10*SQRT(Dashboard!$F$4) * _xlfn.NORM.S.INV(RAND())</f>
        <v>3.2323944372311834E-2</v>
      </c>
      <c r="U6620" s="59">
        <f ca="1">Dashboard!D$8* Dashboard!$F$4+Dashboard!D$10*SQRT(Dashboard!$F$4) * _xlfn.NORM.S.INV(RAND())</f>
        <v>-7.6474641532353269E-4</v>
      </c>
    </row>
    <row r="6621" spans="18:21" x14ac:dyDescent="0.2">
      <c r="R6621" s="49">
        <v>6619</v>
      </c>
      <c r="S6621" s="59">
        <f ca="1">Dashboard!B$8* Dashboard!$F$4+Dashboard!B$10*SQRT(Dashboard!$F$4) * _xlfn.NORM.S.INV(RAND())</f>
        <v>-9.2213768698559163E-3</v>
      </c>
      <c r="T6621" s="59">
        <f ca="1">Dashboard!C$8* Dashboard!$F$4+Dashboard!C$10*SQRT(Dashboard!$F$4) * _xlfn.NORM.S.INV(RAND())</f>
        <v>-2.1828956363268114E-2</v>
      </c>
      <c r="U6621" s="59">
        <f ca="1">Dashboard!D$8* Dashboard!$F$4+Dashboard!D$10*SQRT(Dashboard!$F$4) * _xlfn.NORM.S.INV(RAND())</f>
        <v>-4.7639769199178499E-2</v>
      </c>
    </row>
    <row r="6622" spans="18:21" x14ac:dyDescent="0.2">
      <c r="R6622" s="49">
        <v>6620</v>
      </c>
      <c r="S6622" s="59">
        <f ca="1">Dashboard!B$8* Dashboard!$F$4+Dashboard!B$10*SQRT(Dashboard!$F$4) * _xlfn.NORM.S.INV(RAND())</f>
        <v>-3.2657542393397229E-2</v>
      </c>
      <c r="T6622" s="59">
        <f ca="1">Dashboard!C$8* Dashboard!$F$4+Dashboard!C$10*SQRT(Dashboard!$F$4) * _xlfn.NORM.S.INV(RAND())</f>
        <v>-1.718094182483745E-2</v>
      </c>
      <c r="U6622" s="59">
        <f ca="1">Dashboard!D$8* Dashboard!$F$4+Dashboard!D$10*SQRT(Dashboard!$F$4) * _xlfn.NORM.S.INV(RAND())</f>
        <v>2.5309170989038312E-2</v>
      </c>
    </row>
    <row r="6623" spans="18:21" x14ac:dyDescent="0.2">
      <c r="R6623" s="49">
        <v>6621</v>
      </c>
      <c r="S6623" s="59">
        <f ca="1">Dashboard!B$8* Dashboard!$F$4+Dashboard!B$10*SQRT(Dashboard!$F$4) * _xlfn.NORM.S.INV(RAND())</f>
        <v>4.5461782665498197E-2</v>
      </c>
      <c r="T6623" s="59">
        <f ca="1">Dashboard!C$8* Dashboard!$F$4+Dashboard!C$10*SQRT(Dashboard!$F$4) * _xlfn.NORM.S.INV(RAND())</f>
        <v>1.4417078966212107E-2</v>
      </c>
      <c r="U6623" s="59">
        <f ca="1">Dashboard!D$8* Dashboard!$F$4+Dashboard!D$10*SQRT(Dashboard!$F$4) * _xlfn.NORM.S.INV(RAND())</f>
        <v>1.2415136278421441E-2</v>
      </c>
    </row>
    <row r="6624" spans="18:21" x14ac:dyDescent="0.2">
      <c r="R6624" s="49">
        <v>6622</v>
      </c>
      <c r="S6624" s="59">
        <f ca="1">Dashboard!B$8* Dashboard!$F$4+Dashboard!B$10*SQRT(Dashboard!$F$4) * _xlfn.NORM.S.INV(RAND())</f>
        <v>1.2347492357698787E-3</v>
      </c>
      <c r="T6624" s="59">
        <f ca="1">Dashboard!C$8* Dashboard!$F$4+Dashboard!C$10*SQRT(Dashboard!$F$4) * _xlfn.NORM.S.INV(RAND())</f>
        <v>1.2183230886642356E-3</v>
      </c>
      <c r="U6624" s="59">
        <f ca="1">Dashboard!D$8* Dashboard!$F$4+Dashboard!D$10*SQRT(Dashboard!$F$4) * _xlfn.NORM.S.INV(RAND())</f>
        <v>-3.5664419343808214E-2</v>
      </c>
    </row>
    <row r="6625" spans="18:21" x14ac:dyDescent="0.2">
      <c r="R6625" s="49">
        <v>6623</v>
      </c>
      <c r="S6625" s="59">
        <f ca="1">Dashboard!B$8* Dashboard!$F$4+Dashboard!B$10*SQRT(Dashboard!$F$4) * _xlfn.NORM.S.INV(RAND())</f>
        <v>-2.24064689143934E-2</v>
      </c>
      <c r="T6625" s="59">
        <f ca="1">Dashboard!C$8* Dashboard!$F$4+Dashboard!C$10*SQRT(Dashboard!$F$4) * _xlfn.NORM.S.INV(RAND())</f>
        <v>2.5992363858332493E-2</v>
      </c>
      <c r="U6625" s="59">
        <f ca="1">Dashboard!D$8* Dashboard!$F$4+Dashboard!D$10*SQRT(Dashboard!$F$4) * _xlfn.NORM.S.INV(RAND())</f>
        <v>3.925753461374628E-2</v>
      </c>
    </row>
    <row r="6626" spans="18:21" x14ac:dyDescent="0.2">
      <c r="R6626" s="49">
        <v>6624</v>
      </c>
      <c r="S6626" s="59">
        <f ca="1">Dashboard!B$8* Dashboard!$F$4+Dashboard!B$10*SQRT(Dashboard!$F$4) * _xlfn.NORM.S.INV(RAND())</f>
        <v>-1.875605217010487E-2</v>
      </c>
      <c r="T6626" s="59">
        <f ca="1">Dashboard!C$8* Dashboard!$F$4+Dashboard!C$10*SQRT(Dashboard!$F$4) * _xlfn.NORM.S.INV(RAND())</f>
        <v>-2.8676687343026277E-2</v>
      </c>
      <c r="U6626" s="59">
        <f ca="1">Dashboard!D$8* Dashboard!$F$4+Dashboard!D$10*SQRT(Dashboard!$F$4) * _xlfn.NORM.S.INV(RAND())</f>
        <v>-8.3393036808145481E-3</v>
      </c>
    </row>
    <row r="6627" spans="18:21" x14ac:dyDescent="0.2">
      <c r="R6627" s="49">
        <v>6625</v>
      </c>
      <c r="S6627" s="59">
        <f ca="1">Dashboard!B$8* Dashboard!$F$4+Dashboard!B$10*SQRT(Dashboard!$F$4) * _xlfn.NORM.S.INV(RAND())</f>
        <v>-1.0184054666315178E-2</v>
      </c>
      <c r="T6627" s="59">
        <f ca="1">Dashboard!C$8* Dashboard!$F$4+Dashboard!C$10*SQRT(Dashboard!$F$4) * _xlfn.NORM.S.INV(RAND())</f>
        <v>6.0151191445937134E-2</v>
      </c>
      <c r="U6627" s="59">
        <f ca="1">Dashboard!D$8* Dashboard!$F$4+Dashboard!D$10*SQRT(Dashboard!$F$4) * _xlfn.NORM.S.INV(RAND())</f>
        <v>3.9471949495130144E-3</v>
      </c>
    </row>
    <row r="6628" spans="18:21" x14ac:dyDescent="0.2">
      <c r="R6628" s="49">
        <v>6626</v>
      </c>
      <c r="S6628" s="59">
        <f ca="1">Dashboard!B$8* Dashboard!$F$4+Dashboard!B$10*SQRT(Dashboard!$F$4) * _xlfn.NORM.S.INV(RAND())</f>
        <v>1.0424314478334905E-2</v>
      </c>
      <c r="T6628" s="59">
        <f ca="1">Dashboard!C$8* Dashboard!$F$4+Dashboard!C$10*SQRT(Dashboard!$F$4) * _xlfn.NORM.S.INV(RAND())</f>
        <v>-4.3863398099488179E-2</v>
      </c>
      <c r="U6628" s="59">
        <f ca="1">Dashboard!D$8* Dashboard!$F$4+Dashboard!D$10*SQRT(Dashboard!$F$4) * _xlfn.NORM.S.INV(RAND())</f>
        <v>3.1163144778318025E-2</v>
      </c>
    </row>
    <row r="6629" spans="18:21" x14ac:dyDescent="0.2">
      <c r="R6629" s="49">
        <v>6627</v>
      </c>
      <c r="S6629" s="59">
        <f ca="1">Dashboard!B$8* Dashboard!$F$4+Dashboard!B$10*SQRT(Dashboard!$F$4) * _xlfn.NORM.S.INV(RAND())</f>
        <v>5.7846838209555856E-2</v>
      </c>
      <c r="T6629" s="59">
        <f ca="1">Dashboard!C$8* Dashboard!$F$4+Dashboard!C$10*SQRT(Dashboard!$F$4) * _xlfn.NORM.S.INV(RAND())</f>
        <v>-7.4748636764553913E-2</v>
      </c>
      <c r="U6629" s="59">
        <f ca="1">Dashboard!D$8* Dashboard!$F$4+Dashboard!D$10*SQRT(Dashboard!$F$4) * _xlfn.NORM.S.INV(RAND())</f>
        <v>-4.1417365873640206E-2</v>
      </c>
    </row>
    <row r="6630" spans="18:21" x14ac:dyDescent="0.2">
      <c r="R6630" s="49">
        <v>6628</v>
      </c>
      <c r="S6630" s="59">
        <f ca="1">Dashboard!B$8* Dashboard!$F$4+Dashboard!B$10*SQRT(Dashboard!$F$4) * _xlfn.NORM.S.INV(RAND())</f>
        <v>-3.1171811602712228E-2</v>
      </c>
      <c r="T6630" s="59">
        <f ca="1">Dashboard!C$8* Dashboard!$F$4+Dashboard!C$10*SQRT(Dashboard!$F$4) * _xlfn.NORM.S.INV(RAND())</f>
        <v>-2.6901076023002197E-2</v>
      </c>
      <c r="U6630" s="59">
        <f ca="1">Dashboard!D$8* Dashboard!$F$4+Dashboard!D$10*SQRT(Dashboard!$F$4) * _xlfn.NORM.S.INV(RAND())</f>
        <v>-3.3128629157916513E-2</v>
      </c>
    </row>
    <row r="6631" spans="18:21" x14ac:dyDescent="0.2">
      <c r="R6631" s="49">
        <v>6629</v>
      </c>
      <c r="S6631" s="59">
        <f ca="1">Dashboard!B$8* Dashboard!$F$4+Dashboard!B$10*SQRT(Dashboard!$F$4) * _xlfn.NORM.S.INV(RAND())</f>
        <v>3.8263774133326725E-4</v>
      </c>
      <c r="T6631" s="59">
        <f ca="1">Dashboard!C$8* Dashboard!$F$4+Dashboard!C$10*SQRT(Dashboard!$F$4) * _xlfn.NORM.S.INV(RAND())</f>
        <v>6.6852578751169477E-3</v>
      </c>
      <c r="U6631" s="59">
        <f ca="1">Dashboard!D$8* Dashboard!$F$4+Dashboard!D$10*SQRT(Dashboard!$F$4) * _xlfn.NORM.S.INV(RAND())</f>
        <v>-4.2178070619327823E-2</v>
      </c>
    </row>
    <row r="6632" spans="18:21" x14ac:dyDescent="0.2">
      <c r="R6632" s="49">
        <v>6630</v>
      </c>
      <c r="S6632" s="59">
        <f ca="1">Dashboard!B$8* Dashboard!$F$4+Dashboard!B$10*SQRT(Dashboard!$F$4) * _xlfn.NORM.S.INV(RAND())</f>
        <v>5.8589896970921446E-4</v>
      </c>
      <c r="T6632" s="59">
        <f ca="1">Dashboard!C$8* Dashboard!$F$4+Dashboard!C$10*SQRT(Dashboard!$F$4) * _xlfn.NORM.S.INV(RAND())</f>
        <v>3.1759484616291682E-2</v>
      </c>
      <c r="U6632" s="59">
        <f ca="1">Dashboard!D$8* Dashboard!$F$4+Dashboard!D$10*SQRT(Dashboard!$F$4) * _xlfn.NORM.S.INV(RAND())</f>
        <v>2.3254353398263643E-2</v>
      </c>
    </row>
    <row r="6633" spans="18:21" x14ac:dyDescent="0.2">
      <c r="R6633" s="49">
        <v>6631</v>
      </c>
      <c r="S6633" s="59">
        <f ca="1">Dashboard!B$8* Dashboard!$F$4+Dashboard!B$10*SQRT(Dashboard!$F$4) * _xlfn.NORM.S.INV(RAND())</f>
        <v>7.6777839600912084E-3</v>
      </c>
      <c r="T6633" s="59">
        <f ca="1">Dashboard!C$8* Dashboard!$F$4+Dashboard!C$10*SQRT(Dashboard!$F$4) * _xlfn.NORM.S.INV(RAND())</f>
        <v>4.6837512037333502E-2</v>
      </c>
      <c r="U6633" s="59">
        <f ca="1">Dashboard!D$8* Dashboard!$F$4+Dashboard!D$10*SQRT(Dashboard!$F$4) * _xlfn.NORM.S.INV(RAND())</f>
        <v>2.0524764096311938E-2</v>
      </c>
    </row>
    <row r="6634" spans="18:21" x14ac:dyDescent="0.2">
      <c r="R6634" s="49">
        <v>6632</v>
      </c>
      <c r="S6634" s="59">
        <f ca="1">Dashboard!B$8* Dashboard!$F$4+Dashboard!B$10*SQRT(Dashboard!$F$4) * _xlfn.NORM.S.INV(RAND())</f>
        <v>-8.0304757574717021E-3</v>
      </c>
      <c r="T6634" s="59">
        <f ca="1">Dashboard!C$8* Dashboard!$F$4+Dashboard!C$10*SQRT(Dashboard!$F$4) * _xlfn.NORM.S.INV(RAND())</f>
        <v>3.9251489989497811E-2</v>
      </c>
      <c r="U6634" s="59">
        <f ca="1">Dashboard!D$8* Dashboard!$F$4+Dashboard!D$10*SQRT(Dashboard!$F$4) * _xlfn.NORM.S.INV(RAND())</f>
        <v>-4.5880444631454791E-2</v>
      </c>
    </row>
    <row r="6635" spans="18:21" x14ac:dyDescent="0.2">
      <c r="R6635" s="49">
        <v>6633</v>
      </c>
      <c r="S6635" s="59">
        <f ca="1">Dashboard!B$8* Dashboard!$F$4+Dashboard!B$10*SQRT(Dashboard!$F$4) * _xlfn.NORM.S.INV(RAND())</f>
        <v>1.4638866326432754E-2</v>
      </c>
      <c r="T6635" s="59">
        <f ca="1">Dashboard!C$8* Dashboard!$F$4+Dashboard!C$10*SQRT(Dashboard!$F$4) * _xlfn.NORM.S.INV(RAND())</f>
        <v>2.0106378176790538E-2</v>
      </c>
      <c r="U6635" s="59">
        <f ca="1">Dashboard!D$8* Dashboard!$F$4+Dashboard!D$10*SQRT(Dashboard!$F$4) * _xlfn.NORM.S.INV(RAND())</f>
        <v>-2.8503314987260067E-2</v>
      </c>
    </row>
    <row r="6636" spans="18:21" x14ac:dyDescent="0.2">
      <c r="R6636" s="49">
        <v>6634</v>
      </c>
      <c r="S6636" s="59">
        <f ca="1">Dashboard!B$8* Dashboard!$F$4+Dashboard!B$10*SQRT(Dashboard!$F$4) * _xlfn.NORM.S.INV(RAND())</f>
        <v>-3.6567617457106738E-2</v>
      </c>
      <c r="T6636" s="59">
        <f ca="1">Dashboard!C$8* Dashboard!$F$4+Dashboard!C$10*SQRT(Dashboard!$F$4) * _xlfn.NORM.S.INV(RAND())</f>
        <v>2.2811250799824926E-3</v>
      </c>
      <c r="U6636" s="59">
        <f ca="1">Dashboard!D$8* Dashboard!$F$4+Dashboard!D$10*SQRT(Dashboard!$F$4) * _xlfn.NORM.S.INV(RAND())</f>
        <v>3.0206855059928209E-2</v>
      </c>
    </row>
    <row r="6637" spans="18:21" x14ac:dyDescent="0.2">
      <c r="R6637" s="49">
        <v>6635</v>
      </c>
      <c r="S6637" s="59">
        <f ca="1">Dashboard!B$8* Dashboard!$F$4+Dashboard!B$10*SQRT(Dashboard!$F$4) * _xlfn.NORM.S.INV(RAND())</f>
        <v>-8.3624667284215217E-3</v>
      </c>
      <c r="T6637" s="59">
        <f ca="1">Dashboard!C$8* Dashboard!$F$4+Dashboard!C$10*SQRT(Dashboard!$F$4) * _xlfn.NORM.S.INV(RAND())</f>
        <v>7.3174427111497679E-3</v>
      </c>
      <c r="U6637" s="59">
        <f ca="1">Dashboard!D$8* Dashboard!$F$4+Dashboard!D$10*SQRT(Dashboard!$F$4) * _xlfn.NORM.S.INV(RAND())</f>
        <v>-3.1834559392930943E-2</v>
      </c>
    </row>
    <row r="6638" spans="18:21" x14ac:dyDescent="0.2">
      <c r="R6638" s="49">
        <v>6636</v>
      </c>
      <c r="S6638" s="59">
        <f ca="1">Dashboard!B$8* Dashboard!$F$4+Dashboard!B$10*SQRT(Dashboard!$F$4) * _xlfn.NORM.S.INV(RAND())</f>
        <v>5.0741565952799168E-2</v>
      </c>
      <c r="T6638" s="59">
        <f ca="1">Dashboard!C$8* Dashboard!$F$4+Dashboard!C$10*SQRT(Dashboard!$F$4) * _xlfn.NORM.S.INV(RAND())</f>
        <v>4.5925476443880071E-2</v>
      </c>
      <c r="U6638" s="59">
        <f ca="1">Dashboard!D$8* Dashboard!$F$4+Dashboard!D$10*SQRT(Dashboard!$F$4) * _xlfn.NORM.S.INV(RAND())</f>
        <v>-1.9884227857043253E-2</v>
      </c>
    </row>
    <row r="6639" spans="18:21" x14ac:dyDescent="0.2">
      <c r="R6639" s="49">
        <v>6637</v>
      </c>
      <c r="S6639" s="59">
        <f ca="1">Dashboard!B$8* Dashboard!$F$4+Dashboard!B$10*SQRT(Dashboard!$F$4) * _xlfn.NORM.S.INV(RAND())</f>
        <v>7.1506442649453231E-2</v>
      </c>
      <c r="T6639" s="59">
        <f ca="1">Dashboard!C$8* Dashboard!$F$4+Dashboard!C$10*SQRT(Dashboard!$F$4) * _xlfn.NORM.S.INV(RAND())</f>
        <v>-2.9538392753321496E-2</v>
      </c>
      <c r="U6639" s="59">
        <f ca="1">Dashboard!D$8* Dashboard!$F$4+Dashboard!D$10*SQRT(Dashboard!$F$4) * _xlfn.NORM.S.INV(RAND())</f>
        <v>1.5028934332763045E-2</v>
      </c>
    </row>
    <row r="6640" spans="18:21" x14ac:dyDescent="0.2">
      <c r="R6640" s="49">
        <v>6638</v>
      </c>
      <c r="S6640" s="59">
        <f ca="1">Dashboard!B$8* Dashboard!$F$4+Dashboard!B$10*SQRT(Dashboard!$F$4) * _xlfn.NORM.S.INV(RAND())</f>
        <v>-2.5365335061579147E-3</v>
      </c>
      <c r="T6640" s="59">
        <f ca="1">Dashboard!C$8* Dashboard!$F$4+Dashboard!C$10*SQRT(Dashboard!$F$4) * _xlfn.NORM.S.INV(RAND())</f>
        <v>6.1848023705799674E-4</v>
      </c>
      <c r="U6640" s="59">
        <f ca="1">Dashboard!D$8* Dashboard!$F$4+Dashboard!D$10*SQRT(Dashboard!$F$4) * _xlfn.NORM.S.INV(RAND())</f>
        <v>5.5936402871333314E-3</v>
      </c>
    </row>
    <row r="6641" spans="18:21" x14ac:dyDescent="0.2">
      <c r="R6641" s="49">
        <v>6639</v>
      </c>
      <c r="S6641" s="59">
        <f ca="1">Dashboard!B$8* Dashboard!$F$4+Dashboard!B$10*SQRT(Dashboard!$F$4) * _xlfn.NORM.S.INV(RAND())</f>
        <v>-3.1133515723941192E-2</v>
      </c>
      <c r="T6641" s="59">
        <f ca="1">Dashboard!C$8* Dashboard!$F$4+Dashboard!C$10*SQRT(Dashboard!$F$4) * _xlfn.NORM.S.INV(RAND())</f>
        <v>-4.8907111358476231E-2</v>
      </c>
      <c r="U6641" s="59">
        <f ca="1">Dashboard!D$8* Dashboard!$F$4+Dashboard!D$10*SQRT(Dashboard!$F$4) * _xlfn.NORM.S.INV(RAND())</f>
        <v>-3.3096857473534719E-2</v>
      </c>
    </row>
    <row r="6642" spans="18:21" x14ac:dyDescent="0.2">
      <c r="R6642" s="49">
        <v>6640</v>
      </c>
      <c r="S6642" s="59">
        <f ca="1">Dashboard!B$8* Dashboard!$F$4+Dashboard!B$10*SQRT(Dashboard!$F$4) * _xlfn.NORM.S.INV(RAND())</f>
        <v>2.8822368696279847E-2</v>
      </c>
      <c r="T6642" s="59">
        <f ca="1">Dashboard!C$8* Dashboard!$F$4+Dashboard!C$10*SQRT(Dashboard!$F$4) * _xlfn.NORM.S.INV(RAND())</f>
        <v>-1.9154102972381855E-2</v>
      </c>
      <c r="U6642" s="59">
        <f ca="1">Dashboard!D$8* Dashboard!$F$4+Dashboard!D$10*SQRT(Dashboard!$F$4) * _xlfn.NORM.S.INV(RAND())</f>
        <v>-5.3059359500508552E-2</v>
      </c>
    </row>
    <row r="6643" spans="18:21" x14ac:dyDescent="0.2">
      <c r="R6643" s="49">
        <v>6641</v>
      </c>
      <c r="S6643" s="59">
        <f ca="1">Dashboard!B$8* Dashboard!$F$4+Dashboard!B$10*SQRT(Dashboard!$F$4) * _xlfn.NORM.S.INV(RAND())</f>
        <v>4.0647715965132607E-2</v>
      </c>
      <c r="T6643" s="59">
        <f ca="1">Dashboard!C$8* Dashboard!$F$4+Dashboard!C$10*SQRT(Dashboard!$F$4) * _xlfn.NORM.S.INV(RAND())</f>
        <v>1.8237325425943932E-2</v>
      </c>
      <c r="U6643" s="59">
        <f ca="1">Dashboard!D$8* Dashboard!$F$4+Dashboard!D$10*SQRT(Dashboard!$F$4) * _xlfn.NORM.S.INV(RAND())</f>
        <v>-2.2151731615903759E-2</v>
      </c>
    </row>
    <row r="6644" spans="18:21" x14ac:dyDescent="0.2">
      <c r="R6644" s="49">
        <v>6642</v>
      </c>
      <c r="S6644" s="59">
        <f ca="1">Dashboard!B$8* Dashboard!$F$4+Dashboard!B$10*SQRT(Dashboard!$F$4) * _xlfn.NORM.S.INV(RAND())</f>
        <v>4.3127208393226021E-2</v>
      </c>
      <c r="T6644" s="59">
        <f ca="1">Dashboard!C$8* Dashboard!$F$4+Dashboard!C$10*SQRT(Dashboard!$F$4) * _xlfn.NORM.S.INV(RAND())</f>
        <v>-5.4757284694823785E-2</v>
      </c>
      <c r="U6644" s="59">
        <f ca="1">Dashboard!D$8* Dashboard!$F$4+Dashboard!D$10*SQRT(Dashboard!$F$4) * _xlfn.NORM.S.INV(RAND())</f>
        <v>1.8682396807052151E-2</v>
      </c>
    </row>
    <row r="6645" spans="18:21" x14ac:dyDescent="0.2">
      <c r="R6645" s="49">
        <v>6643</v>
      </c>
      <c r="S6645" s="59">
        <f ca="1">Dashboard!B$8* Dashboard!$F$4+Dashboard!B$10*SQRT(Dashboard!$F$4) * _xlfn.NORM.S.INV(RAND())</f>
        <v>5.4531659498297733E-2</v>
      </c>
      <c r="T6645" s="59">
        <f ca="1">Dashboard!C$8* Dashboard!$F$4+Dashboard!C$10*SQRT(Dashboard!$F$4) * _xlfn.NORM.S.INV(RAND())</f>
        <v>1.4865403729953031E-2</v>
      </c>
      <c r="U6645" s="59">
        <f ca="1">Dashboard!D$8* Dashboard!$F$4+Dashboard!D$10*SQRT(Dashboard!$F$4) * _xlfn.NORM.S.INV(RAND())</f>
        <v>1.4853424888603353E-2</v>
      </c>
    </row>
    <row r="6646" spans="18:21" x14ac:dyDescent="0.2">
      <c r="R6646" s="49">
        <v>6644</v>
      </c>
      <c r="S6646" s="59">
        <f ca="1">Dashboard!B$8* Dashboard!$F$4+Dashboard!B$10*SQRT(Dashboard!$F$4) * _xlfn.NORM.S.INV(RAND())</f>
        <v>2.7016047497973428E-2</v>
      </c>
      <c r="T6646" s="59">
        <f ca="1">Dashboard!C$8* Dashboard!$F$4+Dashboard!C$10*SQRT(Dashboard!$F$4) * _xlfn.NORM.S.INV(RAND())</f>
        <v>3.3222096833939382E-3</v>
      </c>
      <c r="U6646" s="59">
        <f ca="1">Dashboard!D$8* Dashboard!$F$4+Dashboard!D$10*SQRT(Dashboard!$F$4) * _xlfn.NORM.S.INV(RAND())</f>
        <v>9.1229629989804592E-3</v>
      </c>
    </row>
    <row r="6647" spans="18:21" x14ac:dyDescent="0.2">
      <c r="R6647" s="49">
        <v>6645</v>
      </c>
      <c r="S6647" s="59">
        <f ca="1">Dashboard!B$8* Dashboard!$F$4+Dashboard!B$10*SQRT(Dashboard!$F$4) * _xlfn.NORM.S.INV(RAND())</f>
        <v>-1.1810006667142939E-2</v>
      </c>
      <c r="T6647" s="59">
        <f ca="1">Dashboard!C$8* Dashboard!$F$4+Dashboard!C$10*SQRT(Dashboard!$F$4) * _xlfn.NORM.S.INV(RAND())</f>
        <v>3.3238466850064381E-2</v>
      </c>
      <c r="U6647" s="59">
        <f ca="1">Dashboard!D$8* Dashboard!$F$4+Dashboard!D$10*SQRT(Dashboard!$F$4) * _xlfn.NORM.S.INV(RAND())</f>
        <v>5.6405564483312676E-3</v>
      </c>
    </row>
    <row r="6648" spans="18:21" x14ac:dyDescent="0.2">
      <c r="R6648" s="49">
        <v>6646</v>
      </c>
      <c r="S6648" s="59">
        <f ca="1">Dashboard!B$8* Dashboard!$F$4+Dashboard!B$10*SQRT(Dashboard!$F$4) * _xlfn.NORM.S.INV(RAND())</f>
        <v>-3.964734310083598E-2</v>
      </c>
      <c r="T6648" s="59">
        <f ca="1">Dashboard!C$8* Dashboard!$F$4+Dashboard!C$10*SQRT(Dashboard!$F$4) * _xlfn.NORM.S.INV(RAND())</f>
        <v>-7.4381519627801582E-2</v>
      </c>
      <c r="U6648" s="59">
        <f ca="1">Dashboard!D$8* Dashboard!$F$4+Dashboard!D$10*SQRT(Dashboard!$F$4) * _xlfn.NORM.S.INV(RAND())</f>
        <v>-5.2188790824784607E-2</v>
      </c>
    </row>
    <row r="6649" spans="18:21" x14ac:dyDescent="0.2">
      <c r="R6649" s="49">
        <v>6647</v>
      </c>
      <c r="S6649" s="59">
        <f ca="1">Dashboard!B$8* Dashboard!$F$4+Dashboard!B$10*SQRT(Dashboard!$F$4) * _xlfn.NORM.S.INV(RAND())</f>
        <v>-9.3544401773077365E-3</v>
      </c>
      <c r="T6649" s="59">
        <f ca="1">Dashboard!C$8* Dashboard!$F$4+Dashboard!C$10*SQRT(Dashboard!$F$4) * _xlfn.NORM.S.INV(RAND())</f>
        <v>1.4432791263564095E-2</v>
      </c>
      <c r="U6649" s="59">
        <f ca="1">Dashboard!D$8* Dashboard!$F$4+Dashboard!D$10*SQRT(Dashboard!$F$4) * _xlfn.NORM.S.INV(RAND())</f>
        <v>-1.2287438916971994E-2</v>
      </c>
    </row>
    <row r="6650" spans="18:21" x14ac:dyDescent="0.2">
      <c r="R6650" s="49">
        <v>6648</v>
      </c>
      <c r="S6650" s="59">
        <f ca="1">Dashboard!B$8* Dashboard!$F$4+Dashboard!B$10*SQRT(Dashboard!$F$4) * _xlfn.NORM.S.INV(RAND())</f>
        <v>-1.1801150088423078E-2</v>
      </c>
      <c r="T6650" s="59">
        <f ca="1">Dashboard!C$8* Dashboard!$F$4+Dashboard!C$10*SQRT(Dashboard!$F$4) * _xlfn.NORM.S.INV(RAND())</f>
        <v>-1.4082040376078808E-2</v>
      </c>
      <c r="U6650" s="59">
        <f ca="1">Dashboard!D$8* Dashboard!$F$4+Dashboard!D$10*SQRT(Dashboard!$F$4) * _xlfn.NORM.S.INV(RAND())</f>
        <v>4.7793156031335172E-3</v>
      </c>
    </row>
    <row r="6651" spans="18:21" x14ac:dyDescent="0.2">
      <c r="R6651" s="49">
        <v>6649</v>
      </c>
      <c r="S6651" s="59">
        <f ca="1">Dashboard!B$8* Dashboard!$F$4+Dashboard!B$10*SQRT(Dashboard!$F$4) * _xlfn.NORM.S.INV(RAND())</f>
        <v>2.5007414028979068E-2</v>
      </c>
      <c r="T6651" s="59">
        <f ca="1">Dashboard!C$8* Dashboard!$F$4+Dashboard!C$10*SQRT(Dashboard!$F$4) * _xlfn.NORM.S.INV(RAND())</f>
        <v>2.9121129399146278E-2</v>
      </c>
      <c r="U6651" s="59">
        <f ca="1">Dashboard!D$8* Dashboard!$F$4+Dashboard!D$10*SQRT(Dashboard!$F$4) * _xlfn.NORM.S.INV(RAND())</f>
        <v>1.9052787512132325E-3</v>
      </c>
    </row>
    <row r="6652" spans="18:21" x14ac:dyDescent="0.2">
      <c r="R6652" s="49">
        <v>6650</v>
      </c>
      <c r="S6652" s="59">
        <f ca="1">Dashboard!B$8* Dashboard!$F$4+Dashboard!B$10*SQRT(Dashboard!$F$4) * _xlfn.NORM.S.INV(RAND())</f>
        <v>-2.8213229056419471E-3</v>
      </c>
      <c r="T6652" s="59">
        <f ca="1">Dashboard!C$8* Dashboard!$F$4+Dashboard!C$10*SQRT(Dashboard!$F$4) * _xlfn.NORM.S.INV(RAND())</f>
        <v>-5.2952081777239986E-2</v>
      </c>
      <c r="U6652" s="59">
        <f ca="1">Dashboard!D$8* Dashboard!$F$4+Dashboard!D$10*SQRT(Dashboard!$F$4) * _xlfn.NORM.S.INV(RAND())</f>
        <v>2.1103821008349086E-3</v>
      </c>
    </row>
    <row r="6653" spans="18:21" x14ac:dyDescent="0.2">
      <c r="R6653" s="49">
        <v>6651</v>
      </c>
      <c r="S6653" s="59">
        <f ca="1">Dashboard!B$8* Dashboard!$F$4+Dashboard!B$10*SQRT(Dashboard!$F$4) * _xlfn.NORM.S.INV(RAND())</f>
        <v>6.4029498184644176E-3</v>
      </c>
      <c r="T6653" s="59">
        <f ca="1">Dashboard!C$8* Dashboard!$F$4+Dashboard!C$10*SQRT(Dashboard!$F$4) * _xlfn.NORM.S.INV(RAND())</f>
        <v>2.3919194702094797E-2</v>
      </c>
      <c r="U6653" s="59">
        <f ca="1">Dashboard!D$8* Dashboard!$F$4+Dashboard!D$10*SQRT(Dashboard!$F$4) * _xlfn.NORM.S.INV(RAND())</f>
        <v>5.2459891960861649E-2</v>
      </c>
    </row>
    <row r="6654" spans="18:21" x14ac:dyDescent="0.2">
      <c r="R6654" s="49">
        <v>6652</v>
      </c>
      <c r="S6654" s="59">
        <f ca="1">Dashboard!B$8* Dashboard!$F$4+Dashboard!B$10*SQRT(Dashboard!$F$4) * _xlfn.NORM.S.INV(RAND())</f>
        <v>4.8341222674497863E-2</v>
      </c>
      <c r="T6654" s="59">
        <f ca="1">Dashboard!C$8* Dashboard!$F$4+Dashboard!C$10*SQRT(Dashboard!$F$4) * _xlfn.NORM.S.INV(RAND())</f>
        <v>-3.2855693028798441E-2</v>
      </c>
      <c r="U6654" s="59">
        <f ca="1">Dashboard!D$8* Dashboard!$F$4+Dashboard!D$10*SQRT(Dashboard!$F$4) * _xlfn.NORM.S.INV(RAND())</f>
        <v>2.6421236316958051E-2</v>
      </c>
    </row>
    <row r="6655" spans="18:21" x14ac:dyDescent="0.2">
      <c r="R6655" s="49">
        <v>6653</v>
      </c>
      <c r="S6655" s="59">
        <f ca="1">Dashboard!B$8* Dashboard!$F$4+Dashboard!B$10*SQRT(Dashboard!$F$4) * _xlfn.NORM.S.INV(RAND())</f>
        <v>-3.1048295172073199E-2</v>
      </c>
      <c r="T6655" s="59">
        <f ca="1">Dashboard!C$8* Dashboard!$F$4+Dashboard!C$10*SQRT(Dashboard!$F$4) * _xlfn.NORM.S.INV(RAND())</f>
        <v>1.8022095411606726E-2</v>
      </c>
      <c r="U6655" s="59">
        <f ca="1">Dashboard!D$8* Dashboard!$F$4+Dashboard!D$10*SQRT(Dashboard!$F$4) * _xlfn.NORM.S.INV(RAND())</f>
        <v>1.8765616083782639E-2</v>
      </c>
    </row>
    <row r="6656" spans="18:21" x14ac:dyDescent="0.2">
      <c r="R6656" s="49">
        <v>6654</v>
      </c>
      <c r="S6656" s="59">
        <f ca="1">Dashboard!B$8* Dashboard!$F$4+Dashboard!B$10*SQRT(Dashboard!$F$4) * _xlfn.NORM.S.INV(RAND())</f>
        <v>6.9118817167880153E-2</v>
      </c>
      <c r="T6656" s="59">
        <f ca="1">Dashboard!C$8* Dashboard!$F$4+Dashboard!C$10*SQRT(Dashboard!$F$4) * _xlfn.NORM.S.INV(RAND())</f>
        <v>-2.0781294790848608E-2</v>
      </c>
      <c r="U6656" s="59">
        <f ca="1">Dashboard!D$8* Dashboard!$F$4+Dashboard!D$10*SQRT(Dashboard!$F$4) * _xlfn.NORM.S.INV(RAND())</f>
        <v>-1.7686075905738122E-2</v>
      </c>
    </row>
    <row r="6657" spans="18:21" x14ac:dyDescent="0.2">
      <c r="R6657" s="49">
        <v>6655</v>
      </c>
      <c r="S6657" s="59">
        <f ca="1">Dashboard!B$8* Dashboard!$F$4+Dashboard!B$10*SQRT(Dashboard!$F$4) * _xlfn.NORM.S.INV(RAND())</f>
        <v>-2.1094122600428623E-2</v>
      </c>
      <c r="T6657" s="59">
        <f ca="1">Dashboard!C$8* Dashboard!$F$4+Dashboard!C$10*SQRT(Dashboard!$F$4) * _xlfn.NORM.S.INV(RAND())</f>
        <v>-2.9352605714181714E-2</v>
      </c>
      <c r="U6657" s="59">
        <f ca="1">Dashboard!D$8* Dashboard!$F$4+Dashboard!D$10*SQRT(Dashboard!$F$4) * _xlfn.NORM.S.INV(RAND())</f>
        <v>1.1411719963935009E-2</v>
      </c>
    </row>
    <row r="6658" spans="18:21" x14ac:dyDescent="0.2">
      <c r="R6658" s="49">
        <v>6656</v>
      </c>
      <c r="S6658" s="59">
        <f ca="1">Dashboard!B$8* Dashboard!$F$4+Dashboard!B$10*SQRT(Dashboard!$F$4) * _xlfn.NORM.S.INV(RAND())</f>
        <v>-3.7043278225501039E-3</v>
      </c>
      <c r="T6658" s="59">
        <f ca="1">Dashboard!C$8* Dashboard!$F$4+Dashboard!C$10*SQRT(Dashboard!$F$4) * _xlfn.NORM.S.INV(RAND())</f>
        <v>5.6957162960224419E-2</v>
      </c>
      <c r="U6658" s="59">
        <f ca="1">Dashboard!D$8* Dashboard!$F$4+Dashboard!D$10*SQRT(Dashboard!$F$4) * _xlfn.NORM.S.INV(RAND())</f>
        <v>-9.4929324080661424E-3</v>
      </c>
    </row>
    <row r="6659" spans="18:21" x14ac:dyDescent="0.2">
      <c r="R6659" s="49">
        <v>6657</v>
      </c>
      <c r="S6659" s="59">
        <f ca="1">Dashboard!B$8* Dashboard!$F$4+Dashboard!B$10*SQRT(Dashboard!$F$4) * _xlfn.NORM.S.INV(RAND())</f>
        <v>4.2958389300239812E-3</v>
      </c>
      <c r="T6659" s="59">
        <f ca="1">Dashboard!C$8* Dashboard!$F$4+Dashboard!C$10*SQRT(Dashboard!$F$4) * _xlfn.NORM.S.INV(RAND())</f>
        <v>2.1378995848136528E-2</v>
      </c>
      <c r="U6659" s="59">
        <f ca="1">Dashboard!D$8* Dashboard!$F$4+Dashboard!D$10*SQRT(Dashboard!$F$4) * _xlfn.NORM.S.INV(RAND())</f>
        <v>2.41965266427062E-2</v>
      </c>
    </row>
    <row r="6660" spans="18:21" x14ac:dyDescent="0.2">
      <c r="R6660" s="49">
        <v>6658</v>
      </c>
      <c r="S6660" s="59">
        <f ca="1">Dashboard!B$8* Dashboard!$F$4+Dashboard!B$10*SQRT(Dashboard!$F$4) * _xlfn.NORM.S.INV(RAND())</f>
        <v>-6.8394599914374538E-3</v>
      </c>
      <c r="T6660" s="59">
        <f ca="1">Dashboard!C$8* Dashboard!$F$4+Dashboard!C$10*SQRT(Dashboard!$F$4) * _xlfn.NORM.S.INV(RAND())</f>
        <v>2.6339207490631074E-2</v>
      </c>
      <c r="U6660" s="59">
        <f ca="1">Dashboard!D$8* Dashboard!$F$4+Dashboard!D$10*SQRT(Dashboard!$F$4) * _xlfn.NORM.S.INV(RAND())</f>
        <v>-6.541704370171147E-3</v>
      </c>
    </row>
    <row r="6661" spans="18:21" x14ac:dyDescent="0.2">
      <c r="R6661" s="49">
        <v>6659</v>
      </c>
      <c r="S6661" s="59">
        <f ca="1">Dashboard!B$8* Dashboard!$F$4+Dashboard!B$10*SQRT(Dashboard!$F$4) * _xlfn.NORM.S.INV(RAND())</f>
        <v>4.2412621891692814E-2</v>
      </c>
      <c r="T6661" s="59">
        <f ca="1">Dashboard!C$8* Dashboard!$F$4+Dashboard!C$10*SQRT(Dashboard!$F$4) * _xlfn.NORM.S.INV(RAND())</f>
        <v>-6.0317794812601274E-3</v>
      </c>
      <c r="U6661" s="59">
        <f ca="1">Dashboard!D$8* Dashboard!$F$4+Dashboard!D$10*SQRT(Dashboard!$F$4) * _xlfn.NORM.S.INV(RAND())</f>
        <v>3.6056555295144559E-2</v>
      </c>
    </row>
    <row r="6662" spans="18:21" x14ac:dyDescent="0.2">
      <c r="R6662" s="49">
        <v>6660</v>
      </c>
      <c r="S6662" s="59">
        <f ca="1">Dashboard!B$8* Dashboard!$F$4+Dashboard!B$10*SQRT(Dashboard!$F$4) * _xlfn.NORM.S.INV(RAND())</f>
        <v>-6.1591883307021311E-2</v>
      </c>
      <c r="T6662" s="59">
        <f ca="1">Dashboard!C$8* Dashboard!$F$4+Dashboard!C$10*SQRT(Dashboard!$F$4) * _xlfn.NORM.S.INV(RAND())</f>
        <v>8.010653846279938E-3</v>
      </c>
      <c r="U6662" s="59">
        <f ca="1">Dashboard!D$8* Dashboard!$F$4+Dashboard!D$10*SQRT(Dashboard!$F$4) * _xlfn.NORM.S.INV(RAND())</f>
        <v>4.9457612670187057E-2</v>
      </c>
    </row>
    <row r="6663" spans="18:21" x14ac:dyDescent="0.2">
      <c r="R6663" s="49">
        <v>6661</v>
      </c>
      <c r="S6663" s="59">
        <f ca="1">Dashboard!B$8* Dashboard!$F$4+Dashboard!B$10*SQRT(Dashboard!$F$4) * _xlfn.NORM.S.INV(RAND())</f>
        <v>-1.7721071480771049E-2</v>
      </c>
      <c r="T6663" s="59">
        <f ca="1">Dashboard!C$8* Dashboard!$F$4+Dashboard!C$10*SQRT(Dashboard!$F$4) * _xlfn.NORM.S.INV(RAND())</f>
        <v>3.5464877217660173E-2</v>
      </c>
      <c r="U6663" s="59">
        <f ca="1">Dashboard!D$8* Dashboard!$F$4+Dashboard!D$10*SQRT(Dashboard!$F$4) * _xlfn.NORM.S.INV(RAND())</f>
        <v>-1.009505835347459E-2</v>
      </c>
    </row>
    <row r="6664" spans="18:21" x14ac:dyDescent="0.2">
      <c r="R6664" s="49">
        <v>6662</v>
      </c>
      <c r="S6664" s="59">
        <f ca="1">Dashboard!B$8* Dashboard!$F$4+Dashboard!B$10*SQRT(Dashboard!$F$4) * _xlfn.NORM.S.INV(RAND())</f>
        <v>1.3681646914311315E-2</v>
      </c>
      <c r="T6664" s="59">
        <f ca="1">Dashboard!C$8* Dashboard!$F$4+Dashboard!C$10*SQRT(Dashboard!$F$4) * _xlfn.NORM.S.INV(RAND())</f>
        <v>4.0497345525589278E-2</v>
      </c>
      <c r="U6664" s="59">
        <f ca="1">Dashboard!D$8* Dashboard!$F$4+Dashboard!D$10*SQRT(Dashboard!$F$4) * _xlfn.NORM.S.INV(RAND())</f>
        <v>-1.9094101870311367E-2</v>
      </c>
    </row>
    <row r="6665" spans="18:21" x14ac:dyDescent="0.2">
      <c r="R6665" s="49">
        <v>6663</v>
      </c>
      <c r="S6665" s="59">
        <f ca="1">Dashboard!B$8* Dashboard!$F$4+Dashboard!B$10*SQRT(Dashboard!$F$4) * _xlfn.NORM.S.INV(RAND())</f>
        <v>2.0919185466193028E-2</v>
      </c>
      <c r="T6665" s="59">
        <f ca="1">Dashboard!C$8* Dashboard!$F$4+Dashboard!C$10*SQRT(Dashboard!$F$4) * _xlfn.NORM.S.INV(RAND())</f>
        <v>-4.2489648086978041E-2</v>
      </c>
      <c r="U6665" s="59">
        <f ca="1">Dashboard!D$8* Dashboard!$F$4+Dashboard!D$10*SQRT(Dashboard!$F$4) * _xlfn.NORM.S.INV(RAND())</f>
        <v>-2.4990156496949096E-2</v>
      </c>
    </row>
    <row r="6666" spans="18:21" x14ac:dyDescent="0.2">
      <c r="R6666" s="49">
        <v>6664</v>
      </c>
      <c r="S6666" s="59">
        <f ca="1">Dashboard!B$8* Dashboard!$F$4+Dashboard!B$10*SQRT(Dashboard!$F$4) * _xlfn.NORM.S.INV(RAND())</f>
        <v>1.8233711767789949E-2</v>
      </c>
      <c r="T6666" s="59">
        <f ca="1">Dashboard!C$8* Dashboard!$F$4+Dashboard!C$10*SQRT(Dashboard!$F$4) * _xlfn.NORM.S.INV(RAND())</f>
        <v>2.1190282188703276E-2</v>
      </c>
      <c r="U6666" s="59">
        <f ca="1">Dashboard!D$8* Dashboard!$F$4+Dashboard!D$10*SQRT(Dashboard!$F$4) * _xlfn.NORM.S.INV(RAND())</f>
        <v>1.9965001026740384E-2</v>
      </c>
    </row>
    <row r="6667" spans="18:21" x14ac:dyDescent="0.2">
      <c r="R6667" s="49">
        <v>6665</v>
      </c>
      <c r="S6667" s="59">
        <f ca="1">Dashboard!B$8* Dashboard!$F$4+Dashboard!B$10*SQRT(Dashboard!$F$4) * _xlfn.NORM.S.INV(RAND())</f>
        <v>-3.8711765636289037E-2</v>
      </c>
      <c r="T6667" s="59">
        <f ca="1">Dashboard!C$8* Dashboard!$F$4+Dashboard!C$10*SQRT(Dashboard!$F$4) * _xlfn.NORM.S.INV(RAND())</f>
        <v>-4.6695104807052565E-2</v>
      </c>
      <c r="U6667" s="59">
        <f ca="1">Dashboard!D$8* Dashboard!$F$4+Dashboard!D$10*SQRT(Dashboard!$F$4) * _xlfn.NORM.S.INV(RAND())</f>
        <v>3.0805404438005876E-2</v>
      </c>
    </row>
    <row r="6668" spans="18:21" x14ac:dyDescent="0.2">
      <c r="R6668" s="49">
        <v>6666</v>
      </c>
      <c r="S6668" s="59">
        <f ca="1">Dashboard!B$8* Dashboard!$F$4+Dashboard!B$10*SQRT(Dashboard!$F$4) * _xlfn.NORM.S.INV(RAND())</f>
        <v>-6.4272559795443801E-2</v>
      </c>
      <c r="T6668" s="59">
        <f ca="1">Dashboard!C$8* Dashboard!$F$4+Dashboard!C$10*SQRT(Dashboard!$F$4) * _xlfn.NORM.S.INV(RAND())</f>
        <v>-3.2793440053705693E-2</v>
      </c>
      <c r="U6668" s="59">
        <f ca="1">Dashboard!D$8* Dashboard!$F$4+Dashboard!D$10*SQRT(Dashboard!$F$4) * _xlfn.NORM.S.INV(RAND())</f>
        <v>4.8574839184368718E-3</v>
      </c>
    </row>
    <row r="6669" spans="18:21" x14ac:dyDescent="0.2">
      <c r="R6669" s="49">
        <v>6667</v>
      </c>
      <c r="S6669" s="59">
        <f ca="1">Dashboard!B$8* Dashboard!$F$4+Dashboard!B$10*SQRT(Dashboard!$F$4) * _xlfn.NORM.S.INV(RAND())</f>
        <v>-4.9237038424202531E-3</v>
      </c>
      <c r="T6669" s="59">
        <f ca="1">Dashboard!C$8* Dashboard!$F$4+Dashboard!C$10*SQRT(Dashboard!$F$4) * _xlfn.NORM.S.INV(RAND())</f>
        <v>8.8514255291267704E-2</v>
      </c>
      <c r="U6669" s="59">
        <f ca="1">Dashboard!D$8* Dashboard!$F$4+Dashboard!D$10*SQRT(Dashboard!$F$4) * _xlfn.NORM.S.INV(RAND())</f>
        <v>1.9863562048313896E-3</v>
      </c>
    </row>
    <row r="6670" spans="18:21" x14ac:dyDescent="0.2">
      <c r="R6670" s="49">
        <v>6668</v>
      </c>
      <c r="S6670" s="59">
        <f ca="1">Dashboard!B$8* Dashboard!$F$4+Dashboard!B$10*SQRT(Dashboard!$F$4) * _xlfn.NORM.S.INV(RAND())</f>
        <v>-2.8214472212978632E-2</v>
      </c>
      <c r="T6670" s="59">
        <f ca="1">Dashboard!C$8* Dashboard!$F$4+Dashboard!C$10*SQRT(Dashboard!$F$4) * _xlfn.NORM.S.INV(RAND())</f>
        <v>1.2126908171364366E-2</v>
      </c>
      <c r="U6670" s="59">
        <f ca="1">Dashboard!D$8* Dashboard!$F$4+Dashboard!D$10*SQRT(Dashboard!$F$4) * _xlfn.NORM.S.INV(RAND())</f>
        <v>1.4166282616477491E-2</v>
      </c>
    </row>
    <row r="6671" spans="18:21" x14ac:dyDescent="0.2">
      <c r="R6671" s="49">
        <v>6669</v>
      </c>
      <c r="S6671" s="59">
        <f ca="1">Dashboard!B$8* Dashboard!$F$4+Dashboard!B$10*SQRT(Dashboard!$F$4) * _xlfn.NORM.S.INV(RAND())</f>
        <v>2.0857322306626465E-2</v>
      </c>
      <c r="T6671" s="59">
        <f ca="1">Dashboard!C$8* Dashboard!$F$4+Dashboard!C$10*SQRT(Dashboard!$F$4) * _xlfn.NORM.S.INV(RAND())</f>
        <v>-3.3506752208901154E-2</v>
      </c>
      <c r="U6671" s="59">
        <f ca="1">Dashboard!D$8* Dashboard!$F$4+Dashboard!D$10*SQRT(Dashboard!$F$4) * _xlfn.NORM.S.INV(RAND())</f>
        <v>5.5544935802297524E-2</v>
      </c>
    </row>
    <row r="6672" spans="18:21" x14ac:dyDescent="0.2">
      <c r="R6672" s="49">
        <v>6670</v>
      </c>
      <c r="S6672" s="59">
        <f ca="1">Dashboard!B$8* Dashboard!$F$4+Dashboard!B$10*SQRT(Dashboard!$F$4) * _xlfn.NORM.S.INV(RAND())</f>
        <v>-1.7079323240461221E-2</v>
      </c>
      <c r="T6672" s="59">
        <f ca="1">Dashboard!C$8* Dashboard!$F$4+Dashboard!C$10*SQRT(Dashboard!$F$4) * _xlfn.NORM.S.INV(RAND())</f>
        <v>7.5147194391355573E-3</v>
      </c>
      <c r="U6672" s="59">
        <f ca="1">Dashboard!D$8* Dashboard!$F$4+Dashboard!D$10*SQRT(Dashboard!$F$4) * _xlfn.NORM.S.INV(RAND())</f>
        <v>-1.8271982837596325E-2</v>
      </c>
    </row>
    <row r="6673" spans="18:21" x14ac:dyDescent="0.2">
      <c r="R6673" s="49">
        <v>6671</v>
      </c>
      <c r="S6673" s="59">
        <f ca="1">Dashboard!B$8* Dashboard!$F$4+Dashboard!B$10*SQRT(Dashboard!$F$4) * _xlfn.NORM.S.INV(RAND())</f>
        <v>-4.5937502538585556E-2</v>
      </c>
      <c r="T6673" s="59">
        <f ca="1">Dashboard!C$8* Dashboard!$F$4+Dashboard!C$10*SQRT(Dashboard!$F$4) * _xlfn.NORM.S.INV(RAND())</f>
        <v>1.5140595757045586E-2</v>
      </c>
      <c r="U6673" s="59">
        <f ca="1">Dashboard!D$8* Dashboard!$F$4+Dashboard!D$10*SQRT(Dashboard!$F$4) * _xlfn.NORM.S.INV(RAND())</f>
        <v>-2.1342246575272304E-2</v>
      </c>
    </row>
    <row r="6674" spans="18:21" x14ac:dyDescent="0.2">
      <c r="R6674" s="49">
        <v>6672</v>
      </c>
      <c r="S6674" s="59">
        <f ca="1">Dashboard!B$8* Dashboard!$F$4+Dashboard!B$10*SQRT(Dashboard!$F$4) * _xlfn.NORM.S.INV(RAND())</f>
        <v>-1.0924407851682614E-2</v>
      </c>
      <c r="T6674" s="59">
        <f ca="1">Dashboard!C$8* Dashboard!$F$4+Dashboard!C$10*SQRT(Dashboard!$F$4) * _xlfn.NORM.S.INV(RAND())</f>
        <v>-3.9318251484555394E-5</v>
      </c>
      <c r="U6674" s="59">
        <f ca="1">Dashboard!D$8* Dashboard!$F$4+Dashboard!D$10*SQRT(Dashboard!$F$4) * _xlfn.NORM.S.INV(RAND())</f>
        <v>2.5098917460718842E-3</v>
      </c>
    </row>
    <row r="6675" spans="18:21" x14ac:dyDescent="0.2">
      <c r="R6675" s="49">
        <v>6673</v>
      </c>
      <c r="S6675" s="59">
        <f ca="1">Dashboard!B$8* Dashboard!$F$4+Dashboard!B$10*SQRT(Dashboard!$F$4) * _xlfn.NORM.S.INV(RAND())</f>
        <v>5.4539976024721003E-3</v>
      </c>
      <c r="T6675" s="59">
        <f ca="1">Dashboard!C$8* Dashboard!$F$4+Dashboard!C$10*SQRT(Dashboard!$F$4) * _xlfn.NORM.S.INV(RAND())</f>
        <v>2.3991261224567649E-3</v>
      </c>
      <c r="U6675" s="59">
        <f ca="1">Dashboard!D$8* Dashboard!$F$4+Dashboard!D$10*SQRT(Dashboard!$F$4) * _xlfn.NORM.S.INV(RAND())</f>
        <v>4.9825301327131394E-2</v>
      </c>
    </row>
    <row r="6676" spans="18:21" x14ac:dyDescent="0.2">
      <c r="R6676" s="49">
        <v>6674</v>
      </c>
      <c r="S6676" s="59">
        <f ca="1">Dashboard!B$8* Dashboard!$F$4+Dashboard!B$10*SQRT(Dashboard!$F$4) * _xlfn.NORM.S.INV(RAND())</f>
        <v>3.2321755892277789E-3</v>
      </c>
      <c r="T6676" s="59">
        <f ca="1">Dashboard!C$8* Dashboard!$F$4+Dashboard!C$10*SQRT(Dashboard!$F$4) * _xlfn.NORM.S.INV(RAND())</f>
        <v>-3.018178901338545E-2</v>
      </c>
      <c r="U6676" s="59">
        <f ca="1">Dashboard!D$8* Dashboard!$F$4+Dashboard!D$10*SQRT(Dashboard!$F$4) * _xlfn.NORM.S.INV(RAND())</f>
        <v>-3.3323232260444847E-2</v>
      </c>
    </row>
    <row r="6677" spans="18:21" x14ac:dyDescent="0.2">
      <c r="R6677" s="49">
        <v>6675</v>
      </c>
      <c r="S6677" s="59">
        <f ca="1">Dashboard!B$8* Dashboard!$F$4+Dashboard!B$10*SQRT(Dashboard!$F$4) * _xlfn.NORM.S.INV(RAND())</f>
        <v>-2.6747722531172927E-2</v>
      </c>
      <c r="T6677" s="59">
        <f ca="1">Dashboard!C$8* Dashboard!$F$4+Dashboard!C$10*SQRT(Dashboard!$F$4) * _xlfn.NORM.S.INV(RAND())</f>
        <v>-1.2959791654190488E-2</v>
      </c>
      <c r="U6677" s="59">
        <f ca="1">Dashboard!D$8* Dashboard!$F$4+Dashboard!D$10*SQRT(Dashboard!$F$4) * _xlfn.NORM.S.INV(RAND())</f>
        <v>-2.9964910926966928E-2</v>
      </c>
    </row>
    <row r="6678" spans="18:21" x14ac:dyDescent="0.2">
      <c r="R6678" s="49">
        <v>6676</v>
      </c>
      <c r="S6678" s="59">
        <f ca="1">Dashboard!B$8* Dashboard!$F$4+Dashboard!B$10*SQRT(Dashboard!$F$4) * _xlfn.NORM.S.INV(RAND())</f>
        <v>1.0569868704841143E-2</v>
      </c>
      <c r="T6678" s="59">
        <f ca="1">Dashboard!C$8* Dashboard!$F$4+Dashboard!C$10*SQRT(Dashboard!$F$4) * _xlfn.NORM.S.INV(RAND())</f>
        <v>1.8637918211017912E-3</v>
      </c>
      <c r="U6678" s="59">
        <f ca="1">Dashboard!D$8* Dashboard!$F$4+Dashboard!D$10*SQRT(Dashboard!$F$4) * _xlfn.NORM.S.INV(RAND())</f>
        <v>2.9050187619630175E-2</v>
      </c>
    </row>
    <row r="6679" spans="18:21" x14ac:dyDescent="0.2">
      <c r="R6679" s="49">
        <v>6677</v>
      </c>
      <c r="S6679" s="59">
        <f ca="1">Dashboard!B$8* Dashboard!$F$4+Dashboard!B$10*SQRT(Dashboard!$F$4) * _xlfn.NORM.S.INV(RAND())</f>
        <v>-6.3629192769234011E-2</v>
      </c>
      <c r="T6679" s="59">
        <f ca="1">Dashboard!C$8* Dashboard!$F$4+Dashboard!C$10*SQRT(Dashboard!$F$4) * _xlfn.NORM.S.INV(RAND())</f>
        <v>-1.2150378207460046E-2</v>
      </c>
      <c r="U6679" s="59">
        <f ca="1">Dashboard!D$8* Dashboard!$F$4+Dashboard!D$10*SQRT(Dashboard!$F$4) * _xlfn.NORM.S.INV(RAND())</f>
        <v>-4.028752684201227E-2</v>
      </c>
    </row>
    <row r="6680" spans="18:21" x14ac:dyDescent="0.2">
      <c r="R6680" s="49">
        <v>6678</v>
      </c>
      <c r="S6680" s="59">
        <f ca="1">Dashboard!B$8* Dashboard!$F$4+Dashboard!B$10*SQRT(Dashboard!$F$4) * _xlfn.NORM.S.INV(RAND())</f>
        <v>-3.5663775305130305E-2</v>
      </c>
      <c r="T6680" s="59">
        <f ca="1">Dashboard!C$8* Dashboard!$F$4+Dashboard!C$10*SQRT(Dashboard!$F$4) * _xlfn.NORM.S.INV(RAND())</f>
        <v>3.0135493172140607E-2</v>
      </c>
      <c r="U6680" s="59">
        <f ca="1">Dashboard!D$8* Dashboard!$F$4+Dashboard!D$10*SQRT(Dashboard!$F$4) * _xlfn.NORM.S.INV(RAND())</f>
        <v>5.2009979605535011E-4</v>
      </c>
    </row>
    <row r="6681" spans="18:21" x14ac:dyDescent="0.2">
      <c r="R6681" s="49">
        <v>6679</v>
      </c>
      <c r="S6681" s="59">
        <f ca="1">Dashboard!B$8* Dashboard!$F$4+Dashboard!B$10*SQRT(Dashboard!$F$4) * _xlfn.NORM.S.INV(RAND())</f>
        <v>2.8320138753155782E-2</v>
      </c>
      <c r="T6681" s="59">
        <f ca="1">Dashboard!C$8* Dashboard!$F$4+Dashboard!C$10*SQRT(Dashboard!$F$4) * _xlfn.NORM.S.INV(RAND())</f>
        <v>4.4375701163067768E-3</v>
      </c>
      <c r="U6681" s="59">
        <f ca="1">Dashboard!D$8* Dashboard!$F$4+Dashboard!D$10*SQRT(Dashboard!$F$4) * _xlfn.NORM.S.INV(RAND())</f>
        <v>3.686151740448617E-2</v>
      </c>
    </row>
    <row r="6682" spans="18:21" x14ac:dyDescent="0.2">
      <c r="R6682" s="49">
        <v>6680</v>
      </c>
      <c r="S6682" s="59">
        <f ca="1">Dashboard!B$8* Dashboard!$F$4+Dashboard!B$10*SQRT(Dashboard!$F$4) * _xlfn.NORM.S.INV(RAND())</f>
        <v>-6.4647650858324385E-2</v>
      </c>
      <c r="T6682" s="59">
        <f ca="1">Dashboard!C$8* Dashboard!$F$4+Dashboard!C$10*SQRT(Dashboard!$F$4) * _xlfn.NORM.S.INV(RAND())</f>
        <v>7.4597513785141123E-2</v>
      </c>
      <c r="U6682" s="59">
        <f ca="1">Dashboard!D$8* Dashboard!$F$4+Dashboard!D$10*SQRT(Dashboard!$F$4) * _xlfn.NORM.S.INV(RAND())</f>
        <v>-2.0464289482532171E-2</v>
      </c>
    </row>
    <row r="6683" spans="18:21" x14ac:dyDescent="0.2">
      <c r="R6683" s="49">
        <v>6681</v>
      </c>
      <c r="S6683" s="59">
        <f ca="1">Dashboard!B$8* Dashboard!$F$4+Dashboard!B$10*SQRT(Dashboard!$F$4) * _xlfn.NORM.S.INV(RAND())</f>
        <v>2.5481044561221779E-2</v>
      </c>
      <c r="T6683" s="59">
        <f ca="1">Dashboard!C$8* Dashboard!$F$4+Dashboard!C$10*SQRT(Dashboard!$F$4) * _xlfn.NORM.S.INV(RAND())</f>
        <v>-1.1336983835253937E-2</v>
      </c>
      <c r="U6683" s="59">
        <f ca="1">Dashboard!D$8* Dashboard!$F$4+Dashboard!D$10*SQRT(Dashboard!$F$4) * _xlfn.NORM.S.INV(RAND())</f>
        <v>3.8682723138586554E-2</v>
      </c>
    </row>
    <row r="6684" spans="18:21" x14ac:dyDescent="0.2">
      <c r="R6684" s="49">
        <v>6682</v>
      </c>
      <c r="S6684" s="59">
        <f ca="1">Dashboard!B$8* Dashboard!$F$4+Dashboard!B$10*SQRT(Dashboard!$F$4) * _xlfn.NORM.S.INV(RAND())</f>
        <v>9.8733679070496343E-4</v>
      </c>
      <c r="T6684" s="59">
        <f ca="1">Dashboard!C$8* Dashboard!$F$4+Dashboard!C$10*SQRT(Dashboard!$F$4) * _xlfn.NORM.S.INV(RAND())</f>
        <v>1.3994861801150477E-2</v>
      </c>
      <c r="U6684" s="59">
        <f ca="1">Dashboard!D$8* Dashboard!$F$4+Dashboard!D$10*SQRT(Dashboard!$F$4) * _xlfn.NORM.S.INV(RAND())</f>
        <v>-1.0996638597545115E-2</v>
      </c>
    </row>
    <row r="6685" spans="18:21" x14ac:dyDescent="0.2">
      <c r="R6685" s="49">
        <v>6683</v>
      </c>
      <c r="S6685" s="59">
        <f ca="1">Dashboard!B$8* Dashboard!$F$4+Dashboard!B$10*SQRT(Dashboard!$F$4) * _xlfn.NORM.S.INV(RAND())</f>
        <v>-2.9692359127326776E-2</v>
      </c>
      <c r="T6685" s="59">
        <f ca="1">Dashboard!C$8* Dashboard!$F$4+Dashboard!C$10*SQRT(Dashboard!$F$4) * _xlfn.NORM.S.INV(RAND())</f>
        <v>2.9393926903125357E-2</v>
      </c>
      <c r="U6685" s="59">
        <f ca="1">Dashboard!D$8* Dashboard!$F$4+Dashboard!D$10*SQRT(Dashboard!$F$4) * _xlfn.NORM.S.INV(RAND())</f>
        <v>7.0592304580712481E-3</v>
      </c>
    </row>
    <row r="6686" spans="18:21" x14ac:dyDescent="0.2">
      <c r="R6686" s="49">
        <v>6684</v>
      </c>
      <c r="S6686" s="59">
        <f ca="1">Dashboard!B$8* Dashboard!$F$4+Dashboard!B$10*SQRT(Dashboard!$F$4) * _xlfn.NORM.S.INV(RAND())</f>
        <v>4.3887940081932864E-2</v>
      </c>
      <c r="T6686" s="59">
        <f ca="1">Dashboard!C$8* Dashboard!$F$4+Dashboard!C$10*SQRT(Dashboard!$F$4) * _xlfn.NORM.S.INV(RAND())</f>
        <v>4.731902409549768E-2</v>
      </c>
      <c r="U6686" s="59">
        <f ca="1">Dashboard!D$8* Dashboard!$F$4+Dashboard!D$10*SQRT(Dashboard!$F$4) * _xlfn.NORM.S.INV(RAND())</f>
        <v>-1.9065764479839029E-2</v>
      </c>
    </row>
    <row r="6687" spans="18:21" x14ac:dyDescent="0.2">
      <c r="R6687" s="49">
        <v>6685</v>
      </c>
      <c r="S6687" s="59">
        <f ca="1">Dashboard!B$8* Dashboard!$F$4+Dashboard!B$10*SQRT(Dashboard!$F$4) * _xlfn.NORM.S.INV(RAND())</f>
        <v>4.1819604564462882E-2</v>
      </c>
      <c r="T6687" s="59">
        <f ca="1">Dashboard!C$8* Dashboard!$F$4+Dashboard!C$10*SQRT(Dashboard!$F$4) * _xlfn.NORM.S.INV(RAND())</f>
        <v>2.5217676900368038E-2</v>
      </c>
      <c r="U6687" s="59">
        <f ca="1">Dashboard!D$8* Dashboard!$F$4+Dashboard!D$10*SQRT(Dashboard!$F$4) * _xlfn.NORM.S.INV(RAND())</f>
        <v>5.462240656319681E-3</v>
      </c>
    </row>
    <row r="6688" spans="18:21" x14ac:dyDescent="0.2">
      <c r="R6688" s="49">
        <v>6686</v>
      </c>
      <c r="S6688" s="59">
        <f ca="1">Dashboard!B$8* Dashboard!$F$4+Dashboard!B$10*SQRT(Dashboard!$F$4) * _xlfn.NORM.S.INV(RAND())</f>
        <v>-6.2344858279842694E-2</v>
      </c>
      <c r="T6688" s="59">
        <f ca="1">Dashboard!C$8* Dashboard!$F$4+Dashboard!C$10*SQRT(Dashboard!$F$4) * _xlfn.NORM.S.INV(RAND())</f>
        <v>-3.3751675075234272E-2</v>
      </c>
      <c r="U6688" s="59">
        <f ca="1">Dashboard!D$8* Dashboard!$F$4+Dashboard!D$10*SQRT(Dashboard!$F$4) * _xlfn.NORM.S.INV(RAND())</f>
        <v>-5.6812126390651148E-2</v>
      </c>
    </row>
    <row r="6689" spans="18:21" x14ac:dyDescent="0.2">
      <c r="R6689" s="49">
        <v>6687</v>
      </c>
      <c r="S6689" s="59">
        <f ca="1">Dashboard!B$8* Dashboard!$F$4+Dashboard!B$10*SQRT(Dashboard!$F$4) * _xlfn.NORM.S.INV(RAND())</f>
        <v>-7.5904821232148523E-3</v>
      </c>
      <c r="T6689" s="59">
        <f ca="1">Dashboard!C$8* Dashboard!$F$4+Dashboard!C$10*SQRT(Dashboard!$F$4) * _xlfn.NORM.S.INV(RAND())</f>
        <v>8.1771174347440648E-3</v>
      </c>
      <c r="U6689" s="59">
        <f ca="1">Dashboard!D$8* Dashboard!$F$4+Dashboard!D$10*SQRT(Dashboard!$F$4) * _xlfn.NORM.S.INV(RAND())</f>
        <v>-1.7818801402512494E-2</v>
      </c>
    </row>
    <row r="6690" spans="18:21" x14ac:dyDescent="0.2">
      <c r="R6690" s="49">
        <v>6688</v>
      </c>
      <c r="S6690" s="59">
        <f ca="1">Dashboard!B$8* Dashboard!$F$4+Dashboard!B$10*SQRT(Dashboard!$F$4) * _xlfn.NORM.S.INV(RAND())</f>
        <v>-1.1232032749277393E-2</v>
      </c>
      <c r="T6690" s="59">
        <f ca="1">Dashboard!C$8* Dashboard!$F$4+Dashboard!C$10*SQRT(Dashboard!$F$4) * _xlfn.NORM.S.INV(RAND())</f>
        <v>-3.3477226464391475E-2</v>
      </c>
      <c r="U6690" s="59">
        <f ca="1">Dashboard!D$8* Dashboard!$F$4+Dashboard!D$10*SQRT(Dashboard!$F$4) * _xlfn.NORM.S.INV(RAND())</f>
        <v>1.0066144358789624E-2</v>
      </c>
    </row>
    <row r="6691" spans="18:21" x14ac:dyDescent="0.2">
      <c r="R6691" s="49">
        <v>6689</v>
      </c>
      <c r="S6691" s="59">
        <f ca="1">Dashboard!B$8* Dashboard!$F$4+Dashboard!B$10*SQRT(Dashboard!$F$4) * _xlfn.NORM.S.INV(RAND())</f>
        <v>-4.5240055687808346E-2</v>
      </c>
      <c r="T6691" s="59">
        <f ca="1">Dashboard!C$8* Dashboard!$F$4+Dashboard!C$10*SQRT(Dashboard!$F$4) * _xlfn.NORM.S.INV(RAND())</f>
        <v>-9.8267468690472586E-3</v>
      </c>
      <c r="U6691" s="59">
        <f ca="1">Dashboard!D$8* Dashboard!$F$4+Dashboard!D$10*SQRT(Dashboard!$F$4) * _xlfn.NORM.S.INV(RAND())</f>
        <v>-4.7369707014072407E-2</v>
      </c>
    </row>
    <row r="6692" spans="18:21" x14ac:dyDescent="0.2">
      <c r="R6692" s="49">
        <v>6690</v>
      </c>
      <c r="S6692" s="59">
        <f ca="1">Dashboard!B$8* Dashboard!$F$4+Dashboard!B$10*SQRT(Dashboard!$F$4) * _xlfn.NORM.S.INV(RAND())</f>
        <v>-6.3500101639884038E-2</v>
      </c>
      <c r="T6692" s="59">
        <f ca="1">Dashboard!C$8* Dashboard!$F$4+Dashboard!C$10*SQRT(Dashboard!$F$4) * _xlfn.NORM.S.INV(RAND())</f>
        <v>-1.4506043103180113E-2</v>
      </c>
      <c r="U6692" s="59">
        <f ca="1">Dashboard!D$8* Dashboard!$F$4+Dashboard!D$10*SQRT(Dashboard!$F$4) * _xlfn.NORM.S.INV(RAND())</f>
        <v>-5.7181826496620534E-2</v>
      </c>
    </row>
    <row r="6693" spans="18:21" x14ac:dyDescent="0.2">
      <c r="R6693" s="49">
        <v>6691</v>
      </c>
      <c r="S6693" s="59">
        <f ca="1">Dashboard!B$8* Dashboard!$F$4+Dashboard!B$10*SQRT(Dashboard!$F$4) * _xlfn.NORM.S.INV(RAND())</f>
        <v>-1.0892153080257365E-2</v>
      </c>
      <c r="T6693" s="59">
        <f ca="1">Dashboard!C$8* Dashboard!$F$4+Dashboard!C$10*SQRT(Dashboard!$F$4) * _xlfn.NORM.S.INV(RAND())</f>
        <v>3.1803549456236681E-2</v>
      </c>
      <c r="U6693" s="59">
        <f ca="1">Dashboard!D$8* Dashboard!$F$4+Dashboard!D$10*SQRT(Dashboard!$F$4) * _xlfn.NORM.S.INV(RAND())</f>
        <v>-2.1801610895531783E-2</v>
      </c>
    </row>
    <row r="6694" spans="18:21" x14ac:dyDescent="0.2">
      <c r="R6694" s="49">
        <v>6692</v>
      </c>
      <c r="S6694" s="59">
        <f ca="1">Dashboard!B$8* Dashboard!$F$4+Dashboard!B$10*SQRT(Dashboard!$F$4) * _xlfn.NORM.S.INV(RAND())</f>
        <v>-7.9349534822582016E-2</v>
      </c>
      <c r="T6694" s="59">
        <f ca="1">Dashboard!C$8* Dashboard!$F$4+Dashboard!C$10*SQRT(Dashboard!$F$4) * _xlfn.NORM.S.INV(RAND())</f>
        <v>-2.9326544777078214E-2</v>
      </c>
      <c r="U6694" s="59">
        <f ca="1">Dashboard!D$8* Dashboard!$F$4+Dashboard!D$10*SQRT(Dashboard!$F$4) * _xlfn.NORM.S.INV(RAND())</f>
        <v>-4.4935254532993726E-2</v>
      </c>
    </row>
    <row r="6695" spans="18:21" x14ac:dyDescent="0.2">
      <c r="R6695" s="49">
        <v>6693</v>
      </c>
      <c r="S6695" s="59">
        <f ca="1">Dashboard!B$8* Dashboard!$F$4+Dashboard!B$10*SQRT(Dashboard!$F$4) * _xlfn.NORM.S.INV(RAND())</f>
        <v>-7.3966416858088826E-3</v>
      </c>
      <c r="T6695" s="59">
        <f ca="1">Dashboard!C$8* Dashboard!$F$4+Dashboard!C$10*SQRT(Dashboard!$F$4) * _xlfn.NORM.S.INV(RAND())</f>
        <v>7.6976122621987822E-3</v>
      </c>
      <c r="U6695" s="59">
        <f ca="1">Dashboard!D$8* Dashboard!$F$4+Dashboard!D$10*SQRT(Dashboard!$F$4) * _xlfn.NORM.S.INV(RAND())</f>
        <v>1.7997647299525677E-2</v>
      </c>
    </row>
    <row r="6696" spans="18:21" x14ac:dyDescent="0.2">
      <c r="R6696" s="49">
        <v>6694</v>
      </c>
      <c r="S6696" s="59">
        <f ca="1">Dashboard!B$8* Dashboard!$F$4+Dashboard!B$10*SQRT(Dashboard!$F$4) * _xlfn.NORM.S.INV(RAND())</f>
        <v>-2.3779208769093937E-2</v>
      </c>
      <c r="T6696" s="59">
        <f ca="1">Dashboard!C$8* Dashboard!$F$4+Dashboard!C$10*SQRT(Dashboard!$F$4) * _xlfn.NORM.S.INV(RAND())</f>
        <v>2.4861537563362599E-2</v>
      </c>
      <c r="U6696" s="59">
        <f ca="1">Dashboard!D$8* Dashboard!$F$4+Dashboard!D$10*SQRT(Dashboard!$F$4) * _xlfn.NORM.S.INV(RAND())</f>
        <v>5.3372790785594516E-2</v>
      </c>
    </row>
    <row r="6697" spans="18:21" x14ac:dyDescent="0.2">
      <c r="R6697" s="49">
        <v>6695</v>
      </c>
      <c r="S6697" s="59">
        <f ca="1">Dashboard!B$8* Dashboard!$F$4+Dashboard!B$10*SQRT(Dashboard!$F$4) * _xlfn.NORM.S.INV(RAND())</f>
        <v>5.9278768740366455E-3</v>
      </c>
      <c r="T6697" s="59">
        <f ca="1">Dashboard!C$8* Dashboard!$F$4+Dashboard!C$10*SQRT(Dashboard!$F$4) * _xlfn.NORM.S.INV(RAND())</f>
        <v>-5.0931715089641359E-2</v>
      </c>
      <c r="U6697" s="59">
        <f ca="1">Dashboard!D$8* Dashboard!$F$4+Dashboard!D$10*SQRT(Dashboard!$F$4) * _xlfn.NORM.S.INV(RAND())</f>
        <v>1.8494322403765327E-2</v>
      </c>
    </row>
    <row r="6698" spans="18:21" x14ac:dyDescent="0.2">
      <c r="R6698" s="49">
        <v>6696</v>
      </c>
      <c r="S6698" s="59">
        <f ca="1">Dashboard!B$8* Dashboard!$F$4+Dashboard!B$10*SQRT(Dashboard!$F$4) * _xlfn.NORM.S.INV(RAND())</f>
        <v>-7.1797325738536645E-3</v>
      </c>
      <c r="T6698" s="59">
        <f ca="1">Dashboard!C$8* Dashboard!$F$4+Dashboard!C$10*SQRT(Dashboard!$F$4) * _xlfn.NORM.S.INV(RAND())</f>
        <v>-4.4893950330027105E-2</v>
      </c>
      <c r="U6698" s="59">
        <f ca="1">Dashboard!D$8* Dashboard!$F$4+Dashboard!D$10*SQRT(Dashboard!$F$4) * _xlfn.NORM.S.INV(RAND())</f>
        <v>-3.2349776599265238E-2</v>
      </c>
    </row>
    <row r="6699" spans="18:21" x14ac:dyDescent="0.2">
      <c r="R6699" s="49">
        <v>6697</v>
      </c>
      <c r="S6699" s="59">
        <f ca="1">Dashboard!B$8* Dashboard!$F$4+Dashboard!B$10*SQRT(Dashboard!$F$4) * _xlfn.NORM.S.INV(RAND())</f>
        <v>-2.3067629422423595E-2</v>
      </c>
      <c r="T6699" s="59">
        <f ca="1">Dashboard!C$8* Dashboard!$F$4+Dashboard!C$10*SQRT(Dashboard!$F$4) * _xlfn.NORM.S.INV(RAND())</f>
        <v>-1.6973514699215403E-2</v>
      </c>
      <c r="U6699" s="59">
        <f ca="1">Dashboard!D$8* Dashboard!$F$4+Dashboard!D$10*SQRT(Dashboard!$F$4) * _xlfn.NORM.S.INV(RAND())</f>
        <v>-1.9020201976723019E-2</v>
      </c>
    </row>
    <row r="6700" spans="18:21" x14ac:dyDescent="0.2">
      <c r="R6700" s="49">
        <v>6698</v>
      </c>
      <c r="S6700" s="59">
        <f ca="1">Dashboard!B$8* Dashboard!$F$4+Dashboard!B$10*SQRT(Dashboard!$F$4) * _xlfn.NORM.S.INV(RAND())</f>
        <v>-1.2503550665162082E-3</v>
      </c>
      <c r="T6700" s="59">
        <f ca="1">Dashboard!C$8* Dashboard!$F$4+Dashboard!C$10*SQRT(Dashboard!$F$4) * _xlfn.NORM.S.INV(RAND())</f>
        <v>-2.0687037902419488E-2</v>
      </c>
      <c r="U6700" s="59">
        <f ca="1">Dashboard!D$8* Dashboard!$F$4+Dashboard!D$10*SQRT(Dashboard!$F$4) * _xlfn.NORM.S.INV(RAND())</f>
        <v>5.5871918179764696E-2</v>
      </c>
    </row>
    <row r="6701" spans="18:21" x14ac:dyDescent="0.2">
      <c r="R6701" s="49">
        <v>6699</v>
      </c>
      <c r="S6701" s="59">
        <f ca="1">Dashboard!B$8* Dashboard!$F$4+Dashboard!B$10*SQRT(Dashboard!$F$4) * _xlfn.NORM.S.INV(RAND())</f>
        <v>6.173316674741294E-3</v>
      </c>
      <c r="T6701" s="59">
        <f ca="1">Dashboard!C$8* Dashboard!$F$4+Dashboard!C$10*SQRT(Dashboard!$F$4) * _xlfn.NORM.S.INV(RAND())</f>
        <v>2.23509934818731E-2</v>
      </c>
      <c r="U6701" s="59">
        <f ca="1">Dashboard!D$8* Dashboard!$F$4+Dashboard!D$10*SQRT(Dashboard!$F$4) * _xlfn.NORM.S.INV(RAND())</f>
        <v>-5.6950086223161323E-3</v>
      </c>
    </row>
    <row r="6702" spans="18:21" x14ac:dyDescent="0.2">
      <c r="R6702" s="49">
        <v>6700</v>
      </c>
      <c r="S6702" s="59">
        <f ca="1">Dashboard!B$8* Dashboard!$F$4+Dashboard!B$10*SQRT(Dashboard!$F$4) * _xlfn.NORM.S.INV(RAND())</f>
        <v>-5.919996491314055E-2</v>
      </c>
      <c r="T6702" s="59">
        <f ca="1">Dashboard!C$8* Dashboard!$F$4+Dashboard!C$10*SQRT(Dashboard!$F$4) * _xlfn.NORM.S.INV(RAND())</f>
        <v>1.1918852304099298E-2</v>
      </c>
      <c r="U6702" s="59">
        <f ca="1">Dashboard!D$8* Dashboard!$F$4+Dashboard!D$10*SQRT(Dashboard!$F$4) * _xlfn.NORM.S.INV(RAND())</f>
        <v>3.3541009693301829E-2</v>
      </c>
    </row>
    <row r="6703" spans="18:21" x14ac:dyDescent="0.2">
      <c r="R6703" s="49">
        <v>6701</v>
      </c>
      <c r="S6703" s="59">
        <f ca="1">Dashboard!B$8* Dashboard!$F$4+Dashboard!B$10*SQRT(Dashboard!$F$4) * _xlfn.NORM.S.INV(RAND())</f>
        <v>8.6215608413698352E-3</v>
      </c>
      <c r="T6703" s="59">
        <f ca="1">Dashboard!C$8* Dashboard!$F$4+Dashboard!C$10*SQRT(Dashboard!$F$4) * _xlfn.NORM.S.INV(RAND())</f>
        <v>-1.5048078804879173E-2</v>
      </c>
      <c r="U6703" s="59">
        <f ca="1">Dashboard!D$8* Dashboard!$F$4+Dashboard!D$10*SQRT(Dashboard!$F$4) * _xlfn.NORM.S.INV(RAND())</f>
        <v>-3.4932215144233367E-3</v>
      </c>
    </row>
    <row r="6704" spans="18:21" x14ac:dyDescent="0.2">
      <c r="R6704" s="49">
        <v>6702</v>
      </c>
      <c r="S6704" s="59">
        <f ca="1">Dashboard!B$8* Dashboard!$F$4+Dashboard!B$10*SQRT(Dashboard!$F$4) * _xlfn.NORM.S.INV(RAND())</f>
        <v>2.123817920651145E-2</v>
      </c>
      <c r="T6704" s="59">
        <f ca="1">Dashboard!C$8* Dashboard!$F$4+Dashboard!C$10*SQRT(Dashboard!$F$4) * _xlfn.NORM.S.INV(RAND())</f>
        <v>-4.6123568525035748E-2</v>
      </c>
      <c r="U6704" s="59">
        <f ca="1">Dashboard!D$8* Dashboard!$F$4+Dashboard!D$10*SQRT(Dashboard!$F$4) * _xlfn.NORM.S.INV(RAND())</f>
        <v>8.6457762821436947E-3</v>
      </c>
    </row>
    <row r="6705" spans="18:21" x14ac:dyDescent="0.2">
      <c r="R6705" s="49">
        <v>6703</v>
      </c>
      <c r="S6705" s="59">
        <f ca="1">Dashboard!B$8* Dashboard!$F$4+Dashboard!B$10*SQRT(Dashboard!$F$4) * _xlfn.NORM.S.INV(RAND())</f>
        <v>-4.0415415684744452E-2</v>
      </c>
      <c r="T6705" s="59">
        <f ca="1">Dashboard!C$8* Dashboard!$F$4+Dashboard!C$10*SQRT(Dashboard!$F$4) * _xlfn.NORM.S.INV(RAND())</f>
        <v>4.1580678709376054E-2</v>
      </c>
      <c r="U6705" s="59">
        <f ca="1">Dashboard!D$8* Dashboard!$F$4+Dashboard!D$10*SQRT(Dashboard!$F$4) * _xlfn.NORM.S.INV(RAND())</f>
        <v>-1.6520677006557277E-2</v>
      </c>
    </row>
    <row r="6706" spans="18:21" x14ac:dyDescent="0.2">
      <c r="R6706" s="49">
        <v>6704</v>
      </c>
      <c r="S6706" s="59">
        <f ca="1">Dashboard!B$8* Dashboard!$F$4+Dashboard!B$10*SQRT(Dashboard!$F$4) * _xlfn.NORM.S.INV(RAND())</f>
        <v>-4.4376391578914098E-2</v>
      </c>
      <c r="T6706" s="59">
        <f ca="1">Dashboard!C$8* Dashboard!$F$4+Dashboard!C$10*SQRT(Dashboard!$F$4) * _xlfn.NORM.S.INV(RAND())</f>
        <v>-5.0229044673013026E-3</v>
      </c>
      <c r="U6706" s="59">
        <f ca="1">Dashboard!D$8* Dashboard!$F$4+Dashboard!D$10*SQRT(Dashboard!$F$4) * _xlfn.NORM.S.INV(RAND())</f>
        <v>2.0975759337251636E-2</v>
      </c>
    </row>
    <row r="6707" spans="18:21" x14ac:dyDescent="0.2">
      <c r="R6707" s="49">
        <v>6705</v>
      </c>
      <c r="S6707" s="59">
        <f ca="1">Dashboard!B$8* Dashboard!$F$4+Dashboard!B$10*SQRT(Dashboard!$F$4) * _xlfn.NORM.S.INV(RAND())</f>
        <v>1.3176959932544403E-2</v>
      </c>
      <c r="T6707" s="59">
        <f ca="1">Dashboard!C$8* Dashboard!$F$4+Dashboard!C$10*SQRT(Dashboard!$F$4) * _xlfn.NORM.S.INV(RAND())</f>
        <v>4.7891829884106334E-2</v>
      </c>
      <c r="U6707" s="59">
        <f ca="1">Dashboard!D$8* Dashboard!$F$4+Dashboard!D$10*SQRT(Dashboard!$F$4) * _xlfn.NORM.S.INV(RAND())</f>
        <v>7.2767447013098122E-3</v>
      </c>
    </row>
    <row r="6708" spans="18:21" x14ac:dyDescent="0.2">
      <c r="R6708" s="49">
        <v>6706</v>
      </c>
      <c r="S6708" s="59">
        <f ca="1">Dashboard!B$8* Dashboard!$F$4+Dashboard!B$10*SQRT(Dashboard!$F$4) * _xlfn.NORM.S.INV(RAND())</f>
        <v>1.0427914804574079E-2</v>
      </c>
      <c r="T6708" s="59">
        <f ca="1">Dashboard!C$8* Dashboard!$F$4+Dashboard!C$10*SQRT(Dashboard!$F$4) * _xlfn.NORM.S.INV(RAND())</f>
        <v>8.5875184849158112E-3</v>
      </c>
      <c r="U6708" s="59">
        <f ca="1">Dashboard!D$8* Dashboard!$F$4+Dashboard!D$10*SQRT(Dashboard!$F$4) * _xlfn.NORM.S.INV(RAND())</f>
        <v>-3.8154640680276228E-2</v>
      </c>
    </row>
    <row r="6709" spans="18:21" x14ac:dyDescent="0.2">
      <c r="R6709" s="49">
        <v>6707</v>
      </c>
      <c r="S6709" s="59">
        <f ca="1">Dashboard!B$8* Dashboard!$F$4+Dashboard!B$10*SQRT(Dashboard!$F$4) * _xlfn.NORM.S.INV(RAND())</f>
        <v>-5.9721447191524238E-2</v>
      </c>
      <c r="T6709" s="59">
        <f ca="1">Dashboard!C$8* Dashboard!$F$4+Dashboard!C$10*SQRT(Dashboard!$F$4) * _xlfn.NORM.S.INV(RAND())</f>
        <v>-2.4813600543656601E-2</v>
      </c>
      <c r="U6709" s="59">
        <f ca="1">Dashboard!D$8* Dashboard!$F$4+Dashboard!D$10*SQRT(Dashboard!$F$4) * _xlfn.NORM.S.INV(RAND())</f>
        <v>-2.194397638900614E-2</v>
      </c>
    </row>
    <row r="6710" spans="18:21" x14ac:dyDescent="0.2">
      <c r="R6710" s="49">
        <v>6708</v>
      </c>
      <c r="S6710" s="59">
        <f ca="1">Dashboard!B$8* Dashboard!$F$4+Dashboard!B$10*SQRT(Dashboard!$F$4) * _xlfn.NORM.S.INV(RAND())</f>
        <v>-2.0124505498308677E-3</v>
      </c>
      <c r="T6710" s="59">
        <f ca="1">Dashboard!C$8* Dashboard!$F$4+Dashboard!C$10*SQRT(Dashboard!$F$4) * _xlfn.NORM.S.INV(RAND())</f>
        <v>3.3146148044265284E-3</v>
      </c>
      <c r="U6710" s="59">
        <f ca="1">Dashboard!D$8* Dashboard!$F$4+Dashboard!D$10*SQRT(Dashboard!$F$4) * _xlfn.NORM.S.INV(RAND())</f>
        <v>-2.6155011487154017E-2</v>
      </c>
    </row>
    <row r="6711" spans="18:21" x14ac:dyDescent="0.2">
      <c r="R6711" s="49">
        <v>6709</v>
      </c>
      <c r="S6711" s="59">
        <f ca="1">Dashboard!B$8* Dashboard!$F$4+Dashboard!B$10*SQRT(Dashboard!$F$4) * _xlfn.NORM.S.INV(RAND())</f>
        <v>-2.7754205517001272E-3</v>
      </c>
      <c r="T6711" s="59">
        <f ca="1">Dashboard!C$8* Dashboard!$F$4+Dashboard!C$10*SQRT(Dashboard!$F$4) * _xlfn.NORM.S.INV(RAND())</f>
        <v>-2.5477506037201097E-2</v>
      </c>
      <c r="U6711" s="59">
        <f ca="1">Dashboard!D$8* Dashboard!$F$4+Dashboard!D$10*SQRT(Dashboard!$F$4) * _xlfn.NORM.S.INV(RAND())</f>
        <v>1.0142558044876054E-2</v>
      </c>
    </row>
    <row r="6712" spans="18:21" x14ac:dyDescent="0.2">
      <c r="R6712" s="49">
        <v>6710</v>
      </c>
      <c r="S6712" s="59">
        <f ca="1">Dashboard!B$8* Dashboard!$F$4+Dashboard!B$10*SQRT(Dashboard!$F$4) * _xlfn.NORM.S.INV(RAND())</f>
        <v>2.2913968712616042E-2</v>
      </c>
      <c r="T6712" s="59">
        <f ca="1">Dashboard!C$8* Dashboard!$F$4+Dashboard!C$10*SQRT(Dashboard!$F$4) * _xlfn.NORM.S.INV(RAND())</f>
        <v>-5.9345968928797371E-2</v>
      </c>
      <c r="U6712" s="59">
        <f ca="1">Dashboard!D$8* Dashboard!$F$4+Dashboard!D$10*SQRT(Dashboard!$F$4) * _xlfn.NORM.S.INV(RAND())</f>
        <v>-2.2468241867561894E-2</v>
      </c>
    </row>
    <row r="6713" spans="18:21" x14ac:dyDescent="0.2">
      <c r="R6713" s="49">
        <v>6711</v>
      </c>
      <c r="S6713" s="59">
        <f ca="1">Dashboard!B$8* Dashboard!$F$4+Dashboard!B$10*SQRT(Dashboard!$F$4) * _xlfn.NORM.S.INV(RAND())</f>
        <v>-7.3621771182042259E-2</v>
      </c>
      <c r="T6713" s="59">
        <f ca="1">Dashboard!C$8* Dashboard!$F$4+Dashboard!C$10*SQRT(Dashboard!$F$4) * _xlfn.NORM.S.INV(RAND())</f>
        <v>-2.4545609030603897E-2</v>
      </c>
      <c r="U6713" s="59">
        <f ca="1">Dashboard!D$8* Dashboard!$F$4+Dashboard!D$10*SQRT(Dashboard!$F$4) * _xlfn.NORM.S.INV(RAND())</f>
        <v>2.8320220878841257E-2</v>
      </c>
    </row>
    <row r="6714" spans="18:21" x14ac:dyDescent="0.2">
      <c r="R6714" s="49">
        <v>6712</v>
      </c>
      <c r="S6714" s="59">
        <f ca="1">Dashboard!B$8* Dashboard!$F$4+Dashboard!B$10*SQRT(Dashboard!$F$4) * _xlfn.NORM.S.INV(RAND())</f>
        <v>-2.3205459940584426E-3</v>
      </c>
      <c r="T6714" s="59">
        <f ca="1">Dashboard!C$8* Dashboard!$F$4+Dashboard!C$10*SQRT(Dashboard!$F$4) * _xlfn.NORM.S.INV(RAND())</f>
        <v>2.5224884276256864E-2</v>
      </c>
      <c r="U6714" s="59">
        <f ca="1">Dashboard!D$8* Dashboard!$F$4+Dashboard!D$10*SQRT(Dashboard!$F$4) * _xlfn.NORM.S.INV(RAND())</f>
        <v>1.8855845969703574E-2</v>
      </c>
    </row>
    <row r="6715" spans="18:21" x14ac:dyDescent="0.2">
      <c r="R6715" s="49">
        <v>6713</v>
      </c>
      <c r="S6715" s="59">
        <f ca="1">Dashboard!B$8* Dashboard!$F$4+Dashboard!B$10*SQRT(Dashboard!$F$4) * _xlfn.NORM.S.INV(RAND())</f>
        <v>-7.2651359119549883E-2</v>
      </c>
      <c r="T6715" s="59">
        <f ca="1">Dashboard!C$8* Dashboard!$F$4+Dashboard!C$10*SQRT(Dashboard!$F$4) * _xlfn.NORM.S.INV(RAND())</f>
        <v>-2.3904510659505454E-2</v>
      </c>
      <c r="U6715" s="59">
        <f ca="1">Dashboard!D$8* Dashboard!$F$4+Dashboard!D$10*SQRT(Dashboard!$F$4) * _xlfn.NORM.S.INV(RAND())</f>
        <v>9.5805603418166064E-3</v>
      </c>
    </row>
    <row r="6716" spans="18:21" x14ac:dyDescent="0.2">
      <c r="R6716" s="49">
        <v>6714</v>
      </c>
      <c r="S6716" s="59">
        <f ca="1">Dashboard!B$8* Dashboard!$F$4+Dashboard!B$10*SQRT(Dashboard!$F$4) * _xlfn.NORM.S.INV(RAND())</f>
        <v>-1.1484751265242423E-2</v>
      </c>
      <c r="T6716" s="59">
        <f ca="1">Dashboard!C$8* Dashboard!$F$4+Dashboard!C$10*SQRT(Dashboard!$F$4) * _xlfn.NORM.S.INV(RAND())</f>
        <v>-1.5424879527045413E-2</v>
      </c>
      <c r="U6716" s="59">
        <f ca="1">Dashboard!D$8* Dashboard!$F$4+Dashboard!D$10*SQRT(Dashboard!$F$4) * _xlfn.NORM.S.INV(RAND())</f>
        <v>5.8287224088790232E-3</v>
      </c>
    </row>
    <row r="6717" spans="18:21" x14ac:dyDescent="0.2">
      <c r="R6717" s="49">
        <v>6715</v>
      </c>
      <c r="S6717" s="59">
        <f ca="1">Dashboard!B$8* Dashboard!$F$4+Dashboard!B$10*SQRT(Dashboard!$F$4) * _xlfn.NORM.S.INV(RAND())</f>
        <v>1.7039563136300095E-3</v>
      </c>
      <c r="T6717" s="59">
        <f ca="1">Dashboard!C$8* Dashboard!$F$4+Dashboard!C$10*SQRT(Dashboard!$F$4) * _xlfn.NORM.S.INV(RAND())</f>
        <v>8.0798760293237966E-3</v>
      </c>
      <c r="U6717" s="59">
        <f ca="1">Dashboard!D$8* Dashboard!$F$4+Dashboard!D$10*SQRT(Dashboard!$F$4) * _xlfn.NORM.S.INV(RAND())</f>
        <v>-1.3551985778325792E-2</v>
      </c>
    </row>
    <row r="6718" spans="18:21" x14ac:dyDescent="0.2">
      <c r="R6718" s="49">
        <v>6716</v>
      </c>
      <c r="S6718" s="59">
        <f ca="1">Dashboard!B$8* Dashboard!$F$4+Dashboard!B$10*SQRT(Dashboard!$F$4) * _xlfn.NORM.S.INV(RAND())</f>
        <v>1.2987312868733928E-2</v>
      </c>
      <c r="T6718" s="59">
        <f ca="1">Dashboard!C$8* Dashboard!$F$4+Dashboard!C$10*SQRT(Dashboard!$F$4) * _xlfn.NORM.S.INV(RAND())</f>
        <v>-9.2718697617300075E-2</v>
      </c>
      <c r="U6718" s="59">
        <f ca="1">Dashboard!D$8* Dashboard!$F$4+Dashboard!D$10*SQRT(Dashboard!$F$4) * _xlfn.NORM.S.INV(RAND())</f>
        <v>-1.6361617124113968E-2</v>
      </c>
    </row>
    <row r="6719" spans="18:21" x14ac:dyDescent="0.2">
      <c r="R6719" s="49">
        <v>6717</v>
      </c>
      <c r="S6719" s="59">
        <f ca="1">Dashboard!B$8* Dashboard!$F$4+Dashboard!B$10*SQRT(Dashboard!$F$4) * _xlfn.NORM.S.INV(RAND())</f>
        <v>5.3051485568716722E-2</v>
      </c>
      <c r="T6719" s="59">
        <f ca="1">Dashboard!C$8* Dashboard!$F$4+Dashboard!C$10*SQRT(Dashboard!$F$4) * _xlfn.NORM.S.INV(RAND())</f>
        <v>8.6129541624838032E-3</v>
      </c>
      <c r="U6719" s="59">
        <f ca="1">Dashboard!D$8* Dashboard!$F$4+Dashboard!D$10*SQRT(Dashboard!$F$4) * _xlfn.NORM.S.INV(RAND())</f>
        <v>2.5971254046772578E-2</v>
      </c>
    </row>
    <row r="6720" spans="18:21" x14ac:dyDescent="0.2">
      <c r="R6720" s="49">
        <v>6718</v>
      </c>
      <c r="S6720" s="59">
        <f ca="1">Dashboard!B$8* Dashboard!$F$4+Dashboard!B$10*SQRT(Dashboard!$F$4) * _xlfn.NORM.S.INV(RAND())</f>
        <v>-4.6713963947077886E-2</v>
      </c>
      <c r="T6720" s="59">
        <f ca="1">Dashboard!C$8* Dashboard!$F$4+Dashboard!C$10*SQRT(Dashboard!$F$4) * _xlfn.NORM.S.INV(RAND())</f>
        <v>-2.7785663756576748E-3</v>
      </c>
      <c r="U6720" s="59">
        <f ca="1">Dashboard!D$8* Dashboard!$F$4+Dashboard!D$10*SQRT(Dashboard!$F$4) * _xlfn.NORM.S.INV(RAND())</f>
        <v>8.6249129342685048E-3</v>
      </c>
    </row>
    <row r="6721" spans="18:21" x14ac:dyDescent="0.2">
      <c r="R6721" s="49">
        <v>6719</v>
      </c>
      <c r="S6721" s="59">
        <f ca="1">Dashboard!B$8* Dashboard!$F$4+Dashboard!B$10*SQRT(Dashboard!$F$4) * _xlfn.NORM.S.INV(RAND())</f>
        <v>-1.0169803149864648E-2</v>
      </c>
      <c r="T6721" s="59">
        <f ca="1">Dashboard!C$8* Dashboard!$F$4+Dashboard!C$10*SQRT(Dashboard!$F$4) * _xlfn.NORM.S.INV(RAND())</f>
        <v>-3.7791295638767007E-2</v>
      </c>
      <c r="U6721" s="59">
        <f ca="1">Dashboard!D$8* Dashboard!$F$4+Dashboard!D$10*SQRT(Dashboard!$F$4) * _xlfn.NORM.S.INV(RAND())</f>
        <v>-5.6293024018440448E-2</v>
      </c>
    </row>
    <row r="6722" spans="18:21" x14ac:dyDescent="0.2">
      <c r="R6722" s="49">
        <v>6720</v>
      </c>
      <c r="S6722" s="59">
        <f ca="1">Dashboard!B$8* Dashboard!$F$4+Dashboard!B$10*SQRT(Dashboard!$F$4) * _xlfn.NORM.S.INV(RAND())</f>
        <v>-2.5066629221086441E-2</v>
      </c>
      <c r="T6722" s="59">
        <f ca="1">Dashboard!C$8* Dashboard!$F$4+Dashboard!C$10*SQRT(Dashboard!$F$4) * _xlfn.NORM.S.INV(RAND())</f>
        <v>4.0456529644668844E-2</v>
      </c>
      <c r="U6722" s="59">
        <f ca="1">Dashboard!D$8* Dashboard!$F$4+Dashboard!D$10*SQRT(Dashboard!$F$4) * _xlfn.NORM.S.INV(RAND())</f>
        <v>5.8229229076090662E-2</v>
      </c>
    </row>
    <row r="6723" spans="18:21" x14ac:dyDescent="0.2">
      <c r="R6723" s="49">
        <v>6721</v>
      </c>
      <c r="S6723" s="59">
        <f ca="1">Dashboard!B$8* Dashboard!$F$4+Dashboard!B$10*SQRT(Dashboard!$F$4) * _xlfn.NORM.S.INV(RAND())</f>
        <v>-4.4619043472172146E-2</v>
      </c>
      <c r="T6723" s="59">
        <f ca="1">Dashboard!C$8* Dashboard!$F$4+Dashboard!C$10*SQRT(Dashboard!$F$4) * _xlfn.NORM.S.INV(RAND())</f>
        <v>9.3723736960299259E-2</v>
      </c>
      <c r="U6723" s="59">
        <f ca="1">Dashboard!D$8* Dashboard!$F$4+Dashboard!D$10*SQRT(Dashboard!$F$4) * _xlfn.NORM.S.INV(RAND())</f>
        <v>3.7435961614468466E-2</v>
      </c>
    </row>
    <row r="6724" spans="18:21" x14ac:dyDescent="0.2">
      <c r="R6724" s="49">
        <v>6722</v>
      </c>
      <c r="S6724" s="59">
        <f ca="1">Dashboard!B$8* Dashboard!$F$4+Dashboard!B$10*SQRT(Dashboard!$F$4) * _xlfn.NORM.S.INV(RAND())</f>
        <v>-4.3974788316648056E-2</v>
      </c>
      <c r="T6724" s="59">
        <f ca="1">Dashboard!C$8* Dashboard!$F$4+Dashboard!C$10*SQRT(Dashboard!$F$4) * _xlfn.NORM.S.INV(RAND())</f>
        <v>-2.3940505380295931E-4</v>
      </c>
      <c r="U6724" s="59">
        <f ca="1">Dashboard!D$8* Dashboard!$F$4+Dashboard!D$10*SQRT(Dashboard!$F$4) * _xlfn.NORM.S.INV(RAND())</f>
        <v>4.7562138694475009E-2</v>
      </c>
    </row>
    <row r="6725" spans="18:21" x14ac:dyDescent="0.2">
      <c r="R6725" s="49">
        <v>6723</v>
      </c>
      <c r="S6725" s="59">
        <f ca="1">Dashboard!B$8* Dashboard!$F$4+Dashboard!B$10*SQRT(Dashboard!$F$4) * _xlfn.NORM.S.INV(RAND())</f>
        <v>-4.7995582282295501E-2</v>
      </c>
      <c r="T6725" s="59">
        <f ca="1">Dashboard!C$8* Dashboard!$F$4+Dashboard!C$10*SQRT(Dashboard!$F$4) * _xlfn.NORM.S.INV(RAND())</f>
        <v>-1.2144182696132461E-2</v>
      </c>
      <c r="U6725" s="59">
        <f ca="1">Dashboard!D$8* Dashboard!$F$4+Dashboard!D$10*SQRT(Dashboard!$F$4) * _xlfn.NORM.S.INV(RAND())</f>
        <v>6.6104579082449072E-2</v>
      </c>
    </row>
    <row r="6726" spans="18:21" x14ac:dyDescent="0.2">
      <c r="R6726" s="49">
        <v>6724</v>
      </c>
      <c r="S6726" s="59">
        <f ca="1">Dashboard!B$8* Dashboard!$F$4+Dashboard!B$10*SQRT(Dashboard!$F$4) * _xlfn.NORM.S.INV(RAND())</f>
        <v>2.8845131348990909E-2</v>
      </c>
      <c r="T6726" s="59">
        <f ca="1">Dashboard!C$8* Dashboard!$F$4+Dashboard!C$10*SQRT(Dashboard!$F$4) * _xlfn.NORM.S.INV(RAND())</f>
        <v>5.2086841243020902E-3</v>
      </c>
      <c r="U6726" s="59">
        <f ca="1">Dashboard!D$8* Dashboard!$F$4+Dashboard!D$10*SQRT(Dashboard!$F$4) * _xlfn.NORM.S.INV(RAND())</f>
        <v>-5.4580968886621575E-2</v>
      </c>
    </row>
    <row r="6727" spans="18:21" x14ac:dyDescent="0.2">
      <c r="R6727" s="49">
        <v>6725</v>
      </c>
      <c r="S6727" s="59">
        <f ca="1">Dashboard!B$8* Dashboard!$F$4+Dashboard!B$10*SQRT(Dashboard!$F$4) * _xlfn.NORM.S.INV(RAND())</f>
        <v>-4.7212664031981138E-3</v>
      </c>
      <c r="T6727" s="59">
        <f ca="1">Dashboard!C$8* Dashboard!$F$4+Dashboard!C$10*SQRT(Dashboard!$F$4) * _xlfn.NORM.S.INV(RAND())</f>
        <v>-4.1679622968770279E-2</v>
      </c>
      <c r="U6727" s="59">
        <f ca="1">Dashboard!D$8* Dashboard!$F$4+Dashboard!D$10*SQRT(Dashboard!$F$4) * _xlfn.NORM.S.INV(RAND())</f>
        <v>-4.5471468214342538E-2</v>
      </c>
    </row>
    <row r="6728" spans="18:21" x14ac:dyDescent="0.2">
      <c r="R6728" s="49">
        <v>6726</v>
      </c>
      <c r="S6728" s="59">
        <f ca="1">Dashboard!B$8* Dashboard!$F$4+Dashboard!B$10*SQRT(Dashboard!$F$4) * _xlfn.NORM.S.INV(RAND())</f>
        <v>-1.7093553916996095E-4</v>
      </c>
      <c r="T6728" s="59">
        <f ca="1">Dashboard!C$8* Dashboard!$F$4+Dashboard!C$10*SQRT(Dashboard!$F$4) * _xlfn.NORM.S.INV(RAND())</f>
        <v>2.5491054290432028E-2</v>
      </c>
      <c r="U6728" s="59">
        <f ca="1">Dashboard!D$8* Dashboard!$F$4+Dashboard!D$10*SQRT(Dashboard!$F$4) * _xlfn.NORM.S.INV(RAND())</f>
        <v>-2.4835614807236568E-2</v>
      </c>
    </row>
    <row r="6729" spans="18:21" x14ac:dyDescent="0.2">
      <c r="R6729" s="49">
        <v>6727</v>
      </c>
      <c r="S6729" s="59">
        <f ca="1">Dashboard!B$8* Dashboard!$F$4+Dashboard!B$10*SQRT(Dashboard!$F$4) * _xlfn.NORM.S.INV(RAND())</f>
        <v>-3.2307890661749036E-2</v>
      </c>
      <c r="T6729" s="59">
        <f ca="1">Dashboard!C$8* Dashboard!$F$4+Dashboard!C$10*SQRT(Dashboard!$F$4) * _xlfn.NORM.S.INV(RAND())</f>
        <v>5.9381606851527095E-2</v>
      </c>
      <c r="U6729" s="59">
        <f ca="1">Dashboard!D$8* Dashboard!$F$4+Dashboard!D$10*SQRT(Dashboard!$F$4) * _xlfn.NORM.S.INV(RAND())</f>
        <v>-3.5508623375997521E-2</v>
      </c>
    </row>
    <row r="6730" spans="18:21" x14ac:dyDescent="0.2">
      <c r="R6730" s="49">
        <v>6728</v>
      </c>
      <c r="S6730" s="59">
        <f ca="1">Dashboard!B$8* Dashboard!$F$4+Dashboard!B$10*SQRT(Dashboard!$F$4) * _xlfn.NORM.S.INV(RAND())</f>
        <v>6.4557841621177517E-2</v>
      </c>
      <c r="T6730" s="59">
        <f ca="1">Dashboard!C$8* Dashboard!$F$4+Dashboard!C$10*SQRT(Dashboard!$F$4) * _xlfn.NORM.S.INV(RAND())</f>
        <v>3.6902610567025045E-3</v>
      </c>
      <c r="U6730" s="59">
        <f ca="1">Dashboard!D$8* Dashboard!$F$4+Dashboard!D$10*SQRT(Dashboard!$F$4) * _xlfn.NORM.S.INV(RAND())</f>
        <v>6.5700290106487022E-2</v>
      </c>
    </row>
    <row r="6731" spans="18:21" x14ac:dyDescent="0.2">
      <c r="R6731" s="49">
        <v>6729</v>
      </c>
      <c r="S6731" s="59">
        <f ca="1">Dashboard!B$8* Dashboard!$F$4+Dashboard!B$10*SQRT(Dashboard!$F$4) * _xlfn.NORM.S.INV(RAND())</f>
        <v>2.8027530686387928E-2</v>
      </c>
      <c r="T6731" s="59">
        <f ca="1">Dashboard!C$8* Dashboard!$F$4+Dashboard!C$10*SQRT(Dashboard!$F$4) * _xlfn.NORM.S.INV(RAND())</f>
        <v>-2.4488754903064937E-2</v>
      </c>
      <c r="U6731" s="59">
        <f ca="1">Dashboard!D$8* Dashboard!$F$4+Dashboard!D$10*SQRT(Dashboard!$F$4) * _xlfn.NORM.S.INV(RAND())</f>
        <v>-3.6968604528540561E-2</v>
      </c>
    </row>
    <row r="6732" spans="18:21" x14ac:dyDescent="0.2">
      <c r="R6732" s="49">
        <v>6730</v>
      </c>
      <c r="S6732" s="59">
        <f ca="1">Dashboard!B$8* Dashboard!$F$4+Dashboard!B$10*SQRT(Dashboard!$F$4) * _xlfn.NORM.S.INV(RAND())</f>
        <v>-8.6198811798104263E-3</v>
      </c>
      <c r="T6732" s="59">
        <f ca="1">Dashboard!C$8* Dashboard!$F$4+Dashboard!C$10*SQRT(Dashboard!$F$4) * _xlfn.NORM.S.INV(RAND())</f>
        <v>-3.826817190063133E-2</v>
      </c>
      <c r="U6732" s="59">
        <f ca="1">Dashboard!D$8* Dashboard!$F$4+Dashboard!D$10*SQRT(Dashboard!$F$4) * _xlfn.NORM.S.INV(RAND())</f>
        <v>1.1114568750185991E-3</v>
      </c>
    </row>
    <row r="6733" spans="18:21" x14ac:dyDescent="0.2">
      <c r="R6733" s="49">
        <v>6731</v>
      </c>
      <c r="S6733" s="59">
        <f ca="1">Dashboard!B$8* Dashboard!$F$4+Dashboard!B$10*SQRT(Dashboard!$F$4) * _xlfn.NORM.S.INV(RAND())</f>
        <v>-6.4973754369568541E-3</v>
      </c>
      <c r="T6733" s="59">
        <f ca="1">Dashboard!C$8* Dashboard!$F$4+Dashboard!C$10*SQRT(Dashboard!$F$4) * _xlfn.NORM.S.INV(RAND())</f>
        <v>-4.0044129841435433E-2</v>
      </c>
      <c r="U6733" s="59">
        <f ca="1">Dashboard!D$8* Dashboard!$F$4+Dashboard!D$10*SQRT(Dashboard!$F$4) * _xlfn.NORM.S.INV(RAND())</f>
        <v>2.689618271990624E-2</v>
      </c>
    </row>
    <row r="6734" spans="18:21" x14ac:dyDescent="0.2">
      <c r="R6734" s="49">
        <v>6732</v>
      </c>
      <c r="S6734" s="59">
        <f ca="1">Dashboard!B$8* Dashboard!$F$4+Dashboard!B$10*SQRT(Dashboard!$F$4) * _xlfn.NORM.S.INV(RAND())</f>
        <v>-1.9980958967964133E-2</v>
      </c>
      <c r="T6734" s="59">
        <f ca="1">Dashboard!C$8* Dashboard!$F$4+Dashboard!C$10*SQRT(Dashboard!$F$4) * _xlfn.NORM.S.INV(RAND())</f>
        <v>-7.3532057512356544E-2</v>
      </c>
      <c r="U6734" s="59">
        <f ca="1">Dashboard!D$8* Dashboard!$F$4+Dashboard!D$10*SQRT(Dashboard!$F$4) * _xlfn.NORM.S.INV(RAND())</f>
        <v>-3.8616292722234276E-2</v>
      </c>
    </row>
    <row r="6735" spans="18:21" x14ac:dyDescent="0.2">
      <c r="R6735" s="49">
        <v>6733</v>
      </c>
      <c r="S6735" s="59">
        <f ca="1">Dashboard!B$8* Dashboard!$F$4+Dashboard!B$10*SQRT(Dashboard!$F$4) * _xlfn.NORM.S.INV(RAND())</f>
        <v>1.0102785605364805E-2</v>
      </c>
      <c r="T6735" s="59">
        <f ca="1">Dashboard!C$8* Dashboard!$F$4+Dashboard!C$10*SQRT(Dashboard!$F$4) * _xlfn.NORM.S.INV(RAND())</f>
        <v>-1.405434632782036E-2</v>
      </c>
      <c r="U6735" s="59">
        <f ca="1">Dashboard!D$8* Dashboard!$F$4+Dashboard!D$10*SQRT(Dashboard!$F$4) * _xlfn.NORM.S.INV(RAND())</f>
        <v>-1.6382145745962893E-2</v>
      </c>
    </row>
    <row r="6736" spans="18:21" x14ac:dyDescent="0.2">
      <c r="R6736" s="49">
        <v>6734</v>
      </c>
      <c r="S6736" s="59">
        <f ca="1">Dashboard!B$8* Dashboard!$F$4+Dashboard!B$10*SQRT(Dashboard!$F$4) * _xlfn.NORM.S.INV(RAND())</f>
        <v>-9.420175050854249E-3</v>
      </c>
      <c r="T6736" s="59">
        <f ca="1">Dashboard!C$8* Dashboard!$F$4+Dashboard!C$10*SQRT(Dashboard!$F$4) * _xlfn.NORM.S.INV(RAND())</f>
        <v>3.0153549964342191E-2</v>
      </c>
      <c r="U6736" s="59">
        <f ca="1">Dashboard!D$8* Dashboard!$F$4+Dashboard!D$10*SQRT(Dashboard!$F$4) * _xlfn.NORM.S.INV(RAND())</f>
        <v>-3.2898007678074791E-2</v>
      </c>
    </row>
    <row r="6737" spans="18:21" x14ac:dyDescent="0.2">
      <c r="R6737" s="49">
        <v>6735</v>
      </c>
      <c r="S6737" s="59">
        <f ca="1">Dashboard!B$8* Dashboard!$F$4+Dashboard!B$10*SQRT(Dashboard!$F$4) * _xlfn.NORM.S.INV(RAND())</f>
        <v>2.1155980454576798E-2</v>
      </c>
      <c r="T6737" s="59">
        <f ca="1">Dashboard!C$8* Dashboard!$F$4+Dashboard!C$10*SQRT(Dashboard!$F$4) * _xlfn.NORM.S.INV(RAND())</f>
        <v>-2.3228253861034897E-2</v>
      </c>
      <c r="U6737" s="59">
        <f ca="1">Dashboard!D$8* Dashboard!$F$4+Dashboard!D$10*SQRT(Dashboard!$F$4) * _xlfn.NORM.S.INV(RAND())</f>
        <v>-2.2748187231649728E-3</v>
      </c>
    </row>
    <row r="6738" spans="18:21" x14ac:dyDescent="0.2">
      <c r="R6738" s="49">
        <v>6736</v>
      </c>
      <c r="S6738" s="59">
        <f ca="1">Dashboard!B$8* Dashboard!$F$4+Dashboard!B$10*SQRT(Dashboard!$F$4) * _xlfn.NORM.S.INV(RAND())</f>
        <v>4.0414372826454166E-2</v>
      </c>
      <c r="T6738" s="59">
        <f ca="1">Dashboard!C$8* Dashboard!$F$4+Dashboard!C$10*SQRT(Dashboard!$F$4) * _xlfn.NORM.S.INV(RAND())</f>
        <v>3.2785211549822009E-2</v>
      </c>
      <c r="U6738" s="59">
        <f ca="1">Dashboard!D$8* Dashboard!$F$4+Dashboard!D$10*SQRT(Dashboard!$F$4) * _xlfn.NORM.S.INV(RAND())</f>
        <v>-5.7066811774709555E-2</v>
      </c>
    </row>
    <row r="6739" spans="18:21" x14ac:dyDescent="0.2">
      <c r="R6739" s="49">
        <v>6737</v>
      </c>
      <c r="S6739" s="59">
        <f ca="1">Dashboard!B$8* Dashboard!$F$4+Dashboard!B$10*SQRT(Dashboard!$F$4) * _xlfn.NORM.S.INV(RAND())</f>
        <v>1.182620554385065E-2</v>
      </c>
      <c r="T6739" s="59">
        <f ca="1">Dashboard!C$8* Dashboard!$F$4+Dashboard!C$10*SQRT(Dashboard!$F$4) * _xlfn.NORM.S.INV(RAND())</f>
        <v>-1.3954532272600875E-2</v>
      </c>
      <c r="U6739" s="59">
        <f ca="1">Dashboard!D$8* Dashboard!$F$4+Dashboard!D$10*SQRT(Dashboard!$F$4) * _xlfn.NORM.S.INV(RAND())</f>
        <v>-8.9549656204048044E-3</v>
      </c>
    </row>
    <row r="6740" spans="18:21" x14ac:dyDescent="0.2">
      <c r="R6740" s="49">
        <v>6738</v>
      </c>
      <c r="S6740" s="59">
        <f ca="1">Dashboard!B$8* Dashboard!$F$4+Dashboard!B$10*SQRT(Dashboard!$F$4) * _xlfn.NORM.S.INV(RAND())</f>
        <v>-1.4998173008456609E-2</v>
      </c>
      <c r="T6740" s="59">
        <f ca="1">Dashboard!C$8* Dashboard!$F$4+Dashboard!C$10*SQRT(Dashboard!$F$4) * _xlfn.NORM.S.INV(RAND())</f>
        <v>7.4248769870907963E-2</v>
      </c>
      <c r="U6740" s="59">
        <f ca="1">Dashboard!D$8* Dashboard!$F$4+Dashboard!D$10*SQRT(Dashboard!$F$4) * _xlfn.NORM.S.INV(RAND())</f>
        <v>-1.3869992548539016E-2</v>
      </c>
    </row>
    <row r="6741" spans="18:21" x14ac:dyDescent="0.2">
      <c r="R6741" s="49">
        <v>6739</v>
      </c>
      <c r="S6741" s="59">
        <f ca="1">Dashboard!B$8* Dashboard!$F$4+Dashboard!B$10*SQRT(Dashboard!$F$4) * _xlfn.NORM.S.INV(RAND())</f>
        <v>-2.3811796264811246E-2</v>
      </c>
      <c r="T6741" s="59">
        <f ca="1">Dashboard!C$8* Dashboard!$F$4+Dashboard!C$10*SQRT(Dashboard!$F$4) * _xlfn.NORM.S.INV(RAND())</f>
        <v>4.3026429710791701E-2</v>
      </c>
      <c r="U6741" s="59">
        <f ca="1">Dashboard!D$8* Dashboard!$F$4+Dashboard!D$10*SQRT(Dashboard!$F$4) * _xlfn.NORM.S.INV(RAND())</f>
        <v>-5.6885163462217968E-2</v>
      </c>
    </row>
    <row r="6742" spans="18:21" x14ac:dyDescent="0.2">
      <c r="R6742" s="49">
        <v>6740</v>
      </c>
      <c r="S6742" s="59">
        <f ca="1">Dashboard!B$8* Dashboard!$F$4+Dashboard!B$10*SQRT(Dashboard!$F$4) * _xlfn.NORM.S.INV(RAND())</f>
        <v>-4.3448430370426359E-2</v>
      </c>
      <c r="T6742" s="59">
        <f ca="1">Dashboard!C$8* Dashboard!$F$4+Dashboard!C$10*SQRT(Dashboard!$F$4) * _xlfn.NORM.S.INV(RAND())</f>
        <v>7.4614142691576601E-3</v>
      </c>
      <c r="U6742" s="59">
        <f ca="1">Dashboard!D$8* Dashboard!$F$4+Dashboard!D$10*SQRT(Dashboard!$F$4) * _xlfn.NORM.S.INV(RAND())</f>
        <v>-1.4902858059212142E-2</v>
      </c>
    </row>
    <row r="6743" spans="18:21" x14ac:dyDescent="0.2">
      <c r="R6743" s="49">
        <v>6741</v>
      </c>
      <c r="S6743" s="59">
        <f ca="1">Dashboard!B$8* Dashboard!$F$4+Dashboard!B$10*SQRT(Dashboard!$F$4) * _xlfn.NORM.S.INV(RAND())</f>
        <v>-4.2906990511966676E-2</v>
      </c>
      <c r="T6743" s="59">
        <f ca="1">Dashboard!C$8* Dashboard!$F$4+Dashboard!C$10*SQRT(Dashboard!$F$4) * _xlfn.NORM.S.INV(RAND())</f>
        <v>2.8246737848305883E-3</v>
      </c>
      <c r="U6743" s="59">
        <f ca="1">Dashboard!D$8* Dashboard!$F$4+Dashboard!D$10*SQRT(Dashboard!$F$4) * _xlfn.NORM.S.INV(RAND())</f>
        <v>6.564011160374892E-3</v>
      </c>
    </row>
    <row r="6744" spans="18:21" x14ac:dyDescent="0.2">
      <c r="R6744" s="49">
        <v>6742</v>
      </c>
      <c r="S6744" s="59">
        <f ca="1">Dashboard!B$8* Dashboard!$F$4+Dashboard!B$10*SQRT(Dashboard!$F$4) * _xlfn.NORM.S.INV(RAND())</f>
        <v>-3.7744832313862879E-2</v>
      </c>
      <c r="T6744" s="59">
        <f ca="1">Dashboard!C$8* Dashboard!$F$4+Dashboard!C$10*SQRT(Dashboard!$F$4) * _xlfn.NORM.S.INV(RAND())</f>
        <v>1.6796678697230095E-2</v>
      </c>
      <c r="U6744" s="59">
        <f ca="1">Dashboard!D$8* Dashboard!$F$4+Dashboard!D$10*SQRT(Dashboard!$F$4) * _xlfn.NORM.S.INV(RAND())</f>
        <v>-9.0649073868178335E-3</v>
      </c>
    </row>
    <row r="6745" spans="18:21" x14ac:dyDescent="0.2">
      <c r="R6745" s="49">
        <v>6743</v>
      </c>
      <c r="S6745" s="59">
        <f ca="1">Dashboard!B$8* Dashboard!$F$4+Dashboard!B$10*SQRT(Dashboard!$F$4) * _xlfn.NORM.S.INV(RAND())</f>
        <v>6.347284583985989E-2</v>
      </c>
      <c r="T6745" s="59">
        <f ca="1">Dashboard!C$8* Dashboard!$F$4+Dashboard!C$10*SQRT(Dashboard!$F$4) * _xlfn.NORM.S.INV(RAND())</f>
        <v>4.1933980438238067E-2</v>
      </c>
      <c r="U6745" s="59">
        <f ca="1">Dashboard!D$8* Dashboard!$F$4+Dashboard!D$10*SQRT(Dashboard!$F$4) * _xlfn.NORM.S.INV(RAND())</f>
        <v>-1.8982648513235955E-2</v>
      </c>
    </row>
    <row r="6746" spans="18:21" x14ac:dyDescent="0.2">
      <c r="R6746" s="49">
        <v>6744</v>
      </c>
      <c r="S6746" s="59">
        <f ca="1">Dashboard!B$8* Dashboard!$F$4+Dashboard!B$10*SQRT(Dashboard!$F$4) * _xlfn.NORM.S.INV(RAND())</f>
        <v>2.0221786286077632E-2</v>
      </c>
      <c r="T6746" s="59">
        <f ca="1">Dashboard!C$8* Dashboard!$F$4+Dashboard!C$10*SQRT(Dashboard!$F$4) * _xlfn.NORM.S.INV(RAND())</f>
        <v>-3.4021913761096536E-3</v>
      </c>
      <c r="U6746" s="59">
        <f ca="1">Dashboard!D$8* Dashboard!$F$4+Dashboard!D$10*SQRT(Dashboard!$F$4) * _xlfn.NORM.S.INV(RAND())</f>
        <v>-1.7341783779699273E-2</v>
      </c>
    </row>
    <row r="6747" spans="18:21" x14ac:dyDescent="0.2">
      <c r="R6747" s="49">
        <v>6745</v>
      </c>
      <c r="S6747" s="59">
        <f ca="1">Dashboard!B$8* Dashboard!$F$4+Dashboard!B$10*SQRT(Dashboard!$F$4) * _xlfn.NORM.S.INV(RAND())</f>
        <v>-2.6463190871675348E-2</v>
      </c>
      <c r="T6747" s="59">
        <f ca="1">Dashboard!C$8* Dashboard!$F$4+Dashboard!C$10*SQRT(Dashboard!$F$4) * _xlfn.NORM.S.INV(RAND())</f>
        <v>1.8009279895879901E-2</v>
      </c>
      <c r="U6747" s="59">
        <f ca="1">Dashboard!D$8* Dashboard!$F$4+Dashboard!D$10*SQRT(Dashboard!$F$4) * _xlfn.NORM.S.INV(RAND())</f>
        <v>-1.4388936178662643E-2</v>
      </c>
    </row>
    <row r="6748" spans="18:21" x14ac:dyDescent="0.2">
      <c r="R6748" s="49">
        <v>6746</v>
      </c>
      <c r="S6748" s="59">
        <f ca="1">Dashboard!B$8* Dashboard!$F$4+Dashboard!B$10*SQRT(Dashboard!$F$4) * _xlfn.NORM.S.INV(RAND())</f>
        <v>5.9396501249140282E-3</v>
      </c>
      <c r="T6748" s="59">
        <f ca="1">Dashboard!C$8* Dashboard!$F$4+Dashboard!C$10*SQRT(Dashboard!$F$4) * _xlfn.NORM.S.INV(RAND())</f>
        <v>-9.4618582064504672E-2</v>
      </c>
      <c r="U6748" s="59">
        <f ca="1">Dashboard!D$8* Dashboard!$F$4+Dashboard!D$10*SQRT(Dashboard!$F$4) * _xlfn.NORM.S.INV(RAND())</f>
        <v>1.1552717728875542E-2</v>
      </c>
    </row>
    <row r="6749" spans="18:21" x14ac:dyDescent="0.2">
      <c r="R6749" s="49">
        <v>6747</v>
      </c>
      <c r="S6749" s="59">
        <f ca="1">Dashboard!B$8* Dashboard!$F$4+Dashboard!B$10*SQRT(Dashboard!$F$4) * _xlfn.NORM.S.INV(RAND())</f>
        <v>-3.5520541210615895E-2</v>
      </c>
      <c r="T6749" s="59">
        <f ca="1">Dashboard!C$8* Dashboard!$F$4+Dashboard!C$10*SQRT(Dashboard!$F$4) * _xlfn.NORM.S.INV(RAND())</f>
        <v>-1.6946560875241183E-3</v>
      </c>
      <c r="U6749" s="59">
        <f ca="1">Dashboard!D$8* Dashboard!$F$4+Dashboard!D$10*SQRT(Dashboard!$F$4) * _xlfn.NORM.S.INV(RAND())</f>
        <v>-1.40534773774003E-2</v>
      </c>
    </row>
    <row r="6750" spans="18:21" x14ac:dyDescent="0.2">
      <c r="R6750" s="49">
        <v>6748</v>
      </c>
      <c r="S6750" s="59">
        <f ca="1">Dashboard!B$8* Dashboard!$F$4+Dashboard!B$10*SQRT(Dashboard!$F$4) * _xlfn.NORM.S.INV(RAND())</f>
        <v>-6.4565061626659613E-4</v>
      </c>
      <c r="T6750" s="59">
        <f ca="1">Dashboard!C$8* Dashboard!$F$4+Dashboard!C$10*SQRT(Dashboard!$F$4) * _xlfn.NORM.S.INV(RAND())</f>
        <v>8.5427758608719274E-4</v>
      </c>
      <c r="U6750" s="59">
        <f ca="1">Dashboard!D$8* Dashboard!$F$4+Dashboard!D$10*SQRT(Dashboard!$F$4) * _xlfn.NORM.S.INV(RAND())</f>
        <v>3.8069023648473199E-3</v>
      </c>
    </row>
    <row r="6751" spans="18:21" x14ac:dyDescent="0.2">
      <c r="R6751" s="49">
        <v>6749</v>
      </c>
      <c r="S6751" s="59">
        <f ca="1">Dashboard!B$8* Dashboard!$F$4+Dashboard!B$10*SQRT(Dashboard!$F$4) * _xlfn.NORM.S.INV(RAND())</f>
        <v>-3.8134881509352007E-2</v>
      </c>
      <c r="T6751" s="59">
        <f ca="1">Dashboard!C$8* Dashboard!$F$4+Dashboard!C$10*SQRT(Dashboard!$F$4) * _xlfn.NORM.S.INV(RAND())</f>
        <v>-4.610085888686289E-2</v>
      </c>
      <c r="U6751" s="59">
        <f ca="1">Dashboard!D$8* Dashboard!$F$4+Dashboard!D$10*SQRT(Dashboard!$F$4) * _xlfn.NORM.S.INV(RAND())</f>
        <v>7.9940296990043722E-2</v>
      </c>
    </row>
    <row r="6752" spans="18:21" x14ac:dyDescent="0.2">
      <c r="R6752" s="49">
        <v>6750</v>
      </c>
      <c r="S6752" s="59">
        <f ca="1">Dashboard!B$8* Dashboard!$F$4+Dashboard!B$10*SQRT(Dashboard!$F$4) * _xlfn.NORM.S.INV(RAND())</f>
        <v>5.4378694775500169E-2</v>
      </c>
      <c r="T6752" s="59">
        <f ca="1">Dashboard!C$8* Dashboard!$F$4+Dashboard!C$10*SQRT(Dashboard!$F$4) * _xlfn.NORM.S.INV(RAND())</f>
        <v>1.1410606884554555E-2</v>
      </c>
      <c r="U6752" s="59">
        <f ca="1">Dashboard!D$8* Dashboard!$F$4+Dashboard!D$10*SQRT(Dashboard!$F$4) * _xlfn.NORM.S.INV(RAND())</f>
        <v>-1.07435019821295E-2</v>
      </c>
    </row>
    <row r="6753" spans="18:21" x14ac:dyDescent="0.2">
      <c r="R6753" s="49">
        <v>6751</v>
      </c>
      <c r="S6753" s="59">
        <f ca="1">Dashboard!B$8* Dashboard!$F$4+Dashboard!B$10*SQRT(Dashboard!$F$4) * _xlfn.NORM.S.INV(RAND())</f>
        <v>2.0247037249128103E-2</v>
      </c>
      <c r="T6753" s="59">
        <f ca="1">Dashboard!C$8* Dashboard!$F$4+Dashboard!C$10*SQRT(Dashboard!$F$4) * _xlfn.NORM.S.INV(RAND())</f>
        <v>5.5733946667579609E-2</v>
      </c>
      <c r="U6753" s="59">
        <f ca="1">Dashboard!D$8* Dashboard!$F$4+Dashboard!D$10*SQRT(Dashboard!$F$4) * _xlfn.NORM.S.INV(RAND())</f>
        <v>-1.6847402780610386E-2</v>
      </c>
    </row>
    <row r="6754" spans="18:21" x14ac:dyDescent="0.2">
      <c r="R6754" s="49">
        <v>6752</v>
      </c>
      <c r="S6754" s="59">
        <f ca="1">Dashboard!B$8* Dashboard!$F$4+Dashboard!B$10*SQRT(Dashboard!$F$4) * _xlfn.NORM.S.INV(RAND())</f>
        <v>3.2219670330469158E-2</v>
      </c>
      <c r="T6754" s="59">
        <f ca="1">Dashboard!C$8* Dashboard!$F$4+Dashboard!C$10*SQRT(Dashboard!$F$4) * _xlfn.NORM.S.INV(RAND())</f>
        <v>2.0568967952762824E-2</v>
      </c>
      <c r="U6754" s="59">
        <f ca="1">Dashboard!D$8* Dashboard!$F$4+Dashboard!D$10*SQRT(Dashboard!$F$4) * _xlfn.NORM.S.INV(RAND())</f>
        <v>1.6074261470348572E-2</v>
      </c>
    </row>
    <row r="6755" spans="18:21" x14ac:dyDescent="0.2">
      <c r="R6755" s="49">
        <v>6753</v>
      </c>
      <c r="S6755" s="59">
        <f ca="1">Dashboard!B$8* Dashboard!$F$4+Dashboard!B$10*SQRT(Dashboard!$F$4) * _xlfn.NORM.S.INV(RAND())</f>
        <v>-2.6395191004332172E-2</v>
      </c>
      <c r="T6755" s="59">
        <f ca="1">Dashboard!C$8* Dashboard!$F$4+Dashboard!C$10*SQRT(Dashboard!$F$4) * _xlfn.NORM.S.INV(RAND())</f>
        <v>4.4151996448496432E-3</v>
      </c>
      <c r="U6755" s="59">
        <f ca="1">Dashboard!D$8* Dashboard!$F$4+Dashboard!D$10*SQRT(Dashboard!$F$4) * _xlfn.NORM.S.INV(RAND())</f>
        <v>-1.4217625956447295E-3</v>
      </c>
    </row>
    <row r="6756" spans="18:21" x14ac:dyDescent="0.2">
      <c r="R6756" s="49">
        <v>6754</v>
      </c>
      <c r="S6756" s="59">
        <f ca="1">Dashboard!B$8* Dashboard!$F$4+Dashboard!B$10*SQRT(Dashboard!$F$4) * _xlfn.NORM.S.INV(RAND())</f>
        <v>2.62905964088785E-2</v>
      </c>
      <c r="T6756" s="59">
        <f ca="1">Dashboard!C$8* Dashboard!$F$4+Dashboard!C$10*SQRT(Dashboard!$F$4) * _xlfn.NORM.S.INV(RAND())</f>
        <v>2.7943113039575206E-2</v>
      </c>
      <c r="U6756" s="59">
        <f ca="1">Dashboard!D$8* Dashboard!$F$4+Dashboard!D$10*SQRT(Dashboard!$F$4) * _xlfn.NORM.S.INV(RAND())</f>
        <v>3.8538684756015025E-3</v>
      </c>
    </row>
    <row r="6757" spans="18:21" x14ac:dyDescent="0.2">
      <c r="R6757" s="49">
        <v>6755</v>
      </c>
      <c r="S6757" s="59">
        <f ca="1">Dashboard!B$8* Dashboard!$F$4+Dashboard!B$10*SQRT(Dashboard!$F$4) * _xlfn.NORM.S.INV(RAND())</f>
        <v>5.9241928043568939E-2</v>
      </c>
      <c r="T6757" s="59">
        <f ca="1">Dashboard!C$8* Dashboard!$F$4+Dashboard!C$10*SQRT(Dashboard!$F$4) * _xlfn.NORM.S.INV(RAND())</f>
        <v>-4.0841322707854184E-2</v>
      </c>
      <c r="U6757" s="59">
        <f ca="1">Dashboard!D$8* Dashboard!$F$4+Dashboard!D$10*SQRT(Dashboard!$F$4) * _xlfn.NORM.S.INV(RAND())</f>
        <v>1.1044735061998623E-2</v>
      </c>
    </row>
    <row r="6758" spans="18:21" x14ac:dyDescent="0.2">
      <c r="R6758" s="49">
        <v>6756</v>
      </c>
      <c r="S6758" s="59">
        <f ca="1">Dashboard!B$8* Dashboard!$F$4+Dashboard!B$10*SQRT(Dashboard!$F$4) * _xlfn.NORM.S.INV(RAND())</f>
        <v>1.3767151506251575E-2</v>
      </c>
      <c r="T6758" s="59">
        <f ca="1">Dashboard!C$8* Dashboard!$F$4+Dashboard!C$10*SQRT(Dashboard!$F$4) * _xlfn.NORM.S.INV(RAND())</f>
        <v>3.3893314701377367E-2</v>
      </c>
      <c r="U6758" s="59">
        <f ca="1">Dashboard!D$8* Dashboard!$F$4+Dashboard!D$10*SQRT(Dashboard!$F$4) * _xlfn.NORM.S.INV(RAND())</f>
        <v>-4.4873876977199099E-2</v>
      </c>
    </row>
    <row r="6759" spans="18:21" x14ac:dyDescent="0.2">
      <c r="R6759" s="49">
        <v>6757</v>
      </c>
      <c r="S6759" s="59">
        <f ca="1">Dashboard!B$8* Dashboard!$F$4+Dashboard!B$10*SQRT(Dashboard!$F$4) * _xlfn.NORM.S.INV(RAND())</f>
        <v>-2.2123206949008066E-2</v>
      </c>
      <c r="T6759" s="59">
        <f ca="1">Dashboard!C$8* Dashboard!$F$4+Dashboard!C$10*SQRT(Dashboard!$F$4) * _xlfn.NORM.S.INV(RAND())</f>
        <v>-1.0282598788386436E-2</v>
      </c>
      <c r="U6759" s="59">
        <f ca="1">Dashboard!D$8* Dashboard!$F$4+Dashboard!D$10*SQRT(Dashboard!$F$4) * _xlfn.NORM.S.INV(RAND())</f>
        <v>-8.5667376548864294E-3</v>
      </c>
    </row>
    <row r="6760" spans="18:21" x14ac:dyDescent="0.2">
      <c r="R6760" s="49">
        <v>6758</v>
      </c>
      <c r="S6760" s="59">
        <f ca="1">Dashboard!B$8* Dashboard!$F$4+Dashboard!B$10*SQRT(Dashboard!$F$4) * _xlfn.NORM.S.INV(RAND())</f>
        <v>2.8904903901658934E-3</v>
      </c>
      <c r="T6760" s="59">
        <f ca="1">Dashboard!C$8* Dashboard!$F$4+Dashboard!C$10*SQRT(Dashboard!$F$4) * _xlfn.NORM.S.INV(RAND())</f>
        <v>-5.2215453257701563E-2</v>
      </c>
      <c r="U6760" s="59">
        <f ca="1">Dashboard!D$8* Dashboard!$F$4+Dashboard!D$10*SQRT(Dashboard!$F$4) * _xlfn.NORM.S.INV(RAND())</f>
        <v>9.1532938329499866E-3</v>
      </c>
    </row>
    <row r="6761" spans="18:21" x14ac:dyDescent="0.2">
      <c r="R6761" s="49">
        <v>6759</v>
      </c>
      <c r="S6761" s="59">
        <f ca="1">Dashboard!B$8* Dashboard!$F$4+Dashboard!B$10*SQRT(Dashboard!$F$4) * _xlfn.NORM.S.INV(RAND())</f>
        <v>-3.0910167899331591E-2</v>
      </c>
      <c r="T6761" s="59">
        <f ca="1">Dashboard!C$8* Dashboard!$F$4+Dashboard!C$10*SQRT(Dashboard!$F$4) * _xlfn.NORM.S.INV(RAND())</f>
        <v>-1.1816834199280455E-2</v>
      </c>
      <c r="U6761" s="59">
        <f ca="1">Dashboard!D$8* Dashboard!$F$4+Dashboard!D$10*SQRT(Dashboard!$F$4) * _xlfn.NORM.S.INV(RAND())</f>
        <v>6.5777223179597041E-2</v>
      </c>
    </row>
    <row r="6762" spans="18:21" x14ac:dyDescent="0.2">
      <c r="R6762" s="49">
        <v>6760</v>
      </c>
      <c r="S6762" s="59">
        <f ca="1">Dashboard!B$8* Dashboard!$F$4+Dashboard!B$10*SQRT(Dashboard!$F$4) * _xlfn.NORM.S.INV(RAND())</f>
        <v>5.0227599164602565E-3</v>
      </c>
      <c r="T6762" s="59">
        <f ca="1">Dashboard!C$8* Dashboard!$F$4+Dashboard!C$10*SQRT(Dashboard!$F$4) * _xlfn.NORM.S.INV(RAND())</f>
        <v>-5.0322189169316285E-3</v>
      </c>
      <c r="U6762" s="59">
        <f ca="1">Dashboard!D$8* Dashboard!$F$4+Dashboard!D$10*SQRT(Dashboard!$F$4) * _xlfn.NORM.S.INV(RAND())</f>
        <v>1.363617990151594E-2</v>
      </c>
    </row>
    <row r="6763" spans="18:21" x14ac:dyDescent="0.2">
      <c r="R6763" s="49">
        <v>6761</v>
      </c>
      <c r="S6763" s="59">
        <f ca="1">Dashboard!B$8* Dashboard!$F$4+Dashboard!B$10*SQRT(Dashboard!$F$4) * _xlfn.NORM.S.INV(RAND())</f>
        <v>1.9367659641467902E-2</v>
      </c>
      <c r="T6763" s="59">
        <f ca="1">Dashboard!C$8* Dashboard!$F$4+Dashboard!C$10*SQRT(Dashboard!$F$4) * _xlfn.NORM.S.INV(RAND())</f>
        <v>1.3874091902469597E-2</v>
      </c>
      <c r="U6763" s="59">
        <f ca="1">Dashboard!D$8* Dashboard!$F$4+Dashboard!D$10*SQRT(Dashboard!$F$4) * _xlfn.NORM.S.INV(RAND())</f>
        <v>-2.8949881829793314E-2</v>
      </c>
    </row>
    <row r="6764" spans="18:21" x14ac:dyDescent="0.2">
      <c r="R6764" s="49">
        <v>6762</v>
      </c>
      <c r="S6764" s="59">
        <f ca="1">Dashboard!B$8* Dashboard!$F$4+Dashboard!B$10*SQRT(Dashboard!$F$4) * _xlfn.NORM.S.INV(RAND())</f>
        <v>-1.3801480611309203E-2</v>
      </c>
      <c r="T6764" s="59">
        <f ca="1">Dashboard!C$8* Dashboard!$F$4+Dashboard!C$10*SQRT(Dashboard!$F$4) * _xlfn.NORM.S.INV(RAND())</f>
        <v>4.5728642369231812E-2</v>
      </c>
      <c r="U6764" s="59">
        <f ca="1">Dashboard!D$8* Dashboard!$F$4+Dashboard!D$10*SQRT(Dashboard!$F$4) * _xlfn.NORM.S.INV(RAND())</f>
        <v>-2.2158072003098012E-2</v>
      </c>
    </row>
    <row r="6765" spans="18:21" x14ac:dyDescent="0.2">
      <c r="R6765" s="49">
        <v>6763</v>
      </c>
      <c r="S6765" s="59">
        <f ca="1">Dashboard!B$8* Dashboard!$F$4+Dashboard!B$10*SQRT(Dashboard!$F$4) * _xlfn.NORM.S.INV(RAND())</f>
        <v>-1.8713062684980696E-2</v>
      </c>
      <c r="T6765" s="59">
        <f ca="1">Dashboard!C$8* Dashboard!$F$4+Dashboard!C$10*SQRT(Dashboard!$F$4) * _xlfn.NORM.S.INV(RAND())</f>
        <v>-1.5945102420892435E-2</v>
      </c>
      <c r="U6765" s="59">
        <f ca="1">Dashboard!D$8* Dashboard!$F$4+Dashboard!D$10*SQRT(Dashboard!$F$4) * _xlfn.NORM.S.INV(RAND())</f>
        <v>1.6505188076763502E-2</v>
      </c>
    </row>
    <row r="6766" spans="18:21" x14ac:dyDescent="0.2">
      <c r="R6766" s="49">
        <v>6764</v>
      </c>
      <c r="S6766" s="59">
        <f ca="1">Dashboard!B$8* Dashboard!$F$4+Dashboard!B$10*SQRT(Dashboard!$F$4) * _xlfn.NORM.S.INV(RAND())</f>
        <v>5.1199392375083225E-3</v>
      </c>
      <c r="T6766" s="59">
        <f ca="1">Dashboard!C$8* Dashboard!$F$4+Dashboard!C$10*SQRT(Dashboard!$F$4) * _xlfn.NORM.S.INV(RAND())</f>
        <v>3.9343562771297896E-3</v>
      </c>
      <c r="U6766" s="59">
        <f ca="1">Dashboard!D$8* Dashboard!$F$4+Dashboard!D$10*SQRT(Dashboard!$F$4) * _xlfn.NORM.S.INV(RAND())</f>
        <v>1.0147797320169365E-2</v>
      </c>
    </row>
    <row r="6767" spans="18:21" x14ac:dyDescent="0.2">
      <c r="R6767" s="49">
        <v>6765</v>
      </c>
      <c r="S6767" s="59">
        <f ca="1">Dashboard!B$8* Dashboard!$F$4+Dashboard!B$10*SQRT(Dashboard!$F$4) * _xlfn.NORM.S.INV(RAND())</f>
        <v>4.1314990806879202E-3</v>
      </c>
      <c r="T6767" s="59">
        <f ca="1">Dashboard!C$8* Dashboard!$F$4+Dashboard!C$10*SQRT(Dashboard!$F$4) * _xlfn.NORM.S.INV(RAND())</f>
        <v>-1.1711453559464593E-2</v>
      </c>
      <c r="U6767" s="59">
        <f ca="1">Dashboard!D$8* Dashboard!$F$4+Dashboard!D$10*SQRT(Dashboard!$F$4) * _xlfn.NORM.S.INV(RAND())</f>
        <v>2.2474655192922403E-2</v>
      </c>
    </row>
    <row r="6768" spans="18:21" x14ac:dyDescent="0.2">
      <c r="R6768" s="49">
        <v>6766</v>
      </c>
      <c r="S6768" s="59">
        <f ca="1">Dashboard!B$8* Dashboard!$F$4+Dashboard!B$10*SQRT(Dashboard!$F$4) * _xlfn.NORM.S.INV(RAND())</f>
        <v>5.7780024403311231E-2</v>
      </c>
      <c r="T6768" s="59">
        <f ca="1">Dashboard!C$8* Dashboard!$F$4+Dashboard!C$10*SQRT(Dashboard!$F$4) * _xlfn.NORM.S.INV(RAND())</f>
        <v>-5.6634778449367621E-3</v>
      </c>
      <c r="U6768" s="59">
        <f ca="1">Dashboard!D$8* Dashboard!$F$4+Dashboard!D$10*SQRT(Dashboard!$F$4) * _xlfn.NORM.S.INV(RAND())</f>
        <v>5.0031337247439085E-2</v>
      </c>
    </row>
    <row r="6769" spans="18:21" x14ac:dyDescent="0.2">
      <c r="R6769" s="49">
        <v>6767</v>
      </c>
      <c r="S6769" s="59">
        <f ca="1">Dashboard!B$8* Dashboard!$F$4+Dashboard!B$10*SQRT(Dashboard!$F$4) * _xlfn.NORM.S.INV(RAND())</f>
        <v>-4.3777229603592571E-4</v>
      </c>
      <c r="T6769" s="59">
        <f ca="1">Dashboard!C$8* Dashboard!$F$4+Dashboard!C$10*SQRT(Dashboard!$F$4) * _xlfn.NORM.S.INV(RAND())</f>
        <v>-8.7385050100230281E-4</v>
      </c>
      <c r="U6769" s="59">
        <f ca="1">Dashboard!D$8* Dashboard!$F$4+Dashboard!D$10*SQRT(Dashboard!$F$4) * _xlfn.NORM.S.INV(RAND())</f>
        <v>-1.60346115802542E-2</v>
      </c>
    </row>
    <row r="6770" spans="18:21" x14ac:dyDescent="0.2">
      <c r="R6770" s="49">
        <v>6768</v>
      </c>
      <c r="S6770" s="59">
        <f ca="1">Dashboard!B$8* Dashboard!$F$4+Dashboard!B$10*SQRT(Dashboard!$F$4) * _xlfn.NORM.S.INV(RAND())</f>
        <v>-2.3881851499373177E-2</v>
      </c>
      <c r="T6770" s="59">
        <f ca="1">Dashboard!C$8* Dashboard!$F$4+Dashboard!C$10*SQRT(Dashboard!$F$4) * _xlfn.NORM.S.INV(RAND())</f>
        <v>-7.2746229409252185E-3</v>
      </c>
      <c r="U6770" s="59">
        <f ca="1">Dashboard!D$8* Dashboard!$F$4+Dashboard!D$10*SQRT(Dashboard!$F$4) * _xlfn.NORM.S.INV(RAND())</f>
        <v>9.2745106335322179E-4</v>
      </c>
    </row>
    <row r="6771" spans="18:21" x14ac:dyDescent="0.2">
      <c r="R6771" s="49">
        <v>6769</v>
      </c>
      <c r="S6771" s="59">
        <f ca="1">Dashboard!B$8* Dashboard!$F$4+Dashboard!B$10*SQRT(Dashboard!$F$4) * _xlfn.NORM.S.INV(RAND())</f>
        <v>3.9344399949585815E-2</v>
      </c>
      <c r="T6771" s="59">
        <f ca="1">Dashboard!C$8* Dashboard!$F$4+Dashboard!C$10*SQRT(Dashboard!$F$4) * _xlfn.NORM.S.INV(RAND())</f>
        <v>9.8016257813651232E-3</v>
      </c>
      <c r="U6771" s="59">
        <f ca="1">Dashboard!D$8* Dashboard!$F$4+Dashboard!D$10*SQRT(Dashboard!$F$4) * _xlfn.NORM.S.INV(RAND())</f>
        <v>1.5430962890772185E-2</v>
      </c>
    </row>
    <row r="6772" spans="18:21" x14ac:dyDescent="0.2">
      <c r="R6772" s="49">
        <v>6770</v>
      </c>
      <c r="S6772" s="59">
        <f ca="1">Dashboard!B$8* Dashboard!$F$4+Dashboard!B$10*SQRT(Dashboard!$F$4) * _xlfn.NORM.S.INV(RAND())</f>
        <v>1.622958586955682E-2</v>
      </c>
      <c r="T6772" s="59">
        <f ca="1">Dashboard!C$8* Dashboard!$F$4+Dashboard!C$10*SQRT(Dashboard!$F$4) * _xlfn.NORM.S.INV(RAND())</f>
        <v>-3.1816692274642733E-2</v>
      </c>
      <c r="U6772" s="59">
        <f ca="1">Dashboard!D$8* Dashboard!$F$4+Dashboard!D$10*SQRT(Dashboard!$F$4) * _xlfn.NORM.S.INV(RAND())</f>
        <v>-7.3004941831658801E-2</v>
      </c>
    </row>
    <row r="6773" spans="18:21" x14ac:dyDescent="0.2">
      <c r="R6773" s="49">
        <v>6771</v>
      </c>
      <c r="S6773" s="59">
        <f ca="1">Dashboard!B$8* Dashboard!$F$4+Dashboard!B$10*SQRT(Dashboard!$F$4) * _xlfn.NORM.S.INV(RAND())</f>
        <v>1.3007611610946776E-2</v>
      </c>
      <c r="T6773" s="59">
        <f ca="1">Dashboard!C$8* Dashboard!$F$4+Dashboard!C$10*SQRT(Dashboard!$F$4) * _xlfn.NORM.S.INV(RAND())</f>
        <v>-1.8519424722361625E-2</v>
      </c>
      <c r="U6773" s="59">
        <f ca="1">Dashboard!D$8* Dashboard!$F$4+Dashboard!D$10*SQRT(Dashboard!$F$4) * _xlfn.NORM.S.INV(RAND())</f>
        <v>2.7789204491307316E-3</v>
      </c>
    </row>
    <row r="6774" spans="18:21" x14ac:dyDescent="0.2">
      <c r="R6774" s="49">
        <v>6772</v>
      </c>
      <c r="S6774" s="59">
        <f ca="1">Dashboard!B$8* Dashboard!$F$4+Dashboard!B$10*SQRT(Dashboard!$F$4) * _xlfn.NORM.S.INV(RAND())</f>
        <v>-1.3281895568784251E-2</v>
      </c>
      <c r="T6774" s="59">
        <f ca="1">Dashboard!C$8* Dashboard!$F$4+Dashboard!C$10*SQRT(Dashboard!$F$4) * _xlfn.NORM.S.INV(RAND())</f>
        <v>2.4412926884891908E-2</v>
      </c>
      <c r="U6774" s="59">
        <f ca="1">Dashboard!D$8* Dashboard!$F$4+Dashboard!D$10*SQRT(Dashboard!$F$4) * _xlfn.NORM.S.INV(RAND())</f>
        <v>-3.9032870745050706E-2</v>
      </c>
    </row>
    <row r="6775" spans="18:21" x14ac:dyDescent="0.2">
      <c r="R6775" s="49">
        <v>6773</v>
      </c>
      <c r="S6775" s="59">
        <f ca="1">Dashboard!B$8* Dashboard!$F$4+Dashboard!B$10*SQRT(Dashboard!$F$4) * _xlfn.NORM.S.INV(RAND())</f>
        <v>-3.4060068700176561E-2</v>
      </c>
      <c r="T6775" s="59">
        <f ca="1">Dashboard!C$8* Dashboard!$F$4+Dashboard!C$10*SQRT(Dashboard!$F$4) * _xlfn.NORM.S.INV(RAND())</f>
        <v>-1.9299359362428227E-3</v>
      </c>
      <c r="U6775" s="59">
        <f ca="1">Dashboard!D$8* Dashboard!$F$4+Dashboard!D$10*SQRT(Dashboard!$F$4) * _xlfn.NORM.S.INV(RAND())</f>
        <v>-1.4141993896812498E-2</v>
      </c>
    </row>
    <row r="6776" spans="18:21" x14ac:dyDescent="0.2">
      <c r="R6776" s="49">
        <v>6774</v>
      </c>
      <c r="S6776" s="59">
        <f ca="1">Dashboard!B$8* Dashboard!$F$4+Dashboard!B$10*SQRT(Dashboard!$F$4) * _xlfn.NORM.S.INV(RAND())</f>
        <v>6.0035474292561095E-3</v>
      </c>
      <c r="T6776" s="59">
        <f ca="1">Dashboard!C$8* Dashboard!$F$4+Dashboard!C$10*SQRT(Dashboard!$F$4) * _xlfn.NORM.S.INV(RAND())</f>
        <v>1.2199229893013286E-2</v>
      </c>
      <c r="U6776" s="59">
        <f ca="1">Dashboard!D$8* Dashboard!$F$4+Dashboard!D$10*SQRT(Dashboard!$F$4) * _xlfn.NORM.S.INV(RAND())</f>
        <v>-1.8639012039343941E-2</v>
      </c>
    </row>
    <row r="6777" spans="18:21" x14ac:dyDescent="0.2">
      <c r="R6777" s="49">
        <v>6775</v>
      </c>
      <c r="S6777" s="59">
        <f ca="1">Dashboard!B$8* Dashboard!$F$4+Dashboard!B$10*SQRT(Dashboard!$F$4) * _xlfn.NORM.S.INV(RAND())</f>
        <v>-5.3816526634728162E-2</v>
      </c>
      <c r="T6777" s="59">
        <f ca="1">Dashboard!C$8* Dashboard!$F$4+Dashboard!C$10*SQRT(Dashboard!$F$4) * _xlfn.NORM.S.INV(RAND())</f>
        <v>1.9055911302765623E-2</v>
      </c>
      <c r="U6777" s="59">
        <f ca="1">Dashboard!D$8* Dashboard!$F$4+Dashboard!D$10*SQRT(Dashboard!$F$4) * _xlfn.NORM.S.INV(RAND())</f>
        <v>6.6064835045584955E-2</v>
      </c>
    </row>
    <row r="6778" spans="18:21" x14ac:dyDescent="0.2">
      <c r="R6778" s="49">
        <v>6776</v>
      </c>
      <c r="S6778" s="59">
        <f ca="1">Dashboard!B$8* Dashboard!$F$4+Dashboard!B$10*SQRT(Dashboard!$F$4) * _xlfn.NORM.S.INV(RAND())</f>
        <v>-5.7962318535842938E-2</v>
      </c>
      <c r="T6778" s="59">
        <f ca="1">Dashboard!C$8* Dashboard!$F$4+Dashboard!C$10*SQRT(Dashboard!$F$4) * _xlfn.NORM.S.INV(RAND())</f>
        <v>-4.3869410934429774E-2</v>
      </c>
      <c r="U6778" s="59">
        <f ca="1">Dashboard!D$8* Dashboard!$F$4+Dashboard!D$10*SQRT(Dashboard!$F$4) * _xlfn.NORM.S.INV(RAND())</f>
        <v>-1.3312653203793393E-2</v>
      </c>
    </row>
    <row r="6779" spans="18:21" x14ac:dyDescent="0.2">
      <c r="R6779" s="49">
        <v>6777</v>
      </c>
      <c r="S6779" s="59">
        <f ca="1">Dashboard!B$8* Dashboard!$F$4+Dashboard!B$10*SQRT(Dashboard!$F$4) * _xlfn.NORM.S.INV(RAND())</f>
        <v>-1.0461018072591437E-2</v>
      </c>
      <c r="T6779" s="59">
        <f ca="1">Dashboard!C$8* Dashboard!$F$4+Dashboard!C$10*SQRT(Dashboard!$F$4) * _xlfn.NORM.S.INV(RAND())</f>
        <v>2.6682121925042566E-2</v>
      </c>
      <c r="U6779" s="59">
        <f ca="1">Dashboard!D$8* Dashboard!$F$4+Dashboard!D$10*SQRT(Dashboard!$F$4) * _xlfn.NORM.S.INV(RAND())</f>
        <v>6.6797950697374551E-3</v>
      </c>
    </row>
    <row r="6780" spans="18:21" x14ac:dyDescent="0.2">
      <c r="R6780" s="49">
        <v>6778</v>
      </c>
      <c r="S6780" s="59">
        <f ca="1">Dashboard!B$8* Dashboard!$F$4+Dashboard!B$10*SQRT(Dashboard!$F$4) * _xlfn.NORM.S.INV(RAND())</f>
        <v>3.4018369499039094E-2</v>
      </c>
      <c r="T6780" s="59">
        <f ca="1">Dashboard!C$8* Dashboard!$F$4+Dashboard!C$10*SQRT(Dashboard!$F$4) * _xlfn.NORM.S.INV(RAND())</f>
        <v>-1.8591287797972089E-2</v>
      </c>
      <c r="U6780" s="59">
        <f ca="1">Dashboard!D$8* Dashboard!$F$4+Dashboard!D$10*SQRT(Dashboard!$F$4) * _xlfn.NORM.S.INV(RAND())</f>
        <v>9.0814324933621345E-3</v>
      </c>
    </row>
    <row r="6781" spans="18:21" x14ac:dyDescent="0.2">
      <c r="R6781" s="49">
        <v>6779</v>
      </c>
      <c r="S6781" s="59">
        <f ca="1">Dashboard!B$8* Dashboard!$F$4+Dashboard!B$10*SQRT(Dashboard!$F$4) * _xlfn.NORM.S.INV(RAND())</f>
        <v>1.6062790626025746E-2</v>
      </c>
      <c r="T6781" s="59">
        <f ca="1">Dashboard!C$8* Dashboard!$F$4+Dashboard!C$10*SQRT(Dashboard!$F$4) * _xlfn.NORM.S.INV(RAND())</f>
        <v>1.0657240926558446E-2</v>
      </c>
      <c r="U6781" s="59">
        <f ca="1">Dashboard!D$8* Dashboard!$F$4+Dashboard!D$10*SQRT(Dashboard!$F$4) * _xlfn.NORM.S.INV(RAND())</f>
        <v>-1.7266805159297339E-2</v>
      </c>
    </row>
    <row r="6782" spans="18:21" x14ac:dyDescent="0.2">
      <c r="R6782" s="49">
        <v>6780</v>
      </c>
      <c r="S6782" s="59">
        <f ca="1">Dashboard!B$8* Dashboard!$F$4+Dashboard!B$10*SQRT(Dashboard!$F$4) * _xlfn.NORM.S.INV(RAND())</f>
        <v>3.733039292693964E-2</v>
      </c>
      <c r="T6782" s="59">
        <f ca="1">Dashboard!C$8* Dashboard!$F$4+Dashboard!C$10*SQRT(Dashboard!$F$4) * _xlfn.NORM.S.INV(RAND())</f>
        <v>-3.0271640722928549E-2</v>
      </c>
      <c r="U6782" s="59">
        <f ca="1">Dashboard!D$8* Dashboard!$F$4+Dashboard!D$10*SQRT(Dashboard!$F$4) * _xlfn.NORM.S.INV(RAND())</f>
        <v>3.779065269971188E-2</v>
      </c>
    </row>
    <row r="6783" spans="18:21" x14ac:dyDescent="0.2">
      <c r="R6783" s="49">
        <v>6781</v>
      </c>
      <c r="S6783" s="59">
        <f ca="1">Dashboard!B$8* Dashboard!$F$4+Dashboard!B$10*SQRT(Dashboard!$F$4) * _xlfn.NORM.S.INV(RAND())</f>
        <v>-1.140685513971499E-2</v>
      </c>
      <c r="T6783" s="59">
        <f ca="1">Dashboard!C$8* Dashboard!$F$4+Dashboard!C$10*SQRT(Dashboard!$F$4) * _xlfn.NORM.S.INV(RAND())</f>
        <v>-1.2192907605603712E-2</v>
      </c>
      <c r="U6783" s="59">
        <f ca="1">Dashboard!D$8* Dashboard!$F$4+Dashboard!D$10*SQRT(Dashboard!$F$4) * _xlfn.NORM.S.INV(RAND())</f>
        <v>-2.124587942379735E-2</v>
      </c>
    </row>
    <row r="6784" spans="18:21" x14ac:dyDescent="0.2">
      <c r="R6784" s="49">
        <v>6782</v>
      </c>
      <c r="S6784" s="59">
        <f ca="1">Dashboard!B$8* Dashboard!$F$4+Dashboard!B$10*SQRT(Dashboard!$F$4) * _xlfn.NORM.S.INV(RAND())</f>
        <v>3.8622732444180602E-2</v>
      </c>
      <c r="T6784" s="59">
        <f ca="1">Dashboard!C$8* Dashboard!$F$4+Dashboard!C$10*SQRT(Dashboard!$F$4) * _xlfn.NORM.S.INV(RAND())</f>
        <v>7.7362084575089514E-3</v>
      </c>
      <c r="U6784" s="59">
        <f ca="1">Dashboard!D$8* Dashboard!$F$4+Dashboard!D$10*SQRT(Dashboard!$F$4) * _xlfn.NORM.S.INV(RAND())</f>
        <v>-4.6978121112670385E-2</v>
      </c>
    </row>
    <row r="6785" spans="18:21" x14ac:dyDescent="0.2">
      <c r="R6785" s="49">
        <v>6783</v>
      </c>
      <c r="S6785" s="59">
        <f ca="1">Dashboard!B$8* Dashboard!$F$4+Dashboard!B$10*SQRT(Dashboard!$F$4) * _xlfn.NORM.S.INV(RAND())</f>
        <v>-7.2310149204417185E-3</v>
      </c>
      <c r="T6785" s="59">
        <f ca="1">Dashboard!C$8* Dashboard!$F$4+Dashboard!C$10*SQRT(Dashboard!$F$4) * _xlfn.NORM.S.INV(RAND())</f>
        <v>1.9971499991882427E-2</v>
      </c>
      <c r="U6785" s="59">
        <f ca="1">Dashboard!D$8* Dashboard!$F$4+Dashboard!D$10*SQRT(Dashboard!$F$4) * _xlfn.NORM.S.INV(RAND())</f>
        <v>-4.1001004390749428E-3</v>
      </c>
    </row>
    <row r="6786" spans="18:21" x14ac:dyDescent="0.2">
      <c r="R6786" s="49">
        <v>6784</v>
      </c>
      <c r="S6786" s="59">
        <f ca="1">Dashboard!B$8* Dashboard!$F$4+Dashboard!B$10*SQRT(Dashboard!$F$4) * _xlfn.NORM.S.INV(RAND())</f>
        <v>-4.4342123434398993E-2</v>
      </c>
      <c r="T6786" s="59">
        <f ca="1">Dashboard!C$8* Dashboard!$F$4+Dashboard!C$10*SQRT(Dashboard!$F$4) * _xlfn.NORM.S.INV(RAND())</f>
        <v>9.6607023402827917E-3</v>
      </c>
      <c r="U6786" s="59">
        <f ca="1">Dashboard!D$8* Dashboard!$F$4+Dashboard!D$10*SQRT(Dashboard!$F$4) * _xlfn.NORM.S.INV(RAND())</f>
        <v>5.9628353904247366E-2</v>
      </c>
    </row>
    <row r="6787" spans="18:21" x14ac:dyDescent="0.2">
      <c r="R6787" s="49">
        <v>6785</v>
      </c>
      <c r="S6787" s="59">
        <f ca="1">Dashboard!B$8* Dashboard!$F$4+Dashboard!B$10*SQRT(Dashboard!$F$4) * _xlfn.NORM.S.INV(RAND())</f>
        <v>-2.7761796336892609E-2</v>
      </c>
      <c r="T6787" s="59">
        <f ca="1">Dashboard!C$8* Dashboard!$F$4+Dashboard!C$10*SQRT(Dashboard!$F$4) * _xlfn.NORM.S.INV(RAND())</f>
        <v>-4.5050765805307877E-3</v>
      </c>
      <c r="U6787" s="59">
        <f ca="1">Dashboard!D$8* Dashboard!$F$4+Dashboard!D$10*SQRT(Dashboard!$F$4) * _xlfn.NORM.S.INV(RAND())</f>
        <v>-2.7103817064130748E-2</v>
      </c>
    </row>
    <row r="6788" spans="18:21" x14ac:dyDescent="0.2">
      <c r="R6788" s="49">
        <v>6786</v>
      </c>
      <c r="S6788" s="59">
        <f ca="1">Dashboard!B$8* Dashboard!$F$4+Dashboard!B$10*SQRT(Dashboard!$F$4) * _xlfn.NORM.S.INV(RAND())</f>
        <v>-2.4948467062033158E-2</v>
      </c>
      <c r="T6788" s="59">
        <f ca="1">Dashboard!C$8* Dashboard!$F$4+Dashboard!C$10*SQRT(Dashboard!$F$4) * _xlfn.NORM.S.INV(RAND())</f>
        <v>-2.7097616121489832E-3</v>
      </c>
      <c r="U6788" s="59">
        <f ca="1">Dashboard!D$8* Dashboard!$F$4+Dashboard!D$10*SQRT(Dashboard!$F$4) * _xlfn.NORM.S.INV(RAND())</f>
        <v>6.7423233983276995E-3</v>
      </c>
    </row>
    <row r="6789" spans="18:21" x14ac:dyDescent="0.2">
      <c r="R6789" s="49">
        <v>6787</v>
      </c>
      <c r="S6789" s="59">
        <f ca="1">Dashboard!B$8* Dashboard!$F$4+Dashboard!B$10*SQRT(Dashboard!$F$4) * _xlfn.NORM.S.INV(RAND())</f>
        <v>-1.8167053192024015E-3</v>
      </c>
      <c r="T6789" s="59">
        <f ca="1">Dashboard!C$8* Dashboard!$F$4+Dashboard!C$10*SQRT(Dashboard!$F$4) * _xlfn.NORM.S.INV(RAND())</f>
        <v>9.3330839684595407E-3</v>
      </c>
      <c r="U6789" s="59">
        <f ca="1">Dashboard!D$8* Dashboard!$F$4+Dashboard!D$10*SQRT(Dashboard!$F$4) * _xlfn.NORM.S.INV(RAND())</f>
        <v>-1.6611587330426426E-2</v>
      </c>
    </row>
    <row r="6790" spans="18:21" x14ac:dyDescent="0.2">
      <c r="R6790" s="49">
        <v>6788</v>
      </c>
      <c r="S6790" s="59">
        <f ca="1">Dashboard!B$8* Dashboard!$F$4+Dashboard!B$10*SQRT(Dashboard!$F$4) * _xlfn.NORM.S.INV(RAND())</f>
        <v>1.7370004205373255E-2</v>
      </c>
      <c r="T6790" s="59">
        <f ca="1">Dashboard!C$8* Dashboard!$F$4+Dashboard!C$10*SQRT(Dashboard!$F$4) * _xlfn.NORM.S.INV(RAND())</f>
        <v>-5.5553251643812564E-2</v>
      </c>
      <c r="U6790" s="59">
        <f ca="1">Dashboard!D$8* Dashboard!$F$4+Dashboard!D$10*SQRT(Dashboard!$F$4) * _xlfn.NORM.S.INV(RAND())</f>
        <v>-4.4337424090650349E-2</v>
      </c>
    </row>
    <row r="6791" spans="18:21" x14ac:dyDescent="0.2">
      <c r="R6791" s="49">
        <v>6789</v>
      </c>
      <c r="S6791" s="59">
        <f ca="1">Dashboard!B$8* Dashboard!$F$4+Dashboard!B$10*SQRT(Dashboard!$F$4) * _xlfn.NORM.S.INV(RAND())</f>
        <v>2.939355938997578E-2</v>
      </c>
      <c r="T6791" s="59">
        <f ca="1">Dashboard!C$8* Dashboard!$F$4+Dashboard!C$10*SQRT(Dashboard!$F$4) * _xlfn.NORM.S.INV(RAND())</f>
        <v>-1.5153929706283133E-2</v>
      </c>
      <c r="U6791" s="59">
        <f ca="1">Dashboard!D$8* Dashboard!$F$4+Dashboard!D$10*SQRT(Dashboard!$F$4) * _xlfn.NORM.S.INV(RAND())</f>
        <v>-3.1963767616992503E-2</v>
      </c>
    </row>
    <row r="6792" spans="18:21" x14ac:dyDescent="0.2">
      <c r="R6792" s="49">
        <v>6790</v>
      </c>
      <c r="S6792" s="59">
        <f ca="1">Dashboard!B$8* Dashboard!$F$4+Dashboard!B$10*SQRT(Dashboard!$F$4) * _xlfn.NORM.S.INV(RAND())</f>
        <v>2.4546315795656873E-2</v>
      </c>
      <c r="T6792" s="59">
        <f ca="1">Dashboard!C$8* Dashboard!$F$4+Dashboard!C$10*SQRT(Dashboard!$F$4) * _xlfn.NORM.S.INV(RAND())</f>
        <v>-9.6952247248878465E-5</v>
      </c>
      <c r="U6792" s="59">
        <f ca="1">Dashboard!D$8* Dashboard!$F$4+Dashboard!D$10*SQRT(Dashboard!$F$4) * _xlfn.NORM.S.INV(RAND())</f>
        <v>5.8789073391663609E-2</v>
      </c>
    </row>
    <row r="6793" spans="18:21" x14ac:dyDescent="0.2">
      <c r="R6793" s="49">
        <v>6791</v>
      </c>
      <c r="S6793" s="59">
        <f ca="1">Dashboard!B$8* Dashboard!$F$4+Dashboard!B$10*SQRT(Dashboard!$F$4) * _xlfn.NORM.S.INV(RAND())</f>
        <v>-5.8346596262217332E-2</v>
      </c>
      <c r="T6793" s="59">
        <f ca="1">Dashboard!C$8* Dashboard!$F$4+Dashboard!C$10*SQRT(Dashboard!$F$4) * _xlfn.NORM.S.INV(RAND())</f>
        <v>-1.3551437335503902E-2</v>
      </c>
      <c r="U6793" s="59">
        <f ca="1">Dashboard!D$8* Dashboard!$F$4+Dashboard!D$10*SQRT(Dashboard!$F$4) * _xlfn.NORM.S.INV(RAND())</f>
        <v>1.2734694351575631E-2</v>
      </c>
    </row>
    <row r="6794" spans="18:21" x14ac:dyDescent="0.2">
      <c r="R6794" s="49">
        <v>6792</v>
      </c>
      <c r="S6794" s="59">
        <f ca="1">Dashboard!B$8* Dashboard!$F$4+Dashboard!B$10*SQRT(Dashboard!$F$4) * _xlfn.NORM.S.INV(RAND())</f>
        <v>4.9872448801466761E-5</v>
      </c>
      <c r="T6794" s="59">
        <f ca="1">Dashboard!C$8* Dashboard!$F$4+Dashboard!C$10*SQRT(Dashboard!$F$4) * _xlfn.NORM.S.INV(RAND())</f>
        <v>-3.0245625559404504E-2</v>
      </c>
      <c r="U6794" s="59">
        <f ca="1">Dashboard!D$8* Dashboard!$F$4+Dashboard!D$10*SQRT(Dashboard!$F$4) * _xlfn.NORM.S.INV(RAND())</f>
        <v>2.9190078067238001E-3</v>
      </c>
    </row>
    <row r="6795" spans="18:21" x14ac:dyDescent="0.2">
      <c r="R6795" s="49">
        <v>6793</v>
      </c>
      <c r="S6795" s="59">
        <f ca="1">Dashboard!B$8* Dashboard!$F$4+Dashboard!B$10*SQRT(Dashboard!$F$4) * _xlfn.NORM.S.INV(RAND())</f>
        <v>-1.8305840180326979E-2</v>
      </c>
      <c r="T6795" s="59">
        <f ca="1">Dashboard!C$8* Dashboard!$F$4+Dashboard!C$10*SQRT(Dashboard!$F$4) * _xlfn.NORM.S.INV(RAND())</f>
        <v>5.1953463249048738E-3</v>
      </c>
      <c r="U6795" s="59">
        <f ca="1">Dashboard!D$8* Dashboard!$F$4+Dashboard!D$10*SQRT(Dashboard!$F$4) * _xlfn.NORM.S.INV(RAND())</f>
        <v>1.0611542586612529E-2</v>
      </c>
    </row>
    <row r="6796" spans="18:21" x14ac:dyDescent="0.2">
      <c r="R6796" s="49">
        <v>6794</v>
      </c>
      <c r="S6796" s="59">
        <f ca="1">Dashboard!B$8* Dashboard!$F$4+Dashboard!B$10*SQRT(Dashboard!$F$4) * _xlfn.NORM.S.INV(RAND())</f>
        <v>-1.9115345641293656E-2</v>
      </c>
      <c r="T6796" s="59">
        <f ca="1">Dashboard!C$8* Dashboard!$F$4+Dashboard!C$10*SQRT(Dashboard!$F$4) * _xlfn.NORM.S.INV(RAND())</f>
        <v>1.6061182446470874E-2</v>
      </c>
      <c r="U6796" s="59">
        <f ca="1">Dashboard!D$8* Dashboard!$F$4+Dashboard!D$10*SQRT(Dashboard!$F$4) * _xlfn.NORM.S.INV(RAND())</f>
        <v>-1.730588286339597E-4</v>
      </c>
    </row>
    <row r="6797" spans="18:21" x14ac:dyDescent="0.2">
      <c r="R6797" s="49">
        <v>6795</v>
      </c>
      <c r="S6797" s="59">
        <f ca="1">Dashboard!B$8* Dashboard!$F$4+Dashboard!B$10*SQRT(Dashboard!$F$4) * _xlfn.NORM.S.INV(RAND())</f>
        <v>3.1035037522652485E-2</v>
      </c>
      <c r="T6797" s="59">
        <f ca="1">Dashboard!C$8* Dashboard!$F$4+Dashboard!C$10*SQRT(Dashboard!$F$4) * _xlfn.NORM.S.INV(RAND())</f>
        <v>-9.7522795202485101E-3</v>
      </c>
      <c r="U6797" s="59">
        <f ca="1">Dashboard!D$8* Dashboard!$F$4+Dashboard!D$10*SQRT(Dashboard!$F$4) * _xlfn.NORM.S.INV(RAND())</f>
        <v>3.4598506590341832E-2</v>
      </c>
    </row>
    <row r="6798" spans="18:21" x14ac:dyDescent="0.2">
      <c r="R6798" s="49">
        <v>6796</v>
      </c>
      <c r="S6798" s="59">
        <f ca="1">Dashboard!B$8* Dashboard!$F$4+Dashboard!B$10*SQRT(Dashboard!$F$4) * _xlfn.NORM.S.INV(RAND())</f>
        <v>4.1877696290550052E-3</v>
      </c>
      <c r="T6798" s="59">
        <f ca="1">Dashboard!C$8* Dashboard!$F$4+Dashboard!C$10*SQRT(Dashboard!$F$4) * _xlfn.NORM.S.INV(RAND())</f>
        <v>-4.1539252136251266E-2</v>
      </c>
      <c r="U6798" s="59">
        <f ca="1">Dashboard!D$8* Dashboard!$F$4+Dashboard!D$10*SQRT(Dashboard!$F$4) * _xlfn.NORM.S.INV(RAND())</f>
        <v>1.85687993780944E-2</v>
      </c>
    </row>
    <row r="6799" spans="18:21" x14ac:dyDescent="0.2">
      <c r="R6799" s="49">
        <v>6797</v>
      </c>
      <c r="S6799" s="59">
        <f ca="1">Dashboard!B$8* Dashboard!$F$4+Dashboard!B$10*SQRT(Dashboard!$F$4) * _xlfn.NORM.S.INV(RAND())</f>
        <v>2.7241645572186481E-2</v>
      </c>
      <c r="T6799" s="59">
        <f ca="1">Dashboard!C$8* Dashboard!$F$4+Dashboard!C$10*SQRT(Dashboard!$F$4) * _xlfn.NORM.S.INV(RAND())</f>
        <v>-3.3051969930702155E-2</v>
      </c>
      <c r="U6799" s="59">
        <f ca="1">Dashboard!D$8* Dashboard!$F$4+Dashboard!D$10*SQRT(Dashboard!$F$4) * _xlfn.NORM.S.INV(RAND())</f>
        <v>-4.2391986789625698E-2</v>
      </c>
    </row>
    <row r="6800" spans="18:21" x14ac:dyDescent="0.2">
      <c r="R6800" s="49">
        <v>6798</v>
      </c>
      <c r="S6800" s="59">
        <f ca="1">Dashboard!B$8* Dashboard!$F$4+Dashboard!B$10*SQRT(Dashboard!$F$4) * _xlfn.NORM.S.INV(RAND())</f>
        <v>-2.6756044238304785E-2</v>
      </c>
      <c r="T6800" s="59">
        <f ca="1">Dashboard!C$8* Dashboard!$F$4+Dashboard!C$10*SQRT(Dashboard!$F$4) * _xlfn.NORM.S.INV(RAND())</f>
        <v>-8.9641562446639463E-3</v>
      </c>
      <c r="U6800" s="59">
        <f ca="1">Dashboard!D$8* Dashboard!$F$4+Dashboard!D$10*SQRT(Dashboard!$F$4) * _xlfn.NORM.S.INV(RAND())</f>
        <v>1.1546278970823514E-3</v>
      </c>
    </row>
    <row r="6801" spans="18:21" x14ac:dyDescent="0.2">
      <c r="R6801" s="49">
        <v>6799</v>
      </c>
      <c r="S6801" s="59">
        <f ca="1">Dashboard!B$8* Dashboard!$F$4+Dashboard!B$10*SQRT(Dashboard!$F$4) * _xlfn.NORM.S.INV(RAND())</f>
        <v>-3.3951849298477707E-2</v>
      </c>
      <c r="T6801" s="59">
        <f ca="1">Dashboard!C$8* Dashboard!$F$4+Dashboard!C$10*SQRT(Dashboard!$F$4) * _xlfn.NORM.S.INV(RAND())</f>
        <v>4.0081969211811945E-2</v>
      </c>
      <c r="U6801" s="59">
        <f ca="1">Dashboard!D$8* Dashboard!$F$4+Dashboard!D$10*SQRT(Dashboard!$F$4) * _xlfn.NORM.S.INV(RAND())</f>
        <v>1.5077407821156836E-2</v>
      </c>
    </row>
    <row r="6802" spans="18:21" x14ac:dyDescent="0.2">
      <c r="R6802" s="49">
        <v>6800</v>
      </c>
      <c r="S6802" s="59">
        <f ca="1">Dashboard!B$8* Dashboard!$F$4+Dashboard!B$10*SQRT(Dashboard!$F$4) * _xlfn.NORM.S.INV(RAND())</f>
        <v>-8.5884123296168999E-3</v>
      </c>
      <c r="T6802" s="59">
        <f ca="1">Dashboard!C$8* Dashboard!$F$4+Dashboard!C$10*SQRT(Dashboard!$F$4) * _xlfn.NORM.S.INV(RAND())</f>
        <v>-4.1858046613973188E-2</v>
      </c>
      <c r="U6802" s="59">
        <f ca="1">Dashboard!D$8* Dashboard!$F$4+Dashboard!D$10*SQRT(Dashboard!$F$4) * _xlfn.NORM.S.INV(RAND())</f>
        <v>9.287812867469783E-3</v>
      </c>
    </row>
    <row r="6803" spans="18:21" x14ac:dyDescent="0.2">
      <c r="R6803" s="49">
        <v>6801</v>
      </c>
      <c r="S6803" s="59">
        <f ca="1">Dashboard!B$8* Dashboard!$F$4+Dashboard!B$10*SQRT(Dashboard!$F$4) * _xlfn.NORM.S.INV(RAND())</f>
        <v>3.7987149564217941E-3</v>
      </c>
      <c r="T6803" s="59">
        <f ca="1">Dashboard!C$8* Dashboard!$F$4+Dashboard!C$10*SQRT(Dashboard!$F$4) * _xlfn.NORM.S.INV(RAND())</f>
        <v>7.2975104727109164E-2</v>
      </c>
      <c r="U6803" s="59">
        <f ca="1">Dashboard!D$8* Dashboard!$F$4+Dashboard!D$10*SQRT(Dashboard!$F$4) * _xlfn.NORM.S.INV(RAND())</f>
        <v>3.0229161560886845E-2</v>
      </c>
    </row>
    <row r="6804" spans="18:21" x14ac:dyDescent="0.2">
      <c r="R6804" s="49">
        <v>6802</v>
      </c>
      <c r="S6804" s="59">
        <f ca="1">Dashboard!B$8* Dashboard!$F$4+Dashboard!B$10*SQRT(Dashboard!$F$4) * _xlfn.NORM.S.INV(RAND())</f>
        <v>-3.7924697093246668E-2</v>
      </c>
      <c r="T6804" s="59">
        <f ca="1">Dashboard!C$8* Dashboard!$F$4+Dashboard!C$10*SQRT(Dashboard!$F$4) * _xlfn.NORM.S.INV(RAND())</f>
        <v>-6.9800691595373499E-2</v>
      </c>
      <c r="U6804" s="59">
        <f ca="1">Dashboard!D$8* Dashboard!$F$4+Dashboard!D$10*SQRT(Dashboard!$F$4) * _xlfn.NORM.S.INV(RAND())</f>
        <v>1.1715768332728553E-2</v>
      </c>
    </row>
    <row r="6805" spans="18:21" x14ac:dyDescent="0.2">
      <c r="R6805" s="49">
        <v>6803</v>
      </c>
      <c r="S6805" s="59">
        <f ca="1">Dashboard!B$8* Dashboard!$F$4+Dashboard!B$10*SQRT(Dashboard!$F$4) * _xlfn.NORM.S.INV(RAND())</f>
        <v>8.4564886510677978E-2</v>
      </c>
      <c r="T6805" s="59">
        <f ca="1">Dashboard!C$8* Dashboard!$F$4+Dashboard!C$10*SQRT(Dashboard!$F$4) * _xlfn.NORM.S.INV(RAND())</f>
        <v>3.84604446476038E-2</v>
      </c>
      <c r="U6805" s="59">
        <f ca="1">Dashboard!D$8* Dashboard!$F$4+Dashboard!D$10*SQRT(Dashboard!$F$4) * _xlfn.NORM.S.INV(RAND())</f>
        <v>-2.1194513237842896E-2</v>
      </c>
    </row>
    <row r="6806" spans="18:21" x14ac:dyDescent="0.2">
      <c r="R6806" s="49">
        <v>6804</v>
      </c>
      <c r="S6806" s="59">
        <f ca="1">Dashboard!B$8* Dashboard!$F$4+Dashboard!B$10*SQRT(Dashboard!$F$4) * _xlfn.NORM.S.INV(RAND())</f>
        <v>1.4685597327967448E-2</v>
      </c>
      <c r="T6806" s="59">
        <f ca="1">Dashboard!C$8* Dashboard!$F$4+Dashboard!C$10*SQRT(Dashboard!$F$4) * _xlfn.NORM.S.INV(RAND())</f>
        <v>-3.734873740905751E-2</v>
      </c>
      <c r="U6806" s="59">
        <f ca="1">Dashboard!D$8* Dashboard!$F$4+Dashboard!D$10*SQRT(Dashboard!$F$4) * _xlfn.NORM.S.INV(RAND())</f>
        <v>-2.0377599828599793E-3</v>
      </c>
    </row>
    <row r="6807" spans="18:21" x14ac:dyDescent="0.2">
      <c r="R6807" s="49">
        <v>6805</v>
      </c>
      <c r="S6807" s="59">
        <f ca="1">Dashboard!B$8* Dashboard!$F$4+Dashboard!B$10*SQRT(Dashboard!$F$4) * _xlfn.NORM.S.INV(RAND())</f>
        <v>-7.0773612515199424E-2</v>
      </c>
      <c r="T6807" s="59">
        <f ca="1">Dashboard!C$8* Dashboard!$F$4+Dashboard!C$10*SQRT(Dashboard!$F$4) * _xlfn.NORM.S.INV(RAND())</f>
        <v>2.0753930165905383E-2</v>
      </c>
      <c r="U6807" s="59">
        <f ca="1">Dashboard!D$8* Dashboard!$F$4+Dashboard!D$10*SQRT(Dashboard!$F$4) * _xlfn.NORM.S.INV(RAND())</f>
        <v>2.9144407306352206E-3</v>
      </c>
    </row>
    <row r="6808" spans="18:21" x14ac:dyDescent="0.2">
      <c r="R6808" s="49">
        <v>6806</v>
      </c>
      <c r="S6808" s="59">
        <f ca="1">Dashboard!B$8* Dashboard!$F$4+Dashboard!B$10*SQRT(Dashboard!$F$4) * _xlfn.NORM.S.INV(RAND())</f>
        <v>-1.4858306264460051E-2</v>
      </c>
      <c r="T6808" s="59">
        <f ca="1">Dashboard!C$8* Dashboard!$F$4+Dashboard!C$10*SQRT(Dashboard!$F$4) * _xlfn.NORM.S.INV(RAND())</f>
        <v>7.098300414175235E-3</v>
      </c>
      <c r="U6808" s="59">
        <f ca="1">Dashboard!D$8* Dashboard!$F$4+Dashboard!D$10*SQRT(Dashboard!$F$4) * _xlfn.NORM.S.INV(RAND())</f>
        <v>4.7742871789197986E-3</v>
      </c>
    </row>
    <row r="6809" spans="18:21" x14ac:dyDescent="0.2">
      <c r="R6809" s="49">
        <v>6807</v>
      </c>
      <c r="S6809" s="59">
        <f ca="1">Dashboard!B$8* Dashboard!$F$4+Dashboard!B$10*SQRT(Dashboard!$F$4) * _xlfn.NORM.S.INV(RAND())</f>
        <v>-1.3900458267421336E-2</v>
      </c>
      <c r="T6809" s="59">
        <f ca="1">Dashboard!C$8* Dashboard!$F$4+Dashboard!C$10*SQRT(Dashboard!$F$4) * _xlfn.NORM.S.INV(RAND())</f>
        <v>-7.1840701437378529E-2</v>
      </c>
      <c r="U6809" s="59">
        <f ca="1">Dashboard!D$8* Dashboard!$F$4+Dashboard!D$10*SQRT(Dashboard!$F$4) * _xlfn.NORM.S.INV(RAND())</f>
        <v>2.619689313260664E-2</v>
      </c>
    </row>
    <row r="6810" spans="18:21" x14ac:dyDescent="0.2">
      <c r="R6810" s="49">
        <v>6808</v>
      </c>
      <c r="S6810" s="59">
        <f ca="1">Dashboard!B$8* Dashboard!$F$4+Dashboard!B$10*SQRT(Dashboard!$F$4) * _xlfn.NORM.S.INV(RAND())</f>
        <v>-8.1623212909320203E-2</v>
      </c>
      <c r="T6810" s="59">
        <f ca="1">Dashboard!C$8* Dashboard!$F$4+Dashboard!C$10*SQRT(Dashboard!$F$4) * _xlfn.NORM.S.INV(RAND())</f>
        <v>6.6997058686769487E-2</v>
      </c>
      <c r="U6810" s="59">
        <f ca="1">Dashboard!D$8* Dashboard!$F$4+Dashboard!D$10*SQRT(Dashboard!$F$4) * _xlfn.NORM.S.INV(RAND())</f>
        <v>5.6107388450281709E-2</v>
      </c>
    </row>
    <row r="6811" spans="18:21" x14ac:dyDescent="0.2">
      <c r="R6811" s="49">
        <v>6809</v>
      </c>
      <c r="S6811" s="59">
        <f ca="1">Dashboard!B$8* Dashboard!$F$4+Dashboard!B$10*SQRT(Dashboard!$F$4) * _xlfn.NORM.S.INV(RAND())</f>
        <v>-4.5449802123477726E-2</v>
      </c>
      <c r="T6811" s="59">
        <f ca="1">Dashboard!C$8* Dashboard!$F$4+Dashboard!C$10*SQRT(Dashboard!$F$4) * _xlfn.NORM.S.INV(RAND())</f>
        <v>-6.3544127833472269E-2</v>
      </c>
      <c r="U6811" s="59">
        <f ca="1">Dashboard!D$8* Dashboard!$F$4+Dashboard!D$10*SQRT(Dashboard!$F$4) * _xlfn.NORM.S.INV(RAND())</f>
        <v>2.963188517655907E-2</v>
      </c>
    </row>
    <row r="6812" spans="18:21" x14ac:dyDescent="0.2">
      <c r="R6812" s="49">
        <v>6810</v>
      </c>
      <c r="S6812" s="59">
        <f ca="1">Dashboard!B$8* Dashboard!$F$4+Dashboard!B$10*SQRT(Dashboard!$F$4) * _xlfn.NORM.S.INV(RAND())</f>
        <v>-6.9346923409591282E-3</v>
      </c>
      <c r="T6812" s="59">
        <f ca="1">Dashboard!C$8* Dashboard!$F$4+Dashboard!C$10*SQRT(Dashboard!$F$4) * _xlfn.NORM.S.INV(RAND())</f>
        <v>7.6664709810584141E-3</v>
      </c>
      <c r="U6812" s="59">
        <f ca="1">Dashboard!D$8* Dashboard!$F$4+Dashboard!D$10*SQRT(Dashboard!$F$4) * _xlfn.NORM.S.INV(RAND())</f>
        <v>4.2235173822845612E-3</v>
      </c>
    </row>
    <row r="6813" spans="18:21" x14ac:dyDescent="0.2">
      <c r="R6813" s="49">
        <v>6811</v>
      </c>
      <c r="S6813" s="59">
        <f ca="1">Dashboard!B$8* Dashboard!$F$4+Dashboard!B$10*SQRT(Dashboard!$F$4) * _xlfn.NORM.S.INV(RAND())</f>
        <v>-2.496296067405401E-4</v>
      </c>
      <c r="T6813" s="59">
        <f ca="1">Dashboard!C$8* Dashboard!$F$4+Dashboard!C$10*SQRT(Dashboard!$F$4) * _xlfn.NORM.S.INV(RAND())</f>
        <v>4.7419468843647748E-2</v>
      </c>
      <c r="U6813" s="59">
        <f ca="1">Dashboard!D$8* Dashboard!$F$4+Dashboard!D$10*SQRT(Dashboard!$F$4) * _xlfn.NORM.S.INV(RAND())</f>
        <v>-8.6459581442474322E-3</v>
      </c>
    </row>
    <row r="6814" spans="18:21" x14ac:dyDescent="0.2">
      <c r="R6814" s="49">
        <v>6812</v>
      </c>
      <c r="S6814" s="59">
        <f ca="1">Dashboard!B$8* Dashboard!$F$4+Dashboard!B$10*SQRT(Dashboard!$F$4) * _xlfn.NORM.S.INV(RAND())</f>
        <v>-7.190003670079953E-2</v>
      </c>
      <c r="T6814" s="59">
        <f ca="1">Dashboard!C$8* Dashboard!$F$4+Dashboard!C$10*SQRT(Dashboard!$F$4) * _xlfn.NORM.S.INV(RAND())</f>
        <v>7.5975146067374343E-4</v>
      </c>
      <c r="U6814" s="59">
        <f ca="1">Dashboard!D$8* Dashboard!$F$4+Dashboard!D$10*SQRT(Dashboard!$F$4) * _xlfn.NORM.S.INV(RAND())</f>
        <v>-1.0745896256095244E-2</v>
      </c>
    </row>
    <row r="6815" spans="18:21" x14ac:dyDescent="0.2">
      <c r="R6815" s="49">
        <v>6813</v>
      </c>
      <c r="S6815" s="59">
        <f ca="1">Dashboard!B$8* Dashboard!$F$4+Dashboard!B$10*SQRT(Dashboard!$F$4) * _xlfn.NORM.S.INV(RAND())</f>
        <v>-1.7245647612814826E-2</v>
      </c>
      <c r="T6815" s="59">
        <f ca="1">Dashboard!C$8* Dashboard!$F$4+Dashboard!C$10*SQRT(Dashboard!$F$4) * _xlfn.NORM.S.INV(RAND())</f>
        <v>-2.1425367265851626E-2</v>
      </c>
      <c r="U6815" s="59">
        <f ca="1">Dashboard!D$8* Dashboard!$F$4+Dashboard!D$10*SQRT(Dashboard!$F$4) * _xlfn.NORM.S.INV(RAND())</f>
        <v>-1.2174096464482777E-2</v>
      </c>
    </row>
    <row r="6816" spans="18:21" x14ac:dyDescent="0.2">
      <c r="R6816" s="49">
        <v>6814</v>
      </c>
      <c r="S6816" s="59">
        <f ca="1">Dashboard!B$8* Dashboard!$F$4+Dashboard!B$10*SQRT(Dashboard!$F$4) * _xlfn.NORM.S.INV(RAND())</f>
        <v>-2.97028346431936E-2</v>
      </c>
      <c r="T6816" s="59">
        <f ca="1">Dashboard!C$8* Dashboard!$F$4+Dashboard!C$10*SQRT(Dashboard!$F$4) * _xlfn.NORM.S.INV(RAND())</f>
        <v>-1.8694612660160825E-2</v>
      </c>
      <c r="U6816" s="59">
        <f ca="1">Dashboard!D$8* Dashboard!$F$4+Dashboard!D$10*SQRT(Dashboard!$F$4) * _xlfn.NORM.S.INV(RAND())</f>
        <v>2.7114351261698321E-2</v>
      </c>
    </row>
    <row r="6817" spans="18:21" x14ac:dyDescent="0.2">
      <c r="R6817" s="49">
        <v>6815</v>
      </c>
      <c r="S6817" s="59">
        <f ca="1">Dashboard!B$8* Dashboard!$F$4+Dashboard!B$10*SQRT(Dashboard!$F$4) * _xlfn.NORM.S.INV(RAND())</f>
        <v>3.3345764563387358E-2</v>
      </c>
      <c r="T6817" s="59">
        <f ca="1">Dashboard!C$8* Dashboard!$F$4+Dashboard!C$10*SQRT(Dashboard!$F$4) * _xlfn.NORM.S.INV(RAND())</f>
        <v>-3.7668930310565479E-2</v>
      </c>
      <c r="U6817" s="59">
        <f ca="1">Dashboard!D$8* Dashboard!$F$4+Dashboard!D$10*SQRT(Dashboard!$F$4) * _xlfn.NORM.S.INV(RAND())</f>
        <v>-5.1775272121319597E-2</v>
      </c>
    </row>
    <row r="6818" spans="18:21" x14ac:dyDescent="0.2">
      <c r="R6818" s="49">
        <v>6816</v>
      </c>
      <c r="S6818" s="59">
        <f ca="1">Dashboard!B$8* Dashboard!$F$4+Dashboard!B$10*SQRT(Dashboard!$F$4) * _xlfn.NORM.S.INV(RAND())</f>
        <v>-3.8676911088040181E-2</v>
      </c>
      <c r="T6818" s="59">
        <f ca="1">Dashboard!C$8* Dashboard!$F$4+Dashboard!C$10*SQRT(Dashboard!$F$4) * _xlfn.NORM.S.INV(RAND())</f>
        <v>8.0158569067011215E-2</v>
      </c>
      <c r="U6818" s="59">
        <f ca="1">Dashboard!D$8* Dashboard!$F$4+Dashboard!D$10*SQRT(Dashboard!$F$4) * _xlfn.NORM.S.INV(RAND())</f>
        <v>3.2199670480648084E-2</v>
      </c>
    </row>
    <row r="6819" spans="18:21" x14ac:dyDescent="0.2">
      <c r="R6819" s="49">
        <v>6817</v>
      </c>
      <c r="S6819" s="59">
        <f ca="1">Dashboard!B$8* Dashboard!$F$4+Dashboard!B$10*SQRT(Dashboard!$F$4) * _xlfn.NORM.S.INV(RAND())</f>
        <v>-1.7787868374835127E-2</v>
      </c>
      <c r="T6819" s="59">
        <f ca="1">Dashboard!C$8* Dashboard!$F$4+Dashboard!C$10*SQRT(Dashboard!$F$4) * _xlfn.NORM.S.INV(RAND())</f>
        <v>3.5967864456382406E-2</v>
      </c>
      <c r="U6819" s="59">
        <f ca="1">Dashboard!D$8* Dashboard!$F$4+Dashboard!D$10*SQRT(Dashboard!$F$4) * _xlfn.NORM.S.INV(RAND())</f>
        <v>-3.8580368440666819E-2</v>
      </c>
    </row>
    <row r="6820" spans="18:21" x14ac:dyDescent="0.2">
      <c r="R6820" s="49">
        <v>6818</v>
      </c>
      <c r="S6820" s="59">
        <f ca="1">Dashboard!B$8* Dashboard!$F$4+Dashboard!B$10*SQRT(Dashboard!$F$4) * _xlfn.NORM.S.INV(RAND())</f>
        <v>-4.2861575919526648E-2</v>
      </c>
      <c r="T6820" s="59">
        <f ca="1">Dashboard!C$8* Dashboard!$F$4+Dashboard!C$10*SQRT(Dashboard!$F$4) * _xlfn.NORM.S.INV(RAND())</f>
        <v>-3.9126033420796062E-2</v>
      </c>
      <c r="U6820" s="59">
        <f ca="1">Dashboard!D$8* Dashboard!$F$4+Dashboard!D$10*SQRT(Dashboard!$F$4) * _xlfn.NORM.S.INV(RAND())</f>
        <v>-1.2776402056209307E-2</v>
      </c>
    </row>
    <row r="6821" spans="18:21" x14ac:dyDescent="0.2">
      <c r="R6821" s="49">
        <v>6819</v>
      </c>
      <c r="S6821" s="59">
        <f ca="1">Dashboard!B$8* Dashboard!$F$4+Dashboard!B$10*SQRT(Dashboard!$F$4) * _xlfn.NORM.S.INV(RAND())</f>
        <v>2.0124419092559985E-2</v>
      </c>
      <c r="T6821" s="59">
        <f ca="1">Dashboard!C$8* Dashboard!$F$4+Dashboard!C$10*SQRT(Dashboard!$F$4) * _xlfn.NORM.S.INV(RAND())</f>
        <v>6.7605128135921257E-3</v>
      </c>
      <c r="U6821" s="59">
        <f ca="1">Dashboard!D$8* Dashboard!$F$4+Dashboard!D$10*SQRT(Dashboard!$F$4) * _xlfn.NORM.S.INV(RAND())</f>
        <v>-3.0084424606870819E-2</v>
      </c>
    </row>
    <row r="6822" spans="18:21" x14ac:dyDescent="0.2">
      <c r="R6822" s="49">
        <v>6820</v>
      </c>
      <c r="S6822" s="59">
        <f ca="1">Dashboard!B$8* Dashboard!$F$4+Dashboard!B$10*SQRT(Dashboard!$F$4) * _xlfn.NORM.S.INV(RAND())</f>
        <v>3.7652921226263736E-2</v>
      </c>
      <c r="T6822" s="59">
        <f ca="1">Dashboard!C$8* Dashboard!$F$4+Dashboard!C$10*SQRT(Dashboard!$F$4) * _xlfn.NORM.S.INV(RAND())</f>
        <v>-1.5458594764425213E-2</v>
      </c>
      <c r="U6822" s="59">
        <f ca="1">Dashboard!D$8* Dashboard!$F$4+Dashboard!D$10*SQRT(Dashboard!$F$4) * _xlfn.NORM.S.INV(RAND())</f>
        <v>-2.9997486000136367E-2</v>
      </c>
    </row>
    <row r="6823" spans="18:21" x14ac:dyDescent="0.2">
      <c r="R6823" s="49">
        <v>6821</v>
      </c>
      <c r="S6823" s="59">
        <f ca="1">Dashboard!B$8* Dashboard!$F$4+Dashboard!B$10*SQRT(Dashboard!$F$4) * _xlfn.NORM.S.INV(RAND())</f>
        <v>-4.3901694763544545E-2</v>
      </c>
      <c r="T6823" s="59">
        <f ca="1">Dashboard!C$8* Dashboard!$F$4+Dashboard!C$10*SQRT(Dashboard!$F$4) * _xlfn.NORM.S.INV(RAND())</f>
        <v>5.6477838814284441E-2</v>
      </c>
      <c r="U6823" s="59">
        <f ca="1">Dashboard!D$8* Dashboard!$F$4+Dashboard!D$10*SQRT(Dashboard!$F$4) * _xlfn.NORM.S.INV(RAND())</f>
        <v>-2.7634752336206821E-2</v>
      </c>
    </row>
    <row r="6824" spans="18:21" x14ac:dyDescent="0.2">
      <c r="R6824" s="49">
        <v>6822</v>
      </c>
      <c r="S6824" s="59">
        <f ca="1">Dashboard!B$8* Dashboard!$F$4+Dashboard!B$10*SQRT(Dashboard!$F$4) * _xlfn.NORM.S.INV(RAND())</f>
        <v>-1.834852368189412E-2</v>
      </c>
      <c r="T6824" s="59">
        <f ca="1">Dashboard!C$8* Dashboard!$F$4+Dashboard!C$10*SQRT(Dashboard!$F$4) * _xlfn.NORM.S.INV(RAND())</f>
        <v>1.1679903887263154E-2</v>
      </c>
      <c r="U6824" s="59">
        <f ca="1">Dashboard!D$8* Dashboard!$F$4+Dashboard!D$10*SQRT(Dashboard!$F$4) * _xlfn.NORM.S.INV(RAND())</f>
        <v>5.5888295924119077E-3</v>
      </c>
    </row>
    <row r="6825" spans="18:21" x14ac:dyDescent="0.2">
      <c r="R6825" s="49">
        <v>6823</v>
      </c>
      <c r="S6825" s="59">
        <f ca="1">Dashboard!B$8* Dashboard!$F$4+Dashboard!B$10*SQRT(Dashboard!$F$4) * _xlfn.NORM.S.INV(RAND())</f>
        <v>-6.3028098266618027E-3</v>
      </c>
      <c r="T6825" s="59">
        <f ca="1">Dashboard!C$8* Dashboard!$F$4+Dashboard!C$10*SQRT(Dashboard!$F$4) * _xlfn.NORM.S.INV(RAND())</f>
        <v>3.03899507545046E-2</v>
      </c>
      <c r="U6825" s="59">
        <f ca="1">Dashboard!D$8* Dashboard!$F$4+Dashboard!D$10*SQRT(Dashboard!$F$4) * _xlfn.NORM.S.INV(RAND())</f>
        <v>3.5864891079069303E-2</v>
      </c>
    </row>
    <row r="6826" spans="18:21" x14ac:dyDescent="0.2">
      <c r="R6826" s="49">
        <v>6824</v>
      </c>
      <c r="S6826" s="59">
        <f ca="1">Dashboard!B$8* Dashboard!$F$4+Dashboard!B$10*SQRT(Dashboard!$F$4) * _xlfn.NORM.S.INV(RAND())</f>
        <v>2.5034530267499647E-2</v>
      </c>
      <c r="T6826" s="59">
        <f ca="1">Dashboard!C$8* Dashboard!$F$4+Dashboard!C$10*SQRT(Dashboard!$F$4) * _xlfn.NORM.S.INV(RAND())</f>
        <v>-7.7889075522479933E-4</v>
      </c>
      <c r="U6826" s="59">
        <f ca="1">Dashboard!D$8* Dashboard!$F$4+Dashboard!D$10*SQRT(Dashboard!$F$4) * _xlfn.NORM.S.INV(RAND())</f>
        <v>-2.7607735143115271E-2</v>
      </c>
    </row>
    <row r="6827" spans="18:21" x14ac:dyDescent="0.2">
      <c r="R6827" s="49">
        <v>6825</v>
      </c>
      <c r="S6827" s="59">
        <f ca="1">Dashboard!B$8* Dashboard!$F$4+Dashboard!B$10*SQRT(Dashboard!$F$4) * _xlfn.NORM.S.INV(RAND())</f>
        <v>1.7122881231897438E-2</v>
      </c>
      <c r="T6827" s="59">
        <f ca="1">Dashboard!C$8* Dashboard!$F$4+Dashboard!C$10*SQRT(Dashboard!$F$4) * _xlfn.NORM.S.INV(RAND())</f>
        <v>6.0920202863376113E-2</v>
      </c>
      <c r="U6827" s="59">
        <f ca="1">Dashboard!D$8* Dashboard!$F$4+Dashboard!D$10*SQRT(Dashboard!$F$4) * _xlfn.NORM.S.INV(RAND())</f>
        <v>1.2531128968635027E-2</v>
      </c>
    </row>
    <row r="6828" spans="18:21" x14ac:dyDescent="0.2">
      <c r="R6828" s="49">
        <v>6826</v>
      </c>
      <c r="S6828" s="59">
        <f ca="1">Dashboard!B$8* Dashboard!$F$4+Dashboard!B$10*SQRT(Dashboard!$F$4) * _xlfn.NORM.S.INV(RAND())</f>
        <v>-1.4406432311248642E-3</v>
      </c>
      <c r="T6828" s="59">
        <f ca="1">Dashboard!C$8* Dashboard!$F$4+Dashboard!C$10*SQRT(Dashboard!$F$4) * _xlfn.NORM.S.INV(RAND())</f>
        <v>5.8205841356485932E-4</v>
      </c>
      <c r="U6828" s="59">
        <f ca="1">Dashboard!D$8* Dashboard!$F$4+Dashboard!D$10*SQRT(Dashboard!$F$4) * _xlfn.NORM.S.INV(RAND())</f>
        <v>5.7570672822117724E-2</v>
      </c>
    </row>
    <row r="6829" spans="18:21" x14ac:dyDescent="0.2">
      <c r="R6829" s="49">
        <v>6827</v>
      </c>
      <c r="S6829" s="59">
        <f ca="1">Dashboard!B$8* Dashboard!$F$4+Dashboard!B$10*SQRT(Dashboard!$F$4) * _xlfn.NORM.S.INV(RAND())</f>
        <v>-3.9496978971440222E-2</v>
      </c>
      <c r="T6829" s="59">
        <f ca="1">Dashboard!C$8* Dashboard!$F$4+Dashboard!C$10*SQRT(Dashboard!$F$4) * _xlfn.NORM.S.INV(RAND())</f>
        <v>3.2166713930074572E-2</v>
      </c>
      <c r="U6829" s="59">
        <f ca="1">Dashboard!D$8* Dashboard!$F$4+Dashboard!D$10*SQRT(Dashboard!$F$4) * _xlfn.NORM.S.INV(RAND())</f>
        <v>9.8699772015868881E-3</v>
      </c>
    </row>
    <row r="6830" spans="18:21" x14ac:dyDescent="0.2">
      <c r="R6830" s="49">
        <v>6828</v>
      </c>
      <c r="S6830" s="59">
        <f ca="1">Dashboard!B$8* Dashboard!$F$4+Dashboard!B$10*SQRT(Dashboard!$F$4) * _xlfn.NORM.S.INV(RAND())</f>
        <v>-2.1159467099674052E-3</v>
      </c>
      <c r="T6830" s="59">
        <f ca="1">Dashboard!C$8* Dashboard!$F$4+Dashboard!C$10*SQRT(Dashboard!$F$4) * _xlfn.NORM.S.INV(RAND())</f>
        <v>5.3821156463618167E-2</v>
      </c>
      <c r="U6830" s="59">
        <f ca="1">Dashboard!D$8* Dashboard!$F$4+Dashboard!D$10*SQRT(Dashboard!$F$4) * _xlfn.NORM.S.INV(RAND())</f>
        <v>-6.7610548225512353E-3</v>
      </c>
    </row>
    <row r="6831" spans="18:21" x14ac:dyDescent="0.2">
      <c r="R6831" s="49">
        <v>6829</v>
      </c>
      <c r="S6831" s="59">
        <f ca="1">Dashboard!B$8* Dashboard!$F$4+Dashboard!B$10*SQRT(Dashboard!$F$4) * _xlfn.NORM.S.INV(RAND())</f>
        <v>-1.5083135167231861E-2</v>
      </c>
      <c r="T6831" s="59">
        <f ca="1">Dashboard!C$8* Dashboard!$F$4+Dashboard!C$10*SQRT(Dashboard!$F$4) * _xlfn.NORM.S.INV(RAND())</f>
        <v>-1.4213937326014444E-2</v>
      </c>
      <c r="U6831" s="59">
        <f ca="1">Dashboard!D$8* Dashboard!$F$4+Dashboard!D$10*SQRT(Dashboard!$F$4) * _xlfn.NORM.S.INV(RAND())</f>
        <v>1.7203043331035103E-2</v>
      </c>
    </row>
    <row r="6832" spans="18:21" x14ac:dyDescent="0.2">
      <c r="R6832" s="49">
        <v>6830</v>
      </c>
      <c r="S6832" s="59">
        <f ca="1">Dashboard!B$8* Dashboard!$F$4+Dashboard!B$10*SQRT(Dashboard!$F$4) * _xlfn.NORM.S.INV(RAND())</f>
        <v>-6.9594303868143088E-3</v>
      </c>
      <c r="T6832" s="59">
        <f ca="1">Dashboard!C$8* Dashboard!$F$4+Dashboard!C$10*SQRT(Dashboard!$F$4) * _xlfn.NORM.S.INV(RAND())</f>
        <v>5.6322021612587904E-2</v>
      </c>
      <c r="U6832" s="59">
        <f ca="1">Dashboard!D$8* Dashboard!$F$4+Dashboard!D$10*SQRT(Dashboard!$F$4) * _xlfn.NORM.S.INV(RAND())</f>
        <v>-3.2413599365125147E-2</v>
      </c>
    </row>
    <row r="6833" spans="18:21" x14ac:dyDescent="0.2">
      <c r="R6833" s="49">
        <v>6831</v>
      </c>
      <c r="S6833" s="59">
        <f ca="1">Dashboard!B$8* Dashboard!$F$4+Dashboard!B$10*SQRT(Dashboard!$F$4) * _xlfn.NORM.S.INV(RAND())</f>
        <v>1.0031804373578652E-2</v>
      </c>
      <c r="T6833" s="59">
        <f ca="1">Dashboard!C$8* Dashboard!$F$4+Dashboard!C$10*SQRT(Dashboard!$F$4) * _xlfn.NORM.S.INV(RAND())</f>
        <v>-3.614334126803509E-2</v>
      </c>
      <c r="U6833" s="59">
        <f ca="1">Dashboard!D$8* Dashboard!$F$4+Dashboard!D$10*SQRT(Dashboard!$F$4) * _xlfn.NORM.S.INV(RAND())</f>
        <v>1.9900882557755139E-2</v>
      </c>
    </row>
    <row r="6834" spans="18:21" x14ac:dyDescent="0.2">
      <c r="R6834" s="49">
        <v>6832</v>
      </c>
      <c r="S6834" s="59">
        <f ca="1">Dashboard!B$8* Dashboard!$F$4+Dashboard!B$10*SQRT(Dashboard!$F$4) * _xlfn.NORM.S.INV(RAND())</f>
        <v>-2.848646055604824E-2</v>
      </c>
      <c r="T6834" s="59">
        <f ca="1">Dashboard!C$8* Dashboard!$F$4+Dashboard!C$10*SQRT(Dashboard!$F$4) * _xlfn.NORM.S.INV(RAND())</f>
        <v>1.0549276707546204E-2</v>
      </c>
      <c r="U6834" s="59">
        <f ca="1">Dashboard!D$8* Dashboard!$F$4+Dashboard!D$10*SQRT(Dashboard!$F$4) * _xlfn.NORM.S.INV(RAND())</f>
        <v>-1.7832945038758208E-2</v>
      </c>
    </row>
    <row r="6835" spans="18:21" x14ac:dyDescent="0.2">
      <c r="R6835" s="49">
        <v>6833</v>
      </c>
      <c r="S6835" s="59">
        <f ca="1">Dashboard!B$8* Dashboard!$F$4+Dashboard!B$10*SQRT(Dashboard!$F$4) * _xlfn.NORM.S.INV(RAND())</f>
        <v>-2.5823812067989164E-2</v>
      </c>
      <c r="T6835" s="59">
        <f ca="1">Dashboard!C$8* Dashboard!$F$4+Dashboard!C$10*SQRT(Dashboard!$F$4) * _xlfn.NORM.S.INV(RAND())</f>
        <v>-2.4833197007756002E-4</v>
      </c>
      <c r="U6835" s="59">
        <f ca="1">Dashboard!D$8* Dashboard!$F$4+Dashboard!D$10*SQRT(Dashboard!$F$4) * _xlfn.NORM.S.INV(RAND())</f>
        <v>-1.4303881338053078E-2</v>
      </c>
    </row>
    <row r="6836" spans="18:21" x14ac:dyDescent="0.2">
      <c r="R6836" s="49">
        <v>6834</v>
      </c>
      <c r="S6836" s="59">
        <f ca="1">Dashboard!B$8* Dashboard!$F$4+Dashboard!B$10*SQRT(Dashboard!$F$4) * _xlfn.NORM.S.INV(RAND())</f>
        <v>4.643022675473072E-2</v>
      </c>
      <c r="T6836" s="59">
        <f ca="1">Dashboard!C$8* Dashboard!$F$4+Dashboard!C$10*SQRT(Dashboard!$F$4) * _xlfn.NORM.S.INV(RAND())</f>
        <v>-3.576478367661301E-2</v>
      </c>
      <c r="U6836" s="59">
        <f ca="1">Dashboard!D$8* Dashboard!$F$4+Dashboard!D$10*SQRT(Dashboard!$F$4) * _xlfn.NORM.S.INV(RAND())</f>
        <v>4.367346543077906E-2</v>
      </c>
    </row>
    <row r="6837" spans="18:21" x14ac:dyDescent="0.2">
      <c r="R6837" s="49">
        <v>6835</v>
      </c>
      <c r="S6837" s="59">
        <f ca="1">Dashboard!B$8* Dashboard!$F$4+Dashboard!B$10*SQRT(Dashboard!$F$4) * _xlfn.NORM.S.INV(RAND())</f>
        <v>-3.4232045139819735E-2</v>
      </c>
      <c r="T6837" s="59">
        <f ca="1">Dashboard!C$8* Dashboard!$F$4+Dashboard!C$10*SQRT(Dashboard!$F$4) * _xlfn.NORM.S.INV(RAND())</f>
        <v>-1.7976717400466871E-2</v>
      </c>
      <c r="U6837" s="59">
        <f ca="1">Dashboard!D$8* Dashboard!$F$4+Dashboard!D$10*SQRT(Dashboard!$F$4) * _xlfn.NORM.S.INV(RAND())</f>
        <v>-7.0789631997550104E-2</v>
      </c>
    </row>
    <row r="6838" spans="18:21" x14ac:dyDescent="0.2">
      <c r="R6838" s="49">
        <v>6836</v>
      </c>
      <c r="S6838" s="59">
        <f ca="1">Dashboard!B$8* Dashboard!$F$4+Dashboard!B$10*SQRT(Dashboard!$F$4) * _xlfn.NORM.S.INV(RAND())</f>
        <v>5.4107049949755924E-2</v>
      </c>
      <c r="T6838" s="59">
        <f ca="1">Dashboard!C$8* Dashboard!$F$4+Dashboard!C$10*SQRT(Dashboard!$F$4) * _xlfn.NORM.S.INV(RAND())</f>
        <v>4.1908383188450846E-2</v>
      </c>
      <c r="U6838" s="59">
        <f ca="1">Dashboard!D$8* Dashboard!$F$4+Dashboard!D$10*SQRT(Dashboard!$F$4) * _xlfn.NORM.S.INV(RAND())</f>
        <v>3.7227153100406751E-2</v>
      </c>
    </row>
    <row r="6839" spans="18:21" x14ac:dyDescent="0.2">
      <c r="R6839" s="49">
        <v>6837</v>
      </c>
      <c r="S6839" s="59">
        <f ca="1">Dashboard!B$8* Dashboard!$F$4+Dashboard!B$10*SQRT(Dashboard!$F$4) * _xlfn.NORM.S.INV(RAND())</f>
        <v>-1.192713821955573E-2</v>
      </c>
      <c r="T6839" s="59">
        <f ca="1">Dashboard!C$8* Dashboard!$F$4+Dashboard!C$10*SQRT(Dashboard!$F$4) * _xlfn.NORM.S.INV(RAND())</f>
        <v>8.8844408791085017E-3</v>
      </c>
      <c r="U6839" s="59">
        <f ca="1">Dashboard!D$8* Dashboard!$F$4+Dashboard!D$10*SQRT(Dashboard!$F$4) * _xlfn.NORM.S.INV(RAND())</f>
        <v>3.0541713950505093E-3</v>
      </c>
    </row>
    <row r="6840" spans="18:21" x14ac:dyDescent="0.2">
      <c r="R6840" s="49">
        <v>6838</v>
      </c>
      <c r="S6840" s="59">
        <f ca="1">Dashboard!B$8* Dashboard!$F$4+Dashboard!B$10*SQRT(Dashboard!$F$4) * _xlfn.NORM.S.INV(RAND())</f>
        <v>-3.8085872740327431E-2</v>
      </c>
      <c r="T6840" s="59">
        <f ca="1">Dashboard!C$8* Dashboard!$F$4+Dashboard!C$10*SQRT(Dashboard!$F$4) * _xlfn.NORM.S.INV(RAND())</f>
        <v>2.7732234311461535E-2</v>
      </c>
      <c r="U6840" s="59">
        <f ca="1">Dashboard!D$8* Dashboard!$F$4+Dashboard!D$10*SQRT(Dashboard!$F$4) * _xlfn.NORM.S.INV(RAND())</f>
        <v>-5.3988641206617737E-3</v>
      </c>
    </row>
    <row r="6841" spans="18:21" x14ac:dyDescent="0.2">
      <c r="R6841" s="49">
        <v>6839</v>
      </c>
      <c r="S6841" s="59">
        <f ca="1">Dashboard!B$8* Dashboard!$F$4+Dashboard!B$10*SQRT(Dashboard!$F$4) * _xlfn.NORM.S.INV(RAND())</f>
        <v>-5.0107904980518238E-2</v>
      </c>
      <c r="T6841" s="59">
        <f ca="1">Dashboard!C$8* Dashboard!$F$4+Dashboard!C$10*SQRT(Dashboard!$F$4) * _xlfn.NORM.S.INV(RAND())</f>
        <v>-2.564239252203257E-2</v>
      </c>
      <c r="U6841" s="59">
        <f ca="1">Dashboard!D$8* Dashboard!$F$4+Dashboard!D$10*SQRT(Dashboard!$F$4) * _xlfn.NORM.S.INV(RAND())</f>
        <v>-1.8354449148223272E-2</v>
      </c>
    </row>
    <row r="6842" spans="18:21" x14ac:dyDescent="0.2">
      <c r="R6842" s="49">
        <v>6840</v>
      </c>
      <c r="S6842" s="59">
        <f ca="1">Dashboard!B$8* Dashboard!$F$4+Dashboard!B$10*SQRT(Dashboard!$F$4) * _xlfn.NORM.S.INV(RAND())</f>
        <v>-6.5099477658254554E-3</v>
      </c>
      <c r="T6842" s="59">
        <f ca="1">Dashboard!C$8* Dashboard!$F$4+Dashboard!C$10*SQRT(Dashboard!$F$4) * _xlfn.NORM.S.INV(RAND())</f>
        <v>3.793537581016377E-2</v>
      </c>
      <c r="U6842" s="59">
        <f ca="1">Dashboard!D$8* Dashboard!$F$4+Dashboard!D$10*SQRT(Dashboard!$F$4) * _xlfn.NORM.S.INV(RAND())</f>
        <v>4.0802220308871338E-2</v>
      </c>
    </row>
    <row r="6843" spans="18:21" x14ac:dyDescent="0.2">
      <c r="R6843" s="49">
        <v>6841</v>
      </c>
      <c r="S6843" s="59">
        <f ca="1">Dashboard!B$8* Dashboard!$F$4+Dashboard!B$10*SQRT(Dashboard!$F$4) * _xlfn.NORM.S.INV(RAND())</f>
        <v>-4.1740613347986018E-2</v>
      </c>
      <c r="T6843" s="59">
        <f ca="1">Dashboard!C$8* Dashboard!$F$4+Dashboard!C$10*SQRT(Dashboard!$F$4) * _xlfn.NORM.S.INV(RAND())</f>
        <v>1.6344845234970779E-2</v>
      </c>
      <c r="U6843" s="59">
        <f ca="1">Dashboard!D$8* Dashboard!$F$4+Dashboard!D$10*SQRT(Dashboard!$F$4) * _xlfn.NORM.S.INV(RAND())</f>
        <v>-8.8534702001559305E-3</v>
      </c>
    </row>
    <row r="6844" spans="18:21" x14ac:dyDescent="0.2">
      <c r="R6844" s="49">
        <v>6842</v>
      </c>
      <c r="S6844" s="59">
        <f ca="1">Dashboard!B$8* Dashboard!$F$4+Dashboard!B$10*SQRT(Dashboard!$F$4) * _xlfn.NORM.S.INV(RAND())</f>
        <v>6.4203026805723637E-2</v>
      </c>
      <c r="T6844" s="59">
        <f ca="1">Dashboard!C$8* Dashboard!$F$4+Dashboard!C$10*SQRT(Dashboard!$F$4) * _xlfn.NORM.S.INV(RAND())</f>
        <v>1.3258615607072009E-2</v>
      </c>
      <c r="U6844" s="59">
        <f ca="1">Dashboard!D$8* Dashboard!$F$4+Dashboard!D$10*SQRT(Dashboard!$F$4) * _xlfn.NORM.S.INV(RAND())</f>
        <v>-4.814205450094906E-3</v>
      </c>
    </row>
    <row r="6845" spans="18:21" x14ac:dyDescent="0.2">
      <c r="R6845" s="49">
        <v>6843</v>
      </c>
      <c r="S6845" s="59">
        <f ca="1">Dashboard!B$8* Dashboard!$F$4+Dashboard!B$10*SQRT(Dashboard!$F$4) * _xlfn.NORM.S.INV(RAND())</f>
        <v>7.407491196136326E-2</v>
      </c>
      <c r="T6845" s="59">
        <f ca="1">Dashboard!C$8* Dashboard!$F$4+Dashboard!C$10*SQRT(Dashboard!$F$4) * _xlfn.NORM.S.INV(RAND())</f>
        <v>1.7359638586660744E-2</v>
      </c>
      <c r="U6845" s="59">
        <f ca="1">Dashboard!D$8* Dashboard!$F$4+Dashboard!D$10*SQRT(Dashboard!$F$4) * _xlfn.NORM.S.INV(RAND())</f>
        <v>-2.1227423912474109E-2</v>
      </c>
    </row>
    <row r="6846" spans="18:21" x14ac:dyDescent="0.2">
      <c r="R6846" s="49">
        <v>6844</v>
      </c>
      <c r="S6846" s="59">
        <f ca="1">Dashboard!B$8* Dashboard!$F$4+Dashboard!B$10*SQRT(Dashboard!$F$4) * _xlfn.NORM.S.INV(RAND())</f>
        <v>8.4806808935178769E-3</v>
      </c>
      <c r="T6846" s="59">
        <f ca="1">Dashboard!C$8* Dashboard!$F$4+Dashboard!C$10*SQRT(Dashboard!$F$4) * _xlfn.NORM.S.INV(RAND())</f>
        <v>-8.5652670371930362E-2</v>
      </c>
      <c r="U6846" s="59">
        <f ca="1">Dashboard!D$8* Dashboard!$F$4+Dashboard!D$10*SQRT(Dashboard!$F$4) * _xlfn.NORM.S.INV(RAND())</f>
        <v>-1.7675667044991913E-3</v>
      </c>
    </row>
    <row r="6847" spans="18:21" x14ac:dyDescent="0.2">
      <c r="R6847" s="49">
        <v>6845</v>
      </c>
      <c r="S6847" s="59">
        <f ca="1">Dashboard!B$8* Dashboard!$F$4+Dashboard!B$10*SQRT(Dashboard!$F$4) * _xlfn.NORM.S.INV(RAND())</f>
        <v>-5.5522860952969847E-3</v>
      </c>
      <c r="T6847" s="59">
        <f ca="1">Dashboard!C$8* Dashboard!$F$4+Dashboard!C$10*SQRT(Dashboard!$F$4) * _xlfn.NORM.S.INV(RAND())</f>
        <v>-2.4483146592027816E-2</v>
      </c>
      <c r="U6847" s="59">
        <f ca="1">Dashboard!D$8* Dashboard!$F$4+Dashboard!D$10*SQRT(Dashboard!$F$4) * _xlfn.NORM.S.INV(RAND())</f>
        <v>-1.9763719378695605E-2</v>
      </c>
    </row>
    <row r="6848" spans="18:21" x14ac:dyDescent="0.2">
      <c r="R6848" s="49">
        <v>6846</v>
      </c>
      <c r="S6848" s="59">
        <f ca="1">Dashboard!B$8* Dashboard!$F$4+Dashboard!B$10*SQRT(Dashboard!$F$4) * _xlfn.NORM.S.INV(RAND())</f>
        <v>1.6512282243161855E-2</v>
      </c>
      <c r="T6848" s="59">
        <f ca="1">Dashboard!C$8* Dashboard!$F$4+Dashboard!C$10*SQRT(Dashboard!$F$4) * _xlfn.NORM.S.INV(RAND())</f>
        <v>-4.7853766674579003E-2</v>
      </c>
      <c r="U6848" s="59">
        <f ca="1">Dashboard!D$8* Dashboard!$F$4+Dashboard!D$10*SQRT(Dashboard!$F$4) * _xlfn.NORM.S.INV(RAND())</f>
        <v>3.9848845833699584E-3</v>
      </c>
    </row>
    <row r="6849" spans="18:21" x14ac:dyDescent="0.2">
      <c r="R6849" s="49">
        <v>6847</v>
      </c>
      <c r="S6849" s="59">
        <f ca="1">Dashboard!B$8* Dashboard!$F$4+Dashboard!B$10*SQRT(Dashboard!$F$4) * _xlfn.NORM.S.INV(RAND())</f>
        <v>-3.2479673224262838E-2</v>
      </c>
      <c r="T6849" s="59">
        <f ca="1">Dashboard!C$8* Dashboard!$F$4+Dashboard!C$10*SQRT(Dashboard!$F$4) * _xlfn.NORM.S.INV(RAND())</f>
        <v>2.5130582770809224E-2</v>
      </c>
      <c r="U6849" s="59">
        <f ca="1">Dashboard!D$8* Dashboard!$F$4+Dashboard!D$10*SQRT(Dashboard!$F$4) * _xlfn.NORM.S.INV(RAND())</f>
        <v>5.2681673211120897E-2</v>
      </c>
    </row>
    <row r="6850" spans="18:21" x14ac:dyDescent="0.2">
      <c r="R6850" s="49">
        <v>6848</v>
      </c>
      <c r="S6850" s="59">
        <f ca="1">Dashboard!B$8* Dashboard!$F$4+Dashboard!B$10*SQRT(Dashboard!$F$4) * _xlfn.NORM.S.INV(RAND())</f>
        <v>-4.4577050753224184E-2</v>
      </c>
      <c r="T6850" s="59">
        <f ca="1">Dashboard!C$8* Dashboard!$F$4+Dashboard!C$10*SQRT(Dashboard!$F$4) * _xlfn.NORM.S.INV(RAND())</f>
        <v>4.1968082312368156E-2</v>
      </c>
      <c r="U6850" s="59">
        <f ca="1">Dashboard!D$8* Dashboard!$F$4+Dashboard!D$10*SQRT(Dashboard!$F$4) * _xlfn.NORM.S.INV(RAND())</f>
        <v>5.4340120984673904E-2</v>
      </c>
    </row>
    <row r="6851" spans="18:21" x14ac:dyDescent="0.2">
      <c r="R6851" s="49">
        <v>6849</v>
      </c>
      <c r="S6851" s="59">
        <f ca="1">Dashboard!B$8* Dashboard!$F$4+Dashboard!B$10*SQRT(Dashboard!$F$4) * _xlfn.NORM.S.INV(RAND())</f>
        <v>2.1846895402630226E-2</v>
      </c>
      <c r="T6851" s="59">
        <f ca="1">Dashboard!C$8* Dashboard!$F$4+Dashboard!C$10*SQRT(Dashboard!$F$4) * _xlfn.NORM.S.INV(RAND())</f>
        <v>3.5287042930013127E-2</v>
      </c>
      <c r="U6851" s="59">
        <f ca="1">Dashboard!D$8* Dashboard!$F$4+Dashboard!D$10*SQRT(Dashboard!$F$4) * _xlfn.NORM.S.INV(RAND())</f>
        <v>1.9101927594828108E-2</v>
      </c>
    </row>
    <row r="6852" spans="18:21" x14ac:dyDescent="0.2">
      <c r="R6852" s="49">
        <v>6850</v>
      </c>
      <c r="S6852" s="59">
        <f ca="1">Dashboard!B$8* Dashboard!$F$4+Dashboard!B$10*SQRT(Dashboard!$F$4) * _xlfn.NORM.S.INV(RAND())</f>
        <v>4.0500907185766384E-2</v>
      </c>
      <c r="T6852" s="59">
        <f ca="1">Dashboard!C$8* Dashboard!$F$4+Dashboard!C$10*SQRT(Dashboard!$F$4) * _xlfn.NORM.S.INV(RAND())</f>
        <v>3.4668045938512561E-2</v>
      </c>
      <c r="U6852" s="59">
        <f ca="1">Dashboard!D$8* Dashboard!$F$4+Dashboard!D$10*SQRT(Dashboard!$F$4) * _xlfn.NORM.S.INV(RAND())</f>
        <v>-2.3050227644587824E-2</v>
      </c>
    </row>
    <row r="6853" spans="18:21" x14ac:dyDescent="0.2">
      <c r="R6853" s="49">
        <v>6851</v>
      </c>
      <c r="S6853" s="59">
        <f ca="1">Dashboard!B$8* Dashboard!$F$4+Dashboard!B$10*SQRT(Dashboard!$F$4) * _xlfn.NORM.S.INV(RAND())</f>
        <v>1.049008060444068E-2</v>
      </c>
      <c r="T6853" s="59">
        <f ca="1">Dashboard!C$8* Dashboard!$F$4+Dashboard!C$10*SQRT(Dashboard!$F$4) * _xlfn.NORM.S.INV(RAND())</f>
        <v>-1.1166590315116916E-3</v>
      </c>
      <c r="U6853" s="59">
        <f ca="1">Dashboard!D$8* Dashboard!$F$4+Dashboard!D$10*SQRT(Dashboard!$F$4) * _xlfn.NORM.S.INV(RAND())</f>
        <v>1.6420192641042428E-2</v>
      </c>
    </row>
    <row r="6854" spans="18:21" x14ac:dyDescent="0.2">
      <c r="R6854" s="49">
        <v>6852</v>
      </c>
      <c r="S6854" s="59">
        <f ca="1">Dashboard!B$8* Dashboard!$F$4+Dashboard!B$10*SQRT(Dashboard!$F$4) * _xlfn.NORM.S.INV(RAND())</f>
        <v>7.5212215164340637E-2</v>
      </c>
      <c r="T6854" s="59">
        <f ca="1">Dashboard!C$8* Dashboard!$F$4+Dashboard!C$10*SQRT(Dashboard!$F$4) * _xlfn.NORM.S.INV(RAND())</f>
        <v>7.3060571167860213E-3</v>
      </c>
      <c r="U6854" s="59">
        <f ca="1">Dashboard!D$8* Dashboard!$F$4+Dashboard!D$10*SQRT(Dashboard!$F$4) * _xlfn.NORM.S.INV(RAND())</f>
        <v>3.4386096967329322E-3</v>
      </c>
    </row>
    <row r="6855" spans="18:21" x14ac:dyDescent="0.2">
      <c r="R6855" s="49">
        <v>6853</v>
      </c>
      <c r="S6855" s="59">
        <f ca="1">Dashboard!B$8* Dashboard!$F$4+Dashboard!B$10*SQRT(Dashboard!$F$4) * _xlfn.NORM.S.INV(RAND())</f>
        <v>-7.406062196667508E-2</v>
      </c>
      <c r="T6855" s="59">
        <f ca="1">Dashboard!C$8* Dashboard!$F$4+Dashboard!C$10*SQRT(Dashboard!$F$4) * _xlfn.NORM.S.INV(RAND())</f>
        <v>5.5755303105609465E-2</v>
      </c>
      <c r="U6855" s="59">
        <f ca="1">Dashboard!D$8* Dashboard!$F$4+Dashboard!D$10*SQRT(Dashboard!$F$4) * _xlfn.NORM.S.INV(RAND())</f>
        <v>3.6682742065983535E-2</v>
      </c>
    </row>
    <row r="6856" spans="18:21" x14ac:dyDescent="0.2">
      <c r="R6856" s="49">
        <v>6854</v>
      </c>
      <c r="S6856" s="59">
        <f ca="1">Dashboard!B$8* Dashboard!$F$4+Dashboard!B$10*SQRT(Dashboard!$F$4) * _xlfn.NORM.S.INV(RAND())</f>
        <v>-2.0364852029513054E-2</v>
      </c>
      <c r="T6856" s="59">
        <f ca="1">Dashboard!C$8* Dashboard!$F$4+Dashboard!C$10*SQRT(Dashboard!$F$4) * _xlfn.NORM.S.INV(RAND())</f>
        <v>-3.2817004544797468E-2</v>
      </c>
      <c r="U6856" s="59">
        <f ca="1">Dashboard!D$8* Dashboard!$F$4+Dashboard!D$10*SQRT(Dashboard!$F$4) * _xlfn.NORM.S.INV(RAND())</f>
        <v>8.9211696200504984E-3</v>
      </c>
    </row>
    <row r="6857" spans="18:21" x14ac:dyDescent="0.2">
      <c r="R6857" s="49">
        <v>6855</v>
      </c>
      <c r="S6857" s="59">
        <f ca="1">Dashboard!B$8* Dashboard!$F$4+Dashboard!B$10*SQRT(Dashboard!$F$4) * _xlfn.NORM.S.INV(RAND())</f>
        <v>3.3814590071915111E-2</v>
      </c>
      <c r="T6857" s="59">
        <f ca="1">Dashboard!C$8* Dashboard!$F$4+Dashboard!C$10*SQRT(Dashboard!$F$4) * _xlfn.NORM.S.INV(RAND())</f>
        <v>-4.5952454402657918E-2</v>
      </c>
      <c r="U6857" s="59">
        <f ca="1">Dashboard!D$8* Dashboard!$F$4+Dashboard!D$10*SQRT(Dashboard!$F$4) * _xlfn.NORM.S.INV(RAND())</f>
        <v>-2.1156289184318625E-2</v>
      </c>
    </row>
    <row r="6858" spans="18:21" x14ac:dyDescent="0.2">
      <c r="R6858" s="49">
        <v>6856</v>
      </c>
      <c r="S6858" s="59">
        <f ca="1">Dashboard!B$8* Dashboard!$F$4+Dashboard!B$10*SQRT(Dashboard!$F$4) * _xlfn.NORM.S.INV(RAND())</f>
        <v>6.2625988876653452E-2</v>
      </c>
      <c r="T6858" s="59">
        <f ca="1">Dashboard!C$8* Dashboard!$F$4+Dashboard!C$10*SQRT(Dashboard!$F$4) * _xlfn.NORM.S.INV(RAND())</f>
        <v>1.2763321182979202E-2</v>
      </c>
      <c r="U6858" s="59">
        <f ca="1">Dashboard!D$8* Dashboard!$F$4+Dashboard!D$10*SQRT(Dashboard!$F$4) * _xlfn.NORM.S.INV(RAND())</f>
        <v>-5.04594767762069E-2</v>
      </c>
    </row>
    <row r="6859" spans="18:21" x14ac:dyDescent="0.2">
      <c r="R6859" s="49">
        <v>6857</v>
      </c>
      <c r="S6859" s="59">
        <f ca="1">Dashboard!B$8* Dashboard!$F$4+Dashboard!B$10*SQRT(Dashboard!$F$4) * _xlfn.NORM.S.INV(RAND())</f>
        <v>-3.7761389331368396E-3</v>
      </c>
      <c r="T6859" s="59">
        <f ca="1">Dashboard!C$8* Dashboard!$F$4+Dashboard!C$10*SQRT(Dashboard!$F$4) * _xlfn.NORM.S.INV(RAND())</f>
        <v>2.4004830395670709E-2</v>
      </c>
      <c r="U6859" s="59">
        <f ca="1">Dashboard!D$8* Dashboard!$F$4+Dashboard!D$10*SQRT(Dashboard!$F$4) * _xlfn.NORM.S.INV(RAND())</f>
        <v>9.5912729519444569E-3</v>
      </c>
    </row>
    <row r="6860" spans="18:21" x14ac:dyDescent="0.2">
      <c r="R6860" s="49">
        <v>6858</v>
      </c>
      <c r="S6860" s="59">
        <f ca="1">Dashboard!B$8* Dashboard!$F$4+Dashboard!B$10*SQRT(Dashboard!$F$4) * _xlfn.NORM.S.INV(RAND())</f>
        <v>-1.0366006320568583E-2</v>
      </c>
      <c r="T6860" s="59">
        <f ca="1">Dashboard!C$8* Dashboard!$F$4+Dashboard!C$10*SQRT(Dashboard!$F$4) * _xlfn.NORM.S.INV(RAND())</f>
        <v>8.4947095803295757E-3</v>
      </c>
      <c r="U6860" s="59">
        <f ca="1">Dashboard!D$8* Dashboard!$F$4+Dashboard!D$10*SQRT(Dashboard!$F$4) * _xlfn.NORM.S.INV(RAND())</f>
        <v>-1.4552659545370515E-2</v>
      </c>
    </row>
    <row r="6861" spans="18:21" x14ac:dyDescent="0.2">
      <c r="R6861" s="49">
        <v>6859</v>
      </c>
      <c r="S6861" s="59">
        <f ca="1">Dashboard!B$8* Dashboard!$F$4+Dashboard!B$10*SQRT(Dashboard!$F$4) * _xlfn.NORM.S.INV(RAND())</f>
        <v>-3.2442798325790835E-3</v>
      </c>
      <c r="T6861" s="59">
        <f ca="1">Dashboard!C$8* Dashboard!$F$4+Dashboard!C$10*SQRT(Dashboard!$F$4) * _xlfn.NORM.S.INV(RAND())</f>
        <v>-1.157154492385002E-2</v>
      </c>
      <c r="U6861" s="59">
        <f ca="1">Dashboard!D$8* Dashboard!$F$4+Dashboard!D$10*SQRT(Dashboard!$F$4) * _xlfn.NORM.S.INV(RAND())</f>
        <v>-3.9676914141489543E-2</v>
      </c>
    </row>
    <row r="6862" spans="18:21" x14ac:dyDescent="0.2">
      <c r="R6862" s="49">
        <v>6860</v>
      </c>
      <c r="S6862" s="59">
        <f ca="1">Dashboard!B$8* Dashboard!$F$4+Dashboard!B$10*SQRT(Dashboard!$F$4) * _xlfn.NORM.S.INV(RAND())</f>
        <v>-2.8017829535351813E-2</v>
      </c>
      <c r="T6862" s="59">
        <f ca="1">Dashboard!C$8* Dashboard!$F$4+Dashboard!C$10*SQRT(Dashboard!$F$4) * _xlfn.NORM.S.INV(RAND())</f>
        <v>4.0586716452684517E-2</v>
      </c>
      <c r="U6862" s="59">
        <f ca="1">Dashboard!D$8* Dashboard!$F$4+Dashboard!D$10*SQRT(Dashboard!$F$4) * _xlfn.NORM.S.INV(RAND())</f>
        <v>-5.7591140091718456E-3</v>
      </c>
    </row>
    <row r="6863" spans="18:21" x14ac:dyDescent="0.2">
      <c r="R6863" s="49">
        <v>6861</v>
      </c>
      <c r="S6863" s="59">
        <f ca="1">Dashboard!B$8* Dashboard!$F$4+Dashboard!B$10*SQRT(Dashboard!$F$4) * _xlfn.NORM.S.INV(RAND())</f>
        <v>3.3156636456658423E-2</v>
      </c>
      <c r="T6863" s="59">
        <f ca="1">Dashboard!C$8* Dashboard!$F$4+Dashboard!C$10*SQRT(Dashboard!$F$4) * _xlfn.NORM.S.INV(RAND())</f>
        <v>3.6873770724686179E-2</v>
      </c>
      <c r="U6863" s="59">
        <f ca="1">Dashboard!D$8* Dashboard!$F$4+Dashboard!D$10*SQRT(Dashboard!$F$4) * _xlfn.NORM.S.INV(RAND())</f>
        <v>-5.7036758916231181E-2</v>
      </c>
    </row>
    <row r="6864" spans="18:21" x14ac:dyDescent="0.2">
      <c r="R6864" s="49">
        <v>6862</v>
      </c>
      <c r="S6864" s="59">
        <f ca="1">Dashboard!B$8* Dashboard!$F$4+Dashboard!B$10*SQRT(Dashboard!$F$4) * _xlfn.NORM.S.INV(RAND())</f>
        <v>-1.5285268135429532E-2</v>
      </c>
      <c r="T6864" s="59">
        <f ca="1">Dashboard!C$8* Dashboard!$F$4+Dashboard!C$10*SQRT(Dashboard!$F$4) * _xlfn.NORM.S.INV(RAND())</f>
        <v>4.6728545501918739E-2</v>
      </c>
      <c r="U6864" s="59">
        <f ca="1">Dashboard!D$8* Dashboard!$F$4+Dashboard!D$10*SQRT(Dashboard!$F$4) * _xlfn.NORM.S.INV(RAND())</f>
        <v>-2.3842947227863599E-2</v>
      </c>
    </row>
    <row r="6865" spans="18:21" x14ac:dyDescent="0.2">
      <c r="R6865" s="49">
        <v>6863</v>
      </c>
      <c r="S6865" s="59">
        <f ca="1">Dashboard!B$8* Dashboard!$F$4+Dashboard!B$10*SQRT(Dashboard!$F$4) * _xlfn.NORM.S.INV(RAND())</f>
        <v>7.2118869621699555E-3</v>
      </c>
      <c r="T6865" s="59">
        <f ca="1">Dashboard!C$8* Dashboard!$F$4+Dashboard!C$10*SQRT(Dashboard!$F$4) * _xlfn.NORM.S.INV(RAND())</f>
        <v>-3.0583214910650098E-2</v>
      </c>
      <c r="U6865" s="59">
        <f ca="1">Dashboard!D$8* Dashboard!$F$4+Dashboard!D$10*SQRT(Dashboard!$F$4) * _xlfn.NORM.S.INV(RAND())</f>
        <v>-6.1256891170779593E-2</v>
      </c>
    </row>
    <row r="6866" spans="18:21" x14ac:dyDescent="0.2">
      <c r="R6866" s="49">
        <v>6864</v>
      </c>
      <c r="S6866" s="59">
        <f ca="1">Dashboard!B$8* Dashboard!$F$4+Dashboard!B$10*SQRT(Dashboard!$F$4) * _xlfn.NORM.S.INV(RAND())</f>
        <v>-3.439785605739877E-3</v>
      </c>
      <c r="T6866" s="59">
        <f ca="1">Dashboard!C$8* Dashboard!$F$4+Dashboard!C$10*SQRT(Dashboard!$F$4) * _xlfn.NORM.S.INV(RAND())</f>
        <v>-3.4635503303582116E-2</v>
      </c>
      <c r="U6866" s="59">
        <f ca="1">Dashboard!D$8* Dashboard!$F$4+Dashboard!D$10*SQRT(Dashboard!$F$4) * _xlfn.NORM.S.INV(RAND())</f>
        <v>5.1933720340030631E-2</v>
      </c>
    </row>
    <row r="6867" spans="18:21" x14ac:dyDescent="0.2">
      <c r="R6867" s="49">
        <v>6865</v>
      </c>
      <c r="S6867" s="59">
        <f ca="1">Dashboard!B$8* Dashboard!$F$4+Dashboard!B$10*SQRT(Dashboard!$F$4) * _xlfn.NORM.S.INV(RAND())</f>
        <v>-1.2032814843699665E-2</v>
      </c>
      <c r="T6867" s="59">
        <f ca="1">Dashboard!C$8* Dashboard!$F$4+Dashboard!C$10*SQRT(Dashboard!$F$4) * _xlfn.NORM.S.INV(RAND())</f>
        <v>5.7854851577931292E-2</v>
      </c>
      <c r="U6867" s="59">
        <f ca="1">Dashboard!D$8* Dashboard!$F$4+Dashboard!D$10*SQRT(Dashboard!$F$4) * _xlfn.NORM.S.INV(RAND())</f>
        <v>1.3194487497321902E-2</v>
      </c>
    </row>
    <row r="6868" spans="18:21" x14ac:dyDescent="0.2">
      <c r="R6868" s="49">
        <v>6866</v>
      </c>
      <c r="S6868" s="59">
        <f ca="1">Dashboard!B$8* Dashboard!$F$4+Dashboard!B$10*SQRT(Dashboard!$F$4) * _xlfn.NORM.S.INV(RAND())</f>
        <v>-2.0362270111896084E-2</v>
      </c>
      <c r="T6868" s="59">
        <f ca="1">Dashboard!C$8* Dashboard!$F$4+Dashboard!C$10*SQRT(Dashboard!$F$4) * _xlfn.NORM.S.INV(RAND())</f>
        <v>-3.482540896031199E-3</v>
      </c>
      <c r="U6868" s="59">
        <f ca="1">Dashboard!D$8* Dashboard!$F$4+Dashboard!D$10*SQRT(Dashboard!$F$4) * _xlfn.NORM.S.INV(RAND())</f>
        <v>-1.8566928022288072E-4</v>
      </c>
    </row>
    <row r="6869" spans="18:21" x14ac:dyDescent="0.2">
      <c r="R6869" s="49">
        <v>6867</v>
      </c>
      <c r="S6869" s="59">
        <f ca="1">Dashboard!B$8* Dashboard!$F$4+Dashboard!B$10*SQRT(Dashboard!$F$4) * _xlfn.NORM.S.INV(RAND())</f>
        <v>2.5303698240960321E-3</v>
      </c>
      <c r="T6869" s="59">
        <f ca="1">Dashboard!C$8* Dashboard!$F$4+Dashboard!C$10*SQRT(Dashboard!$F$4) * _xlfn.NORM.S.INV(RAND())</f>
        <v>-3.6937057899538482E-3</v>
      </c>
      <c r="U6869" s="59">
        <f ca="1">Dashboard!D$8* Dashboard!$F$4+Dashboard!D$10*SQRT(Dashboard!$F$4) * _xlfn.NORM.S.INV(RAND())</f>
        <v>4.9540038039356756E-6</v>
      </c>
    </row>
    <row r="6870" spans="18:21" x14ac:dyDescent="0.2">
      <c r="R6870" s="49">
        <v>6868</v>
      </c>
      <c r="S6870" s="59">
        <f ca="1">Dashboard!B$8* Dashboard!$F$4+Dashboard!B$10*SQRT(Dashboard!$F$4) * _xlfn.NORM.S.INV(RAND())</f>
        <v>-2.9044908294003427E-3</v>
      </c>
      <c r="T6870" s="59">
        <f ca="1">Dashboard!C$8* Dashboard!$F$4+Dashboard!C$10*SQRT(Dashboard!$F$4) * _xlfn.NORM.S.INV(RAND())</f>
        <v>1.7286884273659299E-3</v>
      </c>
      <c r="U6870" s="59">
        <f ca="1">Dashboard!D$8* Dashboard!$F$4+Dashboard!D$10*SQRT(Dashboard!$F$4) * _xlfn.NORM.S.INV(RAND())</f>
        <v>7.7146122223441759E-4</v>
      </c>
    </row>
    <row r="6871" spans="18:21" x14ac:dyDescent="0.2">
      <c r="R6871" s="49">
        <v>6869</v>
      </c>
      <c r="S6871" s="59">
        <f ca="1">Dashboard!B$8* Dashboard!$F$4+Dashboard!B$10*SQRT(Dashboard!$F$4) * _xlfn.NORM.S.INV(RAND())</f>
        <v>2.2159206014489063E-2</v>
      </c>
      <c r="T6871" s="59">
        <f ca="1">Dashboard!C$8* Dashboard!$F$4+Dashboard!C$10*SQRT(Dashboard!$F$4) * _xlfn.NORM.S.INV(RAND())</f>
        <v>-5.3614875318528744E-2</v>
      </c>
      <c r="U6871" s="59">
        <f ca="1">Dashboard!D$8* Dashboard!$F$4+Dashboard!D$10*SQRT(Dashboard!$F$4) * _xlfn.NORM.S.INV(RAND())</f>
        <v>4.1759545778148922E-3</v>
      </c>
    </row>
    <row r="6872" spans="18:21" x14ac:dyDescent="0.2">
      <c r="R6872" s="49">
        <v>6870</v>
      </c>
      <c r="S6872" s="59">
        <f ca="1">Dashboard!B$8* Dashboard!$F$4+Dashboard!B$10*SQRT(Dashboard!$F$4) * _xlfn.NORM.S.INV(RAND())</f>
        <v>3.1862629241264526E-2</v>
      </c>
      <c r="T6872" s="59">
        <f ca="1">Dashboard!C$8* Dashboard!$F$4+Dashboard!C$10*SQRT(Dashboard!$F$4) * _xlfn.NORM.S.INV(RAND())</f>
        <v>4.3582341770638262E-3</v>
      </c>
      <c r="U6872" s="59">
        <f ca="1">Dashboard!D$8* Dashboard!$F$4+Dashboard!D$10*SQRT(Dashboard!$F$4) * _xlfn.NORM.S.INV(RAND())</f>
        <v>9.1879961992308596E-3</v>
      </c>
    </row>
    <row r="6873" spans="18:21" x14ac:dyDescent="0.2">
      <c r="R6873" s="49">
        <v>6871</v>
      </c>
      <c r="S6873" s="59">
        <f ca="1">Dashboard!B$8* Dashboard!$F$4+Dashboard!B$10*SQRT(Dashboard!$F$4) * _xlfn.NORM.S.INV(RAND())</f>
        <v>8.2742674732526507E-3</v>
      </c>
      <c r="T6873" s="59">
        <f ca="1">Dashboard!C$8* Dashboard!$F$4+Dashboard!C$10*SQRT(Dashboard!$F$4) * _xlfn.NORM.S.INV(RAND())</f>
        <v>-3.6687661123306917E-2</v>
      </c>
      <c r="U6873" s="59">
        <f ca="1">Dashboard!D$8* Dashboard!$F$4+Dashboard!D$10*SQRT(Dashboard!$F$4) * _xlfn.NORM.S.INV(RAND())</f>
        <v>-6.0428305284897024E-2</v>
      </c>
    </row>
    <row r="6874" spans="18:21" x14ac:dyDescent="0.2">
      <c r="R6874" s="49">
        <v>6872</v>
      </c>
      <c r="S6874" s="59">
        <f ca="1">Dashboard!B$8* Dashboard!$F$4+Dashboard!B$10*SQRT(Dashboard!$F$4) * _xlfn.NORM.S.INV(RAND())</f>
        <v>-4.8338984008319451E-2</v>
      </c>
      <c r="T6874" s="59">
        <f ca="1">Dashboard!C$8* Dashboard!$F$4+Dashboard!C$10*SQRT(Dashboard!$F$4) * _xlfn.NORM.S.INV(RAND())</f>
        <v>6.2680000251585603E-3</v>
      </c>
      <c r="U6874" s="59">
        <f ca="1">Dashboard!D$8* Dashboard!$F$4+Dashboard!D$10*SQRT(Dashboard!$F$4) * _xlfn.NORM.S.INV(RAND())</f>
        <v>-2.6009756382729489E-2</v>
      </c>
    </row>
    <row r="6875" spans="18:21" x14ac:dyDescent="0.2">
      <c r="R6875" s="49">
        <v>6873</v>
      </c>
      <c r="S6875" s="59">
        <f ca="1">Dashboard!B$8* Dashboard!$F$4+Dashboard!B$10*SQRT(Dashboard!$F$4) * _xlfn.NORM.S.INV(RAND())</f>
        <v>-2.0909946226032733E-2</v>
      </c>
      <c r="T6875" s="59">
        <f ca="1">Dashboard!C$8* Dashboard!$F$4+Dashboard!C$10*SQRT(Dashboard!$F$4) * _xlfn.NORM.S.INV(RAND())</f>
        <v>-1.0065365511262411E-2</v>
      </c>
      <c r="U6875" s="59">
        <f ca="1">Dashboard!D$8* Dashboard!$F$4+Dashboard!D$10*SQRT(Dashboard!$F$4) * _xlfn.NORM.S.INV(RAND())</f>
        <v>3.2016632583696913E-2</v>
      </c>
    </row>
    <row r="6876" spans="18:21" x14ac:dyDescent="0.2">
      <c r="R6876" s="49">
        <v>6874</v>
      </c>
      <c r="S6876" s="59">
        <f ca="1">Dashboard!B$8* Dashboard!$F$4+Dashboard!B$10*SQRT(Dashboard!$F$4) * _xlfn.NORM.S.INV(RAND())</f>
        <v>-2.7392360906831309E-2</v>
      </c>
      <c r="T6876" s="59">
        <f ca="1">Dashboard!C$8* Dashboard!$F$4+Dashboard!C$10*SQRT(Dashboard!$F$4) * _xlfn.NORM.S.INV(RAND())</f>
        <v>5.0379993808717848E-2</v>
      </c>
      <c r="U6876" s="59">
        <f ca="1">Dashboard!D$8* Dashboard!$F$4+Dashboard!D$10*SQRT(Dashboard!$F$4) * _xlfn.NORM.S.INV(RAND())</f>
        <v>2.7206510296532708E-2</v>
      </c>
    </row>
    <row r="6877" spans="18:21" x14ac:dyDescent="0.2">
      <c r="R6877" s="49">
        <v>6875</v>
      </c>
      <c r="S6877" s="59">
        <f ca="1">Dashboard!B$8* Dashboard!$F$4+Dashboard!B$10*SQRT(Dashboard!$F$4) * _xlfn.NORM.S.INV(RAND())</f>
        <v>3.2479709288539257E-2</v>
      </c>
      <c r="T6877" s="59">
        <f ca="1">Dashboard!C$8* Dashboard!$F$4+Dashboard!C$10*SQRT(Dashboard!$F$4) * _xlfn.NORM.S.INV(RAND())</f>
        <v>-2.025353614745494E-2</v>
      </c>
      <c r="U6877" s="59">
        <f ca="1">Dashboard!D$8* Dashboard!$F$4+Dashboard!D$10*SQRT(Dashboard!$F$4) * _xlfn.NORM.S.INV(RAND())</f>
        <v>-9.1467517731354708E-4</v>
      </c>
    </row>
    <row r="6878" spans="18:21" x14ac:dyDescent="0.2">
      <c r="R6878" s="49">
        <v>6876</v>
      </c>
      <c r="S6878" s="59">
        <f ca="1">Dashboard!B$8* Dashboard!$F$4+Dashboard!B$10*SQRT(Dashboard!$F$4) * _xlfn.NORM.S.INV(RAND())</f>
        <v>3.2138901382833346E-2</v>
      </c>
      <c r="T6878" s="59">
        <f ca="1">Dashboard!C$8* Dashboard!$F$4+Dashboard!C$10*SQRT(Dashboard!$F$4) * _xlfn.NORM.S.INV(RAND())</f>
        <v>-9.6745336660279367E-3</v>
      </c>
      <c r="U6878" s="59">
        <f ca="1">Dashboard!D$8* Dashboard!$F$4+Dashboard!D$10*SQRT(Dashboard!$F$4) * _xlfn.NORM.S.INV(RAND())</f>
        <v>2.9555265306163918E-2</v>
      </c>
    </row>
    <row r="6879" spans="18:21" x14ac:dyDescent="0.2">
      <c r="R6879" s="49">
        <v>6877</v>
      </c>
      <c r="S6879" s="59">
        <f ca="1">Dashboard!B$8* Dashboard!$F$4+Dashboard!B$10*SQRT(Dashboard!$F$4) * _xlfn.NORM.S.INV(RAND())</f>
        <v>-9.3307154468489049E-3</v>
      </c>
      <c r="T6879" s="59">
        <f ca="1">Dashboard!C$8* Dashboard!$F$4+Dashboard!C$10*SQRT(Dashboard!$F$4) * _xlfn.NORM.S.INV(RAND())</f>
        <v>-6.8139817646159879E-3</v>
      </c>
      <c r="U6879" s="59">
        <f ca="1">Dashboard!D$8* Dashboard!$F$4+Dashboard!D$10*SQRT(Dashboard!$F$4) * _xlfn.NORM.S.INV(RAND())</f>
        <v>-2.6204904045047946E-2</v>
      </c>
    </row>
    <row r="6880" spans="18:21" x14ac:dyDescent="0.2">
      <c r="R6880" s="49">
        <v>6878</v>
      </c>
      <c r="S6880" s="59">
        <f ca="1">Dashboard!B$8* Dashboard!$F$4+Dashboard!B$10*SQRT(Dashboard!$F$4) * _xlfn.NORM.S.INV(RAND())</f>
        <v>4.73698060891878E-3</v>
      </c>
      <c r="T6880" s="59">
        <f ca="1">Dashboard!C$8* Dashboard!$F$4+Dashboard!C$10*SQRT(Dashboard!$F$4) * _xlfn.NORM.S.INV(RAND())</f>
        <v>-4.5966618902938614E-2</v>
      </c>
      <c r="U6880" s="59">
        <f ca="1">Dashboard!D$8* Dashboard!$F$4+Dashboard!D$10*SQRT(Dashboard!$F$4) * _xlfn.NORM.S.INV(RAND())</f>
        <v>-1.7232708753068312E-2</v>
      </c>
    </row>
    <row r="6881" spans="18:21" x14ac:dyDescent="0.2">
      <c r="R6881" s="49">
        <v>6879</v>
      </c>
      <c r="S6881" s="59">
        <f ca="1">Dashboard!B$8* Dashboard!$F$4+Dashboard!B$10*SQRT(Dashboard!$F$4) * _xlfn.NORM.S.INV(RAND())</f>
        <v>2.5505192666917219E-2</v>
      </c>
      <c r="T6881" s="59">
        <f ca="1">Dashboard!C$8* Dashboard!$F$4+Dashboard!C$10*SQRT(Dashboard!$F$4) * _xlfn.NORM.S.INV(RAND())</f>
        <v>-3.9621332584818848E-2</v>
      </c>
      <c r="U6881" s="59">
        <f ca="1">Dashboard!D$8* Dashboard!$F$4+Dashboard!D$10*SQRT(Dashboard!$F$4) * _xlfn.NORM.S.INV(RAND())</f>
        <v>-2.7970867677847136E-2</v>
      </c>
    </row>
    <row r="6882" spans="18:21" x14ac:dyDescent="0.2">
      <c r="R6882" s="49">
        <v>6880</v>
      </c>
      <c r="S6882" s="59">
        <f ca="1">Dashboard!B$8* Dashboard!$F$4+Dashboard!B$10*SQRT(Dashboard!$F$4) * _xlfn.NORM.S.INV(RAND())</f>
        <v>-7.9051800597982891E-3</v>
      </c>
      <c r="T6882" s="59">
        <f ca="1">Dashboard!C$8* Dashboard!$F$4+Dashboard!C$10*SQRT(Dashboard!$F$4) * _xlfn.NORM.S.INV(RAND())</f>
        <v>3.1606440466342624E-2</v>
      </c>
      <c r="U6882" s="59">
        <f ca="1">Dashboard!D$8* Dashboard!$F$4+Dashboard!D$10*SQRT(Dashboard!$F$4) * _xlfn.NORM.S.INV(RAND())</f>
        <v>3.7351789125336453E-2</v>
      </c>
    </row>
    <row r="6883" spans="18:21" x14ac:dyDescent="0.2">
      <c r="R6883" s="49">
        <v>6881</v>
      </c>
      <c r="S6883" s="59">
        <f ca="1">Dashboard!B$8* Dashboard!$F$4+Dashboard!B$10*SQRT(Dashboard!$F$4) * _xlfn.NORM.S.INV(RAND())</f>
        <v>-1.1677385802296564E-2</v>
      </c>
      <c r="T6883" s="59">
        <f ca="1">Dashboard!C$8* Dashboard!$F$4+Dashboard!C$10*SQRT(Dashboard!$F$4) * _xlfn.NORM.S.INV(RAND())</f>
        <v>-1.1486866205513816E-2</v>
      </c>
      <c r="U6883" s="59">
        <f ca="1">Dashboard!D$8* Dashboard!$F$4+Dashboard!D$10*SQRT(Dashboard!$F$4) * _xlfn.NORM.S.INV(RAND())</f>
        <v>1.8676408245551026E-2</v>
      </c>
    </row>
    <row r="6884" spans="18:21" x14ac:dyDescent="0.2">
      <c r="R6884" s="49">
        <v>6882</v>
      </c>
      <c r="S6884" s="59">
        <f ca="1">Dashboard!B$8* Dashboard!$F$4+Dashboard!B$10*SQRT(Dashboard!$F$4) * _xlfn.NORM.S.INV(RAND())</f>
        <v>-5.3937674869311537E-2</v>
      </c>
      <c r="T6884" s="59">
        <f ca="1">Dashboard!C$8* Dashboard!$F$4+Dashboard!C$10*SQRT(Dashboard!$F$4) * _xlfn.NORM.S.INV(RAND())</f>
        <v>-3.6130716870598101E-2</v>
      </c>
      <c r="U6884" s="59">
        <f ca="1">Dashboard!D$8* Dashboard!$F$4+Dashboard!D$10*SQRT(Dashboard!$F$4) * _xlfn.NORM.S.INV(RAND())</f>
        <v>7.4385966105288519E-3</v>
      </c>
    </row>
    <row r="6885" spans="18:21" x14ac:dyDescent="0.2">
      <c r="R6885" s="49">
        <v>6883</v>
      </c>
      <c r="S6885" s="59">
        <f ca="1">Dashboard!B$8* Dashboard!$F$4+Dashboard!B$10*SQRT(Dashboard!$F$4) * _xlfn.NORM.S.INV(RAND())</f>
        <v>-5.6076807009160885E-4</v>
      </c>
      <c r="T6885" s="59">
        <f ca="1">Dashboard!C$8* Dashboard!$F$4+Dashboard!C$10*SQRT(Dashboard!$F$4) * _xlfn.NORM.S.INV(RAND())</f>
        <v>3.6587002943813196E-3</v>
      </c>
      <c r="U6885" s="59">
        <f ca="1">Dashboard!D$8* Dashboard!$F$4+Dashboard!D$10*SQRT(Dashboard!$F$4) * _xlfn.NORM.S.INV(RAND())</f>
        <v>5.8726256877719513E-2</v>
      </c>
    </row>
    <row r="6886" spans="18:21" x14ac:dyDescent="0.2">
      <c r="R6886" s="49">
        <v>6884</v>
      </c>
      <c r="S6886" s="59">
        <f ca="1">Dashboard!B$8* Dashboard!$F$4+Dashboard!B$10*SQRT(Dashboard!$F$4) * _xlfn.NORM.S.INV(RAND())</f>
        <v>1.5262388689019028E-3</v>
      </c>
      <c r="T6886" s="59">
        <f ca="1">Dashboard!C$8* Dashboard!$F$4+Dashboard!C$10*SQRT(Dashboard!$F$4) * _xlfn.NORM.S.INV(RAND())</f>
        <v>-1.8830499882067173E-2</v>
      </c>
      <c r="U6886" s="59">
        <f ca="1">Dashboard!D$8* Dashboard!$F$4+Dashboard!D$10*SQRT(Dashboard!$F$4) * _xlfn.NORM.S.INV(RAND())</f>
        <v>1.9459837205286618E-2</v>
      </c>
    </row>
    <row r="6887" spans="18:21" x14ac:dyDescent="0.2">
      <c r="R6887" s="49">
        <v>6885</v>
      </c>
      <c r="S6887" s="59">
        <f ca="1">Dashboard!B$8* Dashboard!$F$4+Dashboard!B$10*SQRT(Dashboard!$F$4) * _xlfn.NORM.S.INV(RAND())</f>
        <v>4.2471849306300671E-3</v>
      </c>
      <c r="T6887" s="59">
        <f ca="1">Dashboard!C$8* Dashboard!$F$4+Dashboard!C$10*SQRT(Dashboard!$F$4) * _xlfn.NORM.S.INV(RAND())</f>
        <v>2.6751777435777949E-2</v>
      </c>
      <c r="U6887" s="59">
        <f ca="1">Dashboard!D$8* Dashboard!$F$4+Dashboard!D$10*SQRT(Dashboard!$F$4) * _xlfn.NORM.S.INV(RAND())</f>
        <v>3.4264885877689395E-3</v>
      </c>
    </row>
    <row r="6888" spans="18:21" x14ac:dyDescent="0.2">
      <c r="R6888" s="49">
        <v>6886</v>
      </c>
      <c r="S6888" s="59">
        <f ca="1">Dashboard!B$8* Dashboard!$F$4+Dashboard!B$10*SQRT(Dashboard!$F$4) * _xlfn.NORM.S.INV(RAND())</f>
        <v>-1.8043942640631298E-2</v>
      </c>
      <c r="T6888" s="59">
        <f ca="1">Dashboard!C$8* Dashboard!$F$4+Dashboard!C$10*SQRT(Dashboard!$F$4) * _xlfn.NORM.S.INV(RAND())</f>
        <v>3.9758316626717423E-2</v>
      </c>
      <c r="U6888" s="59">
        <f ca="1">Dashboard!D$8* Dashboard!$F$4+Dashboard!D$10*SQRT(Dashboard!$F$4) * _xlfn.NORM.S.INV(RAND())</f>
        <v>-5.1904088780624157E-2</v>
      </c>
    </row>
    <row r="6889" spans="18:21" x14ac:dyDescent="0.2">
      <c r="R6889" s="49">
        <v>6887</v>
      </c>
      <c r="S6889" s="59">
        <f ca="1">Dashboard!B$8* Dashboard!$F$4+Dashboard!B$10*SQRT(Dashboard!$F$4) * _xlfn.NORM.S.INV(RAND())</f>
        <v>-2.1160812799753466E-2</v>
      </c>
      <c r="T6889" s="59">
        <f ca="1">Dashboard!C$8* Dashboard!$F$4+Dashboard!C$10*SQRT(Dashboard!$F$4) * _xlfn.NORM.S.INV(RAND())</f>
        <v>-1.1678610751886091E-2</v>
      </c>
      <c r="U6889" s="59">
        <f ca="1">Dashboard!D$8* Dashboard!$F$4+Dashboard!D$10*SQRT(Dashboard!$F$4) * _xlfn.NORM.S.INV(RAND())</f>
        <v>-2.3892015992633266E-2</v>
      </c>
    </row>
    <row r="6890" spans="18:21" x14ac:dyDescent="0.2">
      <c r="R6890" s="49">
        <v>6888</v>
      </c>
      <c r="S6890" s="59">
        <f ca="1">Dashboard!B$8* Dashboard!$F$4+Dashboard!B$10*SQRT(Dashboard!$F$4) * _xlfn.NORM.S.INV(RAND())</f>
        <v>-7.5753212340099643E-2</v>
      </c>
      <c r="T6890" s="59">
        <f ca="1">Dashboard!C$8* Dashboard!$F$4+Dashboard!C$10*SQRT(Dashboard!$F$4) * _xlfn.NORM.S.INV(RAND())</f>
        <v>-1.8793670540662227E-3</v>
      </c>
      <c r="U6890" s="59">
        <f ca="1">Dashboard!D$8* Dashboard!$F$4+Dashboard!D$10*SQRT(Dashboard!$F$4) * _xlfn.NORM.S.INV(RAND())</f>
        <v>-1.67871914393193E-2</v>
      </c>
    </row>
    <row r="6891" spans="18:21" x14ac:dyDescent="0.2">
      <c r="R6891" s="49">
        <v>6889</v>
      </c>
      <c r="S6891" s="59">
        <f ca="1">Dashboard!B$8* Dashboard!$F$4+Dashboard!B$10*SQRT(Dashboard!$F$4) * _xlfn.NORM.S.INV(RAND())</f>
        <v>4.5028011493932436E-2</v>
      </c>
      <c r="T6891" s="59">
        <f ca="1">Dashboard!C$8* Dashboard!$F$4+Dashboard!C$10*SQRT(Dashboard!$F$4) * _xlfn.NORM.S.INV(RAND())</f>
        <v>5.4167773167170877E-2</v>
      </c>
      <c r="U6891" s="59">
        <f ca="1">Dashboard!D$8* Dashboard!$F$4+Dashboard!D$10*SQRT(Dashboard!$F$4) * _xlfn.NORM.S.INV(RAND())</f>
        <v>-3.0501488436252305E-2</v>
      </c>
    </row>
    <row r="6892" spans="18:21" x14ac:dyDescent="0.2">
      <c r="R6892" s="49">
        <v>6890</v>
      </c>
      <c r="S6892" s="59">
        <f ca="1">Dashboard!B$8* Dashboard!$F$4+Dashboard!B$10*SQRT(Dashboard!$F$4) * _xlfn.NORM.S.INV(RAND())</f>
        <v>3.1547918884585829E-2</v>
      </c>
      <c r="T6892" s="59">
        <f ca="1">Dashboard!C$8* Dashboard!$F$4+Dashboard!C$10*SQRT(Dashboard!$F$4) * _xlfn.NORM.S.INV(RAND())</f>
        <v>1.2913026678006336E-2</v>
      </c>
      <c r="U6892" s="59">
        <f ca="1">Dashboard!D$8* Dashboard!$F$4+Dashboard!D$10*SQRT(Dashboard!$F$4) * _xlfn.NORM.S.INV(RAND())</f>
        <v>2.9998229325856787E-2</v>
      </c>
    </row>
    <row r="6893" spans="18:21" x14ac:dyDescent="0.2">
      <c r="R6893" s="49">
        <v>6891</v>
      </c>
      <c r="S6893" s="59">
        <f ca="1">Dashboard!B$8* Dashboard!$F$4+Dashboard!B$10*SQRT(Dashboard!$F$4) * _xlfn.NORM.S.INV(RAND())</f>
        <v>-4.8945366498828004E-2</v>
      </c>
      <c r="T6893" s="59">
        <f ca="1">Dashboard!C$8* Dashboard!$F$4+Dashboard!C$10*SQRT(Dashboard!$F$4) * _xlfn.NORM.S.INV(RAND())</f>
        <v>-6.0271846720456367E-3</v>
      </c>
      <c r="U6893" s="59">
        <f ca="1">Dashboard!D$8* Dashboard!$F$4+Dashboard!D$10*SQRT(Dashboard!$F$4) * _xlfn.NORM.S.INV(RAND())</f>
        <v>-3.6969645156766304E-2</v>
      </c>
    </row>
    <row r="6894" spans="18:21" x14ac:dyDescent="0.2">
      <c r="R6894" s="49">
        <v>6892</v>
      </c>
      <c r="S6894" s="59">
        <f ca="1">Dashboard!B$8* Dashboard!$F$4+Dashboard!B$10*SQRT(Dashboard!$F$4) * _xlfn.NORM.S.INV(RAND())</f>
        <v>3.8348223316399178E-2</v>
      </c>
      <c r="T6894" s="59">
        <f ca="1">Dashboard!C$8* Dashboard!$F$4+Dashboard!C$10*SQRT(Dashboard!$F$4) * _xlfn.NORM.S.INV(RAND())</f>
        <v>-5.3527433821635551E-2</v>
      </c>
      <c r="U6894" s="59">
        <f ca="1">Dashboard!D$8* Dashboard!$F$4+Dashboard!D$10*SQRT(Dashboard!$F$4) * _xlfn.NORM.S.INV(RAND())</f>
        <v>-1.7031510344902759E-2</v>
      </c>
    </row>
    <row r="6895" spans="18:21" x14ac:dyDescent="0.2">
      <c r="R6895" s="49">
        <v>6893</v>
      </c>
      <c r="S6895" s="59">
        <f ca="1">Dashboard!B$8* Dashboard!$F$4+Dashboard!B$10*SQRT(Dashboard!$F$4) * _xlfn.NORM.S.INV(RAND())</f>
        <v>1.0835943696979529E-2</v>
      </c>
      <c r="T6895" s="59">
        <f ca="1">Dashboard!C$8* Dashboard!$F$4+Dashboard!C$10*SQRT(Dashboard!$F$4) * _xlfn.NORM.S.INV(RAND())</f>
        <v>4.6740000413804574E-3</v>
      </c>
      <c r="U6895" s="59">
        <f ca="1">Dashboard!D$8* Dashboard!$F$4+Dashboard!D$10*SQRT(Dashboard!$F$4) * _xlfn.NORM.S.INV(RAND())</f>
        <v>-2.618026372006357E-2</v>
      </c>
    </row>
    <row r="6896" spans="18:21" x14ac:dyDescent="0.2">
      <c r="R6896" s="49">
        <v>6894</v>
      </c>
      <c r="S6896" s="59">
        <f ca="1">Dashboard!B$8* Dashboard!$F$4+Dashboard!B$10*SQRT(Dashboard!$F$4) * _xlfn.NORM.S.INV(RAND())</f>
        <v>8.326934294039344E-2</v>
      </c>
      <c r="T6896" s="59">
        <f ca="1">Dashboard!C$8* Dashboard!$F$4+Dashboard!C$10*SQRT(Dashboard!$F$4) * _xlfn.NORM.S.INV(RAND())</f>
        <v>-2.688123747869672E-2</v>
      </c>
      <c r="U6896" s="59">
        <f ca="1">Dashboard!D$8* Dashboard!$F$4+Dashboard!D$10*SQRT(Dashboard!$F$4) * _xlfn.NORM.S.INV(RAND())</f>
        <v>-1.9219516141733999E-2</v>
      </c>
    </row>
    <row r="6897" spans="18:21" x14ac:dyDescent="0.2">
      <c r="R6897" s="49">
        <v>6895</v>
      </c>
      <c r="S6897" s="59">
        <f ca="1">Dashboard!B$8* Dashboard!$F$4+Dashboard!B$10*SQRT(Dashboard!$F$4) * _xlfn.NORM.S.INV(RAND())</f>
        <v>1.4879363026435924E-2</v>
      </c>
      <c r="T6897" s="59">
        <f ca="1">Dashboard!C$8* Dashboard!$F$4+Dashboard!C$10*SQRT(Dashboard!$F$4) * _xlfn.NORM.S.INV(RAND())</f>
        <v>1.6598822428418984E-2</v>
      </c>
      <c r="U6897" s="59">
        <f ca="1">Dashboard!D$8* Dashboard!$F$4+Dashboard!D$10*SQRT(Dashboard!$F$4) * _xlfn.NORM.S.INV(RAND())</f>
        <v>7.3243954632739319E-2</v>
      </c>
    </row>
    <row r="6898" spans="18:21" x14ac:dyDescent="0.2">
      <c r="R6898" s="49">
        <v>6896</v>
      </c>
      <c r="S6898" s="59">
        <f ca="1">Dashboard!B$8* Dashboard!$F$4+Dashboard!B$10*SQRT(Dashboard!$F$4) * _xlfn.NORM.S.INV(RAND())</f>
        <v>2.4460276788320572E-2</v>
      </c>
      <c r="T6898" s="59">
        <f ca="1">Dashboard!C$8* Dashboard!$F$4+Dashboard!C$10*SQRT(Dashboard!$F$4) * _xlfn.NORM.S.INV(RAND())</f>
        <v>1.7357928897433351E-2</v>
      </c>
      <c r="U6898" s="59">
        <f ca="1">Dashboard!D$8* Dashboard!$F$4+Dashboard!D$10*SQRT(Dashboard!$F$4) * _xlfn.NORM.S.INV(RAND())</f>
        <v>-2.1058942353858155E-2</v>
      </c>
    </row>
    <row r="6899" spans="18:21" x14ac:dyDescent="0.2">
      <c r="R6899" s="49">
        <v>6897</v>
      </c>
      <c r="S6899" s="59">
        <f ca="1">Dashboard!B$8* Dashboard!$F$4+Dashboard!B$10*SQRT(Dashboard!$F$4) * _xlfn.NORM.S.INV(RAND())</f>
        <v>-2.1914493957137619E-2</v>
      </c>
      <c r="T6899" s="59">
        <f ca="1">Dashboard!C$8* Dashboard!$F$4+Dashboard!C$10*SQRT(Dashboard!$F$4) * _xlfn.NORM.S.INV(RAND())</f>
        <v>3.3003937568970944E-2</v>
      </c>
      <c r="U6899" s="59">
        <f ca="1">Dashboard!D$8* Dashboard!$F$4+Dashboard!D$10*SQRT(Dashboard!$F$4) * _xlfn.NORM.S.INV(RAND())</f>
        <v>1.5229515668184215E-2</v>
      </c>
    </row>
    <row r="6900" spans="18:21" x14ac:dyDescent="0.2">
      <c r="R6900" s="49">
        <v>6898</v>
      </c>
      <c r="S6900" s="59">
        <f ca="1">Dashboard!B$8* Dashboard!$F$4+Dashboard!B$10*SQRT(Dashboard!$F$4) * _xlfn.NORM.S.INV(RAND())</f>
        <v>4.8970239560892227E-2</v>
      </c>
      <c r="T6900" s="59">
        <f ca="1">Dashboard!C$8* Dashboard!$F$4+Dashboard!C$10*SQRT(Dashboard!$F$4) * _xlfn.NORM.S.INV(RAND())</f>
        <v>1.4907718077106863E-2</v>
      </c>
      <c r="U6900" s="59">
        <f ca="1">Dashboard!D$8* Dashboard!$F$4+Dashboard!D$10*SQRT(Dashboard!$F$4) * _xlfn.NORM.S.INV(RAND())</f>
        <v>1.091928639730718E-2</v>
      </c>
    </row>
    <row r="6901" spans="18:21" x14ac:dyDescent="0.2">
      <c r="R6901" s="49">
        <v>6899</v>
      </c>
      <c r="S6901" s="59">
        <f ca="1">Dashboard!B$8* Dashboard!$F$4+Dashboard!B$10*SQRT(Dashboard!$F$4) * _xlfn.NORM.S.INV(RAND())</f>
        <v>-3.0020535254164392E-2</v>
      </c>
      <c r="T6901" s="59">
        <f ca="1">Dashboard!C$8* Dashboard!$F$4+Dashboard!C$10*SQRT(Dashboard!$F$4) * _xlfn.NORM.S.INV(RAND())</f>
        <v>6.3767185320572503E-2</v>
      </c>
      <c r="U6901" s="59">
        <f ca="1">Dashboard!D$8* Dashboard!$F$4+Dashboard!D$10*SQRT(Dashboard!$F$4) * _xlfn.NORM.S.INV(RAND())</f>
        <v>4.479773419621115E-2</v>
      </c>
    </row>
    <row r="6902" spans="18:21" x14ac:dyDescent="0.2">
      <c r="R6902" s="49">
        <v>6900</v>
      </c>
      <c r="S6902" s="59">
        <f ca="1">Dashboard!B$8* Dashboard!$F$4+Dashboard!B$10*SQRT(Dashboard!$F$4) * _xlfn.NORM.S.INV(RAND())</f>
        <v>8.4608953874310399E-3</v>
      </c>
      <c r="T6902" s="59">
        <f ca="1">Dashboard!C$8* Dashboard!$F$4+Dashboard!C$10*SQRT(Dashboard!$F$4) * _xlfn.NORM.S.INV(RAND())</f>
        <v>7.1209826773027344E-3</v>
      </c>
      <c r="U6902" s="59">
        <f ca="1">Dashboard!D$8* Dashboard!$F$4+Dashboard!D$10*SQRT(Dashboard!$F$4) * _xlfn.NORM.S.INV(RAND())</f>
        <v>-4.9154037990850616E-3</v>
      </c>
    </row>
    <row r="6903" spans="18:21" x14ac:dyDescent="0.2">
      <c r="R6903" s="49">
        <v>6901</v>
      </c>
      <c r="S6903" s="59">
        <f ca="1">Dashboard!B$8* Dashboard!$F$4+Dashboard!B$10*SQRT(Dashboard!$F$4) * _xlfn.NORM.S.INV(RAND())</f>
        <v>-3.0021615364989693E-2</v>
      </c>
      <c r="T6903" s="59">
        <f ca="1">Dashboard!C$8* Dashboard!$F$4+Dashboard!C$10*SQRT(Dashboard!$F$4) * _xlfn.NORM.S.INV(RAND())</f>
        <v>-5.1406616798741776E-2</v>
      </c>
      <c r="U6903" s="59">
        <f ca="1">Dashboard!D$8* Dashboard!$F$4+Dashboard!D$10*SQRT(Dashboard!$F$4) * _xlfn.NORM.S.INV(RAND())</f>
        <v>3.3590128778047713E-2</v>
      </c>
    </row>
    <row r="6904" spans="18:21" x14ac:dyDescent="0.2">
      <c r="R6904" s="49">
        <v>6902</v>
      </c>
      <c r="S6904" s="59">
        <f ca="1">Dashboard!B$8* Dashboard!$F$4+Dashboard!B$10*SQRT(Dashboard!$F$4) * _xlfn.NORM.S.INV(RAND())</f>
        <v>-3.4037222715598843E-2</v>
      </c>
      <c r="T6904" s="59">
        <f ca="1">Dashboard!C$8* Dashboard!$F$4+Dashboard!C$10*SQRT(Dashboard!$F$4) * _xlfn.NORM.S.INV(RAND())</f>
        <v>-7.4912712951431246E-2</v>
      </c>
      <c r="U6904" s="59">
        <f ca="1">Dashboard!D$8* Dashboard!$F$4+Dashboard!D$10*SQRT(Dashboard!$F$4) * _xlfn.NORM.S.INV(RAND())</f>
        <v>2.2372155957068117E-2</v>
      </c>
    </row>
    <row r="6905" spans="18:21" x14ac:dyDescent="0.2">
      <c r="R6905" s="49">
        <v>6903</v>
      </c>
      <c r="S6905" s="59">
        <f ca="1">Dashboard!B$8* Dashboard!$F$4+Dashboard!B$10*SQRT(Dashboard!$F$4) * _xlfn.NORM.S.INV(RAND())</f>
        <v>-4.0847392325417203E-2</v>
      </c>
      <c r="T6905" s="59">
        <f ca="1">Dashboard!C$8* Dashboard!$F$4+Dashboard!C$10*SQRT(Dashboard!$F$4) * _xlfn.NORM.S.INV(RAND())</f>
        <v>-1.5127671048563593E-2</v>
      </c>
      <c r="U6905" s="59">
        <f ca="1">Dashboard!D$8* Dashboard!$F$4+Dashboard!D$10*SQRT(Dashboard!$F$4) * _xlfn.NORM.S.INV(RAND())</f>
        <v>2.0535758696084615E-2</v>
      </c>
    </row>
    <row r="6906" spans="18:21" x14ac:dyDescent="0.2">
      <c r="R6906" s="49">
        <v>6904</v>
      </c>
      <c r="S6906" s="59">
        <f ca="1">Dashboard!B$8* Dashboard!$F$4+Dashboard!B$10*SQRT(Dashboard!$F$4) * _xlfn.NORM.S.INV(RAND())</f>
        <v>-5.6792829343470387E-2</v>
      </c>
      <c r="T6906" s="59">
        <f ca="1">Dashboard!C$8* Dashboard!$F$4+Dashboard!C$10*SQRT(Dashboard!$F$4) * _xlfn.NORM.S.INV(RAND())</f>
        <v>-8.2777929840996689E-3</v>
      </c>
      <c r="U6906" s="59">
        <f ca="1">Dashboard!D$8* Dashboard!$F$4+Dashboard!D$10*SQRT(Dashboard!$F$4) * _xlfn.NORM.S.INV(RAND())</f>
        <v>2.7012403054945924E-2</v>
      </c>
    </row>
    <row r="6907" spans="18:21" x14ac:dyDescent="0.2">
      <c r="R6907" s="49">
        <v>6905</v>
      </c>
      <c r="S6907" s="59">
        <f ca="1">Dashboard!B$8* Dashboard!$F$4+Dashboard!B$10*SQRT(Dashboard!$F$4) * _xlfn.NORM.S.INV(RAND())</f>
        <v>-6.3719769328858698E-3</v>
      </c>
      <c r="T6907" s="59">
        <f ca="1">Dashboard!C$8* Dashboard!$F$4+Dashboard!C$10*SQRT(Dashboard!$F$4) * _xlfn.NORM.S.INV(RAND())</f>
        <v>4.4914169693817049E-2</v>
      </c>
      <c r="U6907" s="59">
        <f ca="1">Dashboard!D$8* Dashboard!$F$4+Dashboard!D$10*SQRT(Dashboard!$F$4) * _xlfn.NORM.S.INV(RAND())</f>
        <v>1.4407260364969291E-2</v>
      </c>
    </row>
    <row r="6908" spans="18:21" x14ac:dyDescent="0.2">
      <c r="R6908" s="49">
        <v>6906</v>
      </c>
      <c r="S6908" s="59">
        <f ca="1">Dashboard!B$8* Dashboard!$F$4+Dashboard!B$10*SQRT(Dashboard!$F$4) * _xlfn.NORM.S.INV(RAND())</f>
        <v>-3.4000344957361449E-2</v>
      </c>
      <c r="T6908" s="59">
        <f ca="1">Dashboard!C$8* Dashboard!$F$4+Dashboard!C$10*SQRT(Dashboard!$F$4) * _xlfn.NORM.S.INV(RAND())</f>
        <v>-3.2727547968538336E-2</v>
      </c>
      <c r="U6908" s="59">
        <f ca="1">Dashboard!D$8* Dashboard!$F$4+Dashboard!D$10*SQRT(Dashboard!$F$4) * _xlfn.NORM.S.INV(RAND())</f>
        <v>2.3609027979296999E-2</v>
      </c>
    </row>
    <row r="6909" spans="18:21" x14ac:dyDescent="0.2">
      <c r="R6909" s="49">
        <v>6907</v>
      </c>
      <c r="S6909" s="59">
        <f ca="1">Dashboard!B$8* Dashboard!$F$4+Dashboard!B$10*SQRT(Dashboard!$F$4) * _xlfn.NORM.S.INV(RAND())</f>
        <v>4.0114391805683727E-2</v>
      </c>
      <c r="T6909" s="59">
        <f ca="1">Dashboard!C$8* Dashboard!$F$4+Dashboard!C$10*SQRT(Dashboard!$F$4) * _xlfn.NORM.S.INV(RAND())</f>
        <v>5.9494899539866732E-2</v>
      </c>
      <c r="U6909" s="59">
        <f ca="1">Dashboard!D$8* Dashboard!$F$4+Dashboard!D$10*SQRT(Dashboard!$F$4) * _xlfn.NORM.S.INV(RAND())</f>
        <v>-2.1058699633625836E-2</v>
      </c>
    </row>
    <row r="6910" spans="18:21" x14ac:dyDescent="0.2">
      <c r="R6910" s="49">
        <v>6908</v>
      </c>
      <c r="S6910" s="59">
        <f ca="1">Dashboard!B$8* Dashboard!$F$4+Dashboard!B$10*SQRT(Dashboard!$F$4) * _xlfn.NORM.S.INV(RAND())</f>
        <v>3.6934194012846921E-2</v>
      </c>
      <c r="T6910" s="59">
        <f ca="1">Dashboard!C$8* Dashboard!$F$4+Dashboard!C$10*SQRT(Dashboard!$F$4) * _xlfn.NORM.S.INV(RAND())</f>
        <v>-4.7345463424492903E-2</v>
      </c>
      <c r="U6910" s="59">
        <f ca="1">Dashboard!D$8* Dashboard!$F$4+Dashboard!D$10*SQRT(Dashboard!$F$4) * _xlfn.NORM.S.INV(RAND())</f>
        <v>4.006741224845059E-2</v>
      </c>
    </row>
    <row r="6911" spans="18:21" x14ac:dyDescent="0.2">
      <c r="R6911" s="49">
        <v>6909</v>
      </c>
      <c r="S6911" s="59">
        <f ca="1">Dashboard!B$8* Dashboard!$F$4+Dashboard!B$10*SQRT(Dashboard!$F$4) * _xlfn.NORM.S.INV(RAND())</f>
        <v>-2.8625586102694806E-3</v>
      </c>
      <c r="T6911" s="59">
        <f ca="1">Dashboard!C$8* Dashboard!$F$4+Dashboard!C$10*SQRT(Dashboard!$F$4) * _xlfn.NORM.S.INV(RAND())</f>
        <v>-2.9136897321261835E-2</v>
      </c>
      <c r="U6911" s="59">
        <f ca="1">Dashboard!D$8* Dashboard!$F$4+Dashboard!D$10*SQRT(Dashboard!$F$4) * _xlfn.NORM.S.INV(RAND())</f>
        <v>-4.8955485198971867E-2</v>
      </c>
    </row>
    <row r="6912" spans="18:21" x14ac:dyDescent="0.2">
      <c r="R6912" s="49">
        <v>6910</v>
      </c>
      <c r="S6912" s="59">
        <f ca="1">Dashboard!B$8* Dashboard!$F$4+Dashboard!B$10*SQRT(Dashboard!$F$4) * _xlfn.NORM.S.INV(RAND())</f>
        <v>3.4947381456840176E-4</v>
      </c>
      <c r="T6912" s="59">
        <f ca="1">Dashboard!C$8* Dashboard!$F$4+Dashboard!C$10*SQRT(Dashboard!$F$4) * _xlfn.NORM.S.INV(RAND())</f>
        <v>-2.2855625892472819E-2</v>
      </c>
      <c r="U6912" s="59">
        <f ca="1">Dashboard!D$8* Dashboard!$F$4+Dashboard!D$10*SQRT(Dashboard!$F$4) * _xlfn.NORM.S.INV(RAND())</f>
        <v>3.6697803254142576E-2</v>
      </c>
    </row>
    <row r="6913" spans="18:21" x14ac:dyDescent="0.2">
      <c r="R6913" s="49">
        <v>6911</v>
      </c>
      <c r="S6913" s="59">
        <f ca="1">Dashboard!B$8* Dashboard!$F$4+Dashboard!B$10*SQRT(Dashboard!$F$4) * _xlfn.NORM.S.INV(RAND())</f>
        <v>6.7319008627954261E-3</v>
      </c>
      <c r="T6913" s="59">
        <f ca="1">Dashboard!C$8* Dashboard!$F$4+Dashboard!C$10*SQRT(Dashboard!$F$4) * _xlfn.NORM.S.INV(RAND())</f>
        <v>-9.0772805661289688E-2</v>
      </c>
      <c r="U6913" s="59">
        <f ca="1">Dashboard!D$8* Dashboard!$F$4+Dashboard!D$10*SQRT(Dashboard!$F$4) * _xlfn.NORM.S.INV(RAND())</f>
        <v>8.1950403961798587E-3</v>
      </c>
    </row>
    <row r="6914" spans="18:21" x14ac:dyDescent="0.2">
      <c r="R6914" s="49">
        <v>6912</v>
      </c>
      <c r="S6914" s="59">
        <f ca="1">Dashboard!B$8* Dashboard!$F$4+Dashboard!B$10*SQRT(Dashboard!$F$4) * _xlfn.NORM.S.INV(RAND())</f>
        <v>-5.6450008881719846E-2</v>
      </c>
      <c r="T6914" s="59">
        <f ca="1">Dashboard!C$8* Dashboard!$F$4+Dashboard!C$10*SQRT(Dashboard!$F$4) * _xlfn.NORM.S.INV(RAND())</f>
        <v>-6.6516862324254494E-2</v>
      </c>
      <c r="U6914" s="59">
        <f ca="1">Dashboard!D$8* Dashboard!$F$4+Dashboard!D$10*SQRT(Dashboard!$F$4) * _xlfn.NORM.S.INV(RAND())</f>
        <v>4.1664700053803447E-2</v>
      </c>
    </row>
    <row r="6915" spans="18:21" x14ac:dyDescent="0.2">
      <c r="R6915" s="49">
        <v>6913</v>
      </c>
      <c r="S6915" s="59">
        <f ca="1">Dashboard!B$8* Dashboard!$F$4+Dashboard!B$10*SQRT(Dashboard!$F$4) * _xlfn.NORM.S.INV(RAND())</f>
        <v>-1.6875428848090679E-2</v>
      </c>
      <c r="T6915" s="59">
        <f ca="1">Dashboard!C$8* Dashboard!$F$4+Dashboard!C$10*SQRT(Dashboard!$F$4) * _xlfn.NORM.S.INV(RAND())</f>
        <v>-1.7280216282211765E-2</v>
      </c>
      <c r="U6915" s="59">
        <f ca="1">Dashboard!D$8* Dashboard!$F$4+Dashboard!D$10*SQRT(Dashboard!$F$4) * _xlfn.NORM.S.INV(RAND())</f>
        <v>-1.5156207320215689E-2</v>
      </c>
    </row>
    <row r="6916" spans="18:21" x14ac:dyDescent="0.2">
      <c r="R6916" s="49">
        <v>6914</v>
      </c>
      <c r="S6916" s="59">
        <f ca="1">Dashboard!B$8* Dashboard!$F$4+Dashboard!B$10*SQRT(Dashboard!$F$4) * _xlfn.NORM.S.INV(RAND())</f>
        <v>-2.1368492632743395E-2</v>
      </c>
      <c r="T6916" s="59">
        <f ca="1">Dashboard!C$8* Dashboard!$F$4+Dashboard!C$10*SQRT(Dashboard!$F$4) * _xlfn.NORM.S.INV(RAND())</f>
        <v>-3.7000737843622773E-3</v>
      </c>
      <c r="U6916" s="59">
        <f ca="1">Dashboard!D$8* Dashboard!$F$4+Dashboard!D$10*SQRT(Dashboard!$F$4) * _xlfn.NORM.S.INV(RAND())</f>
        <v>2.477916855805622E-2</v>
      </c>
    </row>
    <row r="6917" spans="18:21" x14ac:dyDescent="0.2">
      <c r="R6917" s="49">
        <v>6915</v>
      </c>
      <c r="S6917" s="59">
        <f ca="1">Dashboard!B$8* Dashboard!$F$4+Dashboard!B$10*SQRT(Dashboard!$F$4) * _xlfn.NORM.S.INV(RAND())</f>
        <v>-2.0430903821334792E-2</v>
      </c>
      <c r="T6917" s="59">
        <f ca="1">Dashboard!C$8* Dashboard!$F$4+Dashboard!C$10*SQRT(Dashboard!$F$4) * _xlfn.NORM.S.INV(RAND())</f>
        <v>-5.6490631131188143E-2</v>
      </c>
      <c r="U6917" s="59">
        <f ca="1">Dashboard!D$8* Dashboard!$F$4+Dashboard!D$10*SQRT(Dashboard!$F$4) * _xlfn.NORM.S.INV(RAND())</f>
        <v>4.5236837886247085E-2</v>
      </c>
    </row>
    <row r="6918" spans="18:21" x14ac:dyDescent="0.2">
      <c r="R6918" s="49">
        <v>6916</v>
      </c>
      <c r="S6918" s="59">
        <f ca="1">Dashboard!B$8* Dashboard!$F$4+Dashboard!B$10*SQRT(Dashboard!$F$4) * _xlfn.NORM.S.INV(RAND())</f>
        <v>1.3796515569093658E-2</v>
      </c>
      <c r="T6918" s="59">
        <f ca="1">Dashboard!C$8* Dashboard!$F$4+Dashboard!C$10*SQRT(Dashboard!$F$4) * _xlfn.NORM.S.INV(RAND())</f>
        <v>-3.8379185896664954E-2</v>
      </c>
      <c r="U6918" s="59">
        <f ca="1">Dashboard!D$8* Dashboard!$F$4+Dashboard!D$10*SQRT(Dashboard!$F$4) * _xlfn.NORM.S.INV(RAND())</f>
        <v>-3.8653678524398988E-3</v>
      </c>
    </row>
    <row r="6919" spans="18:21" x14ac:dyDescent="0.2">
      <c r="R6919" s="49">
        <v>6917</v>
      </c>
      <c r="S6919" s="59">
        <f ca="1">Dashboard!B$8* Dashboard!$F$4+Dashboard!B$10*SQRT(Dashboard!$F$4) * _xlfn.NORM.S.INV(RAND())</f>
        <v>4.6869995339568232E-2</v>
      </c>
      <c r="T6919" s="59">
        <f ca="1">Dashboard!C$8* Dashboard!$F$4+Dashboard!C$10*SQRT(Dashboard!$F$4) * _xlfn.NORM.S.INV(RAND())</f>
        <v>-1.4669737102096365E-2</v>
      </c>
      <c r="U6919" s="59">
        <f ca="1">Dashboard!D$8* Dashboard!$F$4+Dashboard!D$10*SQRT(Dashboard!$F$4) * _xlfn.NORM.S.INV(RAND())</f>
        <v>-6.7791861446672444E-2</v>
      </c>
    </row>
    <row r="6920" spans="18:21" x14ac:dyDescent="0.2">
      <c r="R6920" s="49">
        <v>6918</v>
      </c>
      <c r="S6920" s="59">
        <f ca="1">Dashboard!B$8* Dashboard!$F$4+Dashboard!B$10*SQRT(Dashboard!$F$4) * _xlfn.NORM.S.INV(RAND())</f>
        <v>-1.116951445665054E-3</v>
      </c>
      <c r="T6920" s="59">
        <f ca="1">Dashboard!C$8* Dashboard!$F$4+Dashboard!C$10*SQRT(Dashboard!$F$4) * _xlfn.NORM.S.INV(RAND())</f>
        <v>3.295885750919067E-2</v>
      </c>
      <c r="U6920" s="59">
        <f ca="1">Dashboard!D$8* Dashboard!$F$4+Dashboard!D$10*SQRT(Dashboard!$F$4) * _xlfn.NORM.S.INV(RAND())</f>
        <v>3.0056462830460779E-2</v>
      </c>
    </row>
    <row r="6921" spans="18:21" x14ac:dyDescent="0.2">
      <c r="R6921" s="49">
        <v>6919</v>
      </c>
      <c r="S6921" s="59">
        <f ca="1">Dashboard!B$8* Dashboard!$F$4+Dashboard!B$10*SQRT(Dashboard!$F$4) * _xlfn.NORM.S.INV(RAND())</f>
        <v>-1.2186533981361615E-2</v>
      </c>
      <c r="T6921" s="59">
        <f ca="1">Dashboard!C$8* Dashboard!$F$4+Dashboard!C$10*SQRT(Dashboard!$F$4) * _xlfn.NORM.S.INV(RAND())</f>
        <v>3.0998978818558478E-2</v>
      </c>
      <c r="U6921" s="59">
        <f ca="1">Dashboard!D$8* Dashboard!$F$4+Dashboard!D$10*SQRT(Dashboard!$F$4) * _xlfn.NORM.S.INV(RAND())</f>
        <v>-5.1989210560636948E-2</v>
      </c>
    </row>
    <row r="6922" spans="18:21" x14ac:dyDescent="0.2">
      <c r="R6922" s="49">
        <v>6920</v>
      </c>
      <c r="S6922" s="59">
        <f ca="1">Dashboard!B$8* Dashboard!$F$4+Dashboard!B$10*SQRT(Dashboard!$F$4) * _xlfn.NORM.S.INV(RAND())</f>
        <v>1.3914269090955058E-2</v>
      </c>
      <c r="T6922" s="59">
        <f ca="1">Dashboard!C$8* Dashboard!$F$4+Dashboard!C$10*SQRT(Dashboard!$F$4) * _xlfn.NORM.S.INV(RAND())</f>
        <v>-1.6271960322679951E-2</v>
      </c>
      <c r="U6922" s="59">
        <f ca="1">Dashboard!D$8* Dashboard!$F$4+Dashboard!D$10*SQRT(Dashboard!$F$4) * _xlfn.NORM.S.INV(RAND())</f>
        <v>-8.1710925077235867E-3</v>
      </c>
    </row>
    <row r="6923" spans="18:21" x14ac:dyDescent="0.2">
      <c r="R6923" s="49">
        <v>6921</v>
      </c>
      <c r="S6923" s="59">
        <f ca="1">Dashboard!B$8* Dashboard!$F$4+Dashboard!B$10*SQRT(Dashboard!$F$4) * _xlfn.NORM.S.INV(RAND())</f>
        <v>-1.3399462789470967E-2</v>
      </c>
      <c r="T6923" s="59">
        <f ca="1">Dashboard!C$8* Dashboard!$F$4+Dashboard!C$10*SQRT(Dashboard!$F$4) * _xlfn.NORM.S.INV(RAND())</f>
        <v>-1.7673701247373753E-2</v>
      </c>
      <c r="U6923" s="59">
        <f ca="1">Dashboard!D$8* Dashboard!$F$4+Dashboard!D$10*SQRT(Dashboard!$F$4) * _xlfn.NORM.S.INV(RAND())</f>
        <v>1.6923157416496876E-2</v>
      </c>
    </row>
    <row r="6924" spans="18:21" x14ac:dyDescent="0.2">
      <c r="R6924" s="49">
        <v>6922</v>
      </c>
      <c r="S6924" s="59">
        <f ca="1">Dashboard!B$8* Dashboard!$F$4+Dashboard!B$10*SQRT(Dashboard!$F$4) * _xlfn.NORM.S.INV(RAND())</f>
        <v>-1.7945652302575742E-2</v>
      </c>
      <c r="T6924" s="59">
        <f ca="1">Dashboard!C$8* Dashboard!$F$4+Dashboard!C$10*SQRT(Dashboard!$F$4) * _xlfn.NORM.S.INV(RAND())</f>
        <v>-1.927863718689855E-2</v>
      </c>
      <c r="U6924" s="59">
        <f ca="1">Dashboard!D$8* Dashboard!$F$4+Dashboard!D$10*SQRT(Dashboard!$F$4) * _xlfn.NORM.S.INV(RAND())</f>
        <v>-1.3796512037414912E-2</v>
      </c>
    </row>
    <row r="6925" spans="18:21" x14ac:dyDescent="0.2">
      <c r="R6925" s="49">
        <v>6923</v>
      </c>
      <c r="S6925" s="59">
        <f ca="1">Dashboard!B$8* Dashboard!$F$4+Dashboard!B$10*SQRT(Dashboard!$F$4) * _xlfn.NORM.S.INV(RAND())</f>
        <v>-5.1019476389171044E-2</v>
      </c>
      <c r="T6925" s="59">
        <f ca="1">Dashboard!C$8* Dashboard!$F$4+Dashboard!C$10*SQRT(Dashboard!$F$4) * _xlfn.NORM.S.INV(RAND())</f>
        <v>3.0768525960468999E-3</v>
      </c>
      <c r="U6925" s="59">
        <f ca="1">Dashboard!D$8* Dashboard!$F$4+Dashboard!D$10*SQRT(Dashboard!$F$4) * _xlfn.NORM.S.INV(RAND())</f>
        <v>2.6790171999688139E-2</v>
      </c>
    </row>
    <row r="6926" spans="18:21" x14ac:dyDescent="0.2">
      <c r="R6926" s="49">
        <v>6924</v>
      </c>
      <c r="S6926" s="59">
        <f ca="1">Dashboard!B$8* Dashboard!$F$4+Dashboard!B$10*SQRT(Dashboard!$F$4) * _xlfn.NORM.S.INV(RAND())</f>
        <v>-3.2656862012941629E-2</v>
      </c>
      <c r="T6926" s="59">
        <f ca="1">Dashboard!C$8* Dashboard!$F$4+Dashboard!C$10*SQRT(Dashboard!$F$4) * _xlfn.NORM.S.INV(RAND())</f>
        <v>-1.52590421264421E-2</v>
      </c>
      <c r="U6926" s="59">
        <f ca="1">Dashboard!D$8* Dashboard!$F$4+Dashboard!D$10*SQRT(Dashboard!$F$4) * _xlfn.NORM.S.INV(RAND())</f>
        <v>-1.585209148803474E-2</v>
      </c>
    </row>
    <row r="6927" spans="18:21" x14ac:dyDescent="0.2">
      <c r="R6927" s="49">
        <v>6925</v>
      </c>
      <c r="S6927" s="59">
        <f ca="1">Dashboard!B$8* Dashboard!$F$4+Dashboard!B$10*SQRT(Dashboard!$F$4) * _xlfn.NORM.S.INV(RAND())</f>
        <v>3.1968704981413784E-2</v>
      </c>
      <c r="T6927" s="59">
        <f ca="1">Dashboard!C$8* Dashboard!$F$4+Dashboard!C$10*SQRT(Dashboard!$F$4) * _xlfn.NORM.S.INV(RAND())</f>
        <v>-1.8882361747548336E-4</v>
      </c>
      <c r="U6927" s="59">
        <f ca="1">Dashboard!D$8* Dashboard!$F$4+Dashboard!D$10*SQRT(Dashboard!$F$4) * _xlfn.NORM.S.INV(RAND())</f>
        <v>4.5907602210166424E-5</v>
      </c>
    </row>
    <row r="6928" spans="18:21" x14ac:dyDescent="0.2">
      <c r="R6928" s="49">
        <v>6926</v>
      </c>
      <c r="S6928" s="59">
        <f ca="1">Dashboard!B$8* Dashboard!$F$4+Dashboard!B$10*SQRT(Dashboard!$F$4) * _xlfn.NORM.S.INV(RAND())</f>
        <v>3.875925236933489E-3</v>
      </c>
      <c r="T6928" s="59">
        <f ca="1">Dashboard!C$8* Dashboard!$F$4+Dashboard!C$10*SQRT(Dashboard!$F$4) * _xlfn.NORM.S.INV(RAND())</f>
        <v>5.7027965324720514E-2</v>
      </c>
      <c r="U6928" s="59">
        <f ca="1">Dashboard!D$8* Dashboard!$F$4+Dashboard!D$10*SQRT(Dashboard!$F$4) * _xlfn.NORM.S.INV(RAND())</f>
        <v>1.9520975719348924E-2</v>
      </c>
    </row>
    <row r="6929" spans="18:21" x14ac:dyDescent="0.2">
      <c r="R6929" s="49">
        <v>6927</v>
      </c>
      <c r="S6929" s="59">
        <f ca="1">Dashboard!B$8* Dashboard!$F$4+Dashboard!B$10*SQRT(Dashboard!$F$4) * _xlfn.NORM.S.INV(RAND())</f>
        <v>-1.7581835366954346E-2</v>
      </c>
      <c r="T6929" s="59">
        <f ca="1">Dashboard!C$8* Dashboard!$F$4+Dashboard!C$10*SQRT(Dashboard!$F$4) * _xlfn.NORM.S.INV(RAND())</f>
        <v>4.2955943079905481E-2</v>
      </c>
      <c r="U6929" s="59">
        <f ca="1">Dashboard!D$8* Dashboard!$F$4+Dashboard!D$10*SQRT(Dashboard!$F$4) * _xlfn.NORM.S.INV(RAND())</f>
        <v>3.0758422488819217E-3</v>
      </c>
    </row>
    <row r="6930" spans="18:21" x14ac:dyDescent="0.2">
      <c r="R6930" s="49">
        <v>6928</v>
      </c>
      <c r="S6930" s="59">
        <f ca="1">Dashboard!B$8* Dashboard!$F$4+Dashboard!B$10*SQRT(Dashboard!$F$4) * _xlfn.NORM.S.INV(RAND())</f>
        <v>1.4098378402382849E-3</v>
      </c>
      <c r="T6930" s="59">
        <f ca="1">Dashboard!C$8* Dashboard!$F$4+Dashboard!C$10*SQRT(Dashboard!$F$4) * _xlfn.NORM.S.INV(RAND())</f>
        <v>5.9879812272396658E-2</v>
      </c>
      <c r="U6930" s="59">
        <f ca="1">Dashboard!D$8* Dashboard!$F$4+Dashboard!D$10*SQRT(Dashboard!$F$4) * _xlfn.NORM.S.INV(RAND())</f>
        <v>-1.8841957628506985E-2</v>
      </c>
    </row>
    <row r="6931" spans="18:21" x14ac:dyDescent="0.2">
      <c r="R6931" s="49">
        <v>6929</v>
      </c>
      <c r="S6931" s="59">
        <f ca="1">Dashboard!B$8* Dashboard!$F$4+Dashboard!B$10*SQRT(Dashboard!$F$4) * _xlfn.NORM.S.INV(RAND())</f>
        <v>9.3769980695095206E-3</v>
      </c>
      <c r="T6931" s="59">
        <f ca="1">Dashboard!C$8* Dashboard!$F$4+Dashboard!C$10*SQRT(Dashboard!$F$4) * _xlfn.NORM.S.INV(RAND())</f>
        <v>3.6892904541338936E-2</v>
      </c>
      <c r="U6931" s="59">
        <f ca="1">Dashboard!D$8* Dashboard!$F$4+Dashboard!D$10*SQRT(Dashboard!$F$4) * _xlfn.NORM.S.INV(RAND())</f>
        <v>9.9407372792034952E-3</v>
      </c>
    </row>
    <row r="6932" spans="18:21" x14ac:dyDescent="0.2">
      <c r="R6932" s="49">
        <v>6930</v>
      </c>
      <c r="S6932" s="59">
        <f ca="1">Dashboard!B$8* Dashboard!$F$4+Dashboard!B$10*SQRT(Dashboard!$F$4) * _xlfn.NORM.S.INV(RAND())</f>
        <v>8.2174370681298691E-3</v>
      </c>
      <c r="T6932" s="59">
        <f ca="1">Dashboard!C$8* Dashboard!$F$4+Dashboard!C$10*SQRT(Dashboard!$F$4) * _xlfn.NORM.S.INV(RAND())</f>
        <v>8.3764197126656656E-2</v>
      </c>
      <c r="U6932" s="59">
        <f ca="1">Dashboard!D$8* Dashboard!$F$4+Dashboard!D$10*SQRT(Dashboard!$F$4) * _xlfn.NORM.S.INV(RAND())</f>
        <v>1.5372300255847232E-3</v>
      </c>
    </row>
    <row r="6933" spans="18:21" x14ac:dyDescent="0.2">
      <c r="R6933" s="49">
        <v>6931</v>
      </c>
      <c r="S6933" s="59">
        <f ca="1">Dashboard!B$8* Dashboard!$F$4+Dashboard!B$10*SQRT(Dashboard!$F$4) * _xlfn.NORM.S.INV(RAND())</f>
        <v>-1.263478287632609E-2</v>
      </c>
      <c r="T6933" s="59">
        <f ca="1">Dashboard!C$8* Dashboard!$F$4+Dashboard!C$10*SQRT(Dashboard!$F$4) * _xlfn.NORM.S.INV(RAND())</f>
        <v>-2.1936338283831479E-2</v>
      </c>
      <c r="U6933" s="59">
        <f ca="1">Dashboard!D$8* Dashboard!$F$4+Dashboard!D$10*SQRT(Dashboard!$F$4) * _xlfn.NORM.S.INV(RAND())</f>
        <v>-2.1962963763977352E-2</v>
      </c>
    </row>
    <row r="6934" spans="18:21" x14ac:dyDescent="0.2">
      <c r="R6934" s="49">
        <v>6932</v>
      </c>
      <c r="S6934" s="59">
        <f ca="1">Dashboard!B$8* Dashboard!$F$4+Dashboard!B$10*SQRT(Dashboard!$F$4) * _xlfn.NORM.S.INV(RAND())</f>
        <v>9.8006538912270378E-3</v>
      </c>
      <c r="T6934" s="59">
        <f ca="1">Dashboard!C$8* Dashboard!$F$4+Dashboard!C$10*SQRT(Dashboard!$F$4) * _xlfn.NORM.S.INV(RAND())</f>
        <v>4.5626835731610582E-2</v>
      </c>
      <c r="U6934" s="59">
        <f ca="1">Dashboard!D$8* Dashboard!$F$4+Dashboard!D$10*SQRT(Dashboard!$F$4) * _xlfn.NORM.S.INV(RAND())</f>
        <v>-1.8746632943233172E-3</v>
      </c>
    </row>
    <row r="6935" spans="18:21" x14ac:dyDescent="0.2">
      <c r="R6935" s="49">
        <v>6933</v>
      </c>
      <c r="S6935" s="59">
        <f ca="1">Dashboard!B$8* Dashboard!$F$4+Dashboard!B$10*SQRT(Dashboard!$F$4) * _xlfn.NORM.S.INV(RAND())</f>
        <v>-2.0339212889147126E-2</v>
      </c>
      <c r="T6935" s="59">
        <f ca="1">Dashboard!C$8* Dashboard!$F$4+Dashboard!C$10*SQRT(Dashboard!$F$4) * _xlfn.NORM.S.INV(RAND())</f>
        <v>-3.4954246726349109E-3</v>
      </c>
      <c r="U6935" s="59">
        <f ca="1">Dashboard!D$8* Dashboard!$F$4+Dashboard!D$10*SQRT(Dashboard!$F$4) * _xlfn.NORM.S.INV(RAND())</f>
        <v>8.7124220503269224E-3</v>
      </c>
    </row>
    <row r="6936" spans="18:21" x14ac:dyDescent="0.2">
      <c r="R6936" s="49">
        <v>6934</v>
      </c>
      <c r="S6936" s="59">
        <f ca="1">Dashboard!B$8* Dashboard!$F$4+Dashboard!B$10*SQRT(Dashboard!$F$4) * _xlfn.NORM.S.INV(RAND())</f>
        <v>-1.9411518230393127E-2</v>
      </c>
      <c r="T6936" s="59">
        <f ca="1">Dashboard!C$8* Dashboard!$F$4+Dashboard!C$10*SQRT(Dashboard!$F$4) * _xlfn.NORM.S.INV(RAND())</f>
        <v>-3.1500535272075431E-3</v>
      </c>
      <c r="U6936" s="59">
        <f ca="1">Dashboard!D$8* Dashboard!$F$4+Dashboard!D$10*SQRT(Dashboard!$F$4) * _xlfn.NORM.S.INV(RAND())</f>
        <v>-4.9325272821387156E-2</v>
      </c>
    </row>
    <row r="6937" spans="18:21" x14ac:dyDescent="0.2">
      <c r="R6937" s="49">
        <v>6935</v>
      </c>
      <c r="S6937" s="59">
        <f ca="1">Dashboard!B$8* Dashboard!$F$4+Dashboard!B$10*SQRT(Dashboard!$F$4) * _xlfn.NORM.S.INV(RAND())</f>
        <v>-1.202818759878182E-2</v>
      </c>
      <c r="T6937" s="59">
        <f ca="1">Dashboard!C$8* Dashboard!$F$4+Dashboard!C$10*SQRT(Dashboard!$F$4) * _xlfn.NORM.S.INV(RAND())</f>
        <v>-5.2316260514871572E-2</v>
      </c>
      <c r="U6937" s="59">
        <f ca="1">Dashboard!D$8* Dashboard!$F$4+Dashboard!D$10*SQRT(Dashboard!$F$4) * _xlfn.NORM.S.INV(RAND())</f>
        <v>-1.9474928180094385E-3</v>
      </c>
    </row>
    <row r="6938" spans="18:21" x14ac:dyDescent="0.2">
      <c r="R6938" s="49">
        <v>6936</v>
      </c>
      <c r="S6938" s="59">
        <f ca="1">Dashboard!B$8* Dashboard!$F$4+Dashboard!B$10*SQRT(Dashboard!$F$4) * _xlfn.NORM.S.INV(RAND())</f>
        <v>-9.6778000847715026E-3</v>
      </c>
      <c r="T6938" s="59">
        <f ca="1">Dashboard!C$8* Dashboard!$F$4+Dashboard!C$10*SQRT(Dashboard!$F$4) * _xlfn.NORM.S.INV(RAND())</f>
        <v>-3.2799196600336929E-2</v>
      </c>
      <c r="U6938" s="59">
        <f ca="1">Dashboard!D$8* Dashboard!$F$4+Dashboard!D$10*SQRT(Dashboard!$F$4) * _xlfn.NORM.S.INV(RAND())</f>
        <v>-1.154822078992686E-2</v>
      </c>
    </row>
    <row r="6939" spans="18:21" x14ac:dyDescent="0.2">
      <c r="R6939" s="49">
        <v>6937</v>
      </c>
      <c r="S6939" s="59">
        <f ca="1">Dashboard!B$8* Dashboard!$F$4+Dashboard!B$10*SQRT(Dashboard!$F$4) * _xlfn.NORM.S.INV(RAND())</f>
        <v>-1.275190668196355E-2</v>
      </c>
      <c r="T6939" s="59">
        <f ca="1">Dashboard!C$8* Dashboard!$F$4+Dashboard!C$10*SQRT(Dashboard!$F$4) * _xlfn.NORM.S.INV(RAND())</f>
        <v>2.2669414014851882E-2</v>
      </c>
      <c r="U6939" s="59">
        <f ca="1">Dashboard!D$8* Dashboard!$F$4+Dashboard!D$10*SQRT(Dashboard!$F$4) * _xlfn.NORM.S.INV(RAND())</f>
        <v>-2.8949928939671112E-2</v>
      </c>
    </row>
    <row r="6940" spans="18:21" x14ac:dyDescent="0.2">
      <c r="R6940" s="49">
        <v>6938</v>
      </c>
      <c r="S6940" s="59">
        <f ca="1">Dashboard!B$8* Dashboard!$F$4+Dashboard!B$10*SQRT(Dashboard!$F$4) * _xlfn.NORM.S.INV(RAND())</f>
        <v>1.2614915276361478E-2</v>
      </c>
      <c r="T6940" s="59">
        <f ca="1">Dashboard!C$8* Dashboard!$F$4+Dashboard!C$10*SQRT(Dashboard!$F$4) * _xlfn.NORM.S.INV(RAND())</f>
        <v>4.0937192827084024E-2</v>
      </c>
      <c r="U6940" s="59">
        <f ca="1">Dashboard!D$8* Dashboard!$F$4+Dashboard!D$10*SQRT(Dashboard!$F$4) * _xlfn.NORM.S.INV(RAND())</f>
        <v>2.8793469983575196E-2</v>
      </c>
    </row>
    <row r="6941" spans="18:21" x14ac:dyDescent="0.2">
      <c r="R6941" s="49">
        <v>6939</v>
      </c>
      <c r="S6941" s="59">
        <f ca="1">Dashboard!B$8* Dashboard!$F$4+Dashboard!B$10*SQRT(Dashboard!$F$4) * _xlfn.NORM.S.INV(RAND())</f>
        <v>2.8289326254235123E-2</v>
      </c>
      <c r="T6941" s="59">
        <f ca="1">Dashboard!C$8* Dashboard!$F$4+Dashboard!C$10*SQRT(Dashboard!$F$4) * _xlfn.NORM.S.INV(RAND())</f>
        <v>1.3674243572227615E-2</v>
      </c>
      <c r="U6941" s="59">
        <f ca="1">Dashboard!D$8* Dashboard!$F$4+Dashboard!D$10*SQRT(Dashboard!$F$4) * _xlfn.NORM.S.INV(RAND())</f>
        <v>3.4543121324080682E-2</v>
      </c>
    </row>
    <row r="6942" spans="18:21" x14ac:dyDescent="0.2">
      <c r="R6942" s="49">
        <v>6940</v>
      </c>
      <c r="S6942" s="59">
        <f ca="1">Dashboard!B$8* Dashboard!$F$4+Dashboard!B$10*SQRT(Dashboard!$F$4) * _xlfn.NORM.S.INV(RAND())</f>
        <v>-1.5118999521127984E-2</v>
      </c>
      <c r="T6942" s="59">
        <f ca="1">Dashboard!C$8* Dashboard!$F$4+Dashboard!C$10*SQRT(Dashboard!$F$4) * _xlfn.NORM.S.INV(RAND())</f>
        <v>5.0676639887448022E-3</v>
      </c>
      <c r="U6942" s="59">
        <f ca="1">Dashboard!D$8* Dashboard!$F$4+Dashboard!D$10*SQRT(Dashboard!$F$4) * _xlfn.NORM.S.INV(RAND())</f>
        <v>-4.0995913344389769E-2</v>
      </c>
    </row>
    <row r="6943" spans="18:21" x14ac:dyDescent="0.2">
      <c r="R6943" s="49">
        <v>6941</v>
      </c>
      <c r="S6943" s="59">
        <f ca="1">Dashboard!B$8* Dashboard!$F$4+Dashboard!B$10*SQRT(Dashboard!$F$4) * _xlfn.NORM.S.INV(RAND())</f>
        <v>-1.3899213641056543E-2</v>
      </c>
      <c r="T6943" s="59">
        <f ca="1">Dashboard!C$8* Dashboard!$F$4+Dashboard!C$10*SQRT(Dashboard!$F$4) * _xlfn.NORM.S.INV(RAND())</f>
        <v>2.9093065326250202E-2</v>
      </c>
      <c r="U6943" s="59">
        <f ca="1">Dashboard!D$8* Dashboard!$F$4+Dashboard!D$10*SQRT(Dashboard!$F$4) * _xlfn.NORM.S.INV(RAND())</f>
        <v>1.3876624359604819E-2</v>
      </c>
    </row>
    <row r="6944" spans="18:21" x14ac:dyDescent="0.2">
      <c r="R6944" s="49">
        <v>6942</v>
      </c>
      <c r="S6944" s="59">
        <f ca="1">Dashboard!B$8* Dashboard!$F$4+Dashboard!B$10*SQRT(Dashboard!$F$4) * _xlfn.NORM.S.INV(RAND())</f>
        <v>-2.7871291412615878E-2</v>
      </c>
      <c r="T6944" s="59">
        <f ca="1">Dashboard!C$8* Dashboard!$F$4+Dashboard!C$10*SQRT(Dashboard!$F$4) * _xlfn.NORM.S.INV(RAND())</f>
        <v>8.3701437921530272E-2</v>
      </c>
      <c r="U6944" s="59">
        <f ca="1">Dashboard!D$8* Dashboard!$F$4+Dashboard!D$10*SQRT(Dashboard!$F$4) * _xlfn.NORM.S.INV(RAND())</f>
        <v>-1.5871438974289914E-2</v>
      </c>
    </row>
    <row r="6945" spans="18:21" x14ac:dyDescent="0.2">
      <c r="R6945" s="49">
        <v>6943</v>
      </c>
      <c r="S6945" s="59">
        <f ca="1">Dashboard!B$8* Dashboard!$F$4+Dashboard!B$10*SQRT(Dashboard!$F$4) * _xlfn.NORM.S.INV(RAND())</f>
        <v>-1.1352589341429263E-2</v>
      </c>
      <c r="T6945" s="59">
        <f ca="1">Dashboard!C$8* Dashboard!$F$4+Dashboard!C$10*SQRT(Dashboard!$F$4) * _xlfn.NORM.S.INV(RAND())</f>
        <v>-8.9373125834105102E-3</v>
      </c>
      <c r="U6945" s="59">
        <f ca="1">Dashboard!D$8* Dashboard!$F$4+Dashboard!D$10*SQRT(Dashboard!$F$4) * _xlfn.NORM.S.INV(RAND())</f>
        <v>-8.4985205532167405E-3</v>
      </c>
    </row>
    <row r="6946" spans="18:21" x14ac:dyDescent="0.2">
      <c r="R6946" s="49">
        <v>6944</v>
      </c>
      <c r="S6946" s="59">
        <f ca="1">Dashboard!B$8* Dashboard!$F$4+Dashboard!B$10*SQRT(Dashboard!$F$4) * _xlfn.NORM.S.INV(RAND())</f>
        <v>-7.6202869021543178E-3</v>
      </c>
      <c r="T6946" s="59">
        <f ca="1">Dashboard!C$8* Dashboard!$F$4+Dashboard!C$10*SQRT(Dashboard!$F$4) * _xlfn.NORM.S.INV(RAND())</f>
        <v>3.4025383701339271E-2</v>
      </c>
      <c r="U6946" s="59">
        <f ca="1">Dashboard!D$8* Dashboard!$F$4+Dashboard!D$10*SQRT(Dashboard!$F$4) * _xlfn.NORM.S.INV(RAND())</f>
        <v>-9.2142100563779566E-3</v>
      </c>
    </row>
    <row r="6947" spans="18:21" x14ac:dyDescent="0.2">
      <c r="R6947" s="49">
        <v>6945</v>
      </c>
      <c r="S6947" s="59">
        <f ca="1">Dashboard!B$8* Dashboard!$F$4+Dashboard!B$10*SQRT(Dashboard!$F$4) * _xlfn.NORM.S.INV(RAND())</f>
        <v>-3.254115546578585E-2</v>
      </c>
      <c r="T6947" s="59">
        <f ca="1">Dashboard!C$8* Dashboard!$F$4+Dashboard!C$10*SQRT(Dashboard!$F$4) * _xlfn.NORM.S.INV(RAND())</f>
        <v>4.6804685577026807E-2</v>
      </c>
      <c r="U6947" s="59">
        <f ca="1">Dashboard!D$8* Dashboard!$F$4+Dashboard!D$10*SQRT(Dashboard!$F$4) * _xlfn.NORM.S.INV(RAND())</f>
        <v>-4.559237537657624E-3</v>
      </c>
    </row>
    <row r="6948" spans="18:21" x14ac:dyDescent="0.2">
      <c r="R6948" s="49">
        <v>6946</v>
      </c>
      <c r="S6948" s="59">
        <f ca="1">Dashboard!B$8* Dashboard!$F$4+Dashboard!B$10*SQRT(Dashboard!$F$4) * _xlfn.NORM.S.INV(RAND())</f>
        <v>2.0867300051215808E-2</v>
      </c>
      <c r="T6948" s="59">
        <f ca="1">Dashboard!C$8* Dashboard!$F$4+Dashboard!C$10*SQRT(Dashboard!$F$4) * _xlfn.NORM.S.INV(RAND())</f>
        <v>2.4958447055033407E-2</v>
      </c>
      <c r="U6948" s="59">
        <f ca="1">Dashboard!D$8* Dashboard!$F$4+Dashboard!D$10*SQRT(Dashboard!$F$4) * _xlfn.NORM.S.INV(RAND())</f>
        <v>-5.0562612607997916E-2</v>
      </c>
    </row>
    <row r="6949" spans="18:21" x14ac:dyDescent="0.2">
      <c r="R6949" s="49">
        <v>6947</v>
      </c>
      <c r="S6949" s="59">
        <f ca="1">Dashboard!B$8* Dashboard!$F$4+Dashboard!B$10*SQRT(Dashboard!$F$4) * _xlfn.NORM.S.INV(RAND())</f>
        <v>4.6808285333025466E-2</v>
      </c>
      <c r="T6949" s="59">
        <f ca="1">Dashboard!C$8* Dashboard!$F$4+Dashboard!C$10*SQRT(Dashboard!$F$4) * _xlfn.NORM.S.INV(RAND())</f>
        <v>2.5376650880883592E-2</v>
      </c>
      <c r="U6949" s="59">
        <f ca="1">Dashboard!D$8* Dashboard!$F$4+Dashboard!D$10*SQRT(Dashboard!$F$4) * _xlfn.NORM.S.INV(RAND())</f>
        <v>1.1309740473893548E-2</v>
      </c>
    </row>
    <row r="6950" spans="18:21" x14ac:dyDescent="0.2">
      <c r="R6950" s="49">
        <v>6948</v>
      </c>
      <c r="S6950" s="59">
        <f ca="1">Dashboard!B$8* Dashboard!$F$4+Dashboard!B$10*SQRT(Dashboard!$F$4) * _xlfn.NORM.S.INV(RAND())</f>
        <v>1.0908769426631602E-2</v>
      </c>
      <c r="T6950" s="59">
        <f ca="1">Dashboard!C$8* Dashboard!$F$4+Dashboard!C$10*SQRT(Dashboard!$F$4) * _xlfn.NORM.S.INV(RAND())</f>
        <v>-6.7560181976923289E-2</v>
      </c>
      <c r="U6950" s="59">
        <f ca="1">Dashboard!D$8* Dashboard!$F$4+Dashboard!D$10*SQRT(Dashboard!$F$4) * _xlfn.NORM.S.INV(RAND())</f>
        <v>-4.7408531931996789E-2</v>
      </c>
    </row>
    <row r="6951" spans="18:21" x14ac:dyDescent="0.2">
      <c r="R6951" s="49">
        <v>6949</v>
      </c>
      <c r="S6951" s="59">
        <f ca="1">Dashboard!B$8* Dashboard!$F$4+Dashboard!B$10*SQRT(Dashboard!$F$4) * _xlfn.NORM.S.INV(RAND())</f>
        <v>3.5540538969620845E-2</v>
      </c>
      <c r="T6951" s="59">
        <f ca="1">Dashboard!C$8* Dashboard!$F$4+Dashboard!C$10*SQRT(Dashboard!$F$4) * _xlfn.NORM.S.INV(RAND())</f>
        <v>-3.3675660135907117E-3</v>
      </c>
      <c r="U6951" s="59">
        <f ca="1">Dashboard!D$8* Dashboard!$F$4+Dashboard!D$10*SQRT(Dashboard!$F$4) * _xlfn.NORM.S.INV(RAND())</f>
        <v>-4.601067346593006E-2</v>
      </c>
    </row>
    <row r="6952" spans="18:21" x14ac:dyDescent="0.2">
      <c r="R6952" s="49">
        <v>6950</v>
      </c>
      <c r="S6952" s="59">
        <f ca="1">Dashboard!B$8* Dashboard!$F$4+Dashboard!B$10*SQRT(Dashboard!$F$4) * _xlfn.NORM.S.INV(RAND())</f>
        <v>-5.0287538965841658E-3</v>
      </c>
      <c r="T6952" s="59">
        <f ca="1">Dashboard!C$8* Dashboard!$F$4+Dashboard!C$10*SQRT(Dashboard!$F$4) * _xlfn.NORM.S.INV(RAND())</f>
        <v>-6.2015352044904873E-3</v>
      </c>
      <c r="U6952" s="59">
        <f ca="1">Dashboard!D$8* Dashboard!$F$4+Dashboard!D$10*SQRT(Dashboard!$F$4) * _xlfn.NORM.S.INV(RAND())</f>
        <v>-2.3921605226014789E-2</v>
      </c>
    </row>
    <row r="6953" spans="18:21" x14ac:dyDescent="0.2">
      <c r="R6953" s="49">
        <v>6951</v>
      </c>
      <c r="S6953" s="59">
        <f ca="1">Dashboard!B$8* Dashboard!$F$4+Dashboard!B$10*SQRT(Dashboard!$F$4) * _xlfn.NORM.S.INV(RAND())</f>
        <v>3.8806717263508428E-2</v>
      </c>
      <c r="T6953" s="59">
        <f ca="1">Dashboard!C$8* Dashboard!$F$4+Dashboard!C$10*SQRT(Dashboard!$F$4) * _xlfn.NORM.S.INV(RAND())</f>
        <v>4.3308233846903257E-3</v>
      </c>
      <c r="U6953" s="59">
        <f ca="1">Dashboard!D$8* Dashboard!$F$4+Dashboard!D$10*SQRT(Dashboard!$F$4) * _xlfn.NORM.S.INV(RAND())</f>
        <v>4.1107684430870713E-2</v>
      </c>
    </row>
    <row r="6954" spans="18:21" x14ac:dyDescent="0.2">
      <c r="R6954" s="49">
        <v>6952</v>
      </c>
      <c r="S6954" s="59">
        <f ca="1">Dashboard!B$8* Dashboard!$F$4+Dashboard!B$10*SQRT(Dashboard!$F$4) * _xlfn.NORM.S.INV(RAND())</f>
        <v>2.7483464358631464E-2</v>
      </c>
      <c r="T6954" s="59">
        <f ca="1">Dashboard!C$8* Dashboard!$F$4+Dashboard!C$10*SQRT(Dashboard!$F$4) * _xlfn.NORM.S.INV(RAND())</f>
        <v>-2.9112123726025622E-2</v>
      </c>
      <c r="U6954" s="59">
        <f ca="1">Dashboard!D$8* Dashboard!$F$4+Dashboard!D$10*SQRT(Dashboard!$F$4) * _xlfn.NORM.S.INV(RAND())</f>
        <v>4.7832135408503902E-3</v>
      </c>
    </row>
    <row r="6955" spans="18:21" x14ac:dyDescent="0.2">
      <c r="R6955" s="49">
        <v>6953</v>
      </c>
      <c r="S6955" s="59">
        <f ca="1">Dashboard!B$8* Dashboard!$F$4+Dashboard!B$10*SQRT(Dashboard!$F$4) * _xlfn.NORM.S.INV(RAND())</f>
        <v>8.3001520174230386E-3</v>
      </c>
      <c r="T6955" s="59">
        <f ca="1">Dashboard!C$8* Dashboard!$F$4+Dashboard!C$10*SQRT(Dashboard!$F$4) * _xlfn.NORM.S.INV(RAND())</f>
        <v>8.5868571830352187E-3</v>
      </c>
      <c r="U6955" s="59">
        <f ca="1">Dashboard!D$8* Dashboard!$F$4+Dashboard!D$10*SQRT(Dashboard!$F$4) * _xlfn.NORM.S.INV(RAND())</f>
        <v>2.8732220318023673E-2</v>
      </c>
    </row>
    <row r="6956" spans="18:21" x14ac:dyDescent="0.2">
      <c r="R6956" s="49">
        <v>6954</v>
      </c>
      <c r="S6956" s="59">
        <f ca="1">Dashboard!B$8* Dashboard!$F$4+Dashboard!B$10*SQRT(Dashboard!$F$4) * _xlfn.NORM.S.INV(RAND())</f>
        <v>4.9686178929495436E-2</v>
      </c>
      <c r="T6956" s="59">
        <f ca="1">Dashboard!C$8* Dashboard!$F$4+Dashboard!C$10*SQRT(Dashboard!$F$4) * _xlfn.NORM.S.INV(RAND())</f>
        <v>-1.1203824735481979E-2</v>
      </c>
      <c r="U6956" s="59">
        <f ca="1">Dashboard!D$8* Dashboard!$F$4+Dashboard!D$10*SQRT(Dashboard!$F$4) * _xlfn.NORM.S.INV(RAND())</f>
        <v>2.9781308778441217E-2</v>
      </c>
    </row>
    <row r="6957" spans="18:21" x14ac:dyDescent="0.2">
      <c r="R6957" s="49">
        <v>6955</v>
      </c>
      <c r="S6957" s="59">
        <f ca="1">Dashboard!B$8* Dashboard!$F$4+Dashboard!B$10*SQRT(Dashboard!$F$4) * _xlfn.NORM.S.INV(RAND())</f>
        <v>5.486594447720354E-2</v>
      </c>
      <c r="T6957" s="59">
        <f ca="1">Dashboard!C$8* Dashboard!$F$4+Dashboard!C$10*SQRT(Dashboard!$F$4) * _xlfn.NORM.S.INV(RAND())</f>
        <v>-4.7553680253879467E-2</v>
      </c>
      <c r="U6957" s="59">
        <f ca="1">Dashboard!D$8* Dashboard!$F$4+Dashboard!D$10*SQRT(Dashboard!$F$4) * _xlfn.NORM.S.INV(RAND())</f>
        <v>-8.0474513185174859E-2</v>
      </c>
    </row>
    <row r="6958" spans="18:21" x14ac:dyDescent="0.2">
      <c r="R6958" s="49">
        <v>6956</v>
      </c>
      <c r="S6958" s="59">
        <f ca="1">Dashboard!B$8* Dashboard!$F$4+Dashboard!B$10*SQRT(Dashboard!$F$4) * _xlfn.NORM.S.INV(RAND())</f>
        <v>-6.0960294417154708E-3</v>
      </c>
      <c r="T6958" s="59">
        <f ca="1">Dashboard!C$8* Dashboard!$F$4+Dashboard!C$10*SQRT(Dashboard!$F$4) * _xlfn.NORM.S.INV(RAND())</f>
        <v>3.6526991470445204E-3</v>
      </c>
      <c r="U6958" s="59">
        <f ca="1">Dashboard!D$8* Dashboard!$F$4+Dashboard!D$10*SQRT(Dashboard!$F$4) * _xlfn.NORM.S.INV(RAND())</f>
        <v>-2.7007553014616523E-2</v>
      </c>
    </row>
    <row r="6959" spans="18:21" x14ac:dyDescent="0.2">
      <c r="R6959" s="49">
        <v>6957</v>
      </c>
      <c r="S6959" s="59">
        <f ca="1">Dashboard!B$8* Dashboard!$F$4+Dashboard!B$10*SQRT(Dashboard!$F$4) * _xlfn.NORM.S.INV(RAND())</f>
        <v>1.5275360706527514E-2</v>
      </c>
      <c r="T6959" s="59">
        <f ca="1">Dashboard!C$8* Dashboard!$F$4+Dashboard!C$10*SQRT(Dashboard!$F$4) * _xlfn.NORM.S.INV(RAND())</f>
        <v>5.8941303428838238E-3</v>
      </c>
      <c r="U6959" s="59">
        <f ca="1">Dashboard!D$8* Dashboard!$F$4+Dashboard!D$10*SQRT(Dashboard!$F$4) * _xlfn.NORM.S.INV(RAND())</f>
        <v>-9.330044105224547E-3</v>
      </c>
    </row>
    <row r="6960" spans="18:21" x14ac:dyDescent="0.2">
      <c r="R6960" s="49">
        <v>6958</v>
      </c>
      <c r="S6960" s="59">
        <f ca="1">Dashboard!B$8* Dashboard!$F$4+Dashboard!B$10*SQRT(Dashboard!$F$4) * _xlfn.NORM.S.INV(RAND())</f>
        <v>-1.8479557388257746E-2</v>
      </c>
      <c r="T6960" s="59">
        <f ca="1">Dashboard!C$8* Dashboard!$F$4+Dashboard!C$10*SQRT(Dashboard!$F$4) * _xlfn.NORM.S.INV(RAND())</f>
        <v>-7.0088709263806193E-3</v>
      </c>
      <c r="U6960" s="59">
        <f ca="1">Dashboard!D$8* Dashboard!$F$4+Dashboard!D$10*SQRT(Dashboard!$F$4) * _xlfn.NORM.S.INV(RAND())</f>
        <v>3.2967680880574779E-2</v>
      </c>
    </row>
    <row r="6961" spans="18:21" x14ac:dyDescent="0.2">
      <c r="R6961" s="49">
        <v>6959</v>
      </c>
      <c r="S6961" s="59">
        <f ca="1">Dashboard!B$8* Dashboard!$F$4+Dashboard!B$10*SQRT(Dashboard!$F$4) * _xlfn.NORM.S.INV(RAND())</f>
        <v>4.0918913504248196E-3</v>
      </c>
      <c r="T6961" s="59">
        <f ca="1">Dashboard!C$8* Dashboard!$F$4+Dashboard!C$10*SQRT(Dashboard!$F$4) * _xlfn.NORM.S.INV(RAND())</f>
        <v>-8.1873732718729456E-3</v>
      </c>
      <c r="U6961" s="59">
        <f ca="1">Dashboard!D$8* Dashboard!$F$4+Dashboard!D$10*SQRT(Dashboard!$F$4) * _xlfn.NORM.S.INV(RAND())</f>
        <v>-2.8216237254950718E-2</v>
      </c>
    </row>
    <row r="6962" spans="18:21" x14ac:dyDescent="0.2">
      <c r="R6962" s="49">
        <v>6960</v>
      </c>
      <c r="S6962" s="59">
        <f ca="1">Dashboard!B$8* Dashboard!$F$4+Dashboard!B$10*SQRT(Dashboard!$F$4) * _xlfn.NORM.S.INV(RAND())</f>
        <v>-8.1254722125377946E-3</v>
      </c>
      <c r="T6962" s="59">
        <f ca="1">Dashboard!C$8* Dashboard!$F$4+Dashboard!C$10*SQRT(Dashboard!$F$4) * _xlfn.NORM.S.INV(RAND())</f>
        <v>5.8351321102775015E-2</v>
      </c>
      <c r="U6962" s="59">
        <f ca="1">Dashboard!D$8* Dashboard!$F$4+Dashboard!D$10*SQRT(Dashboard!$F$4) * _xlfn.NORM.S.INV(RAND())</f>
        <v>-4.2753100131740912E-2</v>
      </c>
    </row>
    <row r="6963" spans="18:21" x14ac:dyDescent="0.2">
      <c r="R6963" s="49">
        <v>6961</v>
      </c>
      <c r="S6963" s="59">
        <f ca="1">Dashboard!B$8* Dashboard!$F$4+Dashboard!B$10*SQRT(Dashboard!$F$4) * _xlfn.NORM.S.INV(RAND())</f>
        <v>2.2171469594504847E-2</v>
      </c>
      <c r="T6963" s="59">
        <f ca="1">Dashboard!C$8* Dashboard!$F$4+Dashboard!C$10*SQRT(Dashboard!$F$4) * _xlfn.NORM.S.INV(RAND())</f>
        <v>7.2190533448658351E-4</v>
      </c>
      <c r="U6963" s="59">
        <f ca="1">Dashboard!D$8* Dashboard!$F$4+Dashboard!D$10*SQRT(Dashboard!$F$4) * _xlfn.NORM.S.INV(RAND())</f>
        <v>5.6207731874042812E-3</v>
      </c>
    </row>
    <row r="6964" spans="18:21" x14ac:dyDescent="0.2">
      <c r="R6964" s="49">
        <v>6962</v>
      </c>
      <c r="S6964" s="59">
        <f ca="1">Dashboard!B$8* Dashboard!$F$4+Dashboard!B$10*SQRT(Dashboard!$F$4) * _xlfn.NORM.S.INV(RAND())</f>
        <v>-4.5161326324028535E-2</v>
      </c>
      <c r="T6964" s="59">
        <f ca="1">Dashboard!C$8* Dashboard!$F$4+Dashboard!C$10*SQRT(Dashboard!$F$4) * _xlfn.NORM.S.INV(RAND())</f>
        <v>2.8398497143484511E-2</v>
      </c>
      <c r="U6964" s="59">
        <f ca="1">Dashboard!D$8* Dashboard!$F$4+Dashboard!D$10*SQRT(Dashboard!$F$4) * _xlfn.NORM.S.INV(RAND())</f>
        <v>-5.4916036605170276E-3</v>
      </c>
    </row>
    <row r="6965" spans="18:21" x14ac:dyDescent="0.2">
      <c r="R6965" s="49">
        <v>6963</v>
      </c>
      <c r="S6965" s="59">
        <f ca="1">Dashboard!B$8* Dashboard!$F$4+Dashboard!B$10*SQRT(Dashboard!$F$4) * _xlfn.NORM.S.INV(RAND())</f>
        <v>1.6670785029190845E-2</v>
      </c>
      <c r="T6965" s="59">
        <f ca="1">Dashboard!C$8* Dashboard!$F$4+Dashboard!C$10*SQRT(Dashboard!$F$4) * _xlfn.NORM.S.INV(RAND())</f>
        <v>-6.1005953545947246E-3</v>
      </c>
      <c r="U6965" s="59">
        <f ca="1">Dashboard!D$8* Dashboard!$F$4+Dashboard!D$10*SQRT(Dashboard!$F$4) * _xlfn.NORM.S.INV(RAND())</f>
        <v>-2.1873396735187449E-2</v>
      </c>
    </row>
    <row r="6966" spans="18:21" x14ac:dyDescent="0.2">
      <c r="R6966" s="49">
        <v>6964</v>
      </c>
      <c r="S6966" s="59">
        <f ca="1">Dashboard!B$8* Dashboard!$F$4+Dashboard!B$10*SQRT(Dashboard!$F$4) * _xlfn.NORM.S.INV(RAND())</f>
        <v>1.2848104894669881E-2</v>
      </c>
      <c r="T6966" s="59">
        <f ca="1">Dashboard!C$8* Dashboard!$F$4+Dashboard!C$10*SQRT(Dashboard!$F$4) * _xlfn.NORM.S.INV(RAND())</f>
        <v>-2.4566811110186656E-2</v>
      </c>
      <c r="U6966" s="59">
        <f ca="1">Dashboard!D$8* Dashboard!$F$4+Dashboard!D$10*SQRT(Dashboard!$F$4) * _xlfn.NORM.S.INV(RAND())</f>
        <v>-3.4641781572858771E-3</v>
      </c>
    </row>
    <row r="6967" spans="18:21" x14ac:dyDescent="0.2">
      <c r="R6967" s="49">
        <v>6965</v>
      </c>
      <c r="S6967" s="59">
        <f ca="1">Dashboard!B$8* Dashboard!$F$4+Dashboard!B$10*SQRT(Dashboard!$F$4) * _xlfn.NORM.S.INV(RAND())</f>
        <v>7.344149166108125E-3</v>
      </c>
      <c r="T6967" s="59">
        <f ca="1">Dashboard!C$8* Dashboard!$F$4+Dashboard!C$10*SQRT(Dashboard!$F$4) * _xlfn.NORM.S.INV(RAND())</f>
        <v>-3.5695579914932739E-2</v>
      </c>
      <c r="U6967" s="59">
        <f ca="1">Dashboard!D$8* Dashboard!$F$4+Dashboard!D$10*SQRT(Dashboard!$F$4) * _xlfn.NORM.S.INV(RAND())</f>
        <v>-1.4497356431454568E-2</v>
      </c>
    </row>
    <row r="6968" spans="18:21" x14ac:dyDescent="0.2">
      <c r="R6968" s="49">
        <v>6966</v>
      </c>
      <c r="S6968" s="59">
        <f ca="1">Dashboard!B$8* Dashboard!$F$4+Dashboard!B$10*SQRT(Dashboard!$F$4) * _xlfn.NORM.S.INV(RAND())</f>
        <v>-3.9916229457477324E-2</v>
      </c>
      <c r="T6968" s="59">
        <f ca="1">Dashboard!C$8* Dashboard!$F$4+Dashboard!C$10*SQRT(Dashboard!$F$4) * _xlfn.NORM.S.INV(RAND())</f>
        <v>3.0680266914982178E-2</v>
      </c>
      <c r="U6968" s="59">
        <f ca="1">Dashboard!D$8* Dashboard!$F$4+Dashboard!D$10*SQRT(Dashboard!$F$4) * _xlfn.NORM.S.INV(RAND())</f>
        <v>-1.7831563448630502E-2</v>
      </c>
    </row>
    <row r="6969" spans="18:21" x14ac:dyDescent="0.2">
      <c r="R6969" s="49">
        <v>6967</v>
      </c>
      <c r="S6969" s="59">
        <f ca="1">Dashboard!B$8* Dashboard!$F$4+Dashboard!B$10*SQRT(Dashboard!$F$4) * _xlfn.NORM.S.INV(RAND())</f>
        <v>-6.9784770459563467E-2</v>
      </c>
      <c r="T6969" s="59">
        <f ca="1">Dashboard!C$8* Dashboard!$F$4+Dashboard!C$10*SQRT(Dashboard!$F$4) * _xlfn.NORM.S.INV(RAND())</f>
        <v>-1.6695018016492674E-2</v>
      </c>
      <c r="U6969" s="59">
        <f ca="1">Dashboard!D$8* Dashboard!$F$4+Dashboard!D$10*SQRT(Dashboard!$F$4) * _xlfn.NORM.S.INV(RAND())</f>
        <v>3.4359402269166062E-2</v>
      </c>
    </row>
    <row r="6970" spans="18:21" x14ac:dyDescent="0.2">
      <c r="R6970" s="49">
        <v>6968</v>
      </c>
      <c r="S6970" s="59">
        <f ca="1">Dashboard!B$8* Dashboard!$F$4+Dashboard!B$10*SQRT(Dashboard!$F$4) * _xlfn.NORM.S.INV(RAND())</f>
        <v>3.7208533863539943E-2</v>
      </c>
      <c r="T6970" s="59">
        <f ca="1">Dashboard!C$8* Dashboard!$F$4+Dashboard!C$10*SQRT(Dashboard!$F$4) * _xlfn.NORM.S.INV(RAND())</f>
        <v>-1.0264813277939364E-2</v>
      </c>
      <c r="U6970" s="59">
        <f ca="1">Dashboard!D$8* Dashboard!$F$4+Dashboard!D$10*SQRT(Dashboard!$F$4) * _xlfn.NORM.S.INV(RAND())</f>
        <v>5.9110647819662729E-2</v>
      </c>
    </row>
    <row r="6971" spans="18:21" x14ac:dyDescent="0.2">
      <c r="R6971" s="49">
        <v>6969</v>
      </c>
      <c r="S6971" s="59">
        <f ca="1">Dashboard!B$8* Dashboard!$F$4+Dashboard!B$10*SQRT(Dashboard!$F$4) * _xlfn.NORM.S.INV(RAND())</f>
        <v>-1.2628075574168817E-2</v>
      </c>
      <c r="T6971" s="59">
        <f ca="1">Dashboard!C$8* Dashboard!$F$4+Dashboard!C$10*SQRT(Dashboard!$F$4) * _xlfn.NORM.S.INV(RAND())</f>
        <v>2.316179014539399E-2</v>
      </c>
      <c r="U6971" s="59">
        <f ca="1">Dashboard!D$8* Dashboard!$F$4+Dashboard!D$10*SQRT(Dashboard!$F$4) * _xlfn.NORM.S.INV(RAND())</f>
        <v>3.9889107028143189E-2</v>
      </c>
    </row>
    <row r="6972" spans="18:21" x14ac:dyDescent="0.2">
      <c r="R6972" s="49">
        <v>6970</v>
      </c>
      <c r="S6972" s="59">
        <f ca="1">Dashboard!B$8* Dashboard!$F$4+Dashboard!B$10*SQRT(Dashboard!$F$4) * _xlfn.NORM.S.INV(RAND())</f>
        <v>3.5393697316963386E-3</v>
      </c>
      <c r="T6972" s="59">
        <f ca="1">Dashboard!C$8* Dashboard!$F$4+Dashboard!C$10*SQRT(Dashboard!$F$4) * _xlfn.NORM.S.INV(RAND())</f>
        <v>-2.570267524417159E-2</v>
      </c>
      <c r="U6972" s="59">
        <f ca="1">Dashboard!D$8* Dashboard!$F$4+Dashboard!D$10*SQRT(Dashboard!$F$4) * _xlfn.NORM.S.INV(RAND())</f>
        <v>1.4255164285391021E-2</v>
      </c>
    </row>
    <row r="6973" spans="18:21" x14ac:dyDescent="0.2">
      <c r="R6973" s="49">
        <v>6971</v>
      </c>
      <c r="S6973" s="59">
        <f ca="1">Dashboard!B$8* Dashboard!$F$4+Dashboard!B$10*SQRT(Dashboard!$F$4) * _xlfn.NORM.S.INV(RAND())</f>
        <v>-4.6787739881849713E-2</v>
      </c>
      <c r="T6973" s="59">
        <f ca="1">Dashboard!C$8* Dashboard!$F$4+Dashboard!C$10*SQRT(Dashboard!$F$4) * _xlfn.NORM.S.INV(RAND())</f>
        <v>7.6765604177697032E-3</v>
      </c>
      <c r="U6973" s="59">
        <f ca="1">Dashboard!D$8* Dashboard!$F$4+Dashboard!D$10*SQRT(Dashboard!$F$4) * _xlfn.NORM.S.INV(RAND())</f>
        <v>3.4709549782058452E-2</v>
      </c>
    </row>
    <row r="6974" spans="18:21" x14ac:dyDescent="0.2">
      <c r="R6974" s="49">
        <v>6972</v>
      </c>
      <c r="S6974" s="59">
        <f ca="1">Dashboard!B$8* Dashboard!$F$4+Dashboard!B$10*SQRT(Dashboard!$F$4) * _xlfn.NORM.S.INV(RAND())</f>
        <v>3.6306275150564039E-2</v>
      </c>
      <c r="T6974" s="59">
        <f ca="1">Dashboard!C$8* Dashboard!$F$4+Dashboard!C$10*SQRT(Dashboard!$F$4) * _xlfn.NORM.S.INV(RAND())</f>
        <v>3.6384806082761711E-3</v>
      </c>
      <c r="U6974" s="59">
        <f ca="1">Dashboard!D$8* Dashboard!$F$4+Dashboard!D$10*SQRT(Dashboard!$F$4) * _xlfn.NORM.S.INV(RAND())</f>
        <v>-2.444092437947841E-2</v>
      </c>
    </row>
    <row r="6975" spans="18:21" x14ac:dyDescent="0.2">
      <c r="R6975" s="49">
        <v>6973</v>
      </c>
      <c r="S6975" s="59">
        <f ca="1">Dashboard!B$8* Dashboard!$F$4+Dashboard!B$10*SQRT(Dashboard!$F$4) * _xlfn.NORM.S.INV(RAND())</f>
        <v>5.173916610189927E-3</v>
      </c>
      <c r="T6975" s="59">
        <f ca="1">Dashboard!C$8* Dashboard!$F$4+Dashboard!C$10*SQRT(Dashboard!$F$4) * _xlfn.NORM.S.INV(RAND())</f>
        <v>4.029575055132964E-2</v>
      </c>
      <c r="U6975" s="59">
        <f ca="1">Dashboard!D$8* Dashboard!$F$4+Dashboard!D$10*SQRT(Dashboard!$F$4) * _xlfn.NORM.S.INV(RAND())</f>
        <v>4.0826830394156736E-2</v>
      </c>
    </row>
    <row r="6976" spans="18:21" x14ac:dyDescent="0.2">
      <c r="R6976" s="49">
        <v>6974</v>
      </c>
      <c r="S6976" s="59">
        <f ca="1">Dashboard!B$8* Dashboard!$F$4+Dashboard!B$10*SQRT(Dashboard!$F$4) * _xlfn.NORM.S.INV(RAND())</f>
        <v>1.5444460033331893E-3</v>
      </c>
      <c r="T6976" s="59">
        <f ca="1">Dashboard!C$8* Dashboard!$F$4+Dashboard!C$10*SQRT(Dashboard!$F$4) * _xlfn.NORM.S.INV(RAND())</f>
        <v>2.7568786048975356E-2</v>
      </c>
      <c r="U6976" s="59">
        <f ca="1">Dashboard!D$8* Dashboard!$F$4+Dashboard!D$10*SQRT(Dashboard!$F$4) * _xlfn.NORM.S.INV(RAND())</f>
        <v>-2.5723352272734824E-3</v>
      </c>
    </row>
    <row r="6977" spans="18:21" x14ac:dyDescent="0.2">
      <c r="R6977" s="49">
        <v>6975</v>
      </c>
      <c r="S6977" s="59">
        <f ca="1">Dashboard!B$8* Dashboard!$F$4+Dashboard!B$10*SQRT(Dashboard!$F$4) * _xlfn.NORM.S.INV(RAND())</f>
        <v>1.3056763082309538E-2</v>
      </c>
      <c r="T6977" s="59">
        <f ca="1">Dashboard!C$8* Dashboard!$F$4+Dashboard!C$10*SQRT(Dashboard!$F$4) * _xlfn.NORM.S.INV(RAND())</f>
        <v>1.0661308184296085E-2</v>
      </c>
      <c r="U6977" s="59">
        <f ca="1">Dashboard!D$8* Dashboard!$F$4+Dashboard!D$10*SQRT(Dashboard!$F$4) * _xlfn.NORM.S.INV(RAND())</f>
        <v>2.0010396267001063E-2</v>
      </c>
    </row>
    <row r="6978" spans="18:21" x14ac:dyDescent="0.2">
      <c r="R6978" s="49">
        <v>6976</v>
      </c>
      <c r="S6978" s="59">
        <f ca="1">Dashboard!B$8* Dashboard!$F$4+Dashboard!B$10*SQRT(Dashboard!$F$4) * _xlfn.NORM.S.INV(RAND())</f>
        <v>-1.4283257899000121E-2</v>
      </c>
      <c r="T6978" s="59">
        <f ca="1">Dashboard!C$8* Dashboard!$F$4+Dashboard!C$10*SQRT(Dashboard!$F$4) * _xlfn.NORM.S.INV(RAND())</f>
        <v>-2.4485729625950012E-2</v>
      </c>
      <c r="U6978" s="59">
        <f ca="1">Dashboard!D$8* Dashboard!$F$4+Dashboard!D$10*SQRT(Dashboard!$F$4) * _xlfn.NORM.S.INV(RAND())</f>
        <v>1.3466036054324121E-2</v>
      </c>
    </row>
    <row r="6979" spans="18:21" x14ac:dyDescent="0.2">
      <c r="R6979" s="49">
        <v>6977</v>
      </c>
      <c r="S6979" s="59">
        <f ca="1">Dashboard!B$8* Dashboard!$F$4+Dashboard!B$10*SQRT(Dashboard!$F$4) * _xlfn.NORM.S.INV(RAND())</f>
        <v>5.3783491778809471E-3</v>
      </c>
      <c r="T6979" s="59">
        <f ca="1">Dashboard!C$8* Dashboard!$F$4+Dashboard!C$10*SQRT(Dashboard!$F$4) * _xlfn.NORM.S.INV(RAND())</f>
        <v>1.0452096820104468E-2</v>
      </c>
      <c r="U6979" s="59">
        <f ca="1">Dashboard!D$8* Dashboard!$F$4+Dashboard!D$10*SQRT(Dashboard!$F$4) * _xlfn.NORM.S.INV(RAND())</f>
        <v>-1.9013641016640839E-2</v>
      </c>
    </row>
    <row r="6980" spans="18:21" x14ac:dyDescent="0.2">
      <c r="R6980" s="49">
        <v>6978</v>
      </c>
      <c r="S6980" s="59">
        <f ca="1">Dashboard!B$8* Dashboard!$F$4+Dashboard!B$10*SQRT(Dashboard!$F$4) * _xlfn.NORM.S.INV(RAND())</f>
        <v>-4.1924208950932171E-2</v>
      </c>
      <c r="T6980" s="59">
        <f ca="1">Dashboard!C$8* Dashboard!$F$4+Dashboard!C$10*SQRT(Dashboard!$F$4) * _xlfn.NORM.S.INV(RAND())</f>
        <v>6.1356734342571828E-2</v>
      </c>
      <c r="U6980" s="59">
        <f ca="1">Dashboard!D$8* Dashboard!$F$4+Dashboard!D$10*SQRT(Dashboard!$F$4) * _xlfn.NORM.S.INV(RAND())</f>
        <v>3.7306828685319753E-2</v>
      </c>
    </row>
    <row r="6981" spans="18:21" x14ac:dyDescent="0.2">
      <c r="R6981" s="49">
        <v>6979</v>
      </c>
      <c r="S6981" s="59">
        <f ca="1">Dashboard!B$8* Dashboard!$F$4+Dashboard!B$10*SQRT(Dashboard!$F$4) * _xlfn.NORM.S.INV(RAND())</f>
        <v>-2.3655214936159644E-2</v>
      </c>
      <c r="T6981" s="59">
        <f ca="1">Dashboard!C$8* Dashboard!$F$4+Dashboard!C$10*SQRT(Dashboard!$F$4) * _xlfn.NORM.S.INV(RAND())</f>
        <v>-4.1349049985045924E-3</v>
      </c>
      <c r="U6981" s="59">
        <f ca="1">Dashboard!D$8* Dashboard!$F$4+Dashboard!D$10*SQRT(Dashboard!$F$4) * _xlfn.NORM.S.INV(RAND())</f>
        <v>-3.3359734200855189E-2</v>
      </c>
    </row>
    <row r="6982" spans="18:21" x14ac:dyDescent="0.2">
      <c r="R6982" s="49">
        <v>6980</v>
      </c>
      <c r="S6982" s="59">
        <f ca="1">Dashboard!B$8* Dashboard!$F$4+Dashboard!B$10*SQRT(Dashboard!$F$4) * _xlfn.NORM.S.INV(RAND())</f>
        <v>-4.8099516081722762E-2</v>
      </c>
      <c r="T6982" s="59">
        <f ca="1">Dashboard!C$8* Dashboard!$F$4+Dashboard!C$10*SQRT(Dashboard!$F$4) * _xlfn.NORM.S.INV(RAND())</f>
        <v>9.6306830690306849E-3</v>
      </c>
      <c r="U6982" s="59">
        <f ca="1">Dashboard!D$8* Dashboard!$F$4+Dashboard!D$10*SQRT(Dashboard!$F$4) * _xlfn.NORM.S.INV(RAND())</f>
        <v>3.2112061244625118E-3</v>
      </c>
    </row>
    <row r="6983" spans="18:21" x14ac:dyDescent="0.2">
      <c r="R6983" s="49">
        <v>6981</v>
      </c>
      <c r="S6983" s="59">
        <f ca="1">Dashboard!B$8* Dashboard!$F$4+Dashboard!B$10*SQRT(Dashboard!$F$4) * _xlfn.NORM.S.INV(RAND())</f>
        <v>-4.9383886237270762E-3</v>
      </c>
      <c r="T6983" s="59">
        <f ca="1">Dashboard!C$8* Dashboard!$F$4+Dashboard!C$10*SQRT(Dashboard!$F$4) * _xlfn.NORM.S.INV(RAND())</f>
        <v>7.6426064232619027E-3</v>
      </c>
      <c r="U6983" s="59">
        <f ca="1">Dashboard!D$8* Dashboard!$F$4+Dashboard!D$10*SQRT(Dashboard!$F$4) * _xlfn.NORM.S.INV(RAND())</f>
        <v>5.3194720213204254E-2</v>
      </c>
    </row>
    <row r="6984" spans="18:21" x14ac:dyDescent="0.2">
      <c r="R6984" s="49">
        <v>6982</v>
      </c>
      <c r="S6984" s="59">
        <f ca="1">Dashboard!B$8* Dashboard!$F$4+Dashboard!B$10*SQRT(Dashboard!$F$4) * _xlfn.NORM.S.INV(RAND())</f>
        <v>6.1225634233059052E-3</v>
      </c>
      <c r="T6984" s="59">
        <f ca="1">Dashboard!C$8* Dashboard!$F$4+Dashboard!C$10*SQRT(Dashboard!$F$4) * _xlfn.NORM.S.INV(RAND())</f>
        <v>-3.8614506522682591E-2</v>
      </c>
      <c r="U6984" s="59">
        <f ca="1">Dashboard!D$8* Dashboard!$F$4+Dashboard!D$10*SQRT(Dashboard!$F$4) * _xlfn.NORM.S.INV(RAND())</f>
        <v>-5.2901473893001941E-2</v>
      </c>
    </row>
    <row r="6985" spans="18:21" x14ac:dyDescent="0.2">
      <c r="R6985" s="49">
        <v>6983</v>
      </c>
      <c r="S6985" s="59">
        <f ca="1">Dashboard!B$8* Dashboard!$F$4+Dashboard!B$10*SQRT(Dashboard!$F$4) * _xlfn.NORM.S.INV(RAND())</f>
        <v>4.7761173196461601E-3</v>
      </c>
      <c r="T6985" s="59">
        <f ca="1">Dashboard!C$8* Dashboard!$F$4+Dashboard!C$10*SQRT(Dashboard!$F$4) * _xlfn.NORM.S.INV(RAND())</f>
        <v>2.9932847770112053E-2</v>
      </c>
      <c r="U6985" s="59">
        <f ca="1">Dashboard!D$8* Dashboard!$F$4+Dashboard!D$10*SQRT(Dashboard!$F$4) * _xlfn.NORM.S.INV(RAND())</f>
        <v>5.123995565419262E-2</v>
      </c>
    </row>
    <row r="6986" spans="18:21" x14ac:dyDescent="0.2">
      <c r="R6986" s="49">
        <v>6984</v>
      </c>
      <c r="S6986" s="59">
        <f ca="1">Dashboard!B$8* Dashboard!$F$4+Dashboard!B$10*SQRT(Dashboard!$F$4) * _xlfn.NORM.S.INV(RAND())</f>
        <v>7.8112498428081472E-3</v>
      </c>
      <c r="T6986" s="59">
        <f ca="1">Dashboard!C$8* Dashboard!$F$4+Dashboard!C$10*SQRT(Dashboard!$F$4) * _xlfn.NORM.S.INV(RAND())</f>
        <v>2.3859484146366426E-2</v>
      </c>
      <c r="U6986" s="59">
        <f ca="1">Dashboard!D$8* Dashboard!$F$4+Dashboard!D$10*SQRT(Dashboard!$F$4) * _xlfn.NORM.S.INV(RAND())</f>
        <v>-5.0666117751538904E-2</v>
      </c>
    </row>
    <row r="6987" spans="18:21" x14ac:dyDescent="0.2">
      <c r="R6987" s="49">
        <v>6985</v>
      </c>
      <c r="S6987" s="59">
        <f ca="1">Dashboard!B$8* Dashboard!$F$4+Dashboard!B$10*SQRT(Dashboard!$F$4) * _xlfn.NORM.S.INV(RAND())</f>
        <v>-1.0450507223909819E-2</v>
      </c>
      <c r="T6987" s="59">
        <f ca="1">Dashboard!C$8* Dashboard!$F$4+Dashboard!C$10*SQRT(Dashboard!$F$4) * _xlfn.NORM.S.INV(RAND())</f>
        <v>-1.3796226851477609E-2</v>
      </c>
      <c r="U6987" s="59">
        <f ca="1">Dashboard!D$8* Dashboard!$F$4+Dashboard!D$10*SQRT(Dashboard!$F$4) * _xlfn.NORM.S.INV(RAND())</f>
        <v>1.1127915209870531E-2</v>
      </c>
    </row>
    <row r="6988" spans="18:21" x14ac:dyDescent="0.2">
      <c r="R6988" s="49">
        <v>6986</v>
      </c>
      <c r="S6988" s="59">
        <f ca="1">Dashboard!B$8* Dashboard!$F$4+Dashboard!B$10*SQRT(Dashboard!$F$4) * _xlfn.NORM.S.INV(RAND())</f>
        <v>-1.6958425695689713E-2</v>
      </c>
      <c r="T6988" s="59">
        <f ca="1">Dashboard!C$8* Dashboard!$F$4+Dashboard!C$10*SQRT(Dashboard!$F$4) * _xlfn.NORM.S.INV(RAND())</f>
        <v>-1.7980786323505825E-2</v>
      </c>
      <c r="U6988" s="59">
        <f ca="1">Dashboard!D$8* Dashboard!$F$4+Dashboard!D$10*SQRT(Dashboard!$F$4) * _xlfn.NORM.S.INV(RAND())</f>
        <v>5.0387732977311701E-2</v>
      </c>
    </row>
    <row r="6989" spans="18:21" x14ac:dyDescent="0.2">
      <c r="R6989" s="49">
        <v>6987</v>
      </c>
      <c r="S6989" s="59">
        <f ca="1">Dashboard!B$8* Dashboard!$F$4+Dashboard!B$10*SQRT(Dashboard!$F$4) * _xlfn.NORM.S.INV(RAND())</f>
        <v>-8.5808317525142078E-2</v>
      </c>
      <c r="T6989" s="59">
        <f ca="1">Dashboard!C$8* Dashboard!$F$4+Dashboard!C$10*SQRT(Dashboard!$F$4) * _xlfn.NORM.S.INV(RAND())</f>
        <v>3.285080156780118E-2</v>
      </c>
      <c r="U6989" s="59">
        <f ca="1">Dashboard!D$8* Dashboard!$F$4+Dashboard!D$10*SQRT(Dashboard!$F$4) * _xlfn.NORM.S.INV(RAND())</f>
        <v>6.9572470657142893E-2</v>
      </c>
    </row>
    <row r="6990" spans="18:21" x14ac:dyDescent="0.2">
      <c r="R6990" s="49">
        <v>6988</v>
      </c>
      <c r="S6990" s="59">
        <f ca="1">Dashboard!B$8* Dashboard!$F$4+Dashboard!B$10*SQRT(Dashboard!$F$4) * _xlfn.NORM.S.INV(RAND())</f>
        <v>1.17330967229287E-2</v>
      </c>
      <c r="T6990" s="59">
        <f ca="1">Dashboard!C$8* Dashboard!$F$4+Dashboard!C$10*SQRT(Dashboard!$F$4) * _xlfn.NORM.S.INV(RAND())</f>
        <v>-5.8240351658008879E-2</v>
      </c>
      <c r="U6990" s="59">
        <f ca="1">Dashboard!D$8* Dashboard!$F$4+Dashboard!D$10*SQRT(Dashboard!$F$4) * _xlfn.NORM.S.INV(RAND())</f>
        <v>6.0615678851856135E-3</v>
      </c>
    </row>
    <row r="6991" spans="18:21" x14ac:dyDescent="0.2">
      <c r="R6991" s="49">
        <v>6989</v>
      </c>
      <c r="S6991" s="59">
        <f ca="1">Dashboard!B$8* Dashboard!$F$4+Dashboard!B$10*SQRT(Dashboard!$F$4) * _xlfn.NORM.S.INV(RAND())</f>
        <v>6.0152132967547151E-2</v>
      </c>
      <c r="T6991" s="59">
        <f ca="1">Dashboard!C$8* Dashboard!$F$4+Dashboard!C$10*SQRT(Dashboard!$F$4) * _xlfn.NORM.S.INV(RAND())</f>
        <v>-4.324353868064147E-3</v>
      </c>
      <c r="U6991" s="59">
        <f ca="1">Dashboard!D$8* Dashboard!$F$4+Dashboard!D$10*SQRT(Dashboard!$F$4) * _xlfn.NORM.S.INV(RAND())</f>
        <v>6.1119760743611152E-3</v>
      </c>
    </row>
    <row r="6992" spans="18:21" x14ac:dyDescent="0.2">
      <c r="R6992" s="49">
        <v>6990</v>
      </c>
      <c r="S6992" s="59">
        <f ca="1">Dashboard!B$8* Dashboard!$F$4+Dashboard!B$10*SQRT(Dashboard!$F$4) * _xlfn.NORM.S.INV(RAND())</f>
        <v>-2.6605712550238927E-2</v>
      </c>
      <c r="T6992" s="59">
        <f ca="1">Dashboard!C$8* Dashboard!$F$4+Dashboard!C$10*SQRT(Dashboard!$F$4) * _xlfn.NORM.S.INV(RAND())</f>
        <v>-5.8580478399806899E-3</v>
      </c>
      <c r="U6992" s="59">
        <f ca="1">Dashboard!D$8* Dashboard!$F$4+Dashboard!D$10*SQRT(Dashboard!$F$4) * _xlfn.NORM.S.INV(RAND())</f>
        <v>-5.1461097847254486E-2</v>
      </c>
    </row>
    <row r="6993" spans="18:21" x14ac:dyDescent="0.2">
      <c r="R6993" s="49">
        <v>6991</v>
      </c>
      <c r="S6993" s="59">
        <f ca="1">Dashboard!B$8* Dashboard!$F$4+Dashboard!B$10*SQRT(Dashboard!$F$4) * _xlfn.NORM.S.INV(RAND())</f>
        <v>1.400908855770633E-2</v>
      </c>
      <c r="T6993" s="59">
        <f ca="1">Dashboard!C$8* Dashboard!$F$4+Dashboard!C$10*SQRT(Dashboard!$F$4) * _xlfn.NORM.S.INV(RAND())</f>
        <v>-4.561696979805957E-2</v>
      </c>
      <c r="U6993" s="59">
        <f ca="1">Dashboard!D$8* Dashboard!$F$4+Dashboard!D$10*SQRT(Dashboard!$F$4) * _xlfn.NORM.S.INV(RAND())</f>
        <v>1.3814863622669702E-2</v>
      </c>
    </row>
    <row r="6994" spans="18:21" x14ac:dyDescent="0.2">
      <c r="R6994" s="49">
        <v>6992</v>
      </c>
      <c r="S6994" s="59">
        <f ca="1">Dashboard!B$8* Dashboard!$F$4+Dashboard!B$10*SQRT(Dashboard!$F$4) * _xlfn.NORM.S.INV(RAND())</f>
        <v>2.7337962501779375E-2</v>
      </c>
      <c r="T6994" s="59">
        <f ca="1">Dashboard!C$8* Dashboard!$F$4+Dashboard!C$10*SQRT(Dashboard!$F$4) * _xlfn.NORM.S.INV(RAND())</f>
        <v>3.6004441646650593E-3</v>
      </c>
      <c r="U6994" s="59">
        <f ca="1">Dashboard!D$8* Dashboard!$F$4+Dashboard!D$10*SQRT(Dashboard!$F$4) * _xlfn.NORM.S.INV(RAND())</f>
        <v>1.3216957705056209E-2</v>
      </c>
    </row>
    <row r="6995" spans="18:21" x14ac:dyDescent="0.2">
      <c r="R6995" s="49">
        <v>6993</v>
      </c>
      <c r="S6995" s="59">
        <f ca="1">Dashboard!B$8* Dashboard!$F$4+Dashboard!B$10*SQRT(Dashboard!$F$4) * _xlfn.NORM.S.INV(RAND())</f>
        <v>5.4988198051567697E-2</v>
      </c>
      <c r="T6995" s="59">
        <f ca="1">Dashboard!C$8* Dashboard!$F$4+Dashboard!C$10*SQRT(Dashboard!$F$4) * _xlfn.NORM.S.INV(RAND())</f>
        <v>-8.7246138102279429E-3</v>
      </c>
      <c r="U6995" s="59">
        <f ca="1">Dashboard!D$8* Dashboard!$F$4+Dashboard!D$10*SQRT(Dashboard!$F$4) * _xlfn.NORM.S.INV(RAND())</f>
        <v>-3.3938942151161548E-2</v>
      </c>
    </row>
    <row r="6996" spans="18:21" x14ac:dyDescent="0.2">
      <c r="R6996" s="49">
        <v>6994</v>
      </c>
      <c r="S6996" s="59">
        <f ca="1">Dashboard!B$8* Dashboard!$F$4+Dashboard!B$10*SQRT(Dashboard!$F$4) * _xlfn.NORM.S.INV(RAND())</f>
        <v>-4.7679706937556139E-2</v>
      </c>
      <c r="T6996" s="59">
        <f ca="1">Dashboard!C$8* Dashboard!$F$4+Dashboard!C$10*SQRT(Dashboard!$F$4) * _xlfn.NORM.S.INV(RAND())</f>
        <v>2.3839328300875227E-2</v>
      </c>
      <c r="U6996" s="59">
        <f ca="1">Dashboard!D$8* Dashboard!$F$4+Dashboard!D$10*SQRT(Dashboard!$F$4) * _xlfn.NORM.S.INV(RAND())</f>
        <v>-3.0298697761826941E-2</v>
      </c>
    </row>
    <row r="6997" spans="18:21" x14ac:dyDescent="0.2">
      <c r="R6997" s="49">
        <v>6995</v>
      </c>
      <c r="S6997" s="59">
        <f ca="1">Dashboard!B$8* Dashboard!$F$4+Dashboard!B$10*SQRT(Dashboard!$F$4) * _xlfn.NORM.S.INV(RAND())</f>
        <v>3.0780808406078747E-2</v>
      </c>
      <c r="T6997" s="59">
        <f ca="1">Dashboard!C$8* Dashboard!$F$4+Dashboard!C$10*SQRT(Dashboard!$F$4) * _xlfn.NORM.S.INV(RAND())</f>
        <v>-1.6996540505206142E-2</v>
      </c>
      <c r="U6997" s="59">
        <f ca="1">Dashboard!D$8* Dashboard!$F$4+Dashboard!D$10*SQRT(Dashboard!$F$4) * _xlfn.NORM.S.INV(RAND())</f>
        <v>-3.340086770859968E-2</v>
      </c>
    </row>
    <row r="6998" spans="18:21" x14ac:dyDescent="0.2">
      <c r="R6998" s="49">
        <v>6996</v>
      </c>
      <c r="S6998" s="59">
        <f ca="1">Dashboard!B$8* Dashboard!$F$4+Dashboard!B$10*SQRT(Dashboard!$F$4) * _xlfn.NORM.S.INV(RAND())</f>
        <v>6.8716890189290433E-2</v>
      </c>
      <c r="T6998" s="59">
        <f ca="1">Dashboard!C$8* Dashboard!$F$4+Dashboard!C$10*SQRT(Dashboard!$F$4) * _xlfn.NORM.S.INV(RAND())</f>
        <v>5.1355195888132442E-2</v>
      </c>
      <c r="U6998" s="59">
        <f ca="1">Dashboard!D$8* Dashboard!$F$4+Dashboard!D$10*SQRT(Dashboard!$F$4) * _xlfn.NORM.S.INV(RAND())</f>
        <v>-2.6070584525414973E-2</v>
      </c>
    </row>
    <row r="6999" spans="18:21" x14ac:dyDescent="0.2">
      <c r="R6999" s="49">
        <v>6997</v>
      </c>
      <c r="S6999" s="59">
        <f ca="1">Dashboard!B$8* Dashboard!$F$4+Dashboard!B$10*SQRT(Dashboard!$F$4) * _xlfn.NORM.S.INV(RAND())</f>
        <v>5.8894079900960079E-3</v>
      </c>
      <c r="T6999" s="59">
        <f ca="1">Dashboard!C$8* Dashboard!$F$4+Dashboard!C$10*SQRT(Dashboard!$F$4) * _xlfn.NORM.S.INV(RAND())</f>
        <v>-1.8455732257601921E-2</v>
      </c>
      <c r="U6999" s="59">
        <f ca="1">Dashboard!D$8* Dashboard!$F$4+Dashboard!D$10*SQRT(Dashboard!$F$4) * _xlfn.NORM.S.INV(RAND())</f>
        <v>2.4604854015350567E-2</v>
      </c>
    </row>
    <row r="7000" spans="18:21" x14ac:dyDescent="0.2">
      <c r="R7000" s="49">
        <v>6998</v>
      </c>
      <c r="S7000" s="59">
        <f ca="1">Dashboard!B$8* Dashboard!$F$4+Dashboard!B$10*SQRT(Dashboard!$F$4) * _xlfn.NORM.S.INV(RAND())</f>
        <v>1.3798868178071194E-2</v>
      </c>
      <c r="T7000" s="59">
        <f ca="1">Dashboard!C$8* Dashboard!$F$4+Dashboard!C$10*SQRT(Dashboard!$F$4) * _xlfn.NORM.S.INV(RAND())</f>
        <v>-2.9195134072579596E-2</v>
      </c>
      <c r="U7000" s="59">
        <f ca="1">Dashboard!D$8* Dashboard!$F$4+Dashboard!D$10*SQRT(Dashboard!$F$4) * _xlfn.NORM.S.INV(RAND())</f>
        <v>-2.4543835299561237E-2</v>
      </c>
    </row>
    <row r="7001" spans="18:21" x14ac:dyDescent="0.2">
      <c r="R7001" s="49">
        <v>6999</v>
      </c>
      <c r="S7001" s="59">
        <f ca="1">Dashboard!B$8* Dashboard!$F$4+Dashboard!B$10*SQRT(Dashboard!$F$4) * _xlfn.NORM.S.INV(RAND())</f>
        <v>-2.5473808525366133E-2</v>
      </c>
      <c r="T7001" s="59">
        <f ca="1">Dashboard!C$8* Dashboard!$F$4+Dashboard!C$10*SQRT(Dashboard!$F$4) * _xlfn.NORM.S.INV(RAND())</f>
        <v>-3.7746671556709568E-3</v>
      </c>
      <c r="U7001" s="59">
        <f ca="1">Dashboard!D$8* Dashboard!$F$4+Dashboard!D$10*SQRT(Dashboard!$F$4) * _xlfn.NORM.S.INV(RAND())</f>
        <v>2.0160612037741037E-2</v>
      </c>
    </row>
    <row r="7002" spans="18:21" x14ac:dyDescent="0.2">
      <c r="R7002" s="49">
        <v>7000</v>
      </c>
      <c r="S7002" s="59">
        <f ca="1">Dashboard!B$8* Dashboard!$F$4+Dashboard!B$10*SQRT(Dashboard!$F$4) * _xlfn.NORM.S.INV(RAND())</f>
        <v>-3.033832924025562E-3</v>
      </c>
      <c r="T7002" s="59">
        <f ca="1">Dashboard!C$8* Dashboard!$F$4+Dashboard!C$10*SQRT(Dashboard!$F$4) * _xlfn.NORM.S.INV(RAND())</f>
        <v>8.1421742663649987E-2</v>
      </c>
      <c r="U7002" s="59">
        <f ca="1">Dashboard!D$8* Dashboard!$F$4+Dashboard!D$10*SQRT(Dashboard!$F$4) * _xlfn.NORM.S.INV(RAND())</f>
        <v>1.1168729236215374E-2</v>
      </c>
    </row>
    <row r="7003" spans="18:21" x14ac:dyDescent="0.2">
      <c r="R7003" s="49">
        <v>7001</v>
      </c>
      <c r="S7003" s="59">
        <f ca="1">Dashboard!B$8* Dashboard!$F$4+Dashboard!B$10*SQRT(Dashboard!$F$4) * _xlfn.NORM.S.INV(RAND())</f>
        <v>1.9876147012514176E-3</v>
      </c>
      <c r="T7003" s="59">
        <f ca="1">Dashboard!C$8* Dashboard!$F$4+Dashboard!C$10*SQRT(Dashboard!$F$4) * _xlfn.NORM.S.INV(RAND())</f>
        <v>5.9779394063895396E-2</v>
      </c>
      <c r="U7003" s="59">
        <f ca="1">Dashboard!D$8* Dashboard!$F$4+Dashboard!D$10*SQRT(Dashboard!$F$4) * _xlfn.NORM.S.INV(RAND())</f>
        <v>1.5472689634439808E-2</v>
      </c>
    </row>
    <row r="7004" spans="18:21" x14ac:dyDescent="0.2">
      <c r="R7004" s="49">
        <v>7002</v>
      </c>
      <c r="S7004" s="59">
        <f ca="1">Dashboard!B$8* Dashboard!$F$4+Dashboard!B$10*SQRT(Dashboard!$F$4) * _xlfn.NORM.S.INV(RAND())</f>
        <v>-1.0368591818284738E-2</v>
      </c>
      <c r="T7004" s="59">
        <f ca="1">Dashboard!C$8* Dashboard!$F$4+Dashboard!C$10*SQRT(Dashboard!$F$4) * _xlfn.NORM.S.INV(RAND())</f>
        <v>9.1067574005135841E-3</v>
      </c>
      <c r="U7004" s="59">
        <f ca="1">Dashboard!D$8* Dashboard!$F$4+Dashboard!D$10*SQRT(Dashboard!$F$4) * _xlfn.NORM.S.INV(RAND())</f>
        <v>-2.6639525611834126E-2</v>
      </c>
    </row>
    <row r="7005" spans="18:21" x14ac:dyDescent="0.2">
      <c r="R7005" s="49">
        <v>7003</v>
      </c>
      <c r="S7005" s="59">
        <f ca="1">Dashboard!B$8* Dashboard!$F$4+Dashboard!B$10*SQRT(Dashboard!$F$4) * _xlfn.NORM.S.INV(RAND())</f>
        <v>-2.1987364145498969E-2</v>
      </c>
      <c r="T7005" s="59">
        <f ca="1">Dashboard!C$8* Dashboard!$F$4+Dashboard!C$10*SQRT(Dashboard!$F$4) * _xlfn.NORM.S.INV(RAND())</f>
        <v>1.1788092639619985E-2</v>
      </c>
      <c r="U7005" s="59">
        <f ca="1">Dashboard!D$8* Dashboard!$F$4+Dashboard!D$10*SQRT(Dashboard!$F$4) * _xlfn.NORM.S.INV(RAND())</f>
        <v>2.9679599894535863E-2</v>
      </c>
    </row>
    <row r="7006" spans="18:21" x14ac:dyDescent="0.2">
      <c r="R7006" s="49">
        <v>7004</v>
      </c>
      <c r="S7006" s="59">
        <f ca="1">Dashboard!B$8* Dashboard!$F$4+Dashboard!B$10*SQRT(Dashboard!$F$4) * _xlfn.NORM.S.INV(RAND())</f>
        <v>6.7404673828281345E-2</v>
      </c>
      <c r="T7006" s="59">
        <f ca="1">Dashboard!C$8* Dashboard!$F$4+Dashboard!C$10*SQRT(Dashboard!$F$4) * _xlfn.NORM.S.INV(RAND())</f>
        <v>7.7079942393641479E-2</v>
      </c>
      <c r="U7006" s="59">
        <f ca="1">Dashboard!D$8* Dashboard!$F$4+Dashboard!D$10*SQRT(Dashboard!$F$4) * _xlfn.NORM.S.INV(RAND())</f>
        <v>-7.3065265757909486E-3</v>
      </c>
    </row>
    <row r="7007" spans="18:21" x14ac:dyDescent="0.2">
      <c r="R7007" s="49">
        <v>7005</v>
      </c>
      <c r="S7007" s="59">
        <f ca="1">Dashboard!B$8* Dashboard!$F$4+Dashboard!B$10*SQRT(Dashboard!$F$4) * _xlfn.NORM.S.INV(RAND())</f>
        <v>3.9164441082322941E-2</v>
      </c>
      <c r="T7007" s="59">
        <f ca="1">Dashboard!C$8* Dashboard!$F$4+Dashboard!C$10*SQRT(Dashboard!$F$4) * _xlfn.NORM.S.INV(RAND())</f>
        <v>-3.6314584544996233E-2</v>
      </c>
      <c r="U7007" s="59">
        <f ca="1">Dashboard!D$8* Dashboard!$F$4+Dashboard!D$10*SQRT(Dashboard!$F$4) * _xlfn.NORM.S.INV(RAND())</f>
        <v>8.2143545780310037E-2</v>
      </c>
    </row>
    <row r="7008" spans="18:21" x14ac:dyDescent="0.2">
      <c r="R7008" s="49">
        <v>7006</v>
      </c>
      <c r="S7008" s="59">
        <f ca="1">Dashboard!B$8* Dashboard!$F$4+Dashboard!B$10*SQRT(Dashboard!$F$4) * _xlfn.NORM.S.INV(RAND())</f>
        <v>-1.8262296547111749E-2</v>
      </c>
      <c r="T7008" s="59">
        <f ca="1">Dashboard!C$8* Dashboard!$F$4+Dashboard!C$10*SQRT(Dashboard!$F$4) * _xlfn.NORM.S.INV(RAND())</f>
        <v>-4.4881572424998184E-2</v>
      </c>
      <c r="U7008" s="59">
        <f ca="1">Dashboard!D$8* Dashboard!$F$4+Dashboard!D$10*SQRT(Dashboard!$F$4) * _xlfn.NORM.S.INV(RAND())</f>
        <v>-2.4656451806477915E-2</v>
      </c>
    </row>
    <row r="7009" spans="18:21" x14ac:dyDescent="0.2">
      <c r="R7009" s="49">
        <v>7007</v>
      </c>
      <c r="S7009" s="59">
        <f ca="1">Dashboard!B$8* Dashboard!$F$4+Dashboard!B$10*SQRT(Dashboard!$F$4) * _xlfn.NORM.S.INV(RAND())</f>
        <v>1.4779021547157902E-3</v>
      </c>
      <c r="T7009" s="59">
        <f ca="1">Dashboard!C$8* Dashboard!$F$4+Dashboard!C$10*SQRT(Dashboard!$F$4) * _xlfn.NORM.S.INV(RAND())</f>
        <v>1.3537426018188348E-2</v>
      </c>
      <c r="U7009" s="59">
        <f ca="1">Dashboard!D$8* Dashboard!$F$4+Dashboard!D$10*SQRT(Dashboard!$F$4) * _xlfn.NORM.S.INV(RAND())</f>
        <v>-1.7817106422960256E-2</v>
      </c>
    </row>
    <row r="7010" spans="18:21" x14ac:dyDescent="0.2">
      <c r="R7010" s="49">
        <v>7008</v>
      </c>
      <c r="S7010" s="59">
        <f ca="1">Dashboard!B$8* Dashboard!$F$4+Dashboard!B$10*SQRT(Dashboard!$F$4) * _xlfn.NORM.S.INV(RAND())</f>
        <v>6.8359878844804489E-3</v>
      </c>
      <c r="T7010" s="59">
        <f ca="1">Dashboard!C$8* Dashboard!$F$4+Dashboard!C$10*SQRT(Dashboard!$F$4) * _xlfn.NORM.S.INV(RAND())</f>
        <v>-3.0219519250543118E-2</v>
      </c>
      <c r="U7010" s="59">
        <f ca="1">Dashboard!D$8* Dashboard!$F$4+Dashboard!D$10*SQRT(Dashboard!$F$4) * _xlfn.NORM.S.INV(RAND())</f>
        <v>-2.3921511018623064E-2</v>
      </c>
    </row>
    <row r="7011" spans="18:21" x14ac:dyDescent="0.2">
      <c r="R7011" s="49">
        <v>7009</v>
      </c>
      <c r="S7011" s="59">
        <f ca="1">Dashboard!B$8* Dashboard!$F$4+Dashboard!B$10*SQRT(Dashboard!$F$4) * _xlfn.NORM.S.INV(RAND())</f>
        <v>-2.0255618972357316E-2</v>
      </c>
      <c r="T7011" s="59">
        <f ca="1">Dashboard!C$8* Dashboard!$F$4+Dashboard!C$10*SQRT(Dashboard!$F$4) * _xlfn.NORM.S.INV(RAND())</f>
        <v>8.0238881568148405E-3</v>
      </c>
      <c r="U7011" s="59">
        <f ca="1">Dashboard!D$8* Dashboard!$F$4+Dashboard!D$10*SQRT(Dashboard!$F$4) * _xlfn.NORM.S.INV(RAND())</f>
        <v>4.1419355917677843E-3</v>
      </c>
    </row>
    <row r="7012" spans="18:21" x14ac:dyDescent="0.2">
      <c r="R7012" s="49">
        <v>7010</v>
      </c>
      <c r="S7012" s="59">
        <f ca="1">Dashboard!B$8* Dashboard!$F$4+Dashboard!B$10*SQRT(Dashboard!$F$4) * _xlfn.NORM.S.INV(RAND())</f>
        <v>-4.4641593467111322E-2</v>
      </c>
      <c r="T7012" s="59">
        <f ca="1">Dashboard!C$8* Dashboard!$F$4+Dashboard!C$10*SQRT(Dashboard!$F$4) * _xlfn.NORM.S.INV(RAND())</f>
        <v>1.2228992712176796E-2</v>
      </c>
      <c r="U7012" s="59">
        <f ca="1">Dashboard!D$8* Dashboard!$F$4+Dashboard!D$10*SQRT(Dashboard!$F$4) * _xlfn.NORM.S.INV(RAND())</f>
        <v>-2.6832714213842375E-3</v>
      </c>
    </row>
    <row r="7013" spans="18:21" x14ac:dyDescent="0.2">
      <c r="R7013" s="49">
        <v>7011</v>
      </c>
      <c r="S7013" s="59">
        <f ca="1">Dashboard!B$8* Dashboard!$F$4+Dashboard!B$10*SQRT(Dashboard!$F$4) * _xlfn.NORM.S.INV(RAND())</f>
        <v>-1.1195315747991709E-2</v>
      </c>
      <c r="T7013" s="59">
        <f ca="1">Dashboard!C$8* Dashboard!$F$4+Dashboard!C$10*SQRT(Dashboard!$F$4) * _xlfn.NORM.S.INV(RAND())</f>
        <v>2.9282657525357952E-4</v>
      </c>
      <c r="U7013" s="59">
        <f ca="1">Dashboard!D$8* Dashboard!$F$4+Dashboard!D$10*SQRT(Dashboard!$F$4) * _xlfn.NORM.S.INV(RAND())</f>
        <v>2.815260487258511E-2</v>
      </c>
    </row>
    <row r="7014" spans="18:21" x14ac:dyDescent="0.2">
      <c r="R7014" s="49">
        <v>7012</v>
      </c>
      <c r="S7014" s="59">
        <f ca="1">Dashboard!B$8* Dashboard!$F$4+Dashboard!B$10*SQRT(Dashboard!$F$4) * _xlfn.NORM.S.INV(RAND())</f>
        <v>5.9547419182233538E-2</v>
      </c>
      <c r="T7014" s="59">
        <f ca="1">Dashboard!C$8* Dashboard!$F$4+Dashboard!C$10*SQRT(Dashboard!$F$4) * _xlfn.NORM.S.INV(RAND())</f>
        <v>-2.0259545173446494E-2</v>
      </c>
      <c r="U7014" s="59">
        <f ca="1">Dashboard!D$8* Dashboard!$F$4+Dashboard!D$10*SQRT(Dashboard!$F$4) * _xlfn.NORM.S.INV(RAND())</f>
        <v>1.88460432145462E-2</v>
      </c>
    </row>
    <row r="7015" spans="18:21" x14ac:dyDescent="0.2">
      <c r="R7015" s="49">
        <v>7013</v>
      </c>
      <c r="S7015" s="59">
        <f ca="1">Dashboard!B$8* Dashboard!$F$4+Dashboard!B$10*SQRT(Dashboard!$F$4) * _xlfn.NORM.S.INV(RAND())</f>
        <v>-4.9504974243913785E-2</v>
      </c>
      <c r="T7015" s="59">
        <f ca="1">Dashboard!C$8* Dashboard!$F$4+Dashboard!C$10*SQRT(Dashboard!$F$4) * _xlfn.NORM.S.INV(RAND())</f>
        <v>7.2719998217268232E-3</v>
      </c>
      <c r="U7015" s="59">
        <f ca="1">Dashboard!D$8* Dashboard!$F$4+Dashboard!D$10*SQRT(Dashboard!$F$4) * _xlfn.NORM.S.INV(RAND())</f>
        <v>-3.7981655998455668E-2</v>
      </c>
    </row>
    <row r="7016" spans="18:21" x14ac:dyDescent="0.2">
      <c r="R7016" s="49">
        <v>7014</v>
      </c>
      <c r="S7016" s="59">
        <f ca="1">Dashboard!B$8* Dashboard!$F$4+Dashboard!B$10*SQRT(Dashboard!$F$4) * _xlfn.NORM.S.INV(RAND())</f>
        <v>-3.7800175321097275E-3</v>
      </c>
      <c r="T7016" s="59">
        <f ca="1">Dashboard!C$8* Dashboard!$F$4+Dashboard!C$10*SQRT(Dashboard!$F$4) * _xlfn.NORM.S.INV(RAND())</f>
        <v>1.9040061816159741E-2</v>
      </c>
      <c r="U7016" s="59">
        <f ca="1">Dashboard!D$8* Dashboard!$F$4+Dashboard!D$10*SQRT(Dashboard!$F$4) * _xlfn.NORM.S.INV(RAND())</f>
        <v>3.6171939370273028E-2</v>
      </c>
    </row>
    <row r="7017" spans="18:21" x14ac:dyDescent="0.2">
      <c r="R7017" s="49">
        <v>7015</v>
      </c>
      <c r="S7017" s="59">
        <f ca="1">Dashboard!B$8* Dashboard!$F$4+Dashboard!B$10*SQRT(Dashboard!$F$4) * _xlfn.NORM.S.INV(RAND())</f>
        <v>1.5448181967386149E-4</v>
      </c>
      <c r="T7017" s="59">
        <f ca="1">Dashboard!C$8* Dashboard!$F$4+Dashboard!C$10*SQRT(Dashboard!$F$4) * _xlfn.NORM.S.INV(RAND())</f>
        <v>-1.1424507718668375E-3</v>
      </c>
      <c r="U7017" s="59">
        <f ca="1">Dashboard!D$8* Dashboard!$F$4+Dashboard!D$10*SQRT(Dashboard!$F$4) * _xlfn.NORM.S.INV(RAND())</f>
        <v>-1.0227386085697352E-2</v>
      </c>
    </row>
    <row r="7018" spans="18:21" x14ac:dyDescent="0.2">
      <c r="R7018" s="49">
        <v>7016</v>
      </c>
      <c r="S7018" s="59">
        <f ca="1">Dashboard!B$8* Dashboard!$F$4+Dashboard!B$10*SQRT(Dashboard!$F$4) * _xlfn.NORM.S.INV(RAND())</f>
        <v>-7.486285342443208E-3</v>
      </c>
      <c r="T7018" s="59">
        <f ca="1">Dashboard!C$8* Dashboard!$F$4+Dashboard!C$10*SQRT(Dashboard!$F$4) * _xlfn.NORM.S.INV(RAND())</f>
        <v>4.424254322817564E-2</v>
      </c>
      <c r="U7018" s="59">
        <f ca="1">Dashboard!D$8* Dashboard!$F$4+Dashboard!D$10*SQRT(Dashboard!$F$4) * _xlfn.NORM.S.INV(RAND())</f>
        <v>-1.3625713075401684E-2</v>
      </c>
    </row>
    <row r="7019" spans="18:21" x14ac:dyDescent="0.2">
      <c r="R7019" s="49">
        <v>7017</v>
      </c>
      <c r="S7019" s="59">
        <f ca="1">Dashboard!B$8* Dashboard!$F$4+Dashboard!B$10*SQRT(Dashboard!$F$4) * _xlfn.NORM.S.INV(RAND())</f>
        <v>-1.7377179905896739E-2</v>
      </c>
      <c r="T7019" s="59">
        <f ca="1">Dashboard!C$8* Dashboard!$F$4+Dashboard!C$10*SQRT(Dashboard!$F$4) * _xlfn.NORM.S.INV(RAND())</f>
        <v>2.0765674896447928E-2</v>
      </c>
      <c r="U7019" s="59">
        <f ca="1">Dashboard!D$8* Dashboard!$F$4+Dashboard!D$10*SQRT(Dashboard!$F$4) * _xlfn.NORM.S.INV(RAND())</f>
        <v>4.0200528951262818E-2</v>
      </c>
    </row>
    <row r="7020" spans="18:21" x14ac:dyDescent="0.2">
      <c r="R7020" s="49">
        <v>7018</v>
      </c>
      <c r="S7020" s="59">
        <f ca="1">Dashboard!B$8* Dashboard!$F$4+Dashboard!B$10*SQRT(Dashboard!$F$4) * _xlfn.NORM.S.INV(RAND())</f>
        <v>2.2721151905695916E-2</v>
      </c>
      <c r="T7020" s="59">
        <f ca="1">Dashboard!C$8* Dashboard!$F$4+Dashboard!C$10*SQRT(Dashboard!$F$4) * _xlfn.NORM.S.INV(RAND())</f>
        <v>2.8982365122389567E-2</v>
      </c>
      <c r="U7020" s="59">
        <f ca="1">Dashboard!D$8* Dashboard!$F$4+Dashboard!D$10*SQRT(Dashboard!$F$4) * _xlfn.NORM.S.INV(RAND())</f>
        <v>5.0578519781391627E-2</v>
      </c>
    </row>
    <row r="7021" spans="18:21" x14ac:dyDescent="0.2">
      <c r="R7021" s="49">
        <v>7019</v>
      </c>
      <c r="S7021" s="59">
        <f ca="1">Dashboard!B$8* Dashboard!$F$4+Dashboard!B$10*SQRT(Dashboard!$F$4) * _xlfn.NORM.S.INV(RAND())</f>
        <v>-9.2706195582442953E-3</v>
      </c>
      <c r="T7021" s="59">
        <f ca="1">Dashboard!C$8* Dashboard!$F$4+Dashboard!C$10*SQRT(Dashboard!$F$4) * _xlfn.NORM.S.INV(RAND())</f>
        <v>-2.5366935432652563E-2</v>
      </c>
      <c r="U7021" s="59">
        <f ca="1">Dashboard!D$8* Dashboard!$F$4+Dashboard!D$10*SQRT(Dashboard!$F$4) * _xlfn.NORM.S.INV(RAND())</f>
        <v>4.3025233840300062E-2</v>
      </c>
    </row>
    <row r="7022" spans="18:21" x14ac:dyDescent="0.2">
      <c r="R7022" s="49">
        <v>7020</v>
      </c>
      <c r="S7022" s="59">
        <f ca="1">Dashboard!B$8* Dashboard!$F$4+Dashboard!B$10*SQRT(Dashboard!$F$4) * _xlfn.NORM.S.INV(RAND())</f>
        <v>-8.6023270223082315E-3</v>
      </c>
      <c r="T7022" s="59">
        <f ca="1">Dashboard!C$8* Dashboard!$F$4+Dashboard!C$10*SQRT(Dashboard!$F$4) * _xlfn.NORM.S.INV(RAND())</f>
        <v>-1.3892995451007528E-2</v>
      </c>
      <c r="U7022" s="59">
        <f ca="1">Dashboard!D$8* Dashboard!$F$4+Dashboard!D$10*SQRT(Dashboard!$F$4) * _xlfn.NORM.S.INV(RAND())</f>
        <v>7.7053008921373345E-3</v>
      </c>
    </row>
    <row r="7023" spans="18:21" x14ac:dyDescent="0.2">
      <c r="R7023" s="49">
        <v>7021</v>
      </c>
      <c r="S7023" s="59">
        <f ca="1">Dashboard!B$8* Dashboard!$F$4+Dashboard!B$10*SQRT(Dashboard!$F$4) * _xlfn.NORM.S.INV(RAND())</f>
        <v>-3.4765963566951081E-3</v>
      </c>
      <c r="T7023" s="59">
        <f ca="1">Dashboard!C$8* Dashboard!$F$4+Dashboard!C$10*SQRT(Dashboard!$F$4) * _xlfn.NORM.S.INV(RAND())</f>
        <v>2.5120590995563515E-2</v>
      </c>
      <c r="U7023" s="59">
        <f ca="1">Dashboard!D$8* Dashboard!$F$4+Dashboard!D$10*SQRT(Dashboard!$F$4) * _xlfn.NORM.S.INV(RAND())</f>
        <v>-1.5329032084461826E-2</v>
      </c>
    </row>
    <row r="7024" spans="18:21" x14ac:dyDescent="0.2">
      <c r="R7024" s="49">
        <v>7022</v>
      </c>
      <c r="S7024" s="59">
        <f ca="1">Dashboard!B$8* Dashboard!$F$4+Dashboard!B$10*SQRT(Dashboard!$F$4) * _xlfn.NORM.S.INV(RAND())</f>
        <v>-3.6365716618562492E-2</v>
      </c>
      <c r="T7024" s="59">
        <f ca="1">Dashboard!C$8* Dashboard!$F$4+Dashboard!C$10*SQRT(Dashboard!$F$4) * _xlfn.NORM.S.INV(RAND())</f>
        <v>4.9399951337262115E-3</v>
      </c>
      <c r="U7024" s="59">
        <f ca="1">Dashboard!D$8* Dashboard!$F$4+Dashboard!D$10*SQRT(Dashboard!$F$4) * _xlfn.NORM.S.INV(RAND())</f>
        <v>3.2110324745111829E-2</v>
      </c>
    </row>
    <row r="7025" spans="18:21" x14ac:dyDescent="0.2">
      <c r="R7025" s="49">
        <v>7023</v>
      </c>
      <c r="S7025" s="59">
        <f ca="1">Dashboard!B$8* Dashboard!$F$4+Dashboard!B$10*SQRT(Dashboard!$F$4) * _xlfn.NORM.S.INV(RAND())</f>
        <v>-5.3950437236213011E-2</v>
      </c>
      <c r="T7025" s="59">
        <f ca="1">Dashboard!C$8* Dashboard!$F$4+Dashboard!C$10*SQRT(Dashboard!$F$4) * _xlfn.NORM.S.INV(RAND())</f>
        <v>-8.4160619563763209E-3</v>
      </c>
      <c r="U7025" s="59">
        <f ca="1">Dashboard!D$8* Dashboard!$F$4+Dashboard!D$10*SQRT(Dashboard!$F$4) * _xlfn.NORM.S.INV(RAND())</f>
        <v>-3.622307018359551E-2</v>
      </c>
    </row>
    <row r="7026" spans="18:21" x14ac:dyDescent="0.2">
      <c r="R7026" s="49">
        <v>7024</v>
      </c>
      <c r="S7026" s="59">
        <f ca="1">Dashboard!B$8* Dashboard!$F$4+Dashboard!B$10*SQRT(Dashboard!$F$4) * _xlfn.NORM.S.INV(RAND())</f>
        <v>8.9178056607878767E-3</v>
      </c>
      <c r="T7026" s="59">
        <f ca="1">Dashboard!C$8* Dashboard!$F$4+Dashboard!C$10*SQRT(Dashboard!$F$4) * _xlfn.NORM.S.INV(RAND())</f>
        <v>-2.7638300998543173E-2</v>
      </c>
      <c r="U7026" s="59">
        <f ca="1">Dashboard!D$8* Dashboard!$F$4+Dashboard!D$10*SQRT(Dashboard!$F$4) * _xlfn.NORM.S.INV(RAND())</f>
        <v>1.1286670011756119E-2</v>
      </c>
    </row>
    <row r="7027" spans="18:21" x14ac:dyDescent="0.2">
      <c r="R7027" s="49">
        <v>7025</v>
      </c>
      <c r="S7027" s="59">
        <f ca="1">Dashboard!B$8* Dashboard!$F$4+Dashboard!B$10*SQRT(Dashboard!$F$4) * _xlfn.NORM.S.INV(RAND())</f>
        <v>4.2835847177821219E-3</v>
      </c>
      <c r="T7027" s="59">
        <f ca="1">Dashboard!C$8* Dashboard!$F$4+Dashboard!C$10*SQRT(Dashboard!$F$4) * _xlfn.NORM.S.INV(RAND())</f>
        <v>4.9454468954326807E-2</v>
      </c>
      <c r="U7027" s="59">
        <f ca="1">Dashboard!D$8* Dashboard!$F$4+Dashboard!D$10*SQRT(Dashboard!$F$4) * _xlfn.NORM.S.INV(RAND())</f>
        <v>-3.3760959596031246E-4</v>
      </c>
    </row>
    <row r="7028" spans="18:21" x14ac:dyDescent="0.2">
      <c r="R7028" s="49">
        <v>7026</v>
      </c>
      <c r="S7028" s="59">
        <f ca="1">Dashboard!B$8* Dashboard!$F$4+Dashboard!B$10*SQRT(Dashboard!$F$4) * _xlfn.NORM.S.INV(RAND())</f>
        <v>3.0417911819812203E-3</v>
      </c>
      <c r="T7028" s="59">
        <f ca="1">Dashboard!C$8* Dashboard!$F$4+Dashboard!C$10*SQRT(Dashboard!$F$4) * _xlfn.NORM.S.INV(RAND())</f>
        <v>-6.5962523845385776E-3</v>
      </c>
      <c r="U7028" s="59">
        <f ca="1">Dashboard!D$8* Dashboard!$F$4+Dashboard!D$10*SQRT(Dashboard!$F$4) * _xlfn.NORM.S.INV(RAND())</f>
        <v>-4.4841176180773525E-2</v>
      </c>
    </row>
    <row r="7029" spans="18:21" x14ac:dyDescent="0.2">
      <c r="R7029" s="49">
        <v>7027</v>
      </c>
      <c r="S7029" s="59">
        <f ca="1">Dashboard!B$8* Dashboard!$F$4+Dashboard!B$10*SQRT(Dashboard!$F$4) * _xlfn.NORM.S.INV(RAND())</f>
        <v>1.2612270590444655E-2</v>
      </c>
      <c r="T7029" s="59">
        <f ca="1">Dashboard!C$8* Dashboard!$F$4+Dashboard!C$10*SQRT(Dashboard!$F$4) * _xlfn.NORM.S.INV(RAND())</f>
        <v>4.8013398697913635E-2</v>
      </c>
      <c r="U7029" s="59">
        <f ca="1">Dashboard!D$8* Dashboard!$F$4+Dashboard!D$10*SQRT(Dashboard!$F$4) * _xlfn.NORM.S.INV(RAND())</f>
        <v>-2.1427506122614876E-2</v>
      </c>
    </row>
    <row r="7030" spans="18:21" x14ac:dyDescent="0.2">
      <c r="R7030" s="49">
        <v>7028</v>
      </c>
      <c r="S7030" s="59">
        <f ca="1">Dashboard!B$8* Dashboard!$F$4+Dashboard!B$10*SQRT(Dashboard!$F$4) * _xlfn.NORM.S.INV(RAND())</f>
        <v>-2.9059658256953863E-2</v>
      </c>
      <c r="T7030" s="59">
        <f ca="1">Dashboard!C$8* Dashboard!$F$4+Dashboard!C$10*SQRT(Dashboard!$F$4) * _xlfn.NORM.S.INV(RAND())</f>
        <v>4.3443483804651364E-2</v>
      </c>
      <c r="U7030" s="59">
        <f ca="1">Dashboard!D$8* Dashboard!$F$4+Dashboard!D$10*SQRT(Dashboard!$F$4) * _xlfn.NORM.S.INV(RAND())</f>
        <v>-7.5792413323844912E-2</v>
      </c>
    </row>
    <row r="7031" spans="18:21" x14ac:dyDescent="0.2">
      <c r="R7031" s="49">
        <v>7029</v>
      </c>
      <c r="S7031" s="59">
        <f ca="1">Dashboard!B$8* Dashboard!$F$4+Dashboard!B$10*SQRT(Dashboard!$F$4) * _xlfn.NORM.S.INV(RAND())</f>
        <v>3.7109951526482943E-2</v>
      </c>
      <c r="T7031" s="59">
        <f ca="1">Dashboard!C$8* Dashboard!$F$4+Dashboard!C$10*SQRT(Dashboard!$F$4) * _xlfn.NORM.S.INV(RAND())</f>
        <v>-3.4069906258743871E-2</v>
      </c>
      <c r="U7031" s="59">
        <f ca="1">Dashboard!D$8* Dashboard!$F$4+Dashboard!D$10*SQRT(Dashboard!$F$4) * _xlfn.NORM.S.INV(RAND())</f>
        <v>4.1158737594255715E-2</v>
      </c>
    </row>
    <row r="7032" spans="18:21" x14ac:dyDescent="0.2">
      <c r="R7032" s="49">
        <v>7030</v>
      </c>
      <c r="S7032" s="59">
        <f ca="1">Dashboard!B$8* Dashboard!$F$4+Dashboard!B$10*SQRT(Dashboard!$F$4) * _xlfn.NORM.S.INV(RAND())</f>
        <v>-3.615880023351023E-2</v>
      </c>
      <c r="T7032" s="59">
        <f ca="1">Dashboard!C$8* Dashboard!$F$4+Dashboard!C$10*SQRT(Dashboard!$F$4) * _xlfn.NORM.S.INV(RAND())</f>
        <v>6.2725548360597752E-2</v>
      </c>
      <c r="U7032" s="59">
        <f ca="1">Dashboard!D$8* Dashboard!$F$4+Dashboard!D$10*SQRT(Dashboard!$F$4) * _xlfn.NORM.S.INV(RAND())</f>
        <v>-3.3056594722686225E-2</v>
      </c>
    </row>
    <row r="7033" spans="18:21" x14ac:dyDescent="0.2">
      <c r="R7033" s="49">
        <v>7031</v>
      </c>
      <c r="S7033" s="59">
        <f ca="1">Dashboard!B$8* Dashboard!$F$4+Dashboard!B$10*SQRT(Dashboard!$F$4) * _xlfn.NORM.S.INV(RAND())</f>
        <v>6.2631119535236923E-3</v>
      </c>
      <c r="T7033" s="59">
        <f ca="1">Dashboard!C$8* Dashboard!$F$4+Dashboard!C$10*SQRT(Dashboard!$F$4) * _xlfn.NORM.S.INV(RAND())</f>
        <v>1.336635922410899E-2</v>
      </c>
      <c r="U7033" s="59">
        <f ca="1">Dashboard!D$8* Dashboard!$F$4+Dashboard!D$10*SQRT(Dashboard!$F$4) * _xlfn.NORM.S.INV(RAND())</f>
        <v>1.0102376638675381E-2</v>
      </c>
    </row>
    <row r="7034" spans="18:21" x14ac:dyDescent="0.2">
      <c r="R7034" s="49">
        <v>7032</v>
      </c>
      <c r="S7034" s="59">
        <f ca="1">Dashboard!B$8* Dashboard!$F$4+Dashboard!B$10*SQRT(Dashboard!$F$4) * _xlfn.NORM.S.INV(RAND())</f>
        <v>-1.9804610492137687E-3</v>
      </c>
      <c r="T7034" s="59">
        <f ca="1">Dashboard!C$8* Dashboard!$F$4+Dashboard!C$10*SQRT(Dashboard!$F$4) * _xlfn.NORM.S.INV(RAND())</f>
        <v>3.1525178910171231E-2</v>
      </c>
      <c r="U7034" s="59">
        <f ca="1">Dashboard!D$8* Dashboard!$F$4+Dashboard!D$10*SQRT(Dashboard!$F$4) * _xlfn.NORM.S.INV(RAND())</f>
        <v>-1.9055786833805946E-2</v>
      </c>
    </row>
    <row r="7035" spans="18:21" x14ac:dyDescent="0.2">
      <c r="R7035" s="49">
        <v>7033</v>
      </c>
      <c r="S7035" s="59">
        <f ca="1">Dashboard!B$8* Dashboard!$F$4+Dashboard!B$10*SQRT(Dashboard!$F$4) * _xlfn.NORM.S.INV(RAND())</f>
        <v>-1.0637877947355632E-2</v>
      </c>
      <c r="T7035" s="59">
        <f ca="1">Dashboard!C$8* Dashboard!$F$4+Dashboard!C$10*SQRT(Dashboard!$F$4) * _xlfn.NORM.S.INV(RAND())</f>
        <v>4.7928392687031619E-2</v>
      </c>
      <c r="U7035" s="59">
        <f ca="1">Dashboard!D$8* Dashboard!$F$4+Dashboard!D$10*SQRT(Dashboard!$F$4) * _xlfn.NORM.S.INV(RAND())</f>
        <v>1.9285417723631681E-2</v>
      </c>
    </row>
    <row r="7036" spans="18:21" x14ac:dyDescent="0.2">
      <c r="R7036" s="49">
        <v>7034</v>
      </c>
      <c r="S7036" s="59">
        <f ca="1">Dashboard!B$8* Dashboard!$F$4+Dashboard!B$10*SQRT(Dashboard!$F$4) * _xlfn.NORM.S.INV(RAND())</f>
        <v>-2.2856212723213164E-2</v>
      </c>
      <c r="T7036" s="59">
        <f ca="1">Dashboard!C$8* Dashboard!$F$4+Dashboard!C$10*SQRT(Dashboard!$F$4) * _xlfn.NORM.S.INV(RAND())</f>
        <v>2.0414550818052598E-2</v>
      </c>
      <c r="U7036" s="59">
        <f ca="1">Dashboard!D$8* Dashboard!$F$4+Dashboard!D$10*SQRT(Dashboard!$F$4) * _xlfn.NORM.S.INV(RAND())</f>
        <v>-3.8780704794097627E-3</v>
      </c>
    </row>
    <row r="7037" spans="18:21" x14ac:dyDescent="0.2">
      <c r="R7037" s="49">
        <v>7035</v>
      </c>
      <c r="S7037" s="59">
        <f ca="1">Dashboard!B$8* Dashboard!$F$4+Dashboard!B$10*SQRT(Dashboard!$F$4) * _xlfn.NORM.S.INV(RAND())</f>
        <v>-3.777105224471549E-2</v>
      </c>
      <c r="T7037" s="59">
        <f ca="1">Dashboard!C$8* Dashboard!$F$4+Dashboard!C$10*SQRT(Dashboard!$F$4) * _xlfn.NORM.S.INV(RAND())</f>
        <v>-1.4486015395777886E-3</v>
      </c>
      <c r="U7037" s="59">
        <f ca="1">Dashboard!D$8* Dashboard!$F$4+Dashboard!D$10*SQRT(Dashboard!$F$4) * _xlfn.NORM.S.INV(RAND())</f>
        <v>1.1665062672504736E-2</v>
      </c>
    </row>
    <row r="7038" spans="18:21" x14ac:dyDescent="0.2">
      <c r="R7038" s="49">
        <v>7036</v>
      </c>
      <c r="S7038" s="59">
        <f ca="1">Dashboard!B$8* Dashboard!$F$4+Dashboard!B$10*SQRT(Dashboard!$F$4) * _xlfn.NORM.S.INV(RAND())</f>
        <v>-2.0397905715013338E-3</v>
      </c>
      <c r="T7038" s="59">
        <f ca="1">Dashboard!C$8* Dashboard!$F$4+Dashboard!C$10*SQRT(Dashboard!$F$4) * _xlfn.NORM.S.INV(RAND())</f>
        <v>8.233574050081004E-3</v>
      </c>
      <c r="U7038" s="59">
        <f ca="1">Dashboard!D$8* Dashboard!$F$4+Dashboard!D$10*SQRT(Dashboard!$F$4) * _xlfn.NORM.S.INV(RAND())</f>
        <v>-2.6994463252842816E-2</v>
      </c>
    </row>
    <row r="7039" spans="18:21" x14ac:dyDescent="0.2">
      <c r="R7039" s="49">
        <v>7037</v>
      </c>
      <c r="S7039" s="59">
        <f ca="1">Dashboard!B$8* Dashboard!$F$4+Dashboard!B$10*SQRT(Dashboard!$F$4) * _xlfn.NORM.S.INV(RAND())</f>
        <v>4.8764510800122791E-2</v>
      </c>
      <c r="T7039" s="59">
        <f ca="1">Dashboard!C$8* Dashboard!$F$4+Dashboard!C$10*SQRT(Dashboard!$F$4) * _xlfn.NORM.S.INV(RAND())</f>
        <v>4.9857139436372995E-2</v>
      </c>
      <c r="U7039" s="59">
        <f ca="1">Dashboard!D$8* Dashboard!$F$4+Dashboard!D$10*SQRT(Dashboard!$F$4) * _xlfn.NORM.S.INV(RAND())</f>
        <v>2.0654004354875497E-2</v>
      </c>
    </row>
    <row r="7040" spans="18:21" x14ac:dyDescent="0.2">
      <c r="R7040" s="49">
        <v>7038</v>
      </c>
      <c r="S7040" s="59">
        <f ca="1">Dashboard!B$8* Dashboard!$F$4+Dashboard!B$10*SQRT(Dashboard!$F$4) * _xlfn.NORM.S.INV(RAND())</f>
        <v>1.3833752519239911E-2</v>
      </c>
      <c r="T7040" s="59">
        <f ca="1">Dashboard!C$8* Dashboard!$F$4+Dashboard!C$10*SQRT(Dashboard!$F$4) * _xlfn.NORM.S.INV(RAND())</f>
        <v>-7.6604227149776735E-3</v>
      </c>
      <c r="U7040" s="59">
        <f ca="1">Dashboard!D$8* Dashboard!$F$4+Dashboard!D$10*SQRT(Dashboard!$F$4) * _xlfn.NORM.S.INV(RAND())</f>
        <v>-1.6624786544337515E-2</v>
      </c>
    </row>
    <row r="7041" spans="18:21" x14ac:dyDescent="0.2">
      <c r="R7041" s="49">
        <v>7039</v>
      </c>
      <c r="S7041" s="59">
        <f ca="1">Dashboard!B$8* Dashboard!$F$4+Dashboard!B$10*SQRT(Dashboard!$F$4) * _xlfn.NORM.S.INV(RAND())</f>
        <v>2.3092394868836498E-2</v>
      </c>
      <c r="T7041" s="59">
        <f ca="1">Dashboard!C$8* Dashboard!$F$4+Dashboard!C$10*SQRT(Dashboard!$F$4) * _xlfn.NORM.S.INV(RAND())</f>
        <v>1.0503198287735833E-2</v>
      </c>
      <c r="U7041" s="59">
        <f ca="1">Dashboard!D$8* Dashboard!$F$4+Dashboard!D$10*SQRT(Dashboard!$F$4) * _xlfn.NORM.S.INV(RAND())</f>
        <v>-8.9261254611942096E-3</v>
      </c>
    </row>
    <row r="7042" spans="18:21" x14ac:dyDescent="0.2">
      <c r="R7042" s="49">
        <v>7040</v>
      </c>
      <c r="S7042" s="59">
        <f ca="1">Dashboard!B$8* Dashboard!$F$4+Dashboard!B$10*SQRT(Dashboard!$F$4) * _xlfn.NORM.S.INV(RAND())</f>
        <v>4.5806165404023089E-4</v>
      </c>
      <c r="T7042" s="59">
        <f ca="1">Dashboard!C$8* Dashboard!$F$4+Dashboard!C$10*SQRT(Dashboard!$F$4) * _xlfn.NORM.S.INV(RAND())</f>
        <v>-2.3055152613597696E-2</v>
      </c>
      <c r="U7042" s="59">
        <f ca="1">Dashboard!D$8* Dashboard!$F$4+Dashboard!D$10*SQRT(Dashboard!$F$4) * _xlfn.NORM.S.INV(RAND())</f>
        <v>-1.6938820339672544E-2</v>
      </c>
    </row>
    <row r="7043" spans="18:21" x14ac:dyDescent="0.2">
      <c r="R7043" s="49">
        <v>7041</v>
      </c>
      <c r="S7043" s="59">
        <f ca="1">Dashboard!B$8* Dashboard!$F$4+Dashboard!B$10*SQRT(Dashboard!$F$4) * _xlfn.NORM.S.INV(RAND())</f>
        <v>5.301689390054129E-2</v>
      </c>
      <c r="T7043" s="59">
        <f ca="1">Dashboard!C$8* Dashboard!$F$4+Dashboard!C$10*SQRT(Dashboard!$F$4) * _xlfn.NORM.S.INV(RAND())</f>
        <v>-2.9931432787795413E-4</v>
      </c>
      <c r="U7043" s="59">
        <f ca="1">Dashboard!D$8* Dashboard!$F$4+Dashboard!D$10*SQRT(Dashboard!$F$4) * _xlfn.NORM.S.INV(RAND())</f>
        <v>-2.4522297547313797E-2</v>
      </c>
    </row>
    <row r="7044" spans="18:21" x14ac:dyDescent="0.2">
      <c r="R7044" s="49">
        <v>7042</v>
      </c>
      <c r="S7044" s="59">
        <f ca="1">Dashboard!B$8* Dashboard!$F$4+Dashboard!B$10*SQRT(Dashboard!$F$4) * _xlfn.NORM.S.INV(RAND())</f>
        <v>2.6782038123555993E-2</v>
      </c>
      <c r="T7044" s="59">
        <f ca="1">Dashboard!C$8* Dashboard!$F$4+Dashboard!C$10*SQRT(Dashboard!$F$4) * _xlfn.NORM.S.INV(RAND())</f>
        <v>4.3239358431557101E-2</v>
      </c>
      <c r="U7044" s="59">
        <f ca="1">Dashboard!D$8* Dashboard!$F$4+Dashboard!D$10*SQRT(Dashboard!$F$4) * _xlfn.NORM.S.INV(RAND())</f>
        <v>1.559604369776992E-2</v>
      </c>
    </row>
    <row r="7045" spans="18:21" x14ac:dyDescent="0.2">
      <c r="R7045" s="49">
        <v>7043</v>
      </c>
      <c r="S7045" s="59">
        <f ca="1">Dashboard!B$8* Dashboard!$F$4+Dashboard!B$10*SQRT(Dashboard!$F$4) * _xlfn.NORM.S.INV(RAND())</f>
        <v>-3.6749352751048799E-2</v>
      </c>
      <c r="T7045" s="59">
        <f ca="1">Dashboard!C$8* Dashboard!$F$4+Dashboard!C$10*SQRT(Dashboard!$F$4) * _xlfn.NORM.S.INV(RAND())</f>
        <v>-1.9326028541968247E-2</v>
      </c>
      <c r="U7045" s="59">
        <f ca="1">Dashboard!D$8* Dashboard!$F$4+Dashboard!D$10*SQRT(Dashboard!$F$4) * _xlfn.NORM.S.INV(RAND())</f>
        <v>-3.255841499684004E-3</v>
      </c>
    </row>
    <row r="7046" spans="18:21" x14ac:dyDescent="0.2">
      <c r="R7046" s="49">
        <v>7044</v>
      </c>
      <c r="S7046" s="59">
        <f ca="1">Dashboard!B$8* Dashboard!$F$4+Dashboard!B$10*SQRT(Dashboard!$F$4) * _xlfn.NORM.S.INV(RAND())</f>
        <v>-2.9842895872960726E-2</v>
      </c>
      <c r="T7046" s="59">
        <f ca="1">Dashboard!C$8* Dashboard!$F$4+Dashboard!C$10*SQRT(Dashboard!$F$4) * _xlfn.NORM.S.INV(RAND())</f>
        <v>1.0349265321095334E-2</v>
      </c>
      <c r="U7046" s="59">
        <f ca="1">Dashboard!D$8* Dashboard!$F$4+Dashboard!D$10*SQRT(Dashboard!$F$4) * _xlfn.NORM.S.INV(RAND())</f>
        <v>3.6907417963012695E-2</v>
      </c>
    </row>
    <row r="7047" spans="18:21" x14ac:dyDescent="0.2">
      <c r="R7047" s="49">
        <v>7045</v>
      </c>
      <c r="S7047" s="59">
        <f ca="1">Dashboard!B$8* Dashboard!$F$4+Dashboard!B$10*SQRT(Dashboard!$F$4) * _xlfn.NORM.S.INV(RAND())</f>
        <v>-1.4675417997934164E-2</v>
      </c>
      <c r="T7047" s="59">
        <f ca="1">Dashboard!C$8* Dashboard!$F$4+Dashboard!C$10*SQRT(Dashboard!$F$4) * _xlfn.NORM.S.INV(RAND())</f>
        <v>-1.8727751309277101E-2</v>
      </c>
      <c r="U7047" s="59">
        <f ca="1">Dashboard!D$8* Dashboard!$F$4+Dashboard!D$10*SQRT(Dashboard!$F$4) * _xlfn.NORM.S.INV(RAND())</f>
        <v>2.7060743182866012E-2</v>
      </c>
    </row>
    <row r="7048" spans="18:21" x14ac:dyDescent="0.2">
      <c r="R7048" s="49">
        <v>7046</v>
      </c>
      <c r="S7048" s="59">
        <f ca="1">Dashboard!B$8* Dashboard!$F$4+Dashboard!B$10*SQRT(Dashboard!$F$4) * _xlfn.NORM.S.INV(RAND())</f>
        <v>-1.967264761448765E-2</v>
      </c>
      <c r="T7048" s="59">
        <f ca="1">Dashboard!C$8* Dashboard!$F$4+Dashboard!C$10*SQRT(Dashboard!$F$4) * _xlfn.NORM.S.INV(RAND())</f>
        <v>1.4314035361734277E-2</v>
      </c>
      <c r="U7048" s="59">
        <f ca="1">Dashboard!D$8* Dashboard!$F$4+Dashboard!D$10*SQRT(Dashboard!$F$4) * _xlfn.NORM.S.INV(RAND())</f>
        <v>-2.9224518061167496E-2</v>
      </c>
    </row>
    <row r="7049" spans="18:21" x14ac:dyDescent="0.2">
      <c r="R7049" s="49">
        <v>7047</v>
      </c>
      <c r="S7049" s="59">
        <f ca="1">Dashboard!B$8* Dashboard!$F$4+Dashboard!B$10*SQRT(Dashboard!$F$4) * _xlfn.NORM.S.INV(RAND())</f>
        <v>-3.3497987868287345E-2</v>
      </c>
      <c r="T7049" s="59">
        <f ca="1">Dashboard!C$8* Dashboard!$F$4+Dashboard!C$10*SQRT(Dashboard!$F$4) * _xlfn.NORM.S.INV(RAND())</f>
        <v>4.774311807539694E-2</v>
      </c>
      <c r="U7049" s="59">
        <f ca="1">Dashboard!D$8* Dashboard!$F$4+Dashboard!D$10*SQRT(Dashboard!$F$4) * _xlfn.NORM.S.INV(RAND())</f>
        <v>2.4152147534011854E-2</v>
      </c>
    </row>
    <row r="7050" spans="18:21" x14ac:dyDescent="0.2">
      <c r="R7050" s="49">
        <v>7048</v>
      </c>
      <c r="S7050" s="59">
        <f ca="1">Dashboard!B$8* Dashboard!$F$4+Dashboard!B$10*SQRT(Dashboard!$F$4) * _xlfn.NORM.S.INV(RAND())</f>
        <v>-1.5413280131758742E-3</v>
      </c>
      <c r="T7050" s="59">
        <f ca="1">Dashboard!C$8* Dashboard!$F$4+Dashboard!C$10*SQRT(Dashboard!$F$4) * _xlfn.NORM.S.INV(RAND())</f>
        <v>7.3701505065663295E-2</v>
      </c>
      <c r="U7050" s="59">
        <f ca="1">Dashboard!D$8* Dashboard!$F$4+Dashboard!D$10*SQRT(Dashboard!$F$4) * _xlfn.NORM.S.INV(RAND())</f>
        <v>3.461927000434478E-3</v>
      </c>
    </row>
    <row r="7051" spans="18:21" x14ac:dyDescent="0.2">
      <c r="R7051" s="49">
        <v>7049</v>
      </c>
      <c r="S7051" s="59">
        <f ca="1">Dashboard!B$8* Dashboard!$F$4+Dashboard!B$10*SQRT(Dashboard!$F$4) * _xlfn.NORM.S.INV(RAND())</f>
        <v>2.8584545300497713E-2</v>
      </c>
      <c r="T7051" s="59">
        <f ca="1">Dashboard!C$8* Dashboard!$F$4+Dashboard!C$10*SQRT(Dashboard!$F$4) * _xlfn.NORM.S.INV(RAND())</f>
        <v>-3.2710526986831676E-2</v>
      </c>
      <c r="U7051" s="59">
        <f ca="1">Dashboard!D$8* Dashboard!$F$4+Dashboard!D$10*SQRT(Dashboard!$F$4) * _xlfn.NORM.S.INV(RAND())</f>
        <v>4.6184139564789319E-2</v>
      </c>
    </row>
    <row r="7052" spans="18:21" x14ac:dyDescent="0.2">
      <c r="R7052" s="49">
        <v>7050</v>
      </c>
      <c r="S7052" s="59">
        <f ca="1">Dashboard!B$8* Dashboard!$F$4+Dashboard!B$10*SQRT(Dashboard!$F$4) * _xlfn.NORM.S.INV(RAND())</f>
        <v>-7.9946934446302673E-2</v>
      </c>
      <c r="T7052" s="59">
        <f ca="1">Dashboard!C$8* Dashboard!$F$4+Dashboard!C$10*SQRT(Dashboard!$F$4) * _xlfn.NORM.S.INV(RAND())</f>
        <v>-3.6308536602219922E-2</v>
      </c>
      <c r="U7052" s="59">
        <f ca="1">Dashboard!D$8* Dashboard!$F$4+Dashboard!D$10*SQRT(Dashboard!$F$4) * _xlfn.NORM.S.INV(RAND())</f>
        <v>-3.0178626360985214E-2</v>
      </c>
    </row>
    <row r="7053" spans="18:21" x14ac:dyDescent="0.2">
      <c r="R7053" s="49">
        <v>7051</v>
      </c>
      <c r="S7053" s="59">
        <f ca="1">Dashboard!B$8* Dashboard!$F$4+Dashboard!B$10*SQRT(Dashboard!$F$4) * _xlfn.NORM.S.INV(RAND())</f>
        <v>-3.7696155231352349E-2</v>
      </c>
      <c r="T7053" s="59">
        <f ca="1">Dashboard!C$8* Dashboard!$F$4+Dashboard!C$10*SQRT(Dashboard!$F$4) * _xlfn.NORM.S.INV(RAND())</f>
        <v>-2.8095305805583143E-4</v>
      </c>
      <c r="U7053" s="59">
        <f ca="1">Dashboard!D$8* Dashboard!$F$4+Dashboard!D$10*SQRT(Dashboard!$F$4) * _xlfn.NORM.S.INV(RAND())</f>
        <v>-3.9598009266852722E-3</v>
      </c>
    </row>
    <row r="7054" spans="18:21" x14ac:dyDescent="0.2">
      <c r="R7054" s="49">
        <v>7052</v>
      </c>
      <c r="S7054" s="59">
        <f ca="1">Dashboard!B$8* Dashboard!$F$4+Dashboard!B$10*SQRT(Dashboard!$F$4) * _xlfn.NORM.S.INV(RAND())</f>
        <v>1.1297122863047982E-2</v>
      </c>
      <c r="T7054" s="59">
        <f ca="1">Dashboard!C$8* Dashboard!$F$4+Dashboard!C$10*SQRT(Dashboard!$F$4) * _xlfn.NORM.S.INV(RAND())</f>
        <v>-3.5220626303572228E-2</v>
      </c>
      <c r="U7054" s="59">
        <f ca="1">Dashboard!D$8* Dashboard!$F$4+Dashboard!D$10*SQRT(Dashboard!$F$4) * _xlfn.NORM.S.INV(RAND())</f>
        <v>-2.266699756741046E-2</v>
      </c>
    </row>
    <row r="7055" spans="18:21" x14ac:dyDescent="0.2">
      <c r="R7055" s="49">
        <v>7053</v>
      </c>
      <c r="S7055" s="59">
        <f ca="1">Dashboard!B$8* Dashboard!$F$4+Dashboard!B$10*SQRT(Dashboard!$F$4) * _xlfn.NORM.S.INV(RAND())</f>
        <v>4.3237092757384535E-2</v>
      </c>
      <c r="T7055" s="59">
        <f ca="1">Dashboard!C$8* Dashboard!$F$4+Dashboard!C$10*SQRT(Dashboard!$F$4) * _xlfn.NORM.S.INV(RAND())</f>
        <v>9.0122659208520146E-3</v>
      </c>
      <c r="U7055" s="59">
        <f ca="1">Dashboard!D$8* Dashboard!$F$4+Dashboard!D$10*SQRT(Dashboard!$F$4) * _xlfn.NORM.S.INV(RAND())</f>
        <v>-4.1488305175688356E-2</v>
      </c>
    </row>
    <row r="7056" spans="18:21" x14ac:dyDescent="0.2">
      <c r="R7056" s="49">
        <v>7054</v>
      </c>
      <c r="S7056" s="59">
        <f ca="1">Dashboard!B$8* Dashboard!$F$4+Dashboard!B$10*SQRT(Dashboard!$F$4) * _xlfn.NORM.S.INV(RAND())</f>
        <v>2.0227551587965339E-2</v>
      </c>
      <c r="T7056" s="59">
        <f ca="1">Dashboard!C$8* Dashboard!$F$4+Dashboard!C$10*SQRT(Dashboard!$F$4) * _xlfn.NORM.S.INV(RAND())</f>
        <v>6.0136884906850999E-2</v>
      </c>
      <c r="U7056" s="59">
        <f ca="1">Dashboard!D$8* Dashboard!$F$4+Dashboard!D$10*SQRT(Dashboard!$F$4) * _xlfn.NORM.S.INV(RAND())</f>
        <v>4.3801220775812097E-2</v>
      </c>
    </row>
    <row r="7057" spans="18:21" x14ac:dyDescent="0.2">
      <c r="R7057" s="49">
        <v>7055</v>
      </c>
      <c r="S7057" s="59">
        <f ca="1">Dashboard!B$8* Dashboard!$F$4+Dashboard!B$10*SQRT(Dashboard!$F$4) * _xlfn.NORM.S.INV(RAND())</f>
        <v>-4.4627294959251926E-2</v>
      </c>
      <c r="T7057" s="59">
        <f ca="1">Dashboard!C$8* Dashboard!$F$4+Dashboard!C$10*SQRT(Dashboard!$F$4) * _xlfn.NORM.S.INV(RAND())</f>
        <v>1.1988727661327509E-2</v>
      </c>
      <c r="U7057" s="59">
        <f ca="1">Dashboard!D$8* Dashboard!$F$4+Dashboard!D$10*SQRT(Dashboard!$F$4) * _xlfn.NORM.S.INV(RAND())</f>
        <v>1.2896098621732551E-2</v>
      </c>
    </row>
    <row r="7058" spans="18:21" x14ac:dyDescent="0.2">
      <c r="R7058" s="49">
        <v>7056</v>
      </c>
      <c r="S7058" s="59">
        <f ca="1">Dashboard!B$8* Dashboard!$F$4+Dashboard!B$10*SQRT(Dashboard!$F$4) * _xlfn.NORM.S.INV(RAND())</f>
        <v>-2.2565980243337523E-2</v>
      </c>
      <c r="T7058" s="59">
        <f ca="1">Dashboard!C$8* Dashboard!$F$4+Dashboard!C$10*SQRT(Dashboard!$F$4) * _xlfn.NORM.S.INV(RAND())</f>
        <v>2.4832600495300438E-3</v>
      </c>
      <c r="U7058" s="59">
        <f ca="1">Dashboard!D$8* Dashboard!$F$4+Dashboard!D$10*SQRT(Dashboard!$F$4) * _xlfn.NORM.S.INV(RAND())</f>
        <v>-2.7760142413979879E-4</v>
      </c>
    </row>
    <row r="7059" spans="18:21" x14ac:dyDescent="0.2">
      <c r="R7059" s="49">
        <v>7057</v>
      </c>
      <c r="S7059" s="59">
        <f ca="1">Dashboard!B$8* Dashboard!$F$4+Dashboard!B$10*SQRT(Dashboard!$F$4) * _xlfn.NORM.S.INV(RAND())</f>
        <v>-2.5854883913832227E-2</v>
      </c>
      <c r="T7059" s="59">
        <f ca="1">Dashboard!C$8* Dashboard!$F$4+Dashboard!C$10*SQRT(Dashboard!$F$4) * _xlfn.NORM.S.INV(RAND())</f>
        <v>-4.5080293784742688E-2</v>
      </c>
      <c r="U7059" s="59">
        <f ca="1">Dashboard!D$8* Dashboard!$F$4+Dashboard!D$10*SQRT(Dashboard!$F$4) * _xlfn.NORM.S.INV(RAND())</f>
        <v>-5.7038744438379717E-2</v>
      </c>
    </row>
    <row r="7060" spans="18:21" x14ac:dyDescent="0.2">
      <c r="R7060" s="49">
        <v>7058</v>
      </c>
      <c r="S7060" s="59">
        <f ca="1">Dashboard!B$8* Dashboard!$F$4+Dashboard!B$10*SQRT(Dashboard!$F$4) * _xlfn.NORM.S.INV(RAND())</f>
        <v>-7.4902191051887806E-5</v>
      </c>
      <c r="T7060" s="59">
        <f ca="1">Dashboard!C$8* Dashboard!$F$4+Dashboard!C$10*SQRT(Dashboard!$F$4) * _xlfn.NORM.S.INV(RAND())</f>
        <v>-1.3413359891797684E-2</v>
      </c>
      <c r="U7060" s="59">
        <f ca="1">Dashboard!D$8* Dashboard!$F$4+Dashboard!D$10*SQRT(Dashboard!$F$4) * _xlfn.NORM.S.INV(RAND())</f>
        <v>-1.5950811998172443E-2</v>
      </c>
    </row>
    <row r="7061" spans="18:21" x14ac:dyDescent="0.2">
      <c r="R7061" s="49">
        <v>7059</v>
      </c>
      <c r="S7061" s="59">
        <f ca="1">Dashboard!B$8* Dashboard!$F$4+Dashboard!B$10*SQRT(Dashboard!$F$4) * _xlfn.NORM.S.INV(RAND())</f>
        <v>-1.9040035229262842E-2</v>
      </c>
      <c r="T7061" s="59">
        <f ca="1">Dashboard!C$8* Dashboard!$F$4+Dashboard!C$10*SQRT(Dashboard!$F$4) * _xlfn.NORM.S.INV(RAND())</f>
        <v>-2.6028623691670156E-3</v>
      </c>
      <c r="U7061" s="59">
        <f ca="1">Dashboard!D$8* Dashboard!$F$4+Dashboard!D$10*SQRT(Dashboard!$F$4) * _xlfn.NORM.S.INV(RAND())</f>
        <v>2.7166484479572355E-2</v>
      </c>
    </row>
    <row r="7062" spans="18:21" x14ac:dyDescent="0.2">
      <c r="R7062" s="49">
        <v>7060</v>
      </c>
      <c r="S7062" s="59">
        <f ca="1">Dashboard!B$8* Dashboard!$F$4+Dashboard!B$10*SQRT(Dashboard!$F$4) * _xlfn.NORM.S.INV(RAND())</f>
        <v>-1.4257423113138852E-2</v>
      </c>
      <c r="T7062" s="59">
        <f ca="1">Dashboard!C$8* Dashboard!$F$4+Dashboard!C$10*SQRT(Dashboard!$F$4) * _xlfn.NORM.S.INV(RAND())</f>
        <v>-2.0695218159844295E-2</v>
      </c>
      <c r="U7062" s="59">
        <f ca="1">Dashboard!D$8* Dashboard!$F$4+Dashboard!D$10*SQRT(Dashboard!$F$4) * _xlfn.NORM.S.INV(RAND())</f>
        <v>-1.9703471297200431E-2</v>
      </c>
    </row>
    <row r="7063" spans="18:21" x14ac:dyDescent="0.2">
      <c r="R7063" s="49">
        <v>7061</v>
      </c>
      <c r="S7063" s="59">
        <f ca="1">Dashboard!B$8* Dashboard!$F$4+Dashboard!B$10*SQRT(Dashboard!$F$4) * _xlfn.NORM.S.INV(RAND())</f>
        <v>1.7038074211820041E-3</v>
      </c>
      <c r="T7063" s="59">
        <f ca="1">Dashboard!C$8* Dashboard!$F$4+Dashboard!C$10*SQRT(Dashboard!$F$4) * _xlfn.NORM.S.INV(RAND())</f>
        <v>7.2950714405580061E-4</v>
      </c>
      <c r="U7063" s="59">
        <f ca="1">Dashboard!D$8* Dashboard!$F$4+Dashboard!D$10*SQRT(Dashboard!$F$4) * _xlfn.NORM.S.INV(RAND())</f>
        <v>4.0978451170040661E-2</v>
      </c>
    </row>
    <row r="7064" spans="18:21" x14ac:dyDescent="0.2">
      <c r="R7064" s="49">
        <v>7062</v>
      </c>
      <c r="S7064" s="59">
        <f ca="1">Dashboard!B$8* Dashboard!$F$4+Dashboard!B$10*SQRT(Dashboard!$F$4) * _xlfn.NORM.S.INV(RAND())</f>
        <v>-5.5871102684452029E-2</v>
      </c>
      <c r="T7064" s="59">
        <f ca="1">Dashboard!C$8* Dashboard!$F$4+Dashboard!C$10*SQRT(Dashboard!$F$4) * _xlfn.NORM.S.INV(RAND())</f>
        <v>-3.5062799424904818E-2</v>
      </c>
      <c r="U7064" s="59">
        <f ca="1">Dashboard!D$8* Dashboard!$F$4+Dashboard!D$10*SQRT(Dashboard!$F$4) * _xlfn.NORM.S.INV(RAND())</f>
        <v>2.1401866479176166E-2</v>
      </c>
    </row>
    <row r="7065" spans="18:21" x14ac:dyDescent="0.2">
      <c r="R7065" s="49">
        <v>7063</v>
      </c>
      <c r="S7065" s="59">
        <f ca="1">Dashboard!B$8* Dashboard!$F$4+Dashboard!B$10*SQRT(Dashboard!$F$4) * _xlfn.NORM.S.INV(RAND())</f>
        <v>3.3073053006940287E-2</v>
      </c>
      <c r="T7065" s="59">
        <f ca="1">Dashboard!C$8* Dashboard!$F$4+Dashboard!C$10*SQRT(Dashboard!$F$4) * _xlfn.NORM.S.INV(RAND())</f>
        <v>-4.4685748466720921E-3</v>
      </c>
      <c r="U7065" s="59">
        <f ca="1">Dashboard!D$8* Dashboard!$F$4+Dashboard!D$10*SQRT(Dashboard!$F$4) * _xlfn.NORM.S.INV(RAND())</f>
        <v>-5.6752446541041236E-3</v>
      </c>
    </row>
    <row r="7066" spans="18:21" x14ac:dyDescent="0.2">
      <c r="R7066" s="49">
        <v>7064</v>
      </c>
      <c r="S7066" s="59">
        <f ca="1">Dashboard!B$8* Dashboard!$F$4+Dashboard!B$10*SQRT(Dashboard!$F$4) * _xlfn.NORM.S.INV(RAND())</f>
        <v>9.4969538763815756E-3</v>
      </c>
      <c r="T7066" s="59">
        <f ca="1">Dashboard!C$8* Dashboard!$F$4+Dashboard!C$10*SQRT(Dashboard!$F$4) * _xlfn.NORM.S.INV(RAND())</f>
        <v>-3.1709410102029212E-2</v>
      </c>
      <c r="U7066" s="59">
        <f ca="1">Dashboard!D$8* Dashboard!$F$4+Dashboard!D$10*SQRT(Dashboard!$F$4) * _xlfn.NORM.S.INV(RAND())</f>
        <v>-5.291771417268E-2</v>
      </c>
    </row>
    <row r="7067" spans="18:21" x14ac:dyDescent="0.2">
      <c r="R7067" s="49">
        <v>7065</v>
      </c>
      <c r="S7067" s="59">
        <f ca="1">Dashboard!B$8* Dashboard!$F$4+Dashboard!B$10*SQRT(Dashboard!$F$4) * _xlfn.NORM.S.INV(RAND())</f>
        <v>-7.574297866476537E-2</v>
      </c>
      <c r="T7067" s="59">
        <f ca="1">Dashboard!C$8* Dashboard!$F$4+Dashboard!C$10*SQRT(Dashboard!$F$4) * _xlfn.NORM.S.INV(RAND())</f>
        <v>-1.4873278613698696E-2</v>
      </c>
      <c r="U7067" s="59">
        <f ca="1">Dashboard!D$8* Dashboard!$F$4+Dashboard!D$10*SQRT(Dashboard!$F$4) * _xlfn.NORM.S.INV(RAND())</f>
        <v>-1.676424159221071E-2</v>
      </c>
    </row>
    <row r="7068" spans="18:21" x14ac:dyDescent="0.2">
      <c r="R7068" s="49">
        <v>7066</v>
      </c>
      <c r="S7068" s="59">
        <f ca="1">Dashboard!B$8* Dashboard!$F$4+Dashboard!B$10*SQRT(Dashboard!$F$4) * _xlfn.NORM.S.INV(RAND())</f>
        <v>9.1065510276796116E-2</v>
      </c>
      <c r="T7068" s="59">
        <f ca="1">Dashboard!C$8* Dashboard!$F$4+Dashboard!C$10*SQRT(Dashboard!$F$4) * _xlfn.NORM.S.INV(RAND())</f>
        <v>3.4541838194817563E-3</v>
      </c>
      <c r="U7068" s="59">
        <f ca="1">Dashboard!D$8* Dashboard!$F$4+Dashboard!D$10*SQRT(Dashboard!$F$4) * _xlfn.NORM.S.INV(RAND())</f>
        <v>-9.000519196966307E-2</v>
      </c>
    </row>
    <row r="7069" spans="18:21" x14ac:dyDescent="0.2">
      <c r="R7069" s="49">
        <v>7067</v>
      </c>
      <c r="S7069" s="59">
        <f ca="1">Dashboard!B$8* Dashboard!$F$4+Dashboard!B$10*SQRT(Dashboard!$F$4) * _xlfn.NORM.S.INV(RAND())</f>
        <v>-3.4338231070836438E-2</v>
      </c>
      <c r="T7069" s="59">
        <f ca="1">Dashboard!C$8* Dashboard!$F$4+Dashboard!C$10*SQRT(Dashboard!$F$4) * _xlfn.NORM.S.INV(RAND())</f>
        <v>-3.0530081774723942E-2</v>
      </c>
      <c r="U7069" s="59">
        <f ca="1">Dashboard!D$8* Dashboard!$F$4+Dashboard!D$10*SQRT(Dashboard!$F$4) * _xlfn.NORM.S.INV(RAND())</f>
        <v>2.123091062910404E-3</v>
      </c>
    </row>
    <row r="7070" spans="18:21" x14ac:dyDescent="0.2">
      <c r="R7070" s="49">
        <v>7068</v>
      </c>
      <c r="S7070" s="59">
        <f ca="1">Dashboard!B$8* Dashboard!$F$4+Dashboard!B$10*SQRT(Dashboard!$F$4) * _xlfn.NORM.S.INV(RAND())</f>
        <v>-1.4788303215482444E-2</v>
      </c>
      <c r="T7070" s="59">
        <f ca="1">Dashboard!C$8* Dashboard!$F$4+Dashboard!C$10*SQRT(Dashboard!$F$4) * _xlfn.NORM.S.INV(RAND())</f>
        <v>-1.1950541099946574E-2</v>
      </c>
      <c r="U7070" s="59">
        <f ca="1">Dashboard!D$8* Dashboard!$F$4+Dashboard!D$10*SQRT(Dashboard!$F$4) * _xlfn.NORM.S.INV(RAND())</f>
        <v>2.3255934753265303E-2</v>
      </c>
    </row>
    <row r="7071" spans="18:21" x14ac:dyDescent="0.2">
      <c r="R7071" s="49">
        <v>7069</v>
      </c>
      <c r="S7071" s="59">
        <f ca="1">Dashboard!B$8* Dashboard!$F$4+Dashboard!B$10*SQRT(Dashboard!$F$4) * _xlfn.NORM.S.INV(RAND())</f>
        <v>2.4347164972979535E-2</v>
      </c>
      <c r="T7071" s="59">
        <f ca="1">Dashboard!C$8* Dashboard!$F$4+Dashboard!C$10*SQRT(Dashboard!$F$4) * _xlfn.NORM.S.INV(RAND())</f>
        <v>1.4158081181546784E-2</v>
      </c>
      <c r="U7071" s="59">
        <f ca="1">Dashboard!D$8* Dashboard!$F$4+Dashboard!D$10*SQRT(Dashboard!$F$4) * _xlfn.NORM.S.INV(RAND())</f>
        <v>8.2758378433814717E-3</v>
      </c>
    </row>
    <row r="7072" spans="18:21" x14ac:dyDescent="0.2">
      <c r="R7072" s="49">
        <v>7070</v>
      </c>
      <c r="S7072" s="59">
        <f ca="1">Dashboard!B$8* Dashboard!$F$4+Dashboard!B$10*SQRT(Dashboard!$F$4) * _xlfn.NORM.S.INV(RAND())</f>
        <v>-2.5692468458378588E-2</v>
      </c>
      <c r="T7072" s="59">
        <f ca="1">Dashboard!C$8* Dashboard!$F$4+Dashboard!C$10*SQRT(Dashboard!$F$4) * _xlfn.NORM.S.INV(RAND())</f>
        <v>4.5446769591842871E-2</v>
      </c>
      <c r="U7072" s="59">
        <f ca="1">Dashboard!D$8* Dashboard!$F$4+Dashboard!D$10*SQRT(Dashboard!$F$4) * _xlfn.NORM.S.INV(RAND())</f>
        <v>3.075181845484996E-3</v>
      </c>
    </row>
    <row r="7073" spans="18:21" x14ac:dyDescent="0.2">
      <c r="R7073" s="49">
        <v>7071</v>
      </c>
      <c r="S7073" s="59">
        <f ca="1">Dashboard!B$8* Dashboard!$F$4+Dashboard!B$10*SQRT(Dashboard!$F$4) * _xlfn.NORM.S.INV(RAND())</f>
        <v>-2.7707441256056842E-3</v>
      </c>
      <c r="T7073" s="59">
        <f ca="1">Dashboard!C$8* Dashboard!$F$4+Dashboard!C$10*SQRT(Dashboard!$F$4) * _xlfn.NORM.S.INV(RAND())</f>
        <v>-2.1539709556442188E-2</v>
      </c>
      <c r="U7073" s="59">
        <f ca="1">Dashboard!D$8* Dashboard!$F$4+Dashboard!D$10*SQRT(Dashboard!$F$4) * _xlfn.NORM.S.INV(RAND())</f>
        <v>-2.2722972833072345E-2</v>
      </c>
    </row>
    <row r="7074" spans="18:21" x14ac:dyDescent="0.2">
      <c r="R7074" s="49">
        <v>7072</v>
      </c>
      <c r="S7074" s="59">
        <f ca="1">Dashboard!B$8* Dashboard!$F$4+Dashboard!B$10*SQRT(Dashboard!$F$4) * _xlfn.NORM.S.INV(RAND())</f>
        <v>1.7724912114840945E-2</v>
      </c>
      <c r="T7074" s="59">
        <f ca="1">Dashboard!C$8* Dashboard!$F$4+Dashboard!C$10*SQRT(Dashboard!$F$4) * _xlfn.NORM.S.INV(RAND())</f>
        <v>-3.3741277268079101E-2</v>
      </c>
      <c r="U7074" s="59">
        <f ca="1">Dashboard!D$8* Dashboard!$F$4+Dashboard!D$10*SQRT(Dashboard!$F$4) * _xlfn.NORM.S.INV(RAND())</f>
        <v>-4.6091504012746504E-2</v>
      </c>
    </row>
    <row r="7075" spans="18:21" x14ac:dyDescent="0.2">
      <c r="R7075" s="49">
        <v>7073</v>
      </c>
      <c r="S7075" s="59">
        <f ca="1">Dashboard!B$8* Dashboard!$F$4+Dashboard!B$10*SQRT(Dashboard!$F$4) * _xlfn.NORM.S.INV(RAND())</f>
        <v>-8.725232226042743E-3</v>
      </c>
      <c r="T7075" s="59">
        <f ca="1">Dashboard!C$8* Dashboard!$F$4+Dashboard!C$10*SQRT(Dashboard!$F$4) * _xlfn.NORM.S.INV(RAND())</f>
        <v>1.8142580846121976E-2</v>
      </c>
      <c r="U7075" s="59">
        <f ca="1">Dashboard!D$8* Dashboard!$F$4+Dashboard!D$10*SQRT(Dashboard!$F$4) * _xlfn.NORM.S.INV(RAND())</f>
        <v>-5.7504886004632397E-4</v>
      </c>
    </row>
    <row r="7076" spans="18:21" x14ac:dyDescent="0.2">
      <c r="R7076" s="49">
        <v>7074</v>
      </c>
      <c r="S7076" s="59">
        <f ca="1">Dashboard!B$8* Dashboard!$F$4+Dashboard!B$10*SQRT(Dashboard!$F$4) * _xlfn.NORM.S.INV(RAND())</f>
        <v>-3.4637364966215695E-2</v>
      </c>
      <c r="T7076" s="59">
        <f ca="1">Dashboard!C$8* Dashboard!$F$4+Dashboard!C$10*SQRT(Dashboard!$F$4) * _xlfn.NORM.S.INV(RAND())</f>
        <v>1.3871149424093086E-4</v>
      </c>
      <c r="U7076" s="59">
        <f ca="1">Dashboard!D$8* Dashboard!$F$4+Dashboard!D$10*SQRT(Dashboard!$F$4) * _xlfn.NORM.S.INV(RAND())</f>
        <v>-1.9196739534208383E-2</v>
      </c>
    </row>
    <row r="7077" spans="18:21" x14ac:dyDescent="0.2">
      <c r="R7077" s="49">
        <v>7075</v>
      </c>
      <c r="S7077" s="59">
        <f ca="1">Dashboard!B$8* Dashboard!$F$4+Dashboard!B$10*SQRT(Dashboard!$F$4) * _xlfn.NORM.S.INV(RAND())</f>
        <v>1.1687905952499784E-2</v>
      </c>
      <c r="T7077" s="59">
        <f ca="1">Dashboard!C$8* Dashboard!$F$4+Dashboard!C$10*SQRT(Dashboard!$F$4) * _xlfn.NORM.S.INV(RAND())</f>
        <v>2.7685395216809155E-2</v>
      </c>
      <c r="U7077" s="59">
        <f ca="1">Dashboard!D$8* Dashboard!$F$4+Dashboard!D$10*SQRT(Dashboard!$F$4) * _xlfn.NORM.S.INV(RAND())</f>
        <v>7.6668332748208085E-2</v>
      </c>
    </row>
    <row r="7078" spans="18:21" x14ac:dyDescent="0.2">
      <c r="R7078" s="49">
        <v>7076</v>
      </c>
      <c r="S7078" s="59">
        <f ca="1">Dashboard!B$8* Dashboard!$F$4+Dashboard!B$10*SQRT(Dashboard!$F$4) * _xlfn.NORM.S.INV(RAND())</f>
        <v>-1.3893793055237297E-2</v>
      </c>
      <c r="T7078" s="59">
        <f ca="1">Dashboard!C$8* Dashboard!$F$4+Dashboard!C$10*SQRT(Dashboard!$F$4) * _xlfn.NORM.S.INV(RAND())</f>
        <v>-1.2861066032812909E-2</v>
      </c>
      <c r="U7078" s="59">
        <f ca="1">Dashboard!D$8* Dashboard!$F$4+Dashboard!D$10*SQRT(Dashboard!$F$4) * _xlfn.NORM.S.INV(RAND())</f>
        <v>6.1753741120319276E-2</v>
      </c>
    </row>
    <row r="7079" spans="18:21" x14ac:dyDescent="0.2">
      <c r="R7079" s="49">
        <v>7077</v>
      </c>
      <c r="S7079" s="59">
        <f ca="1">Dashboard!B$8* Dashboard!$F$4+Dashboard!B$10*SQRT(Dashboard!$F$4) * _xlfn.NORM.S.INV(RAND())</f>
        <v>-1.9549966258567787E-2</v>
      </c>
      <c r="T7079" s="59">
        <f ca="1">Dashboard!C$8* Dashboard!$F$4+Dashboard!C$10*SQRT(Dashboard!$F$4) * _xlfn.NORM.S.INV(RAND())</f>
        <v>5.1356592895829403E-2</v>
      </c>
      <c r="U7079" s="59">
        <f ca="1">Dashboard!D$8* Dashboard!$F$4+Dashboard!D$10*SQRT(Dashboard!$F$4) * _xlfn.NORM.S.INV(RAND())</f>
        <v>3.4590690984034805E-2</v>
      </c>
    </row>
    <row r="7080" spans="18:21" x14ac:dyDescent="0.2">
      <c r="R7080" s="49">
        <v>7078</v>
      </c>
      <c r="S7080" s="59">
        <f ca="1">Dashboard!B$8* Dashboard!$F$4+Dashboard!B$10*SQRT(Dashboard!$F$4) * _xlfn.NORM.S.INV(RAND())</f>
        <v>1.039473954838754E-2</v>
      </c>
      <c r="T7080" s="59">
        <f ca="1">Dashboard!C$8* Dashboard!$F$4+Dashboard!C$10*SQRT(Dashboard!$F$4) * _xlfn.NORM.S.INV(RAND())</f>
        <v>-2.7309812284592481E-2</v>
      </c>
      <c r="U7080" s="59">
        <f ca="1">Dashboard!D$8* Dashboard!$F$4+Dashboard!D$10*SQRT(Dashboard!$F$4) * _xlfn.NORM.S.INV(RAND())</f>
        <v>-1.3862671699062032E-2</v>
      </c>
    </row>
    <row r="7081" spans="18:21" x14ac:dyDescent="0.2">
      <c r="R7081" s="49">
        <v>7079</v>
      </c>
      <c r="S7081" s="59">
        <f ca="1">Dashboard!B$8* Dashboard!$F$4+Dashboard!B$10*SQRT(Dashboard!$F$4) * _xlfn.NORM.S.INV(RAND())</f>
        <v>-3.3521293238044675E-2</v>
      </c>
      <c r="T7081" s="59">
        <f ca="1">Dashboard!C$8* Dashboard!$F$4+Dashboard!C$10*SQRT(Dashboard!$F$4) * _xlfn.NORM.S.INV(RAND())</f>
        <v>-6.3595069474922444E-3</v>
      </c>
      <c r="U7081" s="59">
        <f ca="1">Dashboard!D$8* Dashboard!$F$4+Dashboard!D$10*SQRT(Dashboard!$F$4) * _xlfn.NORM.S.INV(RAND())</f>
        <v>-3.1399953893421199E-2</v>
      </c>
    </row>
    <row r="7082" spans="18:21" x14ac:dyDescent="0.2">
      <c r="R7082" s="49">
        <v>7080</v>
      </c>
      <c r="S7082" s="59">
        <f ca="1">Dashboard!B$8* Dashboard!$F$4+Dashboard!B$10*SQRT(Dashboard!$F$4) * _xlfn.NORM.S.INV(RAND())</f>
        <v>2.0316210913478003E-2</v>
      </c>
      <c r="T7082" s="59">
        <f ca="1">Dashboard!C$8* Dashboard!$F$4+Dashboard!C$10*SQRT(Dashboard!$F$4) * _xlfn.NORM.S.INV(RAND())</f>
        <v>-1.2615106030449626E-2</v>
      </c>
      <c r="U7082" s="59">
        <f ca="1">Dashboard!D$8* Dashboard!$F$4+Dashboard!D$10*SQRT(Dashboard!$F$4) * _xlfn.NORM.S.INV(RAND())</f>
        <v>2.2704224748904638E-2</v>
      </c>
    </row>
    <row r="7083" spans="18:21" x14ac:dyDescent="0.2">
      <c r="R7083" s="49">
        <v>7081</v>
      </c>
      <c r="S7083" s="59">
        <f ca="1">Dashboard!B$8* Dashboard!$F$4+Dashboard!B$10*SQRT(Dashboard!$F$4) * _xlfn.NORM.S.INV(RAND())</f>
        <v>5.0119740221226318E-2</v>
      </c>
      <c r="T7083" s="59">
        <f ca="1">Dashboard!C$8* Dashboard!$F$4+Dashboard!C$10*SQRT(Dashboard!$F$4) * _xlfn.NORM.S.INV(RAND())</f>
        <v>5.7046323990627874E-2</v>
      </c>
      <c r="U7083" s="59">
        <f ca="1">Dashboard!D$8* Dashboard!$F$4+Dashboard!D$10*SQRT(Dashboard!$F$4) * _xlfn.NORM.S.INV(RAND())</f>
        <v>1.614171669805501E-2</v>
      </c>
    </row>
    <row r="7084" spans="18:21" x14ac:dyDescent="0.2">
      <c r="R7084" s="49">
        <v>7082</v>
      </c>
      <c r="S7084" s="59">
        <f ca="1">Dashboard!B$8* Dashboard!$F$4+Dashboard!B$10*SQRT(Dashboard!$F$4) * _xlfn.NORM.S.INV(RAND())</f>
        <v>1.7571652872352614E-2</v>
      </c>
      <c r="T7084" s="59">
        <f ca="1">Dashboard!C$8* Dashboard!$F$4+Dashboard!C$10*SQRT(Dashboard!$F$4) * _xlfn.NORM.S.INV(RAND())</f>
        <v>1.0660847751973892E-2</v>
      </c>
      <c r="U7084" s="59">
        <f ca="1">Dashboard!D$8* Dashboard!$F$4+Dashboard!D$10*SQRT(Dashboard!$F$4) * _xlfn.NORM.S.INV(RAND())</f>
        <v>-2.2347830236800346E-2</v>
      </c>
    </row>
    <row r="7085" spans="18:21" x14ac:dyDescent="0.2">
      <c r="R7085" s="49">
        <v>7083</v>
      </c>
      <c r="S7085" s="59">
        <f ca="1">Dashboard!B$8* Dashboard!$F$4+Dashboard!B$10*SQRT(Dashboard!$F$4) * _xlfn.NORM.S.INV(RAND())</f>
        <v>1.9988913170501084E-3</v>
      </c>
      <c r="T7085" s="59">
        <f ca="1">Dashboard!C$8* Dashboard!$F$4+Dashboard!C$10*SQRT(Dashboard!$F$4) * _xlfn.NORM.S.INV(RAND())</f>
        <v>4.821595597537405E-2</v>
      </c>
      <c r="U7085" s="59">
        <f ca="1">Dashboard!D$8* Dashboard!$F$4+Dashboard!D$10*SQRT(Dashboard!$F$4) * _xlfn.NORM.S.INV(RAND())</f>
        <v>-2.3180100490901016E-2</v>
      </c>
    </row>
    <row r="7086" spans="18:21" x14ac:dyDescent="0.2">
      <c r="R7086" s="49">
        <v>7084</v>
      </c>
      <c r="S7086" s="59">
        <f ca="1">Dashboard!B$8* Dashboard!$F$4+Dashboard!B$10*SQRT(Dashboard!$F$4) * _xlfn.NORM.S.INV(RAND())</f>
        <v>-5.5120367075438437E-2</v>
      </c>
      <c r="T7086" s="59">
        <f ca="1">Dashboard!C$8* Dashboard!$F$4+Dashboard!C$10*SQRT(Dashboard!$F$4) * _xlfn.NORM.S.INV(RAND())</f>
        <v>2.9617265276920181E-2</v>
      </c>
      <c r="U7086" s="59">
        <f ca="1">Dashboard!D$8* Dashboard!$F$4+Dashboard!D$10*SQRT(Dashboard!$F$4) * _xlfn.NORM.S.INV(RAND())</f>
        <v>4.7606515165544414E-2</v>
      </c>
    </row>
    <row r="7087" spans="18:21" x14ac:dyDescent="0.2">
      <c r="R7087" s="49">
        <v>7085</v>
      </c>
      <c r="S7087" s="59">
        <f ca="1">Dashboard!B$8* Dashboard!$F$4+Dashboard!B$10*SQRT(Dashboard!$F$4) * _xlfn.NORM.S.INV(RAND())</f>
        <v>3.3325168831084877E-2</v>
      </c>
      <c r="T7087" s="59">
        <f ca="1">Dashboard!C$8* Dashboard!$F$4+Dashboard!C$10*SQRT(Dashboard!$F$4) * _xlfn.NORM.S.INV(RAND())</f>
        <v>6.031471468804224E-2</v>
      </c>
      <c r="U7087" s="59">
        <f ca="1">Dashboard!D$8* Dashboard!$F$4+Dashboard!D$10*SQRT(Dashboard!$F$4) * _xlfn.NORM.S.INV(RAND())</f>
        <v>6.142927400263988E-2</v>
      </c>
    </row>
    <row r="7088" spans="18:21" x14ac:dyDescent="0.2">
      <c r="R7088" s="49">
        <v>7086</v>
      </c>
      <c r="S7088" s="59">
        <f ca="1">Dashboard!B$8* Dashboard!$F$4+Dashboard!B$10*SQRT(Dashboard!$F$4) * _xlfn.NORM.S.INV(RAND())</f>
        <v>-1.6812906223864473E-3</v>
      </c>
      <c r="T7088" s="59">
        <f ca="1">Dashboard!C$8* Dashboard!$F$4+Dashboard!C$10*SQRT(Dashboard!$F$4) * _xlfn.NORM.S.INV(RAND())</f>
        <v>3.0791048473743692E-2</v>
      </c>
      <c r="U7088" s="59">
        <f ca="1">Dashboard!D$8* Dashboard!$F$4+Dashboard!D$10*SQRT(Dashboard!$F$4) * _xlfn.NORM.S.INV(RAND())</f>
        <v>3.9854432768008714E-2</v>
      </c>
    </row>
    <row r="7089" spans="18:21" x14ac:dyDescent="0.2">
      <c r="R7089" s="49">
        <v>7087</v>
      </c>
      <c r="S7089" s="59">
        <f ca="1">Dashboard!B$8* Dashboard!$F$4+Dashboard!B$10*SQRT(Dashboard!$F$4) * _xlfn.NORM.S.INV(RAND())</f>
        <v>-1.9107926456480379E-2</v>
      </c>
      <c r="T7089" s="59">
        <f ca="1">Dashboard!C$8* Dashboard!$F$4+Dashboard!C$10*SQRT(Dashboard!$F$4) * _xlfn.NORM.S.INV(RAND())</f>
        <v>5.5547475115003776E-2</v>
      </c>
      <c r="U7089" s="59">
        <f ca="1">Dashboard!D$8* Dashboard!$F$4+Dashboard!D$10*SQRT(Dashboard!$F$4) * _xlfn.NORM.S.INV(RAND())</f>
        <v>-8.2048662373812912E-4</v>
      </c>
    </row>
    <row r="7090" spans="18:21" x14ac:dyDescent="0.2">
      <c r="R7090" s="49">
        <v>7088</v>
      </c>
      <c r="S7090" s="59">
        <f ca="1">Dashboard!B$8* Dashboard!$F$4+Dashboard!B$10*SQRT(Dashboard!$F$4) * _xlfn.NORM.S.INV(RAND())</f>
        <v>-4.2835916595607322E-5</v>
      </c>
      <c r="T7090" s="59">
        <f ca="1">Dashboard!C$8* Dashboard!$F$4+Dashboard!C$10*SQRT(Dashboard!$F$4) * _xlfn.NORM.S.INV(RAND())</f>
        <v>-4.050291438290219E-2</v>
      </c>
      <c r="U7090" s="59">
        <f ca="1">Dashboard!D$8* Dashboard!$F$4+Dashboard!D$10*SQRT(Dashboard!$F$4) * _xlfn.NORM.S.INV(RAND())</f>
        <v>-2.3665265282059054E-2</v>
      </c>
    </row>
    <row r="7091" spans="18:21" x14ac:dyDescent="0.2">
      <c r="R7091" s="49">
        <v>7089</v>
      </c>
      <c r="S7091" s="59">
        <f ca="1">Dashboard!B$8* Dashboard!$F$4+Dashboard!B$10*SQRT(Dashboard!$F$4) * _xlfn.NORM.S.INV(RAND())</f>
        <v>6.554870234192163E-3</v>
      </c>
      <c r="T7091" s="59">
        <f ca="1">Dashboard!C$8* Dashboard!$F$4+Dashboard!C$10*SQRT(Dashboard!$F$4) * _xlfn.NORM.S.INV(RAND())</f>
        <v>3.0255264306030663E-2</v>
      </c>
      <c r="U7091" s="59">
        <f ca="1">Dashboard!D$8* Dashboard!$F$4+Dashboard!D$10*SQRT(Dashboard!$F$4) * _xlfn.NORM.S.INV(RAND())</f>
        <v>-1.0079174531428975E-2</v>
      </c>
    </row>
    <row r="7092" spans="18:21" x14ac:dyDescent="0.2">
      <c r="R7092" s="49">
        <v>7090</v>
      </c>
      <c r="S7092" s="59">
        <f ca="1">Dashboard!B$8* Dashboard!$F$4+Dashboard!B$10*SQRT(Dashboard!$F$4) * _xlfn.NORM.S.INV(RAND())</f>
        <v>2.293244427623909E-2</v>
      </c>
      <c r="T7092" s="59">
        <f ca="1">Dashboard!C$8* Dashboard!$F$4+Dashboard!C$10*SQRT(Dashboard!$F$4) * _xlfn.NORM.S.INV(RAND())</f>
        <v>1.5859240559898402E-6</v>
      </c>
      <c r="U7092" s="59">
        <f ca="1">Dashboard!D$8* Dashboard!$F$4+Dashboard!D$10*SQRT(Dashboard!$F$4) * _xlfn.NORM.S.INV(RAND())</f>
        <v>-2.5470007864305904E-2</v>
      </c>
    </row>
    <row r="7093" spans="18:21" x14ac:dyDescent="0.2">
      <c r="R7093" s="49">
        <v>7091</v>
      </c>
      <c r="S7093" s="59">
        <f ca="1">Dashboard!B$8* Dashboard!$F$4+Dashboard!B$10*SQRT(Dashboard!$F$4) * _xlfn.NORM.S.INV(RAND())</f>
        <v>-3.6750192867361101E-2</v>
      </c>
      <c r="T7093" s="59">
        <f ca="1">Dashboard!C$8* Dashboard!$F$4+Dashboard!C$10*SQRT(Dashboard!$F$4) * _xlfn.NORM.S.INV(RAND())</f>
        <v>2.5364014182765748E-2</v>
      </c>
      <c r="U7093" s="59">
        <f ca="1">Dashboard!D$8* Dashboard!$F$4+Dashboard!D$10*SQRT(Dashboard!$F$4) * _xlfn.NORM.S.INV(RAND())</f>
        <v>-1.1222826190622559E-2</v>
      </c>
    </row>
    <row r="7094" spans="18:21" x14ac:dyDescent="0.2">
      <c r="R7094" s="49">
        <v>7092</v>
      </c>
      <c r="S7094" s="59">
        <f ca="1">Dashboard!B$8* Dashboard!$F$4+Dashboard!B$10*SQRT(Dashboard!$F$4) * _xlfn.NORM.S.INV(RAND())</f>
        <v>3.7989240864730739E-3</v>
      </c>
      <c r="T7094" s="59">
        <f ca="1">Dashboard!C$8* Dashboard!$F$4+Dashboard!C$10*SQRT(Dashboard!$F$4) * _xlfn.NORM.S.INV(RAND())</f>
        <v>-1.444698397740761E-2</v>
      </c>
      <c r="U7094" s="59">
        <f ca="1">Dashboard!D$8* Dashboard!$F$4+Dashboard!D$10*SQRT(Dashboard!$F$4) * _xlfn.NORM.S.INV(RAND())</f>
        <v>-3.2521680785104506E-2</v>
      </c>
    </row>
    <row r="7095" spans="18:21" x14ac:dyDescent="0.2">
      <c r="R7095" s="49">
        <v>7093</v>
      </c>
      <c r="S7095" s="59">
        <f ca="1">Dashboard!B$8* Dashboard!$F$4+Dashboard!B$10*SQRT(Dashboard!$F$4) * _xlfn.NORM.S.INV(RAND())</f>
        <v>-1.798859784425972E-2</v>
      </c>
      <c r="T7095" s="59">
        <f ca="1">Dashboard!C$8* Dashboard!$F$4+Dashboard!C$10*SQRT(Dashboard!$F$4) * _xlfn.NORM.S.INV(RAND())</f>
        <v>3.3248435347569105E-2</v>
      </c>
      <c r="U7095" s="59">
        <f ca="1">Dashboard!D$8* Dashboard!$F$4+Dashboard!D$10*SQRT(Dashboard!$F$4) * _xlfn.NORM.S.INV(RAND())</f>
        <v>1.9951692829084273E-2</v>
      </c>
    </row>
    <row r="7096" spans="18:21" x14ac:dyDescent="0.2">
      <c r="R7096" s="49">
        <v>7094</v>
      </c>
      <c r="S7096" s="59">
        <f ca="1">Dashboard!B$8* Dashboard!$F$4+Dashboard!B$10*SQRT(Dashboard!$F$4) * _xlfn.NORM.S.INV(RAND())</f>
        <v>-1.4000914350316888E-2</v>
      </c>
      <c r="T7096" s="59">
        <f ca="1">Dashboard!C$8* Dashboard!$F$4+Dashboard!C$10*SQRT(Dashboard!$F$4) * _xlfn.NORM.S.INV(RAND())</f>
        <v>6.7832448160780063E-3</v>
      </c>
      <c r="U7096" s="59">
        <f ca="1">Dashboard!D$8* Dashboard!$F$4+Dashboard!D$10*SQRT(Dashboard!$F$4) * _xlfn.NORM.S.INV(RAND())</f>
        <v>-5.6222719423646587E-2</v>
      </c>
    </row>
    <row r="7097" spans="18:21" x14ac:dyDescent="0.2">
      <c r="R7097" s="49">
        <v>7095</v>
      </c>
      <c r="S7097" s="59">
        <f ca="1">Dashboard!B$8* Dashboard!$F$4+Dashboard!B$10*SQRT(Dashboard!$F$4) * _xlfn.NORM.S.INV(RAND())</f>
        <v>-1.8510969975513311E-2</v>
      </c>
      <c r="T7097" s="59">
        <f ca="1">Dashboard!C$8* Dashboard!$F$4+Dashboard!C$10*SQRT(Dashboard!$F$4) * _xlfn.NORM.S.INV(RAND())</f>
        <v>-8.3333751990074881E-3</v>
      </c>
      <c r="U7097" s="59">
        <f ca="1">Dashboard!D$8* Dashboard!$F$4+Dashboard!D$10*SQRT(Dashboard!$F$4) * _xlfn.NORM.S.INV(RAND())</f>
        <v>6.9122205099148943E-3</v>
      </c>
    </row>
    <row r="7098" spans="18:21" x14ac:dyDescent="0.2">
      <c r="R7098" s="49">
        <v>7096</v>
      </c>
      <c r="S7098" s="59">
        <f ca="1">Dashboard!B$8* Dashboard!$F$4+Dashboard!B$10*SQRT(Dashboard!$F$4) * _xlfn.NORM.S.INV(RAND())</f>
        <v>-4.6595080796759232E-2</v>
      </c>
      <c r="T7098" s="59">
        <f ca="1">Dashboard!C$8* Dashboard!$F$4+Dashboard!C$10*SQRT(Dashboard!$F$4) * _xlfn.NORM.S.INV(RAND())</f>
        <v>-3.725692839907585E-2</v>
      </c>
      <c r="U7098" s="59">
        <f ca="1">Dashboard!D$8* Dashboard!$F$4+Dashboard!D$10*SQRT(Dashboard!$F$4) * _xlfn.NORM.S.INV(RAND())</f>
        <v>-5.2963007467555102E-3</v>
      </c>
    </row>
    <row r="7099" spans="18:21" x14ac:dyDescent="0.2">
      <c r="R7099" s="49">
        <v>7097</v>
      </c>
      <c r="S7099" s="59">
        <f ca="1">Dashboard!B$8* Dashboard!$F$4+Dashboard!B$10*SQRT(Dashboard!$F$4) * _xlfn.NORM.S.INV(RAND())</f>
        <v>-5.8138806610790426E-2</v>
      </c>
      <c r="T7099" s="59">
        <f ca="1">Dashboard!C$8* Dashboard!$F$4+Dashboard!C$10*SQRT(Dashboard!$F$4) * _xlfn.NORM.S.INV(RAND())</f>
        <v>-7.9364009761325217E-3</v>
      </c>
      <c r="U7099" s="59">
        <f ca="1">Dashboard!D$8* Dashboard!$F$4+Dashboard!D$10*SQRT(Dashboard!$F$4) * _xlfn.NORM.S.INV(RAND())</f>
        <v>-2.3180573818931974E-2</v>
      </c>
    </row>
    <row r="7100" spans="18:21" x14ac:dyDescent="0.2">
      <c r="R7100" s="49">
        <v>7098</v>
      </c>
      <c r="S7100" s="59">
        <f ca="1">Dashboard!B$8* Dashboard!$F$4+Dashboard!B$10*SQRT(Dashboard!$F$4) * _xlfn.NORM.S.INV(RAND())</f>
        <v>-1.0390145322306281E-3</v>
      </c>
      <c r="T7100" s="59">
        <f ca="1">Dashboard!C$8* Dashboard!$F$4+Dashboard!C$10*SQRT(Dashboard!$F$4) * _xlfn.NORM.S.INV(RAND())</f>
        <v>6.585312769426711E-3</v>
      </c>
      <c r="U7100" s="59">
        <f ca="1">Dashboard!D$8* Dashboard!$F$4+Dashboard!D$10*SQRT(Dashboard!$F$4) * _xlfn.NORM.S.INV(RAND())</f>
        <v>-2.7406516521786075E-2</v>
      </c>
    </row>
    <row r="7101" spans="18:21" x14ac:dyDescent="0.2">
      <c r="R7101" s="49">
        <v>7099</v>
      </c>
      <c r="S7101" s="59">
        <f ca="1">Dashboard!B$8* Dashboard!$F$4+Dashboard!B$10*SQRT(Dashboard!$F$4) * _xlfn.NORM.S.INV(RAND())</f>
        <v>-7.3576166973902096E-2</v>
      </c>
      <c r="T7101" s="59">
        <f ca="1">Dashboard!C$8* Dashboard!$F$4+Dashboard!C$10*SQRT(Dashboard!$F$4) * _xlfn.NORM.S.INV(RAND())</f>
        <v>-3.5024676093485516E-2</v>
      </c>
      <c r="U7101" s="59">
        <f ca="1">Dashboard!D$8* Dashboard!$F$4+Dashboard!D$10*SQRT(Dashboard!$F$4) * _xlfn.NORM.S.INV(RAND())</f>
        <v>2.5731902871032636E-2</v>
      </c>
    </row>
    <row r="7102" spans="18:21" x14ac:dyDescent="0.2">
      <c r="R7102" s="49">
        <v>7100</v>
      </c>
      <c r="S7102" s="59">
        <f ca="1">Dashboard!B$8* Dashboard!$F$4+Dashboard!B$10*SQRT(Dashboard!$F$4) * _xlfn.NORM.S.INV(RAND())</f>
        <v>1.0702828275692449E-2</v>
      </c>
      <c r="T7102" s="59">
        <f ca="1">Dashboard!C$8* Dashboard!$F$4+Dashboard!C$10*SQRT(Dashboard!$F$4) * _xlfn.NORM.S.INV(RAND())</f>
        <v>-3.733703950010029E-2</v>
      </c>
      <c r="U7102" s="59">
        <f ca="1">Dashboard!D$8* Dashboard!$F$4+Dashboard!D$10*SQRT(Dashboard!$F$4) * _xlfn.NORM.S.INV(RAND())</f>
        <v>2.5561797980381273E-2</v>
      </c>
    </row>
    <row r="7103" spans="18:21" x14ac:dyDescent="0.2">
      <c r="R7103" s="49">
        <v>7101</v>
      </c>
      <c r="S7103" s="59">
        <f ca="1">Dashboard!B$8* Dashboard!$F$4+Dashboard!B$10*SQRT(Dashboard!$F$4) * _xlfn.NORM.S.INV(RAND())</f>
        <v>9.0264451306558448E-3</v>
      </c>
      <c r="T7103" s="59">
        <f ca="1">Dashboard!C$8* Dashboard!$F$4+Dashboard!C$10*SQRT(Dashboard!$F$4) * _xlfn.NORM.S.INV(RAND())</f>
        <v>8.1156436166678458E-3</v>
      </c>
      <c r="U7103" s="59">
        <f ca="1">Dashboard!D$8* Dashboard!$F$4+Dashboard!D$10*SQRT(Dashboard!$F$4) * _xlfn.NORM.S.INV(RAND())</f>
        <v>-1.7511011278114063E-2</v>
      </c>
    </row>
    <row r="7104" spans="18:21" x14ac:dyDescent="0.2">
      <c r="R7104" s="49">
        <v>7102</v>
      </c>
      <c r="S7104" s="59">
        <f ca="1">Dashboard!B$8* Dashboard!$F$4+Dashboard!B$10*SQRT(Dashboard!$F$4) * _xlfn.NORM.S.INV(RAND())</f>
        <v>-2.12061871885234E-3</v>
      </c>
      <c r="T7104" s="59">
        <f ca="1">Dashboard!C$8* Dashboard!$F$4+Dashboard!C$10*SQRT(Dashboard!$F$4) * _xlfn.NORM.S.INV(RAND())</f>
        <v>1.7434693436243171E-2</v>
      </c>
      <c r="U7104" s="59">
        <f ca="1">Dashboard!D$8* Dashboard!$F$4+Dashboard!D$10*SQRT(Dashboard!$F$4) * _xlfn.NORM.S.INV(RAND())</f>
        <v>2.330974628533319E-2</v>
      </c>
    </row>
    <row r="7105" spans="18:21" x14ac:dyDescent="0.2">
      <c r="R7105" s="49">
        <v>7103</v>
      </c>
      <c r="S7105" s="59">
        <f ca="1">Dashboard!B$8* Dashboard!$F$4+Dashboard!B$10*SQRT(Dashboard!$F$4) * _xlfn.NORM.S.INV(RAND())</f>
        <v>-4.0063596790111178E-2</v>
      </c>
      <c r="T7105" s="59">
        <f ca="1">Dashboard!C$8* Dashboard!$F$4+Dashboard!C$10*SQRT(Dashboard!$F$4) * _xlfn.NORM.S.INV(RAND())</f>
        <v>-4.0350727320606801E-4</v>
      </c>
      <c r="U7105" s="59">
        <f ca="1">Dashboard!D$8* Dashboard!$F$4+Dashboard!D$10*SQRT(Dashboard!$F$4) * _xlfn.NORM.S.INV(RAND())</f>
        <v>-4.4068246184631933E-2</v>
      </c>
    </row>
    <row r="7106" spans="18:21" x14ac:dyDescent="0.2">
      <c r="R7106" s="49">
        <v>7104</v>
      </c>
      <c r="S7106" s="59">
        <f ca="1">Dashboard!B$8* Dashboard!$F$4+Dashboard!B$10*SQRT(Dashboard!$F$4) * _xlfn.NORM.S.INV(RAND())</f>
        <v>7.770874869004632E-2</v>
      </c>
      <c r="T7106" s="59">
        <f ca="1">Dashboard!C$8* Dashboard!$F$4+Dashboard!C$10*SQRT(Dashboard!$F$4) * _xlfn.NORM.S.INV(RAND())</f>
        <v>9.5024723346057195E-3</v>
      </c>
      <c r="U7106" s="59">
        <f ca="1">Dashboard!D$8* Dashboard!$F$4+Dashboard!D$10*SQRT(Dashboard!$F$4) * _xlfn.NORM.S.INV(RAND())</f>
        <v>-2.1629174684102713E-2</v>
      </c>
    </row>
    <row r="7107" spans="18:21" x14ac:dyDescent="0.2">
      <c r="R7107" s="49">
        <v>7105</v>
      </c>
      <c r="S7107" s="59">
        <f ca="1">Dashboard!B$8* Dashboard!$F$4+Dashboard!B$10*SQRT(Dashboard!$F$4) * _xlfn.NORM.S.INV(RAND())</f>
        <v>2.4703616146373508E-2</v>
      </c>
      <c r="T7107" s="59">
        <f ca="1">Dashboard!C$8* Dashboard!$F$4+Dashboard!C$10*SQRT(Dashboard!$F$4) * _xlfn.NORM.S.INV(RAND())</f>
        <v>-7.2034272318923431E-3</v>
      </c>
      <c r="U7107" s="59">
        <f ca="1">Dashboard!D$8* Dashboard!$F$4+Dashboard!D$10*SQRT(Dashboard!$F$4) * _xlfn.NORM.S.INV(RAND())</f>
        <v>6.763463983444731E-3</v>
      </c>
    </row>
    <row r="7108" spans="18:21" x14ac:dyDescent="0.2">
      <c r="R7108" s="49">
        <v>7106</v>
      </c>
      <c r="S7108" s="59">
        <f ca="1">Dashboard!B$8* Dashboard!$F$4+Dashboard!B$10*SQRT(Dashboard!$F$4) * _xlfn.NORM.S.INV(RAND())</f>
        <v>-5.0677037237047459E-2</v>
      </c>
      <c r="T7108" s="59">
        <f ca="1">Dashboard!C$8* Dashboard!$F$4+Dashboard!C$10*SQRT(Dashboard!$F$4) * _xlfn.NORM.S.INV(RAND())</f>
        <v>-1.9380006053077957E-2</v>
      </c>
      <c r="U7108" s="59">
        <f ca="1">Dashboard!D$8* Dashboard!$F$4+Dashboard!D$10*SQRT(Dashboard!$F$4) * _xlfn.NORM.S.INV(RAND())</f>
        <v>-2.9570571454980363E-3</v>
      </c>
    </row>
    <row r="7109" spans="18:21" x14ac:dyDescent="0.2">
      <c r="R7109" s="49">
        <v>7107</v>
      </c>
      <c r="S7109" s="59">
        <f ca="1">Dashboard!B$8* Dashboard!$F$4+Dashboard!B$10*SQRT(Dashboard!$F$4) * _xlfn.NORM.S.INV(RAND())</f>
        <v>-1.405019738582312E-2</v>
      </c>
      <c r="T7109" s="59">
        <f ca="1">Dashboard!C$8* Dashboard!$F$4+Dashboard!C$10*SQRT(Dashboard!$F$4) * _xlfn.NORM.S.INV(RAND())</f>
        <v>-2.490792985860564E-2</v>
      </c>
      <c r="U7109" s="59">
        <f ca="1">Dashboard!D$8* Dashboard!$F$4+Dashboard!D$10*SQRT(Dashboard!$F$4) * _xlfn.NORM.S.INV(RAND())</f>
        <v>-2.9868733479474392E-2</v>
      </c>
    </row>
    <row r="7110" spans="18:21" x14ac:dyDescent="0.2">
      <c r="R7110" s="49">
        <v>7108</v>
      </c>
      <c r="S7110" s="59">
        <f ca="1">Dashboard!B$8* Dashboard!$F$4+Dashboard!B$10*SQRT(Dashboard!$F$4) * _xlfn.NORM.S.INV(RAND())</f>
        <v>1.7030684726397155E-2</v>
      </c>
      <c r="T7110" s="59">
        <f ca="1">Dashboard!C$8* Dashboard!$F$4+Dashboard!C$10*SQRT(Dashboard!$F$4) * _xlfn.NORM.S.INV(RAND())</f>
        <v>5.1475342284072287E-2</v>
      </c>
      <c r="U7110" s="59">
        <f ca="1">Dashboard!D$8* Dashboard!$F$4+Dashboard!D$10*SQRT(Dashboard!$F$4) * _xlfn.NORM.S.INV(RAND())</f>
        <v>2.3864843133044187E-2</v>
      </c>
    </row>
    <row r="7111" spans="18:21" x14ac:dyDescent="0.2">
      <c r="R7111" s="49">
        <v>7109</v>
      </c>
      <c r="S7111" s="59">
        <f ca="1">Dashboard!B$8* Dashboard!$F$4+Dashboard!B$10*SQRT(Dashboard!$F$4) * _xlfn.NORM.S.INV(RAND())</f>
        <v>-2.7505849018898258E-3</v>
      </c>
      <c r="T7111" s="59">
        <f ca="1">Dashboard!C$8* Dashboard!$F$4+Dashboard!C$10*SQRT(Dashboard!$F$4) * _xlfn.NORM.S.INV(RAND())</f>
        <v>6.8799990465508287E-3</v>
      </c>
      <c r="U7111" s="59">
        <f ca="1">Dashboard!D$8* Dashboard!$F$4+Dashboard!D$10*SQRT(Dashboard!$F$4) * _xlfn.NORM.S.INV(RAND())</f>
        <v>2.6407432386208095E-2</v>
      </c>
    </row>
    <row r="7112" spans="18:21" x14ac:dyDescent="0.2">
      <c r="R7112" s="49">
        <v>7110</v>
      </c>
      <c r="S7112" s="59">
        <f ca="1">Dashboard!B$8* Dashboard!$F$4+Dashboard!B$10*SQRT(Dashboard!$F$4) * _xlfn.NORM.S.INV(RAND())</f>
        <v>-3.2976280470583534E-2</v>
      </c>
      <c r="T7112" s="59">
        <f ca="1">Dashboard!C$8* Dashboard!$F$4+Dashboard!C$10*SQRT(Dashboard!$F$4) * _xlfn.NORM.S.INV(RAND())</f>
        <v>2.7746264822661407E-3</v>
      </c>
      <c r="U7112" s="59">
        <f ca="1">Dashboard!D$8* Dashboard!$F$4+Dashboard!D$10*SQRT(Dashboard!$F$4) * _xlfn.NORM.S.INV(RAND())</f>
        <v>-2.2585977201594578E-2</v>
      </c>
    </row>
    <row r="7113" spans="18:21" x14ac:dyDescent="0.2">
      <c r="R7113" s="49">
        <v>7111</v>
      </c>
      <c r="S7113" s="59">
        <f ca="1">Dashboard!B$8* Dashboard!$F$4+Dashboard!B$10*SQRT(Dashboard!$F$4) * _xlfn.NORM.S.INV(RAND())</f>
        <v>-2.7951227766198308E-2</v>
      </c>
      <c r="T7113" s="59">
        <f ca="1">Dashboard!C$8* Dashboard!$F$4+Dashboard!C$10*SQRT(Dashboard!$F$4) * _xlfn.NORM.S.INV(RAND())</f>
        <v>3.5645322170034417E-2</v>
      </c>
      <c r="U7113" s="59">
        <f ca="1">Dashboard!D$8* Dashboard!$F$4+Dashboard!D$10*SQRT(Dashboard!$F$4) * _xlfn.NORM.S.INV(RAND())</f>
        <v>-5.0526128993254434E-2</v>
      </c>
    </row>
    <row r="7114" spans="18:21" x14ac:dyDescent="0.2">
      <c r="R7114" s="49">
        <v>7112</v>
      </c>
      <c r="S7114" s="59">
        <f ca="1">Dashboard!B$8* Dashboard!$F$4+Dashboard!B$10*SQRT(Dashboard!$F$4) * _xlfn.NORM.S.INV(RAND())</f>
        <v>-2.1645202761321675E-2</v>
      </c>
      <c r="T7114" s="59">
        <f ca="1">Dashboard!C$8* Dashboard!$F$4+Dashboard!C$10*SQRT(Dashboard!$F$4) * _xlfn.NORM.S.INV(RAND())</f>
        <v>-8.1371147448937933E-3</v>
      </c>
      <c r="U7114" s="59">
        <f ca="1">Dashboard!D$8* Dashboard!$F$4+Dashboard!D$10*SQRT(Dashboard!$F$4) * _xlfn.NORM.S.INV(RAND())</f>
        <v>1.6084217763519686E-2</v>
      </c>
    </row>
    <row r="7115" spans="18:21" x14ac:dyDescent="0.2">
      <c r="R7115" s="49">
        <v>7113</v>
      </c>
      <c r="S7115" s="59">
        <f ca="1">Dashboard!B$8* Dashboard!$F$4+Dashboard!B$10*SQRT(Dashboard!$F$4) * _xlfn.NORM.S.INV(RAND())</f>
        <v>-1.0414487175833105E-2</v>
      </c>
      <c r="T7115" s="59">
        <f ca="1">Dashboard!C$8* Dashboard!$F$4+Dashboard!C$10*SQRT(Dashboard!$F$4) * _xlfn.NORM.S.INV(RAND())</f>
        <v>-3.08693748505048E-2</v>
      </c>
      <c r="U7115" s="59">
        <f ca="1">Dashboard!D$8* Dashboard!$F$4+Dashboard!D$10*SQRT(Dashboard!$F$4) * _xlfn.NORM.S.INV(RAND())</f>
        <v>6.1395426272636791E-2</v>
      </c>
    </row>
    <row r="7116" spans="18:21" x14ac:dyDescent="0.2">
      <c r="R7116" s="49">
        <v>7114</v>
      </c>
      <c r="S7116" s="59">
        <f ca="1">Dashboard!B$8* Dashboard!$F$4+Dashboard!B$10*SQRT(Dashboard!$F$4) * _xlfn.NORM.S.INV(RAND())</f>
        <v>4.5600880652256121E-2</v>
      </c>
      <c r="T7116" s="59">
        <f ca="1">Dashboard!C$8* Dashboard!$F$4+Dashboard!C$10*SQRT(Dashboard!$F$4) * _xlfn.NORM.S.INV(RAND())</f>
        <v>8.4101904563088532E-3</v>
      </c>
      <c r="U7116" s="59">
        <f ca="1">Dashboard!D$8* Dashboard!$F$4+Dashboard!D$10*SQRT(Dashboard!$F$4) * _xlfn.NORM.S.INV(RAND())</f>
        <v>-4.0182994527321991E-2</v>
      </c>
    </row>
    <row r="7117" spans="18:21" x14ac:dyDescent="0.2">
      <c r="R7117" s="49">
        <v>7115</v>
      </c>
      <c r="S7117" s="59">
        <f ca="1">Dashboard!B$8* Dashboard!$F$4+Dashboard!B$10*SQRT(Dashboard!$F$4) * _xlfn.NORM.S.INV(RAND())</f>
        <v>1.2958158853969304E-2</v>
      </c>
      <c r="T7117" s="59">
        <f ca="1">Dashboard!C$8* Dashboard!$F$4+Dashboard!C$10*SQRT(Dashboard!$F$4) * _xlfn.NORM.S.INV(RAND())</f>
        <v>1.6007096127862112E-2</v>
      </c>
      <c r="U7117" s="59">
        <f ca="1">Dashboard!D$8* Dashboard!$F$4+Dashboard!D$10*SQRT(Dashboard!$F$4) * _xlfn.NORM.S.INV(RAND())</f>
        <v>1.5238307068685751E-2</v>
      </c>
    </row>
    <row r="7118" spans="18:21" x14ac:dyDescent="0.2">
      <c r="R7118" s="49">
        <v>7116</v>
      </c>
      <c r="S7118" s="59">
        <f ca="1">Dashboard!B$8* Dashboard!$F$4+Dashboard!B$10*SQRT(Dashboard!$F$4) * _xlfn.NORM.S.INV(RAND())</f>
        <v>-3.5205069148682488E-2</v>
      </c>
      <c r="T7118" s="59">
        <f ca="1">Dashboard!C$8* Dashboard!$F$4+Dashboard!C$10*SQRT(Dashboard!$F$4) * _xlfn.NORM.S.INV(RAND())</f>
        <v>-2.7955596184336611E-2</v>
      </c>
      <c r="U7118" s="59">
        <f ca="1">Dashboard!D$8* Dashboard!$F$4+Dashboard!D$10*SQRT(Dashboard!$F$4) * _xlfn.NORM.S.INV(RAND())</f>
        <v>4.2830989612286499E-2</v>
      </c>
    </row>
    <row r="7119" spans="18:21" x14ac:dyDescent="0.2">
      <c r="R7119" s="49">
        <v>7117</v>
      </c>
      <c r="S7119" s="59">
        <f ca="1">Dashboard!B$8* Dashboard!$F$4+Dashboard!B$10*SQRT(Dashboard!$F$4) * _xlfn.NORM.S.INV(RAND())</f>
        <v>2.4724893215226688E-2</v>
      </c>
      <c r="T7119" s="59">
        <f ca="1">Dashboard!C$8* Dashboard!$F$4+Dashboard!C$10*SQRT(Dashboard!$F$4) * _xlfn.NORM.S.INV(RAND())</f>
        <v>-2.6778124529256431E-3</v>
      </c>
      <c r="U7119" s="59">
        <f ca="1">Dashboard!D$8* Dashboard!$F$4+Dashboard!D$10*SQRT(Dashboard!$F$4) * _xlfn.NORM.S.INV(RAND())</f>
        <v>-2.8856037541509883E-2</v>
      </c>
    </row>
    <row r="7120" spans="18:21" x14ac:dyDescent="0.2">
      <c r="R7120" s="49">
        <v>7118</v>
      </c>
      <c r="S7120" s="59">
        <f ca="1">Dashboard!B$8* Dashboard!$F$4+Dashboard!B$10*SQRT(Dashboard!$F$4) * _xlfn.NORM.S.INV(RAND())</f>
        <v>-4.9189842603961337E-2</v>
      </c>
      <c r="T7120" s="59">
        <f ca="1">Dashboard!C$8* Dashboard!$F$4+Dashboard!C$10*SQRT(Dashboard!$F$4) * _xlfn.NORM.S.INV(RAND())</f>
        <v>3.8452678656158931E-3</v>
      </c>
      <c r="U7120" s="59">
        <f ca="1">Dashboard!D$8* Dashboard!$F$4+Dashboard!D$10*SQRT(Dashboard!$F$4) * _xlfn.NORM.S.INV(RAND())</f>
        <v>1.8608964378526128E-3</v>
      </c>
    </row>
    <row r="7121" spans="18:21" x14ac:dyDescent="0.2">
      <c r="R7121" s="49">
        <v>7119</v>
      </c>
      <c r="S7121" s="59">
        <f ca="1">Dashboard!B$8* Dashboard!$F$4+Dashboard!B$10*SQRT(Dashboard!$F$4) * _xlfn.NORM.S.INV(RAND())</f>
        <v>5.1731033070072083E-2</v>
      </c>
      <c r="T7121" s="59">
        <f ca="1">Dashboard!C$8* Dashboard!$F$4+Dashboard!C$10*SQRT(Dashboard!$F$4) * _xlfn.NORM.S.INV(RAND())</f>
        <v>2.6095631328495659E-2</v>
      </c>
      <c r="U7121" s="59">
        <f ca="1">Dashboard!D$8* Dashboard!$F$4+Dashboard!D$10*SQRT(Dashboard!$F$4) * _xlfn.NORM.S.INV(RAND())</f>
        <v>-7.2746420422796169E-3</v>
      </c>
    </row>
    <row r="7122" spans="18:21" x14ac:dyDescent="0.2">
      <c r="R7122" s="49">
        <v>7120</v>
      </c>
      <c r="S7122" s="59">
        <f ca="1">Dashboard!B$8* Dashboard!$F$4+Dashboard!B$10*SQRT(Dashboard!$F$4) * _xlfn.NORM.S.INV(RAND())</f>
        <v>-4.7622142716703085E-3</v>
      </c>
      <c r="T7122" s="59">
        <f ca="1">Dashboard!C$8* Dashboard!$F$4+Dashboard!C$10*SQRT(Dashboard!$F$4) * _xlfn.NORM.S.INV(RAND())</f>
        <v>2.2402714404130088E-2</v>
      </c>
      <c r="U7122" s="59">
        <f ca="1">Dashboard!D$8* Dashboard!$F$4+Dashboard!D$10*SQRT(Dashboard!$F$4) * _xlfn.NORM.S.INV(RAND())</f>
        <v>2.8621273490675714E-2</v>
      </c>
    </row>
    <row r="7123" spans="18:21" x14ac:dyDescent="0.2">
      <c r="R7123" s="49">
        <v>7121</v>
      </c>
      <c r="S7123" s="59">
        <f ca="1">Dashboard!B$8* Dashboard!$F$4+Dashboard!B$10*SQRT(Dashboard!$F$4) * _xlfn.NORM.S.INV(RAND())</f>
        <v>-1.1093761292246001E-2</v>
      </c>
      <c r="T7123" s="59">
        <f ca="1">Dashboard!C$8* Dashboard!$F$4+Dashboard!C$10*SQRT(Dashboard!$F$4) * _xlfn.NORM.S.INV(RAND())</f>
        <v>-1.3152923119642911E-2</v>
      </c>
      <c r="U7123" s="59">
        <f ca="1">Dashboard!D$8* Dashboard!$F$4+Dashboard!D$10*SQRT(Dashboard!$F$4) * _xlfn.NORM.S.INV(RAND())</f>
        <v>-5.2547495690814586E-2</v>
      </c>
    </row>
    <row r="7124" spans="18:21" x14ac:dyDescent="0.2">
      <c r="R7124" s="49">
        <v>7122</v>
      </c>
      <c r="S7124" s="59">
        <f ca="1">Dashboard!B$8* Dashboard!$F$4+Dashboard!B$10*SQRT(Dashboard!$F$4) * _xlfn.NORM.S.INV(RAND())</f>
        <v>-2.2100159508253045E-2</v>
      </c>
      <c r="T7124" s="59">
        <f ca="1">Dashboard!C$8* Dashboard!$F$4+Dashboard!C$10*SQRT(Dashboard!$F$4) * _xlfn.NORM.S.INV(RAND())</f>
        <v>4.4118364797123735E-2</v>
      </c>
      <c r="U7124" s="59">
        <f ca="1">Dashboard!D$8* Dashboard!$F$4+Dashboard!D$10*SQRT(Dashboard!$F$4) * _xlfn.NORM.S.INV(RAND())</f>
        <v>4.5002168864096866E-2</v>
      </c>
    </row>
    <row r="7125" spans="18:21" x14ac:dyDescent="0.2">
      <c r="R7125" s="49">
        <v>7123</v>
      </c>
      <c r="S7125" s="59">
        <f ca="1">Dashboard!B$8* Dashboard!$F$4+Dashboard!B$10*SQRT(Dashboard!$F$4) * _xlfn.NORM.S.INV(RAND())</f>
        <v>2.4238905013590974E-2</v>
      </c>
      <c r="T7125" s="59">
        <f ca="1">Dashboard!C$8* Dashboard!$F$4+Dashboard!C$10*SQRT(Dashboard!$F$4) * _xlfn.NORM.S.INV(RAND())</f>
        <v>2.8551639687934782E-2</v>
      </c>
      <c r="U7125" s="59">
        <f ca="1">Dashboard!D$8* Dashboard!$F$4+Dashboard!D$10*SQRT(Dashboard!$F$4) * _xlfn.NORM.S.INV(RAND())</f>
        <v>-1.3298126926637366E-2</v>
      </c>
    </row>
    <row r="7126" spans="18:21" x14ac:dyDescent="0.2">
      <c r="R7126" s="49">
        <v>7124</v>
      </c>
      <c r="S7126" s="59">
        <f ca="1">Dashboard!B$8* Dashboard!$F$4+Dashboard!B$10*SQRT(Dashboard!$F$4) * _xlfn.NORM.S.INV(RAND())</f>
        <v>-4.480206685020938E-3</v>
      </c>
      <c r="T7126" s="59">
        <f ca="1">Dashboard!C$8* Dashboard!$F$4+Dashboard!C$10*SQRT(Dashboard!$F$4) * _xlfn.NORM.S.INV(RAND())</f>
        <v>-2.6036775836163654E-2</v>
      </c>
      <c r="U7126" s="59">
        <f ca="1">Dashboard!D$8* Dashboard!$F$4+Dashboard!D$10*SQRT(Dashboard!$F$4) * _xlfn.NORM.S.INV(RAND())</f>
        <v>4.3275777274514461E-2</v>
      </c>
    </row>
    <row r="7127" spans="18:21" x14ac:dyDescent="0.2">
      <c r="R7127" s="49">
        <v>7125</v>
      </c>
      <c r="S7127" s="59">
        <f ca="1">Dashboard!B$8* Dashboard!$F$4+Dashboard!B$10*SQRT(Dashboard!$F$4) * _xlfn.NORM.S.INV(RAND())</f>
        <v>-1.3858324622058358E-2</v>
      </c>
      <c r="T7127" s="59">
        <f ca="1">Dashboard!C$8* Dashboard!$F$4+Dashboard!C$10*SQRT(Dashboard!$F$4) * _xlfn.NORM.S.INV(RAND())</f>
        <v>9.3088543703288302E-3</v>
      </c>
      <c r="U7127" s="59">
        <f ca="1">Dashboard!D$8* Dashboard!$F$4+Dashboard!D$10*SQRT(Dashboard!$F$4) * _xlfn.NORM.S.INV(RAND())</f>
        <v>-9.8968105155645084E-3</v>
      </c>
    </row>
    <row r="7128" spans="18:21" x14ac:dyDescent="0.2">
      <c r="R7128" s="49">
        <v>7126</v>
      </c>
      <c r="S7128" s="59">
        <f ca="1">Dashboard!B$8* Dashboard!$F$4+Dashboard!B$10*SQRT(Dashboard!$F$4) * _xlfn.NORM.S.INV(RAND())</f>
        <v>4.3099509755686639E-2</v>
      </c>
      <c r="T7128" s="59">
        <f ca="1">Dashboard!C$8* Dashboard!$F$4+Dashboard!C$10*SQRT(Dashboard!$F$4) * _xlfn.NORM.S.INV(RAND())</f>
        <v>2.4955281377750164E-2</v>
      </c>
      <c r="U7128" s="59">
        <f ca="1">Dashboard!D$8* Dashboard!$F$4+Dashboard!D$10*SQRT(Dashboard!$F$4) * _xlfn.NORM.S.INV(RAND())</f>
        <v>-2.2332440926869064E-3</v>
      </c>
    </row>
    <row r="7129" spans="18:21" x14ac:dyDescent="0.2">
      <c r="R7129" s="49">
        <v>7127</v>
      </c>
      <c r="S7129" s="59">
        <f ca="1">Dashboard!B$8* Dashboard!$F$4+Dashboard!B$10*SQRT(Dashboard!$F$4) * _xlfn.NORM.S.INV(RAND())</f>
        <v>8.0601853152917971E-2</v>
      </c>
      <c r="T7129" s="59">
        <f ca="1">Dashboard!C$8* Dashboard!$F$4+Dashboard!C$10*SQRT(Dashboard!$F$4) * _xlfn.NORM.S.INV(RAND())</f>
        <v>-2.991122746194581E-2</v>
      </c>
      <c r="U7129" s="59">
        <f ca="1">Dashboard!D$8* Dashboard!$F$4+Dashboard!D$10*SQRT(Dashboard!$F$4) * _xlfn.NORM.S.INV(RAND())</f>
        <v>-2.1759926497254754E-2</v>
      </c>
    </row>
    <row r="7130" spans="18:21" x14ac:dyDescent="0.2">
      <c r="R7130" s="49">
        <v>7128</v>
      </c>
      <c r="S7130" s="59">
        <f ca="1">Dashboard!B$8* Dashboard!$F$4+Dashboard!B$10*SQRT(Dashboard!$F$4) * _xlfn.NORM.S.INV(RAND())</f>
        <v>1.7736133074496861E-2</v>
      </c>
      <c r="T7130" s="59">
        <f ca="1">Dashboard!C$8* Dashboard!$F$4+Dashboard!C$10*SQRT(Dashboard!$F$4) * _xlfn.NORM.S.INV(RAND())</f>
        <v>1.6242165378249518E-2</v>
      </c>
      <c r="U7130" s="59">
        <f ca="1">Dashboard!D$8* Dashboard!$F$4+Dashboard!D$10*SQRT(Dashboard!$F$4) * _xlfn.NORM.S.INV(RAND())</f>
        <v>6.9673877372718088E-2</v>
      </c>
    </row>
    <row r="7131" spans="18:21" x14ac:dyDescent="0.2">
      <c r="R7131" s="49">
        <v>7129</v>
      </c>
      <c r="S7131" s="59">
        <f ca="1">Dashboard!B$8* Dashboard!$F$4+Dashboard!B$10*SQRT(Dashboard!$F$4) * _xlfn.NORM.S.INV(RAND())</f>
        <v>-3.8564594962761704E-2</v>
      </c>
      <c r="T7131" s="59">
        <f ca="1">Dashboard!C$8* Dashboard!$F$4+Dashboard!C$10*SQRT(Dashboard!$F$4) * _xlfn.NORM.S.INV(RAND())</f>
        <v>4.3499186468214053E-2</v>
      </c>
      <c r="U7131" s="59">
        <f ca="1">Dashboard!D$8* Dashboard!$F$4+Dashboard!D$10*SQRT(Dashboard!$F$4) * _xlfn.NORM.S.INV(RAND())</f>
        <v>1.3346823020031698E-2</v>
      </c>
    </row>
    <row r="7132" spans="18:21" x14ac:dyDescent="0.2">
      <c r="R7132" s="49">
        <v>7130</v>
      </c>
      <c r="S7132" s="59">
        <f ca="1">Dashboard!B$8* Dashboard!$F$4+Dashboard!B$10*SQRT(Dashboard!$F$4) * _xlfn.NORM.S.INV(RAND())</f>
        <v>1.300768238483443E-2</v>
      </c>
      <c r="T7132" s="59">
        <f ca="1">Dashboard!C$8* Dashboard!$F$4+Dashboard!C$10*SQRT(Dashboard!$F$4) * _xlfn.NORM.S.INV(RAND())</f>
        <v>5.4199501393735687E-2</v>
      </c>
      <c r="U7132" s="59">
        <f ca="1">Dashboard!D$8* Dashboard!$F$4+Dashboard!D$10*SQRT(Dashboard!$F$4) * _xlfn.NORM.S.INV(RAND())</f>
        <v>1.0743182017589963E-3</v>
      </c>
    </row>
    <row r="7133" spans="18:21" x14ac:dyDescent="0.2">
      <c r="R7133" s="49">
        <v>7131</v>
      </c>
      <c r="S7133" s="59">
        <f ca="1">Dashboard!B$8* Dashboard!$F$4+Dashboard!B$10*SQRT(Dashboard!$F$4) * _xlfn.NORM.S.INV(RAND())</f>
        <v>-5.553799890625555E-3</v>
      </c>
      <c r="T7133" s="59">
        <f ca="1">Dashboard!C$8* Dashboard!$F$4+Dashboard!C$10*SQRT(Dashboard!$F$4) * _xlfn.NORM.S.INV(RAND())</f>
        <v>5.0677009318366315E-2</v>
      </c>
      <c r="U7133" s="59">
        <f ca="1">Dashboard!D$8* Dashboard!$F$4+Dashboard!D$10*SQRT(Dashboard!$F$4) * _xlfn.NORM.S.INV(RAND())</f>
        <v>2.8521728864506234E-2</v>
      </c>
    </row>
    <row r="7134" spans="18:21" x14ac:dyDescent="0.2">
      <c r="R7134" s="49">
        <v>7132</v>
      </c>
      <c r="S7134" s="59">
        <f ca="1">Dashboard!B$8* Dashboard!$F$4+Dashboard!B$10*SQRT(Dashboard!$F$4) * _xlfn.NORM.S.INV(RAND())</f>
        <v>3.0173269942248539E-2</v>
      </c>
      <c r="T7134" s="59">
        <f ca="1">Dashboard!C$8* Dashboard!$F$4+Dashboard!C$10*SQRT(Dashboard!$F$4) * _xlfn.NORM.S.INV(RAND())</f>
        <v>-5.9535714622990482E-2</v>
      </c>
      <c r="U7134" s="59">
        <f ca="1">Dashboard!D$8* Dashboard!$F$4+Dashboard!D$10*SQRT(Dashboard!$F$4) * _xlfn.NORM.S.INV(RAND())</f>
        <v>-8.3546168517352019E-3</v>
      </c>
    </row>
    <row r="7135" spans="18:21" x14ac:dyDescent="0.2">
      <c r="R7135" s="49">
        <v>7133</v>
      </c>
      <c r="S7135" s="59">
        <f ca="1">Dashboard!B$8* Dashboard!$F$4+Dashboard!B$10*SQRT(Dashboard!$F$4) * _xlfn.NORM.S.INV(RAND())</f>
        <v>2.4063698734010208E-2</v>
      </c>
      <c r="T7135" s="59">
        <f ca="1">Dashboard!C$8* Dashboard!$F$4+Dashboard!C$10*SQRT(Dashboard!$F$4) * _xlfn.NORM.S.INV(RAND())</f>
        <v>7.7997097361441711E-2</v>
      </c>
      <c r="U7135" s="59">
        <f ca="1">Dashboard!D$8* Dashboard!$F$4+Dashboard!D$10*SQRT(Dashboard!$F$4) * _xlfn.NORM.S.INV(RAND())</f>
        <v>-5.5330555661016308E-2</v>
      </c>
    </row>
    <row r="7136" spans="18:21" x14ac:dyDescent="0.2">
      <c r="R7136" s="49">
        <v>7134</v>
      </c>
      <c r="S7136" s="59">
        <f ca="1">Dashboard!B$8* Dashboard!$F$4+Dashboard!B$10*SQRT(Dashboard!$F$4) * _xlfn.NORM.S.INV(RAND())</f>
        <v>1.7204932038692639E-2</v>
      </c>
      <c r="T7136" s="59">
        <f ca="1">Dashboard!C$8* Dashboard!$F$4+Dashboard!C$10*SQRT(Dashboard!$F$4) * _xlfn.NORM.S.INV(RAND())</f>
        <v>2.0548576271681024E-2</v>
      </c>
      <c r="U7136" s="59">
        <f ca="1">Dashboard!D$8* Dashboard!$F$4+Dashboard!D$10*SQRT(Dashboard!$F$4) * _xlfn.NORM.S.INV(RAND())</f>
        <v>-2.248581876029088E-2</v>
      </c>
    </row>
    <row r="7137" spans="18:21" x14ac:dyDescent="0.2">
      <c r="R7137" s="49">
        <v>7135</v>
      </c>
      <c r="S7137" s="59">
        <f ca="1">Dashboard!B$8* Dashboard!$F$4+Dashboard!B$10*SQRT(Dashboard!$F$4) * _xlfn.NORM.S.INV(RAND())</f>
        <v>1.6354461906322795E-3</v>
      </c>
      <c r="T7137" s="59">
        <f ca="1">Dashboard!C$8* Dashboard!$F$4+Dashboard!C$10*SQRT(Dashboard!$F$4) * _xlfn.NORM.S.INV(RAND())</f>
        <v>-4.6493534323188299E-2</v>
      </c>
      <c r="U7137" s="59">
        <f ca="1">Dashboard!D$8* Dashboard!$F$4+Dashboard!D$10*SQRT(Dashboard!$F$4) * _xlfn.NORM.S.INV(RAND())</f>
        <v>-2.253204772724713E-2</v>
      </c>
    </row>
    <row r="7138" spans="18:21" x14ac:dyDescent="0.2">
      <c r="R7138" s="49">
        <v>7136</v>
      </c>
      <c r="S7138" s="59">
        <f ca="1">Dashboard!B$8* Dashboard!$F$4+Dashboard!B$10*SQRT(Dashboard!$F$4) * _xlfn.NORM.S.INV(RAND())</f>
        <v>2.1322756484951959E-2</v>
      </c>
      <c r="T7138" s="59">
        <f ca="1">Dashboard!C$8* Dashboard!$F$4+Dashboard!C$10*SQRT(Dashboard!$F$4) * _xlfn.NORM.S.INV(RAND())</f>
        <v>6.7417387106534887E-2</v>
      </c>
      <c r="U7138" s="59">
        <f ca="1">Dashboard!D$8* Dashboard!$F$4+Dashboard!D$10*SQRT(Dashboard!$F$4) * _xlfn.NORM.S.INV(RAND())</f>
        <v>-1.3655648451480675E-2</v>
      </c>
    </row>
    <row r="7139" spans="18:21" x14ac:dyDescent="0.2">
      <c r="R7139" s="49">
        <v>7137</v>
      </c>
      <c r="S7139" s="59">
        <f ca="1">Dashboard!B$8* Dashboard!$F$4+Dashboard!B$10*SQRT(Dashboard!$F$4) * _xlfn.NORM.S.INV(RAND())</f>
        <v>6.5491403654935387E-2</v>
      </c>
      <c r="T7139" s="59">
        <f ca="1">Dashboard!C$8* Dashboard!$F$4+Dashboard!C$10*SQRT(Dashboard!$F$4) * _xlfn.NORM.S.INV(RAND())</f>
        <v>-2.0075447314705414E-2</v>
      </c>
      <c r="U7139" s="59">
        <f ca="1">Dashboard!D$8* Dashboard!$F$4+Dashboard!D$10*SQRT(Dashboard!$F$4) * _xlfn.NORM.S.INV(RAND())</f>
        <v>-5.7783040848475131E-2</v>
      </c>
    </row>
    <row r="7140" spans="18:21" x14ac:dyDescent="0.2">
      <c r="R7140" s="49">
        <v>7138</v>
      </c>
      <c r="S7140" s="59">
        <f ca="1">Dashboard!B$8* Dashboard!$F$4+Dashboard!B$10*SQRT(Dashboard!$F$4) * _xlfn.NORM.S.INV(RAND())</f>
        <v>-4.3136830189826572E-2</v>
      </c>
      <c r="T7140" s="59">
        <f ca="1">Dashboard!C$8* Dashboard!$F$4+Dashboard!C$10*SQRT(Dashboard!$F$4) * _xlfn.NORM.S.INV(RAND())</f>
        <v>4.6025016263108592E-2</v>
      </c>
      <c r="U7140" s="59">
        <f ca="1">Dashboard!D$8* Dashboard!$F$4+Dashboard!D$10*SQRT(Dashboard!$F$4) * _xlfn.NORM.S.INV(RAND())</f>
        <v>1.7736563310992281E-2</v>
      </c>
    </row>
    <row r="7141" spans="18:21" x14ac:dyDescent="0.2">
      <c r="R7141" s="49">
        <v>7139</v>
      </c>
      <c r="S7141" s="59">
        <f ca="1">Dashboard!B$8* Dashboard!$F$4+Dashboard!B$10*SQRT(Dashboard!$F$4) * _xlfn.NORM.S.INV(RAND())</f>
        <v>-1.6039464710640251E-2</v>
      </c>
      <c r="T7141" s="59">
        <f ca="1">Dashboard!C$8* Dashboard!$F$4+Dashboard!C$10*SQRT(Dashboard!$F$4) * _xlfn.NORM.S.INV(RAND())</f>
        <v>2.7066551426847572E-2</v>
      </c>
      <c r="U7141" s="59">
        <f ca="1">Dashboard!D$8* Dashboard!$F$4+Dashboard!D$10*SQRT(Dashboard!$F$4) * _xlfn.NORM.S.INV(RAND())</f>
        <v>-2.2156688678169712E-2</v>
      </c>
    </row>
    <row r="7142" spans="18:21" x14ac:dyDescent="0.2">
      <c r="R7142" s="49">
        <v>7140</v>
      </c>
      <c r="S7142" s="59">
        <f ca="1">Dashboard!B$8* Dashboard!$F$4+Dashboard!B$10*SQRT(Dashboard!$F$4) * _xlfn.NORM.S.INV(RAND())</f>
        <v>-6.0917823115649132E-2</v>
      </c>
      <c r="T7142" s="59">
        <f ca="1">Dashboard!C$8* Dashboard!$F$4+Dashboard!C$10*SQRT(Dashboard!$F$4) * _xlfn.NORM.S.INV(RAND())</f>
        <v>1.6861474805462205E-2</v>
      </c>
      <c r="U7142" s="59">
        <f ca="1">Dashboard!D$8* Dashboard!$F$4+Dashboard!D$10*SQRT(Dashboard!$F$4) * _xlfn.NORM.S.INV(RAND())</f>
        <v>5.1670911450861501E-2</v>
      </c>
    </row>
    <row r="7143" spans="18:21" x14ac:dyDescent="0.2">
      <c r="R7143" s="49">
        <v>7141</v>
      </c>
      <c r="S7143" s="59">
        <f ca="1">Dashboard!B$8* Dashboard!$F$4+Dashboard!B$10*SQRT(Dashboard!$F$4) * _xlfn.NORM.S.INV(RAND())</f>
        <v>1.1450136518986603E-2</v>
      </c>
      <c r="T7143" s="59">
        <f ca="1">Dashboard!C$8* Dashboard!$F$4+Dashboard!C$10*SQRT(Dashboard!$F$4) * _xlfn.NORM.S.INV(RAND())</f>
        <v>6.3450816636801591E-2</v>
      </c>
      <c r="U7143" s="59">
        <f ca="1">Dashboard!D$8* Dashboard!$F$4+Dashboard!D$10*SQRT(Dashboard!$F$4) * _xlfn.NORM.S.INV(RAND())</f>
        <v>5.2681279652418575E-2</v>
      </c>
    </row>
    <row r="7144" spans="18:21" x14ac:dyDescent="0.2">
      <c r="R7144" s="49">
        <v>7142</v>
      </c>
      <c r="S7144" s="59">
        <f ca="1">Dashboard!B$8* Dashboard!$F$4+Dashboard!B$10*SQRT(Dashboard!$F$4) * _xlfn.NORM.S.INV(RAND())</f>
        <v>3.4089382130991511E-2</v>
      </c>
      <c r="T7144" s="59">
        <f ca="1">Dashboard!C$8* Dashboard!$F$4+Dashboard!C$10*SQRT(Dashboard!$F$4) * _xlfn.NORM.S.INV(RAND())</f>
        <v>-3.1129991425590895E-2</v>
      </c>
      <c r="U7144" s="59">
        <f ca="1">Dashboard!D$8* Dashboard!$F$4+Dashboard!D$10*SQRT(Dashboard!$F$4) * _xlfn.NORM.S.INV(RAND())</f>
        <v>-6.6274447066609274E-3</v>
      </c>
    </row>
    <row r="7145" spans="18:21" x14ac:dyDescent="0.2">
      <c r="R7145" s="49">
        <v>7143</v>
      </c>
      <c r="S7145" s="59">
        <f ca="1">Dashboard!B$8* Dashboard!$F$4+Dashboard!B$10*SQRT(Dashboard!$F$4) * _xlfn.NORM.S.INV(RAND())</f>
        <v>-2.5737608634391392E-4</v>
      </c>
      <c r="T7145" s="59">
        <f ca="1">Dashboard!C$8* Dashboard!$F$4+Dashboard!C$10*SQRT(Dashboard!$F$4) * _xlfn.NORM.S.INV(RAND())</f>
        <v>-1.2438322798454096E-2</v>
      </c>
      <c r="U7145" s="59">
        <f ca="1">Dashboard!D$8* Dashboard!$F$4+Dashboard!D$10*SQRT(Dashboard!$F$4) * _xlfn.NORM.S.INV(RAND())</f>
        <v>5.2215237981510225E-2</v>
      </c>
    </row>
    <row r="7146" spans="18:21" x14ac:dyDescent="0.2">
      <c r="R7146" s="49">
        <v>7144</v>
      </c>
      <c r="S7146" s="59">
        <f ca="1">Dashboard!B$8* Dashboard!$F$4+Dashboard!B$10*SQRT(Dashboard!$F$4) * _xlfn.NORM.S.INV(RAND())</f>
        <v>-1.8223750020368336E-2</v>
      </c>
      <c r="T7146" s="59">
        <f ca="1">Dashboard!C$8* Dashboard!$F$4+Dashboard!C$10*SQRT(Dashboard!$F$4) * _xlfn.NORM.S.INV(RAND())</f>
        <v>-2.2042428929893283E-2</v>
      </c>
      <c r="U7146" s="59">
        <f ca="1">Dashboard!D$8* Dashboard!$F$4+Dashboard!D$10*SQRT(Dashboard!$F$4) * _xlfn.NORM.S.INV(RAND())</f>
        <v>2.1531122337918932E-2</v>
      </c>
    </row>
    <row r="7147" spans="18:21" x14ac:dyDescent="0.2">
      <c r="R7147" s="49">
        <v>7145</v>
      </c>
      <c r="S7147" s="59">
        <f ca="1">Dashboard!B$8* Dashboard!$F$4+Dashboard!B$10*SQRT(Dashboard!$F$4) * _xlfn.NORM.S.INV(RAND())</f>
        <v>2.9222823819317874E-3</v>
      </c>
      <c r="T7147" s="59">
        <f ca="1">Dashboard!C$8* Dashboard!$F$4+Dashboard!C$10*SQRT(Dashboard!$F$4) * _xlfn.NORM.S.INV(RAND())</f>
        <v>-6.5561830358936051E-3</v>
      </c>
      <c r="U7147" s="59">
        <f ca="1">Dashboard!D$8* Dashboard!$F$4+Dashboard!D$10*SQRT(Dashboard!$F$4) * _xlfn.NORM.S.INV(RAND())</f>
        <v>1.6038156988462733E-2</v>
      </c>
    </row>
    <row r="7148" spans="18:21" x14ac:dyDescent="0.2">
      <c r="R7148" s="49">
        <v>7146</v>
      </c>
      <c r="S7148" s="59">
        <f ca="1">Dashboard!B$8* Dashboard!$F$4+Dashboard!B$10*SQRT(Dashboard!$F$4) * _xlfn.NORM.S.INV(RAND())</f>
        <v>6.9461797583684648E-2</v>
      </c>
      <c r="T7148" s="59">
        <f ca="1">Dashboard!C$8* Dashboard!$F$4+Dashboard!C$10*SQRT(Dashboard!$F$4) * _xlfn.NORM.S.INV(RAND())</f>
        <v>-1.7409408982984074E-2</v>
      </c>
      <c r="U7148" s="59">
        <f ca="1">Dashboard!D$8* Dashboard!$F$4+Dashboard!D$10*SQRT(Dashboard!$F$4) * _xlfn.NORM.S.INV(RAND())</f>
        <v>-7.664013030216116E-3</v>
      </c>
    </row>
    <row r="7149" spans="18:21" x14ac:dyDescent="0.2">
      <c r="R7149" s="49">
        <v>7147</v>
      </c>
      <c r="S7149" s="59">
        <f ca="1">Dashboard!B$8* Dashboard!$F$4+Dashboard!B$10*SQRT(Dashboard!$F$4) * _xlfn.NORM.S.INV(RAND())</f>
        <v>7.6916163107475684E-3</v>
      </c>
      <c r="T7149" s="59">
        <f ca="1">Dashboard!C$8* Dashboard!$F$4+Dashboard!C$10*SQRT(Dashboard!$F$4) * _xlfn.NORM.S.INV(RAND())</f>
        <v>8.0369162832774604E-3</v>
      </c>
      <c r="U7149" s="59">
        <f ca="1">Dashboard!D$8* Dashboard!$F$4+Dashboard!D$10*SQRT(Dashboard!$F$4) * _xlfn.NORM.S.INV(RAND())</f>
        <v>-1.1863377738061908E-2</v>
      </c>
    </row>
    <row r="7150" spans="18:21" x14ac:dyDescent="0.2">
      <c r="R7150" s="49">
        <v>7148</v>
      </c>
      <c r="S7150" s="59">
        <f ca="1">Dashboard!B$8* Dashboard!$F$4+Dashboard!B$10*SQRT(Dashboard!$F$4) * _xlfn.NORM.S.INV(RAND())</f>
        <v>3.4418865215816656E-2</v>
      </c>
      <c r="T7150" s="59">
        <f ca="1">Dashboard!C$8* Dashboard!$F$4+Dashboard!C$10*SQRT(Dashboard!$F$4) * _xlfn.NORM.S.INV(RAND())</f>
        <v>7.6754005124460116E-4</v>
      </c>
      <c r="U7150" s="59">
        <f ca="1">Dashboard!D$8* Dashboard!$F$4+Dashboard!D$10*SQRT(Dashboard!$F$4) * _xlfn.NORM.S.INV(RAND())</f>
        <v>2.6838486088564064E-2</v>
      </c>
    </row>
    <row r="7151" spans="18:21" x14ac:dyDescent="0.2">
      <c r="R7151" s="49">
        <v>7149</v>
      </c>
      <c r="S7151" s="59">
        <f ca="1">Dashboard!B$8* Dashboard!$F$4+Dashboard!B$10*SQRT(Dashboard!$F$4) * _xlfn.NORM.S.INV(RAND())</f>
        <v>4.784388687881615E-3</v>
      </c>
      <c r="T7151" s="59">
        <f ca="1">Dashboard!C$8* Dashboard!$F$4+Dashboard!C$10*SQRT(Dashboard!$F$4) * _xlfn.NORM.S.INV(RAND())</f>
        <v>1.6665236304946342E-2</v>
      </c>
      <c r="U7151" s="59">
        <f ca="1">Dashboard!D$8* Dashboard!$F$4+Dashboard!D$10*SQRT(Dashboard!$F$4) * _xlfn.NORM.S.INV(RAND())</f>
        <v>-8.8368228561760322E-3</v>
      </c>
    </row>
    <row r="7152" spans="18:21" x14ac:dyDescent="0.2">
      <c r="R7152" s="49">
        <v>7150</v>
      </c>
      <c r="S7152" s="59">
        <f ca="1">Dashboard!B$8* Dashboard!$F$4+Dashboard!B$10*SQRT(Dashboard!$F$4) * _xlfn.NORM.S.INV(RAND())</f>
        <v>-4.9181797005810789E-2</v>
      </c>
      <c r="T7152" s="59">
        <f ca="1">Dashboard!C$8* Dashboard!$F$4+Dashboard!C$10*SQRT(Dashboard!$F$4) * _xlfn.NORM.S.INV(RAND())</f>
        <v>-1.4753224907007997E-3</v>
      </c>
      <c r="U7152" s="59">
        <f ca="1">Dashboard!D$8* Dashboard!$F$4+Dashboard!D$10*SQRT(Dashboard!$F$4) * _xlfn.NORM.S.INV(RAND())</f>
        <v>-2.5349033005400621E-2</v>
      </c>
    </row>
    <row r="7153" spans="18:21" x14ac:dyDescent="0.2">
      <c r="R7153" s="49">
        <v>7151</v>
      </c>
      <c r="S7153" s="59">
        <f ca="1">Dashboard!B$8* Dashboard!$F$4+Dashboard!B$10*SQRT(Dashboard!$F$4) * _xlfn.NORM.S.INV(RAND())</f>
        <v>5.9241659783489456E-4</v>
      </c>
      <c r="T7153" s="59">
        <f ca="1">Dashboard!C$8* Dashboard!$F$4+Dashboard!C$10*SQRT(Dashboard!$F$4) * _xlfn.NORM.S.INV(RAND())</f>
        <v>-3.347064987880341E-2</v>
      </c>
      <c r="U7153" s="59">
        <f ca="1">Dashboard!D$8* Dashboard!$F$4+Dashboard!D$10*SQRT(Dashboard!$F$4) * _xlfn.NORM.S.INV(RAND())</f>
        <v>1.0229653648433173E-2</v>
      </c>
    </row>
    <row r="7154" spans="18:21" x14ac:dyDescent="0.2">
      <c r="R7154" s="49">
        <v>7152</v>
      </c>
      <c r="S7154" s="59">
        <f ca="1">Dashboard!B$8* Dashboard!$F$4+Dashboard!B$10*SQRT(Dashboard!$F$4) * _xlfn.NORM.S.INV(RAND())</f>
        <v>-2.1208950242108067E-2</v>
      </c>
      <c r="T7154" s="59">
        <f ca="1">Dashboard!C$8* Dashboard!$F$4+Dashboard!C$10*SQRT(Dashboard!$F$4) * _xlfn.NORM.S.INV(RAND())</f>
        <v>5.5604568822122842E-2</v>
      </c>
      <c r="U7154" s="59">
        <f ca="1">Dashboard!D$8* Dashboard!$F$4+Dashboard!D$10*SQRT(Dashboard!$F$4) * _xlfn.NORM.S.INV(RAND())</f>
        <v>-6.050729569841426E-2</v>
      </c>
    </row>
    <row r="7155" spans="18:21" x14ac:dyDescent="0.2">
      <c r="R7155" s="49">
        <v>7153</v>
      </c>
      <c r="S7155" s="59">
        <f ca="1">Dashboard!B$8* Dashboard!$F$4+Dashboard!B$10*SQRT(Dashboard!$F$4) * _xlfn.NORM.S.INV(RAND())</f>
        <v>4.7074517864969016E-2</v>
      </c>
      <c r="T7155" s="59">
        <f ca="1">Dashboard!C$8* Dashboard!$F$4+Dashboard!C$10*SQRT(Dashboard!$F$4) * _xlfn.NORM.S.INV(RAND())</f>
        <v>1.9217176722407216E-2</v>
      </c>
      <c r="U7155" s="59">
        <f ca="1">Dashboard!D$8* Dashboard!$F$4+Dashboard!D$10*SQRT(Dashboard!$F$4) * _xlfn.NORM.S.INV(RAND())</f>
        <v>-1.4950686641503733E-2</v>
      </c>
    </row>
    <row r="7156" spans="18:21" x14ac:dyDescent="0.2">
      <c r="R7156" s="49">
        <v>7154</v>
      </c>
      <c r="S7156" s="59">
        <f ca="1">Dashboard!B$8* Dashboard!$F$4+Dashboard!B$10*SQRT(Dashboard!$F$4) * _xlfn.NORM.S.INV(RAND())</f>
        <v>-3.0006260323950928E-2</v>
      </c>
      <c r="T7156" s="59">
        <f ca="1">Dashboard!C$8* Dashboard!$F$4+Dashboard!C$10*SQRT(Dashboard!$F$4) * _xlfn.NORM.S.INV(RAND())</f>
        <v>5.7218491275822042E-2</v>
      </c>
      <c r="U7156" s="59">
        <f ca="1">Dashboard!D$8* Dashboard!$F$4+Dashboard!D$10*SQRT(Dashboard!$F$4) * _xlfn.NORM.S.INV(RAND())</f>
        <v>8.8143982403247639E-2</v>
      </c>
    </row>
    <row r="7157" spans="18:21" x14ac:dyDescent="0.2">
      <c r="R7157" s="49">
        <v>7155</v>
      </c>
      <c r="S7157" s="59">
        <f ca="1">Dashboard!B$8* Dashboard!$F$4+Dashboard!B$10*SQRT(Dashboard!$F$4) * _xlfn.NORM.S.INV(RAND())</f>
        <v>1.4692764086647324E-2</v>
      </c>
      <c r="T7157" s="59">
        <f ca="1">Dashboard!C$8* Dashboard!$F$4+Dashboard!C$10*SQRT(Dashboard!$F$4) * _xlfn.NORM.S.INV(RAND())</f>
        <v>-4.547038358361552E-2</v>
      </c>
      <c r="U7157" s="59">
        <f ca="1">Dashboard!D$8* Dashboard!$F$4+Dashboard!D$10*SQRT(Dashboard!$F$4) * _xlfn.NORM.S.INV(RAND())</f>
        <v>2.4664429134576001E-2</v>
      </c>
    </row>
    <row r="7158" spans="18:21" x14ac:dyDescent="0.2">
      <c r="R7158" s="49">
        <v>7156</v>
      </c>
      <c r="S7158" s="59">
        <f ca="1">Dashboard!B$8* Dashboard!$F$4+Dashboard!B$10*SQRT(Dashboard!$F$4) * _xlfn.NORM.S.INV(RAND())</f>
        <v>2.4700994783129045E-2</v>
      </c>
      <c r="T7158" s="59">
        <f ca="1">Dashboard!C$8* Dashboard!$F$4+Dashboard!C$10*SQRT(Dashboard!$F$4) * _xlfn.NORM.S.INV(RAND())</f>
        <v>2.4146095278766433E-2</v>
      </c>
      <c r="U7158" s="59">
        <f ca="1">Dashboard!D$8* Dashboard!$F$4+Dashboard!D$10*SQRT(Dashboard!$F$4) * _xlfn.NORM.S.INV(RAND())</f>
        <v>-5.4317351128108406E-2</v>
      </c>
    </row>
    <row r="7159" spans="18:21" x14ac:dyDescent="0.2">
      <c r="R7159" s="49">
        <v>7157</v>
      </c>
      <c r="S7159" s="59">
        <f ca="1">Dashboard!B$8* Dashboard!$F$4+Dashboard!B$10*SQRT(Dashboard!$F$4) * _xlfn.NORM.S.INV(RAND())</f>
        <v>-1.9461701024314763E-2</v>
      </c>
      <c r="T7159" s="59">
        <f ca="1">Dashboard!C$8* Dashboard!$F$4+Dashboard!C$10*SQRT(Dashboard!$F$4) * _xlfn.NORM.S.INV(RAND())</f>
        <v>5.5253298829354126E-2</v>
      </c>
      <c r="U7159" s="59">
        <f ca="1">Dashboard!D$8* Dashboard!$F$4+Dashboard!D$10*SQRT(Dashboard!$F$4) * _xlfn.NORM.S.INV(RAND())</f>
        <v>3.0866691604810651E-2</v>
      </c>
    </row>
    <row r="7160" spans="18:21" x14ac:dyDescent="0.2">
      <c r="R7160" s="49">
        <v>7158</v>
      </c>
      <c r="S7160" s="59">
        <f ca="1">Dashboard!B$8* Dashboard!$F$4+Dashboard!B$10*SQRT(Dashboard!$F$4) * _xlfn.NORM.S.INV(RAND())</f>
        <v>-2.1189509023940234E-2</v>
      </c>
      <c r="T7160" s="59">
        <f ca="1">Dashboard!C$8* Dashboard!$F$4+Dashboard!C$10*SQRT(Dashboard!$F$4) * _xlfn.NORM.S.INV(RAND())</f>
        <v>-5.7123495516135043E-3</v>
      </c>
      <c r="U7160" s="59">
        <f ca="1">Dashboard!D$8* Dashboard!$F$4+Dashboard!D$10*SQRT(Dashboard!$F$4) * _xlfn.NORM.S.INV(RAND())</f>
        <v>-2.4843716663985136E-3</v>
      </c>
    </row>
    <row r="7161" spans="18:21" x14ac:dyDescent="0.2">
      <c r="R7161" s="49">
        <v>7159</v>
      </c>
      <c r="S7161" s="59">
        <f ca="1">Dashboard!B$8* Dashboard!$F$4+Dashboard!B$10*SQRT(Dashboard!$F$4) * _xlfn.NORM.S.INV(RAND())</f>
        <v>2.0990669483593148E-2</v>
      </c>
      <c r="T7161" s="59">
        <f ca="1">Dashboard!C$8* Dashboard!$F$4+Dashboard!C$10*SQRT(Dashboard!$F$4) * _xlfn.NORM.S.INV(RAND())</f>
        <v>-4.2608885244976621E-2</v>
      </c>
      <c r="U7161" s="59">
        <f ca="1">Dashboard!D$8* Dashboard!$F$4+Dashboard!D$10*SQRT(Dashboard!$F$4) * _xlfn.NORM.S.INV(RAND())</f>
        <v>4.5759105686138016E-2</v>
      </c>
    </row>
    <row r="7162" spans="18:21" x14ac:dyDescent="0.2">
      <c r="R7162" s="49">
        <v>7160</v>
      </c>
      <c r="S7162" s="59">
        <f ca="1">Dashboard!B$8* Dashboard!$F$4+Dashboard!B$10*SQRT(Dashboard!$F$4) * _xlfn.NORM.S.INV(RAND())</f>
        <v>4.3149963758443627E-2</v>
      </c>
      <c r="T7162" s="59">
        <f ca="1">Dashboard!C$8* Dashboard!$F$4+Dashboard!C$10*SQRT(Dashboard!$F$4) * _xlfn.NORM.S.INV(RAND())</f>
        <v>-2.7239976654844875E-2</v>
      </c>
      <c r="U7162" s="59">
        <f ca="1">Dashboard!D$8* Dashboard!$F$4+Dashboard!D$10*SQRT(Dashboard!$F$4) * _xlfn.NORM.S.INV(RAND())</f>
        <v>2.1226393060051918E-2</v>
      </c>
    </row>
    <row r="7163" spans="18:21" x14ac:dyDescent="0.2">
      <c r="R7163" s="49">
        <v>7161</v>
      </c>
      <c r="S7163" s="59">
        <f ca="1">Dashboard!B$8* Dashboard!$F$4+Dashboard!B$10*SQRT(Dashboard!$F$4) * _xlfn.NORM.S.INV(RAND())</f>
        <v>-3.8604188091532132E-3</v>
      </c>
      <c r="T7163" s="59">
        <f ca="1">Dashboard!C$8* Dashboard!$F$4+Dashboard!C$10*SQRT(Dashboard!$F$4) * _xlfn.NORM.S.INV(RAND())</f>
        <v>-3.910823887997858E-2</v>
      </c>
      <c r="U7163" s="59">
        <f ca="1">Dashboard!D$8* Dashboard!$F$4+Dashboard!D$10*SQRT(Dashboard!$F$4) * _xlfn.NORM.S.INV(RAND())</f>
        <v>2.7735471958906622E-2</v>
      </c>
    </row>
    <row r="7164" spans="18:21" x14ac:dyDescent="0.2">
      <c r="R7164" s="49">
        <v>7162</v>
      </c>
      <c r="S7164" s="59">
        <f ca="1">Dashboard!B$8* Dashboard!$F$4+Dashboard!B$10*SQRT(Dashboard!$F$4) * _xlfn.NORM.S.INV(RAND())</f>
        <v>-3.8234784483647664E-2</v>
      </c>
      <c r="T7164" s="59">
        <f ca="1">Dashboard!C$8* Dashboard!$F$4+Dashboard!C$10*SQRT(Dashboard!$F$4) * _xlfn.NORM.S.INV(RAND())</f>
        <v>-3.4013935445524383E-2</v>
      </c>
      <c r="U7164" s="59">
        <f ca="1">Dashboard!D$8* Dashboard!$F$4+Dashboard!D$10*SQRT(Dashboard!$F$4) * _xlfn.NORM.S.INV(RAND())</f>
        <v>2.7251000209106795E-2</v>
      </c>
    </row>
    <row r="7165" spans="18:21" x14ac:dyDescent="0.2">
      <c r="R7165" s="49">
        <v>7163</v>
      </c>
      <c r="S7165" s="59">
        <f ca="1">Dashboard!B$8* Dashboard!$F$4+Dashboard!B$10*SQRT(Dashboard!$F$4) * _xlfn.NORM.S.INV(RAND())</f>
        <v>-3.1607375636920109E-3</v>
      </c>
      <c r="T7165" s="59">
        <f ca="1">Dashboard!C$8* Dashboard!$F$4+Dashboard!C$10*SQRT(Dashboard!$F$4) * _xlfn.NORM.S.INV(RAND())</f>
        <v>-1.8109684556794618E-2</v>
      </c>
      <c r="U7165" s="59">
        <f ca="1">Dashboard!D$8* Dashboard!$F$4+Dashboard!D$10*SQRT(Dashboard!$F$4) * _xlfn.NORM.S.INV(RAND())</f>
        <v>3.5079469118883363E-2</v>
      </c>
    </row>
    <row r="7166" spans="18:21" x14ac:dyDescent="0.2">
      <c r="R7166" s="49">
        <v>7164</v>
      </c>
      <c r="S7166" s="59">
        <f ca="1">Dashboard!B$8* Dashboard!$F$4+Dashboard!B$10*SQRT(Dashboard!$F$4) * _xlfn.NORM.S.INV(RAND())</f>
        <v>5.5485998393402576E-2</v>
      </c>
      <c r="T7166" s="59">
        <f ca="1">Dashboard!C$8* Dashboard!$F$4+Dashboard!C$10*SQRT(Dashboard!$F$4) * _xlfn.NORM.S.INV(RAND())</f>
        <v>-8.3465019056067416E-3</v>
      </c>
      <c r="U7166" s="59">
        <f ca="1">Dashboard!D$8* Dashboard!$F$4+Dashboard!D$10*SQRT(Dashboard!$F$4) * _xlfn.NORM.S.INV(RAND())</f>
        <v>7.3457030159437466E-3</v>
      </c>
    </row>
    <row r="7167" spans="18:21" x14ac:dyDescent="0.2">
      <c r="R7167" s="49">
        <v>7165</v>
      </c>
      <c r="S7167" s="59">
        <f ca="1">Dashboard!B$8* Dashboard!$F$4+Dashboard!B$10*SQRT(Dashboard!$F$4) * _xlfn.NORM.S.INV(RAND())</f>
        <v>3.4299856274639263E-3</v>
      </c>
      <c r="T7167" s="59">
        <f ca="1">Dashboard!C$8* Dashboard!$F$4+Dashboard!C$10*SQRT(Dashboard!$F$4) * _xlfn.NORM.S.INV(RAND())</f>
        <v>-2.8457213374837639E-3</v>
      </c>
      <c r="U7167" s="59">
        <f ca="1">Dashboard!D$8* Dashboard!$F$4+Dashboard!D$10*SQRT(Dashboard!$F$4) * _xlfn.NORM.S.INV(RAND())</f>
        <v>-2.6311504001621154E-2</v>
      </c>
    </row>
    <row r="7168" spans="18:21" x14ac:dyDescent="0.2">
      <c r="R7168" s="49">
        <v>7166</v>
      </c>
      <c r="S7168" s="59">
        <f ca="1">Dashboard!B$8* Dashboard!$F$4+Dashboard!B$10*SQRT(Dashboard!$F$4) * _xlfn.NORM.S.INV(RAND())</f>
        <v>-8.1489230192147627E-2</v>
      </c>
      <c r="T7168" s="59">
        <f ca="1">Dashboard!C$8* Dashboard!$F$4+Dashboard!C$10*SQRT(Dashboard!$F$4) * _xlfn.NORM.S.INV(RAND())</f>
        <v>7.6754099769236958E-2</v>
      </c>
      <c r="U7168" s="59">
        <f ca="1">Dashboard!D$8* Dashboard!$F$4+Dashboard!D$10*SQRT(Dashboard!$F$4) * _xlfn.NORM.S.INV(RAND())</f>
        <v>4.0802016733462017E-2</v>
      </c>
    </row>
    <row r="7169" spans="18:21" x14ac:dyDescent="0.2">
      <c r="R7169" s="49">
        <v>7167</v>
      </c>
      <c r="S7169" s="59">
        <f ca="1">Dashboard!B$8* Dashboard!$F$4+Dashboard!B$10*SQRT(Dashboard!$F$4) * _xlfn.NORM.S.INV(RAND())</f>
        <v>-1.4242251381881535E-3</v>
      </c>
      <c r="T7169" s="59">
        <f ca="1">Dashboard!C$8* Dashboard!$F$4+Dashboard!C$10*SQRT(Dashboard!$F$4) * _xlfn.NORM.S.INV(RAND())</f>
        <v>-2.0375804620517385E-2</v>
      </c>
      <c r="U7169" s="59">
        <f ca="1">Dashboard!D$8* Dashboard!$F$4+Dashboard!D$10*SQRT(Dashboard!$F$4) * _xlfn.NORM.S.INV(RAND())</f>
        <v>3.1971653914941812E-2</v>
      </c>
    </row>
    <row r="7170" spans="18:21" x14ac:dyDescent="0.2">
      <c r="R7170" s="49">
        <v>7168</v>
      </c>
      <c r="S7170" s="59">
        <f ca="1">Dashboard!B$8* Dashboard!$F$4+Dashboard!B$10*SQRT(Dashboard!$F$4) * _xlfn.NORM.S.INV(RAND())</f>
        <v>1.5167890288672945E-2</v>
      </c>
      <c r="T7170" s="59">
        <f ca="1">Dashboard!C$8* Dashboard!$F$4+Dashboard!C$10*SQRT(Dashboard!$F$4) * _xlfn.NORM.S.INV(RAND())</f>
        <v>-2.0157076701786771E-2</v>
      </c>
      <c r="U7170" s="59">
        <f ca="1">Dashboard!D$8* Dashboard!$F$4+Dashboard!D$10*SQRT(Dashboard!$F$4) * _xlfn.NORM.S.INV(RAND())</f>
        <v>-9.1661998682410345E-2</v>
      </c>
    </row>
    <row r="7171" spans="18:21" x14ac:dyDescent="0.2">
      <c r="R7171" s="49">
        <v>7169</v>
      </c>
      <c r="S7171" s="59">
        <f ca="1">Dashboard!B$8* Dashboard!$F$4+Dashboard!B$10*SQRT(Dashboard!$F$4) * _xlfn.NORM.S.INV(RAND())</f>
        <v>-3.464601701678572E-2</v>
      </c>
      <c r="T7171" s="59">
        <f ca="1">Dashboard!C$8* Dashboard!$F$4+Dashboard!C$10*SQRT(Dashboard!$F$4) * _xlfn.NORM.S.INV(RAND())</f>
        <v>-3.2534229168965784E-5</v>
      </c>
      <c r="U7171" s="59">
        <f ca="1">Dashboard!D$8* Dashboard!$F$4+Dashboard!D$10*SQRT(Dashboard!$F$4) * _xlfn.NORM.S.INV(RAND())</f>
        <v>4.0348107385342249E-3</v>
      </c>
    </row>
    <row r="7172" spans="18:21" x14ac:dyDescent="0.2">
      <c r="R7172" s="49">
        <v>7170</v>
      </c>
      <c r="S7172" s="59">
        <f ca="1">Dashboard!B$8* Dashboard!$F$4+Dashboard!B$10*SQRT(Dashboard!$F$4) * _xlfn.NORM.S.INV(RAND())</f>
        <v>-3.9350618445351093E-2</v>
      </c>
      <c r="T7172" s="59">
        <f ca="1">Dashboard!C$8* Dashboard!$F$4+Dashboard!C$10*SQRT(Dashboard!$F$4) * _xlfn.NORM.S.INV(RAND())</f>
        <v>7.2597871212354576E-3</v>
      </c>
      <c r="U7172" s="59">
        <f ca="1">Dashboard!D$8* Dashboard!$F$4+Dashboard!D$10*SQRT(Dashboard!$F$4) * _xlfn.NORM.S.INV(RAND())</f>
        <v>1.4467371632794263E-2</v>
      </c>
    </row>
    <row r="7173" spans="18:21" x14ac:dyDescent="0.2">
      <c r="R7173" s="49">
        <v>7171</v>
      </c>
      <c r="S7173" s="59">
        <f ca="1">Dashboard!B$8* Dashboard!$F$4+Dashboard!B$10*SQRT(Dashboard!$F$4) * _xlfn.NORM.S.INV(RAND())</f>
        <v>4.995806728164548E-2</v>
      </c>
      <c r="T7173" s="59">
        <f ca="1">Dashboard!C$8* Dashboard!$F$4+Dashboard!C$10*SQRT(Dashboard!$F$4) * _xlfn.NORM.S.INV(RAND())</f>
        <v>2.3815048347276491E-2</v>
      </c>
      <c r="U7173" s="59">
        <f ca="1">Dashboard!D$8* Dashboard!$F$4+Dashboard!D$10*SQRT(Dashboard!$F$4) * _xlfn.NORM.S.INV(RAND())</f>
        <v>-6.5634846776856576E-2</v>
      </c>
    </row>
    <row r="7174" spans="18:21" x14ac:dyDescent="0.2">
      <c r="R7174" s="49">
        <v>7172</v>
      </c>
      <c r="S7174" s="59">
        <f ca="1">Dashboard!B$8* Dashboard!$F$4+Dashboard!B$10*SQRT(Dashboard!$F$4) * _xlfn.NORM.S.INV(RAND())</f>
        <v>-1.0777163984262584E-2</v>
      </c>
      <c r="T7174" s="59">
        <f ca="1">Dashboard!C$8* Dashboard!$F$4+Dashboard!C$10*SQRT(Dashboard!$F$4) * _xlfn.NORM.S.INV(RAND())</f>
        <v>-1.9504216223535705E-2</v>
      </c>
      <c r="U7174" s="59">
        <f ca="1">Dashboard!D$8* Dashboard!$F$4+Dashboard!D$10*SQRT(Dashboard!$F$4) * _xlfn.NORM.S.INV(RAND())</f>
        <v>6.4171450510638215E-3</v>
      </c>
    </row>
    <row r="7175" spans="18:21" x14ac:dyDescent="0.2">
      <c r="R7175" s="49">
        <v>7173</v>
      </c>
      <c r="S7175" s="59">
        <f ca="1">Dashboard!B$8* Dashboard!$F$4+Dashboard!B$10*SQRT(Dashboard!$F$4) * _xlfn.NORM.S.INV(RAND())</f>
        <v>2.074956594584302E-2</v>
      </c>
      <c r="T7175" s="59">
        <f ca="1">Dashboard!C$8* Dashboard!$F$4+Dashboard!C$10*SQRT(Dashboard!$F$4) * _xlfn.NORM.S.INV(RAND())</f>
        <v>-1.5217267003192789E-2</v>
      </c>
      <c r="U7175" s="59">
        <f ca="1">Dashboard!D$8* Dashboard!$F$4+Dashboard!D$10*SQRT(Dashboard!$F$4) * _xlfn.NORM.S.INV(RAND())</f>
        <v>1.2417821480697984E-2</v>
      </c>
    </row>
    <row r="7176" spans="18:21" x14ac:dyDescent="0.2">
      <c r="R7176" s="49">
        <v>7174</v>
      </c>
      <c r="S7176" s="59">
        <f ca="1">Dashboard!B$8* Dashboard!$F$4+Dashboard!B$10*SQRT(Dashboard!$F$4) * _xlfn.NORM.S.INV(RAND())</f>
        <v>-6.7203652521342482E-4</v>
      </c>
      <c r="T7176" s="59">
        <f ca="1">Dashboard!C$8* Dashboard!$F$4+Dashboard!C$10*SQRT(Dashboard!$F$4) * _xlfn.NORM.S.INV(RAND())</f>
        <v>4.2046908644642E-2</v>
      </c>
      <c r="U7176" s="59">
        <f ca="1">Dashboard!D$8* Dashboard!$F$4+Dashboard!D$10*SQRT(Dashboard!$F$4) * _xlfn.NORM.S.INV(RAND())</f>
        <v>1.8765950022673027E-2</v>
      </c>
    </row>
    <row r="7177" spans="18:21" x14ac:dyDescent="0.2">
      <c r="R7177" s="49">
        <v>7175</v>
      </c>
      <c r="S7177" s="59">
        <f ca="1">Dashboard!B$8* Dashboard!$F$4+Dashboard!B$10*SQRT(Dashboard!$F$4) * _xlfn.NORM.S.INV(RAND())</f>
        <v>-3.0926974295854719E-2</v>
      </c>
      <c r="T7177" s="59">
        <f ca="1">Dashboard!C$8* Dashboard!$F$4+Dashboard!C$10*SQRT(Dashboard!$F$4) * _xlfn.NORM.S.INV(RAND())</f>
        <v>-3.5607530048683077E-2</v>
      </c>
      <c r="U7177" s="59">
        <f ca="1">Dashboard!D$8* Dashboard!$F$4+Dashboard!D$10*SQRT(Dashboard!$F$4) * _xlfn.NORM.S.INV(RAND())</f>
        <v>1.0959525617585642E-2</v>
      </c>
    </row>
    <row r="7178" spans="18:21" x14ac:dyDescent="0.2">
      <c r="R7178" s="49">
        <v>7176</v>
      </c>
      <c r="S7178" s="59">
        <f ca="1">Dashboard!B$8* Dashboard!$F$4+Dashboard!B$10*SQRT(Dashboard!$F$4) * _xlfn.NORM.S.INV(RAND())</f>
        <v>4.2535677745404309E-2</v>
      </c>
      <c r="T7178" s="59">
        <f ca="1">Dashboard!C$8* Dashboard!$F$4+Dashboard!C$10*SQRT(Dashboard!$F$4) * _xlfn.NORM.S.INV(RAND())</f>
        <v>-2.1260449607640078E-2</v>
      </c>
      <c r="U7178" s="59">
        <f ca="1">Dashboard!D$8* Dashboard!$F$4+Dashboard!D$10*SQRT(Dashboard!$F$4) * _xlfn.NORM.S.INV(RAND())</f>
        <v>-1.4584415433058225E-2</v>
      </c>
    </row>
    <row r="7179" spans="18:21" x14ac:dyDescent="0.2">
      <c r="R7179" s="49">
        <v>7177</v>
      </c>
      <c r="S7179" s="59">
        <f ca="1">Dashboard!B$8* Dashboard!$F$4+Dashboard!B$10*SQRT(Dashboard!$F$4) * _xlfn.NORM.S.INV(RAND())</f>
        <v>1.5346300495886785E-2</v>
      </c>
      <c r="T7179" s="59">
        <f ca="1">Dashboard!C$8* Dashboard!$F$4+Dashboard!C$10*SQRT(Dashboard!$F$4) * _xlfn.NORM.S.INV(RAND())</f>
        <v>7.9844710849923936E-2</v>
      </c>
      <c r="U7179" s="59">
        <f ca="1">Dashboard!D$8* Dashboard!$F$4+Dashboard!D$10*SQRT(Dashboard!$F$4) * _xlfn.NORM.S.INV(RAND())</f>
        <v>4.3081999533453826E-2</v>
      </c>
    </row>
    <row r="7180" spans="18:21" x14ac:dyDescent="0.2">
      <c r="R7180" s="49">
        <v>7178</v>
      </c>
      <c r="S7180" s="59">
        <f ca="1">Dashboard!B$8* Dashboard!$F$4+Dashboard!B$10*SQRT(Dashboard!$F$4) * _xlfn.NORM.S.INV(RAND())</f>
        <v>-3.9381483989243203E-2</v>
      </c>
      <c r="T7180" s="59">
        <f ca="1">Dashboard!C$8* Dashboard!$F$4+Dashboard!C$10*SQRT(Dashboard!$F$4) * _xlfn.NORM.S.INV(RAND())</f>
        <v>1.9079569615127974E-2</v>
      </c>
      <c r="U7180" s="59">
        <f ca="1">Dashboard!D$8* Dashboard!$F$4+Dashboard!D$10*SQRT(Dashboard!$F$4) * _xlfn.NORM.S.INV(RAND())</f>
        <v>2.3569734175512867E-2</v>
      </c>
    </row>
    <row r="7181" spans="18:21" x14ac:dyDescent="0.2">
      <c r="R7181" s="49">
        <v>7179</v>
      </c>
      <c r="S7181" s="59">
        <f ca="1">Dashboard!B$8* Dashboard!$F$4+Dashboard!B$10*SQRT(Dashboard!$F$4) * _xlfn.NORM.S.INV(RAND())</f>
        <v>4.6757676820108583E-3</v>
      </c>
      <c r="T7181" s="59">
        <f ca="1">Dashboard!C$8* Dashboard!$F$4+Dashboard!C$10*SQRT(Dashboard!$F$4) * _xlfn.NORM.S.INV(RAND())</f>
        <v>-1.3975494930348907E-2</v>
      </c>
      <c r="U7181" s="59">
        <f ca="1">Dashboard!D$8* Dashboard!$F$4+Dashboard!D$10*SQRT(Dashboard!$F$4) * _xlfn.NORM.S.INV(RAND())</f>
        <v>-2.7953713933568661E-2</v>
      </c>
    </row>
    <row r="7182" spans="18:21" x14ac:dyDescent="0.2">
      <c r="R7182" s="49">
        <v>7180</v>
      </c>
      <c r="S7182" s="59">
        <f ca="1">Dashboard!B$8* Dashboard!$F$4+Dashboard!B$10*SQRT(Dashboard!$F$4) * _xlfn.NORM.S.INV(RAND())</f>
        <v>2.8852444035069313E-2</v>
      </c>
      <c r="T7182" s="59">
        <f ca="1">Dashboard!C$8* Dashboard!$F$4+Dashboard!C$10*SQRT(Dashboard!$F$4) * _xlfn.NORM.S.INV(RAND())</f>
        <v>3.6059400804926207E-2</v>
      </c>
      <c r="U7182" s="59">
        <f ca="1">Dashboard!D$8* Dashboard!$F$4+Dashboard!D$10*SQRT(Dashboard!$F$4) * _xlfn.NORM.S.INV(RAND())</f>
        <v>3.3953904118224812E-2</v>
      </c>
    </row>
    <row r="7183" spans="18:21" x14ac:dyDescent="0.2">
      <c r="R7183" s="49">
        <v>7181</v>
      </c>
      <c r="S7183" s="59">
        <f ca="1">Dashboard!B$8* Dashboard!$F$4+Dashboard!B$10*SQRT(Dashboard!$F$4) * _xlfn.NORM.S.INV(RAND())</f>
        <v>-3.3969404304023433E-2</v>
      </c>
      <c r="T7183" s="59">
        <f ca="1">Dashboard!C$8* Dashboard!$F$4+Dashboard!C$10*SQRT(Dashboard!$F$4) * _xlfn.NORM.S.INV(RAND())</f>
        <v>3.3100134063818357E-2</v>
      </c>
      <c r="U7183" s="59">
        <f ca="1">Dashboard!D$8* Dashboard!$F$4+Dashboard!D$10*SQRT(Dashboard!$F$4) * _xlfn.NORM.S.INV(RAND())</f>
        <v>-7.6445695671868092E-3</v>
      </c>
    </row>
    <row r="7184" spans="18:21" x14ac:dyDescent="0.2">
      <c r="R7184" s="49">
        <v>7182</v>
      </c>
      <c r="S7184" s="59">
        <f ca="1">Dashboard!B$8* Dashboard!$F$4+Dashboard!B$10*SQRT(Dashboard!$F$4) * _xlfn.NORM.S.INV(RAND())</f>
        <v>1.9856965577885695E-2</v>
      </c>
      <c r="T7184" s="59">
        <f ca="1">Dashboard!C$8* Dashboard!$F$4+Dashboard!C$10*SQRT(Dashboard!$F$4) * _xlfn.NORM.S.INV(RAND())</f>
        <v>4.3293272133414724E-2</v>
      </c>
      <c r="U7184" s="59">
        <f ca="1">Dashboard!D$8* Dashboard!$F$4+Dashboard!D$10*SQRT(Dashboard!$F$4) * _xlfn.NORM.S.INV(RAND())</f>
        <v>1.2329822992696356E-2</v>
      </c>
    </row>
    <row r="7185" spans="18:21" x14ac:dyDescent="0.2">
      <c r="R7185" s="49">
        <v>7183</v>
      </c>
      <c r="S7185" s="59">
        <f ca="1">Dashboard!B$8* Dashboard!$F$4+Dashboard!B$10*SQRT(Dashboard!$F$4) * _xlfn.NORM.S.INV(RAND())</f>
        <v>-1.4920076866784402E-2</v>
      </c>
      <c r="T7185" s="59">
        <f ca="1">Dashboard!C$8* Dashboard!$F$4+Dashboard!C$10*SQRT(Dashboard!$F$4) * _xlfn.NORM.S.INV(RAND())</f>
        <v>3.9679160062328057E-2</v>
      </c>
      <c r="U7185" s="59">
        <f ca="1">Dashboard!D$8* Dashboard!$F$4+Dashboard!D$10*SQRT(Dashboard!$F$4) * _xlfn.NORM.S.INV(RAND())</f>
        <v>3.0463600906944797E-2</v>
      </c>
    </row>
    <row r="7186" spans="18:21" x14ac:dyDescent="0.2">
      <c r="R7186" s="49">
        <v>7184</v>
      </c>
      <c r="S7186" s="59">
        <f ca="1">Dashboard!B$8* Dashboard!$F$4+Dashboard!B$10*SQRT(Dashboard!$F$4) * _xlfn.NORM.S.INV(RAND())</f>
        <v>-2.5280017757844206E-2</v>
      </c>
      <c r="T7186" s="59">
        <f ca="1">Dashboard!C$8* Dashboard!$F$4+Dashboard!C$10*SQRT(Dashboard!$F$4) * _xlfn.NORM.S.INV(RAND())</f>
        <v>6.9850124664812222E-3</v>
      </c>
      <c r="U7186" s="59">
        <f ca="1">Dashboard!D$8* Dashboard!$F$4+Dashboard!D$10*SQRT(Dashboard!$F$4) * _xlfn.NORM.S.INV(RAND())</f>
        <v>7.8419864069013152E-3</v>
      </c>
    </row>
    <row r="7187" spans="18:21" x14ac:dyDescent="0.2">
      <c r="R7187" s="49">
        <v>7185</v>
      </c>
      <c r="S7187" s="59">
        <f ca="1">Dashboard!B$8* Dashboard!$F$4+Dashboard!B$10*SQRT(Dashboard!$F$4) * _xlfn.NORM.S.INV(RAND())</f>
        <v>-9.3812466328621284E-3</v>
      </c>
      <c r="T7187" s="59">
        <f ca="1">Dashboard!C$8* Dashboard!$F$4+Dashboard!C$10*SQRT(Dashboard!$F$4) * _xlfn.NORM.S.INV(RAND())</f>
        <v>1.7180564921734587E-2</v>
      </c>
      <c r="U7187" s="59">
        <f ca="1">Dashboard!D$8* Dashboard!$F$4+Dashboard!D$10*SQRT(Dashboard!$F$4) * _xlfn.NORM.S.INV(RAND())</f>
        <v>1.074241820799679E-2</v>
      </c>
    </row>
    <row r="7188" spans="18:21" x14ac:dyDescent="0.2">
      <c r="R7188" s="49">
        <v>7186</v>
      </c>
      <c r="S7188" s="59">
        <f ca="1">Dashboard!B$8* Dashboard!$F$4+Dashboard!B$10*SQRT(Dashboard!$F$4) * _xlfn.NORM.S.INV(RAND())</f>
        <v>-3.8672618580370778E-2</v>
      </c>
      <c r="T7188" s="59">
        <f ca="1">Dashboard!C$8* Dashboard!$F$4+Dashboard!C$10*SQRT(Dashboard!$F$4) * _xlfn.NORM.S.INV(RAND())</f>
        <v>3.1325549027526399E-2</v>
      </c>
      <c r="U7188" s="59">
        <f ca="1">Dashboard!D$8* Dashboard!$F$4+Dashboard!D$10*SQRT(Dashboard!$F$4) * _xlfn.NORM.S.INV(RAND())</f>
        <v>4.7303846775467305E-2</v>
      </c>
    </row>
    <row r="7189" spans="18:21" x14ac:dyDescent="0.2">
      <c r="R7189" s="49">
        <v>7187</v>
      </c>
      <c r="S7189" s="59">
        <f ca="1">Dashboard!B$8* Dashboard!$F$4+Dashboard!B$10*SQRT(Dashboard!$F$4) * _xlfn.NORM.S.INV(RAND())</f>
        <v>1.9285543525180953E-3</v>
      </c>
      <c r="T7189" s="59">
        <f ca="1">Dashboard!C$8* Dashboard!$F$4+Dashboard!C$10*SQRT(Dashboard!$F$4) * _xlfn.NORM.S.INV(RAND())</f>
        <v>-5.0068000796650386E-2</v>
      </c>
      <c r="U7189" s="59">
        <f ca="1">Dashboard!D$8* Dashboard!$F$4+Dashboard!D$10*SQRT(Dashboard!$F$4) * _xlfn.NORM.S.INV(RAND())</f>
        <v>-1.5713560482701248E-2</v>
      </c>
    </row>
    <row r="7190" spans="18:21" x14ac:dyDescent="0.2">
      <c r="R7190" s="49">
        <v>7188</v>
      </c>
      <c r="S7190" s="59">
        <f ca="1">Dashboard!B$8* Dashboard!$F$4+Dashboard!B$10*SQRT(Dashboard!$F$4) * _xlfn.NORM.S.INV(RAND())</f>
        <v>1.7750443364454922E-2</v>
      </c>
      <c r="T7190" s="59">
        <f ca="1">Dashboard!C$8* Dashboard!$F$4+Dashboard!C$10*SQRT(Dashboard!$F$4) * _xlfn.NORM.S.INV(RAND())</f>
        <v>1.3530562555559805E-3</v>
      </c>
      <c r="U7190" s="59">
        <f ca="1">Dashboard!D$8* Dashboard!$F$4+Dashboard!D$10*SQRT(Dashboard!$F$4) * _xlfn.NORM.S.INV(RAND())</f>
        <v>4.0620331734445861E-2</v>
      </c>
    </row>
    <row r="7191" spans="18:21" x14ac:dyDescent="0.2">
      <c r="R7191" s="49">
        <v>7189</v>
      </c>
      <c r="S7191" s="59">
        <f ca="1">Dashboard!B$8* Dashboard!$F$4+Dashboard!B$10*SQRT(Dashboard!$F$4) * _xlfn.NORM.S.INV(RAND())</f>
        <v>2.6512567858962164E-3</v>
      </c>
      <c r="T7191" s="59">
        <f ca="1">Dashboard!C$8* Dashboard!$F$4+Dashboard!C$10*SQRT(Dashboard!$F$4) * _xlfn.NORM.S.INV(RAND())</f>
        <v>2.7936203344973789E-2</v>
      </c>
      <c r="U7191" s="59">
        <f ca="1">Dashboard!D$8* Dashboard!$F$4+Dashboard!D$10*SQRT(Dashboard!$F$4) * _xlfn.NORM.S.INV(RAND())</f>
        <v>3.2557927280861924E-2</v>
      </c>
    </row>
    <row r="7192" spans="18:21" x14ac:dyDescent="0.2">
      <c r="R7192" s="49">
        <v>7190</v>
      </c>
      <c r="S7192" s="59">
        <f ca="1">Dashboard!B$8* Dashboard!$F$4+Dashboard!B$10*SQRT(Dashboard!$F$4) * _xlfn.NORM.S.INV(RAND())</f>
        <v>-2.09222724379243E-2</v>
      </c>
      <c r="T7192" s="59">
        <f ca="1">Dashboard!C$8* Dashboard!$F$4+Dashboard!C$10*SQRT(Dashboard!$F$4) * _xlfn.NORM.S.INV(RAND())</f>
        <v>4.8993102414098379E-3</v>
      </c>
      <c r="U7192" s="59">
        <f ca="1">Dashboard!D$8* Dashboard!$F$4+Dashboard!D$10*SQRT(Dashboard!$F$4) * _xlfn.NORM.S.INV(RAND())</f>
        <v>7.8295806018455639E-3</v>
      </c>
    </row>
    <row r="7193" spans="18:21" x14ac:dyDescent="0.2">
      <c r="R7193" s="49">
        <v>7191</v>
      </c>
      <c r="S7193" s="59">
        <f ca="1">Dashboard!B$8* Dashboard!$F$4+Dashboard!B$10*SQRT(Dashboard!$F$4) * _xlfn.NORM.S.INV(RAND())</f>
        <v>-2.6896590773891581E-2</v>
      </c>
      <c r="T7193" s="59">
        <f ca="1">Dashboard!C$8* Dashboard!$F$4+Dashboard!C$10*SQRT(Dashboard!$F$4) * _xlfn.NORM.S.INV(RAND())</f>
        <v>5.5264062819275893E-2</v>
      </c>
      <c r="U7193" s="59">
        <f ca="1">Dashboard!D$8* Dashboard!$F$4+Dashboard!D$10*SQRT(Dashboard!$F$4) * _xlfn.NORM.S.INV(RAND())</f>
        <v>8.1498618879125934E-2</v>
      </c>
    </row>
    <row r="7194" spans="18:21" x14ac:dyDescent="0.2">
      <c r="R7194" s="49">
        <v>7192</v>
      </c>
      <c r="S7194" s="59">
        <f ca="1">Dashboard!B$8* Dashboard!$F$4+Dashboard!B$10*SQRT(Dashboard!$F$4) * _xlfn.NORM.S.INV(RAND())</f>
        <v>-8.4735700294980027E-3</v>
      </c>
      <c r="T7194" s="59">
        <f ca="1">Dashboard!C$8* Dashboard!$F$4+Dashboard!C$10*SQRT(Dashboard!$F$4) * _xlfn.NORM.S.INV(RAND())</f>
        <v>2.986447741405605E-4</v>
      </c>
      <c r="U7194" s="59">
        <f ca="1">Dashboard!D$8* Dashboard!$F$4+Dashboard!D$10*SQRT(Dashboard!$F$4) * _xlfn.NORM.S.INV(RAND())</f>
        <v>9.0318295484070835E-3</v>
      </c>
    </row>
    <row r="7195" spans="18:21" x14ac:dyDescent="0.2">
      <c r="R7195" s="49">
        <v>7193</v>
      </c>
      <c r="S7195" s="59">
        <f ca="1">Dashboard!B$8* Dashboard!$F$4+Dashboard!B$10*SQRT(Dashboard!$F$4) * _xlfn.NORM.S.INV(RAND())</f>
        <v>3.2708614190381798E-2</v>
      </c>
      <c r="T7195" s="59">
        <f ca="1">Dashboard!C$8* Dashboard!$F$4+Dashboard!C$10*SQRT(Dashboard!$F$4) * _xlfn.NORM.S.INV(RAND())</f>
        <v>-3.2808877482937995E-2</v>
      </c>
      <c r="U7195" s="59">
        <f ca="1">Dashboard!D$8* Dashboard!$F$4+Dashboard!D$10*SQRT(Dashboard!$F$4) * _xlfn.NORM.S.INV(RAND())</f>
        <v>5.3045541550422404E-2</v>
      </c>
    </row>
    <row r="7196" spans="18:21" x14ac:dyDescent="0.2">
      <c r="R7196" s="49">
        <v>7194</v>
      </c>
      <c r="S7196" s="59">
        <f ca="1">Dashboard!B$8* Dashboard!$F$4+Dashboard!B$10*SQRT(Dashboard!$F$4) * _xlfn.NORM.S.INV(RAND())</f>
        <v>3.2609743888620327E-2</v>
      </c>
      <c r="T7196" s="59">
        <f ca="1">Dashboard!C$8* Dashboard!$F$4+Dashboard!C$10*SQRT(Dashboard!$F$4) * _xlfn.NORM.S.INV(RAND())</f>
        <v>-2.3647686484573358E-2</v>
      </c>
      <c r="U7196" s="59">
        <f ca="1">Dashboard!D$8* Dashboard!$F$4+Dashboard!D$10*SQRT(Dashboard!$F$4) * _xlfn.NORM.S.INV(RAND())</f>
        <v>-1.2640596825052482E-2</v>
      </c>
    </row>
    <row r="7197" spans="18:21" x14ac:dyDescent="0.2">
      <c r="R7197" s="49">
        <v>7195</v>
      </c>
      <c r="S7197" s="59">
        <f ca="1">Dashboard!B$8* Dashboard!$F$4+Dashboard!B$10*SQRT(Dashboard!$F$4) * _xlfn.NORM.S.INV(RAND())</f>
        <v>-1.1278305402183074E-2</v>
      </c>
      <c r="T7197" s="59">
        <f ca="1">Dashboard!C$8* Dashboard!$F$4+Dashboard!C$10*SQRT(Dashboard!$F$4) * _xlfn.NORM.S.INV(RAND())</f>
        <v>-4.6059939526678029E-2</v>
      </c>
      <c r="U7197" s="59">
        <f ca="1">Dashboard!D$8* Dashboard!$F$4+Dashboard!D$10*SQRT(Dashboard!$F$4) * _xlfn.NORM.S.INV(RAND())</f>
        <v>4.9611535805946785E-3</v>
      </c>
    </row>
    <row r="7198" spans="18:21" x14ac:dyDescent="0.2">
      <c r="R7198" s="49">
        <v>7196</v>
      </c>
      <c r="S7198" s="59">
        <f ca="1">Dashboard!B$8* Dashboard!$F$4+Dashboard!B$10*SQRT(Dashboard!$F$4) * _xlfn.NORM.S.INV(RAND())</f>
        <v>-2.9622477723356177E-3</v>
      </c>
      <c r="T7198" s="59">
        <f ca="1">Dashboard!C$8* Dashboard!$F$4+Dashboard!C$10*SQRT(Dashboard!$F$4) * _xlfn.NORM.S.INV(RAND())</f>
        <v>4.1943700846774921E-2</v>
      </c>
      <c r="U7198" s="59">
        <f ca="1">Dashboard!D$8* Dashboard!$F$4+Dashboard!D$10*SQRT(Dashboard!$F$4) * _xlfn.NORM.S.INV(RAND())</f>
        <v>-3.6991420702517638E-2</v>
      </c>
    </row>
    <row r="7199" spans="18:21" x14ac:dyDescent="0.2">
      <c r="R7199" s="49">
        <v>7197</v>
      </c>
      <c r="S7199" s="59">
        <f ca="1">Dashboard!B$8* Dashboard!$F$4+Dashboard!B$10*SQRT(Dashboard!$F$4) * _xlfn.NORM.S.INV(RAND())</f>
        <v>-3.7096170027502658E-3</v>
      </c>
      <c r="T7199" s="59">
        <f ca="1">Dashboard!C$8* Dashboard!$F$4+Dashboard!C$10*SQRT(Dashboard!$F$4) * _xlfn.NORM.S.INV(RAND())</f>
        <v>-3.2258957586601432E-2</v>
      </c>
      <c r="U7199" s="59">
        <f ca="1">Dashboard!D$8* Dashboard!$F$4+Dashboard!D$10*SQRT(Dashboard!$F$4) * _xlfn.NORM.S.INV(RAND())</f>
        <v>4.6613608405514942E-5</v>
      </c>
    </row>
    <row r="7200" spans="18:21" x14ac:dyDescent="0.2">
      <c r="R7200" s="49">
        <v>7198</v>
      </c>
      <c r="S7200" s="59">
        <f ca="1">Dashboard!B$8* Dashboard!$F$4+Dashboard!B$10*SQRT(Dashboard!$F$4) * _xlfn.NORM.S.INV(RAND())</f>
        <v>4.1310367695938603E-3</v>
      </c>
      <c r="T7200" s="59">
        <f ca="1">Dashboard!C$8* Dashboard!$F$4+Dashboard!C$10*SQRT(Dashboard!$F$4) * _xlfn.NORM.S.INV(RAND())</f>
        <v>1.6363154884364545E-2</v>
      </c>
      <c r="U7200" s="59">
        <f ca="1">Dashboard!D$8* Dashboard!$F$4+Dashboard!D$10*SQRT(Dashboard!$F$4) * _xlfn.NORM.S.INV(RAND())</f>
        <v>4.5655935783196183E-2</v>
      </c>
    </row>
    <row r="7201" spans="18:21" x14ac:dyDescent="0.2">
      <c r="R7201" s="49">
        <v>7199</v>
      </c>
      <c r="S7201" s="59">
        <f ca="1">Dashboard!B$8* Dashboard!$F$4+Dashboard!B$10*SQRT(Dashboard!$F$4) * _xlfn.NORM.S.INV(RAND())</f>
        <v>8.1279368271431913E-3</v>
      </c>
      <c r="T7201" s="59">
        <f ca="1">Dashboard!C$8* Dashboard!$F$4+Dashboard!C$10*SQRT(Dashboard!$F$4) * _xlfn.NORM.S.INV(RAND())</f>
        <v>-6.0402454265210742E-3</v>
      </c>
      <c r="U7201" s="59">
        <f ca="1">Dashboard!D$8* Dashboard!$F$4+Dashboard!D$10*SQRT(Dashboard!$F$4) * _xlfn.NORM.S.INV(RAND())</f>
        <v>7.2951150542664267E-2</v>
      </c>
    </row>
    <row r="7202" spans="18:21" x14ac:dyDescent="0.2">
      <c r="R7202" s="49">
        <v>7200</v>
      </c>
      <c r="S7202" s="59">
        <f ca="1">Dashboard!B$8* Dashboard!$F$4+Dashboard!B$10*SQRT(Dashboard!$F$4) * _xlfn.NORM.S.INV(RAND())</f>
        <v>4.2314061600067281E-2</v>
      </c>
      <c r="T7202" s="59">
        <f ca="1">Dashboard!C$8* Dashboard!$F$4+Dashboard!C$10*SQRT(Dashboard!$F$4) * _xlfn.NORM.S.INV(RAND())</f>
        <v>3.659221314321684E-2</v>
      </c>
      <c r="U7202" s="59">
        <f ca="1">Dashboard!D$8* Dashboard!$F$4+Dashboard!D$10*SQRT(Dashboard!$F$4) * _xlfn.NORM.S.INV(RAND())</f>
        <v>2.6122809053838351E-2</v>
      </c>
    </row>
    <row r="7203" spans="18:21" x14ac:dyDescent="0.2">
      <c r="R7203" s="49">
        <v>7201</v>
      </c>
      <c r="S7203" s="59">
        <f ca="1">Dashboard!B$8* Dashboard!$F$4+Dashboard!B$10*SQRT(Dashboard!$F$4) * _xlfn.NORM.S.INV(RAND())</f>
        <v>8.2216848483819494E-2</v>
      </c>
      <c r="T7203" s="59">
        <f ca="1">Dashboard!C$8* Dashboard!$F$4+Dashboard!C$10*SQRT(Dashboard!$F$4) * _xlfn.NORM.S.INV(RAND())</f>
        <v>4.8905792894804484E-2</v>
      </c>
      <c r="U7203" s="59">
        <f ca="1">Dashboard!D$8* Dashboard!$F$4+Dashboard!D$10*SQRT(Dashboard!$F$4) * _xlfn.NORM.S.INV(RAND())</f>
        <v>1.3155275071003753E-3</v>
      </c>
    </row>
    <row r="7204" spans="18:21" x14ac:dyDescent="0.2">
      <c r="R7204" s="49">
        <v>7202</v>
      </c>
      <c r="S7204" s="59">
        <f ca="1">Dashboard!B$8* Dashboard!$F$4+Dashboard!B$10*SQRT(Dashboard!$F$4) * _xlfn.NORM.S.INV(RAND())</f>
        <v>3.1987595057756134E-2</v>
      </c>
      <c r="T7204" s="59">
        <f ca="1">Dashboard!C$8* Dashboard!$F$4+Dashboard!C$10*SQRT(Dashboard!$F$4) * _xlfn.NORM.S.INV(RAND())</f>
        <v>5.8364163337538792E-4</v>
      </c>
      <c r="U7204" s="59">
        <f ca="1">Dashboard!D$8* Dashboard!$F$4+Dashboard!D$10*SQRT(Dashboard!$F$4) * _xlfn.NORM.S.INV(RAND())</f>
        <v>1.5477440177067748E-2</v>
      </c>
    </row>
    <row r="7205" spans="18:21" x14ac:dyDescent="0.2">
      <c r="R7205" s="49">
        <v>7203</v>
      </c>
      <c r="S7205" s="59">
        <f ca="1">Dashboard!B$8* Dashboard!$F$4+Dashboard!B$10*SQRT(Dashboard!$F$4) * _xlfn.NORM.S.INV(RAND())</f>
        <v>-4.1500246174187447E-2</v>
      </c>
      <c r="T7205" s="59">
        <f ca="1">Dashboard!C$8* Dashboard!$F$4+Dashboard!C$10*SQRT(Dashboard!$F$4) * _xlfn.NORM.S.INV(RAND())</f>
        <v>2.7476750875983898E-2</v>
      </c>
      <c r="U7205" s="59">
        <f ca="1">Dashboard!D$8* Dashboard!$F$4+Dashboard!D$10*SQRT(Dashboard!$F$4) * _xlfn.NORM.S.INV(RAND())</f>
        <v>-2.9174308698196261E-2</v>
      </c>
    </row>
    <row r="7206" spans="18:21" x14ac:dyDescent="0.2">
      <c r="R7206" s="49">
        <v>7204</v>
      </c>
      <c r="S7206" s="59">
        <f ca="1">Dashboard!B$8* Dashboard!$F$4+Dashboard!B$10*SQRT(Dashboard!$F$4) * _xlfn.NORM.S.INV(RAND())</f>
        <v>1.4122286782482169E-3</v>
      </c>
      <c r="T7206" s="59">
        <f ca="1">Dashboard!C$8* Dashboard!$F$4+Dashboard!C$10*SQRT(Dashboard!$F$4) * _xlfn.NORM.S.INV(RAND())</f>
        <v>4.6321484318928192E-2</v>
      </c>
      <c r="U7206" s="59">
        <f ca="1">Dashboard!D$8* Dashboard!$F$4+Dashboard!D$10*SQRT(Dashboard!$F$4) * _xlfn.NORM.S.INV(RAND())</f>
        <v>-4.6607240257560793E-2</v>
      </c>
    </row>
    <row r="7207" spans="18:21" x14ac:dyDescent="0.2">
      <c r="R7207" s="49">
        <v>7205</v>
      </c>
      <c r="S7207" s="59">
        <f ca="1">Dashboard!B$8* Dashboard!$F$4+Dashboard!B$10*SQRT(Dashboard!$F$4) * _xlfn.NORM.S.INV(RAND())</f>
        <v>1.8820234231064208E-2</v>
      </c>
      <c r="T7207" s="59">
        <f ca="1">Dashboard!C$8* Dashboard!$F$4+Dashboard!C$10*SQRT(Dashboard!$F$4) * _xlfn.NORM.S.INV(RAND())</f>
        <v>-6.0763640384753098E-2</v>
      </c>
      <c r="U7207" s="59">
        <f ca="1">Dashboard!D$8* Dashboard!$F$4+Dashboard!D$10*SQRT(Dashboard!$F$4) * _xlfn.NORM.S.INV(RAND())</f>
        <v>-5.303410973429605E-2</v>
      </c>
    </row>
    <row r="7208" spans="18:21" x14ac:dyDescent="0.2">
      <c r="R7208" s="49">
        <v>7206</v>
      </c>
      <c r="S7208" s="59">
        <f ca="1">Dashboard!B$8* Dashboard!$F$4+Dashboard!B$10*SQRT(Dashboard!$F$4) * _xlfn.NORM.S.INV(RAND())</f>
        <v>3.8933172599577792E-2</v>
      </c>
      <c r="T7208" s="59">
        <f ca="1">Dashboard!C$8* Dashboard!$F$4+Dashboard!C$10*SQRT(Dashboard!$F$4) * _xlfn.NORM.S.INV(RAND())</f>
        <v>-4.5055022235406826E-2</v>
      </c>
      <c r="U7208" s="59">
        <f ca="1">Dashboard!D$8* Dashboard!$F$4+Dashboard!D$10*SQRT(Dashboard!$F$4) * _xlfn.NORM.S.INV(RAND())</f>
        <v>-5.084671387260857E-2</v>
      </c>
    </row>
    <row r="7209" spans="18:21" x14ac:dyDescent="0.2">
      <c r="R7209" s="49">
        <v>7207</v>
      </c>
      <c r="S7209" s="59">
        <f ca="1">Dashboard!B$8* Dashboard!$F$4+Dashboard!B$10*SQRT(Dashboard!$F$4) * _xlfn.NORM.S.INV(RAND())</f>
        <v>6.8708677614385746E-4</v>
      </c>
      <c r="T7209" s="59">
        <f ca="1">Dashboard!C$8* Dashboard!$F$4+Dashboard!C$10*SQRT(Dashboard!$F$4) * _xlfn.NORM.S.INV(RAND())</f>
        <v>-2.3351680493409289E-2</v>
      </c>
      <c r="U7209" s="59">
        <f ca="1">Dashboard!D$8* Dashboard!$F$4+Dashboard!D$10*SQRT(Dashboard!$F$4) * _xlfn.NORM.S.INV(RAND())</f>
        <v>3.6656835877417186E-2</v>
      </c>
    </row>
    <row r="7210" spans="18:21" x14ac:dyDescent="0.2">
      <c r="R7210" s="49">
        <v>7208</v>
      </c>
      <c r="S7210" s="59">
        <f ca="1">Dashboard!B$8* Dashboard!$F$4+Dashboard!B$10*SQRT(Dashboard!$F$4) * _xlfn.NORM.S.INV(RAND())</f>
        <v>1.5815024277926221E-2</v>
      </c>
      <c r="T7210" s="59">
        <f ca="1">Dashboard!C$8* Dashboard!$F$4+Dashboard!C$10*SQRT(Dashboard!$F$4) * _xlfn.NORM.S.INV(RAND())</f>
        <v>-2.2676624900576904E-2</v>
      </c>
      <c r="U7210" s="59">
        <f ca="1">Dashboard!D$8* Dashboard!$F$4+Dashboard!D$10*SQRT(Dashboard!$F$4) * _xlfn.NORM.S.INV(RAND())</f>
        <v>3.5753902019740019E-2</v>
      </c>
    </row>
    <row r="7211" spans="18:21" x14ac:dyDescent="0.2">
      <c r="R7211" s="49">
        <v>7209</v>
      </c>
      <c r="S7211" s="59">
        <f ca="1">Dashboard!B$8* Dashboard!$F$4+Dashboard!B$10*SQRT(Dashboard!$F$4) * _xlfn.NORM.S.INV(RAND())</f>
        <v>-3.5884864400580307E-2</v>
      </c>
      <c r="T7211" s="59">
        <f ca="1">Dashboard!C$8* Dashboard!$F$4+Dashboard!C$10*SQRT(Dashboard!$F$4) * _xlfn.NORM.S.INV(RAND())</f>
        <v>2.1289145358092263E-2</v>
      </c>
      <c r="U7211" s="59">
        <f ca="1">Dashboard!D$8* Dashboard!$F$4+Dashboard!D$10*SQRT(Dashboard!$F$4) * _xlfn.NORM.S.INV(RAND())</f>
        <v>-5.2003123136836011E-3</v>
      </c>
    </row>
    <row r="7212" spans="18:21" x14ac:dyDescent="0.2">
      <c r="R7212" s="49">
        <v>7210</v>
      </c>
      <c r="S7212" s="59">
        <f ca="1">Dashboard!B$8* Dashboard!$F$4+Dashboard!B$10*SQRT(Dashboard!$F$4) * _xlfn.NORM.S.INV(RAND())</f>
        <v>-2.3101317435850227E-2</v>
      </c>
      <c r="T7212" s="59">
        <f ca="1">Dashboard!C$8* Dashboard!$F$4+Dashboard!C$10*SQRT(Dashboard!$F$4) * _xlfn.NORM.S.INV(RAND())</f>
        <v>2.2019303552404924E-2</v>
      </c>
      <c r="U7212" s="59">
        <f ca="1">Dashboard!D$8* Dashboard!$F$4+Dashboard!D$10*SQRT(Dashboard!$F$4) * _xlfn.NORM.S.INV(RAND())</f>
        <v>3.3391492338823277E-2</v>
      </c>
    </row>
    <row r="7213" spans="18:21" x14ac:dyDescent="0.2">
      <c r="R7213" s="49">
        <v>7211</v>
      </c>
      <c r="S7213" s="59">
        <f ca="1">Dashboard!B$8* Dashboard!$F$4+Dashboard!B$10*SQRT(Dashboard!$F$4) * _xlfn.NORM.S.INV(RAND())</f>
        <v>1.1209426873534814E-2</v>
      </c>
      <c r="T7213" s="59">
        <f ca="1">Dashboard!C$8* Dashboard!$F$4+Dashboard!C$10*SQRT(Dashboard!$F$4) * _xlfn.NORM.S.INV(RAND())</f>
        <v>1.7966910564719007E-2</v>
      </c>
      <c r="U7213" s="59">
        <f ca="1">Dashboard!D$8* Dashboard!$F$4+Dashboard!D$10*SQRT(Dashboard!$F$4) * _xlfn.NORM.S.INV(RAND())</f>
        <v>2.052370684478946E-2</v>
      </c>
    </row>
    <row r="7214" spans="18:21" x14ac:dyDescent="0.2">
      <c r="R7214" s="49">
        <v>7212</v>
      </c>
      <c r="S7214" s="59">
        <f ca="1">Dashboard!B$8* Dashboard!$F$4+Dashboard!B$10*SQRT(Dashboard!$F$4) * _xlfn.NORM.S.INV(RAND())</f>
        <v>-1.7199170163397528E-2</v>
      </c>
      <c r="T7214" s="59">
        <f ca="1">Dashboard!C$8* Dashboard!$F$4+Dashboard!C$10*SQRT(Dashboard!$F$4) * _xlfn.NORM.S.INV(RAND())</f>
        <v>-4.9519419067118034E-3</v>
      </c>
      <c r="U7214" s="59">
        <f ca="1">Dashboard!D$8* Dashboard!$F$4+Dashboard!D$10*SQRT(Dashboard!$F$4) * _xlfn.NORM.S.INV(RAND())</f>
        <v>6.5320011629581226E-3</v>
      </c>
    </row>
    <row r="7215" spans="18:21" x14ac:dyDescent="0.2">
      <c r="R7215" s="49">
        <v>7213</v>
      </c>
      <c r="S7215" s="59">
        <f ca="1">Dashboard!B$8* Dashboard!$F$4+Dashboard!B$10*SQRT(Dashboard!$F$4) * _xlfn.NORM.S.INV(RAND())</f>
        <v>1.503259424156003E-2</v>
      </c>
      <c r="T7215" s="59">
        <f ca="1">Dashboard!C$8* Dashboard!$F$4+Dashboard!C$10*SQRT(Dashboard!$F$4) * _xlfn.NORM.S.INV(RAND())</f>
        <v>1.7562766200679012E-2</v>
      </c>
      <c r="U7215" s="59">
        <f ca="1">Dashboard!D$8* Dashboard!$F$4+Dashboard!D$10*SQRT(Dashboard!$F$4) * _xlfn.NORM.S.INV(RAND())</f>
        <v>2.5190722508147282E-3</v>
      </c>
    </row>
    <row r="7216" spans="18:21" x14ac:dyDescent="0.2">
      <c r="R7216" s="49">
        <v>7214</v>
      </c>
      <c r="S7216" s="59">
        <f ca="1">Dashboard!B$8* Dashboard!$F$4+Dashboard!B$10*SQRT(Dashboard!$F$4) * _xlfn.NORM.S.INV(RAND())</f>
        <v>-4.1617641489890778E-2</v>
      </c>
      <c r="T7216" s="59">
        <f ca="1">Dashboard!C$8* Dashboard!$F$4+Dashboard!C$10*SQRT(Dashboard!$F$4) * _xlfn.NORM.S.INV(RAND())</f>
        <v>1.7555470942570203E-2</v>
      </c>
      <c r="U7216" s="59">
        <f ca="1">Dashboard!D$8* Dashboard!$F$4+Dashboard!D$10*SQRT(Dashboard!$F$4) * _xlfn.NORM.S.INV(RAND())</f>
        <v>-2.5029453972361747E-2</v>
      </c>
    </row>
    <row r="7217" spans="18:21" x14ac:dyDescent="0.2">
      <c r="R7217" s="49">
        <v>7215</v>
      </c>
      <c r="S7217" s="59">
        <f ca="1">Dashboard!B$8* Dashboard!$F$4+Dashboard!B$10*SQRT(Dashboard!$F$4) * _xlfn.NORM.S.INV(RAND())</f>
        <v>4.6767712826791367E-2</v>
      </c>
      <c r="T7217" s="59">
        <f ca="1">Dashboard!C$8* Dashboard!$F$4+Dashboard!C$10*SQRT(Dashboard!$F$4) * _xlfn.NORM.S.INV(RAND())</f>
        <v>-3.1554806412762745E-2</v>
      </c>
      <c r="U7217" s="59">
        <f ca="1">Dashboard!D$8* Dashboard!$F$4+Dashboard!D$10*SQRT(Dashboard!$F$4) * _xlfn.NORM.S.INV(RAND())</f>
        <v>-4.3287017691646848E-2</v>
      </c>
    </row>
    <row r="7218" spans="18:21" x14ac:dyDescent="0.2">
      <c r="R7218" s="49">
        <v>7216</v>
      </c>
      <c r="S7218" s="59">
        <f ca="1">Dashboard!B$8* Dashboard!$F$4+Dashboard!B$10*SQRT(Dashboard!$F$4) * _xlfn.NORM.S.INV(RAND())</f>
        <v>-6.2101320289038579E-2</v>
      </c>
      <c r="T7218" s="59">
        <f ca="1">Dashboard!C$8* Dashboard!$F$4+Dashboard!C$10*SQRT(Dashboard!$F$4) * _xlfn.NORM.S.INV(RAND())</f>
        <v>1.6714016820098303E-2</v>
      </c>
      <c r="U7218" s="59">
        <f ca="1">Dashboard!D$8* Dashboard!$F$4+Dashboard!D$10*SQRT(Dashboard!$F$4) * _xlfn.NORM.S.INV(RAND())</f>
        <v>-6.3832966964876822E-2</v>
      </c>
    </row>
    <row r="7219" spans="18:21" x14ac:dyDescent="0.2">
      <c r="R7219" s="49">
        <v>7217</v>
      </c>
      <c r="S7219" s="59">
        <f ca="1">Dashboard!B$8* Dashboard!$F$4+Dashboard!B$10*SQRT(Dashboard!$F$4) * _xlfn.NORM.S.INV(RAND())</f>
        <v>-4.1983044916196616E-2</v>
      </c>
      <c r="T7219" s="59">
        <f ca="1">Dashboard!C$8* Dashboard!$F$4+Dashboard!C$10*SQRT(Dashboard!$F$4) * _xlfn.NORM.S.INV(RAND())</f>
        <v>3.482961113167804E-2</v>
      </c>
      <c r="U7219" s="59">
        <f ca="1">Dashboard!D$8* Dashboard!$F$4+Dashboard!D$10*SQRT(Dashboard!$F$4) * _xlfn.NORM.S.INV(RAND())</f>
        <v>1.4526870102986745E-2</v>
      </c>
    </row>
    <row r="7220" spans="18:21" x14ac:dyDescent="0.2">
      <c r="R7220" s="49">
        <v>7218</v>
      </c>
      <c r="S7220" s="59">
        <f ca="1">Dashboard!B$8* Dashboard!$F$4+Dashboard!B$10*SQRT(Dashboard!$F$4) * _xlfn.NORM.S.INV(RAND())</f>
        <v>-1.3595627275725799E-2</v>
      </c>
      <c r="T7220" s="59">
        <f ca="1">Dashboard!C$8* Dashboard!$F$4+Dashboard!C$10*SQRT(Dashboard!$F$4) * _xlfn.NORM.S.INV(RAND())</f>
        <v>3.954323141131263E-3</v>
      </c>
      <c r="U7220" s="59">
        <f ca="1">Dashboard!D$8* Dashboard!$F$4+Dashboard!D$10*SQRT(Dashboard!$F$4) * _xlfn.NORM.S.INV(RAND())</f>
        <v>1.1807118853354221E-2</v>
      </c>
    </row>
    <row r="7221" spans="18:21" x14ac:dyDescent="0.2">
      <c r="R7221" s="49">
        <v>7219</v>
      </c>
      <c r="S7221" s="59">
        <f ca="1">Dashboard!B$8* Dashboard!$F$4+Dashboard!B$10*SQRT(Dashboard!$F$4) * _xlfn.NORM.S.INV(RAND())</f>
        <v>-4.950643723400884E-2</v>
      </c>
      <c r="T7221" s="59">
        <f ca="1">Dashboard!C$8* Dashboard!$F$4+Dashboard!C$10*SQRT(Dashboard!$F$4) * _xlfn.NORM.S.INV(RAND())</f>
        <v>-4.2948357056761491E-2</v>
      </c>
      <c r="U7221" s="59">
        <f ca="1">Dashboard!D$8* Dashboard!$F$4+Dashboard!D$10*SQRT(Dashboard!$F$4) * _xlfn.NORM.S.INV(RAND())</f>
        <v>1.0660575513260311E-2</v>
      </c>
    </row>
    <row r="7222" spans="18:21" x14ac:dyDescent="0.2">
      <c r="R7222" s="49">
        <v>7220</v>
      </c>
      <c r="S7222" s="59">
        <f ca="1">Dashboard!B$8* Dashboard!$F$4+Dashboard!B$10*SQRT(Dashboard!$F$4) * _xlfn.NORM.S.INV(RAND())</f>
        <v>-7.9390203545693563E-3</v>
      </c>
      <c r="T7222" s="59">
        <f ca="1">Dashboard!C$8* Dashboard!$F$4+Dashboard!C$10*SQRT(Dashboard!$F$4) * _xlfn.NORM.S.INV(RAND())</f>
        <v>-2.0524815429095546E-2</v>
      </c>
      <c r="U7222" s="59">
        <f ca="1">Dashboard!D$8* Dashboard!$F$4+Dashboard!D$10*SQRT(Dashboard!$F$4) * _xlfn.NORM.S.INV(RAND())</f>
        <v>-3.709688503226688E-2</v>
      </c>
    </row>
    <row r="7223" spans="18:21" x14ac:dyDescent="0.2">
      <c r="R7223" s="49">
        <v>7221</v>
      </c>
      <c r="S7223" s="59">
        <f ca="1">Dashboard!B$8* Dashboard!$F$4+Dashboard!B$10*SQRT(Dashboard!$F$4) * _xlfn.NORM.S.INV(RAND())</f>
        <v>-2.431776504739587E-2</v>
      </c>
      <c r="T7223" s="59">
        <f ca="1">Dashboard!C$8* Dashboard!$F$4+Dashboard!C$10*SQRT(Dashboard!$F$4) * _xlfn.NORM.S.INV(RAND())</f>
        <v>1.8473456255005703E-2</v>
      </c>
      <c r="U7223" s="59">
        <f ca="1">Dashboard!D$8* Dashboard!$F$4+Dashboard!D$10*SQRT(Dashboard!$F$4) * _xlfn.NORM.S.INV(RAND())</f>
        <v>5.1897050788840833E-2</v>
      </c>
    </row>
    <row r="7224" spans="18:21" x14ac:dyDescent="0.2">
      <c r="R7224" s="49">
        <v>7222</v>
      </c>
      <c r="S7224" s="59">
        <f ca="1">Dashboard!B$8* Dashboard!$F$4+Dashboard!B$10*SQRT(Dashboard!$F$4) * _xlfn.NORM.S.INV(RAND())</f>
        <v>3.1805017299874144E-2</v>
      </c>
      <c r="T7224" s="59">
        <f ca="1">Dashboard!C$8* Dashboard!$F$4+Dashboard!C$10*SQRT(Dashboard!$F$4) * _xlfn.NORM.S.INV(RAND())</f>
        <v>-4.4371732485294732E-2</v>
      </c>
      <c r="U7224" s="59">
        <f ca="1">Dashboard!D$8* Dashboard!$F$4+Dashboard!D$10*SQRT(Dashboard!$F$4) * _xlfn.NORM.S.INV(RAND())</f>
        <v>-1.5679180356759467E-2</v>
      </c>
    </row>
    <row r="7225" spans="18:21" x14ac:dyDescent="0.2">
      <c r="R7225" s="49">
        <v>7223</v>
      </c>
      <c r="S7225" s="59">
        <f ca="1">Dashboard!B$8* Dashboard!$F$4+Dashboard!B$10*SQRT(Dashboard!$F$4) * _xlfn.NORM.S.INV(RAND())</f>
        <v>-1.5521561231478801E-2</v>
      </c>
      <c r="T7225" s="59">
        <f ca="1">Dashboard!C$8* Dashboard!$F$4+Dashboard!C$10*SQRT(Dashboard!$F$4) * _xlfn.NORM.S.INV(RAND())</f>
        <v>-1.9391968044646744E-3</v>
      </c>
      <c r="U7225" s="59">
        <f ca="1">Dashboard!D$8* Dashboard!$F$4+Dashboard!D$10*SQRT(Dashboard!$F$4) * _xlfn.NORM.S.INV(RAND())</f>
        <v>5.1204174540358336E-3</v>
      </c>
    </row>
    <row r="7226" spans="18:21" x14ac:dyDescent="0.2">
      <c r="R7226" s="49">
        <v>7224</v>
      </c>
      <c r="S7226" s="59">
        <f ca="1">Dashboard!B$8* Dashboard!$F$4+Dashboard!B$10*SQRT(Dashboard!$F$4) * _xlfn.NORM.S.INV(RAND())</f>
        <v>4.1410878189131889E-2</v>
      </c>
      <c r="T7226" s="59">
        <f ca="1">Dashboard!C$8* Dashboard!$F$4+Dashboard!C$10*SQRT(Dashboard!$F$4) * _xlfn.NORM.S.INV(RAND())</f>
        <v>2.4591537604023311E-2</v>
      </c>
      <c r="U7226" s="59">
        <f ca="1">Dashboard!D$8* Dashboard!$F$4+Dashboard!D$10*SQRT(Dashboard!$F$4) * _xlfn.NORM.S.INV(RAND())</f>
        <v>6.156354004936606E-2</v>
      </c>
    </row>
    <row r="7227" spans="18:21" x14ac:dyDescent="0.2">
      <c r="R7227" s="49">
        <v>7225</v>
      </c>
      <c r="S7227" s="59">
        <f ca="1">Dashboard!B$8* Dashboard!$F$4+Dashboard!B$10*SQRT(Dashboard!$F$4) * _xlfn.NORM.S.INV(RAND())</f>
        <v>1.5646618589650649E-2</v>
      </c>
      <c r="T7227" s="59">
        <f ca="1">Dashboard!C$8* Dashboard!$F$4+Dashboard!C$10*SQRT(Dashboard!$F$4) * _xlfn.NORM.S.INV(RAND())</f>
        <v>4.7305620819318828E-2</v>
      </c>
      <c r="U7227" s="59">
        <f ca="1">Dashboard!D$8* Dashboard!$F$4+Dashboard!D$10*SQRT(Dashboard!$F$4) * _xlfn.NORM.S.INV(RAND())</f>
        <v>-1.38394110613823E-2</v>
      </c>
    </row>
    <row r="7228" spans="18:21" x14ac:dyDescent="0.2">
      <c r="R7228" s="49">
        <v>7226</v>
      </c>
      <c r="S7228" s="59">
        <f ca="1">Dashboard!B$8* Dashboard!$F$4+Dashboard!B$10*SQRT(Dashboard!$F$4) * _xlfn.NORM.S.INV(RAND())</f>
        <v>-7.2910670807612932E-2</v>
      </c>
      <c r="T7228" s="59">
        <f ca="1">Dashboard!C$8* Dashboard!$F$4+Dashboard!C$10*SQRT(Dashboard!$F$4) * _xlfn.NORM.S.INV(RAND())</f>
        <v>-2.3742072669385109E-2</v>
      </c>
      <c r="U7228" s="59">
        <f ca="1">Dashboard!D$8* Dashboard!$F$4+Dashboard!D$10*SQRT(Dashboard!$F$4) * _xlfn.NORM.S.INV(RAND())</f>
        <v>-3.4648214841672624E-2</v>
      </c>
    </row>
    <row r="7229" spans="18:21" x14ac:dyDescent="0.2">
      <c r="R7229" s="49">
        <v>7227</v>
      </c>
      <c r="S7229" s="59">
        <f ca="1">Dashboard!B$8* Dashboard!$F$4+Dashboard!B$10*SQRT(Dashboard!$F$4) * _xlfn.NORM.S.INV(RAND())</f>
        <v>-7.963453665569312E-3</v>
      </c>
      <c r="T7229" s="59">
        <f ca="1">Dashboard!C$8* Dashboard!$F$4+Dashboard!C$10*SQRT(Dashboard!$F$4) * _xlfn.NORM.S.INV(RAND())</f>
        <v>3.2176129778394028E-2</v>
      </c>
      <c r="U7229" s="59">
        <f ca="1">Dashboard!D$8* Dashboard!$F$4+Dashboard!D$10*SQRT(Dashboard!$F$4) * _xlfn.NORM.S.INV(RAND())</f>
        <v>-1.9034834354869645E-2</v>
      </c>
    </row>
    <row r="7230" spans="18:21" x14ac:dyDescent="0.2">
      <c r="R7230" s="49">
        <v>7228</v>
      </c>
      <c r="S7230" s="59">
        <f ca="1">Dashboard!B$8* Dashboard!$F$4+Dashboard!B$10*SQRT(Dashboard!$F$4) * _xlfn.NORM.S.INV(RAND())</f>
        <v>-1.3090407996952781E-2</v>
      </c>
      <c r="T7230" s="59">
        <f ca="1">Dashboard!C$8* Dashboard!$F$4+Dashboard!C$10*SQRT(Dashboard!$F$4) * _xlfn.NORM.S.INV(RAND())</f>
        <v>6.8404218063493841E-3</v>
      </c>
      <c r="U7230" s="59">
        <f ca="1">Dashboard!D$8* Dashboard!$F$4+Dashboard!D$10*SQRT(Dashboard!$F$4) * _xlfn.NORM.S.INV(RAND())</f>
        <v>-2.1528917371521506E-2</v>
      </c>
    </row>
    <row r="7231" spans="18:21" x14ac:dyDescent="0.2">
      <c r="R7231" s="49">
        <v>7229</v>
      </c>
      <c r="S7231" s="59">
        <f ca="1">Dashboard!B$8* Dashboard!$F$4+Dashboard!B$10*SQRT(Dashboard!$F$4) * _xlfn.NORM.S.INV(RAND())</f>
        <v>3.3972679170738117E-2</v>
      </c>
      <c r="T7231" s="59">
        <f ca="1">Dashboard!C$8* Dashboard!$F$4+Dashboard!C$10*SQRT(Dashboard!$F$4) * _xlfn.NORM.S.INV(RAND())</f>
        <v>-4.1584334179226537E-2</v>
      </c>
      <c r="U7231" s="59">
        <f ca="1">Dashboard!D$8* Dashboard!$F$4+Dashboard!D$10*SQRT(Dashboard!$F$4) * _xlfn.NORM.S.INV(RAND())</f>
        <v>-2.00988684573206E-2</v>
      </c>
    </row>
    <row r="7232" spans="18:21" x14ac:dyDescent="0.2">
      <c r="R7232" s="49">
        <v>7230</v>
      </c>
      <c r="S7232" s="59">
        <f ca="1">Dashboard!B$8* Dashboard!$F$4+Dashboard!B$10*SQRT(Dashboard!$F$4) * _xlfn.NORM.S.INV(RAND())</f>
        <v>-7.5086390930380789E-2</v>
      </c>
      <c r="T7232" s="59">
        <f ca="1">Dashboard!C$8* Dashboard!$F$4+Dashboard!C$10*SQRT(Dashboard!$F$4) * _xlfn.NORM.S.INV(RAND())</f>
        <v>6.255638842576404E-2</v>
      </c>
      <c r="U7232" s="59">
        <f ca="1">Dashboard!D$8* Dashboard!$F$4+Dashboard!D$10*SQRT(Dashboard!$F$4) * _xlfn.NORM.S.INV(RAND())</f>
        <v>-4.4577716003537923E-2</v>
      </c>
    </row>
    <row r="7233" spans="18:21" x14ac:dyDescent="0.2">
      <c r="R7233" s="49">
        <v>7231</v>
      </c>
      <c r="S7233" s="59">
        <f ca="1">Dashboard!B$8* Dashboard!$F$4+Dashboard!B$10*SQRT(Dashboard!$F$4) * _xlfn.NORM.S.INV(RAND())</f>
        <v>-5.5629597822588576E-2</v>
      </c>
      <c r="T7233" s="59">
        <f ca="1">Dashboard!C$8* Dashboard!$F$4+Dashboard!C$10*SQRT(Dashboard!$F$4) * _xlfn.NORM.S.INV(RAND())</f>
        <v>5.4965787659110324E-2</v>
      </c>
      <c r="U7233" s="59">
        <f ca="1">Dashboard!D$8* Dashboard!$F$4+Dashboard!D$10*SQRT(Dashboard!$F$4) * _xlfn.NORM.S.INV(RAND())</f>
        <v>5.3338818126193163E-2</v>
      </c>
    </row>
    <row r="7234" spans="18:21" x14ac:dyDescent="0.2">
      <c r="R7234" s="49">
        <v>7232</v>
      </c>
      <c r="S7234" s="59">
        <f ca="1">Dashboard!B$8* Dashboard!$F$4+Dashboard!B$10*SQRT(Dashboard!$F$4) * _xlfn.NORM.S.INV(RAND())</f>
        <v>3.644768410582664E-2</v>
      </c>
      <c r="T7234" s="59">
        <f ca="1">Dashboard!C$8* Dashboard!$F$4+Dashboard!C$10*SQRT(Dashboard!$F$4) * _xlfn.NORM.S.INV(RAND())</f>
        <v>2.5547888143613792E-2</v>
      </c>
      <c r="U7234" s="59">
        <f ca="1">Dashboard!D$8* Dashboard!$F$4+Dashboard!D$10*SQRT(Dashboard!$F$4) * _xlfn.NORM.S.INV(RAND())</f>
        <v>4.345070078211459E-2</v>
      </c>
    </row>
    <row r="7235" spans="18:21" x14ac:dyDescent="0.2">
      <c r="R7235" s="49">
        <v>7233</v>
      </c>
      <c r="S7235" s="59">
        <f ca="1">Dashboard!B$8* Dashboard!$F$4+Dashboard!B$10*SQRT(Dashboard!$F$4) * _xlfn.NORM.S.INV(RAND())</f>
        <v>-1.7359653724140004E-2</v>
      </c>
      <c r="T7235" s="59">
        <f ca="1">Dashboard!C$8* Dashboard!$F$4+Dashboard!C$10*SQRT(Dashboard!$F$4) * _xlfn.NORM.S.INV(RAND())</f>
        <v>3.1913386903863465E-2</v>
      </c>
      <c r="U7235" s="59">
        <f ca="1">Dashboard!D$8* Dashboard!$F$4+Dashboard!D$10*SQRT(Dashboard!$F$4) * _xlfn.NORM.S.INV(RAND())</f>
        <v>-1.1536537666275916E-2</v>
      </c>
    </row>
    <row r="7236" spans="18:21" x14ac:dyDescent="0.2">
      <c r="R7236" s="49">
        <v>7234</v>
      </c>
      <c r="S7236" s="59">
        <f ca="1">Dashboard!B$8* Dashboard!$F$4+Dashboard!B$10*SQRT(Dashboard!$F$4) * _xlfn.NORM.S.INV(RAND())</f>
        <v>9.6788656457424561E-3</v>
      </c>
      <c r="T7236" s="59">
        <f ca="1">Dashboard!C$8* Dashboard!$F$4+Dashboard!C$10*SQRT(Dashboard!$F$4) * _xlfn.NORM.S.INV(RAND())</f>
        <v>-1.6480217808726071E-2</v>
      </c>
      <c r="U7236" s="59">
        <f ca="1">Dashboard!D$8* Dashboard!$F$4+Dashboard!D$10*SQRT(Dashboard!$F$4) * _xlfn.NORM.S.INV(RAND())</f>
        <v>-5.096649139100546E-2</v>
      </c>
    </row>
    <row r="7237" spans="18:21" x14ac:dyDescent="0.2">
      <c r="R7237" s="49">
        <v>7235</v>
      </c>
      <c r="S7237" s="59">
        <f ca="1">Dashboard!B$8* Dashboard!$F$4+Dashboard!B$10*SQRT(Dashboard!$F$4) * _xlfn.NORM.S.INV(RAND())</f>
        <v>-5.1411738746556496E-2</v>
      </c>
      <c r="T7237" s="59">
        <f ca="1">Dashboard!C$8* Dashboard!$F$4+Dashboard!C$10*SQRT(Dashboard!$F$4) * _xlfn.NORM.S.INV(RAND())</f>
        <v>4.4293041827659536E-2</v>
      </c>
      <c r="U7237" s="59">
        <f ca="1">Dashboard!D$8* Dashboard!$F$4+Dashboard!D$10*SQRT(Dashboard!$F$4) * _xlfn.NORM.S.INV(RAND())</f>
        <v>5.8614192695157892E-2</v>
      </c>
    </row>
    <row r="7238" spans="18:21" x14ac:dyDescent="0.2">
      <c r="R7238" s="49">
        <v>7236</v>
      </c>
      <c r="S7238" s="59">
        <f ca="1">Dashboard!B$8* Dashboard!$F$4+Dashboard!B$10*SQRT(Dashboard!$F$4) * _xlfn.NORM.S.INV(RAND())</f>
        <v>4.2436863933804123E-2</v>
      </c>
      <c r="T7238" s="59">
        <f ca="1">Dashboard!C$8* Dashboard!$F$4+Dashboard!C$10*SQRT(Dashboard!$F$4) * _xlfn.NORM.S.INV(RAND())</f>
        <v>2.8226248382472334E-2</v>
      </c>
      <c r="U7238" s="59">
        <f ca="1">Dashboard!D$8* Dashboard!$F$4+Dashboard!D$10*SQRT(Dashboard!$F$4) * _xlfn.NORM.S.INV(RAND())</f>
        <v>-2.9517507347987214E-2</v>
      </c>
    </row>
    <row r="7239" spans="18:21" x14ac:dyDescent="0.2">
      <c r="R7239" s="49">
        <v>7237</v>
      </c>
      <c r="S7239" s="59">
        <f ca="1">Dashboard!B$8* Dashboard!$F$4+Dashboard!B$10*SQRT(Dashboard!$F$4) * _xlfn.NORM.S.INV(RAND())</f>
        <v>-2.65817900153517E-2</v>
      </c>
      <c r="T7239" s="59">
        <f ca="1">Dashboard!C$8* Dashboard!$F$4+Dashboard!C$10*SQRT(Dashboard!$F$4) * _xlfn.NORM.S.INV(RAND())</f>
        <v>3.0653790636296013E-2</v>
      </c>
      <c r="U7239" s="59">
        <f ca="1">Dashboard!D$8* Dashboard!$F$4+Dashboard!D$10*SQRT(Dashboard!$F$4) * _xlfn.NORM.S.INV(RAND())</f>
        <v>5.8511318432373383E-3</v>
      </c>
    </row>
    <row r="7240" spans="18:21" x14ac:dyDescent="0.2">
      <c r="R7240" s="49">
        <v>7238</v>
      </c>
      <c r="S7240" s="59">
        <f ca="1">Dashboard!B$8* Dashboard!$F$4+Dashboard!B$10*SQRT(Dashboard!$F$4) * _xlfn.NORM.S.INV(RAND())</f>
        <v>-6.4286465720803931E-2</v>
      </c>
      <c r="T7240" s="59">
        <f ca="1">Dashboard!C$8* Dashboard!$F$4+Dashboard!C$10*SQRT(Dashboard!$F$4) * _xlfn.NORM.S.INV(RAND())</f>
        <v>-2.7043641817126558E-2</v>
      </c>
      <c r="U7240" s="59">
        <f ca="1">Dashboard!D$8* Dashboard!$F$4+Dashboard!D$10*SQRT(Dashboard!$F$4) * _xlfn.NORM.S.INV(RAND())</f>
        <v>-4.845772533916653E-3</v>
      </c>
    </row>
    <row r="7241" spans="18:21" x14ac:dyDescent="0.2">
      <c r="R7241" s="49">
        <v>7239</v>
      </c>
      <c r="S7241" s="59">
        <f ca="1">Dashboard!B$8* Dashboard!$F$4+Dashboard!B$10*SQRT(Dashboard!$F$4) * _xlfn.NORM.S.INV(RAND())</f>
        <v>9.6564890617254519E-3</v>
      </c>
      <c r="T7241" s="59">
        <f ca="1">Dashboard!C$8* Dashboard!$F$4+Dashboard!C$10*SQRT(Dashboard!$F$4) * _xlfn.NORM.S.INV(RAND())</f>
        <v>-2.5907672744875437E-3</v>
      </c>
      <c r="U7241" s="59">
        <f ca="1">Dashboard!D$8* Dashboard!$F$4+Dashboard!D$10*SQRT(Dashboard!$F$4) * _xlfn.NORM.S.INV(RAND())</f>
        <v>-1.8783819257636815E-2</v>
      </c>
    </row>
    <row r="7242" spans="18:21" x14ac:dyDescent="0.2">
      <c r="R7242" s="49">
        <v>7240</v>
      </c>
      <c r="S7242" s="59">
        <f ca="1">Dashboard!B$8* Dashboard!$F$4+Dashboard!B$10*SQRT(Dashboard!$F$4) * _xlfn.NORM.S.INV(RAND())</f>
        <v>-8.1917135667536278E-2</v>
      </c>
      <c r="T7242" s="59">
        <f ca="1">Dashboard!C$8* Dashboard!$F$4+Dashboard!C$10*SQRT(Dashboard!$F$4) * _xlfn.NORM.S.INV(RAND())</f>
        <v>1.2111422064063734E-2</v>
      </c>
      <c r="U7242" s="59">
        <f ca="1">Dashboard!D$8* Dashboard!$F$4+Dashboard!D$10*SQRT(Dashboard!$F$4) * _xlfn.NORM.S.INV(RAND())</f>
        <v>-1.106220298987735E-3</v>
      </c>
    </row>
    <row r="7243" spans="18:21" x14ac:dyDescent="0.2">
      <c r="R7243" s="49">
        <v>7241</v>
      </c>
      <c r="S7243" s="59">
        <f ca="1">Dashboard!B$8* Dashboard!$F$4+Dashboard!B$10*SQRT(Dashboard!$F$4) * _xlfn.NORM.S.INV(RAND())</f>
        <v>1.5748424513016439E-2</v>
      </c>
      <c r="T7243" s="59">
        <f ca="1">Dashboard!C$8* Dashboard!$F$4+Dashboard!C$10*SQRT(Dashboard!$F$4) * _xlfn.NORM.S.INV(RAND())</f>
        <v>6.7660806309443877E-2</v>
      </c>
      <c r="U7243" s="59">
        <f ca="1">Dashboard!D$8* Dashboard!$F$4+Dashboard!D$10*SQRT(Dashboard!$F$4) * _xlfn.NORM.S.INV(RAND())</f>
        <v>-3.1723962912065936E-3</v>
      </c>
    </row>
    <row r="7244" spans="18:21" x14ac:dyDescent="0.2">
      <c r="R7244" s="49">
        <v>7242</v>
      </c>
      <c r="S7244" s="59">
        <f ca="1">Dashboard!B$8* Dashboard!$F$4+Dashboard!B$10*SQRT(Dashboard!$F$4) * _xlfn.NORM.S.INV(RAND())</f>
        <v>3.7782552585681459E-2</v>
      </c>
      <c r="T7244" s="59">
        <f ca="1">Dashboard!C$8* Dashboard!$F$4+Dashboard!C$10*SQRT(Dashboard!$F$4) * _xlfn.NORM.S.INV(RAND())</f>
        <v>-2.3448327838452809E-2</v>
      </c>
      <c r="U7244" s="59">
        <f ca="1">Dashboard!D$8* Dashboard!$F$4+Dashboard!D$10*SQRT(Dashboard!$F$4) * _xlfn.NORM.S.INV(RAND())</f>
        <v>6.0579448264354331E-2</v>
      </c>
    </row>
    <row r="7245" spans="18:21" x14ac:dyDescent="0.2">
      <c r="R7245" s="49">
        <v>7243</v>
      </c>
      <c r="S7245" s="59">
        <f ca="1">Dashboard!B$8* Dashboard!$F$4+Dashboard!B$10*SQRT(Dashboard!$F$4) * _xlfn.NORM.S.INV(RAND())</f>
        <v>-2.8916964227104817E-2</v>
      </c>
      <c r="T7245" s="59">
        <f ca="1">Dashboard!C$8* Dashboard!$F$4+Dashboard!C$10*SQRT(Dashboard!$F$4) * _xlfn.NORM.S.INV(RAND())</f>
        <v>1.4804717692282955E-2</v>
      </c>
      <c r="U7245" s="59">
        <f ca="1">Dashboard!D$8* Dashboard!$F$4+Dashboard!D$10*SQRT(Dashboard!$F$4) * _xlfn.NORM.S.INV(RAND())</f>
        <v>1.7428880411833769E-2</v>
      </c>
    </row>
    <row r="7246" spans="18:21" x14ac:dyDescent="0.2">
      <c r="R7246" s="49">
        <v>7244</v>
      </c>
      <c r="S7246" s="59">
        <f ca="1">Dashboard!B$8* Dashboard!$F$4+Dashboard!B$10*SQRT(Dashboard!$F$4) * _xlfn.NORM.S.INV(RAND())</f>
        <v>1.0097573367186112E-2</v>
      </c>
      <c r="T7246" s="59">
        <f ca="1">Dashboard!C$8* Dashboard!$F$4+Dashboard!C$10*SQRT(Dashboard!$F$4) * _xlfn.NORM.S.INV(RAND())</f>
        <v>-8.6427591252696501E-2</v>
      </c>
      <c r="U7246" s="59">
        <f ca="1">Dashboard!D$8* Dashboard!$F$4+Dashboard!D$10*SQRT(Dashboard!$F$4) * _xlfn.NORM.S.INV(RAND())</f>
        <v>-1.9373928900196919E-2</v>
      </c>
    </row>
    <row r="7247" spans="18:21" x14ac:dyDescent="0.2">
      <c r="R7247" s="49">
        <v>7245</v>
      </c>
      <c r="S7247" s="59">
        <f ca="1">Dashboard!B$8* Dashboard!$F$4+Dashboard!B$10*SQRT(Dashboard!$F$4) * _xlfn.NORM.S.INV(RAND())</f>
        <v>2.7967113566127508E-2</v>
      </c>
      <c r="T7247" s="59">
        <f ca="1">Dashboard!C$8* Dashboard!$F$4+Dashboard!C$10*SQRT(Dashboard!$F$4) * _xlfn.NORM.S.INV(RAND())</f>
        <v>-4.3509293925434643E-2</v>
      </c>
      <c r="U7247" s="59">
        <f ca="1">Dashboard!D$8* Dashboard!$F$4+Dashboard!D$10*SQRT(Dashboard!$F$4) * _xlfn.NORM.S.INV(RAND())</f>
        <v>-5.9182942551527871E-4</v>
      </c>
    </row>
    <row r="7248" spans="18:21" x14ac:dyDescent="0.2">
      <c r="R7248" s="49">
        <v>7246</v>
      </c>
      <c r="S7248" s="59">
        <f ca="1">Dashboard!B$8* Dashboard!$F$4+Dashboard!B$10*SQRT(Dashboard!$F$4) * _xlfn.NORM.S.INV(RAND())</f>
        <v>4.9152677796854706E-2</v>
      </c>
      <c r="T7248" s="59">
        <f ca="1">Dashboard!C$8* Dashboard!$F$4+Dashboard!C$10*SQRT(Dashboard!$F$4) * _xlfn.NORM.S.INV(RAND())</f>
        <v>1.3308509959917649E-3</v>
      </c>
      <c r="U7248" s="59">
        <f ca="1">Dashboard!D$8* Dashboard!$F$4+Dashboard!D$10*SQRT(Dashboard!$F$4) * _xlfn.NORM.S.INV(RAND())</f>
        <v>-1.1061754855044426E-2</v>
      </c>
    </row>
    <row r="7249" spans="18:21" x14ac:dyDescent="0.2">
      <c r="R7249" s="49">
        <v>7247</v>
      </c>
      <c r="S7249" s="59">
        <f ca="1">Dashboard!B$8* Dashboard!$F$4+Dashboard!B$10*SQRT(Dashboard!$F$4) * _xlfn.NORM.S.INV(RAND())</f>
        <v>2.3119513229711924E-2</v>
      </c>
      <c r="T7249" s="59">
        <f ca="1">Dashboard!C$8* Dashboard!$F$4+Dashboard!C$10*SQRT(Dashboard!$F$4) * _xlfn.NORM.S.INV(RAND())</f>
        <v>4.2510307211368883E-3</v>
      </c>
      <c r="U7249" s="59">
        <f ca="1">Dashboard!D$8* Dashboard!$F$4+Dashboard!D$10*SQRT(Dashboard!$F$4) * _xlfn.NORM.S.INV(RAND())</f>
        <v>-6.6212532368442753E-2</v>
      </c>
    </row>
    <row r="7250" spans="18:21" x14ac:dyDescent="0.2">
      <c r="R7250" s="49">
        <v>7248</v>
      </c>
      <c r="S7250" s="59">
        <f ca="1">Dashboard!B$8* Dashboard!$F$4+Dashboard!B$10*SQRT(Dashboard!$F$4) * _xlfn.NORM.S.INV(RAND())</f>
        <v>3.0836668554438278E-2</v>
      </c>
      <c r="T7250" s="59">
        <f ca="1">Dashboard!C$8* Dashboard!$F$4+Dashboard!C$10*SQRT(Dashboard!$F$4) * _xlfn.NORM.S.INV(RAND())</f>
        <v>4.5334601494153911E-3</v>
      </c>
      <c r="U7250" s="59">
        <f ca="1">Dashboard!D$8* Dashboard!$F$4+Dashboard!D$10*SQRT(Dashboard!$F$4) * _xlfn.NORM.S.INV(RAND())</f>
        <v>1.4436156639492376E-2</v>
      </c>
    </row>
    <row r="7251" spans="18:21" x14ac:dyDescent="0.2">
      <c r="R7251" s="49">
        <v>7249</v>
      </c>
      <c r="S7251" s="59">
        <f ca="1">Dashboard!B$8* Dashboard!$F$4+Dashboard!B$10*SQRT(Dashboard!$F$4) * _xlfn.NORM.S.INV(RAND())</f>
        <v>-7.6653548930961643E-2</v>
      </c>
      <c r="T7251" s="59">
        <f ca="1">Dashboard!C$8* Dashboard!$F$4+Dashboard!C$10*SQRT(Dashboard!$F$4) * _xlfn.NORM.S.INV(RAND())</f>
        <v>3.3388527042966805E-2</v>
      </c>
      <c r="U7251" s="59">
        <f ca="1">Dashboard!D$8* Dashboard!$F$4+Dashboard!D$10*SQRT(Dashboard!$F$4) * _xlfn.NORM.S.INV(RAND())</f>
        <v>-8.3667438367856992E-2</v>
      </c>
    </row>
    <row r="7252" spans="18:21" x14ac:dyDescent="0.2">
      <c r="R7252" s="49">
        <v>7250</v>
      </c>
      <c r="S7252" s="59">
        <f ca="1">Dashboard!B$8* Dashboard!$F$4+Dashboard!B$10*SQRT(Dashboard!$F$4) * _xlfn.NORM.S.INV(RAND())</f>
        <v>-3.9548302559783123E-2</v>
      </c>
      <c r="T7252" s="59">
        <f ca="1">Dashboard!C$8* Dashboard!$F$4+Dashboard!C$10*SQRT(Dashboard!$F$4) * _xlfn.NORM.S.INV(RAND())</f>
        <v>-2.493311538465702E-2</v>
      </c>
      <c r="U7252" s="59">
        <f ca="1">Dashboard!D$8* Dashboard!$F$4+Dashboard!D$10*SQRT(Dashboard!$F$4) * _xlfn.NORM.S.INV(RAND())</f>
        <v>4.1781354013414734E-2</v>
      </c>
    </row>
    <row r="7253" spans="18:21" x14ac:dyDescent="0.2">
      <c r="R7253" s="49">
        <v>7251</v>
      </c>
      <c r="S7253" s="59">
        <f ca="1">Dashboard!B$8* Dashboard!$F$4+Dashboard!B$10*SQRT(Dashboard!$F$4) * _xlfn.NORM.S.INV(RAND())</f>
        <v>-4.1765448819710178E-3</v>
      </c>
      <c r="T7253" s="59">
        <f ca="1">Dashboard!C$8* Dashboard!$F$4+Dashboard!C$10*SQRT(Dashboard!$F$4) * _xlfn.NORM.S.INV(RAND())</f>
        <v>-5.5214637836036161E-2</v>
      </c>
      <c r="U7253" s="59">
        <f ca="1">Dashboard!D$8* Dashboard!$F$4+Dashboard!D$10*SQRT(Dashboard!$F$4) * _xlfn.NORM.S.INV(RAND())</f>
        <v>-5.5966344041302608E-2</v>
      </c>
    </row>
    <row r="7254" spans="18:21" x14ac:dyDescent="0.2">
      <c r="R7254" s="49">
        <v>7252</v>
      </c>
      <c r="S7254" s="59">
        <f ca="1">Dashboard!B$8* Dashboard!$F$4+Dashboard!B$10*SQRT(Dashboard!$F$4) * _xlfn.NORM.S.INV(RAND())</f>
        <v>-1.0629277693772917E-2</v>
      </c>
      <c r="T7254" s="59">
        <f ca="1">Dashboard!C$8* Dashboard!$F$4+Dashboard!C$10*SQRT(Dashboard!$F$4) * _xlfn.NORM.S.INV(RAND())</f>
        <v>4.9023748814102014E-2</v>
      </c>
      <c r="U7254" s="59">
        <f ca="1">Dashboard!D$8* Dashboard!$F$4+Dashboard!D$10*SQRT(Dashboard!$F$4) * _xlfn.NORM.S.INV(RAND())</f>
        <v>1.4195666902475198E-2</v>
      </c>
    </row>
    <row r="7255" spans="18:21" x14ac:dyDescent="0.2">
      <c r="R7255" s="49">
        <v>7253</v>
      </c>
      <c r="S7255" s="59">
        <f ca="1">Dashboard!B$8* Dashboard!$F$4+Dashboard!B$10*SQRT(Dashboard!$F$4) * _xlfn.NORM.S.INV(RAND())</f>
        <v>2.5554432431579725E-2</v>
      </c>
      <c r="T7255" s="59">
        <f ca="1">Dashboard!C$8* Dashboard!$F$4+Dashboard!C$10*SQRT(Dashboard!$F$4) * _xlfn.NORM.S.INV(RAND())</f>
        <v>-7.0713341033685012E-2</v>
      </c>
      <c r="U7255" s="59">
        <f ca="1">Dashboard!D$8* Dashboard!$F$4+Dashboard!D$10*SQRT(Dashboard!$F$4) * _xlfn.NORM.S.INV(RAND())</f>
        <v>-1.6047378070910438E-2</v>
      </c>
    </row>
    <row r="7256" spans="18:21" x14ac:dyDescent="0.2">
      <c r="R7256" s="49">
        <v>7254</v>
      </c>
      <c r="S7256" s="59">
        <f ca="1">Dashboard!B$8* Dashboard!$F$4+Dashboard!B$10*SQRT(Dashboard!$F$4) * _xlfn.NORM.S.INV(RAND())</f>
        <v>-1.3398151147349758E-2</v>
      </c>
      <c r="T7256" s="59">
        <f ca="1">Dashboard!C$8* Dashboard!$F$4+Dashboard!C$10*SQRT(Dashboard!$F$4) * _xlfn.NORM.S.INV(RAND())</f>
        <v>-1.7194527387043697E-2</v>
      </c>
      <c r="U7256" s="59">
        <f ca="1">Dashboard!D$8* Dashboard!$F$4+Dashboard!D$10*SQRT(Dashboard!$F$4) * _xlfn.NORM.S.INV(RAND())</f>
        <v>8.8869488408145052E-3</v>
      </c>
    </row>
    <row r="7257" spans="18:21" x14ac:dyDescent="0.2">
      <c r="R7257" s="49">
        <v>7255</v>
      </c>
      <c r="S7257" s="59">
        <f ca="1">Dashboard!B$8* Dashboard!$F$4+Dashboard!B$10*SQRT(Dashboard!$F$4) * _xlfn.NORM.S.INV(RAND())</f>
        <v>2.5635673264411449E-2</v>
      </c>
      <c r="T7257" s="59">
        <f ca="1">Dashboard!C$8* Dashboard!$F$4+Dashboard!C$10*SQRT(Dashboard!$F$4) * _xlfn.NORM.S.INV(RAND())</f>
        <v>-1.7720807233261509E-2</v>
      </c>
      <c r="U7257" s="59">
        <f ca="1">Dashboard!D$8* Dashboard!$F$4+Dashboard!D$10*SQRT(Dashboard!$F$4) * _xlfn.NORM.S.INV(RAND())</f>
        <v>-1.5030857717140573E-2</v>
      </c>
    </row>
    <row r="7258" spans="18:21" x14ac:dyDescent="0.2">
      <c r="R7258" s="49">
        <v>7256</v>
      </c>
      <c r="S7258" s="59">
        <f ca="1">Dashboard!B$8* Dashboard!$F$4+Dashboard!B$10*SQRT(Dashboard!$F$4) * _xlfn.NORM.S.INV(RAND())</f>
        <v>5.6899817776529457E-2</v>
      </c>
      <c r="T7258" s="59">
        <f ca="1">Dashboard!C$8* Dashboard!$F$4+Dashboard!C$10*SQRT(Dashboard!$F$4) * _xlfn.NORM.S.INV(RAND())</f>
        <v>-6.7870747167159016E-3</v>
      </c>
      <c r="U7258" s="59">
        <f ca="1">Dashboard!D$8* Dashboard!$F$4+Dashboard!D$10*SQRT(Dashboard!$F$4) * _xlfn.NORM.S.INV(RAND())</f>
        <v>-8.3191843843448843E-3</v>
      </c>
    </row>
    <row r="7259" spans="18:21" x14ac:dyDescent="0.2">
      <c r="R7259" s="49">
        <v>7257</v>
      </c>
      <c r="S7259" s="59">
        <f ca="1">Dashboard!B$8* Dashboard!$F$4+Dashboard!B$10*SQRT(Dashboard!$F$4) * _xlfn.NORM.S.INV(RAND())</f>
        <v>-2.6478766989658023E-3</v>
      </c>
      <c r="T7259" s="59">
        <f ca="1">Dashboard!C$8* Dashboard!$F$4+Dashboard!C$10*SQRT(Dashboard!$F$4) * _xlfn.NORM.S.INV(RAND())</f>
        <v>1.5355290693014521E-2</v>
      </c>
      <c r="U7259" s="59">
        <f ca="1">Dashboard!D$8* Dashboard!$F$4+Dashboard!D$10*SQRT(Dashboard!$F$4) * _xlfn.NORM.S.INV(RAND())</f>
        <v>8.9377110301415918E-4</v>
      </c>
    </row>
    <row r="7260" spans="18:21" x14ac:dyDescent="0.2">
      <c r="R7260" s="49">
        <v>7258</v>
      </c>
      <c r="S7260" s="59">
        <f ca="1">Dashboard!B$8* Dashboard!$F$4+Dashboard!B$10*SQRT(Dashboard!$F$4) * _xlfn.NORM.S.INV(RAND())</f>
        <v>-1.9365930670461273E-2</v>
      </c>
      <c r="T7260" s="59">
        <f ca="1">Dashboard!C$8* Dashboard!$F$4+Dashboard!C$10*SQRT(Dashboard!$F$4) * _xlfn.NORM.S.INV(RAND())</f>
        <v>-1.1227944759789832E-2</v>
      </c>
      <c r="U7260" s="59">
        <f ca="1">Dashboard!D$8* Dashboard!$F$4+Dashboard!D$10*SQRT(Dashboard!$F$4) * _xlfn.NORM.S.INV(RAND())</f>
        <v>9.9614972081559658E-2</v>
      </c>
    </row>
    <row r="7261" spans="18:21" x14ac:dyDescent="0.2">
      <c r="R7261" s="49">
        <v>7259</v>
      </c>
      <c r="S7261" s="59">
        <f ca="1">Dashboard!B$8* Dashboard!$F$4+Dashboard!B$10*SQRT(Dashboard!$F$4) * _xlfn.NORM.S.INV(RAND())</f>
        <v>-3.5892143443378203E-3</v>
      </c>
      <c r="T7261" s="59">
        <f ca="1">Dashboard!C$8* Dashboard!$F$4+Dashboard!C$10*SQRT(Dashboard!$F$4) * _xlfn.NORM.S.INV(RAND())</f>
        <v>4.6733949741785762E-2</v>
      </c>
      <c r="U7261" s="59">
        <f ca="1">Dashboard!D$8* Dashboard!$F$4+Dashboard!D$10*SQRT(Dashboard!$F$4) * _xlfn.NORM.S.INV(RAND())</f>
        <v>5.8266333714749449E-3</v>
      </c>
    </row>
    <row r="7262" spans="18:21" x14ac:dyDescent="0.2">
      <c r="R7262" s="49">
        <v>7260</v>
      </c>
      <c r="S7262" s="59">
        <f ca="1">Dashboard!B$8* Dashboard!$F$4+Dashboard!B$10*SQRT(Dashboard!$F$4) * _xlfn.NORM.S.INV(RAND())</f>
        <v>-3.7154852620243352E-2</v>
      </c>
      <c r="T7262" s="59">
        <f ca="1">Dashboard!C$8* Dashboard!$F$4+Dashboard!C$10*SQRT(Dashboard!$F$4) * _xlfn.NORM.S.INV(RAND())</f>
        <v>2.489242660059526E-2</v>
      </c>
      <c r="U7262" s="59">
        <f ca="1">Dashboard!D$8* Dashboard!$F$4+Dashboard!D$10*SQRT(Dashboard!$F$4) * _xlfn.NORM.S.INV(RAND())</f>
        <v>1.2071021550240911E-2</v>
      </c>
    </row>
    <row r="7263" spans="18:21" x14ac:dyDescent="0.2">
      <c r="R7263" s="49">
        <v>7261</v>
      </c>
      <c r="S7263" s="59">
        <f ca="1">Dashboard!B$8* Dashboard!$F$4+Dashboard!B$10*SQRT(Dashboard!$F$4) * _xlfn.NORM.S.INV(RAND())</f>
        <v>-3.831552352486696E-2</v>
      </c>
      <c r="T7263" s="59">
        <f ca="1">Dashboard!C$8* Dashboard!$F$4+Dashboard!C$10*SQRT(Dashboard!$F$4) * _xlfn.NORM.S.INV(RAND())</f>
        <v>-3.3461398794708282E-2</v>
      </c>
      <c r="U7263" s="59">
        <f ca="1">Dashboard!D$8* Dashboard!$F$4+Dashboard!D$10*SQRT(Dashboard!$F$4) * _xlfn.NORM.S.INV(RAND())</f>
        <v>-1.0033714165755747E-2</v>
      </c>
    </row>
    <row r="7264" spans="18:21" x14ac:dyDescent="0.2">
      <c r="R7264" s="49">
        <v>7262</v>
      </c>
      <c r="S7264" s="59">
        <f ca="1">Dashboard!B$8* Dashboard!$F$4+Dashboard!B$10*SQRT(Dashboard!$F$4) * _xlfn.NORM.S.INV(RAND())</f>
        <v>-4.5589936402272581E-2</v>
      </c>
      <c r="T7264" s="59">
        <f ca="1">Dashboard!C$8* Dashboard!$F$4+Dashboard!C$10*SQRT(Dashboard!$F$4) * _xlfn.NORM.S.INV(RAND())</f>
        <v>4.7343266367350499E-2</v>
      </c>
      <c r="U7264" s="59">
        <f ca="1">Dashboard!D$8* Dashboard!$F$4+Dashboard!D$10*SQRT(Dashboard!$F$4) * _xlfn.NORM.S.INV(RAND())</f>
        <v>-2.1312828602767137E-2</v>
      </c>
    </row>
    <row r="7265" spans="18:21" x14ac:dyDescent="0.2">
      <c r="R7265" s="49">
        <v>7263</v>
      </c>
      <c r="S7265" s="59">
        <f ca="1">Dashboard!B$8* Dashboard!$F$4+Dashboard!B$10*SQRT(Dashboard!$F$4) * _xlfn.NORM.S.INV(RAND())</f>
        <v>5.1259001913739381E-2</v>
      </c>
      <c r="T7265" s="59">
        <f ca="1">Dashboard!C$8* Dashboard!$F$4+Dashboard!C$10*SQRT(Dashboard!$F$4) * _xlfn.NORM.S.INV(RAND())</f>
        <v>-1.1326354297984096E-2</v>
      </c>
      <c r="U7265" s="59">
        <f ca="1">Dashboard!D$8* Dashboard!$F$4+Dashboard!D$10*SQRT(Dashboard!$F$4) * _xlfn.NORM.S.INV(RAND())</f>
        <v>-2.1494768244855977E-2</v>
      </c>
    </row>
    <row r="7266" spans="18:21" x14ac:dyDescent="0.2">
      <c r="R7266" s="49">
        <v>7264</v>
      </c>
      <c r="S7266" s="59">
        <f ca="1">Dashboard!B$8* Dashboard!$F$4+Dashboard!B$10*SQRT(Dashboard!$F$4) * _xlfn.NORM.S.INV(RAND())</f>
        <v>1.2371987605588849E-2</v>
      </c>
      <c r="T7266" s="59">
        <f ca="1">Dashboard!C$8* Dashboard!$F$4+Dashboard!C$10*SQRT(Dashboard!$F$4) * _xlfn.NORM.S.INV(RAND())</f>
        <v>1.6810420918862978E-2</v>
      </c>
      <c r="U7266" s="59">
        <f ca="1">Dashboard!D$8* Dashboard!$F$4+Dashboard!D$10*SQRT(Dashboard!$F$4) * _xlfn.NORM.S.INV(RAND())</f>
        <v>-3.1634012811786065E-2</v>
      </c>
    </row>
    <row r="7267" spans="18:21" x14ac:dyDescent="0.2">
      <c r="R7267" s="49">
        <v>7265</v>
      </c>
      <c r="S7267" s="59">
        <f ca="1">Dashboard!B$8* Dashboard!$F$4+Dashboard!B$10*SQRT(Dashboard!$F$4) * _xlfn.NORM.S.INV(RAND())</f>
        <v>1.7198302933764183E-2</v>
      </c>
      <c r="T7267" s="59">
        <f ca="1">Dashboard!C$8* Dashboard!$F$4+Dashboard!C$10*SQRT(Dashboard!$F$4) * _xlfn.NORM.S.INV(RAND())</f>
        <v>1.2880994725077727E-2</v>
      </c>
      <c r="U7267" s="59">
        <f ca="1">Dashboard!D$8* Dashboard!$F$4+Dashboard!D$10*SQRT(Dashboard!$F$4) * _xlfn.NORM.S.INV(RAND())</f>
        <v>-3.5754136695886514E-2</v>
      </c>
    </row>
    <row r="7268" spans="18:21" x14ac:dyDescent="0.2">
      <c r="R7268" s="49">
        <v>7266</v>
      </c>
      <c r="S7268" s="59">
        <f ca="1">Dashboard!B$8* Dashboard!$F$4+Dashboard!B$10*SQRT(Dashboard!$F$4) * _xlfn.NORM.S.INV(RAND())</f>
        <v>-5.912015175728462E-2</v>
      </c>
      <c r="T7268" s="59">
        <f ca="1">Dashboard!C$8* Dashboard!$F$4+Dashboard!C$10*SQRT(Dashboard!$F$4) * _xlfn.NORM.S.INV(RAND())</f>
        <v>-1.4772430936978477E-2</v>
      </c>
      <c r="U7268" s="59">
        <f ca="1">Dashboard!D$8* Dashboard!$F$4+Dashboard!D$10*SQRT(Dashboard!$F$4) * _xlfn.NORM.S.INV(RAND())</f>
        <v>7.7004862171502616E-3</v>
      </c>
    </row>
    <row r="7269" spans="18:21" x14ac:dyDescent="0.2">
      <c r="R7269" s="49">
        <v>7267</v>
      </c>
      <c r="S7269" s="59">
        <f ca="1">Dashboard!B$8* Dashboard!$F$4+Dashboard!B$10*SQRT(Dashboard!$F$4) * _xlfn.NORM.S.INV(RAND())</f>
        <v>-2.8005684789695909E-2</v>
      </c>
      <c r="T7269" s="59">
        <f ca="1">Dashboard!C$8* Dashboard!$F$4+Dashboard!C$10*SQRT(Dashboard!$F$4) * _xlfn.NORM.S.INV(RAND())</f>
        <v>1.6817200652284984E-2</v>
      </c>
      <c r="U7269" s="59">
        <f ca="1">Dashboard!D$8* Dashboard!$F$4+Dashboard!D$10*SQRT(Dashboard!$F$4) * _xlfn.NORM.S.INV(RAND())</f>
        <v>7.634188050698822E-3</v>
      </c>
    </row>
    <row r="7270" spans="18:21" x14ac:dyDescent="0.2">
      <c r="R7270" s="49">
        <v>7268</v>
      </c>
      <c r="S7270" s="59">
        <f ca="1">Dashboard!B$8* Dashboard!$F$4+Dashboard!B$10*SQRT(Dashboard!$F$4) * _xlfn.NORM.S.INV(RAND())</f>
        <v>-2.6589697223570394E-2</v>
      </c>
      <c r="T7270" s="59">
        <f ca="1">Dashboard!C$8* Dashboard!$F$4+Dashboard!C$10*SQRT(Dashboard!$F$4) * _xlfn.NORM.S.INV(RAND())</f>
        <v>-3.613561966342474E-2</v>
      </c>
      <c r="U7270" s="59">
        <f ca="1">Dashboard!D$8* Dashboard!$F$4+Dashboard!D$10*SQRT(Dashboard!$F$4) * _xlfn.NORM.S.INV(RAND())</f>
        <v>1.31458796391376E-2</v>
      </c>
    </row>
    <row r="7271" spans="18:21" x14ac:dyDescent="0.2">
      <c r="R7271" s="49">
        <v>7269</v>
      </c>
      <c r="S7271" s="59">
        <f ca="1">Dashboard!B$8* Dashboard!$F$4+Dashboard!B$10*SQRT(Dashboard!$F$4) * _xlfn.NORM.S.INV(RAND())</f>
        <v>1.6032901586789647E-2</v>
      </c>
      <c r="T7271" s="59">
        <f ca="1">Dashboard!C$8* Dashboard!$F$4+Dashboard!C$10*SQRT(Dashboard!$F$4) * _xlfn.NORM.S.INV(RAND())</f>
        <v>3.9356020339154085E-2</v>
      </c>
      <c r="U7271" s="59">
        <f ca="1">Dashboard!D$8* Dashboard!$F$4+Dashboard!D$10*SQRT(Dashboard!$F$4) * _xlfn.NORM.S.INV(RAND())</f>
        <v>-5.8060866526054196E-3</v>
      </c>
    </row>
    <row r="7272" spans="18:21" x14ac:dyDescent="0.2">
      <c r="R7272" s="49">
        <v>7270</v>
      </c>
      <c r="S7272" s="59">
        <f ca="1">Dashboard!B$8* Dashboard!$F$4+Dashboard!B$10*SQRT(Dashboard!$F$4) * _xlfn.NORM.S.INV(RAND())</f>
        <v>2.7437303579181678E-2</v>
      </c>
      <c r="T7272" s="59">
        <f ca="1">Dashboard!C$8* Dashboard!$F$4+Dashboard!C$10*SQRT(Dashboard!$F$4) * _xlfn.NORM.S.INV(RAND())</f>
        <v>2.2873051580912854E-2</v>
      </c>
      <c r="U7272" s="59">
        <f ca="1">Dashboard!D$8* Dashboard!$F$4+Dashboard!D$10*SQRT(Dashboard!$F$4) * _xlfn.NORM.S.INV(RAND())</f>
        <v>-1.7796095181381283E-2</v>
      </c>
    </row>
    <row r="7273" spans="18:21" x14ac:dyDescent="0.2">
      <c r="R7273" s="49">
        <v>7271</v>
      </c>
      <c r="S7273" s="59">
        <f ca="1">Dashboard!B$8* Dashboard!$F$4+Dashboard!B$10*SQRT(Dashboard!$F$4) * _xlfn.NORM.S.INV(RAND())</f>
        <v>-1.1237763177239376E-2</v>
      </c>
      <c r="T7273" s="59">
        <f ca="1">Dashboard!C$8* Dashboard!$F$4+Dashboard!C$10*SQRT(Dashboard!$F$4) * _xlfn.NORM.S.INV(RAND())</f>
        <v>3.48695843751421E-2</v>
      </c>
      <c r="U7273" s="59">
        <f ca="1">Dashboard!D$8* Dashboard!$F$4+Dashboard!D$10*SQRT(Dashboard!$F$4) * _xlfn.NORM.S.INV(RAND())</f>
        <v>7.4567525123434659E-3</v>
      </c>
    </row>
    <row r="7274" spans="18:21" x14ac:dyDescent="0.2">
      <c r="R7274" s="49">
        <v>7272</v>
      </c>
      <c r="S7274" s="59">
        <f ca="1">Dashboard!B$8* Dashboard!$F$4+Dashboard!B$10*SQRT(Dashboard!$F$4) * _xlfn.NORM.S.INV(RAND())</f>
        <v>1.4785493964143049E-2</v>
      </c>
      <c r="T7274" s="59">
        <f ca="1">Dashboard!C$8* Dashboard!$F$4+Dashboard!C$10*SQRT(Dashboard!$F$4) * _xlfn.NORM.S.INV(RAND())</f>
        <v>1.414720054939303E-2</v>
      </c>
      <c r="U7274" s="59">
        <f ca="1">Dashboard!D$8* Dashboard!$F$4+Dashboard!D$10*SQRT(Dashboard!$F$4) * _xlfn.NORM.S.INV(RAND())</f>
        <v>1.5047093124533463E-2</v>
      </c>
    </row>
    <row r="7275" spans="18:21" x14ac:dyDescent="0.2">
      <c r="R7275" s="49">
        <v>7273</v>
      </c>
      <c r="S7275" s="59">
        <f ca="1">Dashboard!B$8* Dashboard!$F$4+Dashboard!B$10*SQRT(Dashboard!$F$4) * _xlfn.NORM.S.INV(RAND())</f>
        <v>-2.4510808373186435E-2</v>
      </c>
      <c r="T7275" s="59">
        <f ca="1">Dashboard!C$8* Dashboard!$F$4+Dashboard!C$10*SQRT(Dashboard!$F$4) * _xlfn.NORM.S.INV(RAND())</f>
        <v>1.7429538451861405E-3</v>
      </c>
      <c r="U7275" s="59">
        <f ca="1">Dashboard!D$8* Dashboard!$F$4+Dashboard!D$10*SQRT(Dashboard!$F$4) * _xlfn.NORM.S.INV(RAND())</f>
        <v>-5.3719020692717535E-2</v>
      </c>
    </row>
    <row r="7276" spans="18:21" x14ac:dyDescent="0.2">
      <c r="R7276" s="49">
        <v>7274</v>
      </c>
      <c r="S7276" s="59">
        <f ca="1">Dashboard!B$8* Dashboard!$F$4+Dashboard!B$10*SQRT(Dashboard!$F$4) * _xlfn.NORM.S.INV(RAND())</f>
        <v>3.1156044740872697E-2</v>
      </c>
      <c r="T7276" s="59">
        <f ca="1">Dashboard!C$8* Dashboard!$F$4+Dashboard!C$10*SQRT(Dashboard!$F$4) * _xlfn.NORM.S.INV(RAND())</f>
        <v>-2.0784552410240721E-4</v>
      </c>
      <c r="U7276" s="59">
        <f ca="1">Dashboard!D$8* Dashboard!$F$4+Dashboard!D$10*SQRT(Dashboard!$F$4) * _xlfn.NORM.S.INV(RAND())</f>
        <v>2.4453415882085168E-2</v>
      </c>
    </row>
    <row r="7277" spans="18:21" x14ac:dyDescent="0.2">
      <c r="R7277" s="49">
        <v>7275</v>
      </c>
      <c r="S7277" s="59">
        <f ca="1">Dashboard!B$8* Dashboard!$F$4+Dashboard!B$10*SQRT(Dashboard!$F$4) * _xlfn.NORM.S.INV(RAND())</f>
        <v>5.7965908178079471E-2</v>
      </c>
      <c r="T7277" s="59">
        <f ca="1">Dashboard!C$8* Dashboard!$F$4+Dashboard!C$10*SQRT(Dashboard!$F$4) * _xlfn.NORM.S.INV(RAND())</f>
        <v>-2.5226563076088629E-2</v>
      </c>
      <c r="U7277" s="59">
        <f ca="1">Dashboard!D$8* Dashboard!$F$4+Dashboard!D$10*SQRT(Dashboard!$F$4) * _xlfn.NORM.S.INV(RAND())</f>
        <v>2.0291310097426797E-3</v>
      </c>
    </row>
    <row r="7278" spans="18:21" x14ac:dyDescent="0.2">
      <c r="R7278" s="49">
        <v>7276</v>
      </c>
      <c r="S7278" s="59">
        <f ca="1">Dashboard!B$8* Dashboard!$F$4+Dashboard!B$10*SQRT(Dashboard!$F$4) * _xlfn.NORM.S.INV(RAND())</f>
        <v>-6.0504234425067381E-2</v>
      </c>
      <c r="T7278" s="59">
        <f ca="1">Dashboard!C$8* Dashboard!$F$4+Dashboard!C$10*SQRT(Dashboard!$F$4) * _xlfn.NORM.S.INV(RAND())</f>
        <v>4.8922681938110391E-2</v>
      </c>
      <c r="U7278" s="59">
        <f ca="1">Dashboard!D$8* Dashboard!$F$4+Dashboard!D$10*SQRT(Dashboard!$F$4) * _xlfn.NORM.S.INV(RAND())</f>
        <v>2.1738536319955148E-2</v>
      </c>
    </row>
    <row r="7279" spans="18:21" x14ac:dyDescent="0.2">
      <c r="R7279" s="49">
        <v>7277</v>
      </c>
      <c r="S7279" s="59">
        <f ca="1">Dashboard!B$8* Dashboard!$F$4+Dashboard!B$10*SQRT(Dashboard!$F$4) * _xlfn.NORM.S.INV(RAND())</f>
        <v>-5.839422056591834E-3</v>
      </c>
      <c r="T7279" s="59">
        <f ca="1">Dashboard!C$8* Dashboard!$F$4+Dashboard!C$10*SQRT(Dashboard!$F$4) * _xlfn.NORM.S.INV(RAND())</f>
        <v>-8.5307116809721778E-3</v>
      </c>
      <c r="U7279" s="59">
        <f ca="1">Dashboard!D$8* Dashboard!$F$4+Dashboard!D$10*SQRT(Dashboard!$F$4) * _xlfn.NORM.S.INV(RAND())</f>
        <v>-2.7967765920584219E-2</v>
      </c>
    </row>
    <row r="7280" spans="18:21" x14ac:dyDescent="0.2">
      <c r="R7280" s="49">
        <v>7278</v>
      </c>
      <c r="S7280" s="59">
        <f ca="1">Dashboard!B$8* Dashboard!$F$4+Dashboard!B$10*SQRT(Dashboard!$F$4) * _xlfn.NORM.S.INV(RAND())</f>
        <v>-1.8320873409578158E-2</v>
      </c>
      <c r="T7280" s="59">
        <f ca="1">Dashboard!C$8* Dashboard!$F$4+Dashboard!C$10*SQRT(Dashboard!$F$4) * _xlfn.NORM.S.INV(RAND())</f>
        <v>2.8997965335204188E-2</v>
      </c>
      <c r="U7280" s="59">
        <f ca="1">Dashboard!D$8* Dashboard!$F$4+Dashboard!D$10*SQRT(Dashboard!$F$4) * _xlfn.NORM.S.INV(RAND())</f>
        <v>-9.813612322863749E-3</v>
      </c>
    </row>
    <row r="7281" spans="18:21" x14ac:dyDescent="0.2">
      <c r="R7281" s="49">
        <v>7279</v>
      </c>
      <c r="S7281" s="59">
        <f ca="1">Dashboard!B$8* Dashboard!$F$4+Dashboard!B$10*SQRT(Dashboard!$F$4) * _xlfn.NORM.S.INV(RAND())</f>
        <v>1.3535583663401135E-2</v>
      </c>
      <c r="T7281" s="59">
        <f ca="1">Dashboard!C$8* Dashboard!$F$4+Dashboard!C$10*SQRT(Dashboard!$F$4) * _xlfn.NORM.S.INV(RAND())</f>
        <v>-6.9289545247345166E-2</v>
      </c>
      <c r="U7281" s="59">
        <f ca="1">Dashboard!D$8* Dashboard!$F$4+Dashboard!D$10*SQRT(Dashboard!$F$4) * _xlfn.NORM.S.INV(RAND())</f>
        <v>-2.4863990460638793E-2</v>
      </c>
    </row>
    <row r="7282" spans="18:21" x14ac:dyDescent="0.2">
      <c r="R7282" s="49">
        <v>7280</v>
      </c>
      <c r="S7282" s="59">
        <f ca="1">Dashboard!B$8* Dashboard!$F$4+Dashboard!B$10*SQRT(Dashboard!$F$4) * _xlfn.NORM.S.INV(RAND())</f>
        <v>-3.153337199498854E-2</v>
      </c>
      <c r="T7282" s="59">
        <f ca="1">Dashboard!C$8* Dashboard!$F$4+Dashboard!C$10*SQRT(Dashboard!$F$4) * _xlfn.NORM.S.INV(RAND())</f>
        <v>-1.3536027157101487E-2</v>
      </c>
      <c r="U7282" s="59">
        <f ca="1">Dashboard!D$8* Dashboard!$F$4+Dashboard!D$10*SQRT(Dashboard!$F$4) * _xlfn.NORM.S.INV(RAND())</f>
        <v>-2.4220635852319754E-2</v>
      </c>
    </row>
    <row r="7283" spans="18:21" x14ac:dyDescent="0.2">
      <c r="R7283" s="49">
        <v>7281</v>
      </c>
      <c r="S7283" s="59">
        <f ca="1">Dashboard!B$8* Dashboard!$F$4+Dashboard!B$10*SQRT(Dashboard!$F$4) * _xlfn.NORM.S.INV(RAND())</f>
        <v>7.0237306686614272E-3</v>
      </c>
      <c r="T7283" s="59">
        <f ca="1">Dashboard!C$8* Dashboard!$F$4+Dashboard!C$10*SQRT(Dashboard!$F$4) * _xlfn.NORM.S.INV(RAND())</f>
        <v>-3.3703180091299238E-2</v>
      </c>
      <c r="U7283" s="59">
        <f ca="1">Dashboard!D$8* Dashboard!$F$4+Dashboard!D$10*SQRT(Dashboard!$F$4) * _xlfn.NORM.S.INV(RAND())</f>
        <v>-3.0012814847857859E-2</v>
      </c>
    </row>
    <row r="7284" spans="18:21" x14ac:dyDescent="0.2">
      <c r="R7284" s="49">
        <v>7282</v>
      </c>
      <c r="S7284" s="59">
        <f ca="1">Dashboard!B$8* Dashboard!$F$4+Dashboard!B$10*SQRT(Dashboard!$F$4) * _xlfn.NORM.S.INV(RAND())</f>
        <v>-3.6991694866501776E-3</v>
      </c>
      <c r="T7284" s="59">
        <f ca="1">Dashboard!C$8* Dashboard!$F$4+Dashboard!C$10*SQRT(Dashboard!$F$4) * _xlfn.NORM.S.INV(RAND())</f>
        <v>-3.2962412224886786E-2</v>
      </c>
      <c r="U7284" s="59">
        <f ca="1">Dashboard!D$8* Dashboard!$F$4+Dashboard!D$10*SQRT(Dashboard!$F$4) * _xlfn.NORM.S.INV(RAND())</f>
        <v>1.4801865629875682E-2</v>
      </c>
    </row>
    <row r="7285" spans="18:21" x14ac:dyDescent="0.2">
      <c r="R7285" s="49">
        <v>7283</v>
      </c>
      <c r="S7285" s="59">
        <f ca="1">Dashboard!B$8* Dashboard!$F$4+Dashboard!B$10*SQRT(Dashboard!$F$4) * _xlfn.NORM.S.INV(RAND())</f>
        <v>-3.205750451008979E-2</v>
      </c>
      <c r="T7285" s="59">
        <f ca="1">Dashboard!C$8* Dashboard!$F$4+Dashboard!C$10*SQRT(Dashboard!$F$4) * _xlfn.NORM.S.INV(RAND())</f>
        <v>1.1592861555364632E-2</v>
      </c>
      <c r="U7285" s="59">
        <f ca="1">Dashboard!D$8* Dashboard!$F$4+Dashboard!D$10*SQRT(Dashboard!$F$4) * _xlfn.NORM.S.INV(RAND())</f>
        <v>-1.9403175505829994E-2</v>
      </c>
    </row>
    <row r="7286" spans="18:21" x14ac:dyDescent="0.2">
      <c r="R7286" s="49">
        <v>7284</v>
      </c>
      <c r="S7286" s="59">
        <f ca="1">Dashboard!B$8* Dashboard!$F$4+Dashboard!B$10*SQRT(Dashboard!$F$4) * _xlfn.NORM.S.INV(RAND())</f>
        <v>-2.8800779055265409E-2</v>
      </c>
      <c r="T7286" s="59">
        <f ca="1">Dashboard!C$8* Dashboard!$F$4+Dashboard!C$10*SQRT(Dashboard!$F$4) * _xlfn.NORM.S.INV(RAND())</f>
        <v>-1.4357438733002461E-2</v>
      </c>
      <c r="U7286" s="59">
        <f ca="1">Dashboard!D$8* Dashboard!$F$4+Dashboard!D$10*SQRT(Dashboard!$F$4) * _xlfn.NORM.S.INV(RAND())</f>
        <v>-1.6814928965334503E-2</v>
      </c>
    </row>
    <row r="7287" spans="18:21" x14ac:dyDescent="0.2">
      <c r="R7287" s="49">
        <v>7285</v>
      </c>
      <c r="S7287" s="59">
        <f ca="1">Dashboard!B$8* Dashboard!$F$4+Dashboard!B$10*SQRT(Dashboard!$F$4) * _xlfn.NORM.S.INV(RAND())</f>
        <v>1.0126945142511062E-2</v>
      </c>
      <c r="T7287" s="59">
        <f ca="1">Dashboard!C$8* Dashboard!$F$4+Dashboard!C$10*SQRT(Dashboard!$F$4) * _xlfn.NORM.S.INV(RAND())</f>
        <v>-1.7899714294360138E-2</v>
      </c>
      <c r="U7287" s="59">
        <f ca="1">Dashboard!D$8* Dashboard!$F$4+Dashboard!D$10*SQRT(Dashboard!$F$4) * _xlfn.NORM.S.INV(RAND())</f>
        <v>-2.7914948142498713E-2</v>
      </c>
    </row>
    <row r="7288" spans="18:21" x14ac:dyDescent="0.2">
      <c r="R7288" s="49">
        <v>7286</v>
      </c>
      <c r="S7288" s="59">
        <f ca="1">Dashboard!B$8* Dashboard!$F$4+Dashboard!B$10*SQRT(Dashboard!$F$4) * _xlfn.NORM.S.INV(RAND())</f>
        <v>-5.9605312443853373E-3</v>
      </c>
      <c r="T7288" s="59">
        <f ca="1">Dashboard!C$8* Dashboard!$F$4+Dashboard!C$10*SQRT(Dashboard!$F$4) * _xlfn.NORM.S.INV(RAND())</f>
        <v>3.5659910177089471E-2</v>
      </c>
      <c r="U7288" s="59">
        <f ca="1">Dashboard!D$8* Dashboard!$F$4+Dashboard!D$10*SQRT(Dashboard!$F$4) * _xlfn.NORM.S.INV(RAND())</f>
        <v>1.0272433450103514E-2</v>
      </c>
    </row>
    <row r="7289" spans="18:21" x14ac:dyDescent="0.2">
      <c r="R7289" s="49">
        <v>7287</v>
      </c>
      <c r="S7289" s="59">
        <f ca="1">Dashboard!B$8* Dashboard!$F$4+Dashboard!B$10*SQRT(Dashboard!$F$4) * _xlfn.NORM.S.INV(RAND())</f>
        <v>-8.1196013156676211E-3</v>
      </c>
      <c r="T7289" s="59">
        <f ca="1">Dashboard!C$8* Dashboard!$F$4+Dashboard!C$10*SQRT(Dashboard!$F$4) * _xlfn.NORM.S.INV(RAND())</f>
        <v>6.9845650010815746E-2</v>
      </c>
      <c r="U7289" s="59">
        <f ca="1">Dashboard!D$8* Dashboard!$F$4+Dashboard!D$10*SQRT(Dashboard!$F$4) * _xlfn.NORM.S.INV(RAND())</f>
        <v>-3.8110931967949818E-2</v>
      </c>
    </row>
    <row r="7290" spans="18:21" x14ac:dyDescent="0.2">
      <c r="R7290" s="49">
        <v>7288</v>
      </c>
      <c r="S7290" s="59">
        <f ca="1">Dashboard!B$8* Dashboard!$F$4+Dashboard!B$10*SQRT(Dashboard!$F$4) * _xlfn.NORM.S.INV(RAND())</f>
        <v>2.9674759853554222E-2</v>
      </c>
      <c r="T7290" s="59">
        <f ca="1">Dashboard!C$8* Dashboard!$F$4+Dashboard!C$10*SQRT(Dashboard!$F$4) * _xlfn.NORM.S.INV(RAND())</f>
        <v>2.4375520252698728E-2</v>
      </c>
      <c r="U7290" s="59">
        <f ca="1">Dashboard!D$8* Dashboard!$F$4+Dashboard!D$10*SQRT(Dashboard!$F$4) * _xlfn.NORM.S.INV(RAND())</f>
        <v>4.9904385041593627E-2</v>
      </c>
    </row>
    <row r="7291" spans="18:21" x14ac:dyDescent="0.2">
      <c r="R7291" s="49">
        <v>7289</v>
      </c>
      <c r="S7291" s="59">
        <f ca="1">Dashboard!B$8* Dashboard!$F$4+Dashboard!B$10*SQRT(Dashboard!$F$4) * _xlfn.NORM.S.INV(RAND())</f>
        <v>4.1247798985773933E-3</v>
      </c>
      <c r="T7291" s="59">
        <f ca="1">Dashboard!C$8* Dashboard!$F$4+Dashboard!C$10*SQRT(Dashboard!$F$4) * _xlfn.NORM.S.INV(RAND())</f>
        <v>1.0188281543529711E-2</v>
      </c>
      <c r="U7291" s="59">
        <f ca="1">Dashboard!D$8* Dashboard!$F$4+Dashboard!D$10*SQRT(Dashboard!$F$4) * _xlfn.NORM.S.INV(RAND())</f>
        <v>-9.3727204541696873E-3</v>
      </c>
    </row>
    <row r="7292" spans="18:21" x14ac:dyDescent="0.2">
      <c r="R7292" s="49">
        <v>7290</v>
      </c>
      <c r="S7292" s="59">
        <f ca="1">Dashboard!B$8* Dashboard!$F$4+Dashboard!B$10*SQRT(Dashboard!$F$4) * _xlfn.NORM.S.INV(RAND())</f>
        <v>-2.6397017065487312E-2</v>
      </c>
      <c r="T7292" s="59">
        <f ca="1">Dashboard!C$8* Dashboard!$F$4+Dashboard!C$10*SQRT(Dashboard!$F$4) * _xlfn.NORM.S.INV(RAND())</f>
        <v>-1.6013808238830883E-2</v>
      </c>
      <c r="U7292" s="59">
        <f ca="1">Dashboard!D$8* Dashboard!$F$4+Dashboard!D$10*SQRT(Dashboard!$F$4) * _xlfn.NORM.S.INV(RAND())</f>
        <v>-4.7400146401507061E-2</v>
      </c>
    </row>
    <row r="7293" spans="18:21" x14ac:dyDescent="0.2">
      <c r="R7293" s="49">
        <v>7291</v>
      </c>
      <c r="S7293" s="59">
        <f ca="1">Dashboard!B$8* Dashboard!$F$4+Dashboard!B$10*SQRT(Dashboard!$F$4) * _xlfn.NORM.S.INV(RAND())</f>
        <v>1.4103509966536492E-2</v>
      </c>
      <c r="T7293" s="59">
        <f ca="1">Dashboard!C$8* Dashboard!$F$4+Dashboard!C$10*SQRT(Dashboard!$F$4) * _xlfn.NORM.S.INV(RAND())</f>
        <v>3.851011482952317E-2</v>
      </c>
      <c r="U7293" s="59">
        <f ca="1">Dashboard!D$8* Dashboard!$F$4+Dashboard!D$10*SQRT(Dashboard!$F$4) * _xlfn.NORM.S.INV(RAND())</f>
        <v>-6.9133871411856104E-2</v>
      </c>
    </row>
    <row r="7294" spans="18:21" x14ac:dyDescent="0.2">
      <c r="R7294" s="49">
        <v>7292</v>
      </c>
      <c r="S7294" s="59">
        <f ca="1">Dashboard!B$8* Dashboard!$F$4+Dashboard!B$10*SQRT(Dashboard!$F$4) * _xlfn.NORM.S.INV(RAND())</f>
        <v>-4.1270353803785761E-3</v>
      </c>
      <c r="T7294" s="59">
        <f ca="1">Dashboard!C$8* Dashboard!$F$4+Dashboard!C$10*SQRT(Dashboard!$F$4) * _xlfn.NORM.S.INV(RAND())</f>
        <v>-4.3148288624024707E-2</v>
      </c>
      <c r="U7294" s="59">
        <f ca="1">Dashboard!D$8* Dashboard!$F$4+Dashboard!D$10*SQRT(Dashboard!$F$4) * _xlfn.NORM.S.INV(RAND())</f>
        <v>-1.1013439876492892E-3</v>
      </c>
    </row>
    <row r="7295" spans="18:21" x14ac:dyDescent="0.2">
      <c r="R7295" s="49">
        <v>7293</v>
      </c>
      <c r="S7295" s="59">
        <f ca="1">Dashboard!B$8* Dashboard!$F$4+Dashboard!B$10*SQRT(Dashboard!$F$4) * _xlfn.NORM.S.INV(RAND())</f>
        <v>3.3072490321466634E-2</v>
      </c>
      <c r="T7295" s="59">
        <f ca="1">Dashboard!C$8* Dashboard!$F$4+Dashboard!C$10*SQRT(Dashboard!$F$4) * _xlfn.NORM.S.INV(RAND())</f>
        <v>-1.6227494118469583E-2</v>
      </c>
      <c r="U7295" s="59">
        <f ca="1">Dashboard!D$8* Dashboard!$F$4+Dashboard!D$10*SQRT(Dashboard!$F$4) * _xlfn.NORM.S.INV(RAND())</f>
        <v>4.8167086212639945E-2</v>
      </c>
    </row>
    <row r="7296" spans="18:21" x14ac:dyDescent="0.2">
      <c r="R7296" s="49">
        <v>7294</v>
      </c>
      <c r="S7296" s="59">
        <f ca="1">Dashboard!B$8* Dashboard!$F$4+Dashboard!B$10*SQRT(Dashboard!$F$4) * _xlfn.NORM.S.INV(RAND())</f>
        <v>-5.1165835125095782E-3</v>
      </c>
      <c r="T7296" s="59">
        <f ca="1">Dashboard!C$8* Dashboard!$F$4+Dashboard!C$10*SQRT(Dashboard!$F$4) * _xlfn.NORM.S.INV(RAND())</f>
        <v>1.4220773939987195E-2</v>
      </c>
      <c r="U7296" s="59">
        <f ca="1">Dashboard!D$8* Dashboard!$F$4+Dashboard!D$10*SQRT(Dashboard!$F$4) * _xlfn.NORM.S.INV(RAND())</f>
        <v>4.4309458857531923E-2</v>
      </c>
    </row>
    <row r="7297" spans="18:21" x14ac:dyDescent="0.2">
      <c r="R7297" s="49">
        <v>7295</v>
      </c>
      <c r="S7297" s="59">
        <f ca="1">Dashboard!B$8* Dashboard!$F$4+Dashboard!B$10*SQRT(Dashboard!$F$4) * _xlfn.NORM.S.INV(RAND())</f>
        <v>-7.8348060095502353E-3</v>
      </c>
      <c r="T7297" s="59">
        <f ca="1">Dashboard!C$8* Dashboard!$F$4+Dashboard!C$10*SQRT(Dashboard!$F$4) * _xlfn.NORM.S.INV(RAND())</f>
        <v>-1.5729891284022204E-2</v>
      </c>
      <c r="U7297" s="59">
        <f ca="1">Dashboard!D$8* Dashboard!$F$4+Dashboard!D$10*SQRT(Dashboard!$F$4) * _xlfn.NORM.S.INV(RAND())</f>
        <v>1.1348007358341653E-2</v>
      </c>
    </row>
    <row r="7298" spans="18:21" x14ac:dyDescent="0.2">
      <c r="R7298" s="49">
        <v>7296</v>
      </c>
      <c r="S7298" s="59">
        <f ca="1">Dashboard!B$8* Dashboard!$F$4+Dashboard!B$10*SQRT(Dashboard!$F$4) * _xlfn.NORM.S.INV(RAND())</f>
        <v>-1.6394799653528851E-2</v>
      </c>
      <c r="T7298" s="59">
        <f ca="1">Dashboard!C$8* Dashboard!$F$4+Dashboard!C$10*SQRT(Dashboard!$F$4) * _xlfn.NORM.S.INV(RAND())</f>
        <v>-1.5458899461900551E-2</v>
      </c>
      <c r="U7298" s="59">
        <f ca="1">Dashboard!D$8* Dashboard!$F$4+Dashboard!D$10*SQRT(Dashboard!$F$4) * _xlfn.NORM.S.INV(RAND())</f>
        <v>-4.2807486507269121E-2</v>
      </c>
    </row>
    <row r="7299" spans="18:21" x14ac:dyDescent="0.2">
      <c r="R7299" s="49">
        <v>7297</v>
      </c>
      <c r="S7299" s="59">
        <f ca="1">Dashboard!B$8* Dashboard!$F$4+Dashboard!B$10*SQRT(Dashboard!$F$4) * _xlfn.NORM.S.INV(RAND())</f>
        <v>3.9918949123289416E-2</v>
      </c>
      <c r="T7299" s="59">
        <f ca="1">Dashboard!C$8* Dashboard!$F$4+Dashboard!C$10*SQRT(Dashboard!$F$4) * _xlfn.NORM.S.INV(RAND())</f>
        <v>-1.5338116836677348E-2</v>
      </c>
      <c r="U7299" s="59">
        <f ca="1">Dashboard!D$8* Dashboard!$F$4+Dashboard!D$10*SQRT(Dashboard!$F$4) * _xlfn.NORM.S.INV(RAND())</f>
        <v>2.1237084166122019E-2</v>
      </c>
    </row>
    <row r="7300" spans="18:21" x14ac:dyDescent="0.2">
      <c r="R7300" s="49">
        <v>7298</v>
      </c>
      <c r="S7300" s="59">
        <f ca="1">Dashboard!B$8* Dashboard!$F$4+Dashboard!B$10*SQRT(Dashboard!$F$4) * _xlfn.NORM.S.INV(RAND())</f>
        <v>-8.1444546243920293E-2</v>
      </c>
      <c r="T7300" s="59">
        <f ca="1">Dashboard!C$8* Dashboard!$F$4+Dashboard!C$10*SQRT(Dashboard!$F$4) * _xlfn.NORM.S.INV(RAND())</f>
        <v>-7.3976752430680538E-3</v>
      </c>
      <c r="U7300" s="59">
        <f ca="1">Dashboard!D$8* Dashboard!$F$4+Dashboard!D$10*SQRT(Dashboard!$F$4) * _xlfn.NORM.S.INV(RAND())</f>
        <v>4.2254774215188889E-2</v>
      </c>
    </row>
    <row r="7301" spans="18:21" x14ac:dyDescent="0.2">
      <c r="R7301" s="49">
        <v>7299</v>
      </c>
      <c r="S7301" s="59">
        <f ca="1">Dashboard!B$8* Dashboard!$F$4+Dashboard!B$10*SQRT(Dashboard!$F$4) * _xlfn.NORM.S.INV(RAND())</f>
        <v>-3.1323950982882126E-2</v>
      </c>
      <c r="T7301" s="59">
        <f ca="1">Dashboard!C$8* Dashboard!$F$4+Dashboard!C$10*SQRT(Dashboard!$F$4) * _xlfn.NORM.S.INV(RAND())</f>
        <v>-5.2067492974745992E-2</v>
      </c>
      <c r="U7301" s="59">
        <f ca="1">Dashboard!D$8* Dashboard!$F$4+Dashboard!D$10*SQRT(Dashboard!$F$4) * _xlfn.NORM.S.INV(RAND())</f>
        <v>-3.3334998336536255E-2</v>
      </c>
    </row>
    <row r="7302" spans="18:21" x14ac:dyDescent="0.2">
      <c r="R7302" s="49">
        <v>7300</v>
      </c>
      <c r="S7302" s="59">
        <f ca="1">Dashboard!B$8* Dashboard!$F$4+Dashboard!B$10*SQRT(Dashboard!$F$4) * _xlfn.NORM.S.INV(RAND())</f>
        <v>-3.5482766568184214E-2</v>
      </c>
      <c r="T7302" s="59">
        <f ca="1">Dashboard!C$8* Dashboard!$F$4+Dashboard!C$10*SQRT(Dashboard!$F$4) * _xlfn.NORM.S.INV(RAND())</f>
        <v>3.3236611962684272E-2</v>
      </c>
      <c r="U7302" s="59">
        <f ca="1">Dashboard!D$8* Dashboard!$F$4+Dashboard!D$10*SQRT(Dashboard!$F$4) * _xlfn.NORM.S.INV(RAND())</f>
        <v>-1.2816695759903516E-2</v>
      </c>
    </row>
    <row r="7303" spans="18:21" x14ac:dyDescent="0.2">
      <c r="R7303" s="49">
        <v>7301</v>
      </c>
      <c r="S7303" s="59">
        <f ca="1">Dashboard!B$8* Dashboard!$F$4+Dashboard!B$10*SQRT(Dashboard!$F$4) * _xlfn.NORM.S.INV(RAND())</f>
        <v>3.1437553335854698E-2</v>
      </c>
      <c r="T7303" s="59">
        <f ca="1">Dashboard!C$8* Dashboard!$F$4+Dashboard!C$10*SQRT(Dashboard!$F$4) * _xlfn.NORM.S.INV(RAND())</f>
        <v>-5.2197572014142943E-3</v>
      </c>
      <c r="U7303" s="59">
        <f ca="1">Dashboard!D$8* Dashboard!$F$4+Dashboard!D$10*SQRT(Dashboard!$F$4) * _xlfn.NORM.S.INV(RAND())</f>
        <v>-1.0712553052560726E-2</v>
      </c>
    </row>
    <row r="7304" spans="18:21" x14ac:dyDescent="0.2">
      <c r="R7304" s="49">
        <v>7302</v>
      </c>
      <c r="S7304" s="59">
        <f ca="1">Dashboard!B$8* Dashboard!$F$4+Dashboard!B$10*SQRT(Dashboard!$F$4) * _xlfn.NORM.S.INV(RAND())</f>
        <v>3.8606793941346883E-2</v>
      </c>
      <c r="T7304" s="59">
        <f ca="1">Dashboard!C$8* Dashboard!$F$4+Dashboard!C$10*SQRT(Dashboard!$F$4) * _xlfn.NORM.S.INV(RAND())</f>
        <v>-2.3957139587216379E-2</v>
      </c>
      <c r="U7304" s="59">
        <f ca="1">Dashboard!D$8* Dashboard!$F$4+Dashboard!D$10*SQRT(Dashboard!$F$4) * _xlfn.NORM.S.INV(RAND())</f>
        <v>-4.466818617626029E-2</v>
      </c>
    </row>
    <row r="7305" spans="18:21" x14ac:dyDescent="0.2">
      <c r="R7305" s="49">
        <v>7303</v>
      </c>
      <c r="S7305" s="59">
        <f ca="1">Dashboard!B$8* Dashboard!$F$4+Dashboard!B$10*SQRT(Dashboard!$F$4) * _xlfn.NORM.S.INV(RAND())</f>
        <v>2.3570325182450523E-2</v>
      </c>
      <c r="T7305" s="59">
        <f ca="1">Dashboard!C$8* Dashboard!$F$4+Dashboard!C$10*SQRT(Dashboard!$F$4) * _xlfn.NORM.S.INV(RAND())</f>
        <v>-3.5645448926943539E-2</v>
      </c>
      <c r="U7305" s="59">
        <f ca="1">Dashboard!D$8* Dashboard!$F$4+Dashboard!D$10*SQRT(Dashboard!$F$4) * _xlfn.NORM.S.INV(RAND())</f>
        <v>3.4933345384849719E-2</v>
      </c>
    </row>
    <row r="7306" spans="18:21" x14ac:dyDescent="0.2">
      <c r="R7306" s="49">
        <v>7304</v>
      </c>
      <c r="S7306" s="59">
        <f ca="1">Dashboard!B$8* Dashboard!$F$4+Dashboard!B$10*SQRT(Dashboard!$F$4) * _xlfn.NORM.S.INV(RAND())</f>
        <v>1.4946537899768212E-2</v>
      </c>
      <c r="T7306" s="59">
        <f ca="1">Dashboard!C$8* Dashboard!$F$4+Dashboard!C$10*SQRT(Dashboard!$F$4) * _xlfn.NORM.S.INV(RAND())</f>
        <v>1.7938031301192085E-2</v>
      </c>
      <c r="U7306" s="59">
        <f ca="1">Dashboard!D$8* Dashboard!$F$4+Dashboard!D$10*SQRT(Dashboard!$F$4) * _xlfn.NORM.S.INV(RAND())</f>
        <v>-3.5852609574772112E-2</v>
      </c>
    </row>
    <row r="7307" spans="18:21" x14ac:dyDescent="0.2">
      <c r="R7307" s="49">
        <v>7305</v>
      </c>
      <c r="S7307" s="59">
        <f ca="1">Dashboard!B$8* Dashboard!$F$4+Dashboard!B$10*SQRT(Dashboard!$F$4) * _xlfn.NORM.S.INV(RAND())</f>
        <v>1.7929474968418277E-2</v>
      </c>
      <c r="T7307" s="59">
        <f ca="1">Dashboard!C$8* Dashboard!$F$4+Dashboard!C$10*SQRT(Dashboard!$F$4) * _xlfn.NORM.S.INV(RAND())</f>
        <v>2.0619945569496693E-2</v>
      </c>
      <c r="U7307" s="59">
        <f ca="1">Dashboard!D$8* Dashboard!$F$4+Dashboard!D$10*SQRT(Dashboard!$F$4) * _xlfn.NORM.S.INV(RAND())</f>
        <v>2.8835958666498473E-2</v>
      </c>
    </row>
    <row r="7308" spans="18:21" x14ac:dyDescent="0.2">
      <c r="R7308" s="49">
        <v>7306</v>
      </c>
      <c r="S7308" s="59">
        <f ca="1">Dashboard!B$8* Dashboard!$F$4+Dashboard!B$10*SQRT(Dashboard!$F$4) * _xlfn.NORM.S.INV(RAND())</f>
        <v>-2.3358873116145359E-2</v>
      </c>
      <c r="T7308" s="59">
        <f ca="1">Dashboard!C$8* Dashboard!$F$4+Dashboard!C$10*SQRT(Dashboard!$F$4) * _xlfn.NORM.S.INV(RAND())</f>
        <v>1.2871112382640305E-2</v>
      </c>
      <c r="U7308" s="59">
        <f ca="1">Dashboard!D$8* Dashboard!$F$4+Dashboard!D$10*SQRT(Dashboard!$F$4) * _xlfn.NORM.S.INV(RAND())</f>
        <v>-1.3758722233866602E-2</v>
      </c>
    </row>
    <row r="7309" spans="18:21" x14ac:dyDescent="0.2">
      <c r="R7309" s="49">
        <v>7307</v>
      </c>
      <c r="S7309" s="59">
        <f ca="1">Dashboard!B$8* Dashboard!$F$4+Dashboard!B$10*SQRT(Dashboard!$F$4) * _xlfn.NORM.S.INV(RAND())</f>
        <v>3.1557275905218458E-2</v>
      </c>
      <c r="T7309" s="59">
        <f ca="1">Dashboard!C$8* Dashboard!$F$4+Dashboard!C$10*SQRT(Dashboard!$F$4) * _xlfn.NORM.S.INV(RAND())</f>
        <v>-7.8929738825801975E-3</v>
      </c>
      <c r="U7309" s="59">
        <f ca="1">Dashboard!D$8* Dashboard!$F$4+Dashboard!D$10*SQRT(Dashboard!$F$4) * _xlfn.NORM.S.INV(RAND())</f>
        <v>-1.8458223849548906E-2</v>
      </c>
    </row>
    <row r="7310" spans="18:21" x14ac:dyDescent="0.2">
      <c r="R7310" s="49">
        <v>7308</v>
      </c>
      <c r="S7310" s="59">
        <f ca="1">Dashboard!B$8* Dashboard!$F$4+Dashboard!B$10*SQRT(Dashboard!$F$4) * _xlfn.NORM.S.INV(RAND())</f>
        <v>-1.8304473843278223E-2</v>
      </c>
      <c r="T7310" s="59">
        <f ca="1">Dashboard!C$8* Dashboard!$F$4+Dashboard!C$10*SQRT(Dashboard!$F$4) * _xlfn.NORM.S.INV(RAND())</f>
        <v>3.2870342411993672E-4</v>
      </c>
      <c r="U7310" s="59">
        <f ca="1">Dashboard!D$8* Dashboard!$F$4+Dashboard!D$10*SQRT(Dashboard!$F$4) * _xlfn.NORM.S.INV(RAND())</f>
        <v>6.8026337789460073E-3</v>
      </c>
    </row>
    <row r="7311" spans="18:21" x14ac:dyDescent="0.2">
      <c r="R7311" s="49">
        <v>7309</v>
      </c>
      <c r="S7311" s="59">
        <f ca="1">Dashboard!B$8* Dashboard!$F$4+Dashboard!B$10*SQRT(Dashboard!$F$4) * _xlfn.NORM.S.INV(RAND())</f>
        <v>4.8933417482594929E-2</v>
      </c>
      <c r="T7311" s="59">
        <f ca="1">Dashboard!C$8* Dashboard!$F$4+Dashboard!C$10*SQRT(Dashboard!$F$4) * _xlfn.NORM.S.INV(RAND())</f>
        <v>-2.0970345507292189E-2</v>
      </c>
      <c r="U7311" s="59">
        <f ca="1">Dashboard!D$8* Dashboard!$F$4+Dashboard!D$10*SQRT(Dashboard!$F$4) * _xlfn.NORM.S.INV(RAND())</f>
        <v>3.9594142482872699E-2</v>
      </c>
    </row>
    <row r="7312" spans="18:21" x14ac:dyDescent="0.2">
      <c r="R7312" s="49">
        <v>7310</v>
      </c>
      <c r="S7312" s="59">
        <f ca="1">Dashboard!B$8* Dashboard!$F$4+Dashboard!B$10*SQRT(Dashboard!$F$4) * _xlfn.NORM.S.INV(RAND())</f>
        <v>1.6851980194475778E-2</v>
      </c>
      <c r="T7312" s="59">
        <f ca="1">Dashboard!C$8* Dashboard!$F$4+Dashboard!C$10*SQRT(Dashboard!$F$4) * _xlfn.NORM.S.INV(RAND())</f>
        <v>-2.8888804577079184E-2</v>
      </c>
      <c r="U7312" s="59">
        <f ca="1">Dashboard!D$8* Dashboard!$F$4+Dashboard!D$10*SQRT(Dashboard!$F$4) * _xlfn.NORM.S.INV(RAND())</f>
        <v>5.9733989776014447E-3</v>
      </c>
    </row>
    <row r="7313" spans="18:21" x14ac:dyDescent="0.2">
      <c r="R7313" s="49">
        <v>7311</v>
      </c>
      <c r="S7313" s="59">
        <f ca="1">Dashboard!B$8* Dashboard!$F$4+Dashboard!B$10*SQRT(Dashboard!$F$4) * _xlfn.NORM.S.INV(RAND())</f>
        <v>-1.5065579590957032E-2</v>
      </c>
      <c r="T7313" s="59">
        <f ca="1">Dashboard!C$8* Dashboard!$F$4+Dashboard!C$10*SQRT(Dashboard!$F$4) * _xlfn.NORM.S.INV(RAND())</f>
        <v>3.1210294565249014E-2</v>
      </c>
      <c r="U7313" s="59">
        <f ca="1">Dashboard!D$8* Dashboard!$F$4+Dashboard!D$10*SQRT(Dashboard!$F$4) * _xlfn.NORM.S.INV(RAND())</f>
        <v>2.6901445382435324E-3</v>
      </c>
    </row>
    <row r="7314" spans="18:21" x14ac:dyDescent="0.2">
      <c r="R7314" s="49">
        <v>7312</v>
      </c>
      <c r="S7314" s="59">
        <f ca="1">Dashboard!B$8* Dashboard!$F$4+Dashboard!B$10*SQRT(Dashboard!$F$4) * _xlfn.NORM.S.INV(RAND())</f>
        <v>-2.1098782743059895E-2</v>
      </c>
      <c r="T7314" s="59">
        <f ca="1">Dashboard!C$8* Dashboard!$F$4+Dashboard!C$10*SQRT(Dashboard!$F$4) * _xlfn.NORM.S.INV(RAND())</f>
        <v>-4.1110173624145261E-3</v>
      </c>
      <c r="U7314" s="59">
        <f ca="1">Dashboard!D$8* Dashboard!$F$4+Dashboard!D$10*SQRT(Dashboard!$F$4) * _xlfn.NORM.S.INV(RAND())</f>
        <v>-1.5754916843709159E-2</v>
      </c>
    </row>
    <row r="7315" spans="18:21" x14ac:dyDescent="0.2">
      <c r="R7315" s="49">
        <v>7313</v>
      </c>
      <c r="S7315" s="59">
        <f ca="1">Dashboard!B$8* Dashboard!$F$4+Dashboard!B$10*SQRT(Dashboard!$F$4) * _xlfn.NORM.S.INV(RAND())</f>
        <v>-8.4353170693792154E-3</v>
      </c>
      <c r="T7315" s="59">
        <f ca="1">Dashboard!C$8* Dashboard!$F$4+Dashboard!C$10*SQRT(Dashboard!$F$4) * _xlfn.NORM.S.INV(RAND())</f>
        <v>-1.5283298673917558E-2</v>
      </c>
      <c r="U7315" s="59">
        <f ca="1">Dashboard!D$8* Dashboard!$F$4+Dashboard!D$10*SQRT(Dashboard!$F$4) * _xlfn.NORM.S.INV(RAND())</f>
        <v>4.7278069220387901E-2</v>
      </c>
    </row>
    <row r="7316" spans="18:21" x14ac:dyDescent="0.2">
      <c r="R7316" s="49">
        <v>7314</v>
      </c>
      <c r="S7316" s="59">
        <f ca="1">Dashboard!B$8* Dashboard!$F$4+Dashboard!B$10*SQRT(Dashboard!$F$4) * _xlfn.NORM.S.INV(RAND())</f>
        <v>-2.4678689285243527E-2</v>
      </c>
      <c r="T7316" s="59">
        <f ca="1">Dashboard!C$8* Dashboard!$F$4+Dashboard!C$10*SQRT(Dashboard!$F$4) * _xlfn.NORM.S.INV(RAND())</f>
        <v>-5.1364106245639314E-2</v>
      </c>
      <c r="U7316" s="59">
        <f ca="1">Dashboard!D$8* Dashboard!$F$4+Dashboard!D$10*SQRT(Dashboard!$F$4) * _xlfn.NORM.S.INV(RAND())</f>
        <v>3.6331075150488404E-2</v>
      </c>
    </row>
    <row r="7317" spans="18:21" x14ac:dyDescent="0.2">
      <c r="R7317" s="49">
        <v>7315</v>
      </c>
      <c r="S7317" s="59">
        <f ca="1">Dashboard!B$8* Dashboard!$F$4+Dashboard!B$10*SQRT(Dashboard!$F$4) * _xlfn.NORM.S.INV(RAND())</f>
        <v>-7.0858044409033066E-2</v>
      </c>
      <c r="T7317" s="59">
        <f ca="1">Dashboard!C$8* Dashboard!$F$4+Dashboard!C$10*SQRT(Dashboard!$F$4) * _xlfn.NORM.S.INV(RAND())</f>
        <v>4.6526095941554865E-2</v>
      </c>
      <c r="U7317" s="59">
        <f ca="1">Dashboard!D$8* Dashboard!$F$4+Dashboard!D$10*SQRT(Dashboard!$F$4) * _xlfn.NORM.S.INV(RAND())</f>
        <v>-4.6533712179378788E-2</v>
      </c>
    </row>
    <row r="7318" spans="18:21" x14ac:dyDescent="0.2">
      <c r="R7318" s="49">
        <v>7316</v>
      </c>
      <c r="S7318" s="59">
        <f ca="1">Dashboard!B$8* Dashboard!$F$4+Dashboard!B$10*SQRT(Dashboard!$F$4) * _xlfn.NORM.S.INV(RAND())</f>
        <v>1.8832278894561863E-2</v>
      </c>
      <c r="T7318" s="59">
        <f ca="1">Dashboard!C$8* Dashboard!$F$4+Dashboard!C$10*SQRT(Dashboard!$F$4) * _xlfn.NORM.S.INV(RAND())</f>
        <v>6.0147581744606675E-3</v>
      </c>
      <c r="U7318" s="59">
        <f ca="1">Dashboard!D$8* Dashboard!$F$4+Dashboard!D$10*SQRT(Dashboard!$F$4) * _xlfn.NORM.S.INV(RAND())</f>
        <v>4.0340199604295565E-2</v>
      </c>
    </row>
    <row r="7319" spans="18:21" x14ac:dyDescent="0.2">
      <c r="R7319" s="49">
        <v>7317</v>
      </c>
      <c r="S7319" s="59">
        <f ca="1">Dashboard!B$8* Dashboard!$F$4+Dashboard!B$10*SQRT(Dashboard!$F$4) * _xlfn.NORM.S.INV(RAND())</f>
        <v>2.6434580792074613E-2</v>
      </c>
      <c r="T7319" s="59">
        <f ca="1">Dashboard!C$8* Dashboard!$F$4+Dashboard!C$10*SQRT(Dashboard!$F$4) * _xlfn.NORM.S.INV(RAND())</f>
        <v>3.3277648826751424E-2</v>
      </c>
      <c r="U7319" s="59">
        <f ca="1">Dashboard!D$8* Dashboard!$F$4+Dashboard!D$10*SQRT(Dashboard!$F$4) * _xlfn.NORM.S.INV(RAND())</f>
        <v>-2.0301656914044992E-3</v>
      </c>
    </row>
    <row r="7320" spans="18:21" x14ac:dyDescent="0.2">
      <c r="R7320" s="49">
        <v>7318</v>
      </c>
      <c r="S7320" s="59">
        <f ca="1">Dashboard!B$8* Dashboard!$F$4+Dashboard!B$10*SQRT(Dashboard!$F$4) * _xlfn.NORM.S.INV(RAND())</f>
        <v>2.366433735677053E-2</v>
      </c>
      <c r="T7320" s="59">
        <f ca="1">Dashboard!C$8* Dashboard!$F$4+Dashboard!C$10*SQRT(Dashboard!$F$4) * _xlfn.NORM.S.INV(RAND())</f>
        <v>1.9907898064871296E-2</v>
      </c>
      <c r="U7320" s="59">
        <f ca="1">Dashboard!D$8* Dashboard!$F$4+Dashboard!D$10*SQRT(Dashboard!$F$4) * _xlfn.NORM.S.INV(RAND())</f>
        <v>6.1890151262765251E-2</v>
      </c>
    </row>
    <row r="7321" spans="18:21" x14ac:dyDescent="0.2">
      <c r="R7321" s="49">
        <v>7319</v>
      </c>
      <c r="S7321" s="59">
        <f ca="1">Dashboard!B$8* Dashboard!$F$4+Dashboard!B$10*SQRT(Dashboard!$F$4) * _xlfn.NORM.S.INV(RAND())</f>
        <v>1.5385454755275094E-3</v>
      </c>
      <c r="T7321" s="59">
        <f ca="1">Dashboard!C$8* Dashboard!$F$4+Dashboard!C$10*SQRT(Dashboard!$F$4) * _xlfn.NORM.S.INV(RAND())</f>
        <v>-1.3985632538814373E-2</v>
      </c>
      <c r="U7321" s="59">
        <f ca="1">Dashboard!D$8* Dashboard!$F$4+Dashboard!D$10*SQRT(Dashboard!$F$4) * _xlfn.NORM.S.INV(RAND())</f>
        <v>3.9974474355875728E-2</v>
      </c>
    </row>
    <row r="7322" spans="18:21" x14ac:dyDescent="0.2">
      <c r="R7322" s="49">
        <v>7320</v>
      </c>
      <c r="S7322" s="59">
        <f ca="1">Dashboard!B$8* Dashboard!$F$4+Dashboard!B$10*SQRT(Dashboard!$F$4) * _xlfn.NORM.S.INV(RAND())</f>
        <v>4.6389156371712419E-2</v>
      </c>
      <c r="T7322" s="59">
        <f ca="1">Dashboard!C$8* Dashboard!$F$4+Dashboard!C$10*SQRT(Dashboard!$F$4) * _xlfn.NORM.S.INV(RAND())</f>
        <v>1.6589626143358429E-2</v>
      </c>
      <c r="U7322" s="59">
        <f ca="1">Dashboard!D$8* Dashboard!$F$4+Dashboard!D$10*SQRT(Dashboard!$F$4) * _xlfn.NORM.S.INV(RAND())</f>
        <v>-4.3639203855796709E-3</v>
      </c>
    </row>
    <row r="7323" spans="18:21" x14ac:dyDescent="0.2">
      <c r="R7323" s="49">
        <v>7321</v>
      </c>
      <c r="S7323" s="59">
        <f ca="1">Dashboard!B$8* Dashboard!$F$4+Dashboard!B$10*SQRT(Dashboard!$F$4) * _xlfn.NORM.S.INV(RAND())</f>
        <v>8.8866684815147052E-3</v>
      </c>
      <c r="T7323" s="59">
        <f ca="1">Dashboard!C$8* Dashboard!$F$4+Dashboard!C$10*SQRT(Dashboard!$F$4) * _xlfn.NORM.S.INV(RAND())</f>
        <v>-1.5272232268223801E-2</v>
      </c>
      <c r="U7323" s="59">
        <f ca="1">Dashboard!D$8* Dashboard!$F$4+Dashboard!D$10*SQRT(Dashboard!$F$4) * _xlfn.NORM.S.INV(RAND())</f>
        <v>-1.2468987554031682E-2</v>
      </c>
    </row>
    <row r="7324" spans="18:21" x14ac:dyDescent="0.2">
      <c r="R7324" s="49">
        <v>7322</v>
      </c>
      <c r="S7324" s="59">
        <f ca="1">Dashboard!B$8* Dashboard!$F$4+Dashboard!B$10*SQRT(Dashboard!$F$4) * _xlfn.NORM.S.INV(RAND())</f>
        <v>2.9010666377389076E-2</v>
      </c>
      <c r="T7324" s="59">
        <f ca="1">Dashboard!C$8* Dashboard!$F$4+Dashboard!C$10*SQRT(Dashboard!$F$4) * _xlfn.NORM.S.INV(RAND())</f>
        <v>4.2044519439014043E-2</v>
      </c>
      <c r="U7324" s="59">
        <f ca="1">Dashboard!D$8* Dashboard!$F$4+Dashboard!D$10*SQRT(Dashboard!$F$4) * _xlfn.NORM.S.INV(RAND())</f>
        <v>1.4874768725204273E-2</v>
      </c>
    </row>
    <row r="7325" spans="18:21" x14ac:dyDescent="0.2">
      <c r="R7325" s="49">
        <v>7323</v>
      </c>
      <c r="S7325" s="59">
        <f ca="1">Dashboard!B$8* Dashboard!$F$4+Dashboard!B$10*SQRT(Dashboard!$F$4) * _xlfn.NORM.S.INV(RAND())</f>
        <v>-8.0275935554760022E-2</v>
      </c>
      <c r="T7325" s="59">
        <f ca="1">Dashboard!C$8* Dashboard!$F$4+Dashboard!C$10*SQRT(Dashboard!$F$4) * _xlfn.NORM.S.INV(RAND())</f>
        <v>2.1345511628214645E-2</v>
      </c>
      <c r="U7325" s="59">
        <f ca="1">Dashboard!D$8* Dashboard!$F$4+Dashboard!D$10*SQRT(Dashboard!$F$4) * _xlfn.NORM.S.INV(RAND())</f>
        <v>-7.5596343826861761E-3</v>
      </c>
    </row>
    <row r="7326" spans="18:21" x14ac:dyDescent="0.2">
      <c r="R7326" s="49">
        <v>7324</v>
      </c>
      <c r="S7326" s="59">
        <f ca="1">Dashboard!B$8* Dashboard!$F$4+Dashboard!B$10*SQRT(Dashboard!$F$4) * _xlfn.NORM.S.INV(RAND())</f>
        <v>9.310776846738365E-4</v>
      </c>
      <c r="T7326" s="59">
        <f ca="1">Dashboard!C$8* Dashboard!$F$4+Dashboard!C$10*SQRT(Dashboard!$F$4) * _xlfn.NORM.S.INV(RAND())</f>
        <v>-2.6242309954276094E-2</v>
      </c>
      <c r="U7326" s="59">
        <f ca="1">Dashboard!D$8* Dashboard!$F$4+Dashboard!D$10*SQRT(Dashboard!$F$4) * _xlfn.NORM.S.INV(RAND())</f>
        <v>2.7526021277807906E-2</v>
      </c>
    </row>
    <row r="7327" spans="18:21" x14ac:dyDescent="0.2">
      <c r="R7327" s="49">
        <v>7325</v>
      </c>
      <c r="S7327" s="59">
        <f ca="1">Dashboard!B$8* Dashboard!$F$4+Dashboard!B$10*SQRT(Dashboard!$F$4) * _xlfn.NORM.S.INV(RAND())</f>
        <v>7.2207863878409467E-2</v>
      </c>
      <c r="T7327" s="59">
        <f ca="1">Dashboard!C$8* Dashboard!$F$4+Dashboard!C$10*SQRT(Dashboard!$F$4) * _xlfn.NORM.S.INV(RAND())</f>
        <v>3.0652090337559713E-3</v>
      </c>
      <c r="U7327" s="59">
        <f ca="1">Dashboard!D$8* Dashboard!$F$4+Dashboard!D$10*SQRT(Dashboard!$F$4) * _xlfn.NORM.S.INV(RAND())</f>
        <v>3.0172465303061696E-2</v>
      </c>
    </row>
    <row r="7328" spans="18:21" x14ac:dyDescent="0.2">
      <c r="R7328" s="49">
        <v>7326</v>
      </c>
      <c r="S7328" s="59">
        <f ca="1">Dashboard!B$8* Dashboard!$F$4+Dashboard!B$10*SQRT(Dashboard!$F$4) * _xlfn.NORM.S.INV(RAND())</f>
        <v>6.640957068919132E-3</v>
      </c>
      <c r="T7328" s="59">
        <f ca="1">Dashboard!C$8* Dashboard!$F$4+Dashboard!C$10*SQRT(Dashboard!$F$4) * _xlfn.NORM.S.INV(RAND())</f>
        <v>2.0454136100980843E-2</v>
      </c>
      <c r="U7328" s="59">
        <f ca="1">Dashboard!D$8* Dashboard!$F$4+Dashboard!D$10*SQRT(Dashboard!$F$4) * _xlfn.NORM.S.INV(RAND())</f>
        <v>-7.2314168602887023E-3</v>
      </c>
    </row>
    <row r="7329" spans="18:21" x14ac:dyDescent="0.2">
      <c r="R7329" s="49">
        <v>7327</v>
      </c>
      <c r="S7329" s="59">
        <f ca="1">Dashboard!B$8* Dashboard!$F$4+Dashboard!B$10*SQRT(Dashboard!$F$4) * _xlfn.NORM.S.INV(RAND())</f>
        <v>5.0103121349145491E-2</v>
      </c>
      <c r="T7329" s="59">
        <f ca="1">Dashboard!C$8* Dashboard!$F$4+Dashboard!C$10*SQRT(Dashboard!$F$4) * _xlfn.NORM.S.INV(RAND())</f>
        <v>-1.3058623609443373E-2</v>
      </c>
      <c r="U7329" s="59">
        <f ca="1">Dashboard!D$8* Dashboard!$F$4+Dashboard!D$10*SQRT(Dashboard!$F$4) * _xlfn.NORM.S.INV(RAND())</f>
        <v>5.6374371395119915E-2</v>
      </c>
    </row>
    <row r="7330" spans="18:21" x14ac:dyDescent="0.2">
      <c r="R7330" s="49">
        <v>7328</v>
      </c>
      <c r="S7330" s="59">
        <f ca="1">Dashboard!B$8* Dashboard!$F$4+Dashboard!B$10*SQRT(Dashboard!$F$4) * _xlfn.NORM.S.INV(RAND())</f>
        <v>2.3914304208449824E-2</v>
      </c>
      <c r="T7330" s="59">
        <f ca="1">Dashboard!C$8* Dashboard!$F$4+Dashboard!C$10*SQRT(Dashboard!$F$4) * _xlfn.NORM.S.INV(RAND())</f>
        <v>6.6955197735410671E-2</v>
      </c>
      <c r="U7330" s="59">
        <f ca="1">Dashboard!D$8* Dashboard!$F$4+Dashboard!D$10*SQRT(Dashboard!$F$4) * _xlfn.NORM.S.INV(RAND())</f>
        <v>-1.2083830207015258E-2</v>
      </c>
    </row>
    <row r="7331" spans="18:21" x14ac:dyDescent="0.2">
      <c r="R7331" s="49">
        <v>7329</v>
      </c>
      <c r="S7331" s="59">
        <f ca="1">Dashboard!B$8* Dashboard!$F$4+Dashboard!B$10*SQRT(Dashboard!$F$4) * _xlfn.NORM.S.INV(RAND())</f>
        <v>-4.1644452755626192E-2</v>
      </c>
      <c r="T7331" s="59">
        <f ca="1">Dashboard!C$8* Dashboard!$F$4+Dashboard!C$10*SQRT(Dashboard!$F$4) * _xlfn.NORM.S.INV(RAND())</f>
        <v>2.4213962384525226E-2</v>
      </c>
      <c r="U7331" s="59">
        <f ca="1">Dashboard!D$8* Dashboard!$F$4+Dashboard!D$10*SQRT(Dashboard!$F$4) * _xlfn.NORM.S.INV(RAND())</f>
        <v>9.6017266078164826E-2</v>
      </c>
    </row>
    <row r="7332" spans="18:21" x14ac:dyDescent="0.2">
      <c r="R7332" s="49">
        <v>7330</v>
      </c>
      <c r="S7332" s="59">
        <f ca="1">Dashboard!B$8* Dashboard!$F$4+Dashboard!B$10*SQRT(Dashboard!$F$4) * _xlfn.NORM.S.INV(RAND())</f>
        <v>1.1146641763007496E-2</v>
      </c>
      <c r="T7332" s="59">
        <f ca="1">Dashboard!C$8* Dashboard!$F$4+Dashboard!C$10*SQRT(Dashboard!$F$4) * _xlfn.NORM.S.INV(RAND())</f>
        <v>2.3234262741812541E-3</v>
      </c>
      <c r="U7332" s="59">
        <f ca="1">Dashboard!D$8* Dashboard!$F$4+Dashboard!D$10*SQRT(Dashboard!$F$4) * _xlfn.NORM.S.INV(RAND())</f>
        <v>-2.2739996808703557E-2</v>
      </c>
    </row>
    <row r="7333" spans="18:21" x14ac:dyDescent="0.2">
      <c r="R7333" s="49">
        <v>7331</v>
      </c>
      <c r="S7333" s="59">
        <f ca="1">Dashboard!B$8* Dashboard!$F$4+Dashboard!B$10*SQRT(Dashboard!$F$4) * _xlfn.NORM.S.INV(RAND())</f>
        <v>-1.9428477330927209E-2</v>
      </c>
      <c r="T7333" s="59">
        <f ca="1">Dashboard!C$8* Dashboard!$F$4+Dashboard!C$10*SQRT(Dashboard!$F$4) * _xlfn.NORM.S.INV(RAND())</f>
        <v>1.1031122946252376E-2</v>
      </c>
      <c r="U7333" s="59">
        <f ca="1">Dashboard!D$8* Dashboard!$F$4+Dashboard!D$10*SQRT(Dashboard!$F$4) * _xlfn.NORM.S.INV(RAND())</f>
        <v>-5.0168087859208399E-3</v>
      </c>
    </row>
    <row r="7334" spans="18:21" x14ac:dyDescent="0.2">
      <c r="R7334" s="49">
        <v>7332</v>
      </c>
      <c r="S7334" s="59">
        <f ca="1">Dashboard!B$8* Dashboard!$F$4+Dashboard!B$10*SQRT(Dashboard!$F$4) * _xlfn.NORM.S.INV(RAND())</f>
        <v>3.0354455016173669E-2</v>
      </c>
      <c r="T7334" s="59">
        <f ca="1">Dashboard!C$8* Dashboard!$F$4+Dashboard!C$10*SQRT(Dashboard!$F$4) * _xlfn.NORM.S.INV(RAND())</f>
        <v>4.3033853226663282E-2</v>
      </c>
      <c r="U7334" s="59">
        <f ca="1">Dashboard!D$8* Dashboard!$F$4+Dashboard!D$10*SQRT(Dashboard!$F$4) * _xlfn.NORM.S.INV(RAND())</f>
        <v>2.3672180551962851E-2</v>
      </c>
    </row>
    <row r="7335" spans="18:21" x14ac:dyDescent="0.2">
      <c r="R7335" s="49">
        <v>7333</v>
      </c>
      <c r="S7335" s="59">
        <f ca="1">Dashboard!B$8* Dashboard!$F$4+Dashboard!B$10*SQRT(Dashboard!$F$4) * _xlfn.NORM.S.INV(RAND())</f>
        <v>-1.2056915700506515E-2</v>
      </c>
      <c r="T7335" s="59">
        <f ca="1">Dashboard!C$8* Dashboard!$F$4+Dashboard!C$10*SQRT(Dashboard!$F$4) * _xlfn.NORM.S.INV(RAND())</f>
        <v>-2.2852907324726023E-2</v>
      </c>
      <c r="U7335" s="59">
        <f ca="1">Dashboard!D$8* Dashboard!$F$4+Dashboard!D$10*SQRT(Dashboard!$F$4) * _xlfn.NORM.S.INV(RAND())</f>
        <v>-5.1121521810753153E-3</v>
      </c>
    </row>
    <row r="7336" spans="18:21" x14ac:dyDescent="0.2">
      <c r="R7336" s="49">
        <v>7334</v>
      </c>
      <c r="S7336" s="59">
        <f ca="1">Dashboard!B$8* Dashboard!$F$4+Dashboard!B$10*SQRT(Dashboard!$F$4) * _xlfn.NORM.S.INV(RAND())</f>
        <v>2.5213520294955639E-2</v>
      </c>
      <c r="T7336" s="59">
        <f ca="1">Dashboard!C$8* Dashboard!$F$4+Dashboard!C$10*SQRT(Dashboard!$F$4) * _xlfn.NORM.S.INV(RAND())</f>
        <v>4.8718233328744046E-2</v>
      </c>
      <c r="U7336" s="59">
        <f ca="1">Dashboard!D$8* Dashboard!$F$4+Dashboard!D$10*SQRT(Dashboard!$F$4) * _xlfn.NORM.S.INV(RAND())</f>
        <v>5.1917591615549721E-2</v>
      </c>
    </row>
    <row r="7337" spans="18:21" x14ac:dyDescent="0.2">
      <c r="R7337" s="49">
        <v>7335</v>
      </c>
      <c r="S7337" s="59">
        <f ca="1">Dashboard!B$8* Dashboard!$F$4+Dashboard!B$10*SQRT(Dashboard!$F$4) * _xlfn.NORM.S.INV(RAND())</f>
        <v>-1.0418749744639529E-2</v>
      </c>
      <c r="T7337" s="59">
        <f ca="1">Dashboard!C$8* Dashboard!$F$4+Dashboard!C$10*SQRT(Dashboard!$F$4) * _xlfn.NORM.S.INV(RAND())</f>
        <v>1.2689693367809632E-2</v>
      </c>
      <c r="U7337" s="59">
        <f ca="1">Dashboard!D$8* Dashboard!$F$4+Dashboard!D$10*SQRT(Dashboard!$F$4) * _xlfn.NORM.S.INV(RAND())</f>
        <v>1.540362065068147E-2</v>
      </c>
    </row>
    <row r="7338" spans="18:21" x14ac:dyDescent="0.2">
      <c r="R7338" s="49">
        <v>7336</v>
      </c>
      <c r="S7338" s="59">
        <f ca="1">Dashboard!B$8* Dashboard!$F$4+Dashboard!B$10*SQRT(Dashboard!$F$4) * _xlfn.NORM.S.INV(RAND())</f>
        <v>3.5526291516871207E-2</v>
      </c>
      <c r="T7338" s="59">
        <f ca="1">Dashboard!C$8* Dashboard!$F$4+Dashboard!C$10*SQRT(Dashboard!$F$4) * _xlfn.NORM.S.INV(RAND())</f>
        <v>-1.1224714127710537E-2</v>
      </c>
      <c r="U7338" s="59">
        <f ca="1">Dashboard!D$8* Dashboard!$F$4+Dashboard!D$10*SQRT(Dashboard!$F$4) * _xlfn.NORM.S.INV(RAND())</f>
        <v>-5.8948917315384729E-2</v>
      </c>
    </row>
    <row r="7339" spans="18:21" x14ac:dyDescent="0.2">
      <c r="R7339" s="49">
        <v>7337</v>
      </c>
      <c r="S7339" s="59">
        <f ca="1">Dashboard!B$8* Dashboard!$F$4+Dashboard!B$10*SQRT(Dashboard!$F$4) * _xlfn.NORM.S.INV(RAND())</f>
        <v>-1.0827115033707512E-2</v>
      </c>
      <c r="T7339" s="59">
        <f ca="1">Dashboard!C$8* Dashboard!$F$4+Dashboard!C$10*SQRT(Dashboard!$F$4) * _xlfn.NORM.S.INV(RAND())</f>
        <v>-3.0392794771355747E-2</v>
      </c>
      <c r="U7339" s="59">
        <f ca="1">Dashboard!D$8* Dashboard!$F$4+Dashboard!D$10*SQRT(Dashboard!$F$4) * _xlfn.NORM.S.INV(RAND())</f>
        <v>-2.6676834509201639E-2</v>
      </c>
    </row>
    <row r="7340" spans="18:21" x14ac:dyDescent="0.2">
      <c r="R7340" s="49">
        <v>7338</v>
      </c>
      <c r="S7340" s="59">
        <f ca="1">Dashboard!B$8* Dashboard!$F$4+Dashboard!B$10*SQRT(Dashboard!$F$4) * _xlfn.NORM.S.INV(RAND())</f>
        <v>-5.590784836306998E-2</v>
      </c>
      <c r="T7340" s="59">
        <f ca="1">Dashboard!C$8* Dashboard!$F$4+Dashboard!C$10*SQRT(Dashboard!$F$4) * _xlfn.NORM.S.INV(RAND())</f>
        <v>1.7635803904037441E-2</v>
      </c>
      <c r="U7340" s="59">
        <f ca="1">Dashboard!D$8* Dashboard!$F$4+Dashboard!D$10*SQRT(Dashboard!$F$4) * _xlfn.NORM.S.INV(RAND())</f>
        <v>8.5961641635847914E-3</v>
      </c>
    </row>
    <row r="7341" spans="18:21" x14ac:dyDescent="0.2">
      <c r="R7341" s="49">
        <v>7339</v>
      </c>
      <c r="S7341" s="59">
        <f ca="1">Dashboard!B$8* Dashboard!$F$4+Dashboard!B$10*SQRT(Dashboard!$F$4) * _xlfn.NORM.S.INV(RAND())</f>
        <v>-5.5653420216500639E-2</v>
      </c>
      <c r="T7341" s="59">
        <f ca="1">Dashboard!C$8* Dashboard!$F$4+Dashboard!C$10*SQRT(Dashboard!$F$4) * _xlfn.NORM.S.INV(RAND())</f>
        <v>3.4574718394331377E-2</v>
      </c>
      <c r="U7341" s="59">
        <f ca="1">Dashboard!D$8* Dashboard!$F$4+Dashboard!D$10*SQRT(Dashboard!$F$4) * _xlfn.NORM.S.INV(RAND())</f>
        <v>-2.3355131300801336E-2</v>
      </c>
    </row>
    <row r="7342" spans="18:21" x14ac:dyDescent="0.2">
      <c r="R7342" s="49">
        <v>7340</v>
      </c>
      <c r="S7342" s="59">
        <f ca="1">Dashboard!B$8* Dashboard!$F$4+Dashboard!B$10*SQRT(Dashboard!$F$4) * _xlfn.NORM.S.INV(RAND())</f>
        <v>3.3145063316173146E-2</v>
      </c>
      <c r="T7342" s="59">
        <f ca="1">Dashboard!C$8* Dashboard!$F$4+Dashboard!C$10*SQRT(Dashboard!$F$4) * _xlfn.NORM.S.INV(RAND())</f>
        <v>3.3055088775367461E-2</v>
      </c>
      <c r="U7342" s="59">
        <f ca="1">Dashboard!D$8* Dashboard!$F$4+Dashboard!D$10*SQRT(Dashboard!$F$4) * _xlfn.NORM.S.INV(RAND())</f>
        <v>5.1006082619004973E-3</v>
      </c>
    </row>
    <row r="7343" spans="18:21" x14ac:dyDescent="0.2">
      <c r="R7343" s="49">
        <v>7341</v>
      </c>
      <c r="S7343" s="59">
        <f ca="1">Dashboard!B$8* Dashboard!$F$4+Dashboard!B$10*SQRT(Dashboard!$F$4) * _xlfn.NORM.S.INV(RAND())</f>
        <v>6.6864250533606132E-2</v>
      </c>
      <c r="T7343" s="59">
        <f ca="1">Dashboard!C$8* Dashboard!$F$4+Dashboard!C$10*SQRT(Dashboard!$F$4) * _xlfn.NORM.S.INV(RAND())</f>
        <v>3.2866664016097447E-2</v>
      </c>
      <c r="U7343" s="59">
        <f ca="1">Dashboard!D$8* Dashboard!$F$4+Dashboard!D$10*SQRT(Dashboard!$F$4) * _xlfn.NORM.S.INV(RAND())</f>
        <v>-1.6864295197653686E-2</v>
      </c>
    </row>
    <row r="7344" spans="18:21" x14ac:dyDescent="0.2">
      <c r="R7344" s="49">
        <v>7342</v>
      </c>
      <c r="S7344" s="59">
        <f ca="1">Dashboard!B$8* Dashboard!$F$4+Dashboard!B$10*SQRT(Dashboard!$F$4) * _xlfn.NORM.S.INV(RAND())</f>
        <v>-3.624864259114647E-2</v>
      </c>
      <c r="T7344" s="59">
        <f ca="1">Dashboard!C$8* Dashboard!$F$4+Dashboard!C$10*SQRT(Dashboard!$F$4) * _xlfn.NORM.S.INV(RAND())</f>
        <v>3.6860391281910718E-3</v>
      </c>
      <c r="U7344" s="59">
        <f ca="1">Dashboard!D$8* Dashboard!$F$4+Dashboard!D$10*SQRT(Dashboard!$F$4) * _xlfn.NORM.S.INV(RAND())</f>
        <v>2.5594055144458096E-2</v>
      </c>
    </row>
    <row r="7345" spans="18:21" x14ac:dyDescent="0.2">
      <c r="R7345" s="49">
        <v>7343</v>
      </c>
      <c r="S7345" s="59">
        <f ca="1">Dashboard!B$8* Dashboard!$F$4+Dashboard!B$10*SQRT(Dashboard!$F$4) * _xlfn.NORM.S.INV(RAND())</f>
        <v>-1.8033848553594158E-2</v>
      </c>
      <c r="T7345" s="59">
        <f ca="1">Dashboard!C$8* Dashboard!$F$4+Dashboard!C$10*SQRT(Dashboard!$F$4) * _xlfn.NORM.S.INV(RAND())</f>
        <v>3.3567117537080661E-3</v>
      </c>
      <c r="U7345" s="59">
        <f ca="1">Dashboard!D$8* Dashboard!$F$4+Dashboard!D$10*SQRT(Dashboard!$F$4) * _xlfn.NORM.S.INV(RAND())</f>
        <v>-5.0916602409100736E-3</v>
      </c>
    </row>
    <row r="7346" spans="18:21" x14ac:dyDescent="0.2">
      <c r="R7346" s="49">
        <v>7344</v>
      </c>
      <c r="S7346" s="59">
        <f ca="1">Dashboard!B$8* Dashboard!$F$4+Dashboard!B$10*SQRT(Dashboard!$F$4) * _xlfn.NORM.S.INV(RAND())</f>
        <v>-1.2370009467276417E-2</v>
      </c>
      <c r="T7346" s="59">
        <f ca="1">Dashboard!C$8* Dashboard!$F$4+Dashboard!C$10*SQRT(Dashboard!$F$4) * _xlfn.NORM.S.INV(RAND())</f>
        <v>3.3724615319712728E-3</v>
      </c>
      <c r="U7346" s="59">
        <f ca="1">Dashboard!D$8* Dashboard!$F$4+Dashboard!D$10*SQRT(Dashboard!$F$4) * _xlfn.NORM.S.INV(RAND())</f>
        <v>2.9055366041236496E-2</v>
      </c>
    </row>
    <row r="7347" spans="18:21" x14ac:dyDescent="0.2">
      <c r="R7347" s="49">
        <v>7345</v>
      </c>
      <c r="S7347" s="59">
        <f ca="1">Dashboard!B$8* Dashboard!$F$4+Dashboard!B$10*SQRT(Dashboard!$F$4) * _xlfn.NORM.S.INV(RAND())</f>
        <v>4.7358576075010962E-2</v>
      </c>
      <c r="T7347" s="59">
        <f ca="1">Dashboard!C$8* Dashboard!$F$4+Dashboard!C$10*SQRT(Dashboard!$F$4) * _xlfn.NORM.S.INV(RAND())</f>
        <v>-3.5808742507813232E-3</v>
      </c>
      <c r="U7347" s="59">
        <f ca="1">Dashboard!D$8* Dashboard!$F$4+Dashboard!D$10*SQRT(Dashboard!$F$4) * _xlfn.NORM.S.INV(RAND())</f>
        <v>-2.2034857650322561E-2</v>
      </c>
    </row>
    <row r="7348" spans="18:21" x14ac:dyDescent="0.2">
      <c r="R7348" s="49">
        <v>7346</v>
      </c>
      <c r="S7348" s="59">
        <f ca="1">Dashboard!B$8* Dashboard!$F$4+Dashboard!B$10*SQRT(Dashboard!$F$4) * _xlfn.NORM.S.INV(RAND())</f>
        <v>-7.5013643681903115E-3</v>
      </c>
      <c r="T7348" s="59">
        <f ca="1">Dashboard!C$8* Dashboard!$F$4+Dashboard!C$10*SQRT(Dashboard!$F$4) * _xlfn.NORM.S.INV(RAND())</f>
        <v>-2.676567293757574E-2</v>
      </c>
      <c r="U7348" s="59">
        <f ca="1">Dashboard!D$8* Dashboard!$F$4+Dashboard!D$10*SQRT(Dashboard!$F$4) * _xlfn.NORM.S.INV(RAND())</f>
        <v>7.5659325633990497E-3</v>
      </c>
    </row>
    <row r="7349" spans="18:21" x14ac:dyDescent="0.2">
      <c r="R7349" s="49">
        <v>7347</v>
      </c>
      <c r="S7349" s="59">
        <f ca="1">Dashboard!B$8* Dashboard!$F$4+Dashboard!B$10*SQRT(Dashboard!$F$4) * _xlfn.NORM.S.INV(RAND())</f>
        <v>-2.4775082931865061E-2</v>
      </c>
      <c r="T7349" s="59">
        <f ca="1">Dashboard!C$8* Dashboard!$F$4+Dashboard!C$10*SQRT(Dashboard!$F$4) * _xlfn.NORM.S.INV(RAND())</f>
        <v>6.0652243690923799E-2</v>
      </c>
      <c r="U7349" s="59">
        <f ca="1">Dashboard!D$8* Dashboard!$F$4+Dashboard!D$10*SQRT(Dashboard!$F$4) * _xlfn.NORM.S.INV(RAND())</f>
        <v>-1.700443571785561E-2</v>
      </c>
    </row>
    <row r="7350" spans="18:21" x14ac:dyDescent="0.2">
      <c r="R7350" s="49">
        <v>7348</v>
      </c>
      <c r="S7350" s="59">
        <f ca="1">Dashboard!B$8* Dashboard!$F$4+Dashboard!B$10*SQRT(Dashboard!$F$4) * _xlfn.NORM.S.INV(RAND())</f>
        <v>1.1766335802450794E-2</v>
      </c>
      <c r="T7350" s="59">
        <f ca="1">Dashboard!C$8* Dashboard!$F$4+Dashboard!C$10*SQRT(Dashboard!$F$4) * _xlfn.NORM.S.INV(RAND())</f>
        <v>1.7484706258035245E-2</v>
      </c>
      <c r="U7350" s="59">
        <f ca="1">Dashboard!D$8* Dashboard!$F$4+Dashboard!D$10*SQRT(Dashboard!$F$4) * _xlfn.NORM.S.INV(RAND())</f>
        <v>-6.5975967849377509E-2</v>
      </c>
    </row>
    <row r="7351" spans="18:21" x14ac:dyDescent="0.2">
      <c r="R7351" s="49">
        <v>7349</v>
      </c>
      <c r="S7351" s="59">
        <f ca="1">Dashboard!B$8* Dashboard!$F$4+Dashboard!B$10*SQRT(Dashboard!$F$4) * _xlfn.NORM.S.INV(RAND())</f>
        <v>-2.1898166839075375E-2</v>
      </c>
      <c r="T7351" s="59">
        <f ca="1">Dashboard!C$8* Dashboard!$F$4+Dashboard!C$10*SQRT(Dashboard!$F$4) * _xlfn.NORM.S.INV(RAND())</f>
        <v>-2.6423475064198544E-2</v>
      </c>
      <c r="U7351" s="59">
        <f ca="1">Dashboard!D$8* Dashboard!$F$4+Dashboard!D$10*SQRT(Dashboard!$F$4) * _xlfn.NORM.S.INV(RAND())</f>
        <v>2.8791380258326948E-2</v>
      </c>
    </row>
    <row r="7352" spans="18:21" x14ac:dyDescent="0.2">
      <c r="R7352" s="49">
        <v>7350</v>
      </c>
      <c r="S7352" s="59">
        <f ca="1">Dashboard!B$8* Dashboard!$F$4+Dashboard!B$10*SQRT(Dashboard!$F$4) * _xlfn.NORM.S.INV(RAND())</f>
        <v>8.924114656829113E-2</v>
      </c>
      <c r="T7352" s="59">
        <f ca="1">Dashboard!C$8* Dashboard!$F$4+Dashboard!C$10*SQRT(Dashboard!$F$4) * _xlfn.NORM.S.INV(RAND())</f>
        <v>2.4841531731555816E-2</v>
      </c>
      <c r="U7352" s="59">
        <f ca="1">Dashboard!D$8* Dashboard!$F$4+Dashboard!D$10*SQRT(Dashboard!$F$4) * _xlfn.NORM.S.INV(RAND())</f>
        <v>-7.7499108016858024E-3</v>
      </c>
    </row>
    <row r="7353" spans="18:21" x14ac:dyDescent="0.2">
      <c r="R7353" s="49">
        <v>7351</v>
      </c>
      <c r="S7353" s="59">
        <f ca="1">Dashboard!B$8* Dashboard!$F$4+Dashboard!B$10*SQRT(Dashboard!$F$4) * _xlfn.NORM.S.INV(RAND())</f>
        <v>1.7288827506920082E-2</v>
      </c>
      <c r="T7353" s="59">
        <f ca="1">Dashboard!C$8* Dashboard!$F$4+Dashboard!C$10*SQRT(Dashboard!$F$4) * _xlfn.NORM.S.INV(RAND())</f>
        <v>6.9563506565991527E-3</v>
      </c>
      <c r="U7353" s="59">
        <f ca="1">Dashboard!D$8* Dashboard!$F$4+Dashboard!D$10*SQRT(Dashboard!$F$4) * _xlfn.NORM.S.INV(RAND())</f>
        <v>-9.7418845310360321E-3</v>
      </c>
    </row>
    <row r="7354" spans="18:21" x14ac:dyDescent="0.2">
      <c r="R7354" s="49">
        <v>7352</v>
      </c>
      <c r="S7354" s="59">
        <f ca="1">Dashboard!B$8* Dashboard!$F$4+Dashboard!B$10*SQRT(Dashboard!$F$4) * _xlfn.NORM.S.INV(RAND())</f>
        <v>-1.8465756509699616E-2</v>
      </c>
      <c r="T7354" s="59">
        <f ca="1">Dashboard!C$8* Dashboard!$F$4+Dashboard!C$10*SQRT(Dashboard!$F$4) * _xlfn.NORM.S.INV(RAND())</f>
        <v>-8.7589247415408661E-2</v>
      </c>
      <c r="U7354" s="59">
        <f ca="1">Dashboard!D$8* Dashboard!$F$4+Dashboard!D$10*SQRT(Dashboard!$F$4) * _xlfn.NORM.S.INV(RAND())</f>
        <v>2.8254295383612127E-2</v>
      </c>
    </row>
    <row r="7355" spans="18:21" x14ac:dyDescent="0.2">
      <c r="R7355" s="49">
        <v>7353</v>
      </c>
      <c r="S7355" s="59">
        <f ca="1">Dashboard!B$8* Dashboard!$F$4+Dashboard!B$10*SQRT(Dashboard!$F$4) * _xlfn.NORM.S.INV(RAND())</f>
        <v>-3.9700549168318333E-2</v>
      </c>
      <c r="T7355" s="59">
        <f ca="1">Dashboard!C$8* Dashboard!$F$4+Dashboard!C$10*SQRT(Dashboard!$F$4) * _xlfn.NORM.S.INV(RAND())</f>
        <v>-3.4547253899107041E-3</v>
      </c>
      <c r="U7355" s="59">
        <f ca="1">Dashboard!D$8* Dashboard!$F$4+Dashboard!D$10*SQRT(Dashboard!$F$4) * _xlfn.NORM.S.INV(RAND())</f>
        <v>2.349782976330177E-2</v>
      </c>
    </row>
    <row r="7356" spans="18:21" x14ac:dyDescent="0.2">
      <c r="R7356" s="49">
        <v>7354</v>
      </c>
      <c r="S7356" s="59">
        <f ca="1">Dashboard!B$8* Dashboard!$F$4+Dashboard!B$10*SQRT(Dashboard!$F$4) * _xlfn.NORM.S.INV(RAND())</f>
        <v>1.5015019012091868E-2</v>
      </c>
      <c r="T7356" s="59">
        <f ca="1">Dashboard!C$8* Dashboard!$F$4+Dashboard!C$10*SQRT(Dashboard!$F$4) * _xlfn.NORM.S.INV(RAND())</f>
        <v>3.339233244996151E-3</v>
      </c>
      <c r="U7356" s="59">
        <f ca="1">Dashboard!D$8* Dashboard!$F$4+Dashboard!D$10*SQRT(Dashboard!$F$4) * _xlfn.NORM.S.INV(RAND())</f>
        <v>-4.5901045086365652E-2</v>
      </c>
    </row>
    <row r="7357" spans="18:21" x14ac:dyDescent="0.2">
      <c r="R7357" s="49">
        <v>7355</v>
      </c>
      <c r="S7357" s="59">
        <f ca="1">Dashboard!B$8* Dashboard!$F$4+Dashboard!B$10*SQRT(Dashboard!$F$4) * _xlfn.NORM.S.INV(RAND())</f>
        <v>-1.7252650275304399E-2</v>
      </c>
      <c r="T7357" s="59">
        <f ca="1">Dashboard!C$8* Dashboard!$F$4+Dashboard!C$10*SQRT(Dashboard!$F$4) * _xlfn.NORM.S.INV(RAND())</f>
        <v>-3.6788068821763706E-2</v>
      </c>
      <c r="U7357" s="59">
        <f ca="1">Dashboard!D$8* Dashboard!$F$4+Dashboard!D$10*SQRT(Dashboard!$F$4) * _xlfn.NORM.S.INV(RAND())</f>
        <v>4.1311205412376768E-2</v>
      </c>
    </row>
    <row r="7358" spans="18:21" x14ac:dyDescent="0.2">
      <c r="R7358" s="49">
        <v>7356</v>
      </c>
      <c r="S7358" s="59">
        <f ca="1">Dashboard!B$8* Dashboard!$F$4+Dashboard!B$10*SQRT(Dashboard!$F$4) * _xlfn.NORM.S.INV(RAND())</f>
        <v>6.9097363211358107E-2</v>
      </c>
      <c r="T7358" s="59">
        <f ca="1">Dashboard!C$8* Dashboard!$F$4+Dashboard!C$10*SQRT(Dashboard!$F$4) * _xlfn.NORM.S.INV(RAND())</f>
        <v>1.8432868733550913E-2</v>
      </c>
      <c r="U7358" s="59">
        <f ca="1">Dashboard!D$8* Dashboard!$F$4+Dashboard!D$10*SQRT(Dashboard!$F$4) * _xlfn.NORM.S.INV(RAND())</f>
        <v>-2.487042117488443E-2</v>
      </c>
    </row>
    <row r="7359" spans="18:21" x14ac:dyDescent="0.2">
      <c r="R7359" s="49">
        <v>7357</v>
      </c>
      <c r="S7359" s="59">
        <f ca="1">Dashboard!B$8* Dashboard!$F$4+Dashboard!B$10*SQRT(Dashboard!$F$4) * _xlfn.NORM.S.INV(RAND())</f>
        <v>-2.766526215745705E-2</v>
      </c>
      <c r="T7359" s="59">
        <f ca="1">Dashboard!C$8* Dashboard!$F$4+Dashboard!C$10*SQRT(Dashboard!$F$4) * _xlfn.NORM.S.INV(RAND())</f>
        <v>2.8830099621369322E-2</v>
      </c>
      <c r="U7359" s="59">
        <f ca="1">Dashboard!D$8* Dashboard!$F$4+Dashboard!D$10*SQRT(Dashboard!$F$4) * _xlfn.NORM.S.INV(RAND())</f>
        <v>-7.2365994433150865E-2</v>
      </c>
    </row>
    <row r="7360" spans="18:21" x14ac:dyDescent="0.2">
      <c r="R7360" s="49">
        <v>7358</v>
      </c>
      <c r="S7360" s="59">
        <f ca="1">Dashboard!B$8* Dashboard!$F$4+Dashboard!B$10*SQRT(Dashboard!$F$4) * _xlfn.NORM.S.INV(RAND())</f>
        <v>-6.5287385531611116E-3</v>
      </c>
      <c r="T7360" s="59">
        <f ca="1">Dashboard!C$8* Dashboard!$F$4+Dashboard!C$10*SQRT(Dashboard!$F$4) * _xlfn.NORM.S.INV(RAND())</f>
        <v>8.5916984967436355E-2</v>
      </c>
      <c r="U7360" s="59">
        <f ca="1">Dashboard!D$8* Dashboard!$F$4+Dashboard!D$10*SQRT(Dashboard!$F$4) * _xlfn.NORM.S.INV(RAND())</f>
        <v>-5.103090329843258E-2</v>
      </c>
    </row>
    <row r="7361" spans="18:21" x14ac:dyDescent="0.2">
      <c r="R7361" s="49">
        <v>7359</v>
      </c>
      <c r="S7361" s="59">
        <f ca="1">Dashboard!B$8* Dashboard!$F$4+Dashboard!B$10*SQRT(Dashboard!$F$4) * _xlfn.NORM.S.INV(RAND())</f>
        <v>-6.0661048316821259E-2</v>
      </c>
      <c r="T7361" s="59">
        <f ca="1">Dashboard!C$8* Dashboard!$F$4+Dashboard!C$10*SQRT(Dashboard!$F$4) * _xlfn.NORM.S.INV(RAND())</f>
        <v>4.4851720762916665E-3</v>
      </c>
      <c r="U7361" s="59">
        <f ca="1">Dashboard!D$8* Dashboard!$F$4+Dashboard!D$10*SQRT(Dashboard!$F$4) * _xlfn.NORM.S.INV(RAND())</f>
        <v>1.9972729551679839E-2</v>
      </c>
    </row>
    <row r="7362" spans="18:21" x14ac:dyDescent="0.2">
      <c r="R7362" s="49">
        <v>7360</v>
      </c>
      <c r="S7362" s="59">
        <f ca="1">Dashboard!B$8* Dashboard!$F$4+Dashboard!B$10*SQRT(Dashboard!$F$4) * _xlfn.NORM.S.INV(RAND())</f>
        <v>2.892481504646012E-2</v>
      </c>
      <c r="T7362" s="59">
        <f ca="1">Dashboard!C$8* Dashboard!$F$4+Dashboard!C$10*SQRT(Dashboard!$F$4) * _xlfn.NORM.S.INV(RAND())</f>
        <v>-2.1050130219774549E-2</v>
      </c>
      <c r="U7362" s="59">
        <f ca="1">Dashboard!D$8* Dashboard!$F$4+Dashboard!D$10*SQRT(Dashboard!$F$4) * _xlfn.NORM.S.INV(RAND())</f>
        <v>-1.4823937948074723E-3</v>
      </c>
    </row>
    <row r="7363" spans="18:21" x14ac:dyDescent="0.2">
      <c r="R7363" s="49">
        <v>7361</v>
      </c>
      <c r="S7363" s="59">
        <f ca="1">Dashboard!B$8* Dashboard!$F$4+Dashboard!B$10*SQRT(Dashboard!$F$4) * _xlfn.NORM.S.INV(RAND())</f>
        <v>-4.4681981913661213E-3</v>
      </c>
      <c r="T7363" s="59">
        <f ca="1">Dashboard!C$8* Dashboard!$F$4+Dashboard!C$10*SQRT(Dashboard!$F$4) * _xlfn.NORM.S.INV(RAND())</f>
        <v>2.7834211824495525E-2</v>
      </c>
      <c r="U7363" s="59">
        <f ca="1">Dashboard!D$8* Dashboard!$F$4+Dashboard!D$10*SQRT(Dashboard!$F$4) * _xlfn.NORM.S.INV(RAND())</f>
        <v>1.2392731591887459E-3</v>
      </c>
    </row>
    <row r="7364" spans="18:21" x14ac:dyDescent="0.2">
      <c r="R7364" s="49">
        <v>7362</v>
      </c>
      <c r="S7364" s="59">
        <f ca="1">Dashboard!B$8* Dashboard!$F$4+Dashboard!B$10*SQRT(Dashboard!$F$4) * _xlfn.NORM.S.INV(RAND())</f>
        <v>2.2587987663445233E-2</v>
      </c>
      <c r="T7364" s="59">
        <f ca="1">Dashboard!C$8* Dashboard!$F$4+Dashboard!C$10*SQRT(Dashboard!$F$4) * _xlfn.NORM.S.INV(RAND())</f>
        <v>1.6419756512903914E-3</v>
      </c>
      <c r="U7364" s="59">
        <f ca="1">Dashboard!D$8* Dashboard!$F$4+Dashboard!D$10*SQRT(Dashboard!$F$4) * _xlfn.NORM.S.INV(RAND())</f>
        <v>2.4143327267008356E-2</v>
      </c>
    </row>
    <row r="7365" spans="18:21" x14ac:dyDescent="0.2">
      <c r="R7365" s="49">
        <v>7363</v>
      </c>
      <c r="S7365" s="59">
        <f ca="1">Dashboard!B$8* Dashboard!$F$4+Dashboard!B$10*SQRT(Dashboard!$F$4) * _xlfn.NORM.S.INV(RAND())</f>
        <v>-2.920801560474396E-2</v>
      </c>
      <c r="T7365" s="59">
        <f ca="1">Dashboard!C$8* Dashboard!$F$4+Dashboard!C$10*SQRT(Dashboard!$F$4) * _xlfn.NORM.S.INV(RAND())</f>
        <v>-7.2462689678803498E-3</v>
      </c>
      <c r="U7365" s="59">
        <f ca="1">Dashboard!D$8* Dashboard!$F$4+Dashboard!D$10*SQRT(Dashboard!$F$4) * _xlfn.NORM.S.INV(RAND())</f>
        <v>2.1602108906670879E-2</v>
      </c>
    </row>
    <row r="7366" spans="18:21" x14ac:dyDescent="0.2">
      <c r="R7366" s="49">
        <v>7364</v>
      </c>
      <c r="S7366" s="59">
        <f ca="1">Dashboard!B$8* Dashboard!$F$4+Dashboard!B$10*SQRT(Dashboard!$F$4) * _xlfn.NORM.S.INV(RAND())</f>
        <v>-2.113062231180568E-2</v>
      </c>
      <c r="T7366" s="59">
        <f ca="1">Dashboard!C$8* Dashboard!$F$4+Dashboard!C$10*SQRT(Dashboard!$F$4) * _xlfn.NORM.S.INV(RAND())</f>
        <v>1.667950331839884E-2</v>
      </c>
      <c r="U7366" s="59">
        <f ca="1">Dashboard!D$8* Dashboard!$F$4+Dashboard!D$10*SQRT(Dashboard!$F$4) * _xlfn.NORM.S.INV(RAND())</f>
        <v>-4.9383310994012004E-2</v>
      </c>
    </row>
    <row r="7367" spans="18:21" x14ac:dyDescent="0.2">
      <c r="R7367" s="49">
        <v>7365</v>
      </c>
      <c r="S7367" s="59">
        <f ca="1">Dashboard!B$8* Dashboard!$F$4+Dashboard!B$10*SQRT(Dashboard!$F$4) * _xlfn.NORM.S.INV(RAND())</f>
        <v>-3.1004478436849447E-2</v>
      </c>
      <c r="T7367" s="59">
        <f ca="1">Dashboard!C$8* Dashboard!$F$4+Dashboard!C$10*SQRT(Dashboard!$F$4) * _xlfn.NORM.S.INV(RAND())</f>
        <v>1.551707527638815E-2</v>
      </c>
      <c r="U7367" s="59">
        <f ca="1">Dashboard!D$8* Dashboard!$F$4+Dashboard!D$10*SQRT(Dashboard!$F$4) * _xlfn.NORM.S.INV(RAND())</f>
        <v>-9.9822933213292999E-5</v>
      </c>
    </row>
    <row r="7368" spans="18:21" x14ac:dyDescent="0.2">
      <c r="R7368" s="49">
        <v>7366</v>
      </c>
      <c r="S7368" s="59">
        <f ca="1">Dashboard!B$8* Dashboard!$F$4+Dashboard!B$10*SQRT(Dashboard!$F$4) * _xlfn.NORM.S.INV(RAND())</f>
        <v>-2.5335350794697162E-2</v>
      </c>
      <c r="T7368" s="59">
        <f ca="1">Dashboard!C$8* Dashboard!$F$4+Dashboard!C$10*SQRT(Dashboard!$F$4) * _xlfn.NORM.S.INV(RAND())</f>
        <v>-3.0306829311436623E-2</v>
      </c>
      <c r="U7368" s="59">
        <f ca="1">Dashboard!D$8* Dashboard!$F$4+Dashboard!D$10*SQRT(Dashboard!$F$4) * _xlfn.NORM.S.INV(RAND())</f>
        <v>5.7683385132914254E-3</v>
      </c>
    </row>
    <row r="7369" spans="18:21" x14ac:dyDescent="0.2">
      <c r="R7369" s="49">
        <v>7367</v>
      </c>
      <c r="S7369" s="59">
        <f ca="1">Dashboard!B$8* Dashboard!$F$4+Dashboard!B$10*SQRT(Dashboard!$F$4) * _xlfn.NORM.S.INV(RAND())</f>
        <v>1.5199431346001312E-2</v>
      </c>
      <c r="T7369" s="59">
        <f ca="1">Dashboard!C$8* Dashboard!$F$4+Dashboard!C$10*SQRT(Dashboard!$F$4) * _xlfn.NORM.S.INV(RAND())</f>
        <v>2.0669847679941122E-2</v>
      </c>
      <c r="U7369" s="59">
        <f ca="1">Dashboard!D$8* Dashboard!$F$4+Dashboard!D$10*SQRT(Dashboard!$F$4) * _xlfn.NORM.S.INV(RAND())</f>
        <v>-2.0882425304201976E-2</v>
      </c>
    </row>
    <row r="7370" spans="18:21" x14ac:dyDescent="0.2">
      <c r="R7370" s="49">
        <v>7368</v>
      </c>
      <c r="S7370" s="59">
        <f ca="1">Dashboard!B$8* Dashboard!$F$4+Dashboard!B$10*SQRT(Dashboard!$F$4) * _xlfn.NORM.S.INV(RAND())</f>
        <v>-4.0081290040625321E-2</v>
      </c>
      <c r="T7370" s="59">
        <f ca="1">Dashboard!C$8* Dashboard!$F$4+Dashboard!C$10*SQRT(Dashboard!$F$4) * _xlfn.NORM.S.INV(RAND())</f>
        <v>2.9423279344094149E-2</v>
      </c>
      <c r="U7370" s="59">
        <f ca="1">Dashboard!D$8* Dashboard!$F$4+Dashboard!D$10*SQRT(Dashboard!$F$4) * _xlfn.NORM.S.INV(RAND())</f>
        <v>-3.2425398145490614E-2</v>
      </c>
    </row>
    <row r="7371" spans="18:21" x14ac:dyDescent="0.2">
      <c r="R7371" s="49">
        <v>7369</v>
      </c>
      <c r="S7371" s="59">
        <f ca="1">Dashboard!B$8* Dashboard!$F$4+Dashboard!B$10*SQRT(Dashboard!$F$4) * _xlfn.NORM.S.INV(RAND())</f>
        <v>-3.6012775261705904E-2</v>
      </c>
      <c r="T7371" s="59">
        <f ca="1">Dashboard!C$8* Dashboard!$F$4+Dashboard!C$10*SQRT(Dashboard!$F$4) * _xlfn.NORM.S.INV(RAND())</f>
        <v>2.9439523229834313E-2</v>
      </c>
      <c r="U7371" s="59">
        <f ca="1">Dashboard!D$8* Dashboard!$F$4+Dashboard!D$10*SQRT(Dashboard!$F$4) * _xlfn.NORM.S.INV(RAND())</f>
        <v>1.125299899270626E-3</v>
      </c>
    </row>
    <row r="7372" spans="18:21" x14ac:dyDescent="0.2">
      <c r="R7372" s="49">
        <v>7370</v>
      </c>
      <c r="S7372" s="59">
        <f ca="1">Dashboard!B$8* Dashboard!$F$4+Dashboard!B$10*SQRT(Dashboard!$F$4) * _xlfn.NORM.S.INV(RAND())</f>
        <v>1.6729391701806269E-2</v>
      </c>
      <c r="T7372" s="59">
        <f ca="1">Dashboard!C$8* Dashboard!$F$4+Dashboard!C$10*SQRT(Dashboard!$F$4) * _xlfn.NORM.S.INV(RAND())</f>
        <v>3.5398856797653686E-2</v>
      </c>
      <c r="U7372" s="59">
        <f ca="1">Dashboard!D$8* Dashboard!$F$4+Dashboard!D$10*SQRT(Dashboard!$F$4) * _xlfn.NORM.S.INV(RAND())</f>
        <v>-1.1979645287456429E-3</v>
      </c>
    </row>
    <row r="7373" spans="18:21" x14ac:dyDescent="0.2">
      <c r="R7373" s="49">
        <v>7371</v>
      </c>
      <c r="S7373" s="59">
        <f ca="1">Dashboard!B$8* Dashboard!$F$4+Dashboard!B$10*SQRT(Dashboard!$F$4) * _xlfn.NORM.S.INV(RAND())</f>
        <v>-2.7766949970916048E-2</v>
      </c>
      <c r="T7373" s="59">
        <f ca="1">Dashboard!C$8* Dashboard!$F$4+Dashboard!C$10*SQRT(Dashboard!$F$4) * _xlfn.NORM.S.INV(RAND())</f>
        <v>-6.8398477178249631E-3</v>
      </c>
      <c r="U7373" s="59">
        <f ca="1">Dashboard!D$8* Dashboard!$F$4+Dashboard!D$10*SQRT(Dashboard!$F$4) * _xlfn.NORM.S.INV(RAND())</f>
        <v>-2.2074143336833437E-2</v>
      </c>
    </row>
    <row r="7374" spans="18:21" x14ac:dyDescent="0.2">
      <c r="R7374" s="49">
        <v>7372</v>
      </c>
      <c r="S7374" s="59">
        <f ca="1">Dashboard!B$8* Dashboard!$F$4+Dashboard!B$10*SQRT(Dashboard!$F$4) * _xlfn.NORM.S.INV(RAND())</f>
        <v>1.2393851477883895E-2</v>
      </c>
      <c r="T7374" s="59">
        <f ca="1">Dashboard!C$8* Dashboard!$F$4+Dashboard!C$10*SQRT(Dashboard!$F$4) * _xlfn.NORM.S.INV(RAND())</f>
        <v>-3.9156079198825064E-2</v>
      </c>
      <c r="U7374" s="59">
        <f ca="1">Dashboard!D$8* Dashboard!$F$4+Dashboard!D$10*SQRT(Dashboard!$F$4) * _xlfn.NORM.S.INV(RAND())</f>
        <v>1.8223739978574786E-2</v>
      </c>
    </row>
    <row r="7375" spans="18:21" x14ac:dyDescent="0.2">
      <c r="R7375" s="49">
        <v>7373</v>
      </c>
      <c r="S7375" s="59">
        <f ca="1">Dashboard!B$8* Dashboard!$F$4+Dashboard!B$10*SQRT(Dashboard!$F$4) * _xlfn.NORM.S.INV(RAND())</f>
        <v>-8.5398590731666849E-3</v>
      </c>
      <c r="T7375" s="59">
        <f ca="1">Dashboard!C$8* Dashboard!$F$4+Dashboard!C$10*SQRT(Dashboard!$F$4) * _xlfn.NORM.S.INV(RAND())</f>
        <v>1.3981384874097533E-2</v>
      </c>
      <c r="U7375" s="59">
        <f ca="1">Dashboard!D$8* Dashboard!$F$4+Dashboard!D$10*SQRT(Dashboard!$F$4) * _xlfn.NORM.S.INV(RAND())</f>
        <v>2.6687840152316827E-2</v>
      </c>
    </row>
    <row r="7376" spans="18:21" x14ac:dyDescent="0.2">
      <c r="R7376" s="49">
        <v>7374</v>
      </c>
      <c r="S7376" s="59">
        <f ca="1">Dashboard!B$8* Dashboard!$F$4+Dashboard!B$10*SQRT(Dashboard!$F$4) * _xlfn.NORM.S.INV(RAND())</f>
        <v>-3.2268576549178564E-2</v>
      </c>
      <c r="T7376" s="59">
        <f ca="1">Dashboard!C$8* Dashboard!$F$4+Dashboard!C$10*SQRT(Dashboard!$F$4) * _xlfn.NORM.S.INV(RAND())</f>
        <v>2.6268686148847198E-2</v>
      </c>
      <c r="U7376" s="59">
        <f ca="1">Dashboard!D$8* Dashboard!$F$4+Dashboard!D$10*SQRT(Dashboard!$F$4) * _xlfn.NORM.S.INV(RAND())</f>
        <v>-3.4697017765992939E-2</v>
      </c>
    </row>
    <row r="7377" spans="18:21" x14ac:dyDescent="0.2">
      <c r="R7377" s="49">
        <v>7375</v>
      </c>
      <c r="S7377" s="59">
        <f ca="1">Dashboard!B$8* Dashboard!$F$4+Dashboard!B$10*SQRT(Dashboard!$F$4) * _xlfn.NORM.S.INV(RAND())</f>
        <v>4.4382210705983603E-2</v>
      </c>
      <c r="T7377" s="59">
        <f ca="1">Dashboard!C$8* Dashboard!$F$4+Dashboard!C$10*SQRT(Dashboard!$F$4) * _xlfn.NORM.S.INV(RAND())</f>
        <v>2.7178647863757528E-2</v>
      </c>
      <c r="U7377" s="59">
        <f ca="1">Dashboard!D$8* Dashboard!$F$4+Dashboard!D$10*SQRT(Dashboard!$F$4) * _xlfn.NORM.S.INV(RAND())</f>
        <v>-2.7914625152832717E-2</v>
      </c>
    </row>
    <row r="7378" spans="18:21" x14ac:dyDescent="0.2">
      <c r="R7378" s="49">
        <v>7376</v>
      </c>
      <c r="S7378" s="59">
        <f ca="1">Dashboard!B$8* Dashboard!$F$4+Dashboard!B$10*SQRT(Dashboard!$F$4) * _xlfn.NORM.S.INV(RAND())</f>
        <v>-3.9848687863947865E-2</v>
      </c>
      <c r="T7378" s="59">
        <f ca="1">Dashboard!C$8* Dashboard!$F$4+Dashboard!C$10*SQRT(Dashboard!$F$4) * _xlfn.NORM.S.INV(RAND())</f>
        <v>2.7357522564163541E-2</v>
      </c>
      <c r="U7378" s="59">
        <f ca="1">Dashboard!D$8* Dashboard!$F$4+Dashboard!D$10*SQRT(Dashboard!$F$4) * _xlfn.NORM.S.INV(RAND())</f>
        <v>-2.0979587935788677E-2</v>
      </c>
    </row>
    <row r="7379" spans="18:21" x14ac:dyDescent="0.2">
      <c r="R7379" s="49">
        <v>7377</v>
      </c>
      <c r="S7379" s="59">
        <f ca="1">Dashboard!B$8* Dashboard!$F$4+Dashboard!B$10*SQRT(Dashboard!$F$4) * _xlfn.NORM.S.INV(RAND())</f>
        <v>-4.9048871660824561E-3</v>
      </c>
      <c r="T7379" s="59">
        <f ca="1">Dashboard!C$8* Dashboard!$F$4+Dashboard!C$10*SQRT(Dashboard!$F$4) * _xlfn.NORM.S.INV(RAND())</f>
        <v>-2.1969230241018749E-3</v>
      </c>
      <c r="U7379" s="59">
        <f ca="1">Dashboard!D$8* Dashboard!$F$4+Dashboard!D$10*SQRT(Dashboard!$F$4) * _xlfn.NORM.S.INV(RAND())</f>
        <v>3.9716422397022784E-2</v>
      </c>
    </row>
    <row r="7380" spans="18:21" x14ac:dyDescent="0.2">
      <c r="R7380" s="49">
        <v>7378</v>
      </c>
      <c r="S7380" s="59">
        <f ca="1">Dashboard!B$8* Dashboard!$F$4+Dashboard!B$10*SQRT(Dashboard!$F$4) * _xlfn.NORM.S.INV(RAND())</f>
        <v>-2.2757216999855653E-2</v>
      </c>
      <c r="T7380" s="59">
        <f ca="1">Dashboard!C$8* Dashboard!$F$4+Dashboard!C$10*SQRT(Dashboard!$F$4) * _xlfn.NORM.S.INV(RAND())</f>
        <v>-1.3009246530860056E-3</v>
      </c>
      <c r="U7380" s="59">
        <f ca="1">Dashboard!D$8* Dashboard!$F$4+Dashboard!D$10*SQRT(Dashboard!$F$4) * _xlfn.NORM.S.INV(RAND())</f>
        <v>-2.2255928270896272E-2</v>
      </c>
    </row>
    <row r="7381" spans="18:21" x14ac:dyDescent="0.2">
      <c r="R7381" s="49">
        <v>7379</v>
      </c>
      <c r="S7381" s="59">
        <f ca="1">Dashboard!B$8* Dashboard!$F$4+Dashboard!B$10*SQRT(Dashboard!$F$4) * _xlfn.NORM.S.INV(RAND())</f>
        <v>-8.9621544201145029E-2</v>
      </c>
      <c r="T7381" s="59">
        <f ca="1">Dashboard!C$8* Dashboard!$F$4+Dashboard!C$10*SQRT(Dashboard!$F$4) * _xlfn.NORM.S.INV(RAND())</f>
        <v>3.2071478141026663E-2</v>
      </c>
      <c r="U7381" s="59">
        <f ca="1">Dashboard!D$8* Dashboard!$F$4+Dashboard!D$10*SQRT(Dashboard!$F$4) * _xlfn.NORM.S.INV(RAND())</f>
        <v>-9.9187161720920396E-4</v>
      </c>
    </row>
    <row r="7382" spans="18:21" x14ac:dyDescent="0.2">
      <c r="R7382" s="49">
        <v>7380</v>
      </c>
      <c r="S7382" s="59">
        <f ca="1">Dashboard!B$8* Dashboard!$F$4+Dashboard!B$10*SQRT(Dashboard!$F$4) * _xlfn.NORM.S.INV(RAND())</f>
        <v>-7.0513658544144545E-3</v>
      </c>
      <c r="T7382" s="59">
        <f ca="1">Dashboard!C$8* Dashboard!$F$4+Dashboard!C$10*SQRT(Dashboard!$F$4) * _xlfn.NORM.S.INV(RAND())</f>
        <v>1.5375848170294183E-2</v>
      </c>
      <c r="U7382" s="59">
        <f ca="1">Dashboard!D$8* Dashboard!$F$4+Dashboard!D$10*SQRT(Dashboard!$F$4) * _xlfn.NORM.S.INV(RAND())</f>
        <v>-7.0205034826489755E-3</v>
      </c>
    </row>
    <row r="7383" spans="18:21" x14ac:dyDescent="0.2">
      <c r="R7383" s="49">
        <v>7381</v>
      </c>
      <c r="S7383" s="59">
        <f ca="1">Dashboard!B$8* Dashboard!$F$4+Dashboard!B$10*SQRT(Dashboard!$F$4) * _xlfn.NORM.S.INV(RAND())</f>
        <v>-3.9691633258300083E-3</v>
      </c>
      <c r="T7383" s="59">
        <f ca="1">Dashboard!C$8* Dashboard!$F$4+Dashboard!C$10*SQRT(Dashboard!$F$4) * _xlfn.NORM.S.INV(RAND())</f>
        <v>2.549525692269539E-4</v>
      </c>
      <c r="U7383" s="59">
        <f ca="1">Dashboard!D$8* Dashboard!$F$4+Dashboard!D$10*SQRT(Dashboard!$F$4) * _xlfn.NORM.S.INV(RAND())</f>
        <v>1.8279026357621228E-2</v>
      </c>
    </row>
    <row r="7384" spans="18:21" x14ac:dyDescent="0.2">
      <c r="R7384" s="49">
        <v>7382</v>
      </c>
      <c r="S7384" s="59">
        <f ca="1">Dashboard!B$8* Dashboard!$F$4+Dashboard!B$10*SQRT(Dashboard!$F$4) * _xlfn.NORM.S.INV(RAND())</f>
        <v>3.2575981962608622E-2</v>
      </c>
      <c r="T7384" s="59">
        <f ca="1">Dashboard!C$8* Dashboard!$F$4+Dashboard!C$10*SQRT(Dashboard!$F$4) * _xlfn.NORM.S.INV(RAND())</f>
        <v>1.3912190568506608E-2</v>
      </c>
      <c r="U7384" s="59">
        <f ca="1">Dashboard!D$8* Dashboard!$F$4+Dashboard!D$10*SQRT(Dashboard!$F$4) * _xlfn.NORM.S.INV(RAND())</f>
        <v>4.8859378089741591E-2</v>
      </c>
    </row>
    <row r="7385" spans="18:21" x14ac:dyDescent="0.2">
      <c r="R7385" s="49">
        <v>7383</v>
      </c>
      <c r="S7385" s="59">
        <f ca="1">Dashboard!B$8* Dashboard!$F$4+Dashboard!B$10*SQRT(Dashboard!$F$4) * _xlfn.NORM.S.INV(RAND())</f>
        <v>6.3677585512336946E-2</v>
      </c>
      <c r="T7385" s="59">
        <f ca="1">Dashboard!C$8* Dashboard!$F$4+Dashboard!C$10*SQRT(Dashboard!$F$4) * _xlfn.NORM.S.INV(RAND())</f>
        <v>-2.2194474438061454E-2</v>
      </c>
      <c r="U7385" s="59">
        <f ca="1">Dashboard!D$8* Dashboard!$F$4+Dashboard!D$10*SQRT(Dashboard!$F$4) * _xlfn.NORM.S.INV(RAND())</f>
        <v>-2.1178765163962641E-2</v>
      </c>
    </row>
    <row r="7386" spans="18:21" x14ac:dyDescent="0.2">
      <c r="R7386" s="49">
        <v>7384</v>
      </c>
      <c r="S7386" s="59">
        <f ca="1">Dashboard!B$8* Dashboard!$F$4+Dashboard!B$10*SQRT(Dashboard!$F$4) * _xlfn.NORM.S.INV(RAND())</f>
        <v>2.0423693771396335E-2</v>
      </c>
      <c r="T7386" s="59">
        <f ca="1">Dashboard!C$8* Dashboard!$F$4+Dashboard!C$10*SQRT(Dashboard!$F$4) * _xlfn.NORM.S.INV(RAND())</f>
        <v>3.847749839952759E-2</v>
      </c>
      <c r="U7386" s="59">
        <f ca="1">Dashboard!D$8* Dashboard!$F$4+Dashboard!D$10*SQRT(Dashboard!$F$4) * _xlfn.NORM.S.INV(RAND())</f>
        <v>-3.3405735332563677E-2</v>
      </c>
    </row>
    <row r="7387" spans="18:21" x14ac:dyDescent="0.2">
      <c r="R7387" s="49">
        <v>7385</v>
      </c>
      <c r="S7387" s="59">
        <f ca="1">Dashboard!B$8* Dashboard!$F$4+Dashboard!B$10*SQRT(Dashboard!$F$4) * _xlfn.NORM.S.INV(RAND())</f>
        <v>-1.1173154443773248E-2</v>
      </c>
      <c r="T7387" s="59">
        <f ca="1">Dashboard!C$8* Dashboard!$F$4+Dashboard!C$10*SQRT(Dashboard!$F$4) * _xlfn.NORM.S.INV(RAND())</f>
        <v>1.8285187589487852E-3</v>
      </c>
      <c r="U7387" s="59">
        <f ca="1">Dashboard!D$8* Dashboard!$F$4+Dashboard!D$10*SQRT(Dashboard!$F$4) * _xlfn.NORM.S.INV(RAND())</f>
        <v>-1.5019096143593718E-2</v>
      </c>
    </row>
    <row r="7388" spans="18:21" x14ac:dyDescent="0.2">
      <c r="R7388" s="49">
        <v>7386</v>
      </c>
      <c r="S7388" s="59">
        <f ca="1">Dashboard!B$8* Dashboard!$F$4+Dashboard!B$10*SQRT(Dashboard!$F$4) * _xlfn.NORM.S.INV(RAND())</f>
        <v>1.135095103652994E-2</v>
      </c>
      <c r="T7388" s="59">
        <f ca="1">Dashboard!C$8* Dashboard!$F$4+Dashboard!C$10*SQRT(Dashboard!$F$4) * _xlfn.NORM.S.INV(RAND())</f>
        <v>2.6561365922278743E-3</v>
      </c>
      <c r="U7388" s="59">
        <f ca="1">Dashboard!D$8* Dashboard!$F$4+Dashboard!D$10*SQRT(Dashboard!$F$4) * _xlfn.NORM.S.INV(RAND())</f>
        <v>-2.6006263836325472E-2</v>
      </c>
    </row>
    <row r="7389" spans="18:21" x14ac:dyDescent="0.2">
      <c r="R7389" s="49">
        <v>7387</v>
      </c>
      <c r="S7389" s="59">
        <f ca="1">Dashboard!B$8* Dashboard!$F$4+Dashboard!B$10*SQRT(Dashboard!$F$4) * _xlfn.NORM.S.INV(RAND())</f>
        <v>6.2456720104453883E-2</v>
      </c>
      <c r="T7389" s="59">
        <f ca="1">Dashboard!C$8* Dashboard!$F$4+Dashboard!C$10*SQRT(Dashboard!$F$4) * _xlfn.NORM.S.INV(RAND())</f>
        <v>2.07581191950253E-2</v>
      </c>
      <c r="U7389" s="59">
        <f ca="1">Dashboard!D$8* Dashboard!$F$4+Dashboard!D$10*SQRT(Dashboard!$F$4) * _xlfn.NORM.S.INV(RAND())</f>
        <v>3.5829010097068667E-2</v>
      </c>
    </row>
    <row r="7390" spans="18:21" x14ac:dyDescent="0.2">
      <c r="R7390" s="49">
        <v>7388</v>
      </c>
      <c r="S7390" s="59">
        <f ca="1">Dashboard!B$8* Dashboard!$F$4+Dashboard!B$10*SQRT(Dashboard!$F$4) * _xlfn.NORM.S.INV(RAND())</f>
        <v>1.1553477339254882E-3</v>
      </c>
      <c r="T7390" s="59">
        <f ca="1">Dashboard!C$8* Dashboard!$F$4+Dashboard!C$10*SQRT(Dashboard!$F$4) * _xlfn.NORM.S.INV(RAND())</f>
        <v>1.1673787204658403E-2</v>
      </c>
      <c r="U7390" s="59">
        <f ca="1">Dashboard!D$8* Dashboard!$F$4+Dashboard!D$10*SQRT(Dashboard!$F$4) * _xlfn.NORM.S.INV(RAND())</f>
        <v>-2.8691885923653092E-2</v>
      </c>
    </row>
    <row r="7391" spans="18:21" x14ac:dyDescent="0.2">
      <c r="R7391" s="49">
        <v>7389</v>
      </c>
      <c r="S7391" s="59">
        <f ca="1">Dashboard!B$8* Dashboard!$F$4+Dashboard!B$10*SQRT(Dashboard!$F$4) * _xlfn.NORM.S.INV(RAND())</f>
        <v>-3.8112765106318107E-2</v>
      </c>
      <c r="T7391" s="59">
        <f ca="1">Dashboard!C$8* Dashboard!$F$4+Dashboard!C$10*SQRT(Dashboard!$F$4) * _xlfn.NORM.S.INV(RAND())</f>
        <v>-1.0934436032133902E-2</v>
      </c>
      <c r="U7391" s="59">
        <f ca="1">Dashboard!D$8* Dashboard!$F$4+Dashboard!D$10*SQRT(Dashboard!$F$4) * _xlfn.NORM.S.INV(RAND())</f>
        <v>1.5798885897148878E-2</v>
      </c>
    </row>
    <row r="7392" spans="18:21" x14ac:dyDescent="0.2">
      <c r="R7392" s="49">
        <v>7390</v>
      </c>
      <c r="S7392" s="59">
        <f ca="1">Dashboard!B$8* Dashboard!$F$4+Dashboard!B$10*SQRT(Dashboard!$F$4) * _xlfn.NORM.S.INV(RAND())</f>
        <v>6.4099736469566779E-2</v>
      </c>
      <c r="T7392" s="59">
        <f ca="1">Dashboard!C$8* Dashboard!$F$4+Dashboard!C$10*SQRT(Dashboard!$F$4) * _xlfn.NORM.S.INV(RAND())</f>
        <v>-4.167888723592849E-2</v>
      </c>
      <c r="U7392" s="59">
        <f ca="1">Dashboard!D$8* Dashboard!$F$4+Dashboard!D$10*SQRT(Dashboard!$F$4) * _xlfn.NORM.S.INV(RAND())</f>
        <v>2.2386944003720224E-2</v>
      </c>
    </row>
    <row r="7393" spans="18:21" x14ac:dyDescent="0.2">
      <c r="R7393" s="49">
        <v>7391</v>
      </c>
      <c r="S7393" s="59">
        <f ca="1">Dashboard!B$8* Dashboard!$F$4+Dashboard!B$10*SQRT(Dashboard!$F$4) * _xlfn.NORM.S.INV(RAND())</f>
        <v>5.6804381229732005E-2</v>
      </c>
      <c r="T7393" s="59">
        <f ca="1">Dashboard!C$8* Dashboard!$F$4+Dashboard!C$10*SQRT(Dashboard!$F$4) * _xlfn.NORM.S.INV(RAND())</f>
        <v>3.8457446029899173E-2</v>
      </c>
      <c r="U7393" s="59">
        <f ca="1">Dashboard!D$8* Dashboard!$F$4+Dashboard!D$10*SQRT(Dashboard!$F$4) * _xlfn.NORM.S.INV(RAND())</f>
        <v>1.1412123477342112E-2</v>
      </c>
    </row>
    <row r="7394" spans="18:21" x14ac:dyDescent="0.2">
      <c r="R7394" s="49">
        <v>7392</v>
      </c>
      <c r="S7394" s="59">
        <f ca="1">Dashboard!B$8* Dashboard!$F$4+Dashboard!B$10*SQRT(Dashboard!$F$4) * _xlfn.NORM.S.INV(RAND())</f>
        <v>-5.9762329581173699E-3</v>
      </c>
      <c r="T7394" s="59">
        <f ca="1">Dashboard!C$8* Dashboard!$F$4+Dashboard!C$10*SQRT(Dashboard!$F$4) * _xlfn.NORM.S.INV(RAND())</f>
        <v>1.6347279380780563E-2</v>
      </c>
      <c r="U7394" s="59">
        <f ca="1">Dashboard!D$8* Dashboard!$F$4+Dashboard!D$10*SQRT(Dashboard!$F$4) * _xlfn.NORM.S.INV(RAND())</f>
        <v>-5.2212901467946346E-4</v>
      </c>
    </row>
    <row r="7395" spans="18:21" x14ac:dyDescent="0.2">
      <c r="R7395" s="49">
        <v>7393</v>
      </c>
      <c r="S7395" s="59">
        <f ca="1">Dashboard!B$8* Dashboard!$F$4+Dashboard!B$10*SQRT(Dashboard!$F$4) * _xlfn.NORM.S.INV(RAND())</f>
        <v>5.979816379568044E-2</v>
      </c>
      <c r="T7395" s="59">
        <f ca="1">Dashboard!C$8* Dashboard!$F$4+Dashboard!C$10*SQRT(Dashboard!$F$4) * _xlfn.NORM.S.INV(RAND())</f>
        <v>1.1960399707089696E-2</v>
      </c>
      <c r="U7395" s="59">
        <f ca="1">Dashboard!D$8* Dashboard!$F$4+Dashboard!D$10*SQRT(Dashboard!$F$4) * _xlfn.NORM.S.INV(RAND())</f>
        <v>3.2630029046420192E-2</v>
      </c>
    </row>
    <row r="7396" spans="18:21" x14ac:dyDescent="0.2">
      <c r="R7396" s="49">
        <v>7394</v>
      </c>
      <c r="S7396" s="59">
        <f ca="1">Dashboard!B$8* Dashboard!$F$4+Dashboard!B$10*SQRT(Dashboard!$F$4) * _xlfn.NORM.S.INV(RAND())</f>
        <v>-4.610123104595195E-2</v>
      </c>
      <c r="T7396" s="59">
        <f ca="1">Dashboard!C$8* Dashboard!$F$4+Dashboard!C$10*SQRT(Dashboard!$F$4) * _xlfn.NORM.S.INV(RAND())</f>
        <v>1.2885078737115779E-2</v>
      </c>
      <c r="U7396" s="59">
        <f ca="1">Dashboard!D$8* Dashboard!$F$4+Dashboard!D$10*SQRT(Dashboard!$F$4) * _xlfn.NORM.S.INV(RAND())</f>
        <v>-6.0899231007461637E-3</v>
      </c>
    </row>
    <row r="7397" spans="18:21" x14ac:dyDescent="0.2">
      <c r="R7397" s="49">
        <v>7395</v>
      </c>
      <c r="S7397" s="59">
        <f ca="1">Dashboard!B$8* Dashboard!$F$4+Dashboard!B$10*SQRT(Dashboard!$F$4) * _xlfn.NORM.S.INV(RAND())</f>
        <v>1.3814740982510414E-2</v>
      </c>
      <c r="T7397" s="59">
        <f ca="1">Dashboard!C$8* Dashboard!$F$4+Dashboard!C$10*SQRT(Dashboard!$F$4) * _xlfn.NORM.S.INV(RAND())</f>
        <v>-2.3474653357753606E-2</v>
      </c>
      <c r="U7397" s="59">
        <f ca="1">Dashboard!D$8* Dashboard!$F$4+Dashboard!D$10*SQRT(Dashboard!$F$4) * _xlfn.NORM.S.INV(RAND())</f>
        <v>-2.8513862715039522E-2</v>
      </c>
    </row>
    <row r="7398" spans="18:21" x14ac:dyDescent="0.2">
      <c r="R7398" s="49">
        <v>7396</v>
      </c>
      <c r="S7398" s="59">
        <f ca="1">Dashboard!B$8* Dashboard!$F$4+Dashboard!B$10*SQRT(Dashboard!$F$4) * _xlfn.NORM.S.INV(RAND())</f>
        <v>-1.7925094860159356E-2</v>
      </c>
      <c r="T7398" s="59">
        <f ca="1">Dashboard!C$8* Dashboard!$F$4+Dashboard!C$10*SQRT(Dashboard!$F$4) * _xlfn.NORM.S.INV(RAND())</f>
        <v>-1.2365904593601543E-2</v>
      </c>
      <c r="U7398" s="59">
        <f ca="1">Dashboard!D$8* Dashboard!$F$4+Dashboard!D$10*SQRT(Dashboard!$F$4) * _xlfn.NORM.S.INV(RAND())</f>
        <v>-3.8125873302454323E-2</v>
      </c>
    </row>
    <row r="7399" spans="18:21" x14ac:dyDescent="0.2">
      <c r="R7399" s="49">
        <v>7397</v>
      </c>
      <c r="S7399" s="59">
        <f ca="1">Dashboard!B$8* Dashboard!$F$4+Dashboard!B$10*SQRT(Dashboard!$F$4) * _xlfn.NORM.S.INV(RAND())</f>
        <v>-2.5522263371041493E-2</v>
      </c>
      <c r="T7399" s="59">
        <f ca="1">Dashboard!C$8* Dashboard!$F$4+Dashboard!C$10*SQRT(Dashboard!$F$4) * _xlfn.NORM.S.INV(RAND())</f>
        <v>-8.4992322236648876E-3</v>
      </c>
      <c r="U7399" s="59">
        <f ca="1">Dashboard!D$8* Dashboard!$F$4+Dashboard!D$10*SQRT(Dashboard!$F$4) * _xlfn.NORM.S.INV(RAND())</f>
        <v>3.4143268166214734E-2</v>
      </c>
    </row>
    <row r="7400" spans="18:21" x14ac:dyDescent="0.2">
      <c r="R7400" s="49">
        <v>7398</v>
      </c>
      <c r="S7400" s="59">
        <f ca="1">Dashboard!B$8* Dashboard!$F$4+Dashboard!B$10*SQRT(Dashboard!$F$4) * _xlfn.NORM.S.INV(RAND())</f>
        <v>-3.2328977976078262E-2</v>
      </c>
      <c r="T7400" s="59">
        <f ca="1">Dashboard!C$8* Dashboard!$F$4+Dashboard!C$10*SQRT(Dashboard!$F$4) * _xlfn.NORM.S.INV(RAND())</f>
        <v>-6.2127781443204147E-2</v>
      </c>
      <c r="U7400" s="59">
        <f ca="1">Dashboard!D$8* Dashboard!$F$4+Dashboard!D$10*SQRT(Dashboard!$F$4) * _xlfn.NORM.S.INV(RAND())</f>
        <v>3.0181580191635747E-4</v>
      </c>
    </row>
    <row r="7401" spans="18:21" x14ac:dyDescent="0.2">
      <c r="R7401" s="49">
        <v>7399</v>
      </c>
      <c r="S7401" s="59">
        <f ca="1">Dashboard!B$8* Dashboard!$F$4+Dashboard!B$10*SQRT(Dashboard!$F$4) * _xlfn.NORM.S.INV(RAND())</f>
        <v>-1.3630165918636908E-3</v>
      </c>
      <c r="T7401" s="59">
        <f ca="1">Dashboard!C$8* Dashboard!$F$4+Dashboard!C$10*SQRT(Dashboard!$F$4) * _xlfn.NORM.S.INV(RAND())</f>
        <v>8.2546552167805289E-3</v>
      </c>
      <c r="U7401" s="59">
        <f ca="1">Dashboard!D$8* Dashboard!$F$4+Dashboard!D$10*SQRT(Dashboard!$F$4) * _xlfn.NORM.S.INV(RAND())</f>
        <v>1.1682126629906654E-2</v>
      </c>
    </row>
    <row r="7402" spans="18:21" x14ac:dyDescent="0.2">
      <c r="R7402" s="49">
        <v>7400</v>
      </c>
      <c r="S7402" s="59">
        <f ca="1">Dashboard!B$8* Dashboard!$F$4+Dashboard!B$10*SQRT(Dashboard!$F$4) * _xlfn.NORM.S.INV(RAND())</f>
        <v>-1.0904353019175902E-2</v>
      </c>
      <c r="T7402" s="59">
        <f ca="1">Dashboard!C$8* Dashboard!$F$4+Dashboard!C$10*SQRT(Dashboard!$F$4) * _xlfn.NORM.S.INV(RAND())</f>
        <v>3.1969863697845602E-2</v>
      </c>
      <c r="U7402" s="59">
        <f ca="1">Dashboard!D$8* Dashboard!$F$4+Dashboard!D$10*SQRT(Dashboard!$F$4) * _xlfn.NORM.S.INV(RAND())</f>
        <v>-2.9379903063734929E-2</v>
      </c>
    </row>
    <row r="7403" spans="18:21" x14ac:dyDescent="0.2">
      <c r="R7403" s="49">
        <v>7401</v>
      </c>
      <c r="S7403" s="59">
        <f ca="1">Dashboard!B$8* Dashboard!$F$4+Dashboard!B$10*SQRT(Dashboard!$F$4) * _xlfn.NORM.S.INV(RAND())</f>
        <v>-9.4354873034712336E-3</v>
      </c>
      <c r="T7403" s="59">
        <f ca="1">Dashboard!C$8* Dashboard!$F$4+Dashboard!C$10*SQRT(Dashboard!$F$4) * _xlfn.NORM.S.INV(RAND())</f>
        <v>1.5679532943130205E-4</v>
      </c>
      <c r="U7403" s="59">
        <f ca="1">Dashboard!D$8* Dashboard!$F$4+Dashboard!D$10*SQRT(Dashboard!$F$4) * _xlfn.NORM.S.INV(RAND())</f>
        <v>1.3690678673627421E-2</v>
      </c>
    </row>
    <row r="7404" spans="18:21" x14ac:dyDescent="0.2">
      <c r="R7404" s="49">
        <v>7402</v>
      </c>
      <c r="S7404" s="59">
        <f ca="1">Dashboard!B$8* Dashboard!$F$4+Dashboard!B$10*SQRT(Dashboard!$F$4) * _xlfn.NORM.S.INV(RAND())</f>
        <v>-4.9895888760225927E-3</v>
      </c>
      <c r="T7404" s="59">
        <f ca="1">Dashboard!C$8* Dashboard!$F$4+Dashboard!C$10*SQRT(Dashboard!$F$4) * _xlfn.NORM.S.INV(RAND())</f>
        <v>1.0584925630706062E-2</v>
      </c>
      <c r="U7404" s="59">
        <f ca="1">Dashboard!D$8* Dashboard!$F$4+Dashboard!D$10*SQRT(Dashboard!$F$4) * _xlfn.NORM.S.INV(RAND())</f>
        <v>-3.5073721209601977E-2</v>
      </c>
    </row>
    <row r="7405" spans="18:21" x14ac:dyDescent="0.2">
      <c r="R7405" s="49">
        <v>7403</v>
      </c>
      <c r="S7405" s="59">
        <f ca="1">Dashboard!B$8* Dashboard!$F$4+Dashboard!B$10*SQRT(Dashboard!$F$4) * _xlfn.NORM.S.INV(RAND())</f>
        <v>3.1844509773032541E-2</v>
      </c>
      <c r="T7405" s="59">
        <f ca="1">Dashboard!C$8* Dashboard!$F$4+Dashboard!C$10*SQRT(Dashboard!$F$4) * _xlfn.NORM.S.INV(RAND())</f>
        <v>2.0242630394127345E-3</v>
      </c>
      <c r="U7405" s="59">
        <f ca="1">Dashboard!D$8* Dashboard!$F$4+Dashboard!D$10*SQRT(Dashboard!$F$4) * _xlfn.NORM.S.INV(RAND())</f>
        <v>7.8896001739847468E-3</v>
      </c>
    </row>
    <row r="7406" spans="18:21" x14ac:dyDescent="0.2">
      <c r="R7406" s="49">
        <v>7404</v>
      </c>
      <c r="S7406" s="59">
        <f ca="1">Dashboard!B$8* Dashboard!$F$4+Dashboard!B$10*SQRT(Dashboard!$F$4) * _xlfn.NORM.S.INV(RAND())</f>
        <v>-6.4820885954494145E-2</v>
      </c>
      <c r="T7406" s="59">
        <f ca="1">Dashboard!C$8* Dashboard!$F$4+Dashboard!C$10*SQRT(Dashboard!$F$4) * _xlfn.NORM.S.INV(RAND())</f>
        <v>1.4088516706879117E-2</v>
      </c>
      <c r="U7406" s="59">
        <f ca="1">Dashboard!D$8* Dashboard!$F$4+Dashboard!D$10*SQRT(Dashboard!$F$4) * _xlfn.NORM.S.INV(RAND())</f>
        <v>-5.6747374959990762E-4</v>
      </c>
    </row>
    <row r="7407" spans="18:21" x14ac:dyDescent="0.2">
      <c r="R7407" s="49">
        <v>7405</v>
      </c>
      <c r="S7407" s="59">
        <f ca="1">Dashboard!B$8* Dashboard!$F$4+Dashboard!B$10*SQRT(Dashboard!$F$4) * _xlfn.NORM.S.INV(RAND())</f>
        <v>3.2457976973562092E-2</v>
      </c>
      <c r="T7407" s="59">
        <f ca="1">Dashboard!C$8* Dashboard!$F$4+Dashboard!C$10*SQRT(Dashboard!$F$4) * _xlfn.NORM.S.INV(RAND())</f>
        <v>-3.472617196230262E-2</v>
      </c>
      <c r="U7407" s="59">
        <f ca="1">Dashboard!D$8* Dashboard!$F$4+Dashboard!D$10*SQRT(Dashboard!$F$4) * _xlfn.NORM.S.INV(RAND())</f>
        <v>2.7611039584395432E-2</v>
      </c>
    </row>
    <row r="7408" spans="18:21" x14ac:dyDescent="0.2">
      <c r="R7408" s="49">
        <v>7406</v>
      </c>
      <c r="S7408" s="59">
        <f ca="1">Dashboard!B$8* Dashboard!$F$4+Dashboard!B$10*SQRT(Dashboard!$F$4) * _xlfn.NORM.S.INV(RAND())</f>
        <v>7.1182509353697587E-3</v>
      </c>
      <c r="T7408" s="59">
        <f ca="1">Dashboard!C$8* Dashboard!$F$4+Dashboard!C$10*SQRT(Dashboard!$F$4) * _xlfn.NORM.S.INV(RAND())</f>
        <v>1.5503622853240612E-2</v>
      </c>
      <c r="U7408" s="59">
        <f ca="1">Dashboard!D$8* Dashboard!$F$4+Dashboard!D$10*SQRT(Dashboard!$F$4) * _xlfn.NORM.S.INV(RAND())</f>
        <v>-3.621055628404244E-2</v>
      </c>
    </row>
    <row r="7409" spans="18:21" x14ac:dyDescent="0.2">
      <c r="R7409" s="49">
        <v>7407</v>
      </c>
      <c r="S7409" s="59">
        <f ca="1">Dashboard!B$8* Dashboard!$F$4+Dashboard!B$10*SQRT(Dashboard!$F$4) * _xlfn.NORM.S.INV(RAND())</f>
        <v>2.0239571584322887E-2</v>
      </c>
      <c r="T7409" s="59">
        <f ca="1">Dashboard!C$8* Dashboard!$F$4+Dashboard!C$10*SQRT(Dashboard!$F$4) * _xlfn.NORM.S.INV(RAND())</f>
        <v>2.1724176262503371E-2</v>
      </c>
      <c r="U7409" s="59">
        <f ca="1">Dashboard!D$8* Dashboard!$F$4+Dashboard!D$10*SQRT(Dashboard!$F$4) * _xlfn.NORM.S.INV(RAND())</f>
        <v>6.576174893112195E-3</v>
      </c>
    </row>
    <row r="7410" spans="18:21" x14ac:dyDescent="0.2">
      <c r="R7410" s="49">
        <v>7408</v>
      </c>
      <c r="S7410" s="59">
        <f ca="1">Dashboard!B$8* Dashboard!$F$4+Dashboard!B$10*SQRT(Dashboard!$F$4) * _xlfn.NORM.S.INV(RAND())</f>
        <v>-6.2497299639364692E-2</v>
      </c>
      <c r="T7410" s="59">
        <f ca="1">Dashboard!C$8* Dashboard!$F$4+Dashboard!C$10*SQRT(Dashboard!$F$4) * _xlfn.NORM.S.INV(RAND())</f>
        <v>8.3180690158147393E-3</v>
      </c>
      <c r="U7410" s="59">
        <f ca="1">Dashboard!D$8* Dashboard!$F$4+Dashboard!D$10*SQRT(Dashboard!$F$4) * _xlfn.NORM.S.INV(RAND())</f>
        <v>-2.4412794868850094E-2</v>
      </c>
    </row>
    <row r="7411" spans="18:21" x14ac:dyDescent="0.2">
      <c r="R7411" s="49">
        <v>7409</v>
      </c>
      <c r="S7411" s="59">
        <f ca="1">Dashboard!B$8* Dashboard!$F$4+Dashboard!B$10*SQRT(Dashboard!$F$4) * _xlfn.NORM.S.INV(RAND())</f>
        <v>-5.0544494120180247E-3</v>
      </c>
      <c r="T7411" s="59">
        <f ca="1">Dashboard!C$8* Dashboard!$F$4+Dashboard!C$10*SQRT(Dashboard!$F$4) * _xlfn.NORM.S.INV(RAND())</f>
        <v>1.5970263601211759E-2</v>
      </c>
      <c r="U7411" s="59">
        <f ca="1">Dashboard!D$8* Dashboard!$F$4+Dashboard!D$10*SQRT(Dashboard!$F$4) * _xlfn.NORM.S.INV(RAND())</f>
        <v>2.5279872648131779E-2</v>
      </c>
    </row>
    <row r="7412" spans="18:21" x14ac:dyDescent="0.2">
      <c r="R7412" s="49">
        <v>7410</v>
      </c>
      <c r="S7412" s="59">
        <f ca="1">Dashboard!B$8* Dashboard!$F$4+Dashboard!B$10*SQRT(Dashboard!$F$4) * _xlfn.NORM.S.INV(RAND())</f>
        <v>7.1872021143154496E-3</v>
      </c>
      <c r="T7412" s="59">
        <f ca="1">Dashboard!C$8* Dashboard!$F$4+Dashboard!C$10*SQRT(Dashboard!$F$4) * _xlfn.NORM.S.INV(RAND())</f>
        <v>-8.6975435609154793E-3</v>
      </c>
      <c r="U7412" s="59">
        <f ca="1">Dashboard!D$8* Dashboard!$F$4+Dashboard!D$10*SQRT(Dashboard!$F$4) * _xlfn.NORM.S.INV(RAND())</f>
        <v>-1.5985627567598196E-2</v>
      </c>
    </row>
    <row r="7413" spans="18:21" x14ac:dyDescent="0.2">
      <c r="R7413" s="49">
        <v>7411</v>
      </c>
      <c r="S7413" s="59">
        <f ca="1">Dashboard!B$8* Dashboard!$F$4+Dashboard!B$10*SQRT(Dashboard!$F$4) * _xlfn.NORM.S.INV(RAND())</f>
        <v>-1.1555057910302282E-2</v>
      </c>
      <c r="T7413" s="59">
        <f ca="1">Dashboard!C$8* Dashboard!$F$4+Dashboard!C$10*SQRT(Dashboard!$F$4) * _xlfn.NORM.S.INV(RAND())</f>
        <v>-6.8104331694988071E-2</v>
      </c>
      <c r="U7413" s="59">
        <f ca="1">Dashboard!D$8* Dashboard!$F$4+Dashboard!D$10*SQRT(Dashboard!$F$4) * _xlfn.NORM.S.INV(RAND())</f>
        <v>-4.6168419046513712E-2</v>
      </c>
    </row>
    <row r="7414" spans="18:21" x14ac:dyDescent="0.2">
      <c r="R7414" s="49">
        <v>7412</v>
      </c>
      <c r="S7414" s="59">
        <f ca="1">Dashboard!B$8* Dashboard!$F$4+Dashboard!B$10*SQRT(Dashboard!$F$4) * _xlfn.NORM.S.INV(RAND())</f>
        <v>6.1419139317832275E-3</v>
      </c>
      <c r="T7414" s="59">
        <f ca="1">Dashboard!C$8* Dashboard!$F$4+Dashboard!C$10*SQRT(Dashboard!$F$4) * _xlfn.NORM.S.INV(RAND())</f>
        <v>-1.5955927217482131E-2</v>
      </c>
      <c r="U7414" s="59">
        <f ca="1">Dashboard!D$8* Dashboard!$F$4+Dashboard!D$10*SQRT(Dashboard!$F$4) * _xlfn.NORM.S.INV(RAND())</f>
        <v>-5.6169485806076211E-3</v>
      </c>
    </row>
    <row r="7415" spans="18:21" x14ac:dyDescent="0.2">
      <c r="R7415" s="49">
        <v>7413</v>
      </c>
      <c r="S7415" s="59">
        <f ca="1">Dashboard!B$8* Dashboard!$F$4+Dashboard!B$10*SQRT(Dashboard!$F$4) * _xlfn.NORM.S.INV(RAND())</f>
        <v>-5.007471205043793E-3</v>
      </c>
      <c r="T7415" s="59">
        <f ca="1">Dashboard!C$8* Dashboard!$F$4+Dashboard!C$10*SQRT(Dashboard!$F$4) * _xlfn.NORM.S.INV(RAND())</f>
        <v>-5.4350238418608603E-3</v>
      </c>
      <c r="U7415" s="59">
        <f ca="1">Dashboard!D$8* Dashboard!$F$4+Dashboard!D$10*SQRT(Dashboard!$F$4) * _xlfn.NORM.S.INV(RAND())</f>
        <v>6.2478463215451745E-2</v>
      </c>
    </row>
    <row r="7416" spans="18:21" x14ac:dyDescent="0.2">
      <c r="R7416" s="49">
        <v>7414</v>
      </c>
      <c r="S7416" s="59">
        <f ca="1">Dashboard!B$8* Dashboard!$F$4+Dashboard!B$10*SQRT(Dashboard!$F$4) * _xlfn.NORM.S.INV(RAND())</f>
        <v>-3.0213283008168751E-3</v>
      </c>
      <c r="T7416" s="59">
        <f ca="1">Dashboard!C$8* Dashboard!$F$4+Dashboard!C$10*SQRT(Dashboard!$F$4) * _xlfn.NORM.S.INV(RAND())</f>
        <v>-8.7744779251034549E-3</v>
      </c>
      <c r="U7416" s="59">
        <f ca="1">Dashboard!D$8* Dashboard!$F$4+Dashboard!D$10*SQRT(Dashboard!$F$4) * _xlfn.NORM.S.INV(RAND())</f>
        <v>8.0008985269098571E-3</v>
      </c>
    </row>
    <row r="7417" spans="18:21" x14ac:dyDescent="0.2">
      <c r="R7417" s="49">
        <v>7415</v>
      </c>
      <c r="S7417" s="59">
        <f ca="1">Dashboard!B$8* Dashboard!$F$4+Dashboard!B$10*SQRT(Dashboard!$F$4) * _xlfn.NORM.S.INV(RAND())</f>
        <v>-1.2162095917215579E-2</v>
      </c>
      <c r="T7417" s="59">
        <f ca="1">Dashboard!C$8* Dashboard!$F$4+Dashboard!C$10*SQRT(Dashboard!$F$4) * _xlfn.NORM.S.INV(RAND())</f>
        <v>1.9745788940561199E-2</v>
      </c>
      <c r="U7417" s="59">
        <f ca="1">Dashboard!D$8* Dashboard!$F$4+Dashboard!D$10*SQRT(Dashboard!$F$4) * _xlfn.NORM.S.INV(RAND())</f>
        <v>-1.9235049343987776E-2</v>
      </c>
    </row>
    <row r="7418" spans="18:21" x14ac:dyDescent="0.2">
      <c r="R7418" s="49">
        <v>7416</v>
      </c>
      <c r="S7418" s="59">
        <f ca="1">Dashboard!B$8* Dashboard!$F$4+Dashboard!B$10*SQRT(Dashboard!$F$4) * _xlfn.NORM.S.INV(RAND())</f>
        <v>1.2469032284635242E-2</v>
      </c>
      <c r="T7418" s="59">
        <f ca="1">Dashboard!C$8* Dashboard!$F$4+Dashboard!C$10*SQRT(Dashboard!$F$4) * _xlfn.NORM.S.INV(RAND())</f>
        <v>1.6222892873794498E-2</v>
      </c>
      <c r="U7418" s="59">
        <f ca="1">Dashboard!D$8* Dashboard!$F$4+Dashboard!D$10*SQRT(Dashboard!$F$4) * _xlfn.NORM.S.INV(RAND())</f>
        <v>2.4692603394194899E-2</v>
      </c>
    </row>
    <row r="7419" spans="18:21" x14ac:dyDescent="0.2">
      <c r="R7419" s="49">
        <v>7417</v>
      </c>
      <c r="S7419" s="59">
        <f ca="1">Dashboard!B$8* Dashboard!$F$4+Dashboard!B$10*SQRT(Dashboard!$F$4) * _xlfn.NORM.S.INV(RAND())</f>
        <v>2.1258557810455971E-2</v>
      </c>
      <c r="T7419" s="59">
        <f ca="1">Dashboard!C$8* Dashboard!$F$4+Dashboard!C$10*SQRT(Dashboard!$F$4) * _xlfn.NORM.S.INV(RAND())</f>
        <v>6.7872649021780029E-2</v>
      </c>
      <c r="U7419" s="59">
        <f ca="1">Dashboard!D$8* Dashboard!$F$4+Dashboard!D$10*SQRT(Dashboard!$F$4) * _xlfn.NORM.S.INV(RAND())</f>
        <v>2.9946269236054987E-3</v>
      </c>
    </row>
    <row r="7420" spans="18:21" x14ac:dyDescent="0.2">
      <c r="R7420" s="49">
        <v>7418</v>
      </c>
      <c r="S7420" s="59">
        <f ca="1">Dashboard!B$8* Dashboard!$F$4+Dashboard!B$10*SQRT(Dashboard!$F$4) * _xlfn.NORM.S.INV(RAND())</f>
        <v>5.0595847888648009E-2</v>
      </c>
      <c r="T7420" s="59">
        <f ca="1">Dashboard!C$8* Dashboard!$F$4+Dashboard!C$10*SQRT(Dashboard!$F$4) * _xlfn.NORM.S.INV(RAND())</f>
        <v>-6.713449144427972E-3</v>
      </c>
      <c r="U7420" s="59">
        <f ca="1">Dashboard!D$8* Dashboard!$F$4+Dashboard!D$10*SQRT(Dashboard!$F$4) * _xlfn.NORM.S.INV(RAND())</f>
        <v>2.3227900782075758E-3</v>
      </c>
    </row>
    <row r="7421" spans="18:21" x14ac:dyDescent="0.2">
      <c r="R7421" s="49">
        <v>7419</v>
      </c>
      <c r="S7421" s="59">
        <f ca="1">Dashboard!B$8* Dashboard!$F$4+Dashboard!B$10*SQRT(Dashboard!$F$4) * _xlfn.NORM.S.INV(RAND())</f>
        <v>2.9864989869703984E-2</v>
      </c>
      <c r="T7421" s="59">
        <f ca="1">Dashboard!C$8* Dashboard!$F$4+Dashboard!C$10*SQRT(Dashboard!$F$4) * _xlfn.NORM.S.INV(RAND())</f>
        <v>3.1633401554070281E-3</v>
      </c>
      <c r="U7421" s="59">
        <f ca="1">Dashboard!D$8* Dashboard!$F$4+Dashboard!D$10*SQRT(Dashboard!$F$4) * _xlfn.NORM.S.INV(RAND())</f>
        <v>3.4076841228526923E-2</v>
      </c>
    </row>
    <row r="7422" spans="18:21" x14ac:dyDescent="0.2">
      <c r="R7422" s="49">
        <v>7420</v>
      </c>
      <c r="S7422" s="59">
        <f ca="1">Dashboard!B$8* Dashboard!$F$4+Dashboard!B$10*SQRT(Dashboard!$F$4) * _xlfn.NORM.S.INV(RAND())</f>
        <v>-1.9493302098029454E-3</v>
      </c>
      <c r="T7422" s="59">
        <f ca="1">Dashboard!C$8* Dashboard!$F$4+Dashboard!C$10*SQRT(Dashboard!$F$4) * _xlfn.NORM.S.INV(RAND())</f>
        <v>-5.3453058124444839E-3</v>
      </c>
      <c r="U7422" s="59">
        <f ca="1">Dashboard!D$8* Dashboard!$F$4+Dashboard!D$10*SQRT(Dashboard!$F$4) * _xlfn.NORM.S.INV(RAND())</f>
        <v>-9.6126054463185652E-3</v>
      </c>
    </row>
    <row r="7423" spans="18:21" x14ac:dyDescent="0.2">
      <c r="R7423" s="49">
        <v>7421</v>
      </c>
      <c r="S7423" s="59">
        <f ca="1">Dashboard!B$8* Dashboard!$F$4+Dashboard!B$10*SQRT(Dashboard!$F$4) * _xlfn.NORM.S.INV(RAND())</f>
        <v>-3.7433150663806029E-2</v>
      </c>
      <c r="T7423" s="59">
        <f ca="1">Dashboard!C$8* Dashboard!$F$4+Dashboard!C$10*SQRT(Dashboard!$F$4) * _xlfn.NORM.S.INV(RAND())</f>
        <v>-2.2766895465979708E-2</v>
      </c>
      <c r="U7423" s="59">
        <f ca="1">Dashboard!D$8* Dashboard!$F$4+Dashboard!D$10*SQRT(Dashboard!$F$4) * _xlfn.NORM.S.INV(RAND())</f>
        <v>-5.7223029314338271E-3</v>
      </c>
    </row>
    <row r="7424" spans="18:21" x14ac:dyDescent="0.2">
      <c r="R7424" s="49">
        <v>7422</v>
      </c>
      <c r="S7424" s="59">
        <f ca="1">Dashboard!B$8* Dashboard!$F$4+Dashboard!B$10*SQRT(Dashboard!$F$4) * _xlfn.NORM.S.INV(RAND())</f>
        <v>2.7522006221494082E-2</v>
      </c>
      <c r="T7424" s="59">
        <f ca="1">Dashboard!C$8* Dashboard!$F$4+Dashboard!C$10*SQRT(Dashboard!$F$4) * _xlfn.NORM.S.INV(RAND())</f>
        <v>1.0130191977727835E-2</v>
      </c>
      <c r="U7424" s="59">
        <f ca="1">Dashboard!D$8* Dashboard!$F$4+Dashboard!D$10*SQRT(Dashboard!$F$4) * _xlfn.NORM.S.INV(RAND())</f>
        <v>4.5358596644534026E-3</v>
      </c>
    </row>
    <row r="7425" spans="18:21" x14ac:dyDescent="0.2">
      <c r="R7425" s="49">
        <v>7423</v>
      </c>
      <c r="S7425" s="59">
        <f ca="1">Dashboard!B$8* Dashboard!$F$4+Dashboard!B$10*SQRT(Dashboard!$F$4) * _xlfn.NORM.S.INV(RAND())</f>
        <v>-5.3910211459458617E-2</v>
      </c>
      <c r="T7425" s="59">
        <f ca="1">Dashboard!C$8* Dashboard!$F$4+Dashboard!C$10*SQRT(Dashboard!$F$4) * _xlfn.NORM.S.INV(RAND())</f>
        <v>-2.5148173470598636E-2</v>
      </c>
      <c r="U7425" s="59">
        <f ca="1">Dashboard!D$8* Dashboard!$F$4+Dashboard!D$10*SQRT(Dashboard!$F$4) * _xlfn.NORM.S.INV(RAND())</f>
        <v>3.0522770830194394E-2</v>
      </c>
    </row>
    <row r="7426" spans="18:21" x14ac:dyDescent="0.2">
      <c r="R7426" s="49">
        <v>7424</v>
      </c>
      <c r="S7426" s="59">
        <f ca="1">Dashboard!B$8* Dashboard!$F$4+Dashboard!B$10*SQRT(Dashboard!$F$4) * _xlfn.NORM.S.INV(RAND())</f>
        <v>-1.5329634074782484E-2</v>
      </c>
      <c r="T7426" s="59">
        <f ca="1">Dashboard!C$8* Dashboard!$F$4+Dashboard!C$10*SQRT(Dashboard!$F$4) * _xlfn.NORM.S.INV(RAND())</f>
        <v>3.8836413655434138E-2</v>
      </c>
      <c r="U7426" s="59">
        <f ca="1">Dashboard!D$8* Dashboard!$F$4+Dashboard!D$10*SQRT(Dashboard!$F$4) * _xlfn.NORM.S.INV(RAND())</f>
        <v>-1.4868002801102887E-2</v>
      </c>
    </row>
    <row r="7427" spans="18:21" x14ac:dyDescent="0.2">
      <c r="R7427" s="49">
        <v>7425</v>
      </c>
      <c r="S7427" s="59">
        <f ca="1">Dashboard!B$8* Dashboard!$F$4+Dashboard!B$10*SQRT(Dashboard!$F$4) * _xlfn.NORM.S.INV(RAND())</f>
        <v>1.061006321274126E-3</v>
      </c>
      <c r="T7427" s="59">
        <f ca="1">Dashboard!C$8* Dashboard!$F$4+Dashboard!C$10*SQRT(Dashboard!$F$4) * _xlfn.NORM.S.INV(RAND())</f>
        <v>1.2179452391728918E-3</v>
      </c>
      <c r="U7427" s="59">
        <f ca="1">Dashboard!D$8* Dashboard!$F$4+Dashboard!D$10*SQRT(Dashboard!$F$4) * _xlfn.NORM.S.INV(RAND())</f>
        <v>-5.9339059414117191E-2</v>
      </c>
    </row>
    <row r="7428" spans="18:21" x14ac:dyDescent="0.2">
      <c r="R7428" s="49">
        <v>7426</v>
      </c>
      <c r="S7428" s="59">
        <f ca="1">Dashboard!B$8* Dashboard!$F$4+Dashboard!B$10*SQRT(Dashboard!$F$4) * _xlfn.NORM.S.INV(RAND())</f>
        <v>9.9453946559730135E-3</v>
      </c>
      <c r="T7428" s="59">
        <f ca="1">Dashboard!C$8* Dashboard!$F$4+Dashboard!C$10*SQRT(Dashboard!$F$4) * _xlfn.NORM.S.INV(RAND())</f>
        <v>5.0770765526230791E-2</v>
      </c>
      <c r="U7428" s="59">
        <f ca="1">Dashboard!D$8* Dashboard!$F$4+Dashboard!D$10*SQRT(Dashboard!$F$4) * _xlfn.NORM.S.INV(RAND())</f>
        <v>-1.0603741840807606E-2</v>
      </c>
    </row>
    <row r="7429" spans="18:21" x14ac:dyDescent="0.2">
      <c r="R7429" s="49">
        <v>7427</v>
      </c>
      <c r="S7429" s="59">
        <f ca="1">Dashboard!B$8* Dashboard!$F$4+Dashboard!B$10*SQRT(Dashboard!$F$4) * _xlfn.NORM.S.INV(RAND())</f>
        <v>3.4179255164262859E-2</v>
      </c>
      <c r="T7429" s="59">
        <f ca="1">Dashboard!C$8* Dashboard!$F$4+Dashboard!C$10*SQRT(Dashboard!$F$4) * _xlfn.NORM.S.INV(RAND())</f>
        <v>-1.7942551158203625E-2</v>
      </c>
      <c r="U7429" s="59">
        <f ca="1">Dashboard!D$8* Dashboard!$F$4+Dashboard!D$10*SQRT(Dashboard!$F$4) * _xlfn.NORM.S.INV(RAND())</f>
        <v>2.9462668759840651E-3</v>
      </c>
    </row>
    <row r="7430" spans="18:21" x14ac:dyDescent="0.2">
      <c r="R7430" s="49">
        <v>7428</v>
      </c>
      <c r="S7430" s="59">
        <f ca="1">Dashboard!B$8* Dashboard!$F$4+Dashboard!B$10*SQRT(Dashboard!$F$4) * _xlfn.NORM.S.INV(RAND())</f>
        <v>2.7399374976580541E-3</v>
      </c>
      <c r="T7430" s="59">
        <f ca="1">Dashboard!C$8* Dashboard!$F$4+Dashboard!C$10*SQRT(Dashboard!$F$4) * _xlfn.NORM.S.INV(RAND())</f>
        <v>1.4410930094002749E-2</v>
      </c>
      <c r="U7430" s="59">
        <f ca="1">Dashboard!D$8* Dashboard!$F$4+Dashboard!D$10*SQRT(Dashboard!$F$4) * _xlfn.NORM.S.INV(RAND())</f>
        <v>-1.5493386347398198E-2</v>
      </c>
    </row>
    <row r="7431" spans="18:21" x14ac:dyDescent="0.2">
      <c r="R7431" s="49">
        <v>7429</v>
      </c>
      <c r="S7431" s="59">
        <f ca="1">Dashboard!B$8* Dashboard!$F$4+Dashboard!B$10*SQRT(Dashboard!$F$4) * _xlfn.NORM.S.INV(RAND())</f>
        <v>-7.3289162778464069E-3</v>
      </c>
      <c r="T7431" s="59">
        <f ca="1">Dashboard!C$8* Dashboard!$F$4+Dashboard!C$10*SQRT(Dashboard!$F$4) * _xlfn.NORM.S.INV(RAND())</f>
        <v>9.0918081946471788E-2</v>
      </c>
      <c r="U7431" s="59">
        <f ca="1">Dashboard!D$8* Dashboard!$F$4+Dashboard!D$10*SQRT(Dashboard!$F$4) * _xlfn.NORM.S.INV(RAND())</f>
        <v>-5.5699095330545699E-2</v>
      </c>
    </row>
    <row r="7432" spans="18:21" x14ac:dyDescent="0.2">
      <c r="R7432" s="49">
        <v>7430</v>
      </c>
      <c r="S7432" s="59">
        <f ca="1">Dashboard!B$8* Dashboard!$F$4+Dashboard!B$10*SQRT(Dashboard!$F$4) * _xlfn.NORM.S.INV(RAND())</f>
        <v>3.9351823894613717E-2</v>
      </c>
      <c r="T7432" s="59">
        <f ca="1">Dashboard!C$8* Dashboard!$F$4+Dashboard!C$10*SQRT(Dashboard!$F$4) * _xlfn.NORM.S.INV(RAND())</f>
        <v>3.2016760125508296E-2</v>
      </c>
      <c r="U7432" s="59">
        <f ca="1">Dashboard!D$8* Dashboard!$F$4+Dashboard!D$10*SQRT(Dashboard!$F$4) * _xlfn.NORM.S.INV(RAND())</f>
        <v>8.1759974862066608E-3</v>
      </c>
    </row>
    <row r="7433" spans="18:21" x14ac:dyDescent="0.2">
      <c r="R7433" s="49">
        <v>7431</v>
      </c>
      <c r="S7433" s="59">
        <f ca="1">Dashboard!B$8* Dashboard!$F$4+Dashboard!B$10*SQRT(Dashboard!$F$4) * _xlfn.NORM.S.INV(RAND())</f>
        <v>2.7966080870154867E-3</v>
      </c>
      <c r="T7433" s="59">
        <f ca="1">Dashboard!C$8* Dashboard!$F$4+Dashboard!C$10*SQRT(Dashboard!$F$4) * _xlfn.NORM.S.INV(RAND())</f>
        <v>3.900694505503538E-2</v>
      </c>
      <c r="U7433" s="59">
        <f ca="1">Dashboard!D$8* Dashboard!$F$4+Dashboard!D$10*SQRT(Dashboard!$F$4) * _xlfn.NORM.S.INV(RAND())</f>
        <v>-9.8647980106852961E-4</v>
      </c>
    </row>
    <row r="7434" spans="18:21" x14ac:dyDescent="0.2">
      <c r="R7434" s="49">
        <v>7432</v>
      </c>
      <c r="S7434" s="59">
        <f ca="1">Dashboard!B$8* Dashboard!$F$4+Dashboard!B$10*SQRT(Dashboard!$F$4) * _xlfn.NORM.S.INV(RAND())</f>
        <v>-3.4374463755639062E-3</v>
      </c>
      <c r="T7434" s="59">
        <f ca="1">Dashboard!C$8* Dashboard!$F$4+Dashboard!C$10*SQRT(Dashboard!$F$4) * _xlfn.NORM.S.INV(RAND())</f>
        <v>-1.3693956377774361E-2</v>
      </c>
      <c r="U7434" s="59">
        <f ca="1">Dashboard!D$8* Dashboard!$F$4+Dashboard!D$10*SQRT(Dashboard!$F$4) * _xlfn.NORM.S.INV(RAND())</f>
        <v>1.8830332969159711E-3</v>
      </c>
    </row>
    <row r="7435" spans="18:21" x14ac:dyDescent="0.2">
      <c r="R7435" s="49">
        <v>7433</v>
      </c>
      <c r="S7435" s="59">
        <f ca="1">Dashboard!B$8* Dashboard!$F$4+Dashboard!B$10*SQRT(Dashboard!$F$4) * _xlfn.NORM.S.INV(RAND())</f>
        <v>1.6103123182156599E-2</v>
      </c>
      <c r="T7435" s="59">
        <f ca="1">Dashboard!C$8* Dashboard!$F$4+Dashboard!C$10*SQRT(Dashboard!$F$4) * _xlfn.NORM.S.INV(RAND())</f>
        <v>-3.297731274019481E-2</v>
      </c>
      <c r="U7435" s="59">
        <f ca="1">Dashboard!D$8* Dashboard!$F$4+Dashboard!D$10*SQRT(Dashboard!$F$4) * _xlfn.NORM.S.INV(RAND())</f>
        <v>-4.0478498085055603E-2</v>
      </c>
    </row>
    <row r="7436" spans="18:21" x14ac:dyDescent="0.2">
      <c r="R7436" s="49">
        <v>7434</v>
      </c>
      <c r="S7436" s="59">
        <f ca="1">Dashboard!B$8* Dashboard!$F$4+Dashboard!B$10*SQRT(Dashboard!$F$4) * _xlfn.NORM.S.INV(RAND())</f>
        <v>-3.2305053412010815E-2</v>
      </c>
      <c r="T7436" s="59">
        <f ca="1">Dashboard!C$8* Dashboard!$F$4+Dashboard!C$10*SQRT(Dashboard!$F$4) * _xlfn.NORM.S.INV(RAND())</f>
        <v>-6.7955668330851801E-2</v>
      </c>
      <c r="U7436" s="59">
        <f ca="1">Dashboard!D$8* Dashboard!$F$4+Dashboard!D$10*SQRT(Dashboard!$F$4) * _xlfn.NORM.S.INV(RAND())</f>
        <v>-1.2288289558413474E-2</v>
      </c>
    </row>
    <row r="7437" spans="18:21" x14ac:dyDescent="0.2">
      <c r="R7437" s="49">
        <v>7435</v>
      </c>
      <c r="S7437" s="59">
        <f ca="1">Dashboard!B$8* Dashboard!$F$4+Dashboard!B$10*SQRT(Dashboard!$F$4) * _xlfn.NORM.S.INV(RAND())</f>
        <v>-1.2955567065880479E-2</v>
      </c>
      <c r="T7437" s="59">
        <f ca="1">Dashboard!C$8* Dashboard!$F$4+Dashboard!C$10*SQRT(Dashboard!$F$4) * _xlfn.NORM.S.INV(RAND())</f>
        <v>-2.4026095254507805E-2</v>
      </c>
      <c r="U7437" s="59">
        <f ca="1">Dashboard!D$8* Dashboard!$F$4+Dashboard!D$10*SQRT(Dashboard!$F$4) * _xlfn.NORM.S.INV(RAND())</f>
        <v>5.101147553952283E-2</v>
      </c>
    </row>
    <row r="7438" spans="18:21" x14ac:dyDescent="0.2">
      <c r="R7438" s="49">
        <v>7436</v>
      </c>
      <c r="S7438" s="59">
        <f ca="1">Dashboard!B$8* Dashboard!$F$4+Dashboard!B$10*SQRT(Dashboard!$F$4) * _xlfn.NORM.S.INV(RAND())</f>
        <v>2.225938855456109E-2</v>
      </c>
      <c r="T7438" s="59">
        <f ca="1">Dashboard!C$8* Dashboard!$F$4+Dashboard!C$10*SQRT(Dashboard!$F$4) * _xlfn.NORM.S.INV(RAND())</f>
        <v>7.4820986173191485E-3</v>
      </c>
      <c r="U7438" s="59">
        <f ca="1">Dashboard!D$8* Dashboard!$F$4+Dashboard!D$10*SQRT(Dashboard!$F$4) * _xlfn.NORM.S.INV(RAND())</f>
        <v>-1.6133185706884882E-2</v>
      </c>
    </row>
    <row r="7439" spans="18:21" x14ac:dyDescent="0.2">
      <c r="R7439" s="49">
        <v>7437</v>
      </c>
      <c r="S7439" s="59">
        <f ca="1">Dashboard!B$8* Dashboard!$F$4+Dashboard!B$10*SQRT(Dashboard!$F$4) * _xlfn.NORM.S.INV(RAND())</f>
        <v>-1.9524728904459662E-2</v>
      </c>
      <c r="T7439" s="59">
        <f ca="1">Dashboard!C$8* Dashboard!$F$4+Dashboard!C$10*SQRT(Dashboard!$F$4) * _xlfn.NORM.S.INV(RAND())</f>
        <v>6.4825233512807223E-2</v>
      </c>
      <c r="U7439" s="59">
        <f ca="1">Dashboard!D$8* Dashboard!$F$4+Dashboard!D$10*SQRT(Dashboard!$F$4) * _xlfn.NORM.S.INV(RAND())</f>
        <v>5.2696002052084303E-3</v>
      </c>
    </row>
    <row r="7440" spans="18:21" x14ac:dyDescent="0.2">
      <c r="R7440" s="49">
        <v>7438</v>
      </c>
      <c r="S7440" s="59">
        <f ca="1">Dashboard!B$8* Dashboard!$F$4+Dashboard!B$10*SQRT(Dashboard!$F$4) * _xlfn.NORM.S.INV(RAND())</f>
        <v>3.2745169015988521E-2</v>
      </c>
      <c r="T7440" s="59">
        <f ca="1">Dashboard!C$8* Dashboard!$F$4+Dashboard!C$10*SQRT(Dashboard!$F$4) * _xlfn.NORM.S.INV(RAND())</f>
        <v>-1.8487285592774468E-2</v>
      </c>
      <c r="U7440" s="59">
        <f ca="1">Dashboard!D$8* Dashboard!$F$4+Dashboard!D$10*SQRT(Dashboard!$F$4) * _xlfn.NORM.S.INV(RAND())</f>
        <v>1.1427721187293939E-2</v>
      </c>
    </row>
    <row r="7441" spans="18:21" x14ac:dyDescent="0.2">
      <c r="R7441" s="49">
        <v>7439</v>
      </c>
      <c r="S7441" s="59">
        <f ca="1">Dashboard!B$8* Dashboard!$F$4+Dashboard!B$10*SQRT(Dashboard!$F$4) * _xlfn.NORM.S.INV(RAND())</f>
        <v>2.4926025802640188E-2</v>
      </c>
      <c r="T7441" s="59">
        <f ca="1">Dashboard!C$8* Dashboard!$F$4+Dashboard!C$10*SQRT(Dashboard!$F$4) * _xlfn.NORM.S.INV(RAND())</f>
        <v>4.2895459120530971E-2</v>
      </c>
      <c r="U7441" s="59">
        <f ca="1">Dashboard!D$8* Dashboard!$F$4+Dashboard!D$10*SQRT(Dashboard!$F$4) * _xlfn.NORM.S.INV(RAND())</f>
        <v>2.6459407249754653E-3</v>
      </c>
    </row>
    <row r="7442" spans="18:21" x14ac:dyDescent="0.2">
      <c r="R7442" s="49">
        <v>7440</v>
      </c>
      <c r="S7442" s="59">
        <f ca="1">Dashboard!B$8* Dashboard!$F$4+Dashboard!B$10*SQRT(Dashboard!$F$4) * _xlfn.NORM.S.INV(RAND())</f>
        <v>-1.1990895884558359E-2</v>
      </c>
      <c r="T7442" s="59">
        <f ca="1">Dashboard!C$8* Dashboard!$F$4+Dashboard!C$10*SQRT(Dashboard!$F$4) * _xlfn.NORM.S.INV(RAND())</f>
        <v>2.6753730477524381E-2</v>
      </c>
      <c r="U7442" s="59">
        <f ca="1">Dashboard!D$8* Dashboard!$F$4+Dashboard!D$10*SQRT(Dashboard!$F$4) * _xlfn.NORM.S.INV(RAND())</f>
        <v>-1.9475513532483623E-2</v>
      </c>
    </row>
    <row r="7443" spans="18:21" x14ac:dyDescent="0.2">
      <c r="R7443" s="49">
        <v>7441</v>
      </c>
      <c r="S7443" s="59">
        <f ca="1">Dashboard!B$8* Dashboard!$F$4+Dashboard!B$10*SQRT(Dashboard!$F$4) * _xlfn.NORM.S.INV(RAND())</f>
        <v>3.4892730469208301E-2</v>
      </c>
      <c r="T7443" s="59">
        <f ca="1">Dashboard!C$8* Dashboard!$F$4+Dashboard!C$10*SQRT(Dashboard!$F$4) * _xlfn.NORM.S.INV(RAND())</f>
        <v>-7.1349441494510122E-3</v>
      </c>
      <c r="U7443" s="59">
        <f ca="1">Dashboard!D$8* Dashboard!$F$4+Dashboard!D$10*SQRT(Dashboard!$F$4) * _xlfn.NORM.S.INV(RAND())</f>
        <v>-2.1105593492908067E-2</v>
      </c>
    </row>
    <row r="7444" spans="18:21" x14ac:dyDescent="0.2">
      <c r="R7444" s="49">
        <v>7442</v>
      </c>
      <c r="S7444" s="59">
        <f ca="1">Dashboard!B$8* Dashboard!$F$4+Dashboard!B$10*SQRT(Dashboard!$F$4) * _xlfn.NORM.S.INV(RAND())</f>
        <v>-1.6226727427643313E-2</v>
      </c>
      <c r="T7444" s="59">
        <f ca="1">Dashboard!C$8* Dashboard!$F$4+Dashboard!C$10*SQRT(Dashboard!$F$4) * _xlfn.NORM.S.INV(RAND())</f>
        <v>6.0855051245975126E-3</v>
      </c>
      <c r="U7444" s="59">
        <f ca="1">Dashboard!D$8* Dashboard!$F$4+Dashboard!D$10*SQRT(Dashboard!$F$4) * _xlfn.NORM.S.INV(RAND())</f>
        <v>-5.234088973015482E-2</v>
      </c>
    </row>
    <row r="7445" spans="18:21" x14ac:dyDescent="0.2">
      <c r="R7445" s="49">
        <v>7443</v>
      </c>
      <c r="S7445" s="59">
        <f ca="1">Dashboard!B$8* Dashboard!$F$4+Dashboard!B$10*SQRT(Dashboard!$F$4) * _xlfn.NORM.S.INV(RAND())</f>
        <v>1.4190590320312975E-2</v>
      </c>
      <c r="T7445" s="59">
        <f ca="1">Dashboard!C$8* Dashboard!$F$4+Dashboard!C$10*SQRT(Dashboard!$F$4) * _xlfn.NORM.S.INV(RAND())</f>
        <v>3.1989825787959073E-2</v>
      </c>
      <c r="U7445" s="59">
        <f ca="1">Dashboard!D$8* Dashboard!$F$4+Dashboard!D$10*SQRT(Dashboard!$F$4) * _xlfn.NORM.S.INV(RAND())</f>
        <v>2.9409407890572923E-2</v>
      </c>
    </row>
    <row r="7446" spans="18:21" x14ac:dyDescent="0.2">
      <c r="R7446" s="49">
        <v>7444</v>
      </c>
      <c r="S7446" s="59">
        <f ca="1">Dashboard!B$8* Dashboard!$F$4+Dashboard!B$10*SQRT(Dashboard!$F$4) * _xlfn.NORM.S.INV(RAND())</f>
        <v>-2.0988982177930889E-2</v>
      </c>
      <c r="T7446" s="59">
        <f ca="1">Dashboard!C$8* Dashboard!$F$4+Dashboard!C$10*SQRT(Dashboard!$F$4) * _xlfn.NORM.S.INV(RAND())</f>
        <v>5.7494353791198993E-2</v>
      </c>
      <c r="U7446" s="59">
        <f ca="1">Dashboard!D$8* Dashboard!$F$4+Dashboard!D$10*SQRT(Dashboard!$F$4) * _xlfn.NORM.S.INV(RAND())</f>
        <v>1.0573208762212382E-2</v>
      </c>
    </row>
    <row r="7447" spans="18:21" x14ac:dyDescent="0.2">
      <c r="R7447" s="49">
        <v>7445</v>
      </c>
      <c r="S7447" s="59">
        <f ca="1">Dashboard!B$8* Dashboard!$F$4+Dashboard!B$10*SQRT(Dashboard!$F$4) * _xlfn.NORM.S.INV(RAND())</f>
        <v>-1.58305067683766E-2</v>
      </c>
      <c r="T7447" s="59">
        <f ca="1">Dashboard!C$8* Dashboard!$F$4+Dashboard!C$10*SQRT(Dashboard!$F$4) * _xlfn.NORM.S.INV(RAND())</f>
        <v>6.7068431207402274E-2</v>
      </c>
      <c r="U7447" s="59">
        <f ca="1">Dashboard!D$8* Dashboard!$F$4+Dashboard!D$10*SQRT(Dashboard!$F$4) * _xlfn.NORM.S.INV(RAND())</f>
        <v>-1.8056442488330365E-2</v>
      </c>
    </row>
    <row r="7448" spans="18:21" x14ac:dyDescent="0.2">
      <c r="R7448" s="49">
        <v>7446</v>
      </c>
      <c r="S7448" s="59">
        <f ca="1">Dashboard!B$8* Dashboard!$F$4+Dashboard!B$10*SQRT(Dashboard!$F$4) * _xlfn.NORM.S.INV(RAND())</f>
        <v>5.0311099443536393E-3</v>
      </c>
      <c r="T7448" s="59">
        <f ca="1">Dashboard!C$8* Dashboard!$F$4+Dashboard!C$10*SQRT(Dashboard!$F$4) * _xlfn.NORM.S.INV(RAND())</f>
        <v>2.5812548433539243E-3</v>
      </c>
      <c r="U7448" s="59">
        <f ca="1">Dashboard!D$8* Dashboard!$F$4+Dashboard!D$10*SQRT(Dashboard!$F$4) * _xlfn.NORM.S.INV(RAND())</f>
        <v>-4.3971983632913325E-2</v>
      </c>
    </row>
    <row r="7449" spans="18:21" x14ac:dyDescent="0.2">
      <c r="R7449" s="49">
        <v>7447</v>
      </c>
      <c r="S7449" s="59">
        <f ca="1">Dashboard!B$8* Dashboard!$F$4+Dashboard!B$10*SQRT(Dashboard!$F$4) * _xlfn.NORM.S.INV(RAND())</f>
        <v>6.0380870815373439E-2</v>
      </c>
      <c r="T7449" s="59">
        <f ca="1">Dashboard!C$8* Dashboard!$F$4+Dashboard!C$10*SQRT(Dashboard!$F$4) * _xlfn.NORM.S.INV(RAND())</f>
        <v>-4.5700355507356599E-2</v>
      </c>
      <c r="U7449" s="59">
        <f ca="1">Dashboard!D$8* Dashboard!$F$4+Dashboard!D$10*SQRT(Dashboard!$F$4) * _xlfn.NORM.S.INV(RAND())</f>
        <v>2.3417868982016511E-2</v>
      </c>
    </row>
    <row r="7450" spans="18:21" x14ac:dyDescent="0.2">
      <c r="R7450" s="49">
        <v>7448</v>
      </c>
      <c r="S7450" s="59">
        <f ca="1">Dashboard!B$8* Dashboard!$F$4+Dashboard!B$10*SQRT(Dashboard!$F$4) * _xlfn.NORM.S.INV(RAND())</f>
        <v>-2.3044751179149586E-2</v>
      </c>
      <c r="T7450" s="59">
        <f ca="1">Dashboard!C$8* Dashboard!$F$4+Dashboard!C$10*SQRT(Dashboard!$F$4) * _xlfn.NORM.S.INV(RAND())</f>
        <v>2.0024362908954818E-2</v>
      </c>
      <c r="U7450" s="59">
        <f ca="1">Dashboard!D$8* Dashboard!$F$4+Dashboard!D$10*SQRT(Dashboard!$F$4) * _xlfn.NORM.S.INV(RAND())</f>
        <v>-2.9353427302238732E-2</v>
      </c>
    </row>
    <row r="7451" spans="18:21" x14ac:dyDescent="0.2">
      <c r="R7451" s="49">
        <v>7449</v>
      </c>
      <c r="S7451" s="59">
        <f ca="1">Dashboard!B$8* Dashboard!$F$4+Dashboard!B$10*SQRT(Dashboard!$F$4) * _xlfn.NORM.S.INV(RAND())</f>
        <v>-3.6660928837193999E-4</v>
      </c>
      <c r="T7451" s="59">
        <f ca="1">Dashboard!C$8* Dashboard!$F$4+Dashboard!C$10*SQRT(Dashboard!$F$4) * _xlfn.NORM.S.INV(RAND())</f>
        <v>9.9944477398487526E-4</v>
      </c>
      <c r="U7451" s="59">
        <f ca="1">Dashboard!D$8* Dashboard!$F$4+Dashboard!D$10*SQRT(Dashboard!$F$4) * _xlfn.NORM.S.INV(RAND())</f>
        <v>-1.5802773744202536E-2</v>
      </c>
    </row>
    <row r="7452" spans="18:21" x14ac:dyDescent="0.2">
      <c r="R7452" s="49">
        <v>7450</v>
      </c>
      <c r="S7452" s="59">
        <f ca="1">Dashboard!B$8* Dashboard!$F$4+Dashboard!B$10*SQRT(Dashboard!$F$4) * _xlfn.NORM.S.INV(RAND())</f>
        <v>1.8043683873795846E-2</v>
      </c>
      <c r="T7452" s="59">
        <f ca="1">Dashboard!C$8* Dashboard!$F$4+Dashboard!C$10*SQRT(Dashboard!$F$4) * _xlfn.NORM.S.INV(RAND())</f>
        <v>4.480808238476567E-2</v>
      </c>
      <c r="U7452" s="59">
        <f ca="1">Dashboard!D$8* Dashboard!$F$4+Dashboard!D$10*SQRT(Dashboard!$F$4) * _xlfn.NORM.S.INV(RAND())</f>
        <v>-1.3570091859157885E-2</v>
      </c>
    </row>
    <row r="7453" spans="18:21" x14ac:dyDescent="0.2">
      <c r="R7453" s="49">
        <v>7451</v>
      </c>
      <c r="S7453" s="59">
        <f ca="1">Dashboard!B$8* Dashboard!$F$4+Dashboard!B$10*SQRT(Dashboard!$F$4) * _xlfn.NORM.S.INV(RAND())</f>
        <v>3.0552561804230813E-2</v>
      </c>
      <c r="T7453" s="59">
        <f ca="1">Dashboard!C$8* Dashboard!$F$4+Dashboard!C$10*SQRT(Dashboard!$F$4) * _xlfn.NORM.S.INV(RAND())</f>
        <v>3.2100752527065516E-3</v>
      </c>
      <c r="U7453" s="59">
        <f ca="1">Dashboard!D$8* Dashboard!$F$4+Dashboard!D$10*SQRT(Dashboard!$F$4) * _xlfn.NORM.S.INV(RAND())</f>
        <v>-7.3775975900646829E-2</v>
      </c>
    </row>
    <row r="7454" spans="18:21" x14ac:dyDescent="0.2">
      <c r="R7454" s="49">
        <v>7452</v>
      </c>
      <c r="S7454" s="59">
        <f ca="1">Dashboard!B$8* Dashboard!$F$4+Dashboard!B$10*SQRT(Dashboard!$F$4) * _xlfn.NORM.S.INV(RAND())</f>
        <v>-3.0589363046818627E-2</v>
      </c>
      <c r="T7454" s="59">
        <f ca="1">Dashboard!C$8* Dashboard!$F$4+Dashboard!C$10*SQRT(Dashboard!$F$4) * _xlfn.NORM.S.INV(RAND())</f>
        <v>2.2634093382158139E-2</v>
      </c>
      <c r="U7454" s="59">
        <f ca="1">Dashboard!D$8* Dashboard!$F$4+Dashboard!D$10*SQRT(Dashboard!$F$4) * _xlfn.NORM.S.INV(RAND())</f>
        <v>-5.7566415848645212E-3</v>
      </c>
    </row>
    <row r="7455" spans="18:21" x14ac:dyDescent="0.2">
      <c r="R7455" s="49">
        <v>7453</v>
      </c>
      <c r="S7455" s="59">
        <f ca="1">Dashboard!B$8* Dashboard!$F$4+Dashboard!B$10*SQRT(Dashboard!$F$4) * _xlfn.NORM.S.INV(RAND())</f>
        <v>3.8858909347543012E-2</v>
      </c>
      <c r="T7455" s="59">
        <f ca="1">Dashboard!C$8* Dashboard!$F$4+Dashboard!C$10*SQRT(Dashboard!$F$4) * _xlfn.NORM.S.INV(RAND())</f>
        <v>4.9022915305415027E-3</v>
      </c>
      <c r="U7455" s="59">
        <f ca="1">Dashboard!D$8* Dashboard!$F$4+Dashboard!D$10*SQRT(Dashboard!$F$4) * _xlfn.NORM.S.INV(RAND())</f>
        <v>-3.5373356147344083E-3</v>
      </c>
    </row>
    <row r="7456" spans="18:21" x14ac:dyDescent="0.2">
      <c r="R7456" s="49">
        <v>7454</v>
      </c>
      <c r="S7456" s="59">
        <f ca="1">Dashboard!B$8* Dashboard!$F$4+Dashboard!B$10*SQRT(Dashboard!$F$4) * _xlfn.NORM.S.INV(RAND())</f>
        <v>-1.2463482160337755E-2</v>
      </c>
      <c r="T7456" s="59">
        <f ca="1">Dashboard!C$8* Dashboard!$F$4+Dashboard!C$10*SQRT(Dashboard!$F$4) * _xlfn.NORM.S.INV(RAND())</f>
        <v>-5.3838687277397795E-2</v>
      </c>
      <c r="U7456" s="59">
        <f ca="1">Dashboard!D$8* Dashboard!$F$4+Dashboard!D$10*SQRT(Dashboard!$F$4) * _xlfn.NORM.S.INV(RAND())</f>
        <v>-5.852915107197134E-2</v>
      </c>
    </row>
    <row r="7457" spans="18:21" x14ac:dyDescent="0.2">
      <c r="R7457" s="49">
        <v>7455</v>
      </c>
      <c r="S7457" s="59">
        <f ca="1">Dashboard!B$8* Dashboard!$F$4+Dashboard!B$10*SQRT(Dashboard!$F$4) * _xlfn.NORM.S.INV(RAND())</f>
        <v>-5.9970193742932408E-2</v>
      </c>
      <c r="T7457" s="59">
        <f ca="1">Dashboard!C$8* Dashboard!$F$4+Dashboard!C$10*SQRT(Dashboard!$F$4) * _xlfn.NORM.S.INV(RAND())</f>
        <v>7.4678360984063344E-2</v>
      </c>
      <c r="U7457" s="59">
        <f ca="1">Dashboard!D$8* Dashboard!$F$4+Dashboard!D$10*SQRT(Dashboard!$F$4) * _xlfn.NORM.S.INV(RAND())</f>
        <v>-8.3138261506687967E-3</v>
      </c>
    </row>
    <row r="7458" spans="18:21" x14ac:dyDescent="0.2">
      <c r="R7458" s="49">
        <v>7456</v>
      </c>
      <c r="S7458" s="59">
        <f ca="1">Dashboard!B$8* Dashboard!$F$4+Dashboard!B$10*SQRT(Dashboard!$F$4) * _xlfn.NORM.S.INV(RAND())</f>
        <v>4.6457988555425704E-3</v>
      </c>
      <c r="T7458" s="59">
        <f ca="1">Dashboard!C$8* Dashboard!$F$4+Dashboard!C$10*SQRT(Dashboard!$F$4) * _xlfn.NORM.S.INV(RAND())</f>
        <v>-1.3199560497399582E-2</v>
      </c>
      <c r="U7458" s="59">
        <f ca="1">Dashboard!D$8* Dashboard!$F$4+Dashboard!D$10*SQRT(Dashboard!$F$4) * _xlfn.NORM.S.INV(RAND())</f>
        <v>4.6567375304016632E-2</v>
      </c>
    </row>
    <row r="7459" spans="18:21" x14ac:dyDescent="0.2">
      <c r="R7459" s="49">
        <v>7457</v>
      </c>
      <c r="S7459" s="59">
        <f ca="1">Dashboard!B$8* Dashboard!$F$4+Dashboard!B$10*SQRT(Dashboard!$F$4) * _xlfn.NORM.S.INV(RAND())</f>
        <v>-3.5549497883567496E-2</v>
      </c>
      <c r="T7459" s="59">
        <f ca="1">Dashboard!C$8* Dashboard!$F$4+Dashboard!C$10*SQRT(Dashboard!$F$4) * _xlfn.NORM.S.INV(RAND())</f>
        <v>-4.472037140591645E-3</v>
      </c>
      <c r="U7459" s="59">
        <f ca="1">Dashboard!D$8* Dashboard!$F$4+Dashboard!D$10*SQRT(Dashboard!$F$4) * _xlfn.NORM.S.INV(RAND())</f>
        <v>-1.1309540978407731E-2</v>
      </c>
    </row>
    <row r="7460" spans="18:21" x14ac:dyDescent="0.2">
      <c r="R7460" s="49">
        <v>7458</v>
      </c>
      <c r="S7460" s="59">
        <f ca="1">Dashboard!B$8* Dashboard!$F$4+Dashboard!B$10*SQRT(Dashboard!$F$4) * _xlfn.NORM.S.INV(RAND())</f>
        <v>-1.8479649194197895E-2</v>
      </c>
      <c r="T7460" s="59">
        <f ca="1">Dashboard!C$8* Dashboard!$F$4+Dashboard!C$10*SQRT(Dashboard!$F$4) * _xlfn.NORM.S.INV(RAND())</f>
        <v>-8.0869259938760076E-3</v>
      </c>
      <c r="U7460" s="59">
        <f ca="1">Dashboard!D$8* Dashboard!$F$4+Dashboard!D$10*SQRT(Dashboard!$F$4) * _xlfn.NORM.S.INV(RAND())</f>
        <v>7.4887004614806983E-3</v>
      </c>
    </row>
    <row r="7461" spans="18:21" x14ac:dyDescent="0.2">
      <c r="R7461" s="49">
        <v>7459</v>
      </c>
      <c r="S7461" s="59">
        <f ca="1">Dashboard!B$8* Dashboard!$F$4+Dashboard!B$10*SQRT(Dashboard!$F$4) * _xlfn.NORM.S.INV(RAND())</f>
        <v>-2.5827642188845888E-2</v>
      </c>
      <c r="T7461" s="59">
        <f ca="1">Dashboard!C$8* Dashboard!$F$4+Dashboard!C$10*SQRT(Dashboard!$F$4) * _xlfn.NORM.S.INV(RAND())</f>
        <v>-2.7795986976460529E-2</v>
      </c>
      <c r="U7461" s="59">
        <f ca="1">Dashboard!D$8* Dashboard!$F$4+Dashboard!D$10*SQRT(Dashboard!$F$4) * _xlfn.NORM.S.INV(RAND())</f>
        <v>-8.0584835683898855E-3</v>
      </c>
    </row>
    <row r="7462" spans="18:21" x14ac:dyDescent="0.2">
      <c r="R7462" s="49">
        <v>7460</v>
      </c>
      <c r="S7462" s="59">
        <f ca="1">Dashboard!B$8* Dashboard!$F$4+Dashboard!B$10*SQRT(Dashboard!$F$4) * _xlfn.NORM.S.INV(RAND())</f>
        <v>-1.927394151515039E-2</v>
      </c>
      <c r="T7462" s="59">
        <f ca="1">Dashboard!C$8* Dashboard!$F$4+Dashboard!C$10*SQRT(Dashboard!$F$4) * _xlfn.NORM.S.INV(RAND())</f>
        <v>1.61427203408878E-2</v>
      </c>
      <c r="U7462" s="59">
        <f ca="1">Dashboard!D$8* Dashboard!$F$4+Dashboard!D$10*SQRT(Dashboard!$F$4) * _xlfn.NORM.S.INV(RAND())</f>
        <v>7.9866304049824085E-3</v>
      </c>
    </row>
    <row r="7463" spans="18:21" x14ac:dyDescent="0.2">
      <c r="R7463" s="49">
        <v>7461</v>
      </c>
      <c r="S7463" s="59">
        <f ca="1">Dashboard!B$8* Dashboard!$F$4+Dashboard!B$10*SQRT(Dashboard!$F$4) * _xlfn.NORM.S.INV(RAND())</f>
        <v>-5.783515279894208E-2</v>
      </c>
      <c r="T7463" s="59">
        <f ca="1">Dashboard!C$8* Dashboard!$F$4+Dashboard!C$10*SQRT(Dashboard!$F$4) * _xlfn.NORM.S.INV(RAND())</f>
        <v>3.0966144774768365E-2</v>
      </c>
      <c r="U7463" s="59">
        <f ca="1">Dashboard!D$8* Dashboard!$F$4+Dashboard!D$10*SQRT(Dashboard!$F$4) * _xlfn.NORM.S.INV(RAND())</f>
        <v>-1.5631588626247642E-2</v>
      </c>
    </row>
    <row r="7464" spans="18:21" x14ac:dyDescent="0.2">
      <c r="R7464" s="49">
        <v>7462</v>
      </c>
      <c r="S7464" s="59">
        <f ca="1">Dashboard!B$8* Dashboard!$F$4+Dashboard!B$10*SQRT(Dashboard!$F$4) * _xlfn.NORM.S.INV(RAND())</f>
        <v>5.5820152374684018E-3</v>
      </c>
      <c r="T7464" s="59">
        <f ca="1">Dashboard!C$8* Dashboard!$F$4+Dashboard!C$10*SQRT(Dashboard!$F$4) * _xlfn.NORM.S.INV(RAND())</f>
        <v>1.0035944788852032E-2</v>
      </c>
      <c r="U7464" s="59">
        <f ca="1">Dashboard!D$8* Dashboard!$F$4+Dashboard!D$10*SQRT(Dashboard!$F$4) * _xlfn.NORM.S.INV(RAND())</f>
        <v>4.4071396665999636E-2</v>
      </c>
    </row>
    <row r="7465" spans="18:21" x14ac:dyDescent="0.2">
      <c r="R7465" s="49">
        <v>7463</v>
      </c>
      <c r="S7465" s="59">
        <f ca="1">Dashboard!B$8* Dashboard!$F$4+Dashboard!B$10*SQRT(Dashboard!$F$4) * _xlfn.NORM.S.INV(RAND())</f>
        <v>2.8698012148026072E-2</v>
      </c>
      <c r="T7465" s="59">
        <f ca="1">Dashboard!C$8* Dashboard!$F$4+Dashboard!C$10*SQRT(Dashboard!$F$4) * _xlfn.NORM.S.INV(RAND())</f>
        <v>-3.3880437585211377E-3</v>
      </c>
      <c r="U7465" s="59">
        <f ca="1">Dashboard!D$8* Dashboard!$F$4+Dashboard!D$10*SQRT(Dashboard!$F$4) * _xlfn.NORM.S.INV(RAND())</f>
        <v>-1.2388025212619726E-2</v>
      </c>
    </row>
    <row r="7466" spans="18:21" x14ac:dyDescent="0.2">
      <c r="R7466" s="49">
        <v>7464</v>
      </c>
      <c r="S7466" s="59">
        <f ca="1">Dashboard!B$8* Dashboard!$F$4+Dashboard!B$10*SQRT(Dashboard!$F$4) * _xlfn.NORM.S.INV(RAND())</f>
        <v>1.1914236357177624E-2</v>
      </c>
      <c r="T7466" s="59">
        <f ca="1">Dashboard!C$8* Dashboard!$F$4+Dashboard!C$10*SQRT(Dashboard!$F$4) * _xlfn.NORM.S.INV(RAND())</f>
        <v>4.1491961957873406E-2</v>
      </c>
      <c r="U7466" s="59">
        <f ca="1">Dashboard!D$8* Dashboard!$F$4+Dashboard!D$10*SQRT(Dashboard!$F$4) * _xlfn.NORM.S.INV(RAND())</f>
        <v>4.1186324357776881E-2</v>
      </c>
    </row>
    <row r="7467" spans="18:21" x14ac:dyDescent="0.2">
      <c r="R7467" s="49">
        <v>7465</v>
      </c>
      <c r="S7467" s="59">
        <f ca="1">Dashboard!B$8* Dashboard!$F$4+Dashboard!B$10*SQRT(Dashboard!$F$4) * _xlfn.NORM.S.INV(RAND())</f>
        <v>-1.3024378155536854E-2</v>
      </c>
      <c r="T7467" s="59">
        <f ca="1">Dashboard!C$8* Dashboard!$F$4+Dashboard!C$10*SQRT(Dashboard!$F$4) * _xlfn.NORM.S.INV(RAND())</f>
        <v>5.1472425374659309E-3</v>
      </c>
      <c r="U7467" s="59">
        <f ca="1">Dashboard!D$8* Dashboard!$F$4+Dashboard!D$10*SQRT(Dashboard!$F$4) * _xlfn.NORM.S.INV(RAND())</f>
        <v>-5.3592713504349014E-2</v>
      </c>
    </row>
    <row r="7468" spans="18:21" x14ac:dyDescent="0.2">
      <c r="R7468" s="49">
        <v>7466</v>
      </c>
      <c r="S7468" s="59">
        <f ca="1">Dashboard!B$8* Dashboard!$F$4+Dashboard!B$10*SQRT(Dashboard!$F$4) * _xlfn.NORM.S.INV(RAND())</f>
        <v>5.8863299655510279E-2</v>
      </c>
      <c r="T7468" s="59">
        <f ca="1">Dashboard!C$8* Dashboard!$F$4+Dashboard!C$10*SQRT(Dashboard!$F$4) * _xlfn.NORM.S.INV(RAND())</f>
        <v>-8.6464036901062642E-3</v>
      </c>
      <c r="U7468" s="59">
        <f ca="1">Dashboard!D$8* Dashboard!$F$4+Dashboard!D$10*SQRT(Dashboard!$F$4) * _xlfn.NORM.S.INV(RAND())</f>
        <v>-2.393133725313187E-2</v>
      </c>
    </row>
    <row r="7469" spans="18:21" x14ac:dyDescent="0.2">
      <c r="R7469" s="49">
        <v>7467</v>
      </c>
      <c r="S7469" s="59">
        <f ca="1">Dashboard!B$8* Dashboard!$F$4+Dashboard!B$10*SQRT(Dashboard!$F$4) * _xlfn.NORM.S.INV(RAND())</f>
        <v>-3.4430902476814955E-2</v>
      </c>
      <c r="T7469" s="59">
        <f ca="1">Dashboard!C$8* Dashboard!$F$4+Dashboard!C$10*SQRT(Dashboard!$F$4) * _xlfn.NORM.S.INV(RAND())</f>
        <v>9.4145834821642536E-3</v>
      </c>
      <c r="U7469" s="59">
        <f ca="1">Dashboard!D$8* Dashboard!$F$4+Dashboard!D$10*SQRT(Dashboard!$F$4) * _xlfn.NORM.S.INV(RAND())</f>
        <v>2.8708954895213204E-2</v>
      </c>
    </row>
    <row r="7470" spans="18:21" x14ac:dyDescent="0.2">
      <c r="R7470" s="49">
        <v>7468</v>
      </c>
      <c r="S7470" s="59">
        <f ca="1">Dashboard!B$8* Dashboard!$F$4+Dashboard!B$10*SQRT(Dashboard!$F$4) * _xlfn.NORM.S.INV(RAND())</f>
        <v>1.5205200012022536E-3</v>
      </c>
      <c r="T7470" s="59">
        <f ca="1">Dashboard!C$8* Dashboard!$F$4+Dashboard!C$10*SQRT(Dashboard!$F$4) * _xlfn.NORM.S.INV(RAND())</f>
        <v>2.2653074170832389E-2</v>
      </c>
      <c r="U7470" s="59">
        <f ca="1">Dashboard!D$8* Dashboard!$F$4+Dashboard!D$10*SQRT(Dashboard!$F$4) * _xlfn.NORM.S.INV(RAND())</f>
        <v>-3.6518357492644003E-2</v>
      </c>
    </row>
    <row r="7471" spans="18:21" x14ac:dyDescent="0.2">
      <c r="R7471" s="49">
        <v>7469</v>
      </c>
      <c r="S7471" s="59">
        <f ca="1">Dashboard!B$8* Dashboard!$F$4+Dashboard!B$10*SQRT(Dashboard!$F$4) * _xlfn.NORM.S.INV(RAND())</f>
        <v>8.2487564137287816E-3</v>
      </c>
      <c r="T7471" s="59">
        <f ca="1">Dashboard!C$8* Dashboard!$F$4+Dashboard!C$10*SQRT(Dashboard!$F$4) * _xlfn.NORM.S.INV(RAND())</f>
        <v>7.1533151040721523E-4</v>
      </c>
      <c r="U7471" s="59">
        <f ca="1">Dashboard!D$8* Dashboard!$F$4+Dashboard!D$10*SQRT(Dashboard!$F$4) * _xlfn.NORM.S.INV(RAND())</f>
        <v>-1.9923941837928644E-2</v>
      </c>
    </row>
    <row r="7472" spans="18:21" x14ac:dyDescent="0.2">
      <c r="R7472" s="49">
        <v>7470</v>
      </c>
      <c r="S7472" s="59">
        <f ca="1">Dashboard!B$8* Dashboard!$F$4+Dashboard!B$10*SQRT(Dashboard!$F$4) * _xlfn.NORM.S.INV(RAND())</f>
        <v>2.6683068615064122E-2</v>
      </c>
      <c r="T7472" s="59">
        <f ca="1">Dashboard!C$8* Dashboard!$F$4+Dashboard!C$10*SQRT(Dashboard!$F$4) * _xlfn.NORM.S.INV(RAND())</f>
        <v>-1.4802805124648183E-2</v>
      </c>
      <c r="U7472" s="59">
        <f ca="1">Dashboard!D$8* Dashboard!$F$4+Dashboard!D$10*SQRT(Dashboard!$F$4) * _xlfn.NORM.S.INV(RAND())</f>
        <v>2.309794757179652E-2</v>
      </c>
    </row>
    <row r="7473" spans="18:21" x14ac:dyDescent="0.2">
      <c r="R7473" s="49">
        <v>7471</v>
      </c>
      <c r="S7473" s="59">
        <f ca="1">Dashboard!B$8* Dashboard!$F$4+Dashboard!B$10*SQRT(Dashboard!$F$4) * _xlfn.NORM.S.INV(RAND())</f>
        <v>-5.8601940544535755E-2</v>
      </c>
      <c r="T7473" s="59">
        <f ca="1">Dashboard!C$8* Dashboard!$F$4+Dashboard!C$10*SQRT(Dashboard!$F$4) * _xlfn.NORM.S.INV(RAND())</f>
        <v>9.3610388587987807E-3</v>
      </c>
      <c r="U7473" s="59">
        <f ca="1">Dashboard!D$8* Dashboard!$F$4+Dashboard!D$10*SQRT(Dashboard!$F$4) * _xlfn.NORM.S.INV(RAND())</f>
        <v>-9.7884760696834022E-3</v>
      </c>
    </row>
    <row r="7474" spans="18:21" x14ac:dyDescent="0.2">
      <c r="R7474" s="49">
        <v>7472</v>
      </c>
      <c r="S7474" s="59">
        <f ca="1">Dashboard!B$8* Dashboard!$F$4+Dashboard!B$10*SQRT(Dashboard!$F$4) * _xlfn.NORM.S.INV(RAND())</f>
        <v>9.6437875095998823E-3</v>
      </c>
      <c r="T7474" s="59">
        <f ca="1">Dashboard!C$8* Dashboard!$F$4+Dashboard!C$10*SQRT(Dashboard!$F$4) * _xlfn.NORM.S.INV(RAND())</f>
        <v>4.8312864232711326E-2</v>
      </c>
      <c r="U7474" s="59">
        <f ca="1">Dashboard!D$8* Dashboard!$F$4+Dashboard!D$10*SQRT(Dashboard!$F$4) * _xlfn.NORM.S.INV(RAND())</f>
        <v>1.2651437003886859E-2</v>
      </c>
    </row>
    <row r="7475" spans="18:21" x14ac:dyDescent="0.2">
      <c r="R7475" s="49">
        <v>7473</v>
      </c>
      <c r="S7475" s="59">
        <f ca="1">Dashboard!B$8* Dashboard!$F$4+Dashboard!B$10*SQRT(Dashboard!$F$4) * _xlfn.NORM.S.INV(RAND())</f>
        <v>1.8608170973451924E-2</v>
      </c>
      <c r="T7475" s="59">
        <f ca="1">Dashboard!C$8* Dashboard!$F$4+Dashboard!C$10*SQRT(Dashboard!$F$4) * _xlfn.NORM.S.INV(RAND())</f>
        <v>4.4668496499084144E-2</v>
      </c>
      <c r="U7475" s="59">
        <f ca="1">Dashboard!D$8* Dashboard!$F$4+Dashboard!D$10*SQRT(Dashboard!$F$4) * _xlfn.NORM.S.INV(RAND())</f>
        <v>1.0549945231205119E-2</v>
      </c>
    </row>
    <row r="7476" spans="18:21" x14ac:dyDescent="0.2">
      <c r="R7476" s="49">
        <v>7474</v>
      </c>
      <c r="S7476" s="59">
        <f ca="1">Dashboard!B$8* Dashboard!$F$4+Dashboard!B$10*SQRT(Dashboard!$F$4) * _xlfn.NORM.S.INV(RAND())</f>
        <v>8.3613814582002722E-3</v>
      </c>
      <c r="T7476" s="59">
        <f ca="1">Dashboard!C$8* Dashboard!$F$4+Dashboard!C$10*SQRT(Dashboard!$F$4) * _xlfn.NORM.S.INV(RAND())</f>
        <v>2.3837268720195943E-2</v>
      </c>
      <c r="U7476" s="59">
        <f ca="1">Dashboard!D$8* Dashboard!$F$4+Dashboard!D$10*SQRT(Dashboard!$F$4) * _xlfn.NORM.S.INV(RAND())</f>
        <v>-3.5514238715789716E-2</v>
      </c>
    </row>
    <row r="7477" spans="18:21" x14ac:dyDescent="0.2">
      <c r="R7477" s="49">
        <v>7475</v>
      </c>
      <c r="S7477" s="59">
        <f ca="1">Dashboard!B$8* Dashboard!$F$4+Dashboard!B$10*SQRT(Dashboard!$F$4) * _xlfn.NORM.S.INV(RAND())</f>
        <v>5.3684415810366613E-3</v>
      </c>
      <c r="T7477" s="59">
        <f ca="1">Dashboard!C$8* Dashboard!$F$4+Dashboard!C$10*SQRT(Dashboard!$F$4) * _xlfn.NORM.S.INV(RAND())</f>
        <v>2.0502889157454927E-2</v>
      </c>
      <c r="U7477" s="59">
        <f ca="1">Dashboard!D$8* Dashboard!$F$4+Dashboard!D$10*SQRT(Dashboard!$F$4) * _xlfn.NORM.S.INV(RAND())</f>
        <v>3.9153046415588796E-2</v>
      </c>
    </row>
    <row r="7478" spans="18:21" x14ac:dyDescent="0.2">
      <c r="R7478" s="49">
        <v>7476</v>
      </c>
      <c r="S7478" s="59">
        <f ca="1">Dashboard!B$8* Dashboard!$F$4+Dashboard!B$10*SQRT(Dashboard!$F$4) * _xlfn.NORM.S.INV(RAND())</f>
        <v>-1.3152391013806299E-2</v>
      </c>
      <c r="T7478" s="59">
        <f ca="1">Dashboard!C$8* Dashboard!$F$4+Dashboard!C$10*SQRT(Dashboard!$F$4) * _xlfn.NORM.S.INV(RAND())</f>
        <v>1.6958557469386733E-2</v>
      </c>
      <c r="U7478" s="59">
        <f ca="1">Dashboard!D$8* Dashboard!$F$4+Dashboard!D$10*SQRT(Dashboard!$F$4) * _xlfn.NORM.S.INV(RAND())</f>
        <v>2.5936723166519803E-2</v>
      </c>
    </row>
    <row r="7479" spans="18:21" x14ac:dyDescent="0.2">
      <c r="R7479" s="49">
        <v>7477</v>
      </c>
      <c r="S7479" s="59">
        <f ca="1">Dashboard!B$8* Dashboard!$F$4+Dashboard!B$10*SQRT(Dashboard!$F$4) * _xlfn.NORM.S.INV(RAND())</f>
        <v>2.7116920701427384E-2</v>
      </c>
      <c r="T7479" s="59">
        <f ca="1">Dashboard!C$8* Dashboard!$F$4+Dashboard!C$10*SQRT(Dashboard!$F$4) * _xlfn.NORM.S.INV(RAND())</f>
        <v>1.249856943404901E-2</v>
      </c>
      <c r="U7479" s="59">
        <f ca="1">Dashboard!D$8* Dashboard!$F$4+Dashboard!D$10*SQRT(Dashboard!$F$4) * _xlfn.NORM.S.INV(RAND())</f>
        <v>-2.9365403645397234E-2</v>
      </c>
    </row>
    <row r="7480" spans="18:21" x14ac:dyDescent="0.2">
      <c r="R7480" s="49">
        <v>7478</v>
      </c>
      <c r="S7480" s="59">
        <f ca="1">Dashboard!B$8* Dashboard!$F$4+Dashboard!B$10*SQRT(Dashboard!$F$4) * _xlfn.NORM.S.INV(RAND())</f>
        <v>-2.2703788879963618E-2</v>
      </c>
      <c r="T7480" s="59">
        <f ca="1">Dashboard!C$8* Dashboard!$F$4+Dashboard!C$10*SQRT(Dashboard!$F$4) * _xlfn.NORM.S.INV(RAND())</f>
        <v>-1.8601035980709266E-2</v>
      </c>
      <c r="U7480" s="59">
        <f ca="1">Dashboard!D$8* Dashboard!$F$4+Dashboard!D$10*SQRT(Dashboard!$F$4) * _xlfn.NORM.S.INV(RAND())</f>
        <v>4.8055184322274971E-2</v>
      </c>
    </row>
    <row r="7481" spans="18:21" x14ac:dyDescent="0.2">
      <c r="R7481" s="49">
        <v>7479</v>
      </c>
      <c r="S7481" s="59">
        <f ca="1">Dashboard!B$8* Dashboard!$F$4+Dashboard!B$10*SQRT(Dashboard!$F$4) * _xlfn.NORM.S.INV(RAND())</f>
        <v>-4.4196150920648688E-3</v>
      </c>
      <c r="T7481" s="59">
        <f ca="1">Dashboard!C$8* Dashboard!$F$4+Dashboard!C$10*SQRT(Dashboard!$F$4) * _xlfn.NORM.S.INV(RAND())</f>
        <v>-3.6447754925776454E-2</v>
      </c>
      <c r="U7481" s="59">
        <f ca="1">Dashboard!D$8* Dashboard!$F$4+Dashboard!D$10*SQRT(Dashboard!$F$4) * _xlfn.NORM.S.INV(RAND())</f>
        <v>-9.6065088660317148E-3</v>
      </c>
    </row>
    <row r="7482" spans="18:21" x14ac:dyDescent="0.2">
      <c r="R7482" s="49">
        <v>7480</v>
      </c>
      <c r="S7482" s="59">
        <f ca="1">Dashboard!B$8* Dashboard!$F$4+Dashboard!B$10*SQRT(Dashboard!$F$4) * _xlfn.NORM.S.INV(RAND())</f>
        <v>-3.5701496645864587E-3</v>
      </c>
      <c r="T7482" s="59">
        <f ca="1">Dashboard!C$8* Dashboard!$F$4+Dashboard!C$10*SQRT(Dashboard!$F$4) * _xlfn.NORM.S.INV(RAND())</f>
        <v>5.2799403367254756E-2</v>
      </c>
      <c r="U7482" s="59">
        <f ca="1">Dashboard!D$8* Dashboard!$F$4+Dashboard!D$10*SQRT(Dashboard!$F$4) * _xlfn.NORM.S.INV(RAND())</f>
        <v>-7.2379779204662081E-3</v>
      </c>
    </row>
    <row r="7483" spans="18:21" x14ac:dyDescent="0.2">
      <c r="R7483" s="49">
        <v>7481</v>
      </c>
      <c r="S7483" s="59">
        <f ca="1">Dashboard!B$8* Dashboard!$F$4+Dashboard!B$10*SQRT(Dashboard!$F$4) * _xlfn.NORM.S.INV(RAND())</f>
        <v>-2.5628360056112895E-2</v>
      </c>
      <c r="T7483" s="59">
        <f ca="1">Dashboard!C$8* Dashboard!$F$4+Dashboard!C$10*SQRT(Dashboard!$F$4) * _xlfn.NORM.S.INV(RAND())</f>
        <v>-1.403040435112129E-3</v>
      </c>
      <c r="U7483" s="59">
        <f ca="1">Dashboard!D$8* Dashboard!$F$4+Dashboard!D$10*SQRT(Dashboard!$F$4) * _xlfn.NORM.S.INV(RAND())</f>
        <v>3.5088018751859525E-2</v>
      </c>
    </row>
    <row r="7484" spans="18:21" x14ac:dyDescent="0.2">
      <c r="R7484" s="49">
        <v>7482</v>
      </c>
      <c r="S7484" s="59">
        <f ca="1">Dashboard!B$8* Dashboard!$F$4+Dashboard!B$10*SQRT(Dashboard!$F$4) * _xlfn.NORM.S.INV(RAND())</f>
        <v>-5.5917864290002131E-2</v>
      </c>
      <c r="T7484" s="59">
        <f ca="1">Dashboard!C$8* Dashboard!$F$4+Dashboard!C$10*SQRT(Dashboard!$F$4) * _xlfn.NORM.S.INV(RAND())</f>
        <v>2.4464455231716167E-2</v>
      </c>
      <c r="U7484" s="59">
        <f ca="1">Dashboard!D$8* Dashboard!$F$4+Dashboard!D$10*SQRT(Dashboard!$F$4) * _xlfn.NORM.S.INV(RAND())</f>
        <v>3.6125155566939661E-2</v>
      </c>
    </row>
    <row r="7485" spans="18:21" x14ac:dyDescent="0.2">
      <c r="R7485" s="49">
        <v>7483</v>
      </c>
      <c r="S7485" s="59">
        <f ca="1">Dashboard!B$8* Dashboard!$F$4+Dashboard!B$10*SQRT(Dashboard!$F$4) * _xlfn.NORM.S.INV(RAND())</f>
        <v>2.3506021202591695E-2</v>
      </c>
      <c r="T7485" s="59">
        <f ca="1">Dashboard!C$8* Dashboard!$F$4+Dashboard!C$10*SQRT(Dashboard!$F$4) * _xlfn.NORM.S.INV(RAND())</f>
        <v>8.4835206056315029E-3</v>
      </c>
      <c r="U7485" s="59">
        <f ca="1">Dashboard!D$8* Dashboard!$F$4+Dashboard!D$10*SQRT(Dashboard!$F$4) * _xlfn.NORM.S.INV(RAND())</f>
        <v>1.2062823578176776E-2</v>
      </c>
    </row>
    <row r="7486" spans="18:21" x14ac:dyDescent="0.2">
      <c r="R7486" s="49">
        <v>7484</v>
      </c>
      <c r="S7486" s="59">
        <f ca="1">Dashboard!B$8* Dashboard!$F$4+Dashboard!B$10*SQRT(Dashboard!$F$4) * _xlfn.NORM.S.INV(RAND())</f>
        <v>1.0884992071001466E-3</v>
      </c>
      <c r="T7486" s="59">
        <f ca="1">Dashboard!C$8* Dashboard!$F$4+Dashboard!C$10*SQRT(Dashboard!$F$4) * _xlfn.NORM.S.INV(RAND())</f>
        <v>4.1653048936838313E-2</v>
      </c>
      <c r="U7486" s="59">
        <f ca="1">Dashboard!D$8* Dashboard!$F$4+Dashboard!D$10*SQRT(Dashboard!$F$4) * _xlfn.NORM.S.INV(RAND())</f>
        <v>-2.597693789403711E-2</v>
      </c>
    </row>
    <row r="7487" spans="18:21" x14ac:dyDescent="0.2">
      <c r="R7487" s="49">
        <v>7485</v>
      </c>
      <c r="S7487" s="59">
        <f ca="1">Dashboard!B$8* Dashboard!$F$4+Dashboard!B$10*SQRT(Dashboard!$F$4) * _xlfn.NORM.S.INV(RAND())</f>
        <v>2.4914406121032427E-2</v>
      </c>
      <c r="T7487" s="59">
        <f ca="1">Dashboard!C$8* Dashboard!$F$4+Dashboard!C$10*SQRT(Dashboard!$F$4) * _xlfn.NORM.S.INV(RAND())</f>
        <v>-8.6334988999450177E-3</v>
      </c>
      <c r="U7487" s="59">
        <f ca="1">Dashboard!D$8* Dashboard!$F$4+Dashboard!D$10*SQRT(Dashboard!$F$4) * _xlfn.NORM.S.INV(RAND())</f>
        <v>3.9005791229535909E-2</v>
      </c>
    </row>
    <row r="7488" spans="18:21" x14ac:dyDescent="0.2">
      <c r="R7488" s="49">
        <v>7486</v>
      </c>
      <c r="S7488" s="59">
        <f ca="1">Dashboard!B$8* Dashboard!$F$4+Dashboard!B$10*SQRT(Dashboard!$F$4) * _xlfn.NORM.S.INV(RAND())</f>
        <v>3.1642913381054308E-2</v>
      </c>
      <c r="T7488" s="59">
        <f ca="1">Dashboard!C$8* Dashboard!$F$4+Dashboard!C$10*SQRT(Dashboard!$F$4) * _xlfn.NORM.S.INV(RAND())</f>
        <v>4.5005591251205887E-3</v>
      </c>
      <c r="U7488" s="59">
        <f ca="1">Dashboard!D$8* Dashboard!$F$4+Dashboard!D$10*SQRT(Dashboard!$F$4) * _xlfn.NORM.S.INV(RAND())</f>
        <v>1.1977136442255884E-2</v>
      </c>
    </row>
    <row r="7489" spans="18:21" x14ac:dyDescent="0.2">
      <c r="R7489" s="49">
        <v>7487</v>
      </c>
      <c r="S7489" s="59">
        <f ca="1">Dashboard!B$8* Dashboard!$F$4+Dashboard!B$10*SQRT(Dashboard!$F$4) * _xlfn.NORM.S.INV(RAND())</f>
        <v>-3.9347639365923108E-2</v>
      </c>
      <c r="T7489" s="59">
        <f ca="1">Dashboard!C$8* Dashboard!$F$4+Dashboard!C$10*SQRT(Dashboard!$F$4) * _xlfn.NORM.S.INV(RAND())</f>
        <v>6.3210460978817579E-2</v>
      </c>
      <c r="U7489" s="59">
        <f ca="1">Dashboard!D$8* Dashboard!$F$4+Dashboard!D$10*SQRT(Dashboard!$F$4) * _xlfn.NORM.S.INV(RAND())</f>
        <v>-2.4559862607595614E-2</v>
      </c>
    </row>
    <row r="7490" spans="18:21" x14ac:dyDescent="0.2">
      <c r="R7490" s="49">
        <v>7488</v>
      </c>
      <c r="S7490" s="59">
        <f ca="1">Dashboard!B$8* Dashboard!$F$4+Dashboard!B$10*SQRT(Dashboard!$F$4) * _xlfn.NORM.S.INV(RAND())</f>
        <v>8.0371416915826624E-2</v>
      </c>
      <c r="T7490" s="59">
        <f ca="1">Dashboard!C$8* Dashboard!$F$4+Dashboard!C$10*SQRT(Dashboard!$F$4) * _xlfn.NORM.S.INV(RAND())</f>
        <v>9.8058438479984855E-3</v>
      </c>
      <c r="U7490" s="59">
        <f ca="1">Dashboard!D$8* Dashboard!$F$4+Dashboard!D$10*SQRT(Dashboard!$F$4) * _xlfn.NORM.S.INV(RAND())</f>
        <v>-6.660483099115112E-4</v>
      </c>
    </row>
    <row r="7491" spans="18:21" x14ac:dyDescent="0.2">
      <c r="R7491" s="49">
        <v>7489</v>
      </c>
      <c r="S7491" s="59">
        <f ca="1">Dashboard!B$8* Dashboard!$F$4+Dashboard!B$10*SQRT(Dashboard!$F$4) * _xlfn.NORM.S.INV(RAND())</f>
        <v>1.4997598003590936E-2</v>
      </c>
      <c r="T7491" s="59">
        <f ca="1">Dashboard!C$8* Dashboard!$F$4+Dashboard!C$10*SQRT(Dashboard!$F$4) * _xlfn.NORM.S.INV(RAND())</f>
        <v>6.3627120482512692E-2</v>
      </c>
      <c r="U7491" s="59">
        <f ca="1">Dashboard!D$8* Dashboard!$F$4+Dashboard!D$10*SQRT(Dashboard!$F$4) * _xlfn.NORM.S.INV(RAND())</f>
        <v>-2.1792021608487974E-2</v>
      </c>
    </row>
    <row r="7492" spans="18:21" x14ac:dyDescent="0.2">
      <c r="R7492" s="49">
        <v>7490</v>
      </c>
      <c r="S7492" s="59">
        <f ca="1">Dashboard!B$8* Dashboard!$F$4+Dashboard!B$10*SQRT(Dashboard!$F$4) * _xlfn.NORM.S.INV(RAND())</f>
        <v>4.3864746071847628E-2</v>
      </c>
      <c r="T7492" s="59">
        <f ca="1">Dashboard!C$8* Dashboard!$F$4+Dashboard!C$10*SQRT(Dashboard!$F$4) * _xlfn.NORM.S.INV(RAND())</f>
        <v>1.2772549351310013E-2</v>
      </c>
      <c r="U7492" s="59">
        <f ca="1">Dashboard!D$8* Dashboard!$F$4+Dashboard!D$10*SQRT(Dashboard!$F$4) * _xlfn.NORM.S.INV(RAND())</f>
        <v>3.1553656030174439E-2</v>
      </c>
    </row>
    <row r="7493" spans="18:21" x14ac:dyDescent="0.2">
      <c r="R7493" s="49">
        <v>7491</v>
      </c>
      <c r="S7493" s="59">
        <f ca="1">Dashboard!B$8* Dashboard!$F$4+Dashboard!B$10*SQRT(Dashboard!$F$4) * _xlfn.NORM.S.INV(RAND())</f>
        <v>-1.3152812331391775E-2</v>
      </c>
      <c r="T7493" s="59">
        <f ca="1">Dashboard!C$8* Dashboard!$F$4+Dashboard!C$10*SQRT(Dashboard!$F$4) * _xlfn.NORM.S.INV(RAND())</f>
        <v>9.087707033456037E-3</v>
      </c>
      <c r="U7493" s="59">
        <f ca="1">Dashboard!D$8* Dashboard!$F$4+Dashboard!D$10*SQRT(Dashboard!$F$4) * _xlfn.NORM.S.INV(RAND())</f>
        <v>-1.1123208969210123E-2</v>
      </c>
    </row>
    <row r="7494" spans="18:21" x14ac:dyDescent="0.2">
      <c r="R7494" s="49">
        <v>7492</v>
      </c>
      <c r="S7494" s="59">
        <f ca="1">Dashboard!B$8* Dashboard!$F$4+Dashboard!B$10*SQRT(Dashboard!$F$4) * _xlfn.NORM.S.INV(RAND())</f>
        <v>-4.5442738873035848E-2</v>
      </c>
      <c r="T7494" s="59">
        <f ca="1">Dashboard!C$8* Dashboard!$F$4+Dashboard!C$10*SQRT(Dashboard!$F$4) * _xlfn.NORM.S.INV(RAND())</f>
        <v>3.5571544489147733E-2</v>
      </c>
      <c r="U7494" s="59">
        <f ca="1">Dashboard!D$8* Dashboard!$F$4+Dashboard!D$10*SQRT(Dashboard!$F$4) * _xlfn.NORM.S.INV(RAND())</f>
        <v>-3.1997488596951444E-2</v>
      </c>
    </row>
    <row r="7495" spans="18:21" x14ac:dyDescent="0.2">
      <c r="R7495" s="49">
        <v>7493</v>
      </c>
      <c r="S7495" s="59">
        <f ca="1">Dashboard!B$8* Dashboard!$F$4+Dashboard!B$10*SQRT(Dashboard!$F$4) * _xlfn.NORM.S.INV(RAND())</f>
        <v>-3.7003466850186587E-2</v>
      </c>
      <c r="T7495" s="59">
        <f ca="1">Dashboard!C$8* Dashboard!$F$4+Dashboard!C$10*SQRT(Dashboard!$F$4) * _xlfn.NORM.S.INV(RAND())</f>
        <v>-6.701932031166441E-2</v>
      </c>
      <c r="U7495" s="59">
        <f ca="1">Dashboard!D$8* Dashboard!$F$4+Dashboard!D$10*SQRT(Dashboard!$F$4) * _xlfn.NORM.S.INV(RAND())</f>
        <v>-2.7048055151717706E-2</v>
      </c>
    </row>
    <row r="7496" spans="18:21" x14ac:dyDescent="0.2">
      <c r="R7496" s="49">
        <v>7494</v>
      </c>
      <c r="S7496" s="59">
        <f ca="1">Dashboard!B$8* Dashboard!$F$4+Dashboard!B$10*SQRT(Dashboard!$F$4) * _xlfn.NORM.S.INV(RAND())</f>
        <v>1.566389618928769E-3</v>
      </c>
      <c r="T7496" s="59">
        <f ca="1">Dashboard!C$8* Dashboard!$F$4+Dashboard!C$10*SQRT(Dashboard!$F$4) * _xlfn.NORM.S.INV(RAND())</f>
        <v>2.6879703022087378E-2</v>
      </c>
      <c r="U7496" s="59">
        <f ca="1">Dashboard!D$8* Dashboard!$F$4+Dashboard!D$10*SQRT(Dashboard!$F$4) * _xlfn.NORM.S.INV(RAND())</f>
        <v>-1.6845860915410873E-2</v>
      </c>
    </row>
    <row r="7497" spans="18:21" x14ac:dyDescent="0.2">
      <c r="R7497" s="49">
        <v>7495</v>
      </c>
      <c r="S7497" s="59">
        <f ca="1">Dashboard!B$8* Dashboard!$F$4+Dashboard!B$10*SQRT(Dashboard!$F$4) * _xlfn.NORM.S.INV(RAND())</f>
        <v>3.4921899021931546E-2</v>
      </c>
      <c r="T7497" s="59">
        <f ca="1">Dashboard!C$8* Dashboard!$F$4+Dashboard!C$10*SQRT(Dashboard!$F$4) * _xlfn.NORM.S.INV(RAND())</f>
        <v>-2.0325200496822116E-2</v>
      </c>
      <c r="U7497" s="59">
        <f ca="1">Dashboard!D$8* Dashboard!$F$4+Dashboard!D$10*SQRT(Dashboard!$F$4) * _xlfn.NORM.S.INV(RAND())</f>
        <v>3.6787315064657454E-2</v>
      </c>
    </row>
    <row r="7498" spans="18:21" x14ac:dyDescent="0.2">
      <c r="R7498" s="49">
        <v>7496</v>
      </c>
      <c r="S7498" s="59">
        <f ca="1">Dashboard!B$8* Dashboard!$F$4+Dashboard!B$10*SQRT(Dashboard!$F$4) * _xlfn.NORM.S.INV(RAND())</f>
        <v>-5.3561691027863213E-2</v>
      </c>
      <c r="T7498" s="59">
        <f ca="1">Dashboard!C$8* Dashboard!$F$4+Dashboard!C$10*SQRT(Dashboard!$F$4) * _xlfn.NORM.S.INV(RAND())</f>
        <v>-1.980881181328762E-2</v>
      </c>
      <c r="U7498" s="59">
        <f ca="1">Dashboard!D$8* Dashboard!$F$4+Dashboard!D$10*SQRT(Dashboard!$F$4) * _xlfn.NORM.S.INV(RAND())</f>
        <v>1.0174244165514136E-2</v>
      </c>
    </row>
    <row r="7499" spans="18:21" x14ac:dyDescent="0.2">
      <c r="R7499" s="49">
        <v>7497</v>
      </c>
      <c r="S7499" s="59">
        <f ca="1">Dashboard!B$8* Dashboard!$F$4+Dashboard!B$10*SQRT(Dashboard!$F$4) * _xlfn.NORM.S.INV(RAND())</f>
        <v>-1.3024002620452202E-2</v>
      </c>
      <c r="T7499" s="59">
        <f ca="1">Dashboard!C$8* Dashboard!$F$4+Dashboard!C$10*SQRT(Dashboard!$F$4) * _xlfn.NORM.S.INV(RAND())</f>
        <v>-2.4675854690813168E-2</v>
      </c>
      <c r="U7499" s="59">
        <f ca="1">Dashboard!D$8* Dashboard!$F$4+Dashboard!D$10*SQRT(Dashboard!$F$4) * _xlfn.NORM.S.INV(RAND())</f>
        <v>-2.2060443068675016E-2</v>
      </c>
    </row>
    <row r="7500" spans="18:21" x14ac:dyDescent="0.2">
      <c r="R7500" s="49">
        <v>7498</v>
      </c>
      <c r="S7500" s="59">
        <f ca="1">Dashboard!B$8* Dashboard!$F$4+Dashboard!B$10*SQRT(Dashboard!$F$4) * _xlfn.NORM.S.INV(RAND())</f>
        <v>-1.2690078323110534E-2</v>
      </c>
      <c r="T7500" s="59">
        <f ca="1">Dashboard!C$8* Dashboard!$F$4+Dashboard!C$10*SQRT(Dashboard!$F$4) * _xlfn.NORM.S.INV(RAND())</f>
        <v>1.5748073923942769E-3</v>
      </c>
      <c r="U7500" s="59">
        <f ca="1">Dashboard!D$8* Dashboard!$F$4+Dashboard!D$10*SQRT(Dashboard!$F$4) * _xlfn.NORM.S.INV(RAND())</f>
        <v>1.9698976130742271E-2</v>
      </c>
    </row>
    <row r="7501" spans="18:21" x14ac:dyDescent="0.2">
      <c r="R7501" s="49">
        <v>7499</v>
      </c>
      <c r="S7501" s="59">
        <f ca="1">Dashboard!B$8* Dashboard!$F$4+Dashboard!B$10*SQRT(Dashboard!$F$4) * _xlfn.NORM.S.INV(RAND())</f>
        <v>4.9439293217244738E-2</v>
      </c>
      <c r="T7501" s="59">
        <f ca="1">Dashboard!C$8* Dashboard!$F$4+Dashboard!C$10*SQRT(Dashboard!$F$4) * _xlfn.NORM.S.INV(RAND())</f>
        <v>2.8678275727346152E-2</v>
      </c>
      <c r="U7501" s="59">
        <f ca="1">Dashboard!D$8* Dashboard!$F$4+Dashboard!D$10*SQRT(Dashboard!$F$4) * _xlfn.NORM.S.INV(RAND())</f>
        <v>-2.4552092271266673E-2</v>
      </c>
    </row>
    <row r="7502" spans="18:21" x14ac:dyDescent="0.2">
      <c r="R7502" s="49">
        <v>7500</v>
      </c>
      <c r="S7502" s="59">
        <f ca="1">Dashboard!B$8* Dashboard!$F$4+Dashboard!B$10*SQRT(Dashboard!$F$4) * _xlfn.NORM.S.INV(RAND())</f>
        <v>-2.2502218087351103E-2</v>
      </c>
      <c r="T7502" s="59">
        <f ca="1">Dashboard!C$8* Dashboard!$F$4+Dashboard!C$10*SQRT(Dashboard!$F$4) * _xlfn.NORM.S.INV(RAND())</f>
        <v>1.4689107595519484E-2</v>
      </c>
      <c r="U7502" s="59">
        <f ca="1">Dashboard!D$8* Dashboard!$F$4+Dashboard!D$10*SQRT(Dashboard!$F$4) * _xlfn.NORM.S.INV(RAND())</f>
        <v>-3.7384983275675987E-3</v>
      </c>
    </row>
    <row r="7503" spans="18:21" x14ac:dyDescent="0.2">
      <c r="R7503" s="49">
        <v>7501</v>
      </c>
      <c r="S7503" s="59">
        <f ca="1">Dashboard!B$8* Dashboard!$F$4+Dashboard!B$10*SQRT(Dashboard!$F$4) * _xlfn.NORM.S.INV(RAND())</f>
        <v>-9.6535874813960948E-3</v>
      </c>
      <c r="T7503" s="59">
        <f ca="1">Dashboard!C$8* Dashboard!$F$4+Dashboard!C$10*SQRT(Dashboard!$F$4) * _xlfn.NORM.S.INV(RAND())</f>
        <v>2.7725865945058978E-2</v>
      </c>
      <c r="U7503" s="59">
        <f ca="1">Dashboard!D$8* Dashboard!$F$4+Dashboard!D$10*SQRT(Dashboard!$F$4) * _xlfn.NORM.S.INV(RAND())</f>
        <v>-2.6509424392111763E-2</v>
      </c>
    </row>
    <row r="7504" spans="18:21" x14ac:dyDescent="0.2">
      <c r="R7504" s="49">
        <v>7502</v>
      </c>
      <c r="S7504" s="59">
        <f ca="1">Dashboard!B$8* Dashboard!$F$4+Dashboard!B$10*SQRT(Dashboard!$F$4) * _xlfn.NORM.S.INV(RAND())</f>
        <v>-3.1564158313835439E-2</v>
      </c>
      <c r="T7504" s="59">
        <f ca="1">Dashboard!C$8* Dashboard!$F$4+Dashboard!C$10*SQRT(Dashboard!$F$4) * _xlfn.NORM.S.INV(RAND())</f>
        <v>1.2150214821071512E-2</v>
      </c>
      <c r="U7504" s="59">
        <f ca="1">Dashboard!D$8* Dashboard!$F$4+Dashboard!D$10*SQRT(Dashboard!$F$4) * _xlfn.NORM.S.INV(RAND())</f>
        <v>-5.0444867335741286E-2</v>
      </c>
    </row>
    <row r="7505" spans="18:21" x14ac:dyDescent="0.2">
      <c r="R7505" s="49">
        <v>7503</v>
      </c>
      <c r="S7505" s="59">
        <f ca="1">Dashboard!B$8* Dashboard!$F$4+Dashboard!B$10*SQRT(Dashboard!$F$4) * _xlfn.NORM.S.INV(RAND())</f>
        <v>-1.9731358729350622E-2</v>
      </c>
      <c r="T7505" s="59">
        <f ca="1">Dashboard!C$8* Dashboard!$F$4+Dashboard!C$10*SQRT(Dashboard!$F$4) * _xlfn.NORM.S.INV(RAND())</f>
        <v>6.6237136743973607E-2</v>
      </c>
      <c r="U7505" s="59">
        <f ca="1">Dashboard!D$8* Dashboard!$F$4+Dashboard!D$10*SQRT(Dashboard!$F$4) * _xlfn.NORM.S.INV(RAND())</f>
        <v>2.0382779924916741E-2</v>
      </c>
    </row>
    <row r="7506" spans="18:21" x14ac:dyDescent="0.2">
      <c r="R7506" s="49">
        <v>7504</v>
      </c>
      <c r="S7506" s="59">
        <f ca="1">Dashboard!B$8* Dashboard!$F$4+Dashboard!B$10*SQRT(Dashboard!$F$4) * _xlfn.NORM.S.INV(RAND())</f>
        <v>1.8914916582035465E-2</v>
      </c>
      <c r="T7506" s="59">
        <f ca="1">Dashboard!C$8* Dashboard!$F$4+Dashboard!C$10*SQRT(Dashboard!$F$4) * _xlfn.NORM.S.INV(RAND())</f>
        <v>-6.3666172987253106E-2</v>
      </c>
      <c r="U7506" s="59">
        <f ca="1">Dashboard!D$8* Dashboard!$F$4+Dashboard!D$10*SQRT(Dashboard!$F$4) * _xlfn.NORM.S.INV(RAND())</f>
        <v>-2.6139257982044625E-2</v>
      </c>
    </row>
    <row r="7507" spans="18:21" x14ac:dyDescent="0.2">
      <c r="R7507" s="49">
        <v>7505</v>
      </c>
      <c r="S7507" s="59">
        <f ca="1">Dashboard!B$8* Dashboard!$F$4+Dashboard!B$10*SQRT(Dashboard!$F$4) * _xlfn.NORM.S.INV(RAND())</f>
        <v>5.0747281500356185E-2</v>
      </c>
      <c r="T7507" s="59">
        <f ca="1">Dashboard!C$8* Dashboard!$F$4+Dashboard!C$10*SQRT(Dashboard!$F$4) * _xlfn.NORM.S.INV(RAND())</f>
        <v>1.7952906943357234E-2</v>
      </c>
      <c r="U7507" s="59">
        <f ca="1">Dashboard!D$8* Dashboard!$F$4+Dashboard!D$10*SQRT(Dashboard!$F$4) * _xlfn.NORM.S.INV(RAND())</f>
        <v>-4.3487866170033994E-2</v>
      </c>
    </row>
    <row r="7508" spans="18:21" x14ac:dyDescent="0.2">
      <c r="R7508" s="49">
        <v>7506</v>
      </c>
      <c r="S7508" s="59">
        <f ca="1">Dashboard!B$8* Dashboard!$F$4+Dashboard!B$10*SQRT(Dashboard!$F$4) * _xlfn.NORM.S.INV(RAND())</f>
        <v>1.7329255002070873E-2</v>
      </c>
      <c r="T7508" s="59">
        <f ca="1">Dashboard!C$8* Dashboard!$F$4+Dashboard!C$10*SQRT(Dashboard!$F$4) * _xlfn.NORM.S.INV(RAND())</f>
        <v>-5.0096070987838123E-2</v>
      </c>
      <c r="U7508" s="59">
        <f ca="1">Dashboard!D$8* Dashboard!$F$4+Dashboard!D$10*SQRT(Dashboard!$F$4) * _xlfn.NORM.S.INV(RAND())</f>
        <v>7.6303608378393268E-5</v>
      </c>
    </row>
    <row r="7509" spans="18:21" x14ac:dyDescent="0.2">
      <c r="R7509" s="49">
        <v>7507</v>
      </c>
      <c r="S7509" s="59">
        <f ca="1">Dashboard!B$8* Dashboard!$F$4+Dashboard!B$10*SQRT(Dashboard!$F$4) * _xlfn.NORM.S.INV(RAND())</f>
        <v>-4.2415248594886025E-2</v>
      </c>
      <c r="T7509" s="59">
        <f ca="1">Dashboard!C$8* Dashboard!$F$4+Dashboard!C$10*SQRT(Dashboard!$F$4) * _xlfn.NORM.S.INV(RAND())</f>
        <v>-5.2145048138837816E-2</v>
      </c>
      <c r="U7509" s="59">
        <f ca="1">Dashboard!D$8* Dashboard!$F$4+Dashboard!D$10*SQRT(Dashboard!$F$4) * _xlfn.NORM.S.INV(RAND())</f>
        <v>-2.6183293550947222E-2</v>
      </c>
    </row>
    <row r="7510" spans="18:21" x14ac:dyDescent="0.2">
      <c r="R7510" s="49">
        <v>7508</v>
      </c>
      <c r="S7510" s="59">
        <f ca="1">Dashboard!B$8* Dashboard!$F$4+Dashboard!B$10*SQRT(Dashboard!$F$4) * _xlfn.NORM.S.INV(RAND())</f>
        <v>-6.352418123945637E-3</v>
      </c>
      <c r="T7510" s="59">
        <f ca="1">Dashboard!C$8* Dashboard!$F$4+Dashboard!C$10*SQRT(Dashboard!$F$4) * _xlfn.NORM.S.INV(RAND())</f>
        <v>-1.0442204626771104E-2</v>
      </c>
      <c r="U7510" s="59">
        <f ca="1">Dashboard!D$8* Dashboard!$F$4+Dashboard!D$10*SQRT(Dashboard!$F$4) * _xlfn.NORM.S.INV(RAND())</f>
        <v>4.3322671381890989E-3</v>
      </c>
    </row>
    <row r="7511" spans="18:21" x14ac:dyDescent="0.2">
      <c r="R7511" s="49">
        <v>7509</v>
      </c>
      <c r="S7511" s="59">
        <f ca="1">Dashboard!B$8* Dashboard!$F$4+Dashboard!B$10*SQRT(Dashboard!$F$4) * _xlfn.NORM.S.INV(RAND())</f>
        <v>2.5534495465338009E-2</v>
      </c>
      <c r="T7511" s="59">
        <f ca="1">Dashboard!C$8* Dashboard!$F$4+Dashboard!C$10*SQRT(Dashboard!$F$4) * _xlfn.NORM.S.INV(RAND())</f>
        <v>-2.155051397029412E-2</v>
      </c>
      <c r="U7511" s="59">
        <f ca="1">Dashboard!D$8* Dashboard!$F$4+Dashboard!D$10*SQRT(Dashboard!$F$4) * _xlfn.NORM.S.INV(RAND())</f>
        <v>-2.4897693208973309E-2</v>
      </c>
    </row>
    <row r="7512" spans="18:21" x14ac:dyDescent="0.2">
      <c r="R7512" s="49">
        <v>7510</v>
      </c>
      <c r="S7512" s="59">
        <f ca="1">Dashboard!B$8* Dashboard!$F$4+Dashboard!B$10*SQRT(Dashboard!$F$4) * _xlfn.NORM.S.INV(RAND())</f>
        <v>7.4615800280547744E-3</v>
      </c>
      <c r="T7512" s="59">
        <f ca="1">Dashboard!C$8* Dashboard!$F$4+Dashboard!C$10*SQRT(Dashboard!$F$4) * _xlfn.NORM.S.INV(RAND())</f>
        <v>-2.3937023720019313E-2</v>
      </c>
      <c r="U7512" s="59">
        <f ca="1">Dashboard!D$8* Dashboard!$F$4+Dashboard!D$10*SQRT(Dashboard!$F$4) * _xlfn.NORM.S.INV(RAND())</f>
        <v>-6.628963892867947E-3</v>
      </c>
    </row>
    <row r="7513" spans="18:21" x14ac:dyDescent="0.2">
      <c r="R7513" s="49">
        <v>7511</v>
      </c>
      <c r="S7513" s="59">
        <f ca="1">Dashboard!B$8* Dashboard!$F$4+Dashboard!B$10*SQRT(Dashboard!$F$4) * _xlfn.NORM.S.INV(RAND())</f>
        <v>-2.2816505883838975E-2</v>
      </c>
      <c r="T7513" s="59">
        <f ca="1">Dashboard!C$8* Dashboard!$F$4+Dashboard!C$10*SQRT(Dashboard!$F$4) * _xlfn.NORM.S.INV(RAND())</f>
        <v>-6.5357650344374185E-2</v>
      </c>
      <c r="U7513" s="59">
        <f ca="1">Dashboard!D$8* Dashboard!$F$4+Dashboard!D$10*SQRT(Dashboard!$F$4) * _xlfn.NORM.S.INV(RAND())</f>
        <v>1.6419379667282769E-2</v>
      </c>
    </row>
    <row r="7514" spans="18:21" x14ac:dyDescent="0.2">
      <c r="R7514" s="49">
        <v>7512</v>
      </c>
      <c r="S7514" s="59">
        <f ca="1">Dashboard!B$8* Dashboard!$F$4+Dashboard!B$10*SQRT(Dashboard!$F$4) * _xlfn.NORM.S.INV(RAND())</f>
        <v>-8.1978942844304105E-4</v>
      </c>
      <c r="T7514" s="59">
        <f ca="1">Dashboard!C$8* Dashboard!$F$4+Dashboard!C$10*SQRT(Dashboard!$F$4) * _xlfn.NORM.S.INV(RAND())</f>
        <v>2.6120353458337794E-2</v>
      </c>
      <c r="U7514" s="59">
        <f ca="1">Dashboard!D$8* Dashboard!$F$4+Dashboard!D$10*SQRT(Dashboard!$F$4) * _xlfn.NORM.S.INV(RAND())</f>
        <v>-1.990334742281865E-4</v>
      </c>
    </row>
    <row r="7515" spans="18:21" x14ac:dyDescent="0.2">
      <c r="R7515" s="49">
        <v>7513</v>
      </c>
      <c r="S7515" s="59">
        <f ca="1">Dashboard!B$8* Dashboard!$F$4+Dashboard!B$10*SQRT(Dashboard!$F$4) * _xlfn.NORM.S.INV(RAND())</f>
        <v>-3.8038516029974087E-2</v>
      </c>
      <c r="T7515" s="59">
        <f ca="1">Dashboard!C$8* Dashboard!$F$4+Dashboard!C$10*SQRT(Dashboard!$F$4) * _xlfn.NORM.S.INV(RAND())</f>
        <v>-6.6114716762950942E-2</v>
      </c>
      <c r="U7515" s="59">
        <f ca="1">Dashboard!D$8* Dashboard!$F$4+Dashboard!D$10*SQRT(Dashboard!$F$4) * _xlfn.NORM.S.INV(RAND())</f>
        <v>3.8292051762446953E-2</v>
      </c>
    </row>
    <row r="7516" spans="18:21" x14ac:dyDescent="0.2">
      <c r="R7516" s="49">
        <v>7514</v>
      </c>
      <c r="S7516" s="59">
        <f ca="1">Dashboard!B$8* Dashboard!$F$4+Dashboard!B$10*SQRT(Dashboard!$F$4) * _xlfn.NORM.S.INV(RAND())</f>
        <v>-3.4098966023452561E-2</v>
      </c>
      <c r="T7516" s="59">
        <f ca="1">Dashboard!C$8* Dashboard!$F$4+Dashboard!C$10*SQRT(Dashboard!$F$4) * _xlfn.NORM.S.INV(RAND())</f>
        <v>8.4188795653791816E-3</v>
      </c>
      <c r="U7516" s="59">
        <f ca="1">Dashboard!D$8* Dashboard!$F$4+Dashboard!D$10*SQRT(Dashboard!$F$4) * _xlfn.NORM.S.INV(RAND())</f>
        <v>-2.0686775133115128E-3</v>
      </c>
    </row>
    <row r="7517" spans="18:21" x14ac:dyDescent="0.2">
      <c r="R7517" s="49">
        <v>7515</v>
      </c>
      <c r="S7517" s="59">
        <f ca="1">Dashboard!B$8* Dashboard!$F$4+Dashboard!B$10*SQRT(Dashboard!$F$4) * _xlfn.NORM.S.INV(RAND())</f>
        <v>8.0083864419587623E-3</v>
      </c>
      <c r="T7517" s="59">
        <f ca="1">Dashboard!C$8* Dashboard!$F$4+Dashboard!C$10*SQRT(Dashboard!$F$4) * _xlfn.NORM.S.INV(RAND())</f>
        <v>3.2476429765691617E-3</v>
      </c>
      <c r="U7517" s="59">
        <f ca="1">Dashboard!D$8* Dashboard!$F$4+Dashboard!D$10*SQRT(Dashboard!$F$4) * _xlfn.NORM.S.INV(RAND())</f>
        <v>2.3063036537205994E-2</v>
      </c>
    </row>
    <row r="7518" spans="18:21" x14ac:dyDescent="0.2">
      <c r="R7518" s="49">
        <v>7516</v>
      </c>
      <c r="S7518" s="59">
        <f ca="1">Dashboard!B$8* Dashboard!$F$4+Dashboard!B$10*SQRT(Dashboard!$F$4) * _xlfn.NORM.S.INV(RAND())</f>
        <v>3.2580951248792615E-2</v>
      </c>
      <c r="T7518" s="59">
        <f ca="1">Dashboard!C$8* Dashboard!$F$4+Dashboard!C$10*SQRT(Dashboard!$F$4) * _xlfn.NORM.S.INV(RAND())</f>
        <v>3.9778923264229112E-2</v>
      </c>
      <c r="U7518" s="59">
        <f ca="1">Dashboard!D$8* Dashboard!$F$4+Dashboard!D$10*SQRT(Dashboard!$F$4) * _xlfn.NORM.S.INV(RAND())</f>
        <v>-1.7640797309529648E-2</v>
      </c>
    </row>
    <row r="7519" spans="18:21" x14ac:dyDescent="0.2">
      <c r="R7519" s="49">
        <v>7517</v>
      </c>
      <c r="S7519" s="59">
        <f ca="1">Dashboard!B$8* Dashboard!$F$4+Dashboard!B$10*SQRT(Dashboard!$F$4) * _xlfn.NORM.S.INV(RAND())</f>
        <v>-1.5184870277576555E-2</v>
      </c>
      <c r="T7519" s="59">
        <f ca="1">Dashboard!C$8* Dashboard!$F$4+Dashboard!C$10*SQRT(Dashboard!$F$4) * _xlfn.NORM.S.INV(RAND())</f>
        <v>-2.9536818300948311E-2</v>
      </c>
      <c r="U7519" s="59">
        <f ca="1">Dashboard!D$8* Dashboard!$F$4+Dashboard!D$10*SQRT(Dashboard!$F$4) * _xlfn.NORM.S.INV(RAND())</f>
        <v>-2.8745032032923442E-2</v>
      </c>
    </row>
    <row r="7520" spans="18:21" x14ac:dyDescent="0.2">
      <c r="R7520" s="49">
        <v>7518</v>
      </c>
      <c r="S7520" s="59">
        <f ca="1">Dashboard!B$8* Dashboard!$F$4+Dashboard!B$10*SQRT(Dashboard!$F$4) * _xlfn.NORM.S.INV(RAND())</f>
        <v>-2.2025758874018395E-4</v>
      </c>
      <c r="T7520" s="59">
        <f ca="1">Dashboard!C$8* Dashboard!$F$4+Dashboard!C$10*SQRT(Dashboard!$F$4) * _xlfn.NORM.S.INV(RAND())</f>
        <v>4.3107019067304457E-2</v>
      </c>
      <c r="U7520" s="59">
        <f ca="1">Dashboard!D$8* Dashboard!$F$4+Dashboard!D$10*SQRT(Dashboard!$F$4) * _xlfn.NORM.S.INV(RAND())</f>
        <v>-2.7545411627308218E-2</v>
      </c>
    </row>
    <row r="7521" spans="18:21" x14ac:dyDescent="0.2">
      <c r="R7521" s="49">
        <v>7519</v>
      </c>
      <c r="S7521" s="59">
        <f ca="1">Dashboard!B$8* Dashboard!$F$4+Dashboard!B$10*SQRT(Dashboard!$F$4) * _xlfn.NORM.S.INV(RAND())</f>
        <v>2.9428033191965255E-2</v>
      </c>
      <c r="T7521" s="59">
        <f ca="1">Dashboard!C$8* Dashboard!$F$4+Dashboard!C$10*SQRT(Dashboard!$F$4) * _xlfn.NORM.S.INV(RAND())</f>
        <v>1.233167133809825E-2</v>
      </c>
      <c r="U7521" s="59">
        <f ca="1">Dashboard!D$8* Dashboard!$F$4+Dashboard!D$10*SQRT(Dashboard!$F$4) * _xlfn.NORM.S.INV(RAND())</f>
        <v>-5.3601537773629603E-2</v>
      </c>
    </row>
    <row r="7522" spans="18:21" x14ac:dyDescent="0.2">
      <c r="R7522" s="49">
        <v>7520</v>
      </c>
      <c r="S7522" s="59">
        <f ca="1">Dashboard!B$8* Dashboard!$F$4+Dashboard!B$10*SQRT(Dashboard!$F$4) * _xlfn.NORM.S.INV(RAND())</f>
        <v>-5.5020623229747281E-2</v>
      </c>
      <c r="T7522" s="59">
        <f ca="1">Dashboard!C$8* Dashboard!$F$4+Dashboard!C$10*SQRT(Dashboard!$F$4) * _xlfn.NORM.S.INV(RAND())</f>
        <v>-1.4079142963261234E-2</v>
      </c>
      <c r="U7522" s="59">
        <f ca="1">Dashboard!D$8* Dashboard!$F$4+Dashboard!D$10*SQRT(Dashboard!$F$4) * _xlfn.NORM.S.INV(RAND())</f>
        <v>-2.3544135871989428E-3</v>
      </c>
    </row>
    <row r="7523" spans="18:21" x14ac:dyDescent="0.2">
      <c r="R7523" s="49">
        <v>7521</v>
      </c>
      <c r="S7523" s="59">
        <f ca="1">Dashboard!B$8* Dashboard!$F$4+Dashboard!B$10*SQRT(Dashboard!$F$4) * _xlfn.NORM.S.INV(RAND())</f>
        <v>-2.9312647971592866E-2</v>
      </c>
      <c r="T7523" s="59">
        <f ca="1">Dashboard!C$8* Dashboard!$F$4+Dashboard!C$10*SQRT(Dashboard!$F$4) * _xlfn.NORM.S.INV(RAND())</f>
        <v>1.0599558582689067E-2</v>
      </c>
      <c r="U7523" s="59">
        <f ca="1">Dashboard!D$8* Dashboard!$F$4+Dashboard!D$10*SQRT(Dashboard!$F$4) * _xlfn.NORM.S.INV(RAND())</f>
        <v>-8.0314315455595128E-2</v>
      </c>
    </row>
    <row r="7524" spans="18:21" x14ac:dyDescent="0.2">
      <c r="R7524" s="49">
        <v>7522</v>
      </c>
      <c r="S7524" s="59">
        <f ca="1">Dashboard!B$8* Dashboard!$F$4+Dashboard!B$10*SQRT(Dashboard!$F$4) * _xlfn.NORM.S.INV(RAND())</f>
        <v>1.7626005043915816E-2</v>
      </c>
      <c r="T7524" s="59">
        <f ca="1">Dashboard!C$8* Dashboard!$F$4+Dashboard!C$10*SQRT(Dashboard!$F$4) * _xlfn.NORM.S.INV(RAND())</f>
        <v>-1.9038017350319056E-2</v>
      </c>
      <c r="U7524" s="59">
        <f ca="1">Dashboard!D$8* Dashboard!$F$4+Dashboard!D$10*SQRT(Dashboard!$F$4) * _xlfn.NORM.S.INV(RAND())</f>
        <v>-4.7958923547840648E-2</v>
      </c>
    </row>
    <row r="7525" spans="18:21" x14ac:dyDescent="0.2">
      <c r="R7525" s="49">
        <v>7523</v>
      </c>
      <c r="S7525" s="59">
        <f ca="1">Dashboard!B$8* Dashboard!$F$4+Dashboard!B$10*SQRT(Dashboard!$F$4) * _xlfn.NORM.S.INV(RAND())</f>
        <v>-2.3456720850915803E-2</v>
      </c>
      <c r="T7525" s="59">
        <f ca="1">Dashboard!C$8* Dashboard!$F$4+Dashboard!C$10*SQRT(Dashboard!$F$4) * _xlfn.NORM.S.INV(RAND())</f>
        <v>6.0304298810494615E-2</v>
      </c>
      <c r="U7525" s="59">
        <f ca="1">Dashboard!D$8* Dashboard!$F$4+Dashboard!D$10*SQRT(Dashboard!$F$4) * _xlfn.NORM.S.INV(RAND())</f>
        <v>-1.9227860085502641E-3</v>
      </c>
    </row>
    <row r="7526" spans="18:21" x14ac:dyDescent="0.2">
      <c r="R7526" s="49">
        <v>7524</v>
      </c>
      <c r="S7526" s="59">
        <f ca="1">Dashboard!B$8* Dashboard!$F$4+Dashboard!B$10*SQRT(Dashboard!$F$4) * _xlfn.NORM.S.INV(RAND())</f>
        <v>6.974609929705021E-3</v>
      </c>
      <c r="T7526" s="59">
        <f ca="1">Dashboard!C$8* Dashboard!$F$4+Dashboard!C$10*SQRT(Dashboard!$F$4) * _xlfn.NORM.S.INV(RAND())</f>
        <v>-2.5432649136832172E-2</v>
      </c>
      <c r="U7526" s="59">
        <f ca="1">Dashboard!D$8* Dashboard!$F$4+Dashboard!D$10*SQRT(Dashboard!$F$4) * _xlfn.NORM.S.INV(RAND())</f>
        <v>-6.0788550246674384E-3</v>
      </c>
    </row>
    <row r="7527" spans="18:21" x14ac:dyDescent="0.2">
      <c r="R7527" s="49">
        <v>7525</v>
      </c>
      <c r="S7527" s="59">
        <f ca="1">Dashboard!B$8* Dashboard!$F$4+Dashboard!B$10*SQRT(Dashboard!$F$4) * _xlfn.NORM.S.INV(RAND())</f>
        <v>7.5071691579282812E-2</v>
      </c>
      <c r="T7527" s="59">
        <f ca="1">Dashboard!C$8* Dashboard!$F$4+Dashboard!C$10*SQRT(Dashboard!$F$4) * _xlfn.NORM.S.INV(RAND())</f>
        <v>-2.1823119090019953E-3</v>
      </c>
      <c r="U7527" s="59">
        <f ca="1">Dashboard!D$8* Dashboard!$F$4+Dashboard!D$10*SQRT(Dashboard!$F$4) * _xlfn.NORM.S.INV(RAND())</f>
        <v>2.318985591403043E-2</v>
      </c>
    </row>
    <row r="7528" spans="18:21" x14ac:dyDescent="0.2">
      <c r="R7528" s="49">
        <v>7526</v>
      </c>
      <c r="S7528" s="59">
        <f ca="1">Dashboard!B$8* Dashboard!$F$4+Dashboard!B$10*SQRT(Dashboard!$F$4) * _xlfn.NORM.S.INV(RAND())</f>
        <v>1.162904062960528E-2</v>
      </c>
      <c r="T7528" s="59">
        <f ca="1">Dashboard!C$8* Dashboard!$F$4+Dashboard!C$10*SQRT(Dashboard!$F$4) * _xlfn.NORM.S.INV(RAND())</f>
        <v>-1.3346742283861009E-2</v>
      </c>
      <c r="U7528" s="59">
        <f ca="1">Dashboard!D$8* Dashboard!$F$4+Dashboard!D$10*SQRT(Dashboard!$F$4) * _xlfn.NORM.S.INV(RAND())</f>
        <v>-4.4601563462614312E-2</v>
      </c>
    </row>
    <row r="7529" spans="18:21" x14ac:dyDescent="0.2">
      <c r="R7529" s="49">
        <v>7527</v>
      </c>
      <c r="S7529" s="59">
        <f ca="1">Dashboard!B$8* Dashboard!$F$4+Dashboard!B$10*SQRT(Dashboard!$F$4) * _xlfn.NORM.S.INV(RAND())</f>
        <v>1.8870305226993511E-2</v>
      </c>
      <c r="T7529" s="59">
        <f ca="1">Dashboard!C$8* Dashboard!$F$4+Dashboard!C$10*SQRT(Dashboard!$F$4) * _xlfn.NORM.S.INV(RAND())</f>
        <v>2.9479020185189226E-3</v>
      </c>
      <c r="U7529" s="59">
        <f ca="1">Dashboard!D$8* Dashboard!$F$4+Dashboard!D$10*SQRT(Dashboard!$F$4) * _xlfn.NORM.S.INV(RAND())</f>
        <v>2.3136536202386777E-2</v>
      </c>
    </row>
    <row r="7530" spans="18:21" x14ac:dyDescent="0.2">
      <c r="R7530" s="49">
        <v>7528</v>
      </c>
      <c r="S7530" s="59">
        <f ca="1">Dashboard!B$8* Dashboard!$F$4+Dashboard!B$10*SQRT(Dashboard!$F$4) * _xlfn.NORM.S.INV(RAND())</f>
        <v>1.3047289261245683E-3</v>
      </c>
      <c r="T7530" s="59">
        <f ca="1">Dashboard!C$8* Dashboard!$F$4+Dashboard!C$10*SQRT(Dashboard!$F$4) * _xlfn.NORM.S.INV(RAND())</f>
        <v>-7.5090777674303123E-3</v>
      </c>
      <c r="U7530" s="59">
        <f ca="1">Dashboard!D$8* Dashboard!$F$4+Dashboard!D$10*SQRT(Dashboard!$F$4) * _xlfn.NORM.S.INV(RAND())</f>
        <v>4.7523641763313942E-3</v>
      </c>
    </row>
    <row r="7531" spans="18:21" x14ac:dyDescent="0.2">
      <c r="R7531" s="49">
        <v>7529</v>
      </c>
      <c r="S7531" s="59">
        <f ca="1">Dashboard!B$8* Dashboard!$F$4+Dashboard!B$10*SQRT(Dashboard!$F$4) * _xlfn.NORM.S.INV(RAND())</f>
        <v>1.8575965360796573E-2</v>
      </c>
      <c r="T7531" s="59">
        <f ca="1">Dashboard!C$8* Dashboard!$F$4+Dashboard!C$10*SQRT(Dashboard!$F$4) * _xlfn.NORM.S.INV(RAND())</f>
        <v>-7.4960983866664763E-2</v>
      </c>
      <c r="U7531" s="59">
        <f ca="1">Dashboard!D$8* Dashboard!$F$4+Dashboard!D$10*SQRT(Dashboard!$F$4) * _xlfn.NORM.S.INV(RAND())</f>
        <v>2.7685935765497532E-2</v>
      </c>
    </row>
    <row r="7532" spans="18:21" x14ac:dyDescent="0.2">
      <c r="R7532" s="49">
        <v>7530</v>
      </c>
      <c r="S7532" s="59">
        <f ca="1">Dashboard!B$8* Dashboard!$F$4+Dashboard!B$10*SQRT(Dashboard!$F$4) * _xlfn.NORM.S.INV(RAND())</f>
        <v>1.7748945940639367E-2</v>
      </c>
      <c r="T7532" s="59">
        <f ca="1">Dashboard!C$8* Dashboard!$F$4+Dashboard!C$10*SQRT(Dashboard!$F$4) * _xlfn.NORM.S.INV(RAND())</f>
        <v>3.862088861473955E-2</v>
      </c>
      <c r="U7532" s="59">
        <f ca="1">Dashboard!D$8* Dashboard!$F$4+Dashboard!D$10*SQRT(Dashboard!$F$4) * _xlfn.NORM.S.INV(RAND())</f>
        <v>-1.3588598973224129E-4</v>
      </c>
    </row>
    <row r="7533" spans="18:21" x14ac:dyDescent="0.2">
      <c r="R7533" s="49">
        <v>7531</v>
      </c>
      <c r="S7533" s="59">
        <f ca="1">Dashboard!B$8* Dashboard!$F$4+Dashboard!B$10*SQRT(Dashboard!$F$4) * _xlfn.NORM.S.INV(RAND())</f>
        <v>9.5228785280467246E-3</v>
      </c>
      <c r="T7533" s="59">
        <f ca="1">Dashboard!C$8* Dashboard!$F$4+Dashboard!C$10*SQRT(Dashboard!$F$4) * _xlfn.NORM.S.INV(RAND())</f>
        <v>1.9384356700314739E-2</v>
      </c>
      <c r="U7533" s="59">
        <f ca="1">Dashboard!D$8* Dashboard!$F$4+Dashboard!D$10*SQRT(Dashboard!$F$4) * _xlfn.NORM.S.INV(RAND())</f>
        <v>1.7133754698701088E-2</v>
      </c>
    </row>
    <row r="7534" spans="18:21" x14ac:dyDescent="0.2">
      <c r="R7534" s="49">
        <v>7532</v>
      </c>
      <c r="S7534" s="59">
        <f ca="1">Dashboard!B$8* Dashboard!$F$4+Dashboard!B$10*SQRT(Dashboard!$F$4) * _xlfn.NORM.S.INV(RAND())</f>
        <v>5.3047500810761608E-2</v>
      </c>
      <c r="T7534" s="59">
        <f ca="1">Dashboard!C$8* Dashboard!$F$4+Dashboard!C$10*SQRT(Dashboard!$F$4) * _xlfn.NORM.S.INV(RAND())</f>
        <v>-3.9704554748565208E-3</v>
      </c>
      <c r="U7534" s="59">
        <f ca="1">Dashboard!D$8* Dashboard!$F$4+Dashboard!D$10*SQRT(Dashboard!$F$4) * _xlfn.NORM.S.INV(RAND())</f>
        <v>3.6987113695126493E-2</v>
      </c>
    </row>
    <row r="7535" spans="18:21" x14ac:dyDescent="0.2">
      <c r="R7535" s="49">
        <v>7533</v>
      </c>
      <c r="S7535" s="59">
        <f ca="1">Dashboard!B$8* Dashboard!$F$4+Dashboard!B$10*SQRT(Dashboard!$F$4) * _xlfn.NORM.S.INV(RAND())</f>
        <v>4.1731385955113831E-2</v>
      </c>
      <c r="T7535" s="59">
        <f ca="1">Dashboard!C$8* Dashboard!$F$4+Dashboard!C$10*SQRT(Dashboard!$F$4) * _xlfn.NORM.S.INV(RAND())</f>
        <v>1.1685644474086057E-2</v>
      </c>
      <c r="U7535" s="59">
        <f ca="1">Dashboard!D$8* Dashboard!$F$4+Dashboard!D$10*SQRT(Dashboard!$F$4) * _xlfn.NORM.S.INV(RAND())</f>
        <v>1.3598520519631533E-2</v>
      </c>
    </row>
    <row r="7536" spans="18:21" x14ac:dyDescent="0.2">
      <c r="R7536" s="49">
        <v>7534</v>
      </c>
      <c r="S7536" s="59">
        <f ca="1">Dashboard!B$8* Dashboard!$F$4+Dashboard!B$10*SQRT(Dashboard!$F$4) * _xlfn.NORM.S.INV(RAND())</f>
        <v>-5.743726311660724E-2</v>
      </c>
      <c r="T7536" s="59">
        <f ca="1">Dashboard!C$8* Dashboard!$F$4+Dashboard!C$10*SQRT(Dashboard!$F$4) * _xlfn.NORM.S.INV(RAND())</f>
        <v>9.0177294384426732E-3</v>
      </c>
      <c r="U7536" s="59">
        <f ca="1">Dashboard!D$8* Dashboard!$F$4+Dashboard!D$10*SQRT(Dashboard!$F$4) * _xlfn.NORM.S.INV(RAND())</f>
        <v>-5.2659506946220513E-2</v>
      </c>
    </row>
    <row r="7537" spans="18:21" x14ac:dyDescent="0.2">
      <c r="R7537" s="49">
        <v>7535</v>
      </c>
      <c r="S7537" s="59">
        <f ca="1">Dashboard!B$8* Dashboard!$F$4+Dashboard!B$10*SQRT(Dashboard!$F$4) * _xlfn.NORM.S.INV(RAND())</f>
        <v>3.6350043268516374E-2</v>
      </c>
      <c r="T7537" s="59">
        <f ca="1">Dashboard!C$8* Dashboard!$F$4+Dashboard!C$10*SQRT(Dashboard!$F$4) * _xlfn.NORM.S.INV(RAND())</f>
        <v>3.2423214705749569E-3</v>
      </c>
      <c r="U7537" s="59">
        <f ca="1">Dashboard!D$8* Dashboard!$F$4+Dashboard!D$10*SQRT(Dashboard!$F$4) * _xlfn.NORM.S.INV(RAND())</f>
        <v>-2.9922120586300067E-2</v>
      </c>
    </row>
    <row r="7538" spans="18:21" x14ac:dyDescent="0.2">
      <c r="R7538" s="49">
        <v>7536</v>
      </c>
      <c r="S7538" s="59">
        <f ca="1">Dashboard!B$8* Dashboard!$F$4+Dashboard!B$10*SQRT(Dashboard!$F$4) * _xlfn.NORM.S.INV(RAND())</f>
        <v>2.4470282285948648E-3</v>
      </c>
      <c r="T7538" s="59">
        <f ca="1">Dashboard!C$8* Dashboard!$F$4+Dashboard!C$10*SQRT(Dashboard!$F$4) * _xlfn.NORM.S.INV(RAND())</f>
        <v>4.2495017908563484E-2</v>
      </c>
      <c r="U7538" s="59">
        <f ca="1">Dashboard!D$8* Dashboard!$F$4+Dashboard!D$10*SQRT(Dashboard!$F$4) * _xlfn.NORM.S.INV(RAND())</f>
        <v>2.2040658308145278E-2</v>
      </c>
    </row>
    <row r="7539" spans="18:21" x14ac:dyDescent="0.2">
      <c r="R7539" s="49">
        <v>7537</v>
      </c>
      <c r="S7539" s="59">
        <f ca="1">Dashboard!B$8* Dashboard!$F$4+Dashboard!B$10*SQRT(Dashboard!$F$4) * _xlfn.NORM.S.INV(RAND())</f>
        <v>-2.4656004696991633E-2</v>
      </c>
      <c r="T7539" s="59">
        <f ca="1">Dashboard!C$8* Dashboard!$F$4+Dashboard!C$10*SQRT(Dashboard!$F$4) * _xlfn.NORM.S.INV(RAND())</f>
        <v>-2.0871243833556302E-2</v>
      </c>
      <c r="U7539" s="59">
        <f ca="1">Dashboard!D$8* Dashboard!$F$4+Dashboard!D$10*SQRT(Dashboard!$F$4) * _xlfn.NORM.S.INV(RAND())</f>
        <v>-1.7324975244772542E-2</v>
      </c>
    </row>
    <row r="7540" spans="18:21" x14ac:dyDescent="0.2">
      <c r="R7540" s="49">
        <v>7538</v>
      </c>
      <c r="S7540" s="59">
        <f ca="1">Dashboard!B$8* Dashboard!$F$4+Dashboard!B$10*SQRT(Dashboard!$F$4) * _xlfn.NORM.S.INV(RAND())</f>
        <v>1.1977869484107726E-2</v>
      </c>
      <c r="T7540" s="59">
        <f ca="1">Dashboard!C$8* Dashboard!$F$4+Dashboard!C$10*SQRT(Dashboard!$F$4) * _xlfn.NORM.S.INV(RAND())</f>
        <v>3.9093086396259386E-2</v>
      </c>
      <c r="U7540" s="59">
        <f ca="1">Dashboard!D$8* Dashboard!$F$4+Dashboard!D$10*SQRT(Dashboard!$F$4) * _xlfn.NORM.S.INV(RAND())</f>
        <v>1.4490020238617847E-2</v>
      </c>
    </row>
    <row r="7541" spans="18:21" x14ac:dyDescent="0.2">
      <c r="R7541" s="49">
        <v>7539</v>
      </c>
      <c r="S7541" s="59">
        <f ca="1">Dashboard!B$8* Dashboard!$F$4+Dashboard!B$10*SQRT(Dashboard!$F$4) * _xlfn.NORM.S.INV(RAND())</f>
        <v>-5.0317374188732965E-2</v>
      </c>
      <c r="T7541" s="59">
        <f ca="1">Dashboard!C$8* Dashboard!$F$4+Dashboard!C$10*SQRT(Dashboard!$F$4) * _xlfn.NORM.S.INV(RAND())</f>
        <v>3.1181021907989489E-2</v>
      </c>
      <c r="U7541" s="59">
        <f ca="1">Dashboard!D$8* Dashboard!$F$4+Dashboard!D$10*SQRT(Dashboard!$F$4) * _xlfn.NORM.S.INV(RAND())</f>
        <v>5.0095639105831253E-3</v>
      </c>
    </row>
    <row r="7542" spans="18:21" x14ac:dyDescent="0.2">
      <c r="R7542" s="49">
        <v>7540</v>
      </c>
      <c r="S7542" s="59">
        <f ca="1">Dashboard!B$8* Dashboard!$F$4+Dashboard!B$10*SQRT(Dashboard!$F$4) * _xlfn.NORM.S.INV(RAND())</f>
        <v>9.09218219413401E-3</v>
      </c>
      <c r="T7542" s="59">
        <f ca="1">Dashboard!C$8* Dashboard!$F$4+Dashboard!C$10*SQRT(Dashboard!$F$4) * _xlfn.NORM.S.INV(RAND())</f>
        <v>-5.5930414813699869E-2</v>
      </c>
      <c r="U7542" s="59">
        <f ca="1">Dashboard!D$8* Dashboard!$F$4+Dashboard!D$10*SQRT(Dashboard!$F$4) * _xlfn.NORM.S.INV(RAND())</f>
        <v>1.7587722461042641E-4</v>
      </c>
    </row>
    <row r="7543" spans="18:21" x14ac:dyDescent="0.2">
      <c r="R7543" s="49">
        <v>7541</v>
      </c>
      <c r="S7543" s="59">
        <f ca="1">Dashboard!B$8* Dashboard!$F$4+Dashboard!B$10*SQRT(Dashboard!$F$4) * _xlfn.NORM.S.INV(RAND())</f>
        <v>9.4747264906942276E-4</v>
      </c>
      <c r="T7543" s="59">
        <f ca="1">Dashboard!C$8* Dashboard!$F$4+Dashboard!C$10*SQRT(Dashboard!$F$4) * _xlfn.NORM.S.INV(RAND())</f>
        <v>3.4372172773125396E-2</v>
      </c>
      <c r="U7543" s="59">
        <f ca="1">Dashboard!D$8* Dashboard!$F$4+Dashboard!D$10*SQRT(Dashboard!$F$4) * _xlfn.NORM.S.INV(RAND())</f>
        <v>8.5587468783651297E-3</v>
      </c>
    </row>
    <row r="7544" spans="18:21" x14ac:dyDescent="0.2">
      <c r="R7544" s="49">
        <v>7542</v>
      </c>
      <c r="S7544" s="59">
        <f ca="1">Dashboard!B$8* Dashboard!$F$4+Dashboard!B$10*SQRT(Dashboard!$F$4) * _xlfn.NORM.S.INV(RAND())</f>
        <v>1.7069700201479965E-3</v>
      </c>
      <c r="T7544" s="59">
        <f ca="1">Dashboard!C$8* Dashboard!$F$4+Dashboard!C$10*SQRT(Dashboard!$F$4) * _xlfn.NORM.S.INV(RAND())</f>
        <v>-4.8929389263504151E-3</v>
      </c>
      <c r="U7544" s="59">
        <f ca="1">Dashboard!D$8* Dashboard!$F$4+Dashboard!D$10*SQRT(Dashboard!$F$4) * _xlfn.NORM.S.INV(RAND())</f>
        <v>-1.594473706180774E-2</v>
      </c>
    </row>
    <row r="7545" spans="18:21" x14ac:dyDescent="0.2">
      <c r="R7545" s="49">
        <v>7543</v>
      </c>
      <c r="S7545" s="59">
        <f ca="1">Dashboard!B$8* Dashboard!$F$4+Dashboard!B$10*SQRT(Dashboard!$F$4) * _xlfn.NORM.S.INV(RAND())</f>
        <v>-7.516354592656694E-3</v>
      </c>
      <c r="T7545" s="59">
        <f ca="1">Dashboard!C$8* Dashboard!$F$4+Dashboard!C$10*SQRT(Dashboard!$F$4) * _xlfn.NORM.S.INV(RAND())</f>
        <v>-2.2102433996271667E-2</v>
      </c>
      <c r="U7545" s="59">
        <f ca="1">Dashboard!D$8* Dashboard!$F$4+Dashboard!D$10*SQRT(Dashboard!$F$4) * _xlfn.NORM.S.INV(RAND())</f>
        <v>-5.5942988130494815E-2</v>
      </c>
    </row>
    <row r="7546" spans="18:21" x14ac:dyDescent="0.2">
      <c r="R7546" s="49">
        <v>7544</v>
      </c>
      <c r="S7546" s="59">
        <f ca="1">Dashboard!B$8* Dashboard!$F$4+Dashboard!B$10*SQRT(Dashboard!$F$4) * _xlfn.NORM.S.INV(RAND())</f>
        <v>-3.7319572046801322E-2</v>
      </c>
      <c r="T7546" s="59">
        <f ca="1">Dashboard!C$8* Dashboard!$F$4+Dashboard!C$10*SQRT(Dashboard!$F$4) * _xlfn.NORM.S.INV(RAND())</f>
        <v>7.815865127992104E-2</v>
      </c>
      <c r="U7546" s="59">
        <f ca="1">Dashboard!D$8* Dashboard!$F$4+Dashboard!D$10*SQRT(Dashboard!$F$4) * _xlfn.NORM.S.INV(RAND())</f>
        <v>-3.3784276451830533E-2</v>
      </c>
    </row>
    <row r="7547" spans="18:21" x14ac:dyDescent="0.2">
      <c r="R7547" s="49">
        <v>7545</v>
      </c>
      <c r="S7547" s="59">
        <f ca="1">Dashboard!B$8* Dashboard!$F$4+Dashboard!B$10*SQRT(Dashboard!$F$4) * _xlfn.NORM.S.INV(RAND())</f>
        <v>-4.3562124723067606E-2</v>
      </c>
      <c r="T7547" s="59">
        <f ca="1">Dashboard!C$8* Dashboard!$F$4+Dashboard!C$10*SQRT(Dashboard!$F$4) * _xlfn.NORM.S.INV(RAND())</f>
        <v>-6.0213691508170353E-2</v>
      </c>
      <c r="U7547" s="59">
        <f ca="1">Dashboard!D$8* Dashboard!$F$4+Dashboard!D$10*SQRT(Dashboard!$F$4) * _xlfn.NORM.S.INV(RAND())</f>
        <v>2.4974199556053504E-2</v>
      </c>
    </row>
    <row r="7548" spans="18:21" x14ac:dyDescent="0.2">
      <c r="R7548" s="49">
        <v>7546</v>
      </c>
      <c r="S7548" s="59">
        <f ca="1">Dashboard!B$8* Dashboard!$F$4+Dashboard!B$10*SQRT(Dashboard!$F$4) * _xlfn.NORM.S.INV(RAND())</f>
        <v>6.61729138977495E-2</v>
      </c>
      <c r="T7548" s="59">
        <f ca="1">Dashboard!C$8* Dashboard!$F$4+Dashboard!C$10*SQRT(Dashboard!$F$4) * _xlfn.NORM.S.INV(RAND())</f>
        <v>-2.5952388776742767E-2</v>
      </c>
      <c r="U7548" s="59">
        <f ca="1">Dashboard!D$8* Dashboard!$F$4+Dashboard!D$10*SQRT(Dashboard!$F$4) * _xlfn.NORM.S.INV(RAND())</f>
        <v>-3.1983314709955239E-2</v>
      </c>
    </row>
    <row r="7549" spans="18:21" x14ac:dyDescent="0.2">
      <c r="R7549" s="49">
        <v>7547</v>
      </c>
      <c r="S7549" s="59">
        <f ca="1">Dashboard!B$8* Dashboard!$F$4+Dashboard!B$10*SQRT(Dashboard!$F$4) * _xlfn.NORM.S.INV(RAND())</f>
        <v>-7.5990140544406864E-2</v>
      </c>
      <c r="T7549" s="59">
        <f ca="1">Dashboard!C$8* Dashboard!$F$4+Dashboard!C$10*SQRT(Dashboard!$F$4) * _xlfn.NORM.S.INV(RAND())</f>
        <v>3.5664432383416364E-2</v>
      </c>
      <c r="U7549" s="59">
        <f ca="1">Dashboard!D$8* Dashboard!$F$4+Dashboard!D$10*SQRT(Dashboard!$F$4) * _xlfn.NORM.S.INV(RAND())</f>
        <v>1.4503321912496848E-2</v>
      </c>
    </row>
    <row r="7550" spans="18:21" x14ac:dyDescent="0.2">
      <c r="R7550" s="49">
        <v>7548</v>
      </c>
      <c r="S7550" s="59">
        <f ca="1">Dashboard!B$8* Dashboard!$F$4+Dashboard!B$10*SQRT(Dashboard!$F$4) * _xlfn.NORM.S.INV(RAND())</f>
        <v>-2.1720432447405146E-2</v>
      </c>
      <c r="T7550" s="59">
        <f ca="1">Dashboard!C$8* Dashboard!$F$4+Dashboard!C$10*SQRT(Dashboard!$F$4) * _xlfn.NORM.S.INV(RAND())</f>
        <v>-4.2353694787373691E-2</v>
      </c>
      <c r="U7550" s="59">
        <f ca="1">Dashboard!D$8* Dashboard!$F$4+Dashboard!D$10*SQRT(Dashboard!$F$4) * _xlfn.NORM.S.INV(RAND())</f>
        <v>-1.3185386298441883E-2</v>
      </c>
    </row>
    <row r="7551" spans="18:21" x14ac:dyDescent="0.2">
      <c r="R7551" s="49">
        <v>7549</v>
      </c>
      <c r="S7551" s="59">
        <f ca="1">Dashboard!B$8* Dashboard!$F$4+Dashboard!B$10*SQRT(Dashboard!$F$4) * _xlfn.NORM.S.INV(RAND())</f>
        <v>-1.7464480398649757E-2</v>
      </c>
      <c r="T7551" s="59">
        <f ca="1">Dashboard!C$8* Dashboard!$F$4+Dashboard!C$10*SQRT(Dashboard!$F$4) * _xlfn.NORM.S.INV(RAND())</f>
        <v>-1.3624001478531815E-2</v>
      </c>
      <c r="U7551" s="59">
        <f ca="1">Dashboard!D$8* Dashboard!$F$4+Dashboard!D$10*SQRT(Dashboard!$F$4) * _xlfn.NORM.S.INV(RAND())</f>
        <v>4.4046150690448184E-2</v>
      </c>
    </row>
    <row r="7552" spans="18:21" x14ac:dyDescent="0.2">
      <c r="R7552" s="49">
        <v>7550</v>
      </c>
      <c r="S7552" s="59">
        <f ca="1">Dashboard!B$8* Dashboard!$F$4+Dashboard!B$10*SQRT(Dashboard!$F$4) * _xlfn.NORM.S.INV(RAND())</f>
        <v>2.491988550646404E-2</v>
      </c>
      <c r="T7552" s="59">
        <f ca="1">Dashboard!C$8* Dashboard!$F$4+Dashboard!C$10*SQRT(Dashboard!$F$4) * _xlfn.NORM.S.INV(RAND())</f>
        <v>-3.5208592108661937E-2</v>
      </c>
      <c r="U7552" s="59">
        <f ca="1">Dashboard!D$8* Dashboard!$F$4+Dashboard!D$10*SQRT(Dashboard!$F$4) * _xlfn.NORM.S.INV(RAND())</f>
        <v>7.5785409288675245E-3</v>
      </c>
    </row>
    <row r="7553" spans="18:21" x14ac:dyDescent="0.2">
      <c r="R7553" s="49">
        <v>7551</v>
      </c>
      <c r="S7553" s="59">
        <f ca="1">Dashboard!B$8* Dashboard!$F$4+Dashboard!B$10*SQRT(Dashboard!$F$4) * _xlfn.NORM.S.INV(RAND())</f>
        <v>-4.5904511801778125E-2</v>
      </c>
      <c r="T7553" s="59">
        <f ca="1">Dashboard!C$8* Dashboard!$F$4+Dashboard!C$10*SQRT(Dashboard!$F$4) * _xlfn.NORM.S.INV(RAND())</f>
        <v>2.7289971625954562E-2</v>
      </c>
      <c r="U7553" s="59">
        <f ca="1">Dashboard!D$8* Dashboard!$F$4+Dashboard!D$10*SQRT(Dashboard!$F$4) * _xlfn.NORM.S.INV(RAND())</f>
        <v>-3.0549769096679469E-4</v>
      </c>
    </row>
    <row r="7554" spans="18:21" x14ac:dyDescent="0.2">
      <c r="R7554" s="49">
        <v>7552</v>
      </c>
      <c r="S7554" s="59">
        <f ca="1">Dashboard!B$8* Dashboard!$F$4+Dashboard!B$10*SQRT(Dashboard!$F$4) * _xlfn.NORM.S.INV(RAND())</f>
        <v>-3.3350852465352215E-2</v>
      </c>
      <c r="T7554" s="59">
        <f ca="1">Dashboard!C$8* Dashboard!$F$4+Dashboard!C$10*SQRT(Dashboard!$F$4) * _xlfn.NORM.S.INV(RAND())</f>
        <v>5.3274389497470244E-3</v>
      </c>
      <c r="U7554" s="59">
        <f ca="1">Dashboard!D$8* Dashboard!$F$4+Dashboard!D$10*SQRT(Dashboard!$F$4) * _xlfn.NORM.S.INV(RAND())</f>
        <v>4.2221568129044099E-3</v>
      </c>
    </row>
    <row r="7555" spans="18:21" x14ac:dyDescent="0.2">
      <c r="R7555" s="49">
        <v>7553</v>
      </c>
      <c r="S7555" s="59">
        <f ca="1">Dashboard!B$8* Dashboard!$F$4+Dashboard!B$10*SQRT(Dashboard!$F$4) * _xlfn.NORM.S.INV(RAND())</f>
        <v>-3.1375845258293268E-2</v>
      </c>
      <c r="T7555" s="59">
        <f ca="1">Dashboard!C$8* Dashboard!$F$4+Dashboard!C$10*SQRT(Dashboard!$F$4) * _xlfn.NORM.S.INV(RAND())</f>
        <v>-1.5488300653235542E-2</v>
      </c>
      <c r="U7555" s="59">
        <f ca="1">Dashboard!D$8* Dashboard!$F$4+Dashboard!D$10*SQRT(Dashboard!$F$4) * _xlfn.NORM.S.INV(RAND())</f>
        <v>4.116685347349041E-2</v>
      </c>
    </row>
    <row r="7556" spans="18:21" x14ac:dyDescent="0.2">
      <c r="R7556" s="49">
        <v>7554</v>
      </c>
      <c r="S7556" s="59">
        <f ca="1">Dashboard!B$8* Dashboard!$F$4+Dashboard!B$10*SQRT(Dashboard!$F$4) * _xlfn.NORM.S.INV(RAND())</f>
        <v>-4.9307460421081813E-3</v>
      </c>
      <c r="T7556" s="59">
        <f ca="1">Dashboard!C$8* Dashboard!$F$4+Dashboard!C$10*SQRT(Dashboard!$F$4) * _xlfn.NORM.S.INV(RAND())</f>
        <v>2.3878254569733172E-2</v>
      </c>
      <c r="U7556" s="59">
        <f ca="1">Dashboard!D$8* Dashboard!$F$4+Dashboard!D$10*SQRT(Dashboard!$F$4) * _xlfn.NORM.S.INV(RAND())</f>
        <v>-9.1744268815198357E-3</v>
      </c>
    </row>
    <row r="7557" spans="18:21" x14ac:dyDescent="0.2">
      <c r="R7557" s="49">
        <v>7555</v>
      </c>
      <c r="S7557" s="59">
        <f ca="1">Dashboard!B$8* Dashboard!$F$4+Dashboard!B$10*SQRT(Dashboard!$F$4) * _xlfn.NORM.S.INV(RAND())</f>
        <v>-8.5504716571767718E-3</v>
      </c>
      <c r="T7557" s="59">
        <f ca="1">Dashboard!C$8* Dashboard!$F$4+Dashboard!C$10*SQRT(Dashboard!$F$4) * _xlfn.NORM.S.INV(RAND())</f>
        <v>-1.1914998562337457E-2</v>
      </c>
      <c r="U7557" s="59">
        <f ca="1">Dashboard!D$8* Dashboard!$F$4+Dashboard!D$10*SQRT(Dashboard!$F$4) * _xlfn.NORM.S.INV(RAND())</f>
        <v>3.2203835676172653E-2</v>
      </c>
    </row>
    <row r="7558" spans="18:21" x14ac:dyDescent="0.2">
      <c r="R7558" s="49">
        <v>7556</v>
      </c>
      <c r="S7558" s="59">
        <f ca="1">Dashboard!B$8* Dashboard!$F$4+Dashboard!B$10*SQRT(Dashboard!$F$4) * _xlfn.NORM.S.INV(RAND())</f>
        <v>-1.2728397043991497E-2</v>
      </c>
      <c r="T7558" s="59">
        <f ca="1">Dashboard!C$8* Dashboard!$F$4+Dashboard!C$10*SQRT(Dashboard!$F$4) * _xlfn.NORM.S.INV(RAND())</f>
        <v>0.10658465873257256</v>
      </c>
      <c r="U7558" s="59">
        <f ca="1">Dashboard!D$8* Dashboard!$F$4+Dashboard!D$10*SQRT(Dashboard!$F$4) * _xlfn.NORM.S.INV(RAND())</f>
        <v>5.0652896390110877E-3</v>
      </c>
    </row>
    <row r="7559" spans="18:21" x14ac:dyDescent="0.2">
      <c r="R7559" s="49">
        <v>7557</v>
      </c>
      <c r="S7559" s="59">
        <f ca="1">Dashboard!B$8* Dashboard!$F$4+Dashboard!B$10*SQRT(Dashboard!$F$4) * _xlfn.NORM.S.INV(RAND())</f>
        <v>-2.4885327215996414E-2</v>
      </c>
      <c r="T7559" s="59">
        <f ca="1">Dashboard!C$8* Dashboard!$F$4+Dashboard!C$10*SQRT(Dashboard!$F$4) * _xlfn.NORM.S.INV(RAND())</f>
        <v>-5.2840527238506664E-2</v>
      </c>
      <c r="U7559" s="59">
        <f ca="1">Dashboard!D$8* Dashboard!$F$4+Dashboard!D$10*SQRT(Dashboard!$F$4) * _xlfn.NORM.S.INV(RAND())</f>
        <v>1.4292975678539734E-2</v>
      </c>
    </row>
    <row r="7560" spans="18:21" x14ac:dyDescent="0.2">
      <c r="R7560" s="49">
        <v>7558</v>
      </c>
      <c r="S7560" s="59">
        <f ca="1">Dashboard!B$8* Dashboard!$F$4+Dashboard!B$10*SQRT(Dashboard!$F$4) * _xlfn.NORM.S.INV(RAND())</f>
        <v>2.4960749887746769E-2</v>
      </c>
      <c r="T7560" s="59">
        <f ca="1">Dashboard!C$8* Dashboard!$F$4+Dashboard!C$10*SQRT(Dashboard!$F$4) * _xlfn.NORM.S.INV(RAND())</f>
        <v>1.7524660677375372E-2</v>
      </c>
      <c r="U7560" s="59">
        <f ca="1">Dashboard!D$8* Dashboard!$F$4+Dashboard!D$10*SQRT(Dashboard!$F$4) * _xlfn.NORM.S.INV(RAND())</f>
        <v>-6.8736222930119144E-3</v>
      </c>
    </row>
    <row r="7561" spans="18:21" x14ac:dyDescent="0.2">
      <c r="R7561" s="49">
        <v>7559</v>
      </c>
      <c r="S7561" s="59">
        <f ca="1">Dashboard!B$8* Dashboard!$F$4+Dashboard!B$10*SQRT(Dashboard!$F$4) * _xlfn.NORM.S.INV(RAND())</f>
        <v>2.7356691065224155E-2</v>
      </c>
      <c r="T7561" s="59">
        <f ca="1">Dashboard!C$8* Dashboard!$F$4+Dashboard!C$10*SQRT(Dashboard!$F$4) * _xlfn.NORM.S.INV(RAND())</f>
        <v>-3.337848470143903E-3</v>
      </c>
      <c r="U7561" s="59">
        <f ca="1">Dashboard!D$8* Dashboard!$F$4+Dashboard!D$10*SQRT(Dashboard!$F$4) * _xlfn.NORM.S.INV(RAND())</f>
        <v>-1.5368950925681848E-2</v>
      </c>
    </row>
    <row r="7562" spans="18:21" x14ac:dyDescent="0.2">
      <c r="R7562" s="49">
        <v>7560</v>
      </c>
      <c r="S7562" s="59">
        <f ca="1">Dashboard!B$8* Dashboard!$F$4+Dashboard!B$10*SQRT(Dashboard!$F$4) * _xlfn.NORM.S.INV(RAND())</f>
        <v>-8.3677244221691427E-2</v>
      </c>
      <c r="T7562" s="59">
        <f ca="1">Dashboard!C$8* Dashboard!$F$4+Dashboard!C$10*SQRT(Dashboard!$F$4) * _xlfn.NORM.S.INV(RAND())</f>
        <v>-2.6456452885062091E-2</v>
      </c>
      <c r="U7562" s="59">
        <f ca="1">Dashboard!D$8* Dashboard!$F$4+Dashboard!D$10*SQRT(Dashboard!$F$4) * _xlfn.NORM.S.INV(RAND())</f>
        <v>2.7921488542628093E-2</v>
      </c>
    </row>
    <row r="7563" spans="18:21" x14ac:dyDescent="0.2">
      <c r="R7563" s="49">
        <v>7561</v>
      </c>
      <c r="S7563" s="59">
        <f ca="1">Dashboard!B$8* Dashboard!$F$4+Dashboard!B$10*SQRT(Dashboard!$F$4) * _xlfn.NORM.S.INV(RAND())</f>
        <v>8.2950917714896526E-3</v>
      </c>
      <c r="T7563" s="59">
        <f ca="1">Dashboard!C$8* Dashboard!$F$4+Dashboard!C$10*SQRT(Dashboard!$F$4) * _xlfn.NORM.S.INV(RAND())</f>
        <v>-3.369660912060362E-2</v>
      </c>
      <c r="U7563" s="59">
        <f ca="1">Dashboard!D$8* Dashboard!$F$4+Dashboard!D$10*SQRT(Dashboard!$F$4) * _xlfn.NORM.S.INV(RAND())</f>
        <v>2.8222471310720643E-2</v>
      </c>
    </row>
    <row r="7564" spans="18:21" x14ac:dyDescent="0.2">
      <c r="R7564" s="49">
        <v>7562</v>
      </c>
      <c r="S7564" s="59">
        <f ca="1">Dashboard!B$8* Dashboard!$F$4+Dashboard!B$10*SQRT(Dashboard!$F$4) * _xlfn.NORM.S.INV(RAND())</f>
        <v>-1.4895055286888002E-2</v>
      </c>
      <c r="T7564" s="59">
        <f ca="1">Dashboard!C$8* Dashboard!$F$4+Dashboard!C$10*SQRT(Dashboard!$F$4) * _xlfn.NORM.S.INV(RAND())</f>
        <v>-1.7712184853591918E-2</v>
      </c>
      <c r="U7564" s="59">
        <f ca="1">Dashboard!D$8* Dashboard!$F$4+Dashboard!D$10*SQRT(Dashboard!$F$4) * _xlfn.NORM.S.INV(RAND())</f>
        <v>2.3599005043028712E-2</v>
      </c>
    </row>
    <row r="7565" spans="18:21" x14ac:dyDescent="0.2">
      <c r="R7565" s="49">
        <v>7563</v>
      </c>
      <c r="S7565" s="59">
        <f ca="1">Dashboard!B$8* Dashboard!$F$4+Dashboard!B$10*SQRT(Dashboard!$F$4) * _xlfn.NORM.S.INV(RAND())</f>
        <v>1.7063763875790658E-2</v>
      </c>
      <c r="T7565" s="59">
        <f ca="1">Dashboard!C$8* Dashboard!$F$4+Dashboard!C$10*SQRT(Dashboard!$F$4) * _xlfn.NORM.S.INV(RAND())</f>
        <v>4.0699305765152294E-2</v>
      </c>
      <c r="U7565" s="59">
        <f ca="1">Dashboard!D$8* Dashboard!$F$4+Dashboard!D$10*SQRT(Dashboard!$F$4) * _xlfn.NORM.S.INV(RAND())</f>
        <v>1.5503562261710858E-2</v>
      </c>
    </row>
    <row r="7566" spans="18:21" x14ac:dyDescent="0.2">
      <c r="R7566" s="49">
        <v>7564</v>
      </c>
      <c r="S7566" s="59">
        <f ca="1">Dashboard!B$8* Dashboard!$F$4+Dashboard!B$10*SQRT(Dashboard!$F$4) * _xlfn.NORM.S.INV(RAND())</f>
        <v>-4.0111850087595935E-2</v>
      </c>
      <c r="T7566" s="59">
        <f ca="1">Dashboard!C$8* Dashboard!$F$4+Dashboard!C$10*SQRT(Dashboard!$F$4) * _xlfn.NORM.S.INV(RAND())</f>
        <v>-4.1527027055258209E-2</v>
      </c>
      <c r="U7566" s="59">
        <f ca="1">Dashboard!D$8* Dashboard!$F$4+Dashboard!D$10*SQRT(Dashboard!$F$4) * _xlfn.NORM.S.INV(RAND())</f>
        <v>-1.1253502800831738E-2</v>
      </c>
    </row>
    <row r="7567" spans="18:21" x14ac:dyDescent="0.2">
      <c r="R7567" s="49">
        <v>7565</v>
      </c>
      <c r="S7567" s="59">
        <f ca="1">Dashboard!B$8* Dashboard!$F$4+Dashboard!B$10*SQRT(Dashboard!$F$4) * _xlfn.NORM.S.INV(RAND())</f>
        <v>-2.4753432316953317E-2</v>
      </c>
      <c r="T7567" s="59">
        <f ca="1">Dashboard!C$8* Dashboard!$F$4+Dashboard!C$10*SQRT(Dashboard!$F$4) * _xlfn.NORM.S.INV(RAND())</f>
        <v>4.356453576451743E-2</v>
      </c>
      <c r="U7567" s="59">
        <f ca="1">Dashboard!D$8* Dashboard!$F$4+Dashboard!D$10*SQRT(Dashboard!$F$4) * _xlfn.NORM.S.INV(RAND())</f>
        <v>2.1618100910152382E-2</v>
      </c>
    </row>
    <row r="7568" spans="18:21" x14ac:dyDescent="0.2">
      <c r="R7568" s="49">
        <v>7566</v>
      </c>
      <c r="S7568" s="59">
        <f ca="1">Dashboard!B$8* Dashboard!$F$4+Dashboard!B$10*SQRT(Dashboard!$F$4) * _xlfn.NORM.S.INV(RAND())</f>
        <v>2.9822895614815333E-2</v>
      </c>
      <c r="T7568" s="59">
        <f ca="1">Dashboard!C$8* Dashboard!$F$4+Dashboard!C$10*SQRT(Dashboard!$F$4) * _xlfn.NORM.S.INV(RAND())</f>
        <v>-7.2185892791255327E-2</v>
      </c>
      <c r="U7568" s="59">
        <f ca="1">Dashboard!D$8* Dashboard!$F$4+Dashboard!D$10*SQRT(Dashboard!$F$4) * _xlfn.NORM.S.INV(RAND())</f>
        <v>1.3027109743811572E-2</v>
      </c>
    </row>
    <row r="7569" spans="18:21" x14ac:dyDescent="0.2">
      <c r="R7569" s="49">
        <v>7567</v>
      </c>
      <c r="S7569" s="59">
        <f ca="1">Dashboard!B$8* Dashboard!$F$4+Dashboard!B$10*SQRT(Dashboard!$F$4) * _xlfn.NORM.S.INV(RAND())</f>
        <v>-1.289837282153659E-2</v>
      </c>
      <c r="T7569" s="59">
        <f ca="1">Dashboard!C$8* Dashboard!$F$4+Dashboard!C$10*SQRT(Dashboard!$F$4) * _xlfn.NORM.S.INV(RAND())</f>
        <v>-1.4378394487627909E-2</v>
      </c>
      <c r="U7569" s="59">
        <f ca="1">Dashboard!D$8* Dashboard!$F$4+Dashboard!D$10*SQRT(Dashboard!$F$4) * _xlfn.NORM.S.INV(RAND())</f>
        <v>4.5071408784335451E-2</v>
      </c>
    </row>
    <row r="7570" spans="18:21" x14ac:dyDescent="0.2">
      <c r="R7570" s="49">
        <v>7568</v>
      </c>
      <c r="S7570" s="59">
        <f ca="1">Dashboard!B$8* Dashboard!$F$4+Dashboard!B$10*SQRT(Dashboard!$F$4) * _xlfn.NORM.S.INV(RAND())</f>
        <v>2.8328735346641432E-2</v>
      </c>
      <c r="T7570" s="59">
        <f ca="1">Dashboard!C$8* Dashboard!$F$4+Dashboard!C$10*SQRT(Dashboard!$F$4) * _xlfn.NORM.S.INV(RAND())</f>
        <v>3.2249256149530815E-2</v>
      </c>
      <c r="U7570" s="59">
        <f ca="1">Dashboard!D$8* Dashboard!$F$4+Dashboard!D$10*SQRT(Dashboard!$F$4) * _xlfn.NORM.S.INV(RAND())</f>
        <v>6.3514005577914159E-2</v>
      </c>
    </row>
    <row r="7571" spans="18:21" x14ac:dyDescent="0.2">
      <c r="R7571" s="49">
        <v>7569</v>
      </c>
      <c r="S7571" s="59">
        <f ca="1">Dashboard!B$8* Dashboard!$F$4+Dashboard!B$10*SQRT(Dashboard!$F$4) * _xlfn.NORM.S.INV(RAND())</f>
        <v>1.6317749663309023E-3</v>
      </c>
      <c r="T7571" s="59">
        <f ca="1">Dashboard!C$8* Dashboard!$F$4+Dashboard!C$10*SQRT(Dashboard!$F$4) * _xlfn.NORM.S.INV(RAND())</f>
        <v>-1.4285970713234206E-2</v>
      </c>
      <c r="U7571" s="59">
        <f ca="1">Dashboard!D$8* Dashboard!$F$4+Dashboard!D$10*SQRT(Dashboard!$F$4) * _xlfn.NORM.S.INV(RAND())</f>
        <v>-2.2882521413232115E-2</v>
      </c>
    </row>
    <row r="7572" spans="18:21" x14ac:dyDescent="0.2">
      <c r="R7572" s="49">
        <v>7570</v>
      </c>
      <c r="S7572" s="59">
        <f ca="1">Dashboard!B$8* Dashboard!$F$4+Dashboard!B$10*SQRT(Dashboard!$F$4) * _xlfn.NORM.S.INV(RAND())</f>
        <v>2.2472999784299223E-2</v>
      </c>
      <c r="T7572" s="59">
        <f ca="1">Dashboard!C$8* Dashboard!$F$4+Dashboard!C$10*SQRT(Dashboard!$F$4) * _xlfn.NORM.S.INV(RAND())</f>
        <v>1.3523462477613834E-2</v>
      </c>
      <c r="U7572" s="59">
        <f ca="1">Dashboard!D$8* Dashboard!$F$4+Dashboard!D$10*SQRT(Dashboard!$F$4) * _xlfn.NORM.S.INV(RAND())</f>
        <v>2.2954509341220439E-2</v>
      </c>
    </row>
    <row r="7573" spans="18:21" x14ac:dyDescent="0.2">
      <c r="R7573" s="49">
        <v>7571</v>
      </c>
      <c r="S7573" s="59">
        <f ca="1">Dashboard!B$8* Dashboard!$F$4+Dashboard!B$10*SQRT(Dashboard!$F$4) * _xlfn.NORM.S.INV(RAND())</f>
        <v>1.9699242306081659E-3</v>
      </c>
      <c r="T7573" s="59">
        <f ca="1">Dashboard!C$8* Dashboard!$F$4+Dashboard!C$10*SQRT(Dashboard!$F$4) * _xlfn.NORM.S.INV(RAND())</f>
        <v>-1.8235859148983194E-2</v>
      </c>
      <c r="U7573" s="59">
        <f ca="1">Dashboard!D$8* Dashboard!$F$4+Dashboard!D$10*SQRT(Dashboard!$F$4) * _xlfn.NORM.S.INV(RAND())</f>
        <v>1.2966596911895818E-2</v>
      </c>
    </row>
    <row r="7574" spans="18:21" x14ac:dyDescent="0.2">
      <c r="R7574" s="49">
        <v>7572</v>
      </c>
      <c r="S7574" s="59">
        <f ca="1">Dashboard!B$8* Dashboard!$F$4+Dashboard!B$10*SQRT(Dashboard!$F$4) * _xlfn.NORM.S.INV(RAND())</f>
        <v>-3.2681200420130979E-2</v>
      </c>
      <c r="T7574" s="59">
        <f ca="1">Dashboard!C$8* Dashboard!$F$4+Dashboard!C$10*SQRT(Dashboard!$F$4) * _xlfn.NORM.S.INV(RAND())</f>
        <v>-1.6460804748251817E-2</v>
      </c>
      <c r="U7574" s="59">
        <f ca="1">Dashboard!D$8* Dashboard!$F$4+Dashboard!D$10*SQRT(Dashboard!$F$4) * _xlfn.NORM.S.INV(RAND())</f>
        <v>1.7213118560699178E-2</v>
      </c>
    </row>
    <row r="7575" spans="18:21" x14ac:dyDescent="0.2">
      <c r="R7575" s="49">
        <v>7573</v>
      </c>
      <c r="S7575" s="59">
        <f ca="1">Dashboard!B$8* Dashboard!$F$4+Dashboard!B$10*SQRT(Dashboard!$F$4) * _xlfn.NORM.S.INV(RAND())</f>
        <v>3.3788820489911137E-2</v>
      </c>
      <c r="T7575" s="59">
        <f ca="1">Dashboard!C$8* Dashboard!$F$4+Dashboard!C$10*SQRT(Dashboard!$F$4) * _xlfn.NORM.S.INV(RAND())</f>
        <v>-3.6372455308430404E-2</v>
      </c>
      <c r="U7575" s="59">
        <f ca="1">Dashboard!D$8* Dashboard!$F$4+Dashboard!D$10*SQRT(Dashboard!$F$4) * _xlfn.NORM.S.INV(RAND())</f>
        <v>2.1263011640371601E-2</v>
      </c>
    </row>
    <row r="7576" spans="18:21" x14ac:dyDescent="0.2">
      <c r="R7576" s="49">
        <v>7574</v>
      </c>
      <c r="S7576" s="59">
        <f ca="1">Dashboard!B$8* Dashboard!$F$4+Dashboard!B$10*SQRT(Dashboard!$F$4) * _xlfn.NORM.S.INV(RAND())</f>
        <v>-3.3493462693005231E-2</v>
      </c>
      <c r="T7576" s="59">
        <f ca="1">Dashboard!C$8* Dashboard!$F$4+Dashboard!C$10*SQRT(Dashboard!$F$4) * _xlfn.NORM.S.INV(RAND())</f>
        <v>-9.3639897030764578E-3</v>
      </c>
      <c r="U7576" s="59">
        <f ca="1">Dashboard!D$8* Dashboard!$F$4+Dashboard!D$10*SQRT(Dashboard!$F$4) * _xlfn.NORM.S.INV(RAND())</f>
        <v>-6.0776889385171409E-2</v>
      </c>
    </row>
    <row r="7577" spans="18:21" x14ac:dyDescent="0.2">
      <c r="R7577" s="49">
        <v>7575</v>
      </c>
      <c r="S7577" s="59">
        <f ca="1">Dashboard!B$8* Dashboard!$F$4+Dashboard!B$10*SQRT(Dashboard!$F$4) * _xlfn.NORM.S.INV(RAND())</f>
        <v>-2.2527898232985809E-2</v>
      </c>
      <c r="T7577" s="59">
        <f ca="1">Dashboard!C$8* Dashboard!$F$4+Dashboard!C$10*SQRT(Dashboard!$F$4) * _xlfn.NORM.S.INV(RAND())</f>
        <v>-1.054882531222311E-2</v>
      </c>
      <c r="U7577" s="59">
        <f ca="1">Dashboard!D$8* Dashboard!$F$4+Dashboard!D$10*SQRT(Dashboard!$F$4) * _xlfn.NORM.S.INV(RAND())</f>
        <v>-2.5504238097460292E-2</v>
      </c>
    </row>
    <row r="7578" spans="18:21" x14ac:dyDescent="0.2">
      <c r="R7578" s="49">
        <v>7576</v>
      </c>
      <c r="S7578" s="59">
        <f ca="1">Dashboard!B$8* Dashboard!$F$4+Dashboard!B$10*SQRT(Dashboard!$F$4) * _xlfn.NORM.S.INV(RAND())</f>
        <v>-1.9656411501515765E-2</v>
      </c>
      <c r="T7578" s="59">
        <f ca="1">Dashboard!C$8* Dashboard!$F$4+Dashboard!C$10*SQRT(Dashboard!$F$4) * _xlfn.NORM.S.INV(RAND())</f>
        <v>-1.3502529548662098E-2</v>
      </c>
      <c r="U7578" s="59">
        <f ca="1">Dashboard!D$8* Dashboard!$F$4+Dashboard!D$10*SQRT(Dashboard!$F$4) * _xlfn.NORM.S.INV(RAND())</f>
        <v>2.0310344149506533E-2</v>
      </c>
    </row>
    <row r="7579" spans="18:21" x14ac:dyDescent="0.2">
      <c r="R7579" s="49">
        <v>7577</v>
      </c>
      <c r="S7579" s="59">
        <f ca="1">Dashboard!B$8* Dashboard!$F$4+Dashboard!B$10*SQRT(Dashboard!$F$4) * _xlfn.NORM.S.INV(RAND())</f>
        <v>-4.1998793500939831E-2</v>
      </c>
      <c r="T7579" s="59">
        <f ca="1">Dashboard!C$8* Dashboard!$F$4+Dashboard!C$10*SQRT(Dashboard!$F$4) * _xlfn.NORM.S.INV(RAND())</f>
        <v>-7.9096140674369847E-2</v>
      </c>
      <c r="U7579" s="59">
        <f ca="1">Dashboard!D$8* Dashboard!$F$4+Dashboard!D$10*SQRT(Dashboard!$F$4) * _xlfn.NORM.S.INV(RAND())</f>
        <v>-8.2954334789377936E-3</v>
      </c>
    </row>
    <row r="7580" spans="18:21" x14ac:dyDescent="0.2">
      <c r="R7580" s="49">
        <v>7578</v>
      </c>
      <c r="S7580" s="59">
        <f ca="1">Dashboard!B$8* Dashboard!$F$4+Dashboard!B$10*SQRT(Dashboard!$F$4) * _xlfn.NORM.S.INV(RAND())</f>
        <v>-2.9854670167286157E-2</v>
      </c>
      <c r="T7580" s="59">
        <f ca="1">Dashboard!C$8* Dashboard!$F$4+Dashboard!C$10*SQRT(Dashboard!$F$4) * _xlfn.NORM.S.INV(RAND())</f>
        <v>-4.3385401183571204E-2</v>
      </c>
      <c r="U7580" s="59">
        <f ca="1">Dashboard!D$8* Dashboard!$F$4+Dashboard!D$10*SQRT(Dashboard!$F$4) * _xlfn.NORM.S.INV(RAND())</f>
        <v>1.3789440931788084E-2</v>
      </c>
    </row>
    <row r="7581" spans="18:21" x14ac:dyDescent="0.2">
      <c r="R7581" s="49">
        <v>7579</v>
      </c>
      <c r="S7581" s="59">
        <f ca="1">Dashboard!B$8* Dashboard!$F$4+Dashboard!B$10*SQRT(Dashboard!$F$4) * _xlfn.NORM.S.INV(RAND())</f>
        <v>3.0010069146603133E-4</v>
      </c>
      <c r="T7581" s="59">
        <f ca="1">Dashboard!C$8* Dashboard!$F$4+Dashboard!C$10*SQRT(Dashboard!$F$4) * _xlfn.NORM.S.INV(RAND())</f>
        <v>0.10214407409897928</v>
      </c>
      <c r="U7581" s="59">
        <f ca="1">Dashboard!D$8* Dashboard!$F$4+Dashboard!D$10*SQRT(Dashboard!$F$4) * _xlfn.NORM.S.INV(RAND())</f>
        <v>1.5932584610933925E-2</v>
      </c>
    </row>
    <row r="7582" spans="18:21" x14ac:dyDescent="0.2">
      <c r="R7582" s="49">
        <v>7580</v>
      </c>
      <c r="S7582" s="59">
        <f ca="1">Dashboard!B$8* Dashboard!$F$4+Dashboard!B$10*SQRT(Dashboard!$F$4) * _xlfn.NORM.S.INV(RAND())</f>
        <v>-0.12438806324574964</v>
      </c>
      <c r="T7582" s="59">
        <f ca="1">Dashboard!C$8* Dashboard!$F$4+Dashboard!C$10*SQRT(Dashboard!$F$4) * _xlfn.NORM.S.INV(RAND())</f>
        <v>2.5174397398601339E-3</v>
      </c>
      <c r="U7582" s="59">
        <f ca="1">Dashboard!D$8* Dashboard!$F$4+Dashboard!D$10*SQRT(Dashboard!$F$4) * _xlfn.NORM.S.INV(RAND())</f>
        <v>-9.6272472660142942E-3</v>
      </c>
    </row>
    <row r="7583" spans="18:21" x14ac:dyDescent="0.2">
      <c r="R7583" s="49">
        <v>7581</v>
      </c>
      <c r="S7583" s="59">
        <f ca="1">Dashboard!B$8* Dashboard!$F$4+Dashboard!B$10*SQRT(Dashboard!$F$4) * _xlfn.NORM.S.INV(RAND())</f>
        <v>2.3235096157088492E-2</v>
      </c>
      <c r="T7583" s="59">
        <f ca="1">Dashboard!C$8* Dashboard!$F$4+Dashboard!C$10*SQRT(Dashboard!$F$4) * _xlfn.NORM.S.INV(RAND())</f>
        <v>2.9808954723303048E-2</v>
      </c>
      <c r="U7583" s="59">
        <f ca="1">Dashboard!D$8* Dashboard!$F$4+Dashboard!D$10*SQRT(Dashboard!$F$4) * _xlfn.NORM.S.INV(RAND())</f>
        <v>-4.9298402780920438E-2</v>
      </c>
    </row>
    <row r="7584" spans="18:21" x14ac:dyDescent="0.2">
      <c r="R7584" s="49">
        <v>7582</v>
      </c>
      <c r="S7584" s="59">
        <f ca="1">Dashboard!B$8* Dashboard!$F$4+Dashboard!B$10*SQRT(Dashboard!$F$4) * _xlfn.NORM.S.INV(RAND())</f>
        <v>-2.4534497853422967E-2</v>
      </c>
      <c r="T7584" s="59">
        <f ca="1">Dashboard!C$8* Dashboard!$F$4+Dashboard!C$10*SQRT(Dashboard!$F$4) * _xlfn.NORM.S.INV(RAND())</f>
        <v>-2.3855094131255639E-2</v>
      </c>
      <c r="U7584" s="59">
        <f ca="1">Dashboard!D$8* Dashboard!$F$4+Dashboard!D$10*SQRT(Dashboard!$F$4) * _xlfn.NORM.S.INV(RAND())</f>
        <v>1.9884314850068228E-2</v>
      </c>
    </row>
    <row r="7585" spans="18:21" x14ac:dyDescent="0.2">
      <c r="R7585" s="49">
        <v>7583</v>
      </c>
      <c r="S7585" s="59">
        <f ca="1">Dashboard!B$8* Dashboard!$F$4+Dashboard!B$10*SQRT(Dashboard!$F$4) * _xlfn.NORM.S.INV(RAND())</f>
        <v>-2.2635978713168685E-2</v>
      </c>
      <c r="T7585" s="59">
        <f ca="1">Dashboard!C$8* Dashboard!$F$4+Dashboard!C$10*SQRT(Dashboard!$F$4) * _xlfn.NORM.S.INV(RAND())</f>
        <v>-1.7458068228615869E-2</v>
      </c>
      <c r="U7585" s="59">
        <f ca="1">Dashboard!D$8* Dashboard!$F$4+Dashboard!D$10*SQRT(Dashboard!$F$4) * _xlfn.NORM.S.INV(RAND())</f>
        <v>-4.8525565455587678E-2</v>
      </c>
    </row>
    <row r="7586" spans="18:21" x14ac:dyDescent="0.2">
      <c r="R7586" s="49">
        <v>7584</v>
      </c>
      <c r="S7586" s="59">
        <f ca="1">Dashboard!B$8* Dashboard!$F$4+Dashboard!B$10*SQRT(Dashboard!$F$4) * _xlfn.NORM.S.INV(RAND())</f>
        <v>-4.5241785432999476E-2</v>
      </c>
      <c r="T7586" s="59">
        <f ca="1">Dashboard!C$8* Dashboard!$F$4+Dashboard!C$10*SQRT(Dashboard!$F$4) * _xlfn.NORM.S.INV(RAND())</f>
        <v>-3.5550815559497878E-2</v>
      </c>
      <c r="U7586" s="59">
        <f ca="1">Dashboard!D$8* Dashboard!$F$4+Dashboard!D$10*SQRT(Dashboard!$F$4) * _xlfn.NORM.S.INV(RAND())</f>
        <v>-7.395300697973695E-3</v>
      </c>
    </row>
    <row r="7587" spans="18:21" x14ac:dyDescent="0.2">
      <c r="R7587" s="49">
        <v>7585</v>
      </c>
      <c r="S7587" s="59">
        <f ca="1">Dashboard!B$8* Dashboard!$F$4+Dashboard!B$10*SQRT(Dashboard!$F$4) * _xlfn.NORM.S.INV(RAND())</f>
        <v>-2.1268125502981614E-2</v>
      </c>
      <c r="T7587" s="59">
        <f ca="1">Dashboard!C$8* Dashboard!$F$4+Dashboard!C$10*SQRT(Dashboard!$F$4) * _xlfn.NORM.S.INV(RAND())</f>
        <v>-4.7655375940075439E-3</v>
      </c>
      <c r="U7587" s="59">
        <f ca="1">Dashboard!D$8* Dashboard!$F$4+Dashboard!D$10*SQRT(Dashboard!$F$4) * _xlfn.NORM.S.INV(RAND())</f>
        <v>1.3723216678594432E-2</v>
      </c>
    </row>
    <row r="7588" spans="18:21" x14ac:dyDescent="0.2">
      <c r="R7588" s="49">
        <v>7586</v>
      </c>
      <c r="S7588" s="59">
        <f ca="1">Dashboard!B$8* Dashboard!$F$4+Dashboard!B$10*SQRT(Dashboard!$F$4) * _xlfn.NORM.S.INV(RAND())</f>
        <v>-2.2958191544545238E-2</v>
      </c>
      <c r="T7588" s="59">
        <f ca="1">Dashboard!C$8* Dashboard!$F$4+Dashboard!C$10*SQRT(Dashboard!$F$4) * _xlfn.NORM.S.INV(RAND())</f>
        <v>2.5166209483888528E-2</v>
      </c>
      <c r="U7588" s="59">
        <f ca="1">Dashboard!D$8* Dashboard!$F$4+Dashboard!D$10*SQRT(Dashboard!$F$4) * _xlfn.NORM.S.INV(RAND())</f>
        <v>1.6188983230441229E-2</v>
      </c>
    </row>
    <row r="7589" spans="18:21" x14ac:dyDescent="0.2">
      <c r="R7589" s="49">
        <v>7587</v>
      </c>
      <c r="S7589" s="59">
        <f ca="1">Dashboard!B$8* Dashboard!$F$4+Dashboard!B$10*SQRT(Dashboard!$F$4) * _xlfn.NORM.S.INV(RAND())</f>
        <v>4.4400267736546879E-2</v>
      </c>
      <c r="T7589" s="59">
        <f ca="1">Dashboard!C$8* Dashboard!$F$4+Dashboard!C$10*SQRT(Dashboard!$F$4) * _xlfn.NORM.S.INV(RAND())</f>
        <v>-2.0299895928792083E-2</v>
      </c>
      <c r="U7589" s="59">
        <f ca="1">Dashboard!D$8* Dashboard!$F$4+Dashboard!D$10*SQRT(Dashboard!$F$4) * _xlfn.NORM.S.INV(RAND())</f>
        <v>-3.6383068778857892E-2</v>
      </c>
    </row>
    <row r="7590" spans="18:21" x14ac:dyDescent="0.2">
      <c r="R7590" s="49">
        <v>7588</v>
      </c>
      <c r="S7590" s="59">
        <f ca="1">Dashboard!B$8* Dashboard!$F$4+Dashboard!B$10*SQRT(Dashboard!$F$4) * _xlfn.NORM.S.INV(RAND())</f>
        <v>7.0532715134170344E-3</v>
      </c>
      <c r="T7590" s="59">
        <f ca="1">Dashboard!C$8* Dashboard!$F$4+Dashboard!C$10*SQRT(Dashboard!$F$4) * _xlfn.NORM.S.INV(RAND())</f>
        <v>-1.5004885295632819E-2</v>
      </c>
      <c r="U7590" s="59">
        <f ca="1">Dashboard!D$8* Dashboard!$F$4+Dashboard!D$10*SQRT(Dashboard!$F$4) * _xlfn.NORM.S.INV(RAND())</f>
        <v>-1.7873969434936819E-2</v>
      </c>
    </row>
    <row r="7591" spans="18:21" x14ac:dyDescent="0.2">
      <c r="R7591" s="49">
        <v>7589</v>
      </c>
      <c r="S7591" s="59">
        <f ca="1">Dashboard!B$8* Dashboard!$F$4+Dashboard!B$10*SQRT(Dashboard!$F$4) * _xlfn.NORM.S.INV(RAND())</f>
        <v>-6.1128520761723386E-3</v>
      </c>
      <c r="T7591" s="59">
        <f ca="1">Dashboard!C$8* Dashboard!$F$4+Dashboard!C$10*SQRT(Dashboard!$F$4) * _xlfn.NORM.S.INV(RAND())</f>
        <v>1.9494242612715048E-3</v>
      </c>
      <c r="U7591" s="59">
        <f ca="1">Dashboard!D$8* Dashboard!$F$4+Dashboard!D$10*SQRT(Dashboard!$F$4) * _xlfn.NORM.S.INV(RAND())</f>
        <v>1.9851654095700291E-2</v>
      </c>
    </row>
    <row r="7592" spans="18:21" x14ac:dyDescent="0.2">
      <c r="R7592" s="49">
        <v>7590</v>
      </c>
      <c r="S7592" s="59">
        <f ca="1">Dashboard!B$8* Dashboard!$F$4+Dashboard!B$10*SQRT(Dashboard!$F$4) * _xlfn.NORM.S.INV(RAND())</f>
        <v>-6.4403294388308205E-3</v>
      </c>
      <c r="T7592" s="59">
        <f ca="1">Dashboard!C$8* Dashboard!$F$4+Dashboard!C$10*SQRT(Dashboard!$F$4) * _xlfn.NORM.S.INV(RAND())</f>
        <v>-6.8168245084936291E-3</v>
      </c>
      <c r="U7592" s="59">
        <f ca="1">Dashboard!D$8* Dashboard!$F$4+Dashboard!D$10*SQRT(Dashboard!$F$4) * _xlfn.NORM.S.INV(RAND())</f>
        <v>-1.2578400976958201E-3</v>
      </c>
    </row>
    <row r="7593" spans="18:21" x14ac:dyDescent="0.2">
      <c r="R7593" s="49">
        <v>7591</v>
      </c>
      <c r="S7593" s="59">
        <f ca="1">Dashboard!B$8* Dashboard!$F$4+Dashboard!B$10*SQRT(Dashboard!$F$4) * _xlfn.NORM.S.INV(RAND())</f>
        <v>-3.5956001638387624E-3</v>
      </c>
      <c r="T7593" s="59">
        <f ca="1">Dashboard!C$8* Dashboard!$F$4+Dashboard!C$10*SQRT(Dashboard!$F$4) * _xlfn.NORM.S.INV(RAND())</f>
        <v>0.10662911610284664</v>
      </c>
      <c r="U7593" s="59">
        <f ca="1">Dashboard!D$8* Dashboard!$F$4+Dashboard!D$10*SQRT(Dashboard!$F$4) * _xlfn.NORM.S.INV(RAND())</f>
        <v>6.0788417789107386E-3</v>
      </c>
    </row>
    <row r="7594" spans="18:21" x14ac:dyDescent="0.2">
      <c r="R7594" s="49">
        <v>7592</v>
      </c>
      <c r="S7594" s="59">
        <f ca="1">Dashboard!B$8* Dashboard!$F$4+Dashboard!B$10*SQRT(Dashboard!$F$4) * _xlfn.NORM.S.INV(RAND())</f>
        <v>6.5491624533592363E-3</v>
      </c>
      <c r="T7594" s="59">
        <f ca="1">Dashboard!C$8* Dashboard!$F$4+Dashboard!C$10*SQRT(Dashboard!$F$4) * _xlfn.NORM.S.INV(RAND())</f>
        <v>-3.9883830357184305E-2</v>
      </c>
      <c r="U7594" s="59">
        <f ca="1">Dashboard!D$8* Dashboard!$F$4+Dashboard!D$10*SQRT(Dashboard!$F$4) * _xlfn.NORM.S.INV(RAND())</f>
        <v>-3.283024705913376E-2</v>
      </c>
    </row>
    <row r="7595" spans="18:21" x14ac:dyDescent="0.2">
      <c r="R7595" s="49">
        <v>7593</v>
      </c>
      <c r="S7595" s="59">
        <f ca="1">Dashboard!B$8* Dashboard!$F$4+Dashboard!B$10*SQRT(Dashboard!$F$4) * _xlfn.NORM.S.INV(RAND())</f>
        <v>-3.9334471429745013E-2</v>
      </c>
      <c r="T7595" s="59">
        <f ca="1">Dashboard!C$8* Dashboard!$F$4+Dashboard!C$10*SQRT(Dashboard!$F$4) * _xlfn.NORM.S.INV(RAND())</f>
        <v>1.4865073380030753E-2</v>
      </c>
      <c r="U7595" s="59">
        <f ca="1">Dashboard!D$8* Dashboard!$F$4+Dashboard!D$10*SQRT(Dashboard!$F$4) * _xlfn.NORM.S.INV(RAND())</f>
        <v>-4.9144956366392297E-3</v>
      </c>
    </row>
    <row r="7596" spans="18:21" x14ac:dyDescent="0.2">
      <c r="R7596" s="49">
        <v>7594</v>
      </c>
      <c r="S7596" s="59">
        <f ca="1">Dashboard!B$8* Dashboard!$F$4+Dashboard!B$10*SQRT(Dashboard!$F$4) * _xlfn.NORM.S.INV(RAND())</f>
        <v>4.5375098391582502E-3</v>
      </c>
      <c r="T7596" s="59">
        <f ca="1">Dashboard!C$8* Dashboard!$F$4+Dashboard!C$10*SQRT(Dashboard!$F$4) * _xlfn.NORM.S.INV(RAND())</f>
        <v>3.6650637048529312E-2</v>
      </c>
      <c r="U7596" s="59">
        <f ca="1">Dashboard!D$8* Dashboard!$F$4+Dashboard!D$10*SQRT(Dashboard!$F$4) * _xlfn.NORM.S.INV(RAND())</f>
        <v>4.4517070659982221E-2</v>
      </c>
    </row>
    <row r="7597" spans="18:21" x14ac:dyDescent="0.2">
      <c r="R7597" s="49">
        <v>7595</v>
      </c>
      <c r="S7597" s="59">
        <f ca="1">Dashboard!B$8* Dashboard!$F$4+Dashboard!B$10*SQRT(Dashboard!$F$4) * _xlfn.NORM.S.INV(RAND())</f>
        <v>1.0498943794141319E-2</v>
      </c>
      <c r="T7597" s="59">
        <f ca="1">Dashboard!C$8* Dashboard!$F$4+Dashboard!C$10*SQRT(Dashboard!$F$4) * _xlfn.NORM.S.INV(RAND())</f>
        <v>3.2682297704274353E-2</v>
      </c>
      <c r="U7597" s="59">
        <f ca="1">Dashboard!D$8* Dashboard!$F$4+Dashboard!D$10*SQRT(Dashboard!$F$4) * _xlfn.NORM.S.INV(RAND())</f>
        <v>-7.6354585121329532E-2</v>
      </c>
    </row>
    <row r="7598" spans="18:21" x14ac:dyDescent="0.2">
      <c r="R7598" s="49">
        <v>7596</v>
      </c>
      <c r="S7598" s="59">
        <f ca="1">Dashboard!B$8* Dashboard!$F$4+Dashboard!B$10*SQRT(Dashboard!$F$4) * _xlfn.NORM.S.INV(RAND())</f>
        <v>2.2701820704959914E-2</v>
      </c>
      <c r="T7598" s="59">
        <f ca="1">Dashboard!C$8* Dashboard!$F$4+Dashboard!C$10*SQRT(Dashboard!$F$4) * _xlfn.NORM.S.INV(RAND())</f>
        <v>-4.2616145499332327E-2</v>
      </c>
      <c r="U7598" s="59">
        <f ca="1">Dashboard!D$8* Dashboard!$F$4+Dashboard!D$10*SQRT(Dashboard!$F$4) * _xlfn.NORM.S.INV(RAND())</f>
        <v>8.9234286609839938E-3</v>
      </c>
    </row>
    <row r="7599" spans="18:21" x14ac:dyDescent="0.2">
      <c r="R7599" s="49">
        <v>7597</v>
      </c>
      <c r="S7599" s="59">
        <f ca="1">Dashboard!B$8* Dashboard!$F$4+Dashboard!B$10*SQRT(Dashboard!$F$4) * _xlfn.NORM.S.INV(RAND())</f>
        <v>4.3914301427866922E-3</v>
      </c>
      <c r="T7599" s="59">
        <f ca="1">Dashboard!C$8* Dashboard!$F$4+Dashboard!C$10*SQRT(Dashboard!$F$4) * _xlfn.NORM.S.INV(RAND())</f>
        <v>3.3792786060447399E-4</v>
      </c>
      <c r="U7599" s="59">
        <f ca="1">Dashboard!D$8* Dashboard!$F$4+Dashboard!D$10*SQRT(Dashboard!$F$4) * _xlfn.NORM.S.INV(RAND())</f>
        <v>3.9626938341223432E-2</v>
      </c>
    </row>
    <row r="7600" spans="18:21" x14ac:dyDescent="0.2">
      <c r="R7600" s="49">
        <v>7598</v>
      </c>
      <c r="S7600" s="59">
        <f ca="1">Dashboard!B$8* Dashboard!$F$4+Dashboard!B$10*SQRT(Dashboard!$F$4) * _xlfn.NORM.S.INV(RAND())</f>
        <v>3.1722206920335567E-2</v>
      </c>
      <c r="T7600" s="59">
        <f ca="1">Dashboard!C$8* Dashboard!$F$4+Dashboard!C$10*SQRT(Dashboard!$F$4) * _xlfn.NORM.S.INV(RAND())</f>
        <v>-2.1457195197834532E-2</v>
      </c>
      <c r="U7600" s="59">
        <f ca="1">Dashboard!D$8* Dashboard!$F$4+Dashboard!D$10*SQRT(Dashboard!$F$4) * _xlfn.NORM.S.INV(RAND())</f>
        <v>-7.1633708552789775E-3</v>
      </c>
    </row>
    <row r="7601" spans="18:21" x14ac:dyDescent="0.2">
      <c r="R7601" s="49">
        <v>7599</v>
      </c>
      <c r="S7601" s="59">
        <f ca="1">Dashboard!B$8* Dashboard!$F$4+Dashboard!B$10*SQRT(Dashboard!$F$4) * _xlfn.NORM.S.INV(RAND())</f>
        <v>-2.1603563957704137E-2</v>
      </c>
      <c r="T7601" s="59">
        <f ca="1">Dashboard!C$8* Dashboard!$F$4+Dashboard!C$10*SQRT(Dashboard!$F$4) * _xlfn.NORM.S.INV(RAND())</f>
        <v>-1.0839673671441192E-2</v>
      </c>
      <c r="U7601" s="59">
        <f ca="1">Dashboard!D$8* Dashboard!$F$4+Dashboard!D$10*SQRT(Dashboard!$F$4) * _xlfn.NORM.S.INV(RAND())</f>
        <v>2.5964992097999497E-2</v>
      </c>
    </row>
    <row r="7602" spans="18:21" x14ac:dyDescent="0.2">
      <c r="R7602" s="49">
        <v>7600</v>
      </c>
      <c r="S7602" s="59">
        <f ca="1">Dashboard!B$8* Dashboard!$F$4+Dashboard!B$10*SQRT(Dashboard!$F$4) * _xlfn.NORM.S.INV(RAND())</f>
        <v>-3.3368784898015258E-2</v>
      </c>
      <c r="T7602" s="59">
        <f ca="1">Dashboard!C$8* Dashboard!$F$4+Dashboard!C$10*SQRT(Dashboard!$F$4) * _xlfn.NORM.S.INV(RAND())</f>
        <v>-7.6497947823328154E-3</v>
      </c>
      <c r="U7602" s="59">
        <f ca="1">Dashboard!D$8* Dashboard!$F$4+Dashboard!D$10*SQRT(Dashboard!$F$4) * _xlfn.NORM.S.INV(RAND())</f>
        <v>-2.5406852297261074E-2</v>
      </c>
    </row>
    <row r="7603" spans="18:21" x14ac:dyDescent="0.2">
      <c r="R7603" s="49">
        <v>7601</v>
      </c>
      <c r="S7603" s="59">
        <f ca="1">Dashboard!B$8* Dashboard!$F$4+Dashboard!B$10*SQRT(Dashboard!$F$4) * _xlfn.NORM.S.INV(RAND())</f>
        <v>-2.7125727152275132E-2</v>
      </c>
      <c r="T7603" s="59">
        <f ca="1">Dashboard!C$8* Dashboard!$F$4+Dashboard!C$10*SQRT(Dashboard!$F$4) * _xlfn.NORM.S.INV(RAND())</f>
        <v>-2.2789609333959411E-2</v>
      </c>
      <c r="U7603" s="59">
        <f ca="1">Dashboard!D$8* Dashboard!$F$4+Dashboard!D$10*SQRT(Dashboard!$F$4) * _xlfn.NORM.S.INV(RAND())</f>
        <v>2.0044684745102553E-2</v>
      </c>
    </row>
    <row r="7604" spans="18:21" x14ac:dyDescent="0.2">
      <c r="R7604" s="49">
        <v>7602</v>
      </c>
      <c r="S7604" s="59">
        <f ca="1">Dashboard!B$8* Dashboard!$F$4+Dashboard!B$10*SQRT(Dashboard!$F$4) * _xlfn.NORM.S.INV(RAND())</f>
        <v>-3.6664469912178116E-2</v>
      </c>
      <c r="T7604" s="59">
        <f ca="1">Dashboard!C$8* Dashboard!$F$4+Dashboard!C$10*SQRT(Dashboard!$F$4) * _xlfn.NORM.S.INV(RAND())</f>
        <v>2.4106327452775956E-2</v>
      </c>
      <c r="U7604" s="59">
        <f ca="1">Dashboard!D$8* Dashboard!$F$4+Dashboard!D$10*SQRT(Dashboard!$F$4) * _xlfn.NORM.S.INV(RAND())</f>
        <v>-1.8003481982580071E-2</v>
      </c>
    </row>
    <row r="7605" spans="18:21" x14ac:dyDescent="0.2">
      <c r="R7605" s="49">
        <v>7603</v>
      </c>
      <c r="S7605" s="59">
        <f ca="1">Dashboard!B$8* Dashboard!$F$4+Dashboard!B$10*SQRT(Dashboard!$F$4) * _xlfn.NORM.S.INV(RAND())</f>
        <v>-6.5553263932443942E-2</v>
      </c>
      <c r="T7605" s="59">
        <f ca="1">Dashboard!C$8* Dashboard!$F$4+Dashboard!C$10*SQRT(Dashboard!$F$4) * _xlfn.NORM.S.INV(RAND())</f>
        <v>-1.7487284573253454E-2</v>
      </c>
      <c r="U7605" s="59">
        <f ca="1">Dashboard!D$8* Dashboard!$F$4+Dashboard!D$10*SQRT(Dashboard!$F$4) * _xlfn.NORM.S.INV(RAND())</f>
        <v>-4.7696549915053774E-2</v>
      </c>
    </row>
    <row r="7606" spans="18:21" x14ac:dyDescent="0.2">
      <c r="R7606" s="49">
        <v>7604</v>
      </c>
      <c r="S7606" s="59">
        <f ca="1">Dashboard!B$8* Dashboard!$F$4+Dashboard!B$10*SQRT(Dashboard!$F$4) * _xlfn.NORM.S.INV(RAND())</f>
        <v>-2.2568484090672858E-2</v>
      </c>
      <c r="T7606" s="59">
        <f ca="1">Dashboard!C$8* Dashboard!$F$4+Dashboard!C$10*SQRT(Dashboard!$F$4) * _xlfn.NORM.S.INV(RAND())</f>
        <v>8.2654635332205448E-3</v>
      </c>
      <c r="U7606" s="59">
        <f ca="1">Dashboard!D$8* Dashboard!$F$4+Dashboard!D$10*SQRT(Dashboard!$F$4) * _xlfn.NORM.S.INV(RAND())</f>
        <v>3.6331481443753554E-2</v>
      </c>
    </row>
    <row r="7607" spans="18:21" x14ac:dyDescent="0.2">
      <c r="R7607" s="49">
        <v>7605</v>
      </c>
      <c r="S7607" s="59">
        <f ca="1">Dashboard!B$8* Dashboard!$F$4+Dashboard!B$10*SQRT(Dashboard!$F$4) * _xlfn.NORM.S.INV(RAND())</f>
        <v>-6.337562150759422E-3</v>
      </c>
      <c r="T7607" s="59">
        <f ca="1">Dashboard!C$8* Dashboard!$F$4+Dashboard!C$10*SQRT(Dashboard!$F$4) * _xlfn.NORM.S.INV(RAND())</f>
        <v>-2.7306143224229026E-2</v>
      </c>
      <c r="U7607" s="59">
        <f ca="1">Dashboard!D$8* Dashboard!$F$4+Dashboard!D$10*SQRT(Dashboard!$F$4) * _xlfn.NORM.S.INV(RAND())</f>
        <v>-4.3200314345772494E-3</v>
      </c>
    </row>
    <row r="7608" spans="18:21" x14ac:dyDescent="0.2">
      <c r="R7608" s="49">
        <v>7606</v>
      </c>
      <c r="S7608" s="59">
        <f ca="1">Dashboard!B$8* Dashboard!$F$4+Dashboard!B$10*SQRT(Dashboard!$F$4) * _xlfn.NORM.S.INV(RAND())</f>
        <v>-3.1316625064615113E-2</v>
      </c>
      <c r="T7608" s="59">
        <f ca="1">Dashboard!C$8* Dashboard!$F$4+Dashboard!C$10*SQRT(Dashboard!$F$4) * _xlfn.NORM.S.INV(RAND())</f>
        <v>8.0232057110797242E-2</v>
      </c>
      <c r="U7608" s="59">
        <f ca="1">Dashboard!D$8* Dashboard!$F$4+Dashboard!D$10*SQRT(Dashboard!$F$4) * _xlfn.NORM.S.INV(RAND())</f>
        <v>3.1905681554757363E-2</v>
      </c>
    </row>
    <row r="7609" spans="18:21" x14ac:dyDescent="0.2">
      <c r="R7609" s="49">
        <v>7607</v>
      </c>
      <c r="S7609" s="59">
        <f ca="1">Dashboard!B$8* Dashboard!$F$4+Dashboard!B$10*SQRT(Dashboard!$F$4) * _xlfn.NORM.S.INV(RAND())</f>
        <v>-4.0496509409078197E-3</v>
      </c>
      <c r="T7609" s="59">
        <f ca="1">Dashboard!C$8* Dashboard!$F$4+Dashboard!C$10*SQRT(Dashboard!$F$4) * _xlfn.NORM.S.INV(RAND())</f>
        <v>-1.5589130442123553E-2</v>
      </c>
      <c r="U7609" s="59">
        <f ca="1">Dashboard!D$8* Dashboard!$F$4+Dashboard!D$10*SQRT(Dashboard!$F$4) * _xlfn.NORM.S.INV(RAND())</f>
        <v>-7.128044671360316E-2</v>
      </c>
    </row>
    <row r="7610" spans="18:21" x14ac:dyDescent="0.2">
      <c r="R7610" s="49">
        <v>7608</v>
      </c>
      <c r="S7610" s="59">
        <f ca="1">Dashboard!B$8* Dashboard!$F$4+Dashboard!B$10*SQRT(Dashboard!$F$4) * _xlfn.NORM.S.INV(RAND())</f>
        <v>2.3927852935195483E-2</v>
      </c>
      <c r="T7610" s="59">
        <f ca="1">Dashboard!C$8* Dashboard!$F$4+Dashboard!C$10*SQRT(Dashboard!$F$4) * _xlfn.NORM.S.INV(RAND())</f>
        <v>-2.0902157284590694E-3</v>
      </c>
      <c r="U7610" s="59">
        <f ca="1">Dashboard!D$8* Dashboard!$F$4+Dashboard!D$10*SQRT(Dashboard!$F$4) * _xlfn.NORM.S.INV(RAND())</f>
        <v>1.9668881782274852E-2</v>
      </c>
    </row>
    <row r="7611" spans="18:21" x14ac:dyDescent="0.2">
      <c r="R7611" s="49">
        <v>7609</v>
      </c>
      <c r="S7611" s="59">
        <f ca="1">Dashboard!B$8* Dashboard!$F$4+Dashboard!B$10*SQRT(Dashboard!$F$4) * _xlfn.NORM.S.INV(RAND())</f>
        <v>-3.5728256850779488E-2</v>
      </c>
      <c r="T7611" s="59">
        <f ca="1">Dashboard!C$8* Dashboard!$F$4+Dashboard!C$10*SQRT(Dashboard!$F$4) * _xlfn.NORM.S.INV(RAND())</f>
        <v>5.7000091985499525E-2</v>
      </c>
      <c r="U7611" s="59">
        <f ca="1">Dashboard!D$8* Dashboard!$F$4+Dashboard!D$10*SQRT(Dashboard!$F$4) * _xlfn.NORM.S.INV(RAND())</f>
        <v>1.4483325798078428E-2</v>
      </c>
    </row>
    <row r="7612" spans="18:21" x14ac:dyDescent="0.2">
      <c r="R7612" s="49">
        <v>7610</v>
      </c>
      <c r="S7612" s="59">
        <f ca="1">Dashboard!B$8* Dashboard!$F$4+Dashboard!B$10*SQRT(Dashboard!$F$4) * _xlfn.NORM.S.INV(RAND())</f>
        <v>2.0760938045549245E-2</v>
      </c>
      <c r="T7612" s="59">
        <f ca="1">Dashboard!C$8* Dashboard!$F$4+Dashboard!C$10*SQRT(Dashboard!$F$4) * _xlfn.NORM.S.INV(RAND())</f>
        <v>-1.0744377756063503E-2</v>
      </c>
      <c r="U7612" s="59">
        <f ca="1">Dashboard!D$8* Dashboard!$F$4+Dashboard!D$10*SQRT(Dashboard!$F$4) * _xlfn.NORM.S.INV(RAND())</f>
        <v>-3.979320234195863E-3</v>
      </c>
    </row>
    <row r="7613" spans="18:21" x14ac:dyDescent="0.2">
      <c r="R7613" s="49">
        <v>7611</v>
      </c>
      <c r="S7613" s="59">
        <f ca="1">Dashboard!B$8* Dashboard!$F$4+Dashboard!B$10*SQRT(Dashboard!$F$4) * _xlfn.NORM.S.INV(RAND())</f>
        <v>-5.636320115017298E-3</v>
      </c>
      <c r="T7613" s="59">
        <f ca="1">Dashboard!C$8* Dashboard!$F$4+Dashboard!C$10*SQRT(Dashboard!$F$4) * _xlfn.NORM.S.INV(RAND())</f>
        <v>-1.2595330790935264E-2</v>
      </c>
      <c r="U7613" s="59">
        <f ca="1">Dashboard!D$8* Dashboard!$F$4+Dashboard!D$10*SQRT(Dashboard!$F$4) * _xlfn.NORM.S.INV(RAND())</f>
        <v>-2.9587966124618892E-2</v>
      </c>
    </row>
    <row r="7614" spans="18:21" x14ac:dyDescent="0.2">
      <c r="R7614" s="49">
        <v>7612</v>
      </c>
      <c r="S7614" s="59">
        <f ca="1">Dashboard!B$8* Dashboard!$F$4+Dashboard!B$10*SQRT(Dashboard!$F$4) * _xlfn.NORM.S.INV(RAND())</f>
        <v>-6.2795705358366524E-2</v>
      </c>
      <c r="T7614" s="59">
        <f ca="1">Dashboard!C$8* Dashboard!$F$4+Dashboard!C$10*SQRT(Dashboard!$F$4) * _xlfn.NORM.S.INV(RAND())</f>
        <v>-4.1959469841464994E-2</v>
      </c>
      <c r="U7614" s="59">
        <f ca="1">Dashboard!D$8* Dashboard!$F$4+Dashboard!D$10*SQRT(Dashboard!$F$4) * _xlfn.NORM.S.INV(RAND())</f>
        <v>6.2497884680959348E-2</v>
      </c>
    </row>
    <row r="7615" spans="18:21" x14ac:dyDescent="0.2">
      <c r="R7615" s="49">
        <v>7613</v>
      </c>
      <c r="S7615" s="59">
        <f ca="1">Dashboard!B$8* Dashboard!$F$4+Dashboard!B$10*SQRT(Dashboard!$F$4) * _xlfn.NORM.S.INV(RAND())</f>
        <v>1.1210656540822379E-2</v>
      </c>
      <c r="T7615" s="59">
        <f ca="1">Dashboard!C$8* Dashboard!$F$4+Dashboard!C$10*SQRT(Dashboard!$F$4) * _xlfn.NORM.S.INV(RAND())</f>
        <v>4.6986508638966085E-2</v>
      </c>
      <c r="U7615" s="59">
        <f ca="1">Dashboard!D$8* Dashboard!$F$4+Dashboard!D$10*SQRT(Dashboard!$F$4) * _xlfn.NORM.S.INV(RAND())</f>
        <v>-1.2871098751157639E-2</v>
      </c>
    </row>
    <row r="7616" spans="18:21" x14ac:dyDescent="0.2">
      <c r="R7616" s="49">
        <v>7614</v>
      </c>
      <c r="S7616" s="59">
        <f ca="1">Dashboard!B$8* Dashboard!$F$4+Dashboard!B$10*SQRT(Dashboard!$F$4) * _xlfn.NORM.S.INV(RAND())</f>
        <v>6.4428392813539279E-2</v>
      </c>
      <c r="T7616" s="59">
        <f ca="1">Dashboard!C$8* Dashboard!$F$4+Dashboard!C$10*SQRT(Dashboard!$F$4) * _xlfn.NORM.S.INV(RAND())</f>
        <v>-2.2706391654373343E-2</v>
      </c>
      <c r="U7616" s="59">
        <f ca="1">Dashboard!D$8* Dashboard!$F$4+Dashboard!D$10*SQRT(Dashboard!$F$4) * _xlfn.NORM.S.INV(RAND())</f>
        <v>6.6944702931852045E-3</v>
      </c>
    </row>
    <row r="7617" spans="18:21" x14ac:dyDescent="0.2">
      <c r="R7617" s="49">
        <v>7615</v>
      </c>
      <c r="S7617" s="59">
        <f ca="1">Dashboard!B$8* Dashboard!$F$4+Dashboard!B$10*SQRT(Dashboard!$F$4) * _xlfn.NORM.S.INV(RAND())</f>
        <v>-4.7326917425618608E-3</v>
      </c>
      <c r="T7617" s="59">
        <f ca="1">Dashboard!C$8* Dashboard!$F$4+Dashboard!C$10*SQRT(Dashboard!$F$4) * _xlfn.NORM.S.INV(RAND())</f>
        <v>-6.3266160451731501E-2</v>
      </c>
      <c r="U7617" s="59">
        <f ca="1">Dashboard!D$8* Dashboard!$F$4+Dashboard!D$10*SQRT(Dashboard!$F$4) * _xlfn.NORM.S.INV(RAND())</f>
        <v>3.8013440645707754E-2</v>
      </c>
    </row>
    <row r="7618" spans="18:21" x14ac:dyDescent="0.2">
      <c r="R7618" s="49">
        <v>7616</v>
      </c>
      <c r="S7618" s="59">
        <f ca="1">Dashboard!B$8* Dashboard!$F$4+Dashboard!B$10*SQRT(Dashboard!$F$4) * _xlfn.NORM.S.INV(RAND())</f>
        <v>6.4831117474911562E-2</v>
      </c>
      <c r="T7618" s="59">
        <f ca="1">Dashboard!C$8* Dashboard!$F$4+Dashboard!C$10*SQRT(Dashboard!$F$4) * _xlfn.NORM.S.INV(RAND())</f>
        <v>3.4339999580487071E-2</v>
      </c>
      <c r="U7618" s="59">
        <f ca="1">Dashboard!D$8* Dashboard!$F$4+Dashboard!D$10*SQRT(Dashboard!$F$4) * _xlfn.NORM.S.INV(RAND())</f>
        <v>-1.233019380063815E-3</v>
      </c>
    </row>
    <row r="7619" spans="18:21" x14ac:dyDescent="0.2">
      <c r="R7619" s="49">
        <v>7617</v>
      </c>
      <c r="S7619" s="59">
        <f ca="1">Dashboard!B$8* Dashboard!$F$4+Dashboard!B$10*SQRT(Dashboard!$F$4) * _xlfn.NORM.S.INV(RAND())</f>
        <v>-1.3207425424740198E-2</v>
      </c>
      <c r="T7619" s="59">
        <f ca="1">Dashboard!C$8* Dashboard!$F$4+Dashboard!C$10*SQRT(Dashboard!$F$4) * _xlfn.NORM.S.INV(RAND())</f>
        <v>6.1195422519780045E-2</v>
      </c>
      <c r="U7619" s="59">
        <f ca="1">Dashboard!D$8* Dashboard!$F$4+Dashboard!D$10*SQRT(Dashboard!$F$4) * _xlfn.NORM.S.INV(RAND())</f>
        <v>1.36869484303145E-2</v>
      </c>
    </row>
    <row r="7620" spans="18:21" x14ac:dyDescent="0.2">
      <c r="R7620" s="49">
        <v>7618</v>
      </c>
      <c r="S7620" s="59">
        <f ca="1">Dashboard!B$8* Dashboard!$F$4+Dashboard!B$10*SQRT(Dashboard!$F$4) * _xlfn.NORM.S.INV(RAND())</f>
        <v>4.2821565473004378E-2</v>
      </c>
      <c r="T7620" s="59">
        <f ca="1">Dashboard!C$8* Dashboard!$F$4+Dashboard!C$10*SQRT(Dashboard!$F$4) * _xlfn.NORM.S.INV(RAND())</f>
        <v>-6.0422386330283531E-2</v>
      </c>
      <c r="U7620" s="59">
        <f ca="1">Dashboard!D$8* Dashboard!$F$4+Dashboard!D$10*SQRT(Dashboard!$F$4) * _xlfn.NORM.S.INV(RAND())</f>
        <v>4.4211151705378579E-2</v>
      </c>
    </row>
    <row r="7621" spans="18:21" x14ac:dyDescent="0.2">
      <c r="R7621" s="49">
        <v>7619</v>
      </c>
      <c r="S7621" s="59">
        <f ca="1">Dashboard!B$8* Dashboard!$F$4+Dashboard!B$10*SQRT(Dashboard!$F$4) * _xlfn.NORM.S.INV(RAND())</f>
        <v>2.2056514054573602E-2</v>
      </c>
      <c r="T7621" s="59">
        <f ca="1">Dashboard!C$8* Dashboard!$F$4+Dashboard!C$10*SQRT(Dashboard!$F$4) * _xlfn.NORM.S.INV(RAND())</f>
        <v>-1.5619821361552995E-2</v>
      </c>
      <c r="U7621" s="59">
        <f ca="1">Dashboard!D$8* Dashboard!$F$4+Dashboard!D$10*SQRT(Dashboard!$F$4) * _xlfn.NORM.S.INV(RAND())</f>
        <v>-4.9244984545708092E-3</v>
      </c>
    </row>
    <row r="7622" spans="18:21" x14ac:dyDescent="0.2">
      <c r="R7622" s="49">
        <v>7620</v>
      </c>
      <c r="S7622" s="59">
        <f ca="1">Dashboard!B$8* Dashboard!$F$4+Dashboard!B$10*SQRT(Dashboard!$F$4) * _xlfn.NORM.S.INV(RAND())</f>
        <v>1.8193190133066701E-2</v>
      </c>
      <c r="T7622" s="59">
        <f ca="1">Dashboard!C$8* Dashboard!$F$4+Dashboard!C$10*SQRT(Dashboard!$F$4) * _xlfn.NORM.S.INV(RAND())</f>
        <v>-2.1756610210547742E-2</v>
      </c>
      <c r="U7622" s="59">
        <f ca="1">Dashboard!D$8* Dashboard!$F$4+Dashboard!D$10*SQRT(Dashboard!$F$4) * _xlfn.NORM.S.INV(RAND())</f>
        <v>-2.040737593438419E-2</v>
      </c>
    </row>
    <row r="7623" spans="18:21" x14ac:dyDescent="0.2">
      <c r="R7623" s="49">
        <v>7621</v>
      </c>
      <c r="S7623" s="59">
        <f ca="1">Dashboard!B$8* Dashboard!$F$4+Dashboard!B$10*SQRT(Dashboard!$F$4) * _xlfn.NORM.S.INV(RAND())</f>
        <v>-2.733108487346482E-2</v>
      </c>
      <c r="T7623" s="59">
        <f ca="1">Dashboard!C$8* Dashboard!$F$4+Dashboard!C$10*SQRT(Dashboard!$F$4) * _xlfn.NORM.S.INV(RAND())</f>
        <v>2.5125345395284437E-2</v>
      </c>
      <c r="U7623" s="59">
        <f ca="1">Dashboard!D$8* Dashboard!$F$4+Dashboard!D$10*SQRT(Dashboard!$F$4) * _xlfn.NORM.S.INV(RAND())</f>
        <v>-3.8436702790761099E-2</v>
      </c>
    </row>
    <row r="7624" spans="18:21" x14ac:dyDescent="0.2">
      <c r="R7624" s="49">
        <v>7622</v>
      </c>
      <c r="S7624" s="59">
        <f ca="1">Dashboard!B$8* Dashboard!$F$4+Dashboard!B$10*SQRT(Dashboard!$F$4) * _xlfn.NORM.S.INV(RAND())</f>
        <v>2.3225771875345837E-2</v>
      </c>
      <c r="T7624" s="59">
        <f ca="1">Dashboard!C$8* Dashboard!$F$4+Dashboard!C$10*SQRT(Dashboard!$F$4) * _xlfn.NORM.S.INV(RAND())</f>
        <v>-7.3144781804552498E-3</v>
      </c>
      <c r="U7624" s="59">
        <f ca="1">Dashboard!D$8* Dashboard!$F$4+Dashboard!D$10*SQRT(Dashboard!$F$4) * _xlfn.NORM.S.INV(RAND())</f>
        <v>1.2464031786575604E-2</v>
      </c>
    </row>
    <row r="7625" spans="18:21" x14ac:dyDescent="0.2">
      <c r="R7625" s="49">
        <v>7623</v>
      </c>
      <c r="S7625" s="59">
        <f ca="1">Dashboard!B$8* Dashboard!$F$4+Dashboard!B$10*SQRT(Dashboard!$F$4) * _xlfn.NORM.S.INV(RAND())</f>
        <v>-4.1253311262092369E-2</v>
      </c>
      <c r="T7625" s="59">
        <f ca="1">Dashboard!C$8* Dashboard!$F$4+Dashboard!C$10*SQRT(Dashboard!$F$4) * _xlfn.NORM.S.INV(RAND())</f>
        <v>1.1978565092183912E-2</v>
      </c>
      <c r="U7625" s="59">
        <f ca="1">Dashboard!D$8* Dashboard!$F$4+Dashboard!D$10*SQRT(Dashboard!$F$4) * _xlfn.NORM.S.INV(RAND())</f>
        <v>2.0953576367756042E-2</v>
      </c>
    </row>
    <row r="7626" spans="18:21" x14ac:dyDescent="0.2">
      <c r="R7626" s="49">
        <v>7624</v>
      </c>
      <c r="S7626" s="59">
        <f ca="1">Dashboard!B$8* Dashboard!$F$4+Dashboard!B$10*SQRT(Dashboard!$F$4) * _xlfn.NORM.S.INV(RAND())</f>
        <v>1.3059810403564178E-2</v>
      </c>
      <c r="T7626" s="59">
        <f ca="1">Dashboard!C$8* Dashboard!$F$4+Dashboard!C$10*SQRT(Dashboard!$F$4) * _xlfn.NORM.S.INV(RAND())</f>
        <v>8.7896032994137473E-3</v>
      </c>
      <c r="U7626" s="59">
        <f ca="1">Dashboard!D$8* Dashboard!$F$4+Dashboard!D$10*SQRT(Dashboard!$F$4) * _xlfn.NORM.S.INV(RAND())</f>
        <v>-9.4003812025035246E-4</v>
      </c>
    </row>
    <row r="7627" spans="18:21" x14ac:dyDescent="0.2">
      <c r="R7627" s="49">
        <v>7625</v>
      </c>
      <c r="S7627" s="59">
        <f ca="1">Dashboard!B$8* Dashboard!$F$4+Dashboard!B$10*SQRT(Dashboard!$F$4) * _xlfn.NORM.S.INV(RAND())</f>
        <v>2.7974485184487693E-3</v>
      </c>
      <c r="T7627" s="59">
        <f ca="1">Dashboard!C$8* Dashboard!$F$4+Dashboard!C$10*SQRT(Dashboard!$F$4) * _xlfn.NORM.S.INV(RAND())</f>
        <v>3.8555164862785436E-2</v>
      </c>
      <c r="U7627" s="59">
        <f ca="1">Dashboard!D$8* Dashboard!$F$4+Dashboard!D$10*SQRT(Dashboard!$F$4) * _xlfn.NORM.S.INV(RAND())</f>
        <v>1.5179560195317399E-3</v>
      </c>
    </row>
    <row r="7628" spans="18:21" x14ac:dyDescent="0.2">
      <c r="R7628" s="49">
        <v>7626</v>
      </c>
      <c r="S7628" s="59">
        <f ca="1">Dashboard!B$8* Dashboard!$F$4+Dashboard!B$10*SQRT(Dashboard!$F$4) * _xlfn.NORM.S.INV(RAND())</f>
        <v>-3.152413765330421E-2</v>
      </c>
      <c r="T7628" s="59">
        <f ca="1">Dashboard!C$8* Dashboard!$F$4+Dashboard!C$10*SQRT(Dashboard!$F$4) * _xlfn.NORM.S.INV(RAND())</f>
        <v>-1.0032157522461369E-2</v>
      </c>
      <c r="U7628" s="59">
        <f ca="1">Dashboard!D$8* Dashboard!$F$4+Dashboard!D$10*SQRT(Dashboard!$F$4) * _xlfn.NORM.S.INV(RAND())</f>
        <v>-2.0570421482774163E-2</v>
      </c>
    </row>
    <row r="7629" spans="18:21" x14ac:dyDescent="0.2">
      <c r="R7629" s="49">
        <v>7627</v>
      </c>
      <c r="S7629" s="59">
        <f ca="1">Dashboard!B$8* Dashboard!$F$4+Dashboard!B$10*SQRT(Dashboard!$F$4) * _xlfn.NORM.S.INV(RAND())</f>
        <v>1.6936695183384587E-2</v>
      </c>
      <c r="T7629" s="59">
        <f ca="1">Dashboard!C$8* Dashboard!$F$4+Dashboard!C$10*SQRT(Dashboard!$F$4) * _xlfn.NORM.S.INV(RAND())</f>
        <v>-1.442161592293038E-2</v>
      </c>
      <c r="U7629" s="59">
        <f ca="1">Dashboard!D$8* Dashboard!$F$4+Dashboard!D$10*SQRT(Dashboard!$F$4) * _xlfn.NORM.S.INV(RAND())</f>
        <v>-2.4840713332339087E-2</v>
      </c>
    </row>
    <row r="7630" spans="18:21" x14ac:dyDescent="0.2">
      <c r="R7630" s="49">
        <v>7628</v>
      </c>
      <c r="S7630" s="59">
        <f ca="1">Dashboard!B$8* Dashboard!$F$4+Dashboard!B$10*SQRT(Dashboard!$F$4) * _xlfn.NORM.S.INV(RAND())</f>
        <v>2.5340412420168122E-2</v>
      </c>
      <c r="T7630" s="59">
        <f ca="1">Dashboard!C$8* Dashboard!$F$4+Dashboard!C$10*SQRT(Dashboard!$F$4) * _xlfn.NORM.S.INV(RAND())</f>
        <v>2.2855774094754134E-2</v>
      </c>
      <c r="U7630" s="59">
        <f ca="1">Dashboard!D$8* Dashboard!$F$4+Dashboard!D$10*SQRT(Dashboard!$F$4) * _xlfn.NORM.S.INV(RAND())</f>
        <v>-2.7487013897964541E-2</v>
      </c>
    </row>
    <row r="7631" spans="18:21" x14ac:dyDescent="0.2">
      <c r="R7631" s="49">
        <v>7629</v>
      </c>
      <c r="S7631" s="59">
        <f ca="1">Dashboard!B$8* Dashboard!$F$4+Dashboard!B$10*SQRT(Dashboard!$F$4) * _xlfn.NORM.S.INV(RAND())</f>
        <v>3.9877038827060104E-2</v>
      </c>
      <c r="T7631" s="59">
        <f ca="1">Dashboard!C$8* Dashboard!$F$4+Dashboard!C$10*SQRT(Dashboard!$F$4) * _xlfn.NORM.S.INV(RAND())</f>
        <v>-2.708702836284985E-2</v>
      </c>
      <c r="U7631" s="59">
        <f ca="1">Dashboard!D$8* Dashboard!$F$4+Dashboard!D$10*SQRT(Dashboard!$F$4) * _xlfn.NORM.S.INV(RAND())</f>
        <v>-1.3369964530533022E-2</v>
      </c>
    </row>
    <row r="7632" spans="18:21" x14ac:dyDescent="0.2">
      <c r="R7632" s="49">
        <v>7630</v>
      </c>
      <c r="S7632" s="59">
        <f ca="1">Dashboard!B$8* Dashboard!$F$4+Dashboard!B$10*SQRT(Dashboard!$F$4) * _xlfn.NORM.S.INV(RAND())</f>
        <v>-5.4739864845366002E-3</v>
      </c>
      <c r="T7632" s="59">
        <f ca="1">Dashboard!C$8* Dashboard!$F$4+Dashboard!C$10*SQRT(Dashboard!$F$4) * _xlfn.NORM.S.INV(RAND())</f>
        <v>-4.684719477674211E-2</v>
      </c>
      <c r="U7632" s="59">
        <f ca="1">Dashboard!D$8* Dashboard!$F$4+Dashboard!D$10*SQRT(Dashboard!$F$4) * _xlfn.NORM.S.INV(RAND())</f>
        <v>-2.1675486659142013E-2</v>
      </c>
    </row>
    <row r="7633" spans="18:21" x14ac:dyDescent="0.2">
      <c r="R7633" s="49">
        <v>7631</v>
      </c>
      <c r="S7633" s="59">
        <f ca="1">Dashboard!B$8* Dashboard!$F$4+Dashboard!B$10*SQRT(Dashboard!$F$4) * _xlfn.NORM.S.INV(RAND())</f>
        <v>-4.2308754113356342E-3</v>
      </c>
      <c r="T7633" s="59">
        <f ca="1">Dashboard!C$8* Dashboard!$F$4+Dashboard!C$10*SQRT(Dashboard!$F$4) * _xlfn.NORM.S.INV(RAND())</f>
        <v>3.7666776961283815E-2</v>
      </c>
      <c r="U7633" s="59">
        <f ca="1">Dashboard!D$8* Dashboard!$F$4+Dashboard!D$10*SQRT(Dashboard!$F$4) * _xlfn.NORM.S.INV(RAND())</f>
        <v>3.0565223631538747E-2</v>
      </c>
    </row>
    <row r="7634" spans="18:21" x14ac:dyDescent="0.2">
      <c r="R7634" s="49">
        <v>7632</v>
      </c>
      <c r="S7634" s="59">
        <f ca="1">Dashboard!B$8* Dashboard!$F$4+Dashboard!B$10*SQRT(Dashboard!$F$4) * _xlfn.NORM.S.INV(RAND())</f>
        <v>-5.5731197985221352E-3</v>
      </c>
      <c r="T7634" s="59">
        <f ca="1">Dashboard!C$8* Dashboard!$F$4+Dashboard!C$10*SQRT(Dashboard!$F$4) * _xlfn.NORM.S.INV(RAND())</f>
        <v>-1.5124734643730847E-2</v>
      </c>
      <c r="U7634" s="59">
        <f ca="1">Dashboard!D$8* Dashboard!$F$4+Dashboard!D$10*SQRT(Dashboard!$F$4) * _xlfn.NORM.S.INV(RAND())</f>
        <v>-3.9034089680949048E-2</v>
      </c>
    </row>
    <row r="7635" spans="18:21" x14ac:dyDescent="0.2">
      <c r="R7635" s="49">
        <v>7633</v>
      </c>
      <c r="S7635" s="59">
        <f ca="1">Dashboard!B$8* Dashboard!$F$4+Dashboard!B$10*SQRT(Dashboard!$F$4) * _xlfn.NORM.S.INV(RAND())</f>
        <v>4.2678588995232546E-2</v>
      </c>
      <c r="T7635" s="59">
        <f ca="1">Dashboard!C$8* Dashboard!$F$4+Dashboard!C$10*SQRT(Dashboard!$F$4) * _xlfn.NORM.S.INV(RAND())</f>
        <v>-2.5725579420572279E-3</v>
      </c>
      <c r="U7635" s="59">
        <f ca="1">Dashboard!D$8* Dashboard!$F$4+Dashboard!D$10*SQRT(Dashboard!$F$4) * _xlfn.NORM.S.INV(RAND())</f>
        <v>2.008761392657114E-2</v>
      </c>
    </row>
    <row r="7636" spans="18:21" x14ac:dyDescent="0.2">
      <c r="R7636" s="49">
        <v>7634</v>
      </c>
      <c r="S7636" s="59">
        <f ca="1">Dashboard!B$8* Dashboard!$F$4+Dashboard!B$10*SQRT(Dashboard!$F$4) * _xlfn.NORM.S.INV(RAND())</f>
        <v>-3.2818083815597887E-3</v>
      </c>
      <c r="T7636" s="59">
        <f ca="1">Dashboard!C$8* Dashboard!$F$4+Dashboard!C$10*SQRT(Dashboard!$F$4) * _xlfn.NORM.S.INV(RAND())</f>
        <v>4.714236703288472E-2</v>
      </c>
      <c r="U7636" s="59">
        <f ca="1">Dashboard!D$8* Dashboard!$F$4+Dashboard!D$10*SQRT(Dashboard!$F$4) * _xlfn.NORM.S.INV(RAND())</f>
        <v>3.4320529450542619E-3</v>
      </c>
    </row>
    <row r="7637" spans="18:21" x14ac:dyDescent="0.2">
      <c r="R7637" s="49">
        <v>7635</v>
      </c>
      <c r="S7637" s="59">
        <f ca="1">Dashboard!B$8* Dashboard!$F$4+Dashboard!B$10*SQRT(Dashboard!$F$4) * _xlfn.NORM.S.INV(RAND())</f>
        <v>-5.2188667152163505E-2</v>
      </c>
      <c r="T7637" s="59">
        <f ca="1">Dashboard!C$8* Dashboard!$F$4+Dashboard!C$10*SQRT(Dashboard!$F$4) * _xlfn.NORM.S.INV(RAND())</f>
        <v>-1.6759801927997312E-2</v>
      </c>
      <c r="U7637" s="59">
        <f ca="1">Dashboard!D$8* Dashboard!$F$4+Dashboard!D$10*SQRT(Dashboard!$F$4) * _xlfn.NORM.S.INV(RAND())</f>
        <v>-1.6716603259462625E-2</v>
      </c>
    </row>
    <row r="7638" spans="18:21" x14ac:dyDescent="0.2">
      <c r="R7638" s="49">
        <v>7636</v>
      </c>
      <c r="S7638" s="59">
        <f ca="1">Dashboard!B$8* Dashboard!$F$4+Dashboard!B$10*SQRT(Dashboard!$F$4) * _xlfn.NORM.S.INV(RAND())</f>
        <v>-5.3178069472955961E-2</v>
      </c>
      <c r="T7638" s="59">
        <f ca="1">Dashboard!C$8* Dashboard!$F$4+Dashboard!C$10*SQRT(Dashboard!$F$4) * _xlfn.NORM.S.INV(RAND())</f>
        <v>-5.075099012483561E-2</v>
      </c>
      <c r="U7638" s="59">
        <f ca="1">Dashboard!D$8* Dashboard!$F$4+Dashboard!D$10*SQRT(Dashboard!$F$4) * _xlfn.NORM.S.INV(RAND())</f>
        <v>2.3688775654435727E-2</v>
      </c>
    </row>
    <row r="7639" spans="18:21" x14ac:dyDescent="0.2">
      <c r="R7639" s="49">
        <v>7637</v>
      </c>
      <c r="S7639" s="59">
        <f ca="1">Dashboard!B$8* Dashboard!$F$4+Dashboard!B$10*SQRT(Dashboard!$F$4) * _xlfn.NORM.S.INV(RAND())</f>
        <v>1.4907623612788268E-2</v>
      </c>
      <c r="T7639" s="59">
        <f ca="1">Dashboard!C$8* Dashboard!$F$4+Dashboard!C$10*SQRT(Dashboard!$F$4) * _xlfn.NORM.S.INV(RAND())</f>
        <v>7.6198108735071338E-2</v>
      </c>
      <c r="U7639" s="59">
        <f ca="1">Dashboard!D$8* Dashboard!$F$4+Dashboard!D$10*SQRT(Dashboard!$F$4) * _xlfn.NORM.S.INV(RAND())</f>
        <v>-6.205879510962093E-3</v>
      </c>
    </row>
    <row r="7640" spans="18:21" x14ac:dyDescent="0.2">
      <c r="R7640" s="49">
        <v>7638</v>
      </c>
      <c r="S7640" s="59">
        <f ca="1">Dashboard!B$8* Dashboard!$F$4+Dashboard!B$10*SQRT(Dashboard!$F$4) * _xlfn.NORM.S.INV(RAND())</f>
        <v>-4.1409391046860748E-2</v>
      </c>
      <c r="T7640" s="59">
        <f ca="1">Dashboard!C$8* Dashboard!$F$4+Dashboard!C$10*SQRT(Dashboard!$F$4) * _xlfn.NORM.S.INV(RAND())</f>
        <v>3.0075540161236546E-2</v>
      </c>
      <c r="U7640" s="59">
        <f ca="1">Dashboard!D$8* Dashboard!$F$4+Dashboard!D$10*SQRT(Dashboard!$F$4) * _xlfn.NORM.S.INV(RAND())</f>
        <v>-3.8608085595100171E-2</v>
      </c>
    </row>
    <row r="7641" spans="18:21" x14ac:dyDescent="0.2">
      <c r="R7641" s="49">
        <v>7639</v>
      </c>
      <c r="S7641" s="59">
        <f ca="1">Dashboard!B$8* Dashboard!$F$4+Dashboard!B$10*SQRT(Dashboard!$F$4) * _xlfn.NORM.S.INV(RAND())</f>
        <v>-4.7995801450687894E-2</v>
      </c>
      <c r="T7641" s="59">
        <f ca="1">Dashboard!C$8* Dashboard!$F$4+Dashboard!C$10*SQRT(Dashboard!$F$4) * _xlfn.NORM.S.INV(RAND())</f>
        <v>-4.887319978135944E-3</v>
      </c>
      <c r="U7641" s="59">
        <f ca="1">Dashboard!D$8* Dashboard!$F$4+Dashboard!D$10*SQRT(Dashboard!$F$4) * _xlfn.NORM.S.INV(RAND())</f>
        <v>-1.9402067177193616E-2</v>
      </c>
    </row>
    <row r="7642" spans="18:21" x14ac:dyDescent="0.2">
      <c r="R7642" s="49">
        <v>7640</v>
      </c>
      <c r="S7642" s="59">
        <f ca="1">Dashboard!B$8* Dashboard!$F$4+Dashboard!B$10*SQRT(Dashboard!$F$4) * _xlfn.NORM.S.INV(RAND())</f>
        <v>-6.5758678490269312E-4</v>
      </c>
      <c r="T7642" s="59">
        <f ca="1">Dashboard!C$8* Dashboard!$F$4+Dashboard!C$10*SQRT(Dashboard!$F$4) * _xlfn.NORM.S.INV(RAND())</f>
        <v>-3.7222313462647504E-2</v>
      </c>
      <c r="U7642" s="59">
        <f ca="1">Dashboard!D$8* Dashboard!$F$4+Dashboard!D$10*SQRT(Dashboard!$F$4) * _xlfn.NORM.S.INV(RAND())</f>
        <v>4.6399734443254639E-2</v>
      </c>
    </row>
    <row r="7643" spans="18:21" x14ac:dyDescent="0.2">
      <c r="R7643" s="49">
        <v>7641</v>
      </c>
      <c r="S7643" s="59">
        <f ca="1">Dashboard!B$8* Dashboard!$F$4+Dashboard!B$10*SQRT(Dashboard!$F$4) * _xlfn.NORM.S.INV(RAND())</f>
        <v>-5.8711635159143613E-2</v>
      </c>
      <c r="T7643" s="59">
        <f ca="1">Dashboard!C$8* Dashboard!$F$4+Dashboard!C$10*SQRT(Dashboard!$F$4) * _xlfn.NORM.S.INV(RAND())</f>
        <v>2.2094918451430051E-2</v>
      </c>
      <c r="U7643" s="59">
        <f ca="1">Dashboard!D$8* Dashboard!$F$4+Dashboard!D$10*SQRT(Dashboard!$F$4) * _xlfn.NORM.S.INV(RAND())</f>
        <v>1.8856892540677454E-2</v>
      </c>
    </row>
    <row r="7644" spans="18:21" x14ac:dyDescent="0.2">
      <c r="R7644" s="49">
        <v>7642</v>
      </c>
      <c r="S7644" s="59">
        <f ca="1">Dashboard!B$8* Dashboard!$F$4+Dashboard!B$10*SQRT(Dashboard!$F$4) * _xlfn.NORM.S.INV(RAND())</f>
        <v>1.8935518432312393E-2</v>
      </c>
      <c r="T7644" s="59">
        <f ca="1">Dashboard!C$8* Dashboard!$F$4+Dashboard!C$10*SQRT(Dashboard!$F$4) * _xlfn.NORM.S.INV(RAND())</f>
        <v>2.8247899000905453E-2</v>
      </c>
      <c r="U7644" s="59">
        <f ca="1">Dashboard!D$8* Dashboard!$F$4+Dashboard!D$10*SQRT(Dashboard!$F$4) * _xlfn.NORM.S.INV(RAND())</f>
        <v>2.6525951876220037E-3</v>
      </c>
    </row>
    <row r="7645" spans="18:21" x14ac:dyDescent="0.2">
      <c r="R7645" s="49">
        <v>7643</v>
      </c>
      <c r="S7645" s="59">
        <f ca="1">Dashboard!B$8* Dashboard!$F$4+Dashboard!B$10*SQRT(Dashboard!$F$4) * _xlfn.NORM.S.INV(RAND())</f>
        <v>2.7940782284242793E-2</v>
      </c>
      <c r="T7645" s="59">
        <f ca="1">Dashboard!C$8* Dashboard!$F$4+Dashboard!C$10*SQRT(Dashboard!$F$4) * _xlfn.NORM.S.INV(RAND())</f>
        <v>7.7417276943524863E-2</v>
      </c>
      <c r="U7645" s="59">
        <f ca="1">Dashboard!D$8* Dashboard!$F$4+Dashboard!D$10*SQRT(Dashboard!$F$4) * _xlfn.NORM.S.INV(RAND())</f>
        <v>2.6981850199845774E-2</v>
      </c>
    </row>
    <row r="7646" spans="18:21" x14ac:dyDescent="0.2">
      <c r="R7646" s="49">
        <v>7644</v>
      </c>
      <c r="S7646" s="59">
        <f ca="1">Dashboard!B$8* Dashboard!$F$4+Dashboard!B$10*SQRT(Dashboard!$F$4) * _xlfn.NORM.S.INV(RAND())</f>
        <v>-5.4569405806699355E-2</v>
      </c>
      <c r="T7646" s="59">
        <f ca="1">Dashboard!C$8* Dashboard!$F$4+Dashboard!C$10*SQRT(Dashboard!$F$4) * _xlfn.NORM.S.INV(RAND())</f>
        <v>-4.0527691395889513E-2</v>
      </c>
      <c r="U7646" s="59">
        <f ca="1">Dashboard!D$8* Dashboard!$F$4+Dashboard!D$10*SQRT(Dashboard!$F$4) * _xlfn.NORM.S.INV(RAND())</f>
        <v>-4.4684418059267178E-2</v>
      </c>
    </row>
    <row r="7647" spans="18:21" x14ac:dyDescent="0.2">
      <c r="R7647" s="49">
        <v>7645</v>
      </c>
      <c r="S7647" s="59">
        <f ca="1">Dashboard!B$8* Dashboard!$F$4+Dashboard!B$10*SQRT(Dashboard!$F$4) * _xlfn.NORM.S.INV(RAND())</f>
        <v>-4.1722674111232705E-2</v>
      </c>
      <c r="T7647" s="59">
        <f ca="1">Dashboard!C$8* Dashboard!$F$4+Dashboard!C$10*SQRT(Dashboard!$F$4) * _xlfn.NORM.S.INV(RAND())</f>
        <v>1.4205162334867006E-2</v>
      </c>
      <c r="U7647" s="59">
        <f ca="1">Dashboard!D$8* Dashboard!$F$4+Dashboard!D$10*SQRT(Dashboard!$F$4) * _xlfn.NORM.S.INV(RAND())</f>
        <v>-2.6725392992400759E-2</v>
      </c>
    </row>
    <row r="7648" spans="18:21" x14ac:dyDescent="0.2">
      <c r="R7648" s="49">
        <v>7646</v>
      </c>
      <c r="S7648" s="59">
        <f ca="1">Dashboard!B$8* Dashboard!$F$4+Dashboard!B$10*SQRT(Dashboard!$F$4) * _xlfn.NORM.S.INV(RAND())</f>
        <v>-1.1502107342657369E-2</v>
      </c>
      <c r="T7648" s="59">
        <f ca="1">Dashboard!C$8* Dashboard!$F$4+Dashboard!C$10*SQRT(Dashboard!$F$4) * _xlfn.NORM.S.INV(RAND())</f>
        <v>-8.6427651761413378E-3</v>
      </c>
      <c r="U7648" s="59">
        <f ca="1">Dashboard!D$8* Dashboard!$F$4+Dashboard!D$10*SQRT(Dashboard!$F$4) * _xlfn.NORM.S.INV(RAND())</f>
        <v>1.3460153104079763E-2</v>
      </c>
    </row>
    <row r="7649" spans="18:21" x14ac:dyDescent="0.2">
      <c r="R7649" s="49">
        <v>7647</v>
      </c>
      <c r="S7649" s="59">
        <f ca="1">Dashboard!B$8* Dashboard!$F$4+Dashboard!B$10*SQRT(Dashboard!$F$4) * _xlfn.NORM.S.INV(RAND())</f>
        <v>-4.9828394398989596E-2</v>
      </c>
      <c r="T7649" s="59">
        <f ca="1">Dashboard!C$8* Dashboard!$F$4+Dashboard!C$10*SQRT(Dashboard!$F$4) * _xlfn.NORM.S.INV(RAND())</f>
        <v>-4.0814480360574293E-2</v>
      </c>
      <c r="U7649" s="59">
        <f ca="1">Dashboard!D$8* Dashboard!$F$4+Dashboard!D$10*SQRT(Dashboard!$F$4) * _xlfn.NORM.S.INV(RAND())</f>
        <v>-4.6758968232927439E-2</v>
      </c>
    </row>
    <row r="7650" spans="18:21" x14ac:dyDescent="0.2">
      <c r="R7650" s="49">
        <v>7648</v>
      </c>
      <c r="S7650" s="59">
        <f ca="1">Dashboard!B$8* Dashboard!$F$4+Dashboard!B$10*SQRT(Dashboard!$F$4) * _xlfn.NORM.S.INV(RAND())</f>
        <v>-1.3077713376196495E-2</v>
      </c>
      <c r="T7650" s="59">
        <f ca="1">Dashboard!C$8* Dashboard!$F$4+Dashboard!C$10*SQRT(Dashboard!$F$4) * _xlfn.NORM.S.INV(RAND())</f>
        <v>1.3033566741533682E-2</v>
      </c>
      <c r="U7650" s="59">
        <f ca="1">Dashboard!D$8* Dashboard!$F$4+Dashboard!D$10*SQRT(Dashboard!$F$4) * _xlfn.NORM.S.INV(RAND())</f>
        <v>-1.2243304683067063E-2</v>
      </c>
    </row>
    <row r="7651" spans="18:21" x14ac:dyDescent="0.2">
      <c r="R7651" s="49">
        <v>7649</v>
      </c>
      <c r="S7651" s="59">
        <f ca="1">Dashboard!B$8* Dashboard!$F$4+Dashboard!B$10*SQRT(Dashboard!$F$4) * _xlfn.NORM.S.INV(RAND())</f>
        <v>2.4567246688406749E-2</v>
      </c>
      <c r="T7651" s="59">
        <f ca="1">Dashboard!C$8* Dashboard!$F$4+Dashboard!C$10*SQRT(Dashboard!$F$4) * _xlfn.NORM.S.INV(RAND())</f>
        <v>2.1810546414566527E-2</v>
      </c>
      <c r="U7651" s="59">
        <f ca="1">Dashboard!D$8* Dashboard!$F$4+Dashboard!D$10*SQRT(Dashboard!$F$4) * _xlfn.NORM.S.INV(RAND())</f>
        <v>-2.4230268744895193E-2</v>
      </c>
    </row>
    <row r="7652" spans="18:21" x14ac:dyDescent="0.2">
      <c r="R7652" s="49">
        <v>7650</v>
      </c>
      <c r="S7652" s="59">
        <f ca="1">Dashboard!B$8* Dashboard!$F$4+Dashboard!B$10*SQRT(Dashboard!$F$4) * _xlfn.NORM.S.INV(RAND())</f>
        <v>-2.4765704820547393E-2</v>
      </c>
      <c r="T7652" s="59">
        <f ca="1">Dashboard!C$8* Dashboard!$F$4+Dashboard!C$10*SQRT(Dashboard!$F$4) * _xlfn.NORM.S.INV(RAND())</f>
        <v>2.7687291504567675E-2</v>
      </c>
      <c r="U7652" s="59">
        <f ca="1">Dashboard!D$8* Dashboard!$F$4+Dashboard!D$10*SQRT(Dashboard!$F$4) * _xlfn.NORM.S.INV(RAND())</f>
        <v>-3.5262054282177914E-2</v>
      </c>
    </row>
    <row r="7653" spans="18:21" x14ac:dyDescent="0.2">
      <c r="R7653" s="49">
        <v>7651</v>
      </c>
      <c r="S7653" s="59">
        <f ca="1">Dashboard!B$8* Dashboard!$F$4+Dashboard!B$10*SQRT(Dashboard!$F$4) * _xlfn.NORM.S.INV(RAND())</f>
        <v>3.3218181649800831E-2</v>
      </c>
      <c r="T7653" s="59">
        <f ca="1">Dashboard!C$8* Dashboard!$F$4+Dashboard!C$10*SQRT(Dashboard!$F$4) * _xlfn.NORM.S.INV(RAND())</f>
        <v>1.8037644862573286E-2</v>
      </c>
      <c r="U7653" s="59">
        <f ca="1">Dashboard!D$8* Dashboard!$F$4+Dashboard!D$10*SQRT(Dashboard!$F$4) * _xlfn.NORM.S.INV(RAND())</f>
        <v>1.7046078794929628E-2</v>
      </c>
    </row>
    <row r="7654" spans="18:21" x14ac:dyDescent="0.2">
      <c r="R7654" s="49">
        <v>7652</v>
      </c>
      <c r="S7654" s="59">
        <f ca="1">Dashboard!B$8* Dashboard!$F$4+Dashboard!B$10*SQRT(Dashboard!$F$4) * _xlfn.NORM.S.INV(RAND())</f>
        <v>6.3412704933564865E-2</v>
      </c>
      <c r="T7654" s="59">
        <f ca="1">Dashboard!C$8* Dashboard!$F$4+Dashboard!C$10*SQRT(Dashboard!$F$4) * _xlfn.NORM.S.INV(RAND())</f>
        <v>1.3412223023967777E-2</v>
      </c>
      <c r="U7654" s="59">
        <f ca="1">Dashboard!D$8* Dashboard!$F$4+Dashboard!D$10*SQRT(Dashboard!$F$4) * _xlfn.NORM.S.INV(RAND())</f>
        <v>-1.9046507584605115E-2</v>
      </c>
    </row>
    <row r="7655" spans="18:21" x14ac:dyDescent="0.2">
      <c r="R7655" s="49">
        <v>7653</v>
      </c>
      <c r="S7655" s="59">
        <f ca="1">Dashboard!B$8* Dashboard!$F$4+Dashboard!B$10*SQRT(Dashboard!$F$4) * _xlfn.NORM.S.INV(RAND())</f>
        <v>-3.2951322785568012E-2</v>
      </c>
      <c r="T7655" s="59">
        <f ca="1">Dashboard!C$8* Dashboard!$F$4+Dashboard!C$10*SQRT(Dashboard!$F$4) * _xlfn.NORM.S.INV(RAND())</f>
        <v>2.2180185034004268E-3</v>
      </c>
      <c r="U7655" s="59">
        <f ca="1">Dashboard!D$8* Dashboard!$F$4+Dashboard!D$10*SQRT(Dashboard!$F$4) * _xlfn.NORM.S.INV(RAND())</f>
        <v>-7.7120402027016999E-3</v>
      </c>
    </row>
    <row r="7656" spans="18:21" x14ac:dyDescent="0.2">
      <c r="R7656" s="49">
        <v>7654</v>
      </c>
      <c r="S7656" s="59">
        <f ca="1">Dashboard!B$8* Dashboard!$F$4+Dashboard!B$10*SQRT(Dashboard!$F$4) * _xlfn.NORM.S.INV(RAND())</f>
        <v>-2.4125790930689464E-2</v>
      </c>
      <c r="T7656" s="59">
        <f ca="1">Dashboard!C$8* Dashboard!$F$4+Dashboard!C$10*SQRT(Dashboard!$F$4) * _xlfn.NORM.S.INV(RAND())</f>
        <v>3.5824916511849769E-2</v>
      </c>
      <c r="U7656" s="59">
        <f ca="1">Dashboard!D$8* Dashboard!$F$4+Dashboard!D$10*SQRT(Dashboard!$F$4) * _xlfn.NORM.S.INV(RAND())</f>
        <v>-5.3347775633312201E-2</v>
      </c>
    </row>
    <row r="7657" spans="18:21" x14ac:dyDescent="0.2">
      <c r="R7657" s="49">
        <v>7655</v>
      </c>
      <c r="S7657" s="59">
        <f ca="1">Dashboard!B$8* Dashboard!$F$4+Dashboard!B$10*SQRT(Dashboard!$F$4) * _xlfn.NORM.S.INV(RAND())</f>
        <v>-3.9975596592877215E-2</v>
      </c>
      <c r="T7657" s="59">
        <f ca="1">Dashboard!C$8* Dashboard!$F$4+Dashboard!C$10*SQRT(Dashboard!$F$4) * _xlfn.NORM.S.INV(RAND())</f>
        <v>1.5318279220524655E-2</v>
      </c>
      <c r="U7657" s="59">
        <f ca="1">Dashboard!D$8* Dashboard!$F$4+Dashboard!D$10*SQRT(Dashboard!$F$4) * _xlfn.NORM.S.INV(RAND())</f>
        <v>-1.7098412634106188E-2</v>
      </c>
    </row>
    <row r="7658" spans="18:21" x14ac:dyDescent="0.2">
      <c r="R7658" s="49">
        <v>7656</v>
      </c>
      <c r="S7658" s="59">
        <f ca="1">Dashboard!B$8* Dashboard!$F$4+Dashboard!B$10*SQRT(Dashboard!$F$4) * _xlfn.NORM.S.INV(RAND())</f>
        <v>1.8222372411013602E-3</v>
      </c>
      <c r="T7658" s="59">
        <f ca="1">Dashboard!C$8* Dashboard!$F$4+Dashboard!C$10*SQRT(Dashboard!$F$4) * _xlfn.NORM.S.INV(RAND())</f>
        <v>-2.7941204936550428E-3</v>
      </c>
      <c r="U7658" s="59">
        <f ca="1">Dashboard!D$8* Dashboard!$F$4+Dashboard!D$10*SQRT(Dashboard!$F$4) * _xlfn.NORM.S.INV(RAND())</f>
        <v>-1.2806034328571895E-2</v>
      </c>
    </row>
    <row r="7659" spans="18:21" x14ac:dyDescent="0.2">
      <c r="R7659" s="49">
        <v>7657</v>
      </c>
      <c r="S7659" s="59">
        <f ca="1">Dashboard!B$8* Dashboard!$F$4+Dashboard!B$10*SQRT(Dashboard!$F$4) * _xlfn.NORM.S.INV(RAND())</f>
        <v>-1.1928475434144322E-2</v>
      </c>
      <c r="T7659" s="59">
        <f ca="1">Dashboard!C$8* Dashboard!$F$4+Dashboard!C$10*SQRT(Dashboard!$F$4) * _xlfn.NORM.S.INV(RAND())</f>
        <v>7.5584621745418662E-2</v>
      </c>
      <c r="U7659" s="59">
        <f ca="1">Dashboard!D$8* Dashboard!$F$4+Dashboard!D$10*SQRT(Dashboard!$F$4) * _xlfn.NORM.S.INV(RAND())</f>
        <v>-2.4811019212775686E-2</v>
      </c>
    </row>
    <row r="7660" spans="18:21" x14ac:dyDescent="0.2">
      <c r="R7660" s="49">
        <v>7658</v>
      </c>
      <c r="S7660" s="59">
        <f ca="1">Dashboard!B$8* Dashboard!$F$4+Dashboard!B$10*SQRT(Dashboard!$F$4) * _xlfn.NORM.S.INV(RAND())</f>
        <v>-4.7519650158093875E-2</v>
      </c>
      <c r="T7660" s="59">
        <f ca="1">Dashboard!C$8* Dashboard!$F$4+Dashboard!C$10*SQRT(Dashboard!$F$4) * _xlfn.NORM.S.INV(RAND())</f>
        <v>-3.2417909288044298E-2</v>
      </c>
      <c r="U7660" s="59">
        <f ca="1">Dashboard!D$8* Dashboard!$F$4+Dashboard!D$10*SQRT(Dashboard!$F$4) * _xlfn.NORM.S.INV(RAND())</f>
        <v>2.5326461559871435E-2</v>
      </c>
    </row>
    <row r="7661" spans="18:21" x14ac:dyDescent="0.2">
      <c r="R7661" s="49">
        <v>7659</v>
      </c>
      <c r="S7661" s="59">
        <f ca="1">Dashboard!B$8* Dashboard!$F$4+Dashboard!B$10*SQRT(Dashboard!$F$4) * _xlfn.NORM.S.INV(RAND())</f>
        <v>2.1311364498835736E-2</v>
      </c>
      <c r="T7661" s="59">
        <f ca="1">Dashboard!C$8* Dashboard!$F$4+Dashboard!C$10*SQRT(Dashboard!$F$4) * _xlfn.NORM.S.INV(RAND())</f>
        <v>2.9660971304172008E-2</v>
      </c>
      <c r="U7661" s="59">
        <f ca="1">Dashboard!D$8* Dashboard!$F$4+Dashboard!D$10*SQRT(Dashboard!$F$4) * _xlfn.NORM.S.INV(RAND())</f>
        <v>4.3925666465186509E-2</v>
      </c>
    </row>
    <row r="7662" spans="18:21" x14ac:dyDescent="0.2">
      <c r="R7662" s="49">
        <v>7660</v>
      </c>
      <c r="S7662" s="59">
        <f ca="1">Dashboard!B$8* Dashboard!$F$4+Dashboard!B$10*SQRT(Dashboard!$F$4) * _xlfn.NORM.S.INV(RAND())</f>
        <v>1.1659609284415213E-2</v>
      </c>
      <c r="T7662" s="59">
        <f ca="1">Dashboard!C$8* Dashboard!$F$4+Dashboard!C$10*SQRT(Dashboard!$F$4) * _xlfn.NORM.S.INV(RAND())</f>
        <v>5.1469158707926344E-2</v>
      </c>
      <c r="U7662" s="59">
        <f ca="1">Dashboard!D$8* Dashboard!$F$4+Dashboard!D$10*SQRT(Dashboard!$F$4) * _xlfn.NORM.S.INV(RAND())</f>
        <v>-2.220166746517294E-2</v>
      </c>
    </row>
    <row r="7663" spans="18:21" x14ac:dyDescent="0.2">
      <c r="R7663" s="49">
        <v>7661</v>
      </c>
      <c r="S7663" s="59">
        <f ca="1">Dashboard!B$8* Dashboard!$F$4+Dashboard!B$10*SQRT(Dashboard!$F$4) * _xlfn.NORM.S.INV(RAND())</f>
        <v>5.6414404103349712E-2</v>
      </c>
      <c r="T7663" s="59">
        <f ca="1">Dashboard!C$8* Dashboard!$F$4+Dashboard!C$10*SQRT(Dashboard!$F$4) * _xlfn.NORM.S.INV(RAND())</f>
        <v>-7.5337261102773898E-3</v>
      </c>
      <c r="U7663" s="59">
        <f ca="1">Dashboard!D$8* Dashboard!$F$4+Dashboard!D$10*SQRT(Dashboard!$F$4) * _xlfn.NORM.S.INV(RAND())</f>
        <v>-9.5852293423319777E-3</v>
      </c>
    </row>
    <row r="7664" spans="18:21" x14ac:dyDescent="0.2">
      <c r="R7664" s="49">
        <v>7662</v>
      </c>
      <c r="S7664" s="59">
        <f ca="1">Dashboard!B$8* Dashboard!$F$4+Dashboard!B$10*SQRT(Dashboard!$F$4) * _xlfn.NORM.S.INV(RAND())</f>
        <v>-1.9056958586858783E-3</v>
      </c>
      <c r="T7664" s="59">
        <f ca="1">Dashboard!C$8* Dashboard!$F$4+Dashboard!C$10*SQRT(Dashboard!$F$4) * _xlfn.NORM.S.INV(RAND())</f>
        <v>-4.9575145981869552E-2</v>
      </c>
      <c r="U7664" s="59">
        <f ca="1">Dashboard!D$8* Dashboard!$F$4+Dashboard!D$10*SQRT(Dashboard!$F$4) * _xlfn.NORM.S.INV(RAND())</f>
        <v>9.6187777210490115E-4</v>
      </c>
    </row>
    <row r="7665" spans="18:21" x14ac:dyDescent="0.2">
      <c r="R7665" s="49">
        <v>7663</v>
      </c>
      <c r="S7665" s="59">
        <f ca="1">Dashboard!B$8* Dashboard!$F$4+Dashboard!B$10*SQRT(Dashboard!$F$4) * _xlfn.NORM.S.INV(RAND())</f>
        <v>-5.2450035848079675E-2</v>
      </c>
      <c r="T7665" s="59">
        <f ca="1">Dashboard!C$8* Dashboard!$F$4+Dashboard!C$10*SQRT(Dashboard!$F$4) * _xlfn.NORM.S.INV(RAND())</f>
        <v>-1.3934450497935336E-2</v>
      </c>
      <c r="U7665" s="59">
        <f ca="1">Dashboard!D$8* Dashboard!$F$4+Dashboard!D$10*SQRT(Dashboard!$F$4) * _xlfn.NORM.S.INV(RAND())</f>
        <v>-1.0390937735051957E-3</v>
      </c>
    </row>
    <row r="7666" spans="18:21" x14ac:dyDescent="0.2">
      <c r="R7666" s="49">
        <v>7664</v>
      </c>
      <c r="S7666" s="59">
        <f ca="1">Dashboard!B$8* Dashboard!$F$4+Dashboard!B$10*SQRT(Dashboard!$F$4) * _xlfn.NORM.S.INV(RAND())</f>
        <v>4.8974366288129387E-2</v>
      </c>
      <c r="T7666" s="59">
        <f ca="1">Dashboard!C$8* Dashboard!$F$4+Dashboard!C$10*SQRT(Dashboard!$F$4) * _xlfn.NORM.S.INV(RAND())</f>
        <v>2.9246489082632256E-2</v>
      </c>
      <c r="U7666" s="59">
        <f ca="1">Dashboard!D$8* Dashboard!$F$4+Dashboard!D$10*SQRT(Dashboard!$F$4) * _xlfn.NORM.S.INV(RAND())</f>
        <v>1.0304563067288807E-2</v>
      </c>
    </row>
    <row r="7667" spans="18:21" x14ac:dyDescent="0.2">
      <c r="R7667" s="49">
        <v>7665</v>
      </c>
      <c r="S7667" s="59">
        <f ca="1">Dashboard!B$8* Dashboard!$F$4+Dashboard!B$10*SQRT(Dashboard!$F$4) * _xlfn.NORM.S.INV(RAND())</f>
        <v>8.9309069024192129E-3</v>
      </c>
      <c r="T7667" s="59">
        <f ca="1">Dashboard!C$8* Dashboard!$F$4+Dashboard!C$10*SQRT(Dashboard!$F$4) * _xlfn.NORM.S.INV(RAND())</f>
        <v>-5.557530818725976E-2</v>
      </c>
      <c r="U7667" s="59">
        <f ca="1">Dashboard!D$8* Dashboard!$F$4+Dashboard!D$10*SQRT(Dashboard!$F$4) * _xlfn.NORM.S.INV(RAND())</f>
        <v>-1.127349329237555E-2</v>
      </c>
    </row>
    <row r="7668" spans="18:21" x14ac:dyDescent="0.2">
      <c r="R7668" s="49">
        <v>7666</v>
      </c>
      <c r="S7668" s="59">
        <f ca="1">Dashboard!B$8* Dashboard!$F$4+Dashboard!B$10*SQRT(Dashboard!$F$4) * _xlfn.NORM.S.INV(RAND())</f>
        <v>2.9472775828795405E-3</v>
      </c>
      <c r="T7668" s="59">
        <f ca="1">Dashboard!C$8* Dashboard!$F$4+Dashboard!C$10*SQRT(Dashboard!$F$4) * _xlfn.NORM.S.INV(RAND())</f>
        <v>3.8973483334061226E-2</v>
      </c>
      <c r="U7668" s="59">
        <f ca="1">Dashboard!D$8* Dashboard!$F$4+Dashboard!D$10*SQRT(Dashboard!$F$4) * _xlfn.NORM.S.INV(RAND())</f>
        <v>2.4777601461517657E-2</v>
      </c>
    </row>
    <row r="7669" spans="18:21" x14ac:dyDescent="0.2">
      <c r="R7669" s="49">
        <v>7667</v>
      </c>
      <c r="S7669" s="59">
        <f ca="1">Dashboard!B$8* Dashboard!$F$4+Dashboard!B$10*SQRT(Dashboard!$F$4) * _xlfn.NORM.S.INV(RAND())</f>
        <v>2.2839664474889512E-2</v>
      </c>
      <c r="T7669" s="59">
        <f ca="1">Dashboard!C$8* Dashboard!$F$4+Dashboard!C$10*SQRT(Dashboard!$F$4) * _xlfn.NORM.S.INV(RAND())</f>
        <v>2.6761801024605469E-2</v>
      </c>
      <c r="U7669" s="59">
        <f ca="1">Dashboard!D$8* Dashboard!$F$4+Dashboard!D$10*SQRT(Dashboard!$F$4) * _xlfn.NORM.S.INV(RAND())</f>
        <v>1.4020390396387391E-2</v>
      </c>
    </row>
    <row r="7670" spans="18:21" x14ac:dyDescent="0.2">
      <c r="R7670" s="49">
        <v>7668</v>
      </c>
      <c r="S7670" s="59">
        <f ca="1">Dashboard!B$8* Dashboard!$F$4+Dashboard!B$10*SQRT(Dashboard!$F$4) * _xlfn.NORM.S.INV(RAND())</f>
        <v>2.1854999897420978E-2</v>
      </c>
      <c r="T7670" s="59">
        <f ca="1">Dashboard!C$8* Dashboard!$F$4+Dashboard!C$10*SQRT(Dashboard!$F$4) * _xlfn.NORM.S.INV(RAND())</f>
        <v>-7.7555113539611906E-2</v>
      </c>
      <c r="U7670" s="59">
        <f ca="1">Dashboard!D$8* Dashboard!$F$4+Dashboard!D$10*SQRT(Dashboard!$F$4) * _xlfn.NORM.S.INV(RAND())</f>
        <v>-4.2666780503440527E-2</v>
      </c>
    </row>
    <row r="7671" spans="18:21" x14ac:dyDescent="0.2">
      <c r="R7671" s="49">
        <v>7669</v>
      </c>
      <c r="S7671" s="59">
        <f ca="1">Dashboard!B$8* Dashboard!$F$4+Dashboard!B$10*SQRT(Dashboard!$F$4) * _xlfn.NORM.S.INV(RAND())</f>
        <v>2.1899685536804103E-2</v>
      </c>
      <c r="T7671" s="59">
        <f ca="1">Dashboard!C$8* Dashboard!$F$4+Dashboard!C$10*SQRT(Dashboard!$F$4) * _xlfn.NORM.S.INV(RAND())</f>
        <v>1.3683018962719309E-2</v>
      </c>
      <c r="U7671" s="59">
        <f ca="1">Dashboard!D$8* Dashboard!$F$4+Dashboard!D$10*SQRT(Dashboard!$F$4) * _xlfn.NORM.S.INV(RAND())</f>
        <v>-3.0748943815867045E-2</v>
      </c>
    </row>
    <row r="7672" spans="18:21" x14ac:dyDescent="0.2">
      <c r="R7672" s="49">
        <v>7670</v>
      </c>
      <c r="S7672" s="59">
        <f ca="1">Dashboard!B$8* Dashboard!$F$4+Dashboard!B$10*SQRT(Dashboard!$F$4) * _xlfn.NORM.S.INV(RAND())</f>
        <v>8.2988934279533393E-3</v>
      </c>
      <c r="T7672" s="59">
        <f ca="1">Dashboard!C$8* Dashboard!$F$4+Dashboard!C$10*SQRT(Dashboard!$F$4) * _xlfn.NORM.S.INV(RAND())</f>
        <v>-9.3486230818030994E-3</v>
      </c>
      <c r="U7672" s="59">
        <f ca="1">Dashboard!D$8* Dashboard!$F$4+Dashboard!D$10*SQRT(Dashboard!$F$4) * _xlfn.NORM.S.INV(RAND())</f>
        <v>-4.5179503805522707E-2</v>
      </c>
    </row>
    <row r="7673" spans="18:21" x14ac:dyDescent="0.2">
      <c r="R7673" s="49">
        <v>7671</v>
      </c>
      <c r="S7673" s="59">
        <f ca="1">Dashboard!B$8* Dashboard!$F$4+Dashboard!B$10*SQRT(Dashboard!$F$4) * _xlfn.NORM.S.INV(RAND())</f>
        <v>9.3882529457661127E-4</v>
      </c>
      <c r="T7673" s="59">
        <f ca="1">Dashboard!C$8* Dashboard!$F$4+Dashboard!C$10*SQRT(Dashboard!$F$4) * _xlfn.NORM.S.INV(RAND())</f>
        <v>3.2365084039482944E-3</v>
      </c>
      <c r="U7673" s="59">
        <f ca="1">Dashboard!D$8* Dashboard!$F$4+Dashboard!D$10*SQRT(Dashboard!$F$4) * _xlfn.NORM.S.INV(RAND())</f>
        <v>-1.8079287517698179E-3</v>
      </c>
    </row>
    <row r="7674" spans="18:21" x14ac:dyDescent="0.2">
      <c r="R7674" s="49">
        <v>7672</v>
      </c>
      <c r="S7674" s="59">
        <f ca="1">Dashboard!B$8* Dashboard!$F$4+Dashboard!B$10*SQRT(Dashboard!$F$4) * _xlfn.NORM.S.INV(RAND())</f>
        <v>-8.004201732227597E-3</v>
      </c>
      <c r="T7674" s="59">
        <f ca="1">Dashboard!C$8* Dashboard!$F$4+Dashboard!C$10*SQRT(Dashboard!$F$4) * _xlfn.NORM.S.INV(RAND())</f>
        <v>-1.0719597097282867E-2</v>
      </c>
      <c r="U7674" s="59">
        <f ca="1">Dashboard!D$8* Dashboard!$F$4+Dashboard!D$10*SQRT(Dashboard!$F$4) * _xlfn.NORM.S.INV(RAND())</f>
        <v>3.0871153320098845E-2</v>
      </c>
    </row>
    <row r="7675" spans="18:21" x14ac:dyDescent="0.2">
      <c r="R7675" s="49">
        <v>7673</v>
      </c>
      <c r="S7675" s="59">
        <f ca="1">Dashboard!B$8* Dashboard!$F$4+Dashboard!B$10*SQRT(Dashboard!$F$4) * _xlfn.NORM.S.INV(RAND())</f>
        <v>3.4007096839821463E-2</v>
      </c>
      <c r="T7675" s="59">
        <f ca="1">Dashboard!C$8* Dashboard!$F$4+Dashboard!C$10*SQRT(Dashboard!$F$4) * _xlfn.NORM.S.INV(RAND())</f>
        <v>2.8618118915242234E-2</v>
      </c>
      <c r="U7675" s="59">
        <f ca="1">Dashboard!D$8* Dashboard!$F$4+Dashboard!D$10*SQRT(Dashboard!$F$4) * _xlfn.NORM.S.INV(RAND())</f>
        <v>1.55084331728508E-2</v>
      </c>
    </row>
    <row r="7676" spans="18:21" x14ac:dyDescent="0.2">
      <c r="R7676" s="49">
        <v>7674</v>
      </c>
      <c r="S7676" s="59">
        <f ca="1">Dashboard!B$8* Dashboard!$F$4+Dashboard!B$10*SQRT(Dashboard!$F$4) * _xlfn.NORM.S.INV(RAND())</f>
        <v>-2.4373850524903373E-2</v>
      </c>
      <c r="T7676" s="59">
        <f ca="1">Dashboard!C$8* Dashboard!$F$4+Dashboard!C$10*SQRT(Dashboard!$F$4) * _xlfn.NORM.S.INV(RAND())</f>
        <v>4.8746348006959726E-2</v>
      </c>
      <c r="U7676" s="59">
        <f ca="1">Dashboard!D$8* Dashboard!$F$4+Dashboard!D$10*SQRT(Dashboard!$F$4) * _xlfn.NORM.S.INV(RAND())</f>
        <v>7.6188734977636799E-2</v>
      </c>
    </row>
    <row r="7677" spans="18:21" x14ac:dyDescent="0.2">
      <c r="R7677" s="49">
        <v>7675</v>
      </c>
      <c r="S7677" s="59">
        <f ca="1">Dashboard!B$8* Dashboard!$F$4+Dashboard!B$10*SQRT(Dashboard!$F$4) * _xlfn.NORM.S.INV(RAND())</f>
        <v>-2.7146262528137267E-2</v>
      </c>
      <c r="T7677" s="59">
        <f ca="1">Dashboard!C$8* Dashboard!$F$4+Dashboard!C$10*SQRT(Dashboard!$F$4) * _xlfn.NORM.S.INV(RAND())</f>
        <v>1.027992277305596E-2</v>
      </c>
      <c r="U7677" s="59">
        <f ca="1">Dashboard!D$8* Dashboard!$F$4+Dashboard!D$10*SQRT(Dashboard!$F$4) * _xlfn.NORM.S.INV(RAND())</f>
        <v>-3.6549403618480511E-2</v>
      </c>
    </row>
    <row r="7678" spans="18:21" x14ac:dyDescent="0.2">
      <c r="R7678" s="49">
        <v>7676</v>
      </c>
      <c r="S7678" s="59">
        <f ca="1">Dashboard!B$8* Dashboard!$F$4+Dashboard!B$10*SQRT(Dashboard!$F$4) * _xlfn.NORM.S.INV(RAND())</f>
        <v>-1.5564642224630342E-2</v>
      </c>
      <c r="T7678" s="59">
        <f ca="1">Dashboard!C$8* Dashboard!$F$4+Dashboard!C$10*SQRT(Dashboard!$F$4) * _xlfn.NORM.S.INV(RAND())</f>
        <v>-8.388495883783046E-3</v>
      </c>
      <c r="U7678" s="59">
        <f ca="1">Dashboard!D$8* Dashboard!$F$4+Dashboard!D$10*SQRT(Dashboard!$F$4) * _xlfn.NORM.S.INV(RAND())</f>
        <v>-2.7806293676552372E-2</v>
      </c>
    </row>
    <row r="7679" spans="18:21" x14ac:dyDescent="0.2">
      <c r="R7679" s="49">
        <v>7677</v>
      </c>
      <c r="S7679" s="59">
        <f ca="1">Dashboard!B$8* Dashboard!$F$4+Dashboard!B$10*SQRT(Dashboard!$F$4) * _xlfn.NORM.S.INV(RAND())</f>
        <v>-4.5352133546043928E-2</v>
      </c>
      <c r="T7679" s="59">
        <f ca="1">Dashboard!C$8* Dashboard!$F$4+Dashboard!C$10*SQRT(Dashboard!$F$4) * _xlfn.NORM.S.INV(RAND())</f>
        <v>-6.9386451859044899E-4</v>
      </c>
      <c r="U7679" s="59">
        <f ca="1">Dashboard!D$8* Dashboard!$F$4+Dashboard!D$10*SQRT(Dashboard!$F$4) * _xlfn.NORM.S.INV(RAND())</f>
        <v>7.0610000478385608E-3</v>
      </c>
    </row>
    <row r="7680" spans="18:21" x14ac:dyDescent="0.2">
      <c r="R7680" s="49">
        <v>7678</v>
      </c>
      <c r="S7680" s="59">
        <f ca="1">Dashboard!B$8* Dashboard!$F$4+Dashboard!B$10*SQRT(Dashboard!$F$4) * _xlfn.NORM.S.INV(RAND())</f>
        <v>-1.2750714415172566E-2</v>
      </c>
      <c r="T7680" s="59">
        <f ca="1">Dashboard!C$8* Dashboard!$F$4+Dashboard!C$10*SQRT(Dashboard!$F$4) * _xlfn.NORM.S.INV(RAND())</f>
        <v>6.0247313568226657E-2</v>
      </c>
      <c r="U7680" s="59">
        <f ca="1">Dashboard!D$8* Dashboard!$F$4+Dashboard!D$10*SQRT(Dashboard!$F$4) * _xlfn.NORM.S.INV(RAND())</f>
        <v>6.3038615930843866E-2</v>
      </c>
    </row>
    <row r="7681" spans="18:21" x14ac:dyDescent="0.2">
      <c r="R7681" s="49">
        <v>7679</v>
      </c>
      <c r="S7681" s="59">
        <f ca="1">Dashboard!B$8* Dashboard!$F$4+Dashboard!B$10*SQRT(Dashboard!$F$4) * _xlfn.NORM.S.INV(RAND())</f>
        <v>3.6666569520764157E-2</v>
      </c>
      <c r="T7681" s="59">
        <f ca="1">Dashboard!C$8* Dashboard!$F$4+Dashboard!C$10*SQRT(Dashboard!$F$4) * _xlfn.NORM.S.INV(RAND())</f>
        <v>-1.7817083530771223E-2</v>
      </c>
      <c r="U7681" s="59">
        <f ca="1">Dashboard!D$8* Dashboard!$F$4+Dashboard!D$10*SQRT(Dashboard!$F$4) * _xlfn.NORM.S.INV(RAND())</f>
        <v>3.6548352268042789E-3</v>
      </c>
    </row>
    <row r="7682" spans="18:21" x14ac:dyDescent="0.2">
      <c r="R7682" s="49">
        <v>7680</v>
      </c>
      <c r="S7682" s="59">
        <f ca="1">Dashboard!B$8* Dashboard!$F$4+Dashboard!B$10*SQRT(Dashboard!$F$4) * _xlfn.NORM.S.INV(RAND())</f>
        <v>3.7407533316437862E-2</v>
      </c>
      <c r="T7682" s="59">
        <f ca="1">Dashboard!C$8* Dashboard!$F$4+Dashboard!C$10*SQRT(Dashboard!$F$4) * _xlfn.NORM.S.INV(RAND())</f>
        <v>2.6489894826234896E-2</v>
      </c>
      <c r="U7682" s="59">
        <f ca="1">Dashboard!D$8* Dashboard!$F$4+Dashboard!D$10*SQRT(Dashboard!$F$4) * _xlfn.NORM.S.INV(RAND())</f>
        <v>-3.1415874155943969E-2</v>
      </c>
    </row>
    <row r="7683" spans="18:21" x14ac:dyDescent="0.2">
      <c r="R7683" s="49">
        <v>7681</v>
      </c>
      <c r="S7683" s="59">
        <f ca="1">Dashboard!B$8* Dashboard!$F$4+Dashboard!B$10*SQRT(Dashboard!$F$4) * _xlfn.NORM.S.INV(RAND())</f>
        <v>2.1444801322469842E-2</v>
      </c>
      <c r="T7683" s="59">
        <f ca="1">Dashboard!C$8* Dashboard!$F$4+Dashboard!C$10*SQRT(Dashboard!$F$4) * _xlfn.NORM.S.INV(RAND())</f>
        <v>3.9293972354398715E-2</v>
      </c>
      <c r="U7683" s="59">
        <f ca="1">Dashboard!D$8* Dashboard!$F$4+Dashboard!D$10*SQRT(Dashboard!$F$4) * _xlfn.NORM.S.INV(RAND())</f>
        <v>-3.1680295189545231E-2</v>
      </c>
    </row>
    <row r="7684" spans="18:21" x14ac:dyDescent="0.2">
      <c r="R7684" s="49">
        <v>7682</v>
      </c>
      <c r="S7684" s="59">
        <f ca="1">Dashboard!B$8* Dashboard!$F$4+Dashboard!B$10*SQRT(Dashboard!$F$4) * _xlfn.NORM.S.INV(RAND())</f>
        <v>-2.8016966257385312E-2</v>
      </c>
      <c r="T7684" s="59">
        <f ca="1">Dashboard!C$8* Dashboard!$F$4+Dashboard!C$10*SQRT(Dashboard!$F$4) * _xlfn.NORM.S.INV(RAND())</f>
        <v>-1.7995244854185681E-2</v>
      </c>
      <c r="U7684" s="59">
        <f ca="1">Dashboard!D$8* Dashboard!$F$4+Dashboard!D$10*SQRT(Dashboard!$F$4) * _xlfn.NORM.S.INV(RAND())</f>
        <v>4.0165093257728234E-2</v>
      </c>
    </row>
    <row r="7685" spans="18:21" x14ac:dyDescent="0.2">
      <c r="R7685" s="49">
        <v>7683</v>
      </c>
      <c r="S7685" s="59">
        <f ca="1">Dashboard!B$8* Dashboard!$F$4+Dashboard!B$10*SQRT(Dashboard!$F$4) * _xlfn.NORM.S.INV(RAND())</f>
        <v>2.199355631218991E-2</v>
      </c>
      <c r="T7685" s="59">
        <f ca="1">Dashboard!C$8* Dashboard!$F$4+Dashboard!C$10*SQRT(Dashboard!$F$4) * _xlfn.NORM.S.INV(RAND())</f>
        <v>1.8605961573281097E-2</v>
      </c>
      <c r="U7685" s="59">
        <f ca="1">Dashboard!D$8* Dashboard!$F$4+Dashboard!D$10*SQRT(Dashboard!$F$4) * _xlfn.NORM.S.INV(RAND())</f>
        <v>4.275114873694353E-2</v>
      </c>
    </row>
    <row r="7686" spans="18:21" x14ac:dyDescent="0.2">
      <c r="R7686" s="49">
        <v>7684</v>
      </c>
      <c r="S7686" s="59">
        <f ca="1">Dashboard!B$8* Dashboard!$F$4+Dashboard!B$10*SQRT(Dashboard!$F$4) * _xlfn.NORM.S.INV(RAND())</f>
        <v>1.1729972372598188E-2</v>
      </c>
      <c r="T7686" s="59">
        <f ca="1">Dashboard!C$8* Dashboard!$F$4+Dashboard!C$10*SQRT(Dashboard!$F$4) * _xlfn.NORM.S.INV(RAND())</f>
        <v>-4.555414415539738E-2</v>
      </c>
      <c r="U7686" s="59">
        <f ca="1">Dashboard!D$8* Dashboard!$F$4+Dashboard!D$10*SQRT(Dashboard!$F$4) * _xlfn.NORM.S.INV(RAND())</f>
        <v>-1.8823195706272364E-2</v>
      </c>
    </row>
    <row r="7687" spans="18:21" x14ac:dyDescent="0.2">
      <c r="R7687" s="49">
        <v>7685</v>
      </c>
      <c r="S7687" s="59">
        <f ca="1">Dashboard!B$8* Dashboard!$F$4+Dashboard!B$10*SQRT(Dashboard!$F$4) * _xlfn.NORM.S.INV(RAND())</f>
        <v>-1.7157691259812848E-2</v>
      </c>
      <c r="T7687" s="59">
        <f ca="1">Dashboard!C$8* Dashboard!$F$4+Dashboard!C$10*SQRT(Dashboard!$F$4) * _xlfn.NORM.S.INV(RAND())</f>
        <v>-2.0691091819626955E-2</v>
      </c>
      <c r="U7687" s="59">
        <f ca="1">Dashboard!D$8* Dashboard!$F$4+Dashboard!D$10*SQRT(Dashboard!$F$4) * _xlfn.NORM.S.INV(RAND())</f>
        <v>-1.3644616780244525E-2</v>
      </c>
    </row>
    <row r="7688" spans="18:21" x14ac:dyDescent="0.2">
      <c r="R7688" s="49">
        <v>7686</v>
      </c>
      <c r="S7688" s="59">
        <f ca="1">Dashboard!B$8* Dashboard!$F$4+Dashboard!B$10*SQRT(Dashboard!$F$4) * _xlfn.NORM.S.INV(RAND())</f>
        <v>-2.1680478498356227E-2</v>
      </c>
      <c r="T7688" s="59">
        <f ca="1">Dashboard!C$8* Dashboard!$F$4+Dashboard!C$10*SQRT(Dashboard!$F$4) * _xlfn.NORM.S.INV(RAND())</f>
        <v>4.2256472451473633E-2</v>
      </c>
      <c r="U7688" s="59">
        <f ca="1">Dashboard!D$8* Dashboard!$F$4+Dashboard!D$10*SQRT(Dashboard!$F$4) * _xlfn.NORM.S.INV(RAND())</f>
        <v>3.6907225841942663E-2</v>
      </c>
    </row>
    <row r="7689" spans="18:21" x14ac:dyDescent="0.2">
      <c r="R7689" s="49">
        <v>7687</v>
      </c>
      <c r="S7689" s="59">
        <f ca="1">Dashboard!B$8* Dashboard!$F$4+Dashboard!B$10*SQRT(Dashboard!$F$4) * _xlfn.NORM.S.INV(RAND())</f>
        <v>-4.3730209391941478E-2</v>
      </c>
      <c r="T7689" s="59">
        <f ca="1">Dashboard!C$8* Dashboard!$F$4+Dashboard!C$10*SQRT(Dashboard!$F$4) * _xlfn.NORM.S.INV(RAND())</f>
        <v>-1.0505545279202652E-2</v>
      </c>
      <c r="U7689" s="59">
        <f ca="1">Dashboard!D$8* Dashboard!$F$4+Dashboard!D$10*SQRT(Dashboard!$F$4) * _xlfn.NORM.S.INV(RAND())</f>
        <v>-1.6710972645686111E-4</v>
      </c>
    </row>
    <row r="7690" spans="18:21" x14ac:dyDescent="0.2">
      <c r="R7690" s="49">
        <v>7688</v>
      </c>
      <c r="S7690" s="59">
        <f ca="1">Dashboard!B$8* Dashboard!$F$4+Dashboard!B$10*SQRT(Dashboard!$F$4) * _xlfn.NORM.S.INV(RAND())</f>
        <v>-9.5944498871216061E-2</v>
      </c>
      <c r="T7690" s="59">
        <f ca="1">Dashboard!C$8* Dashboard!$F$4+Dashboard!C$10*SQRT(Dashboard!$F$4) * _xlfn.NORM.S.INV(RAND())</f>
        <v>8.4382374032935517E-4</v>
      </c>
      <c r="U7690" s="59">
        <f ca="1">Dashboard!D$8* Dashboard!$F$4+Dashboard!D$10*SQRT(Dashboard!$F$4) * _xlfn.NORM.S.INV(RAND())</f>
        <v>-1.630163871073893E-2</v>
      </c>
    </row>
    <row r="7691" spans="18:21" x14ac:dyDescent="0.2">
      <c r="R7691" s="49">
        <v>7689</v>
      </c>
      <c r="S7691" s="59">
        <f ca="1">Dashboard!B$8* Dashboard!$F$4+Dashboard!B$10*SQRT(Dashboard!$F$4) * _xlfn.NORM.S.INV(RAND())</f>
        <v>8.1719418806199207E-2</v>
      </c>
      <c r="T7691" s="59">
        <f ca="1">Dashboard!C$8* Dashboard!$F$4+Dashboard!C$10*SQRT(Dashboard!$F$4) * _xlfn.NORM.S.INV(RAND())</f>
        <v>-6.6818335282999186E-2</v>
      </c>
      <c r="U7691" s="59">
        <f ca="1">Dashboard!D$8* Dashboard!$F$4+Dashboard!D$10*SQRT(Dashboard!$F$4) * _xlfn.NORM.S.INV(RAND())</f>
        <v>1.8800632693115181E-2</v>
      </c>
    </row>
    <row r="7692" spans="18:21" x14ac:dyDescent="0.2">
      <c r="R7692" s="49">
        <v>7690</v>
      </c>
      <c r="S7692" s="59">
        <f ca="1">Dashboard!B$8* Dashboard!$F$4+Dashboard!B$10*SQRT(Dashboard!$F$4) * _xlfn.NORM.S.INV(RAND())</f>
        <v>-4.3354739870474085E-3</v>
      </c>
      <c r="T7692" s="59">
        <f ca="1">Dashboard!C$8* Dashboard!$F$4+Dashboard!C$10*SQRT(Dashboard!$F$4) * _xlfn.NORM.S.INV(RAND())</f>
        <v>2.0794870788806822E-2</v>
      </c>
      <c r="U7692" s="59">
        <f ca="1">Dashboard!D$8* Dashboard!$F$4+Dashboard!D$10*SQRT(Dashboard!$F$4) * _xlfn.NORM.S.INV(RAND())</f>
        <v>1.9741642102438936E-2</v>
      </c>
    </row>
    <row r="7693" spans="18:21" x14ac:dyDescent="0.2">
      <c r="R7693" s="49">
        <v>7691</v>
      </c>
      <c r="S7693" s="59">
        <f ca="1">Dashboard!B$8* Dashboard!$F$4+Dashboard!B$10*SQRT(Dashboard!$F$4) * _xlfn.NORM.S.INV(RAND())</f>
        <v>8.9453521593035237E-3</v>
      </c>
      <c r="T7693" s="59">
        <f ca="1">Dashboard!C$8* Dashboard!$F$4+Dashboard!C$10*SQRT(Dashboard!$F$4) * _xlfn.NORM.S.INV(RAND())</f>
        <v>3.4971120051622649E-3</v>
      </c>
      <c r="U7693" s="59">
        <f ca="1">Dashboard!D$8* Dashboard!$F$4+Dashboard!D$10*SQRT(Dashboard!$F$4) * _xlfn.NORM.S.INV(RAND())</f>
        <v>-4.6077590314691282E-2</v>
      </c>
    </row>
    <row r="7694" spans="18:21" x14ac:dyDescent="0.2">
      <c r="R7694" s="49">
        <v>7692</v>
      </c>
      <c r="S7694" s="59">
        <f ca="1">Dashboard!B$8* Dashboard!$F$4+Dashboard!B$10*SQRT(Dashboard!$F$4) * _xlfn.NORM.S.INV(RAND())</f>
        <v>-5.6497757551597022E-3</v>
      </c>
      <c r="T7694" s="59">
        <f ca="1">Dashboard!C$8* Dashboard!$F$4+Dashboard!C$10*SQRT(Dashboard!$F$4) * _xlfn.NORM.S.INV(RAND())</f>
        <v>2.4112578940324956E-2</v>
      </c>
      <c r="U7694" s="59">
        <f ca="1">Dashboard!D$8* Dashboard!$F$4+Dashboard!D$10*SQRT(Dashboard!$F$4) * _xlfn.NORM.S.INV(RAND())</f>
        <v>2.2135193595808338E-2</v>
      </c>
    </row>
    <row r="7695" spans="18:21" x14ac:dyDescent="0.2">
      <c r="R7695" s="49">
        <v>7693</v>
      </c>
      <c r="S7695" s="59">
        <f ca="1">Dashboard!B$8* Dashboard!$F$4+Dashboard!B$10*SQRT(Dashboard!$F$4) * _xlfn.NORM.S.INV(RAND())</f>
        <v>-1.6223211482480487E-2</v>
      </c>
      <c r="T7695" s="59">
        <f ca="1">Dashboard!C$8* Dashboard!$F$4+Dashboard!C$10*SQRT(Dashboard!$F$4) * _xlfn.NORM.S.INV(RAND())</f>
        <v>-1.8315884266074542E-2</v>
      </c>
      <c r="U7695" s="59">
        <f ca="1">Dashboard!D$8* Dashboard!$F$4+Dashboard!D$10*SQRT(Dashboard!$F$4) * _xlfn.NORM.S.INV(RAND())</f>
        <v>8.3605219903383956E-3</v>
      </c>
    </row>
    <row r="7696" spans="18:21" x14ac:dyDescent="0.2">
      <c r="R7696" s="49">
        <v>7694</v>
      </c>
      <c r="S7696" s="59">
        <f ca="1">Dashboard!B$8* Dashboard!$F$4+Dashboard!B$10*SQRT(Dashboard!$F$4) * _xlfn.NORM.S.INV(RAND())</f>
        <v>4.2930390396536591E-3</v>
      </c>
      <c r="T7696" s="59">
        <f ca="1">Dashboard!C$8* Dashboard!$F$4+Dashboard!C$10*SQRT(Dashboard!$F$4) * _xlfn.NORM.S.INV(RAND())</f>
        <v>3.0360106798855053E-2</v>
      </c>
      <c r="U7696" s="59">
        <f ca="1">Dashboard!D$8* Dashboard!$F$4+Dashboard!D$10*SQRT(Dashboard!$F$4) * _xlfn.NORM.S.INV(RAND())</f>
        <v>3.9635742945677314E-3</v>
      </c>
    </row>
    <row r="7697" spans="18:21" x14ac:dyDescent="0.2">
      <c r="R7697" s="49">
        <v>7695</v>
      </c>
      <c r="S7697" s="59">
        <f ca="1">Dashboard!B$8* Dashboard!$F$4+Dashboard!B$10*SQRT(Dashboard!$F$4) * _xlfn.NORM.S.INV(RAND())</f>
        <v>4.0726956929361836E-4</v>
      </c>
      <c r="T7697" s="59">
        <f ca="1">Dashboard!C$8* Dashboard!$F$4+Dashboard!C$10*SQRT(Dashboard!$F$4) * _xlfn.NORM.S.INV(RAND())</f>
        <v>1.0716104122490905E-2</v>
      </c>
      <c r="U7697" s="59">
        <f ca="1">Dashboard!D$8* Dashboard!$F$4+Dashboard!D$10*SQRT(Dashboard!$F$4) * _xlfn.NORM.S.INV(RAND())</f>
        <v>-1.3711620097666941E-2</v>
      </c>
    </row>
    <row r="7698" spans="18:21" x14ac:dyDescent="0.2">
      <c r="R7698" s="49">
        <v>7696</v>
      </c>
      <c r="S7698" s="59">
        <f ca="1">Dashboard!B$8* Dashboard!$F$4+Dashboard!B$10*SQRT(Dashboard!$F$4) * _xlfn.NORM.S.INV(RAND())</f>
        <v>1.0214257790792568E-2</v>
      </c>
      <c r="T7698" s="59">
        <f ca="1">Dashboard!C$8* Dashboard!$F$4+Dashboard!C$10*SQRT(Dashboard!$F$4) * _xlfn.NORM.S.INV(RAND())</f>
        <v>-1.5517199425788962E-2</v>
      </c>
      <c r="U7698" s="59">
        <f ca="1">Dashboard!D$8* Dashboard!$F$4+Dashboard!D$10*SQRT(Dashboard!$F$4) * _xlfn.NORM.S.INV(RAND())</f>
        <v>6.4632608899617217E-3</v>
      </c>
    </row>
    <row r="7699" spans="18:21" x14ac:dyDescent="0.2">
      <c r="R7699" s="49">
        <v>7697</v>
      </c>
      <c r="S7699" s="59">
        <f ca="1">Dashboard!B$8* Dashboard!$F$4+Dashboard!B$10*SQRT(Dashboard!$F$4) * _xlfn.NORM.S.INV(RAND())</f>
        <v>-4.0895021569254883E-2</v>
      </c>
      <c r="T7699" s="59">
        <f ca="1">Dashboard!C$8* Dashboard!$F$4+Dashboard!C$10*SQRT(Dashboard!$F$4) * _xlfn.NORM.S.INV(RAND())</f>
        <v>-1.8132329978633354E-2</v>
      </c>
      <c r="U7699" s="59">
        <f ca="1">Dashboard!D$8* Dashboard!$F$4+Dashboard!D$10*SQRT(Dashboard!$F$4) * _xlfn.NORM.S.INV(RAND())</f>
        <v>3.4144049292166974E-2</v>
      </c>
    </row>
    <row r="7700" spans="18:21" x14ac:dyDescent="0.2">
      <c r="R7700" s="49">
        <v>7698</v>
      </c>
      <c r="S7700" s="59">
        <f ca="1">Dashboard!B$8* Dashboard!$F$4+Dashboard!B$10*SQRT(Dashboard!$F$4) * _xlfn.NORM.S.INV(RAND())</f>
        <v>2.9247313009033084E-2</v>
      </c>
      <c r="T7700" s="59">
        <f ca="1">Dashboard!C$8* Dashboard!$F$4+Dashboard!C$10*SQRT(Dashboard!$F$4) * _xlfn.NORM.S.INV(RAND())</f>
        <v>-2.7700294746188372E-2</v>
      </c>
      <c r="U7700" s="59">
        <f ca="1">Dashboard!D$8* Dashboard!$F$4+Dashboard!D$10*SQRT(Dashboard!$F$4) * _xlfn.NORM.S.INV(RAND())</f>
        <v>1.9723815554484037E-2</v>
      </c>
    </row>
    <row r="7701" spans="18:21" x14ac:dyDescent="0.2">
      <c r="R7701" s="49">
        <v>7699</v>
      </c>
      <c r="S7701" s="59">
        <f ca="1">Dashboard!B$8* Dashboard!$F$4+Dashboard!B$10*SQRT(Dashboard!$F$4) * _xlfn.NORM.S.INV(RAND())</f>
        <v>-5.5663551305190372E-2</v>
      </c>
      <c r="T7701" s="59">
        <f ca="1">Dashboard!C$8* Dashboard!$F$4+Dashboard!C$10*SQRT(Dashboard!$F$4) * _xlfn.NORM.S.INV(RAND())</f>
        <v>2.4504912725980248E-3</v>
      </c>
      <c r="U7701" s="59">
        <f ca="1">Dashboard!D$8* Dashboard!$F$4+Dashboard!D$10*SQRT(Dashboard!$F$4) * _xlfn.NORM.S.INV(RAND())</f>
        <v>2.9589368884247031E-2</v>
      </c>
    </row>
    <row r="7702" spans="18:21" x14ac:dyDescent="0.2">
      <c r="R7702" s="49">
        <v>7700</v>
      </c>
      <c r="S7702" s="59">
        <f ca="1">Dashboard!B$8* Dashboard!$F$4+Dashboard!B$10*SQRT(Dashboard!$F$4) * _xlfn.NORM.S.INV(RAND())</f>
        <v>-7.6178898524648314E-4</v>
      </c>
      <c r="T7702" s="59">
        <f ca="1">Dashboard!C$8* Dashboard!$F$4+Dashboard!C$10*SQRT(Dashboard!$F$4) * _xlfn.NORM.S.INV(RAND())</f>
        <v>4.370130473125361E-2</v>
      </c>
      <c r="U7702" s="59">
        <f ca="1">Dashboard!D$8* Dashboard!$F$4+Dashboard!D$10*SQRT(Dashboard!$F$4) * _xlfn.NORM.S.INV(RAND())</f>
        <v>3.6610218920533254E-2</v>
      </c>
    </row>
    <row r="7703" spans="18:21" x14ac:dyDescent="0.2">
      <c r="R7703" s="49">
        <v>7701</v>
      </c>
      <c r="S7703" s="59">
        <f ca="1">Dashboard!B$8* Dashboard!$F$4+Dashboard!B$10*SQRT(Dashboard!$F$4) * _xlfn.NORM.S.INV(RAND())</f>
        <v>2.1636160720423958E-2</v>
      </c>
      <c r="T7703" s="59">
        <f ca="1">Dashboard!C$8* Dashboard!$F$4+Dashboard!C$10*SQRT(Dashboard!$F$4) * _xlfn.NORM.S.INV(RAND())</f>
        <v>-2.9230009341944457E-2</v>
      </c>
      <c r="U7703" s="59">
        <f ca="1">Dashboard!D$8* Dashboard!$F$4+Dashboard!D$10*SQRT(Dashboard!$F$4) * _xlfn.NORM.S.INV(RAND())</f>
        <v>1.0024299164536291E-2</v>
      </c>
    </row>
    <row r="7704" spans="18:21" x14ac:dyDescent="0.2">
      <c r="R7704" s="49">
        <v>7702</v>
      </c>
      <c r="S7704" s="59">
        <f ca="1">Dashboard!B$8* Dashboard!$F$4+Dashboard!B$10*SQRT(Dashboard!$F$4) * _xlfn.NORM.S.INV(RAND())</f>
        <v>-5.6554849957274701E-2</v>
      </c>
      <c r="T7704" s="59">
        <f ca="1">Dashboard!C$8* Dashboard!$F$4+Dashboard!C$10*SQRT(Dashboard!$F$4) * _xlfn.NORM.S.INV(RAND())</f>
        <v>1.8199415144575942E-2</v>
      </c>
      <c r="U7704" s="59">
        <f ca="1">Dashboard!D$8* Dashboard!$F$4+Dashboard!D$10*SQRT(Dashboard!$F$4) * _xlfn.NORM.S.INV(RAND())</f>
        <v>-4.4866399225697302E-2</v>
      </c>
    </row>
    <row r="7705" spans="18:21" x14ac:dyDescent="0.2">
      <c r="R7705" s="49">
        <v>7703</v>
      </c>
      <c r="S7705" s="59">
        <f ca="1">Dashboard!B$8* Dashboard!$F$4+Dashboard!B$10*SQRT(Dashboard!$F$4) * _xlfn.NORM.S.INV(RAND())</f>
        <v>-7.672065817918735E-3</v>
      </c>
      <c r="T7705" s="59">
        <f ca="1">Dashboard!C$8* Dashboard!$F$4+Dashboard!C$10*SQRT(Dashboard!$F$4) * _xlfn.NORM.S.INV(RAND())</f>
        <v>1.2417482669306184E-2</v>
      </c>
      <c r="U7705" s="59">
        <f ca="1">Dashboard!D$8* Dashboard!$F$4+Dashboard!D$10*SQRT(Dashboard!$F$4) * _xlfn.NORM.S.INV(RAND())</f>
        <v>-1.3661790380948946E-2</v>
      </c>
    </row>
    <row r="7706" spans="18:21" x14ac:dyDescent="0.2">
      <c r="R7706" s="49">
        <v>7704</v>
      </c>
      <c r="S7706" s="59">
        <f ca="1">Dashboard!B$8* Dashboard!$F$4+Dashboard!B$10*SQRT(Dashboard!$F$4) * _xlfn.NORM.S.INV(RAND())</f>
        <v>1.4409571544550569E-2</v>
      </c>
      <c r="T7706" s="59">
        <f ca="1">Dashboard!C$8* Dashboard!$F$4+Dashboard!C$10*SQRT(Dashboard!$F$4) * _xlfn.NORM.S.INV(RAND())</f>
        <v>7.8635595597024502E-3</v>
      </c>
      <c r="U7706" s="59">
        <f ca="1">Dashboard!D$8* Dashboard!$F$4+Dashboard!D$10*SQRT(Dashboard!$F$4) * _xlfn.NORM.S.INV(RAND())</f>
        <v>-8.0325046228255093E-3</v>
      </c>
    </row>
    <row r="7707" spans="18:21" x14ac:dyDescent="0.2">
      <c r="R7707" s="49">
        <v>7705</v>
      </c>
      <c r="S7707" s="59">
        <f ca="1">Dashboard!B$8* Dashboard!$F$4+Dashboard!B$10*SQRT(Dashboard!$F$4) * _xlfn.NORM.S.INV(RAND())</f>
        <v>9.2862875745816538E-3</v>
      </c>
      <c r="T7707" s="59">
        <f ca="1">Dashboard!C$8* Dashboard!$F$4+Dashboard!C$10*SQRT(Dashboard!$F$4) * _xlfn.NORM.S.INV(RAND())</f>
        <v>-2.7008973753905593E-2</v>
      </c>
      <c r="U7707" s="59">
        <f ca="1">Dashboard!D$8* Dashboard!$F$4+Dashboard!D$10*SQRT(Dashboard!$F$4) * _xlfn.NORM.S.INV(RAND())</f>
        <v>-3.9048853806192795E-2</v>
      </c>
    </row>
    <row r="7708" spans="18:21" x14ac:dyDescent="0.2">
      <c r="R7708" s="49">
        <v>7706</v>
      </c>
      <c r="S7708" s="59">
        <f ca="1">Dashboard!B$8* Dashboard!$F$4+Dashboard!B$10*SQRT(Dashboard!$F$4) * _xlfn.NORM.S.INV(RAND())</f>
        <v>1.9757808621641677E-2</v>
      </c>
      <c r="T7708" s="59">
        <f ca="1">Dashboard!C$8* Dashboard!$F$4+Dashboard!C$10*SQRT(Dashboard!$F$4) * _xlfn.NORM.S.INV(RAND())</f>
        <v>2.2345584370073081E-4</v>
      </c>
      <c r="U7708" s="59">
        <f ca="1">Dashboard!D$8* Dashboard!$F$4+Dashboard!D$10*SQRT(Dashboard!$F$4) * _xlfn.NORM.S.INV(RAND())</f>
        <v>1.8132686529463503E-2</v>
      </c>
    </row>
    <row r="7709" spans="18:21" x14ac:dyDescent="0.2">
      <c r="R7709" s="49">
        <v>7707</v>
      </c>
      <c r="S7709" s="59">
        <f ca="1">Dashboard!B$8* Dashboard!$F$4+Dashboard!B$10*SQRT(Dashboard!$F$4) * _xlfn.NORM.S.INV(RAND())</f>
        <v>2.419793137882896E-2</v>
      </c>
      <c r="T7709" s="59">
        <f ca="1">Dashboard!C$8* Dashboard!$F$4+Dashboard!C$10*SQRT(Dashboard!$F$4) * _xlfn.NORM.S.INV(RAND())</f>
        <v>-2.1576965919740985E-2</v>
      </c>
      <c r="U7709" s="59">
        <f ca="1">Dashboard!D$8* Dashboard!$F$4+Dashboard!D$10*SQRT(Dashboard!$F$4) * _xlfn.NORM.S.INV(RAND())</f>
        <v>-5.2707345502720104E-2</v>
      </c>
    </row>
    <row r="7710" spans="18:21" x14ac:dyDescent="0.2">
      <c r="R7710" s="49">
        <v>7708</v>
      </c>
      <c r="S7710" s="59">
        <f ca="1">Dashboard!B$8* Dashboard!$F$4+Dashboard!B$10*SQRT(Dashboard!$F$4) * _xlfn.NORM.S.INV(RAND())</f>
        <v>-3.9037611306835425E-2</v>
      </c>
      <c r="T7710" s="59">
        <f ca="1">Dashboard!C$8* Dashboard!$F$4+Dashboard!C$10*SQRT(Dashboard!$F$4) * _xlfn.NORM.S.INV(RAND())</f>
        <v>4.0583744589182284E-2</v>
      </c>
      <c r="U7710" s="59">
        <f ca="1">Dashboard!D$8* Dashboard!$F$4+Dashboard!D$10*SQRT(Dashboard!$F$4) * _xlfn.NORM.S.INV(RAND())</f>
        <v>3.3387129633271187E-2</v>
      </c>
    </row>
    <row r="7711" spans="18:21" x14ac:dyDescent="0.2">
      <c r="R7711" s="49">
        <v>7709</v>
      </c>
      <c r="S7711" s="59">
        <f ca="1">Dashboard!B$8* Dashboard!$F$4+Dashboard!B$10*SQRT(Dashboard!$F$4) * _xlfn.NORM.S.INV(RAND())</f>
        <v>-2.4966525291852802E-2</v>
      </c>
      <c r="T7711" s="59">
        <f ca="1">Dashboard!C$8* Dashboard!$F$4+Dashboard!C$10*SQRT(Dashboard!$F$4) * _xlfn.NORM.S.INV(RAND())</f>
        <v>1.3096542173264194E-2</v>
      </c>
      <c r="U7711" s="59">
        <f ca="1">Dashboard!D$8* Dashboard!$F$4+Dashboard!D$10*SQRT(Dashboard!$F$4) * _xlfn.NORM.S.INV(RAND())</f>
        <v>-9.3839603523600268E-3</v>
      </c>
    </row>
    <row r="7712" spans="18:21" x14ac:dyDescent="0.2">
      <c r="R7712" s="49">
        <v>7710</v>
      </c>
      <c r="S7712" s="59">
        <f ca="1">Dashboard!B$8* Dashboard!$F$4+Dashboard!B$10*SQRT(Dashboard!$F$4) * _xlfn.NORM.S.INV(RAND())</f>
        <v>3.6764538847689952E-2</v>
      </c>
      <c r="T7712" s="59">
        <f ca="1">Dashboard!C$8* Dashboard!$F$4+Dashboard!C$10*SQRT(Dashboard!$F$4) * _xlfn.NORM.S.INV(RAND())</f>
        <v>-5.8716829388945971E-2</v>
      </c>
      <c r="U7712" s="59">
        <f ca="1">Dashboard!D$8* Dashboard!$F$4+Dashboard!D$10*SQRT(Dashboard!$F$4) * _xlfn.NORM.S.INV(RAND())</f>
        <v>3.672530012429711E-2</v>
      </c>
    </row>
    <row r="7713" spans="18:21" x14ac:dyDescent="0.2">
      <c r="R7713" s="49">
        <v>7711</v>
      </c>
      <c r="S7713" s="59">
        <f ca="1">Dashboard!B$8* Dashboard!$F$4+Dashboard!B$10*SQRT(Dashboard!$F$4) * _xlfn.NORM.S.INV(RAND())</f>
        <v>3.52991690799297E-3</v>
      </c>
      <c r="T7713" s="59">
        <f ca="1">Dashboard!C$8* Dashboard!$F$4+Dashboard!C$10*SQRT(Dashboard!$F$4) * _xlfn.NORM.S.INV(RAND())</f>
        <v>-1.2897997084329649E-2</v>
      </c>
      <c r="U7713" s="59">
        <f ca="1">Dashboard!D$8* Dashboard!$F$4+Dashboard!D$10*SQRT(Dashboard!$F$4) * _xlfn.NORM.S.INV(RAND())</f>
        <v>-1.8227219913721556E-2</v>
      </c>
    </row>
    <row r="7714" spans="18:21" x14ac:dyDescent="0.2">
      <c r="R7714" s="49">
        <v>7712</v>
      </c>
      <c r="S7714" s="59">
        <f ca="1">Dashboard!B$8* Dashboard!$F$4+Dashboard!B$10*SQRT(Dashboard!$F$4) * _xlfn.NORM.S.INV(RAND())</f>
        <v>-5.257144614034797E-4</v>
      </c>
      <c r="T7714" s="59">
        <f ca="1">Dashboard!C$8* Dashboard!$F$4+Dashboard!C$10*SQRT(Dashboard!$F$4) * _xlfn.NORM.S.INV(RAND())</f>
        <v>-3.2983243768441306E-2</v>
      </c>
      <c r="U7714" s="59">
        <f ca="1">Dashboard!D$8* Dashboard!$F$4+Dashboard!D$10*SQRT(Dashboard!$F$4) * _xlfn.NORM.S.INV(RAND())</f>
        <v>1.4884695331294336E-2</v>
      </c>
    </row>
    <row r="7715" spans="18:21" x14ac:dyDescent="0.2">
      <c r="R7715" s="49">
        <v>7713</v>
      </c>
      <c r="S7715" s="59">
        <f ca="1">Dashboard!B$8* Dashboard!$F$4+Dashboard!B$10*SQRT(Dashboard!$F$4) * _xlfn.NORM.S.INV(RAND())</f>
        <v>4.4103475644510191E-3</v>
      </c>
      <c r="T7715" s="59">
        <f ca="1">Dashboard!C$8* Dashboard!$F$4+Dashboard!C$10*SQRT(Dashboard!$F$4) * _xlfn.NORM.S.INV(RAND())</f>
        <v>3.8020200416457324E-2</v>
      </c>
      <c r="U7715" s="59">
        <f ca="1">Dashboard!D$8* Dashboard!$F$4+Dashboard!D$10*SQRT(Dashboard!$F$4) * _xlfn.NORM.S.INV(RAND())</f>
        <v>-1.9070662464043816E-2</v>
      </c>
    </row>
    <row r="7716" spans="18:21" x14ac:dyDescent="0.2">
      <c r="R7716" s="49">
        <v>7714</v>
      </c>
      <c r="S7716" s="59">
        <f ca="1">Dashboard!B$8* Dashboard!$F$4+Dashboard!B$10*SQRT(Dashboard!$F$4) * _xlfn.NORM.S.INV(RAND())</f>
        <v>-2.8221118074678656E-2</v>
      </c>
      <c r="T7716" s="59">
        <f ca="1">Dashboard!C$8* Dashboard!$F$4+Dashboard!C$10*SQRT(Dashboard!$F$4) * _xlfn.NORM.S.INV(RAND())</f>
        <v>4.5331773479033909E-2</v>
      </c>
      <c r="U7716" s="59">
        <f ca="1">Dashboard!D$8* Dashboard!$F$4+Dashboard!D$10*SQRT(Dashboard!$F$4) * _xlfn.NORM.S.INV(RAND())</f>
        <v>-1.5014828503261794E-2</v>
      </c>
    </row>
    <row r="7717" spans="18:21" x14ac:dyDescent="0.2">
      <c r="R7717" s="49">
        <v>7715</v>
      </c>
      <c r="S7717" s="59">
        <f ca="1">Dashboard!B$8* Dashboard!$F$4+Dashboard!B$10*SQRT(Dashboard!$F$4) * _xlfn.NORM.S.INV(RAND())</f>
        <v>4.2475226396895965E-3</v>
      </c>
      <c r="T7717" s="59">
        <f ca="1">Dashboard!C$8* Dashboard!$F$4+Dashboard!C$10*SQRT(Dashboard!$F$4) * _xlfn.NORM.S.INV(RAND())</f>
        <v>4.086444744918049E-2</v>
      </c>
      <c r="U7717" s="59">
        <f ca="1">Dashboard!D$8* Dashboard!$F$4+Dashboard!D$10*SQRT(Dashboard!$F$4) * _xlfn.NORM.S.INV(RAND())</f>
        <v>-1.269339011961361E-2</v>
      </c>
    </row>
    <row r="7718" spans="18:21" x14ac:dyDescent="0.2">
      <c r="R7718" s="49">
        <v>7716</v>
      </c>
      <c r="S7718" s="59">
        <f ca="1">Dashboard!B$8* Dashboard!$F$4+Dashboard!B$10*SQRT(Dashboard!$F$4) * _xlfn.NORM.S.INV(RAND())</f>
        <v>2.1708588376028057E-2</v>
      </c>
      <c r="T7718" s="59">
        <f ca="1">Dashboard!C$8* Dashboard!$F$4+Dashboard!C$10*SQRT(Dashboard!$F$4) * _xlfn.NORM.S.INV(RAND())</f>
        <v>-2.9744614127134427E-4</v>
      </c>
      <c r="U7718" s="59">
        <f ca="1">Dashboard!D$8* Dashboard!$F$4+Dashboard!D$10*SQRT(Dashboard!$F$4) * _xlfn.NORM.S.INV(RAND())</f>
        <v>1.155346100210114E-2</v>
      </c>
    </row>
    <row r="7719" spans="18:21" x14ac:dyDescent="0.2">
      <c r="R7719" s="49">
        <v>7717</v>
      </c>
      <c r="S7719" s="59">
        <f ca="1">Dashboard!B$8* Dashboard!$F$4+Dashboard!B$10*SQRT(Dashboard!$F$4) * _xlfn.NORM.S.INV(RAND())</f>
        <v>9.5248348263980431E-3</v>
      </c>
      <c r="T7719" s="59">
        <f ca="1">Dashboard!C$8* Dashboard!$F$4+Dashboard!C$10*SQRT(Dashboard!$F$4) * _xlfn.NORM.S.INV(RAND())</f>
        <v>-2.6788970899875749E-2</v>
      </c>
      <c r="U7719" s="59">
        <f ca="1">Dashboard!D$8* Dashboard!$F$4+Dashboard!D$10*SQRT(Dashboard!$F$4) * _xlfn.NORM.S.INV(RAND())</f>
        <v>-5.0773959292386185E-3</v>
      </c>
    </row>
    <row r="7720" spans="18:21" x14ac:dyDescent="0.2">
      <c r="R7720" s="49">
        <v>7718</v>
      </c>
      <c r="S7720" s="59">
        <f ca="1">Dashboard!B$8* Dashboard!$F$4+Dashboard!B$10*SQRT(Dashboard!$F$4) * _xlfn.NORM.S.INV(RAND())</f>
        <v>-2.5292447331557333E-2</v>
      </c>
      <c r="T7720" s="59">
        <f ca="1">Dashboard!C$8* Dashboard!$F$4+Dashboard!C$10*SQRT(Dashboard!$F$4) * _xlfn.NORM.S.INV(RAND())</f>
        <v>-2.8053228683836782E-2</v>
      </c>
      <c r="U7720" s="59">
        <f ca="1">Dashboard!D$8* Dashboard!$F$4+Dashboard!D$10*SQRT(Dashboard!$F$4) * _xlfn.NORM.S.INV(RAND())</f>
        <v>-3.4946129026366304E-2</v>
      </c>
    </row>
    <row r="7721" spans="18:21" x14ac:dyDescent="0.2">
      <c r="R7721" s="49">
        <v>7719</v>
      </c>
      <c r="S7721" s="59">
        <f ca="1">Dashboard!B$8* Dashboard!$F$4+Dashboard!B$10*SQRT(Dashboard!$F$4) * _xlfn.NORM.S.INV(RAND())</f>
        <v>1.4353922664940797E-2</v>
      </c>
      <c r="T7721" s="59">
        <f ca="1">Dashboard!C$8* Dashboard!$F$4+Dashboard!C$10*SQRT(Dashboard!$F$4) * _xlfn.NORM.S.INV(RAND())</f>
        <v>4.709199073541509E-2</v>
      </c>
      <c r="U7721" s="59">
        <f ca="1">Dashboard!D$8* Dashboard!$F$4+Dashboard!D$10*SQRT(Dashboard!$F$4) * _xlfn.NORM.S.INV(RAND())</f>
        <v>2.1477416921538848E-2</v>
      </c>
    </row>
    <row r="7722" spans="18:21" x14ac:dyDescent="0.2">
      <c r="R7722" s="49">
        <v>7720</v>
      </c>
      <c r="S7722" s="59">
        <f ca="1">Dashboard!B$8* Dashboard!$F$4+Dashboard!B$10*SQRT(Dashboard!$F$4) * _xlfn.NORM.S.INV(RAND())</f>
        <v>-2.1455169382774402E-3</v>
      </c>
      <c r="T7722" s="59">
        <f ca="1">Dashboard!C$8* Dashboard!$F$4+Dashboard!C$10*SQRT(Dashboard!$F$4) * _xlfn.NORM.S.INV(RAND())</f>
        <v>4.0162292895222385E-2</v>
      </c>
      <c r="U7722" s="59">
        <f ca="1">Dashboard!D$8* Dashboard!$F$4+Dashboard!D$10*SQRT(Dashboard!$F$4) * _xlfn.NORM.S.INV(RAND())</f>
        <v>-6.3308533579981716E-2</v>
      </c>
    </row>
    <row r="7723" spans="18:21" x14ac:dyDescent="0.2">
      <c r="R7723" s="49">
        <v>7721</v>
      </c>
      <c r="S7723" s="59">
        <f ca="1">Dashboard!B$8* Dashboard!$F$4+Dashboard!B$10*SQRT(Dashboard!$F$4) * _xlfn.NORM.S.INV(RAND())</f>
        <v>7.7895243323286689E-3</v>
      </c>
      <c r="T7723" s="59">
        <f ca="1">Dashboard!C$8* Dashboard!$F$4+Dashboard!C$10*SQRT(Dashboard!$F$4) * _xlfn.NORM.S.INV(RAND())</f>
        <v>1.3111314693176345E-2</v>
      </c>
      <c r="U7723" s="59">
        <f ca="1">Dashboard!D$8* Dashboard!$F$4+Dashboard!D$10*SQRT(Dashboard!$F$4) * _xlfn.NORM.S.INV(RAND())</f>
        <v>-1.2935312717965339E-2</v>
      </c>
    </row>
    <row r="7724" spans="18:21" x14ac:dyDescent="0.2">
      <c r="R7724" s="49">
        <v>7722</v>
      </c>
      <c r="S7724" s="59">
        <f ca="1">Dashboard!B$8* Dashboard!$F$4+Dashboard!B$10*SQRT(Dashboard!$F$4) * _xlfn.NORM.S.INV(RAND())</f>
        <v>1.5280468180022806E-2</v>
      </c>
      <c r="T7724" s="59">
        <f ca="1">Dashboard!C$8* Dashboard!$F$4+Dashboard!C$10*SQRT(Dashboard!$F$4) * _xlfn.NORM.S.INV(RAND())</f>
        <v>-4.4269307438689343E-2</v>
      </c>
      <c r="U7724" s="59">
        <f ca="1">Dashboard!D$8* Dashboard!$F$4+Dashboard!D$10*SQRT(Dashboard!$F$4) * _xlfn.NORM.S.INV(RAND())</f>
        <v>4.5955709034878008E-2</v>
      </c>
    </row>
    <row r="7725" spans="18:21" x14ac:dyDescent="0.2">
      <c r="R7725" s="49">
        <v>7723</v>
      </c>
      <c r="S7725" s="59">
        <f ca="1">Dashboard!B$8* Dashboard!$F$4+Dashboard!B$10*SQRT(Dashboard!$F$4) * _xlfn.NORM.S.INV(RAND())</f>
        <v>-1.1202593515692194E-2</v>
      </c>
      <c r="T7725" s="59">
        <f ca="1">Dashboard!C$8* Dashboard!$F$4+Dashboard!C$10*SQRT(Dashboard!$F$4) * _xlfn.NORM.S.INV(RAND())</f>
        <v>2.0784094183635471E-2</v>
      </c>
      <c r="U7725" s="59">
        <f ca="1">Dashboard!D$8* Dashboard!$F$4+Dashboard!D$10*SQRT(Dashboard!$F$4) * _xlfn.NORM.S.INV(RAND())</f>
        <v>1.4150076864938028E-2</v>
      </c>
    </row>
    <row r="7726" spans="18:21" x14ac:dyDescent="0.2">
      <c r="R7726" s="49">
        <v>7724</v>
      </c>
      <c r="S7726" s="59">
        <f ca="1">Dashboard!B$8* Dashboard!$F$4+Dashboard!B$10*SQRT(Dashboard!$F$4) * _xlfn.NORM.S.INV(RAND())</f>
        <v>-1.6041175564831256E-2</v>
      </c>
      <c r="T7726" s="59">
        <f ca="1">Dashboard!C$8* Dashboard!$F$4+Dashboard!C$10*SQRT(Dashboard!$F$4) * _xlfn.NORM.S.INV(RAND())</f>
        <v>-5.7817577509062358E-3</v>
      </c>
      <c r="U7726" s="59">
        <f ca="1">Dashboard!D$8* Dashboard!$F$4+Dashboard!D$10*SQRT(Dashboard!$F$4) * _xlfn.NORM.S.INV(RAND())</f>
        <v>2.1862571150477537E-2</v>
      </c>
    </row>
    <row r="7727" spans="18:21" x14ac:dyDescent="0.2">
      <c r="R7727" s="49">
        <v>7725</v>
      </c>
      <c r="S7727" s="59">
        <f ca="1">Dashboard!B$8* Dashboard!$F$4+Dashboard!B$10*SQRT(Dashboard!$F$4) * _xlfn.NORM.S.INV(RAND())</f>
        <v>-1.2165108590683874E-2</v>
      </c>
      <c r="T7727" s="59">
        <f ca="1">Dashboard!C$8* Dashboard!$F$4+Dashboard!C$10*SQRT(Dashboard!$F$4) * _xlfn.NORM.S.INV(RAND())</f>
        <v>9.031932123281837E-2</v>
      </c>
      <c r="U7727" s="59">
        <f ca="1">Dashboard!D$8* Dashboard!$F$4+Dashboard!D$10*SQRT(Dashboard!$F$4) * _xlfn.NORM.S.INV(RAND())</f>
        <v>-2.9958881233741678E-2</v>
      </c>
    </row>
    <row r="7728" spans="18:21" x14ac:dyDescent="0.2">
      <c r="R7728" s="49">
        <v>7726</v>
      </c>
      <c r="S7728" s="59">
        <f ca="1">Dashboard!B$8* Dashboard!$F$4+Dashboard!B$10*SQRT(Dashboard!$F$4) * _xlfn.NORM.S.INV(RAND())</f>
        <v>4.8879239947339975E-2</v>
      </c>
      <c r="T7728" s="59">
        <f ca="1">Dashboard!C$8* Dashboard!$F$4+Dashboard!C$10*SQRT(Dashboard!$F$4) * _xlfn.NORM.S.INV(RAND())</f>
        <v>-1.0720394020886773E-2</v>
      </c>
      <c r="U7728" s="59">
        <f ca="1">Dashboard!D$8* Dashboard!$F$4+Dashboard!D$10*SQRT(Dashboard!$F$4) * _xlfn.NORM.S.INV(RAND())</f>
        <v>2.7228965210060498E-2</v>
      </c>
    </row>
    <row r="7729" spans="18:21" x14ac:dyDescent="0.2">
      <c r="R7729" s="49">
        <v>7727</v>
      </c>
      <c r="S7729" s="59">
        <f ca="1">Dashboard!B$8* Dashboard!$F$4+Dashboard!B$10*SQRT(Dashboard!$F$4) * _xlfn.NORM.S.INV(RAND())</f>
        <v>-1.7983561193364361E-2</v>
      </c>
      <c r="T7729" s="59">
        <f ca="1">Dashboard!C$8* Dashboard!$F$4+Dashboard!C$10*SQRT(Dashboard!$F$4) * _xlfn.NORM.S.INV(RAND())</f>
        <v>1.7813649931916193E-3</v>
      </c>
      <c r="U7729" s="59">
        <f ca="1">Dashboard!D$8* Dashboard!$F$4+Dashboard!D$10*SQRT(Dashboard!$F$4) * _xlfn.NORM.S.INV(RAND())</f>
        <v>-3.9434507371323931E-2</v>
      </c>
    </row>
    <row r="7730" spans="18:21" x14ac:dyDescent="0.2">
      <c r="R7730" s="49">
        <v>7728</v>
      </c>
      <c r="S7730" s="59">
        <f ca="1">Dashboard!B$8* Dashboard!$F$4+Dashboard!B$10*SQRT(Dashboard!$F$4) * _xlfn.NORM.S.INV(RAND())</f>
        <v>-1.2971754290502154E-2</v>
      </c>
      <c r="T7730" s="59">
        <f ca="1">Dashboard!C$8* Dashboard!$F$4+Dashboard!C$10*SQRT(Dashboard!$F$4) * _xlfn.NORM.S.INV(RAND())</f>
        <v>2.7351514668241286E-2</v>
      </c>
      <c r="U7730" s="59">
        <f ca="1">Dashboard!D$8* Dashboard!$F$4+Dashboard!D$10*SQRT(Dashboard!$F$4) * _xlfn.NORM.S.INV(RAND())</f>
        <v>6.0547567395856428E-2</v>
      </c>
    </row>
    <row r="7731" spans="18:21" x14ac:dyDescent="0.2">
      <c r="R7731" s="49">
        <v>7729</v>
      </c>
      <c r="S7731" s="59">
        <f ca="1">Dashboard!B$8* Dashboard!$F$4+Dashboard!B$10*SQRT(Dashboard!$F$4) * _xlfn.NORM.S.INV(RAND())</f>
        <v>6.6254907160813725E-2</v>
      </c>
      <c r="T7731" s="59">
        <f ca="1">Dashboard!C$8* Dashboard!$F$4+Dashboard!C$10*SQRT(Dashboard!$F$4) * _xlfn.NORM.S.INV(RAND())</f>
        <v>-1.1024539427222858E-2</v>
      </c>
      <c r="U7731" s="59">
        <f ca="1">Dashboard!D$8* Dashboard!$F$4+Dashboard!D$10*SQRT(Dashboard!$F$4) * _xlfn.NORM.S.INV(RAND())</f>
        <v>8.267374305719985E-3</v>
      </c>
    </row>
    <row r="7732" spans="18:21" x14ac:dyDescent="0.2">
      <c r="R7732" s="49">
        <v>7730</v>
      </c>
      <c r="S7732" s="59">
        <f ca="1">Dashboard!B$8* Dashboard!$F$4+Dashboard!B$10*SQRT(Dashboard!$F$4) * _xlfn.NORM.S.INV(RAND())</f>
        <v>-9.6942254230245554E-3</v>
      </c>
      <c r="T7732" s="59">
        <f ca="1">Dashboard!C$8* Dashboard!$F$4+Dashboard!C$10*SQRT(Dashboard!$F$4) * _xlfn.NORM.S.INV(RAND())</f>
        <v>1.5064742092390535E-2</v>
      </c>
      <c r="U7732" s="59">
        <f ca="1">Dashboard!D$8* Dashboard!$F$4+Dashboard!D$10*SQRT(Dashboard!$F$4) * _xlfn.NORM.S.INV(RAND())</f>
        <v>-5.2811519875672487E-2</v>
      </c>
    </row>
    <row r="7733" spans="18:21" x14ac:dyDescent="0.2">
      <c r="R7733" s="49">
        <v>7731</v>
      </c>
      <c r="S7733" s="59">
        <f ca="1">Dashboard!B$8* Dashboard!$F$4+Dashboard!B$10*SQRT(Dashboard!$F$4) * _xlfn.NORM.S.INV(RAND())</f>
        <v>8.4689269095443942E-2</v>
      </c>
      <c r="T7733" s="59">
        <f ca="1">Dashboard!C$8* Dashboard!$F$4+Dashboard!C$10*SQRT(Dashboard!$F$4) * _xlfn.NORM.S.INV(RAND())</f>
        <v>-5.033458078106004E-2</v>
      </c>
      <c r="U7733" s="59">
        <f ca="1">Dashboard!D$8* Dashboard!$F$4+Dashboard!D$10*SQRT(Dashboard!$F$4) * _xlfn.NORM.S.INV(RAND())</f>
        <v>5.2291811598599219E-2</v>
      </c>
    </row>
    <row r="7734" spans="18:21" x14ac:dyDescent="0.2">
      <c r="R7734" s="49">
        <v>7732</v>
      </c>
      <c r="S7734" s="59">
        <f ca="1">Dashboard!B$8* Dashboard!$F$4+Dashboard!B$10*SQRT(Dashboard!$F$4) * _xlfn.NORM.S.INV(RAND())</f>
        <v>6.5779832918852643E-2</v>
      </c>
      <c r="T7734" s="59">
        <f ca="1">Dashboard!C$8* Dashboard!$F$4+Dashboard!C$10*SQRT(Dashboard!$F$4) * _xlfn.NORM.S.INV(RAND())</f>
        <v>-2.9614698134382684E-2</v>
      </c>
      <c r="U7734" s="59">
        <f ca="1">Dashboard!D$8* Dashboard!$F$4+Dashboard!D$10*SQRT(Dashboard!$F$4) * _xlfn.NORM.S.INV(RAND())</f>
        <v>-2.5928134013472687E-2</v>
      </c>
    </row>
    <row r="7735" spans="18:21" x14ac:dyDescent="0.2">
      <c r="R7735" s="49">
        <v>7733</v>
      </c>
      <c r="S7735" s="59">
        <f ca="1">Dashboard!B$8* Dashboard!$F$4+Dashboard!B$10*SQRT(Dashboard!$F$4) * _xlfn.NORM.S.INV(RAND())</f>
        <v>-4.0351980663151134E-2</v>
      </c>
      <c r="T7735" s="59">
        <f ca="1">Dashboard!C$8* Dashboard!$F$4+Dashboard!C$10*SQRT(Dashboard!$F$4) * _xlfn.NORM.S.INV(RAND())</f>
        <v>2.928242645197679E-2</v>
      </c>
      <c r="U7735" s="59">
        <f ca="1">Dashboard!D$8* Dashboard!$F$4+Dashboard!D$10*SQRT(Dashboard!$F$4) * _xlfn.NORM.S.INV(RAND())</f>
        <v>-4.8302676702900782E-2</v>
      </c>
    </row>
    <row r="7736" spans="18:21" x14ac:dyDescent="0.2">
      <c r="R7736" s="49">
        <v>7734</v>
      </c>
      <c r="S7736" s="59">
        <f ca="1">Dashboard!B$8* Dashboard!$F$4+Dashboard!B$10*SQRT(Dashboard!$F$4) * _xlfn.NORM.S.INV(RAND())</f>
        <v>-1.5813393693977544E-2</v>
      </c>
      <c r="T7736" s="59">
        <f ca="1">Dashboard!C$8* Dashboard!$F$4+Dashboard!C$10*SQRT(Dashboard!$F$4) * _xlfn.NORM.S.INV(RAND())</f>
        <v>-3.352560673426102E-2</v>
      </c>
      <c r="U7736" s="59">
        <f ca="1">Dashboard!D$8* Dashboard!$F$4+Dashboard!D$10*SQRT(Dashboard!$F$4) * _xlfn.NORM.S.INV(RAND())</f>
        <v>-5.8940721211968132E-2</v>
      </c>
    </row>
    <row r="7737" spans="18:21" x14ac:dyDescent="0.2">
      <c r="R7737" s="49">
        <v>7735</v>
      </c>
      <c r="S7737" s="59">
        <f ca="1">Dashboard!B$8* Dashboard!$F$4+Dashboard!B$10*SQRT(Dashboard!$F$4) * _xlfn.NORM.S.INV(RAND())</f>
        <v>1.4903343392659222E-2</v>
      </c>
      <c r="T7737" s="59">
        <f ca="1">Dashboard!C$8* Dashboard!$F$4+Dashboard!C$10*SQRT(Dashboard!$F$4) * _xlfn.NORM.S.INV(RAND())</f>
        <v>7.4482591731107259E-2</v>
      </c>
      <c r="U7737" s="59">
        <f ca="1">Dashboard!D$8* Dashboard!$F$4+Dashboard!D$10*SQRT(Dashboard!$F$4) * _xlfn.NORM.S.INV(RAND())</f>
        <v>-2.901738352915861E-2</v>
      </c>
    </row>
    <row r="7738" spans="18:21" x14ac:dyDescent="0.2">
      <c r="R7738" s="49">
        <v>7736</v>
      </c>
      <c r="S7738" s="59">
        <f ca="1">Dashboard!B$8* Dashboard!$F$4+Dashboard!B$10*SQRT(Dashboard!$F$4) * _xlfn.NORM.S.INV(RAND())</f>
        <v>2.9165146846427924E-2</v>
      </c>
      <c r="T7738" s="59">
        <f ca="1">Dashboard!C$8* Dashboard!$F$4+Dashboard!C$10*SQRT(Dashboard!$F$4) * _xlfn.NORM.S.INV(RAND())</f>
        <v>-4.6132388229866766E-3</v>
      </c>
      <c r="U7738" s="59">
        <f ca="1">Dashboard!D$8* Dashboard!$F$4+Dashboard!D$10*SQRT(Dashboard!$F$4) * _xlfn.NORM.S.INV(RAND())</f>
        <v>2.4439950339994057E-3</v>
      </c>
    </row>
    <row r="7739" spans="18:21" x14ac:dyDescent="0.2">
      <c r="R7739" s="49">
        <v>7737</v>
      </c>
      <c r="S7739" s="59">
        <f ca="1">Dashboard!B$8* Dashboard!$F$4+Dashboard!B$10*SQRT(Dashboard!$F$4) * _xlfn.NORM.S.INV(RAND())</f>
        <v>-1.5564473518142785E-3</v>
      </c>
      <c r="T7739" s="59">
        <f ca="1">Dashboard!C$8* Dashboard!$F$4+Dashboard!C$10*SQRT(Dashboard!$F$4) * _xlfn.NORM.S.INV(RAND())</f>
        <v>-3.3394344391517693E-2</v>
      </c>
      <c r="U7739" s="59">
        <f ca="1">Dashboard!D$8* Dashboard!$F$4+Dashboard!D$10*SQRT(Dashboard!$F$4) * _xlfn.NORM.S.INV(RAND())</f>
        <v>1.6744592289490632E-2</v>
      </c>
    </row>
    <row r="7740" spans="18:21" x14ac:dyDescent="0.2">
      <c r="R7740" s="49">
        <v>7738</v>
      </c>
      <c r="S7740" s="59">
        <f ca="1">Dashboard!B$8* Dashboard!$F$4+Dashboard!B$10*SQRT(Dashboard!$F$4) * _xlfn.NORM.S.INV(RAND())</f>
        <v>3.591181335890694E-2</v>
      </c>
      <c r="T7740" s="59">
        <f ca="1">Dashboard!C$8* Dashboard!$F$4+Dashboard!C$10*SQRT(Dashboard!$F$4) * _xlfn.NORM.S.INV(RAND())</f>
        <v>-2.1556873125557274E-2</v>
      </c>
      <c r="U7740" s="59">
        <f ca="1">Dashboard!D$8* Dashboard!$F$4+Dashboard!D$10*SQRT(Dashboard!$F$4) * _xlfn.NORM.S.INV(RAND())</f>
        <v>-3.5281843308487666E-2</v>
      </c>
    </row>
    <row r="7741" spans="18:21" x14ac:dyDescent="0.2">
      <c r="R7741" s="49">
        <v>7739</v>
      </c>
      <c r="S7741" s="59">
        <f ca="1">Dashboard!B$8* Dashboard!$F$4+Dashboard!B$10*SQRT(Dashboard!$F$4) * _xlfn.NORM.S.INV(RAND())</f>
        <v>-6.572951643552807E-3</v>
      </c>
      <c r="T7741" s="59">
        <f ca="1">Dashboard!C$8* Dashboard!$F$4+Dashboard!C$10*SQRT(Dashboard!$F$4) * _xlfn.NORM.S.INV(RAND())</f>
        <v>6.7196806012765439E-2</v>
      </c>
      <c r="U7741" s="59">
        <f ca="1">Dashboard!D$8* Dashboard!$F$4+Dashboard!D$10*SQRT(Dashboard!$F$4) * _xlfn.NORM.S.INV(RAND())</f>
        <v>-4.8727796565979046E-4</v>
      </c>
    </row>
    <row r="7742" spans="18:21" x14ac:dyDescent="0.2">
      <c r="R7742" s="49">
        <v>7740</v>
      </c>
      <c r="S7742" s="59">
        <f ca="1">Dashboard!B$8* Dashboard!$F$4+Dashboard!B$10*SQRT(Dashboard!$F$4) * _xlfn.NORM.S.INV(RAND())</f>
        <v>-9.7448754282674858E-3</v>
      </c>
      <c r="T7742" s="59">
        <f ca="1">Dashboard!C$8* Dashboard!$F$4+Dashboard!C$10*SQRT(Dashboard!$F$4) * _xlfn.NORM.S.INV(RAND())</f>
        <v>1.0739509086354208E-2</v>
      </c>
      <c r="U7742" s="59">
        <f ca="1">Dashboard!D$8* Dashboard!$F$4+Dashboard!D$10*SQRT(Dashboard!$F$4) * _xlfn.NORM.S.INV(RAND())</f>
        <v>-1.683865114100927E-2</v>
      </c>
    </row>
    <row r="7743" spans="18:21" x14ac:dyDescent="0.2">
      <c r="R7743" s="49">
        <v>7741</v>
      </c>
      <c r="S7743" s="59">
        <f ca="1">Dashboard!B$8* Dashboard!$F$4+Dashboard!B$10*SQRT(Dashboard!$F$4) * _xlfn.NORM.S.INV(RAND())</f>
        <v>3.331335343009361E-2</v>
      </c>
      <c r="T7743" s="59">
        <f ca="1">Dashboard!C$8* Dashboard!$F$4+Dashboard!C$10*SQRT(Dashboard!$F$4) * _xlfn.NORM.S.INV(RAND())</f>
        <v>-1.6385836338033116E-2</v>
      </c>
      <c r="U7743" s="59">
        <f ca="1">Dashboard!D$8* Dashboard!$F$4+Dashboard!D$10*SQRT(Dashboard!$F$4) * _xlfn.NORM.S.INV(RAND())</f>
        <v>-2.2208989654863797E-2</v>
      </c>
    </row>
    <row r="7744" spans="18:21" x14ac:dyDescent="0.2">
      <c r="R7744" s="49">
        <v>7742</v>
      </c>
      <c r="S7744" s="59">
        <f ca="1">Dashboard!B$8* Dashboard!$F$4+Dashboard!B$10*SQRT(Dashboard!$F$4) * _xlfn.NORM.S.INV(RAND())</f>
        <v>4.3933770958794499E-2</v>
      </c>
      <c r="T7744" s="59">
        <f ca="1">Dashboard!C$8* Dashboard!$F$4+Dashboard!C$10*SQRT(Dashboard!$F$4) * _xlfn.NORM.S.INV(RAND())</f>
        <v>-3.2847800749819529E-2</v>
      </c>
      <c r="U7744" s="59">
        <f ca="1">Dashboard!D$8* Dashboard!$F$4+Dashboard!D$10*SQRT(Dashboard!$F$4) * _xlfn.NORM.S.INV(RAND())</f>
        <v>-2.9070823369906153E-2</v>
      </c>
    </row>
    <row r="7745" spans="18:21" x14ac:dyDescent="0.2">
      <c r="R7745" s="49">
        <v>7743</v>
      </c>
      <c r="S7745" s="59">
        <f ca="1">Dashboard!B$8* Dashboard!$F$4+Dashboard!B$10*SQRT(Dashboard!$F$4) * _xlfn.NORM.S.INV(RAND())</f>
        <v>-1.9977364046529902E-2</v>
      </c>
      <c r="T7745" s="59">
        <f ca="1">Dashboard!C$8* Dashboard!$F$4+Dashboard!C$10*SQRT(Dashboard!$F$4) * _xlfn.NORM.S.INV(RAND())</f>
        <v>5.8842488973771201E-2</v>
      </c>
      <c r="U7745" s="59">
        <f ca="1">Dashboard!D$8* Dashboard!$F$4+Dashboard!D$10*SQRT(Dashboard!$F$4) * _xlfn.NORM.S.INV(RAND())</f>
        <v>-8.2406044543568719E-3</v>
      </c>
    </row>
    <row r="7746" spans="18:21" x14ac:dyDescent="0.2">
      <c r="R7746" s="49">
        <v>7744</v>
      </c>
      <c r="S7746" s="59">
        <f ca="1">Dashboard!B$8* Dashboard!$F$4+Dashboard!B$10*SQRT(Dashboard!$F$4) * _xlfn.NORM.S.INV(RAND())</f>
        <v>2.9071064784981096E-3</v>
      </c>
      <c r="T7746" s="59">
        <f ca="1">Dashboard!C$8* Dashboard!$F$4+Dashboard!C$10*SQRT(Dashboard!$F$4) * _xlfn.NORM.S.INV(RAND())</f>
        <v>3.3412841598439352E-2</v>
      </c>
      <c r="U7746" s="59">
        <f ca="1">Dashboard!D$8* Dashboard!$F$4+Dashboard!D$10*SQRT(Dashboard!$F$4) * _xlfn.NORM.S.INV(RAND())</f>
        <v>2.9417818767710706E-2</v>
      </c>
    </row>
    <row r="7747" spans="18:21" x14ac:dyDescent="0.2">
      <c r="R7747" s="49">
        <v>7745</v>
      </c>
      <c r="S7747" s="59">
        <f ca="1">Dashboard!B$8* Dashboard!$F$4+Dashboard!B$10*SQRT(Dashboard!$F$4) * _xlfn.NORM.S.INV(RAND())</f>
        <v>-8.0781314195242128E-4</v>
      </c>
      <c r="T7747" s="59">
        <f ca="1">Dashboard!C$8* Dashboard!$F$4+Dashboard!C$10*SQRT(Dashboard!$F$4) * _xlfn.NORM.S.INV(RAND())</f>
        <v>1.5505430146393735E-2</v>
      </c>
      <c r="U7747" s="59">
        <f ca="1">Dashboard!D$8* Dashboard!$F$4+Dashboard!D$10*SQRT(Dashboard!$F$4) * _xlfn.NORM.S.INV(RAND())</f>
        <v>5.1456663152023843E-3</v>
      </c>
    </row>
    <row r="7748" spans="18:21" x14ac:dyDescent="0.2">
      <c r="R7748" s="49">
        <v>7746</v>
      </c>
      <c r="S7748" s="59">
        <f ca="1">Dashboard!B$8* Dashboard!$F$4+Dashboard!B$10*SQRT(Dashboard!$F$4) * _xlfn.NORM.S.INV(RAND())</f>
        <v>-4.4575830628771948E-2</v>
      </c>
      <c r="T7748" s="59">
        <f ca="1">Dashboard!C$8* Dashboard!$F$4+Dashboard!C$10*SQRT(Dashboard!$F$4) * _xlfn.NORM.S.INV(RAND())</f>
        <v>2.9882365829241583E-2</v>
      </c>
      <c r="U7748" s="59">
        <f ca="1">Dashboard!D$8* Dashboard!$F$4+Dashboard!D$10*SQRT(Dashboard!$F$4) * _xlfn.NORM.S.INV(RAND())</f>
        <v>1.9612116432702182E-2</v>
      </c>
    </row>
    <row r="7749" spans="18:21" x14ac:dyDescent="0.2">
      <c r="R7749" s="49">
        <v>7747</v>
      </c>
      <c r="S7749" s="59">
        <f ca="1">Dashboard!B$8* Dashboard!$F$4+Dashboard!B$10*SQRT(Dashboard!$F$4) * _xlfn.NORM.S.INV(RAND())</f>
        <v>-1.3827263019239049E-2</v>
      </c>
      <c r="T7749" s="59">
        <f ca="1">Dashboard!C$8* Dashboard!$F$4+Dashboard!C$10*SQRT(Dashboard!$F$4) * _xlfn.NORM.S.INV(RAND())</f>
        <v>-5.2581414350619936E-2</v>
      </c>
      <c r="U7749" s="59">
        <f ca="1">Dashboard!D$8* Dashboard!$F$4+Dashboard!D$10*SQRT(Dashboard!$F$4) * _xlfn.NORM.S.INV(RAND())</f>
        <v>9.4084000218220953E-3</v>
      </c>
    </row>
    <row r="7750" spans="18:21" x14ac:dyDescent="0.2">
      <c r="R7750" s="49">
        <v>7748</v>
      </c>
      <c r="S7750" s="59">
        <f ca="1">Dashboard!B$8* Dashboard!$F$4+Dashboard!B$10*SQRT(Dashboard!$F$4) * _xlfn.NORM.S.INV(RAND())</f>
        <v>7.1065508284514217E-2</v>
      </c>
      <c r="T7750" s="59">
        <f ca="1">Dashboard!C$8* Dashboard!$F$4+Dashboard!C$10*SQRT(Dashboard!$F$4) * _xlfn.NORM.S.INV(RAND())</f>
        <v>-4.1192970306789541E-2</v>
      </c>
      <c r="U7750" s="59">
        <f ca="1">Dashboard!D$8* Dashboard!$F$4+Dashboard!D$10*SQRT(Dashboard!$F$4) * _xlfn.NORM.S.INV(RAND())</f>
        <v>2.6241254015543867E-2</v>
      </c>
    </row>
    <row r="7751" spans="18:21" x14ac:dyDescent="0.2">
      <c r="R7751" s="49">
        <v>7749</v>
      </c>
      <c r="S7751" s="59">
        <f ca="1">Dashboard!B$8* Dashboard!$F$4+Dashboard!B$10*SQRT(Dashboard!$F$4) * _xlfn.NORM.S.INV(RAND())</f>
        <v>-2.5426960437361194E-2</v>
      </c>
      <c r="T7751" s="59">
        <f ca="1">Dashboard!C$8* Dashboard!$F$4+Dashboard!C$10*SQRT(Dashboard!$F$4) * _xlfn.NORM.S.INV(RAND())</f>
        <v>-6.2355700295126867E-2</v>
      </c>
      <c r="U7751" s="59">
        <f ca="1">Dashboard!D$8* Dashboard!$F$4+Dashboard!D$10*SQRT(Dashboard!$F$4) * _xlfn.NORM.S.INV(RAND())</f>
        <v>-4.4728841471591944E-2</v>
      </c>
    </row>
    <row r="7752" spans="18:21" x14ac:dyDescent="0.2">
      <c r="R7752" s="49">
        <v>7750</v>
      </c>
      <c r="S7752" s="59">
        <f ca="1">Dashboard!B$8* Dashboard!$F$4+Dashboard!B$10*SQRT(Dashboard!$F$4) * _xlfn.NORM.S.INV(RAND())</f>
        <v>-2.2785264891234752E-2</v>
      </c>
      <c r="T7752" s="59">
        <f ca="1">Dashboard!C$8* Dashboard!$F$4+Dashboard!C$10*SQRT(Dashboard!$F$4) * _xlfn.NORM.S.INV(RAND())</f>
        <v>-6.3784074158041845E-3</v>
      </c>
      <c r="U7752" s="59">
        <f ca="1">Dashboard!D$8* Dashboard!$F$4+Dashboard!D$10*SQRT(Dashboard!$F$4) * _xlfn.NORM.S.INV(RAND())</f>
        <v>2.1281566531534952E-3</v>
      </c>
    </row>
    <row r="7753" spans="18:21" x14ac:dyDescent="0.2">
      <c r="R7753" s="49">
        <v>7751</v>
      </c>
      <c r="S7753" s="59">
        <f ca="1">Dashboard!B$8* Dashboard!$F$4+Dashboard!B$10*SQRT(Dashboard!$F$4) * _xlfn.NORM.S.INV(RAND())</f>
        <v>-2.2243114165047512E-2</v>
      </c>
      <c r="T7753" s="59">
        <f ca="1">Dashboard!C$8* Dashboard!$F$4+Dashboard!C$10*SQRT(Dashboard!$F$4) * _xlfn.NORM.S.INV(RAND())</f>
        <v>6.4627761217201291E-2</v>
      </c>
      <c r="U7753" s="59">
        <f ca="1">Dashboard!D$8* Dashboard!$F$4+Dashboard!D$10*SQRT(Dashboard!$F$4) * _xlfn.NORM.S.INV(RAND())</f>
        <v>1.7993167388245083E-2</v>
      </c>
    </row>
    <row r="7754" spans="18:21" x14ac:dyDescent="0.2">
      <c r="R7754" s="49">
        <v>7752</v>
      </c>
      <c r="S7754" s="59">
        <f ca="1">Dashboard!B$8* Dashboard!$F$4+Dashboard!B$10*SQRT(Dashboard!$F$4) * _xlfn.NORM.S.INV(RAND())</f>
        <v>-8.3906098946279317E-2</v>
      </c>
      <c r="T7754" s="59">
        <f ca="1">Dashboard!C$8* Dashboard!$F$4+Dashboard!C$10*SQRT(Dashboard!$F$4) * _xlfn.NORM.S.INV(RAND())</f>
        <v>-7.6030835145465226E-3</v>
      </c>
      <c r="U7754" s="59">
        <f ca="1">Dashboard!D$8* Dashboard!$F$4+Dashboard!D$10*SQRT(Dashboard!$F$4) * _xlfn.NORM.S.INV(RAND())</f>
        <v>-3.650948542811382E-3</v>
      </c>
    </row>
    <row r="7755" spans="18:21" x14ac:dyDescent="0.2">
      <c r="R7755" s="49">
        <v>7753</v>
      </c>
      <c r="S7755" s="59">
        <f ca="1">Dashboard!B$8* Dashboard!$F$4+Dashboard!B$10*SQRT(Dashboard!$F$4) * _xlfn.NORM.S.INV(RAND())</f>
        <v>9.3277737839994393E-3</v>
      </c>
      <c r="T7755" s="59">
        <f ca="1">Dashboard!C$8* Dashboard!$F$4+Dashboard!C$10*SQRT(Dashboard!$F$4) * _xlfn.NORM.S.INV(RAND())</f>
        <v>-2.0379005400334375E-2</v>
      </c>
      <c r="U7755" s="59">
        <f ca="1">Dashboard!D$8* Dashboard!$F$4+Dashboard!D$10*SQRT(Dashboard!$F$4) * _xlfn.NORM.S.INV(RAND())</f>
        <v>-3.3819274603113965E-2</v>
      </c>
    </row>
    <row r="7756" spans="18:21" x14ac:dyDescent="0.2">
      <c r="R7756" s="49">
        <v>7754</v>
      </c>
      <c r="S7756" s="59">
        <f ca="1">Dashboard!B$8* Dashboard!$F$4+Dashboard!B$10*SQRT(Dashboard!$F$4) * _xlfn.NORM.S.INV(RAND())</f>
        <v>4.5311740217262766E-2</v>
      </c>
      <c r="T7756" s="59">
        <f ca="1">Dashboard!C$8* Dashboard!$F$4+Dashboard!C$10*SQRT(Dashboard!$F$4) * _xlfn.NORM.S.INV(RAND())</f>
        <v>2.487035227980974E-2</v>
      </c>
      <c r="U7756" s="59">
        <f ca="1">Dashboard!D$8* Dashboard!$F$4+Dashboard!D$10*SQRT(Dashboard!$F$4) * _xlfn.NORM.S.INV(RAND())</f>
        <v>-1.6256606752808916E-2</v>
      </c>
    </row>
    <row r="7757" spans="18:21" x14ac:dyDescent="0.2">
      <c r="R7757" s="49">
        <v>7755</v>
      </c>
      <c r="S7757" s="59">
        <f ca="1">Dashboard!B$8* Dashboard!$F$4+Dashboard!B$10*SQRT(Dashboard!$F$4) * _xlfn.NORM.S.INV(RAND())</f>
        <v>-5.7469355610524811E-2</v>
      </c>
      <c r="T7757" s="59">
        <f ca="1">Dashboard!C$8* Dashboard!$F$4+Dashboard!C$10*SQRT(Dashboard!$F$4) * _xlfn.NORM.S.INV(RAND())</f>
        <v>2.4966353672129373E-2</v>
      </c>
      <c r="U7757" s="59">
        <f ca="1">Dashboard!D$8* Dashboard!$F$4+Dashboard!D$10*SQRT(Dashboard!$F$4) * _xlfn.NORM.S.INV(RAND())</f>
        <v>3.4272017059794296E-2</v>
      </c>
    </row>
    <row r="7758" spans="18:21" x14ac:dyDescent="0.2">
      <c r="R7758" s="49">
        <v>7756</v>
      </c>
      <c r="S7758" s="59">
        <f ca="1">Dashboard!B$8* Dashboard!$F$4+Dashboard!B$10*SQRT(Dashboard!$F$4) * _xlfn.NORM.S.INV(RAND())</f>
        <v>2.5826608660533268E-2</v>
      </c>
      <c r="T7758" s="59">
        <f ca="1">Dashboard!C$8* Dashboard!$F$4+Dashboard!C$10*SQRT(Dashboard!$F$4) * _xlfn.NORM.S.INV(RAND())</f>
        <v>1.3645763938344761E-2</v>
      </c>
      <c r="U7758" s="59">
        <f ca="1">Dashboard!D$8* Dashboard!$F$4+Dashboard!D$10*SQRT(Dashboard!$F$4) * _xlfn.NORM.S.INV(RAND())</f>
        <v>-6.9201939237543197E-2</v>
      </c>
    </row>
    <row r="7759" spans="18:21" x14ac:dyDescent="0.2">
      <c r="R7759" s="49">
        <v>7757</v>
      </c>
      <c r="S7759" s="59">
        <f ca="1">Dashboard!B$8* Dashboard!$F$4+Dashboard!B$10*SQRT(Dashboard!$F$4) * _xlfn.NORM.S.INV(RAND())</f>
        <v>-1.7006797826093739E-2</v>
      </c>
      <c r="T7759" s="59">
        <f ca="1">Dashboard!C$8* Dashboard!$F$4+Dashboard!C$10*SQRT(Dashboard!$F$4) * _xlfn.NORM.S.INV(RAND())</f>
        <v>4.8027208022235528E-2</v>
      </c>
      <c r="U7759" s="59">
        <f ca="1">Dashboard!D$8* Dashboard!$F$4+Dashboard!D$10*SQRT(Dashboard!$F$4) * _xlfn.NORM.S.INV(RAND())</f>
        <v>4.6364592641589417E-2</v>
      </c>
    </row>
    <row r="7760" spans="18:21" x14ac:dyDescent="0.2">
      <c r="R7760" s="49">
        <v>7758</v>
      </c>
      <c r="S7760" s="59">
        <f ca="1">Dashboard!B$8* Dashboard!$F$4+Dashboard!B$10*SQRT(Dashboard!$F$4) * _xlfn.NORM.S.INV(RAND())</f>
        <v>-2.5320827549627584E-2</v>
      </c>
      <c r="T7760" s="59">
        <f ca="1">Dashboard!C$8* Dashboard!$F$4+Dashboard!C$10*SQRT(Dashboard!$F$4) * _xlfn.NORM.S.INV(RAND())</f>
        <v>5.1490664533108035E-2</v>
      </c>
      <c r="U7760" s="59">
        <f ca="1">Dashboard!D$8* Dashboard!$F$4+Dashboard!D$10*SQRT(Dashboard!$F$4) * _xlfn.NORM.S.INV(RAND())</f>
        <v>1.1490527265594932E-2</v>
      </c>
    </row>
    <row r="7761" spans="18:21" x14ac:dyDescent="0.2">
      <c r="R7761" s="49">
        <v>7759</v>
      </c>
      <c r="S7761" s="59">
        <f ca="1">Dashboard!B$8* Dashboard!$F$4+Dashboard!B$10*SQRT(Dashboard!$F$4) * _xlfn.NORM.S.INV(RAND())</f>
        <v>1.1258173770656377E-3</v>
      </c>
      <c r="T7761" s="59">
        <f ca="1">Dashboard!C$8* Dashboard!$F$4+Dashboard!C$10*SQRT(Dashboard!$F$4) * _xlfn.NORM.S.INV(RAND())</f>
        <v>1.7468964044764758E-2</v>
      </c>
      <c r="U7761" s="59">
        <f ca="1">Dashboard!D$8* Dashboard!$F$4+Dashboard!D$10*SQRT(Dashboard!$F$4) * _xlfn.NORM.S.INV(RAND())</f>
        <v>3.1334717489258299E-2</v>
      </c>
    </row>
    <row r="7762" spans="18:21" x14ac:dyDescent="0.2">
      <c r="R7762" s="49">
        <v>7760</v>
      </c>
      <c r="S7762" s="59">
        <f ca="1">Dashboard!B$8* Dashboard!$F$4+Dashboard!B$10*SQRT(Dashboard!$F$4) * _xlfn.NORM.S.INV(RAND())</f>
        <v>-1.7954898146026473E-2</v>
      </c>
      <c r="T7762" s="59">
        <f ca="1">Dashboard!C$8* Dashboard!$F$4+Dashboard!C$10*SQRT(Dashboard!$F$4) * _xlfn.NORM.S.INV(RAND())</f>
        <v>-4.8749370284022528E-2</v>
      </c>
      <c r="U7762" s="59">
        <f ca="1">Dashboard!D$8* Dashboard!$F$4+Dashboard!D$10*SQRT(Dashboard!$F$4) * _xlfn.NORM.S.INV(RAND())</f>
        <v>-1.08491537246867E-2</v>
      </c>
    </row>
    <row r="7763" spans="18:21" x14ac:dyDescent="0.2">
      <c r="R7763" s="49">
        <v>7761</v>
      </c>
      <c r="S7763" s="59">
        <f ca="1">Dashboard!B$8* Dashboard!$F$4+Dashboard!B$10*SQRT(Dashboard!$F$4) * _xlfn.NORM.S.INV(RAND())</f>
        <v>2.2330682225536788E-2</v>
      </c>
      <c r="T7763" s="59">
        <f ca="1">Dashboard!C$8* Dashboard!$F$4+Dashboard!C$10*SQRT(Dashboard!$F$4) * _xlfn.NORM.S.INV(RAND())</f>
        <v>9.0748623217057796E-3</v>
      </c>
      <c r="U7763" s="59">
        <f ca="1">Dashboard!D$8* Dashboard!$F$4+Dashboard!D$10*SQRT(Dashboard!$F$4) * _xlfn.NORM.S.INV(RAND())</f>
        <v>-9.5107937617151736E-3</v>
      </c>
    </row>
    <row r="7764" spans="18:21" x14ac:dyDescent="0.2">
      <c r="R7764" s="49">
        <v>7762</v>
      </c>
      <c r="S7764" s="59">
        <f ca="1">Dashboard!B$8* Dashboard!$F$4+Dashboard!B$10*SQRT(Dashboard!$F$4) * _xlfn.NORM.S.INV(RAND())</f>
        <v>5.2865472001171185E-2</v>
      </c>
      <c r="T7764" s="59">
        <f ca="1">Dashboard!C$8* Dashboard!$F$4+Dashboard!C$10*SQRT(Dashboard!$F$4) * _xlfn.NORM.S.INV(RAND())</f>
        <v>3.1010815104823983E-2</v>
      </c>
      <c r="U7764" s="59">
        <f ca="1">Dashboard!D$8* Dashboard!$F$4+Dashboard!D$10*SQRT(Dashboard!$F$4) * _xlfn.NORM.S.INV(RAND())</f>
        <v>2.1585793293994859E-2</v>
      </c>
    </row>
    <row r="7765" spans="18:21" x14ac:dyDescent="0.2">
      <c r="R7765" s="49">
        <v>7763</v>
      </c>
      <c r="S7765" s="59">
        <f ca="1">Dashboard!B$8* Dashboard!$F$4+Dashboard!B$10*SQRT(Dashboard!$F$4) * _xlfn.NORM.S.INV(RAND())</f>
        <v>1.4029961370832286E-4</v>
      </c>
      <c r="T7765" s="59">
        <f ca="1">Dashboard!C$8* Dashboard!$F$4+Dashboard!C$10*SQRT(Dashboard!$F$4) * _xlfn.NORM.S.INV(RAND())</f>
        <v>-4.0770100848934308E-2</v>
      </c>
      <c r="U7765" s="59">
        <f ca="1">Dashboard!D$8* Dashboard!$F$4+Dashboard!D$10*SQRT(Dashboard!$F$4) * _xlfn.NORM.S.INV(RAND())</f>
        <v>1.9857052058510911E-4</v>
      </c>
    </row>
    <row r="7766" spans="18:21" x14ac:dyDescent="0.2">
      <c r="R7766" s="49">
        <v>7764</v>
      </c>
      <c r="S7766" s="59">
        <f ca="1">Dashboard!B$8* Dashboard!$F$4+Dashboard!B$10*SQRT(Dashboard!$F$4) * _xlfn.NORM.S.INV(RAND())</f>
        <v>-5.0825592107191724E-2</v>
      </c>
      <c r="T7766" s="59">
        <f ca="1">Dashboard!C$8* Dashboard!$F$4+Dashboard!C$10*SQRT(Dashboard!$F$4) * _xlfn.NORM.S.INV(RAND())</f>
        <v>-1.3004449643577127E-2</v>
      </c>
      <c r="U7766" s="59">
        <f ca="1">Dashboard!D$8* Dashboard!$F$4+Dashboard!D$10*SQRT(Dashboard!$F$4) * _xlfn.NORM.S.INV(RAND())</f>
        <v>-2.0232449841852903E-2</v>
      </c>
    </row>
    <row r="7767" spans="18:21" x14ac:dyDescent="0.2">
      <c r="R7767" s="49">
        <v>7765</v>
      </c>
      <c r="S7767" s="59">
        <f ca="1">Dashboard!B$8* Dashboard!$F$4+Dashboard!B$10*SQRT(Dashboard!$F$4) * _xlfn.NORM.S.INV(RAND())</f>
        <v>-3.7574424566873883E-2</v>
      </c>
      <c r="T7767" s="59">
        <f ca="1">Dashboard!C$8* Dashboard!$F$4+Dashboard!C$10*SQRT(Dashboard!$F$4) * _xlfn.NORM.S.INV(RAND())</f>
        <v>-2.5866702219915987E-2</v>
      </c>
      <c r="U7767" s="59">
        <f ca="1">Dashboard!D$8* Dashboard!$F$4+Dashboard!D$10*SQRT(Dashboard!$F$4) * _xlfn.NORM.S.INV(RAND())</f>
        <v>2.8851742295357377E-2</v>
      </c>
    </row>
    <row r="7768" spans="18:21" x14ac:dyDescent="0.2">
      <c r="R7768" s="49">
        <v>7766</v>
      </c>
      <c r="S7768" s="59">
        <f ca="1">Dashboard!B$8* Dashboard!$F$4+Dashboard!B$10*SQRT(Dashboard!$F$4) * _xlfn.NORM.S.INV(RAND())</f>
        <v>3.8120434453237761E-2</v>
      </c>
      <c r="T7768" s="59">
        <f ca="1">Dashboard!C$8* Dashboard!$F$4+Dashboard!C$10*SQRT(Dashboard!$F$4) * _xlfn.NORM.S.INV(RAND())</f>
        <v>3.3923414915334876E-3</v>
      </c>
      <c r="U7768" s="59">
        <f ca="1">Dashboard!D$8* Dashboard!$F$4+Dashboard!D$10*SQRT(Dashboard!$F$4) * _xlfn.NORM.S.INV(RAND())</f>
        <v>3.8212962033089694E-2</v>
      </c>
    </row>
    <row r="7769" spans="18:21" x14ac:dyDescent="0.2">
      <c r="R7769" s="49">
        <v>7767</v>
      </c>
      <c r="S7769" s="59">
        <f ca="1">Dashboard!B$8* Dashboard!$F$4+Dashboard!B$10*SQRT(Dashboard!$F$4) * _xlfn.NORM.S.INV(RAND())</f>
        <v>7.0956454109092168E-2</v>
      </c>
      <c r="T7769" s="59">
        <f ca="1">Dashboard!C$8* Dashboard!$F$4+Dashboard!C$10*SQRT(Dashboard!$F$4) * _xlfn.NORM.S.INV(RAND())</f>
        <v>8.3310500915128854E-3</v>
      </c>
      <c r="U7769" s="59">
        <f ca="1">Dashboard!D$8* Dashboard!$F$4+Dashboard!D$10*SQRT(Dashboard!$F$4) * _xlfn.NORM.S.INV(RAND())</f>
        <v>-2.6164338796395514E-2</v>
      </c>
    </row>
    <row r="7770" spans="18:21" x14ac:dyDescent="0.2">
      <c r="R7770" s="49">
        <v>7768</v>
      </c>
      <c r="S7770" s="59">
        <f ca="1">Dashboard!B$8* Dashboard!$F$4+Dashboard!B$10*SQRT(Dashboard!$F$4) * _xlfn.NORM.S.INV(RAND())</f>
        <v>-9.0376635303270276E-4</v>
      </c>
      <c r="T7770" s="59">
        <f ca="1">Dashboard!C$8* Dashboard!$F$4+Dashboard!C$10*SQRT(Dashboard!$F$4) * _xlfn.NORM.S.INV(RAND())</f>
        <v>-3.2724700027698212E-3</v>
      </c>
      <c r="U7770" s="59">
        <f ca="1">Dashboard!D$8* Dashboard!$F$4+Dashboard!D$10*SQRT(Dashboard!$F$4) * _xlfn.NORM.S.INV(RAND())</f>
        <v>2.4806827345305819E-2</v>
      </c>
    </row>
    <row r="7771" spans="18:21" x14ac:dyDescent="0.2">
      <c r="R7771" s="49">
        <v>7769</v>
      </c>
      <c r="S7771" s="59">
        <f ca="1">Dashboard!B$8* Dashboard!$F$4+Dashboard!B$10*SQRT(Dashboard!$F$4) * _xlfn.NORM.S.INV(RAND())</f>
        <v>1.4678643258440356E-2</v>
      </c>
      <c r="T7771" s="59">
        <f ca="1">Dashboard!C$8* Dashboard!$F$4+Dashboard!C$10*SQRT(Dashboard!$F$4) * _xlfn.NORM.S.INV(RAND())</f>
        <v>3.0588530154099458E-2</v>
      </c>
      <c r="U7771" s="59">
        <f ca="1">Dashboard!D$8* Dashboard!$F$4+Dashboard!D$10*SQRT(Dashboard!$F$4) * _xlfn.NORM.S.INV(RAND())</f>
        <v>1.6644837440148646E-2</v>
      </c>
    </row>
    <row r="7772" spans="18:21" x14ac:dyDescent="0.2">
      <c r="R7772" s="49">
        <v>7770</v>
      </c>
      <c r="S7772" s="59">
        <f ca="1">Dashboard!B$8* Dashboard!$F$4+Dashboard!B$10*SQRT(Dashboard!$F$4) * _xlfn.NORM.S.INV(RAND())</f>
        <v>-3.5329439631489663E-2</v>
      </c>
      <c r="T7772" s="59">
        <f ca="1">Dashboard!C$8* Dashboard!$F$4+Dashboard!C$10*SQRT(Dashboard!$F$4) * _xlfn.NORM.S.INV(RAND())</f>
        <v>-3.5752028715260419E-2</v>
      </c>
      <c r="U7772" s="59">
        <f ca="1">Dashboard!D$8* Dashboard!$F$4+Dashboard!D$10*SQRT(Dashboard!$F$4) * _xlfn.NORM.S.INV(RAND())</f>
        <v>-1.2789347406240105E-3</v>
      </c>
    </row>
    <row r="7773" spans="18:21" x14ac:dyDescent="0.2">
      <c r="R7773" s="49">
        <v>7771</v>
      </c>
      <c r="S7773" s="59">
        <f ca="1">Dashboard!B$8* Dashboard!$F$4+Dashboard!B$10*SQRT(Dashboard!$F$4) * _xlfn.NORM.S.INV(RAND())</f>
        <v>-3.1154446136730858E-2</v>
      </c>
      <c r="T7773" s="59">
        <f ca="1">Dashboard!C$8* Dashboard!$F$4+Dashboard!C$10*SQRT(Dashboard!$F$4) * _xlfn.NORM.S.INV(RAND())</f>
        <v>-4.3199928292889066E-2</v>
      </c>
      <c r="U7773" s="59">
        <f ca="1">Dashboard!D$8* Dashboard!$F$4+Dashboard!D$10*SQRT(Dashboard!$F$4) * _xlfn.NORM.S.INV(RAND())</f>
        <v>3.3783539093326896E-2</v>
      </c>
    </row>
    <row r="7774" spans="18:21" x14ac:dyDescent="0.2">
      <c r="R7774" s="49">
        <v>7772</v>
      </c>
      <c r="S7774" s="59">
        <f ca="1">Dashboard!B$8* Dashboard!$F$4+Dashboard!B$10*SQRT(Dashboard!$F$4) * _xlfn.NORM.S.INV(RAND())</f>
        <v>1.9453282225208946E-3</v>
      </c>
      <c r="T7774" s="59">
        <f ca="1">Dashboard!C$8* Dashboard!$F$4+Dashboard!C$10*SQRT(Dashboard!$F$4) * _xlfn.NORM.S.INV(RAND())</f>
        <v>5.4925027879613418E-2</v>
      </c>
      <c r="U7774" s="59">
        <f ca="1">Dashboard!D$8* Dashboard!$F$4+Dashboard!D$10*SQRT(Dashboard!$F$4) * _xlfn.NORM.S.INV(RAND())</f>
        <v>1.0697201353009148E-2</v>
      </c>
    </row>
    <row r="7775" spans="18:21" x14ac:dyDescent="0.2">
      <c r="R7775" s="49">
        <v>7773</v>
      </c>
      <c r="S7775" s="59">
        <f ca="1">Dashboard!B$8* Dashboard!$F$4+Dashboard!B$10*SQRT(Dashboard!$F$4) * _xlfn.NORM.S.INV(RAND())</f>
        <v>-3.7660686371447483E-2</v>
      </c>
      <c r="T7775" s="59">
        <f ca="1">Dashboard!C$8* Dashboard!$F$4+Dashboard!C$10*SQRT(Dashboard!$F$4) * _xlfn.NORM.S.INV(RAND())</f>
        <v>-7.3162559304166654E-3</v>
      </c>
      <c r="U7775" s="59">
        <f ca="1">Dashboard!D$8* Dashboard!$F$4+Dashboard!D$10*SQRT(Dashboard!$F$4) * _xlfn.NORM.S.INV(RAND())</f>
        <v>-8.5944676471583232E-3</v>
      </c>
    </row>
    <row r="7776" spans="18:21" x14ac:dyDescent="0.2">
      <c r="R7776" s="49">
        <v>7774</v>
      </c>
      <c r="S7776" s="59">
        <f ca="1">Dashboard!B$8* Dashboard!$F$4+Dashboard!B$10*SQRT(Dashboard!$F$4) * _xlfn.NORM.S.INV(RAND())</f>
        <v>-6.4683877778928507E-3</v>
      </c>
      <c r="T7776" s="59">
        <f ca="1">Dashboard!C$8* Dashboard!$F$4+Dashboard!C$10*SQRT(Dashboard!$F$4) * _xlfn.NORM.S.INV(RAND())</f>
        <v>3.1902499875435072E-2</v>
      </c>
      <c r="U7776" s="59">
        <f ca="1">Dashboard!D$8* Dashboard!$F$4+Dashboard!D$10*SQRT(Dashboard!$F$4) * _xlfn.NORM.S.INV(RAND())</f>
        <v>7.1413788340297685E-2</v>
      </c>
    </row>
    <row r="7777" spans="18:21" x14ac:dyDescent="0.2">
      <c r="R7777" s="49">
        <v>7775</v>
      </c>
      <c r="S7777" s="59">
        <f ca="1">Dashboard!B$8* Dashboard!$F$4+Dashboard!B$10*SQRT(Dashboard!$F$4) * _xlfn.NORM.S.INV(RAND())</f>
        <v>2.2717831161118383E-3</v>
      </c>
      <c r="T7777" s="59">
        <f ca="1">Dashboard!C$8* Dashboard!$F$4+Dashboard!C$10*SQRT(Dashboard!$F$4) * _xlfn.NORM.S.INV(RAND())</f>
        <v>-2.3442574594155705E-2</v>
      </c>
      <c r="U7777" s="59">
        <f ca="1">Dashboard!D$8* Dashboard!$F$4+Dashboard!D$10*SQRT(Dashboard!$F$4) * _xlfn.NORM.S.INV(RAND())</f>
        <v>4.1117642736284918E-2</v>
      </c>
    </row>
    <row r="7778" spans="18:21" x14ac:dyDescent="0.2">
      <c r="R7778" s="49">
        <v>7776</v>
      </c>
      <c r="S7778" s="59">
        <f ca="1">Dashboard!B$8* Dashboard!$F$4+Dashboard!B$10*SQRT(Dashboard!$F$4) * _xlfn.NORM.S.INV(RAND())</f>
        <v>-2.224835702724965E-2</v>
      </c>
      <c r="T7778" s="59">
        <f ca="1">Dashboard!C$8* Dashboard!$F$4+Dashboard!C$10*SQRT(Dashboard!$F$4) * _xlfn.NORM.S.INV(RAND())</f>
        <v>1.6064620131355394E-2</v>
      </c>
      <c r="U7778" s="59">
        <f ca="1">Dashboard!D$8* Dashboard!$F$4+Dashboard!D$10*SQRT(Dashboard!$F$4) * _xlfn.NORM.S.INV(RAND())</f>
        <v>2.9842835832622813E-2</v>
      </c>
    </row>
    <row r="7779" spans="18:21" x14ac:dyDescent="0.2">
      <c r="R7779" s="49">
        <v>7777</v>
      </c>
      <c r="S7779" s="59">
        <f ca="1">Dashboard!B$8* Dashboard!$F$4+Dashboard!B$10*SQRT(Dashboard!$F$4) * _xlfn.NORM.S.INV(RAND())</f>
        <v>-7.2657038739644228E-2</v>
      </c>
      <c r="T7779" s="59">
        <f ca="1">Dashboard!C$8* Dashboard!$F$4+Dashboard!C$10*SQRT(Dashboard!$F$4) * _xlfn.NORM.S.INV(RAND())</f>
        <v>-1.2909755303602943E-2</v>
      </c>
      <c r="U7779" s="59">
        <f ca="1">Dashboard!D$8* Dashboard!$F$4+Dashboard!D$10*SQRT(Dashboard!$F$4) * _xlfn.NORM.S.INV(RAND())</f>
        <v>-4.7396798873159882E-2</v>
      </c>
    </row>
    <row r="7780" spans="18:21" x14ac:dyDescent="0.2">
      <c r="R7780" s="49">
        <v>7778</v>
      </c>
      <c r="S7780" s="59">
        <f ca="1">Dashboard!B$8* Dashboard!$F$4+Dashboard!B$10*SQRT(Dashboard!$F$4) * _xlfn.NORM.S.INV(RAND())</f>
        <v>-2.4588376829507708E-2</v>
      </c>
      <c r="T7780" s="59">
        <f ca="1">Dashboard!C$8* Dashboard!$F$4+Dashboard!C$10*SQRT(Dashboard!$F$4) * _xlfn.NORM.S.INV(RAND())</f>
        <v>-1.986423712944815E-2</v>
      </c>
      <c r="U7780" s="59">
        <f ca="1">Dashboard!D$8* Dashboard!$F$4+Dashboard!D$10*SQRT(Dashboard!$F$4) * _xlfn.NORM.S.INV(RAND())</f>
        <v>2.1136024019013013E-3</v>
      </c>
    </row>
    <row r="7781" spans="18:21" x14ac:dyDescent="0.2">
      <c r="R7781" s="49">
        <v>7779</v>
      </c>
      <c r="S7781" s="59">
        <f ca="1">Dashboard!B$8* Dashboard!$F$4+Dashboard!B$10*SQRT(Dashboard!$F$4) * _xlfn.NORM.S.INV(RAND())</f>
        <v>-2.1140052470063231E-2</v>
      </c>
      <c r="T7781" s="59">
        <f ca="1">Dashboard!C$8* Dashboard!$F$4+Dashboard!C$10*SQRT(Dashboard!$F$4) * _xlfn.NORM.S.INV(RAND())</f>
        <v>1.7118593324501132E-2</v>
      </c>
      <c r="U7781" s="59">
        <f ca="1">Dashboard!D$8* Dashboard!$F$4+Dashboard!D$10*SQRT(Dashboard!$F$4) * _xlfn.NORM.S.INV(RAND())</f>
        <v>4.7823483247615515E-3</v>
      </c>
    </row>
    <row r="7782" spans="18:21" x14ac:dyDescent="0.2">
      <c r="R7782" s="49">
        <v>7780</v>
      </c>
      <c r="S7782" s="59">
        <f ca="1">Dashboard!B$8* Dashboard!$F$4+Dashboard!B$10*SQRT(Dashboard!$F$4) * _xlfn.NORM.S.INV(RAND())</f>
        <v>8.28971362721969E-3</v>
      </c>
      <c r="T7782" s="59">
        <f ca="1">Dashboard!C$8* Dashboard!$F$4+Dashboard!C$10*SQRT(Dashboard!$F$4) * _xlfn.NORM.S.INV(RAND())</f>
        <v>-4.4766798565459625E-3</v>
      </c>
      <c r="U7782" s="59">
        <f ca="1">Dashboard!D$8* Dashboard!$F$4+Dashboard!D$10*SQRT(Dashboard!$F$4) * _xlfn.NORM.S.INV(RAND())</f>
        <v>-1.168684728727123E-3</v>
      </c>
    </row>
    <row r="7783" spans="18:21" x14ac:dyDescent="0.2">
      <c r="R7783" s="49">
        <v>7781</v>
      </c>
      <c r="S7783" s="59">
        <f ca="1">Dashboard!B$8* Dashboard!$F$4+Dashboard!B$10*SQRT(Dashboard!$F$4) * _xlfn.NORM.S.INV(RAND())</f>
        <v>5.3430865550509587E-3</v>
      </c>
      <c r="T7783" s="59">
        <f ca="1">Dashboard!C$8* Dashboard!$F$4+Dashboard!C$10*SQRT(Dashboard!$F$4) * _xlfn.NORM.S.INV(RAND())</f>
        <v>2.2974925486395309E-3</v>
      </c>
      <c r="U7783" s="59">
        <f ca="1">Dashboard!D$8* Dashboard!$F$4+Dashboard!D$10*SQRT(Dashboard!$F$4) * _xlfn.NORM.S.INV(RAND())</f>
        <v>-2.778621958489402E-2</v>
      </c>
    </row>
    <row r="7784" spans="18:21" x14ac:dyDescent="0.2">
      <c r="R7784" s="49">
        <v>7782</v>
      </c>
      <c r="S7784" s="59">
        <f ca="1">Dashboard!B$8* Dashboard!$F$4+Dashboard!B$10*SQRT(Dashboard!$F$4) * _xlfn.NORM.S.INV(RAND())</f>
        <v>5.0486060109906968E-3</v>
      </c>
      <c r="T7784" s="59">
        <f ca="1">Dashboard!C$8* Dashboard!$F$4+Dashboard!C$10*SQRT(Dashboard!$F$4) * _xlfn.NORM.S.INV(RAND())</f>
        <v>-3.7924148107862501E-2</v>
      </c>
      <c r="U7784" s="59">
        <f ca="1">Dashboard!D$8* Dashboard!$F$4+Dashboard!D$10*SQRT(Dashboard!$F$4) * _xlfn.NORM.S.INV(RAND())</f>
        <v>7.5017696481165949E-2</v>
      </c>
    </row>
    <row r="7785" spans="18:21" x14ac:dyDescent="0.2">
      <c r="R7785" s="49">
        <v>7783</v>
      </c>
      <c r="S7785" s="59">
        <f ca="1">Dashboard!B$8* Dashboard!$F$4+Dashboard!B$10*SQRT(Dashboard!$F$4) * _xlfn.NORM.S.INV(RAND())</f>
        <v>4.8883128090109629E-3</v>
      </c>
      <c r="T7785" s="59">
        <f ca="1">Dashboard!C$8* Dashboard!$F$4+Dashboard!C$10*SQRT(Dashboard!$F$4) * _xlfn.NORM.S.INV(RAND())</f>
        <v>1.9475300128124932E-2</v>
      </c>
      <c r="U7785" s="59">
        <f ca="1">Dashboard!D$8* Dashboard!$F$4+Dashboard!D$10*SQRT(Dashboard!$F$4) * _xlfn.NORM.S.INV(RAND())</f>
        <v>-1.6599020672442021E-2</v>
      </c>
    </row>
    <row r="7786" spans="18:21" x14ac:dyDescent="0.2">
      <c r="R7786" s="49">
        <v>7784</v>
      </c>
      <c r="S7786" s="59">
        <f ca="1">Dashboard!B$8* Dashboard!$F$4+Dashboard!B$10*SQRT(Dashboard!$F$4) * _xlfn.NORM.S.INV(RAND())</f>
        <v>-1.9882627157035072E-2</v>
      </c>
      <c r="T7786" s="59">
        <f ca="1">Dashboard!C$8* Dashboard!$F$4+Dashboard!C$10*SQRT(Dashboard!$F$4) * _xlfn.NORM.S.INV(RAND())</f>
        <v>-1.4797727696936554E-2</v>
      </c>
      <c r="U7786" s="59">
        <f ca="1">Dashboard!D$8* Dashboard!$F$4+Dashboard!D$10*SQRT(Dashboard!$F$4) * _xlfn.NORM.S.INV(RAND())</f>
        <v>-2.3931031312020637E-3</v>
      </c>
    </row>
    <row r="7787" spans="18:21" x14ac:dyDescent="0.2">
      <c r="R7787" s="49">
        <v>7785</v>
      </c>
      <c r="S7787" s="59">
        <f ca="1">Dashboard!B$8* Dashboard!$F$4+Dashboard!B$10*SQRT(Dashboard!$F$4) * _xlfn.NORM.S.INV(RAND())</f>
        <v>-2.8161079674706067E-2</v>
      </c>
      <c r="T7787" s="59">
        <f ca="1">Dashboard!C$8* Dashboard!$F$4+Dashboard!C$10*SQRT(Dashboard!$F$4) * _xlfn.NORM.S.INV(RAND())</f>
        <v>-1.064507367439254E-2</v>
      </c>
      <c r="U7787" s="59">
        <f ca="1">Dashboard!D$8* Dashboard!$F$4+Dashboard!D$10*SQRT(Dashboard!$F$4) * _xlfn.NORM.S.INV(RAND())</f>
        <v>-1.3370925946259358E-2</v>
      </c>
    </row>
    <row r="7788" spans="18:21" x14ac:dyDescent="0.2">
      <c r="R7788" s="49">
        <v>7786</v>
      </c>
      <c r="S7788" s="59">
        <f ca="1">Dashboard!B$8* Dashboard!$F$4+Dashboard!B$10*SQRT(Dashboard!$F$4) * _xlfn.NORM.S.INV(RAND())</f>
        <v>-3.075391004402437E-2</v>
      </c>
      <c r="T7788" s="59">
        <f ca="1">Dashboard!C$8* Dashboard!$F$4+Dashboard!C$10*SQRT(Dashboard!$F$4) * _xlfn.NORM.S.INV(RAND())</f>
        <v>-5.4184301246925949E-2</v>
      </c>
      <c r="U7788" s="59">
        <f ca="1">Dashboard!D$8* Dashboard!$F$4+Dashboard!D$10*SQRT(Dashboard!$F$4) * _xlfn.NORM.S.INV(RAND())</f>
        <v>2.4086220052297654E-2</v>
      </c>
    </row>
    <row r="7789" spans="18:21" x14ac:dyDescent="0.2">
      <c r="R7789" s="49">
        <v>7787</v>
      </c>
      <c r="S7789" s="59">
        <f ca="1">Dashboard!B$8* Dashboard!$F$4+Dashboard!B$10*SQRT(Dashboard!$F$4) * _xlfn.NORM.S.INV(RAND())</f>
        <v>-4.3940585434040129E-4</v>
      </c>
      <c r="T7789" s="59">
        <f ca="1">Dashboard!C$8* Dashboard!$F$4+Dashboard!C$10*SQRT(Dashboard!$F$4) * _xlfn.NORM.S.INV(RAND())</f>
        <v>-1.1076348451870182E-3</v>
      </c>
      <c r="U7789" s="59">
        <f ca="1">Dashboard!D$8* Dashboard!$F$4+Dashboard!D$10*SQRT(Dashboard!$F$4) * _xlfn.NORM.S.INV(RAND())</f>
        <v>-2.8566623941093813E-2</v>
      </c>
    </row>
    <row r="7790" spans="18:21" x14ac:dyDescent="0.2">
      <c r="R7790" s="49">
        <v>7788</v>
      </c>
      <c r="S7790" s="59">
        <f ca="1">Dashboard!B$8* Dashboard!$F$4+Dashboard!B$10*SQRT(Dashboard!$F$4) * _xlfn.NORM.S.INV(RAND())</f>
        <v>-1.3670630600261252E-2</v>
      </c>
      <c r="T7790" s="59">
        <f ca="1">Dashboard!C$8* Dashboard!$F$4+Dashboard!C$10*SQRT(Dashboard!$F$4) * _xlfn.NORM.S.INV(RAND())</f>
        <v>2.4730880113593406E-2</v>
      </c>
      <c r="U7790" s="59">
        <f ca="1">Dashboard!D$8* Dashboard!$F$4+Dashboard!D$10*SQRT(Dashboard!$F$4) * _xlfn.NORM.S.INV(RAND())</f>
        <v>3.76250374675716E-2</v>
      </c>
    </row>
    <row r="7791" spans="18:21" x14ac:dyDescent="0.2">
      <c r="R7791" s="49">
        <v>7789</v>
      </c>
      <c r="S7791" s="59">
        <f ca="1">Dashboard!B$8* Dashboard!$F$4+Dashboard!B$10*SQRT(Dashboard!$F$4) * _xlfn.NORM.S.INV(RAND())</f>
        <v>-4.9919438509452033E-2</v>
      </c>
      <c r="T7791" s="59">
        <f ca="1">Dashboard!C$8* Dashboard!$F$4+Dashboard!C$10*SQRT(Dashboard!$F$4) * _xlfn.NORM.S.INV(RAND())</f>
        <v>-3.8161313624126711E-2</v>
      </c>
      <c r="U7791" s="59">
        <f ca="1">Dashboard!D$8* Dashboard!$F$4+Dashboard!D$10*SQRT(Dashboard!$F$4) * _xlfn.NORM.S.INV(RAND())</f>
        <v>2.2719286775158238E-2</v>
      </c>
    </row>
    <row r="7792" spans="18:21" x14ac:dyDescent="0.2">
      <c r="R7792" s="49">
        <v>7790</v>
      </c>
      <c r="S7792" s="59">
        <f ca="1">Dashboard!B$8* Dashboard!$F$4+Dashboard!B$10*SQRT(Dashboard!$F$4) * _xlfn.NORM.S.INV(RAND())</f>
        <v>3.2764096413877258E-2</v>
      </c>
      <c r="T7792" s="59">
        <f ca="1">Dashboard!C$8* Dashboard!$F$4+Dashboard!C$10*SQRT(Dashboard!$F$4) * _xlfn.NORM.S.INV(RAND())</f>
        <v>3.2905877219983184E-2</v>
      </c>
      <c r="U7792" s="59">
        <f ca="1">Dashboard!D$8* Dashboard!$F$4+Dashboard!D$10*SQRT(Dashboard!$F$4) * _xlfn.NORM.S.INV(RAND())</f>
        <v>1.8125482257313136E-3</v>
      </c>
    </row>
    <row r="7793" spans="18:21" x14ac:dyDescent="0.2">
      <c r="R7793" s="49">
        <v>7791</v>
      </c>
      <c r="S7793" s="59">
        <f ca="1">Dashboard!B$8* Dashboard!$F$4+Dashboard!B$10*SQRT(Dashboard!$F$4) * _xlfn.NORM.S.INV(RAND())</f>
        <v>1.2394308083694872E-2</v>
      </c>
      <c r="T7793" s="59">
        <f ca="1">Dashboard!C$8* Dashboard!$F$4+Dashboard!C$10*SQRT(Dashboard!$F$4) * _xlfn.NORM.S.INV(RAND())</f>
        <v>2.480787971902244E-2</v>
      </c>
      <c r="U7793" s="59">
        <f ca="1">Dashboard!D$8* Dashboard!$F$4+Dashboard!D$10*SQRT(Dashboard!$F$4) * _xlfn.NORM.S.INV(RAND())</f>
        <v>-2.2555254660121728E-3</v>
      </c>
    </row>
    <row r="7794" spans="18:21" x14ac:dyDescent="0.2">
      <c r="R7794" s="49">
        <v>7792</v>
      </c>
      <c r="S7794" s="59">
        <f ca="1">Dashboard!B$8* Dashboard!$F$4+Dashboard!B$10*SQRT(Dashboard!$F$4) * _xlfn.NORM.S.INV(RAND())</f>
        <v>1.933906432492502E-2</v>
      </c>
      <c r="T7794" s="59">
        <f ca="1">Dashboard!C$8* Dashboard!$F$4+Dashboard!C$10*SQRT(Dashboard!$F$4) * _xlfn.NORM.S.INV(RAND())</f>
        <v>-3.2387326065363937E-2</v>
      </c>
      <c r="U7794" s="59">
        <f ca="1">Dashboard!D$8* Dashboard!$F$4+Dashboard!D$10*SQRT(Dashboard!$F$4) * _xlfn.NORM.S.INV(RAND())</f>
        <v>3.4423655775187724E-2</v>
      </c>
    </row>
    <row r="7795" spans="18:21" x14ac:dyDescent="0.2">
      <c r="R7795" s="49">
        <v>7793</v>
      </c>
      <c r="S7795" s="59">
        <f ca="1">Dashboard!B$8* Dashboard!$F$4+Dashboard!B$10*SQRT(Dashboard!$F$4) * _xlfn.NORM.S.INV(RAND())</f>
        <v>2.7392600283831975E-2</v>
      </c>
      <c r="T7795" s="59">
        <f ca="1">Dashboard!C$8* Dashboard!$F$4+Dashboard!C$10*SQRT(Dashboard!$F$4) * _xlfn.NORM.S.INV(RAND())</f>
        <v>-1.8673531448336254E-2</v>
      </c>
      <c r="U7795" s="59">
        <f ca="1">Dashboard!D$8* Dashboard!$F$4+Dashboard!D$10*SQRT(Dashboard!$F$4) * _xlfn.NORM.S.INV(RAND())</f>
        <v>1.1504357270018528E-2</v>
      </c>
    </row>
    <row r="7796" spans="18:21" x14ac:dyDescent="0.2">
      <c r="R7796" s="49">
        <v>7794</v>
      </c>
      <c r="S7796" s="59">
        <f ca="1">Dashboard!B$8* Dashboard!$F$4+Dashboard!B$10*SQRT(Dashboard!$F$4) * _xlfn.NORM.S.INV(RAND())</f>
        <v>-1.5108116505909491E-2</v>
      </c>
      <c r="T7796" s="59">
        <f ca="1">Dashboard!C$8* Dashboard!$F$4+Dashboard!C$10*SQRT(Dashboard!$F$4) * _xlfn.NORM.S.INV(RAND())</f>
        <v>1.6349660097616514E-2</v>
      </c>
      <c r="U7796" s="59">
        <f ca="1">Dashboard!D$8* Dashboard!$F$4+Dashboard!D$10*SQRT(Dashboard!$F$4) * _xlfn.NORM.S.INV(RAND())</f>
        <v>-6.0330877492603633E-3</v>
      </c>
    </row>
    <row r="7797" spans="18:21" x14ac:dyDescent="0.2">
      <c r="R7797" s="49">
        <v>7795</v>
      </c>
      <c r="S7797" s="59">
        <f ca="1">Dashboard!B$8* Dashboard!$F$4+Dashboard!B$10*SQRT(Dashboard!$F$4) * _xlfn.NORM.S.INV(RAND())</f>
        <v>8.9090028541957508E-2</v>
      </c>
      <c r="T7797" s="59">
        <f ca="1">Dashboard!C$8* Dashboard!$F$4+Dashboard!C$10*SQRT(Dashboard!$F$4) * _xlfn.NORM.S.INV(RAND())</f>
        <v>-1.4204729585627723E-2</v>
      </c>
      <c r="U7797" s="59">
        <f ca="1">Dashboard!D$8* Dashboard!$F$4+Dashboard!D$10*SQRT(Dashboard!$F$4) * _xlfn.NORM.S.INV(RAND())</f>
        <v>6.4652321841473463E-3</v>
      </c>
    </row>
    <row r="7798" spans="18:21" x14ac:dyDescent="0.2">
      <c r="R7798" s="49">
        <v>7796</v>
      </c>
      <c r="S7798" s="59">
        <f ca="1">Dashboard!B$8* Dashboard!$F$4+Dashboard!B$10*SQRT(Dashboard!$F$4) * _xlfn.NORM.S.INV(RAND())</f>
        <v>4.5108732842989371E-3</v>
      </c>
      <c r="T7798" s="59">
        <f ca="1">Dashboard!C$8* Dashboard!$F$4+Dashboard!C$10*SQRT(Dashboard!$F$4) * _xlfn.NORM.S.INV(RAND())</f>
        <v>-3.6934054560740358E-2</v>
      </c>
      <c r="U7798" s="59">
        <f ca="1">Dashboard!D$8* Dashboard!$F$4+Dashboard!D$10*SQRT(Dashboard!$F$4) * _xlfn.NORM.S.INV(RAND())</f>
        <v>3.3903405253570086E-2</v>
      </c>
    </row>
    <row r="7799" spans="18:21" x14ac:dyDescent="0.2">
      <c r="R7799" s="49">
        <v>7797</v>
      </c>
      <c r="S7799" s="59">
        <f ca="1">Dashboard!B$8* Dashboard!$F$4+Dashboard!B$10*SQRT(Dashboard!$F$4) * _xlfn.NORM.S.INV(RAND())</f>
        <v>-5.5437348511008004E-2</v>
      </c>
      <c r="T7799" s="59">
        <f ca="1">Dashboard!C$8* Dashboard!$F$4+Dashboard!C$10*SQRT(Dashboard!$F$4) * _xlfn.NORM.S.INV(RAND())</f>
        <v>1.1318153271476127E-2</v>
      </c>
      <c r="U7799" s="59">
        <f ca="1">Dashboard!D$8* Dashboard!$F$4+Dashboard!D$10*SQRT(Dashboard!$F$4) * _xlfn.NORM.S.INV(RAND())</f>
        <v>-3.1362875601122511E-2</v>
      </c>
    </row>
    <row r="7800" spans="18:21" x14ac:dyDescent="0.2">
      <c r="R7800" s="49">
        <v>7798</v>
      </c>
      <c r="S7800" s="59">
        <f ca="1">Dashboard!B$8* Dashboard!$F$4+Dashboard!B$10*SQRT(Dashboard!$F$4) * _xlfn.NORM.S.INV(RAND())</f>
        <v>2.3445413761079545E-2</v>
      </c>
      <c r="T7800" s="59">
        <f ca="1">Dashboard!C$8* Dashboard!$F$4+Dashboard!C$10*SQRT(Dashboard!$F$4) * _xlfn.NORM.S.INV(RAND())</f>
        <v>-4.7612666164020693E-3</v>
      </c>
      <c r="U7800" s="59">
        <f ca="1">Dashboard!D$8* Dashboard!$F$4+Dashboard!D$10*SQRT(Dashboard!$F$4) * _xlfn.NORM.S.INV(RAND())</f>
        <v>7.7582683411629896E-2</v>
      </c>
    </row>
    <row r="7801" spans="18:21" x14ac:dyDescent="0.2">
      <c r="R7801" s="49">
        <v>7799</v>
      </c>
      <c r="S7801" s="59">
        <f ca="1">Dashboard!B$8* Dashboard!$F$4+Dashboard!B$10*SQRT(Dashboard!$F$4) * _xlfn.NORM.S.INV(RAND())</f>
        <v>-3.7253250000077717E-2</v>
      </c>
      <c r="T7801" s="59">
        <f ca="1">Dashboard!C$8* Dashboard!$F$4+Dashboard!C$10*SQRT(Dashboard!$F$4) * _xlfn.NORM.S.INV(RAND())</f>
        <v>1.2967015454502088E-3</v>
      </c>
      <c r="U7801" s="59">
        <f ca="1">Dashboard!D$8* Dashboard!$F$4+Dashboard!D$10*SQRT(Dashboard!$F$4) * _xlfn.NORM.S.INV(RAND())</f>
        <v>5.0585116134367704E-2</v>
      </c>
    </row>
    <row r="7802" spans="18:21" x14ac:dyDescent="0.2">
      <c r="R7802" s="49">
        <v>7800</v>
      </c>
      <c r="S7802" s="59">
        <f ca="1">Dashboard!B$8* Dashboard!$F$4+Dashboard!B$10*SQRT(Dashboard!$F$4) * _xlfn.NORM.S.INV(RAND())</f>
        <v>-1.9588082123401164E-2</v>
      </c>
      <c r="T7802" s="59">
        <f ca="1">Dashboard!C$8* Dashboard!$F$4+Dashboard!C$10*SQRT(Dashboard!$F$4) * _xlfn.NORM.S.INV(RAND())</f>
        <v>-3.9521492371280944E-3</v>
      </c>
      <c r="U7802" s="59">
        <f ca="1">Dashboard!D$8* Dashboard!$F$4+Dashboard!D$10*SQRT(Dashboard!$F$4) * _xlfn.NORM.S.INV(RAND())</f>
        <v>4.4611881564717935E-3</v>
      </c>
    </row>
    <row r="7803" spans="18:21" x14ac:dyDescent="0.2">
      <c r="R7803" s="49">
        <v>7801</v>
      </c>
      <c r="S7803" s="59">
        <f ca="1">Dashboard!B$8* Dashboard!$F$4+Dashboard!B$10*SQRT(Dashboard!$F$4) * _xlfn.NORM.S.INV(RAND())</f>
        <v>1.5734723974954498E-2</v>
      </c>
      <c r="T7803" s="59">
        <f ca="1">Dashboard!C$8* Dashboard!$F$4+Dashboard!C$10*SQRT(Dashboard!$F$4) * _xlfn.NORM.S.INV(RAND())</f>
        <v>2.3990912851347031E-2</v>
      </c>
      <c r="U7803" s="59">
        <f ca="1">Dashboard!D$8* Dashboard!$F$4+Dashboard!D$10*SQRT(Dashboard!$F$4) * _xlfn.NORM.S.INV(RAND())</f>
        <v>1.54703670552959E-2</v>
      </c>
    </row>
    <row r="7804" spans="18:21" x14ac:dyDescent="0.2">
      <c r="R7804" s="49">
        <v>7802</v>
      </c>
      <c r="S7804" s="59">
        <f ca="1">Dashboard!B$8* Dashboard!$F$4+Dashboard!B$10*SQRT(Dashboard!$F$4) * _xlfn.NORM.S.INV(RAND())</f>
        <v>4.0493683897956882E-3</v>
      </c>
      <c r="T7804" s="59">
        <f ca="1">Dashboard!C$8* Dashboard!$F$4+Dashboard!C$10*SQRT(Dashboard!$F$4) * _xlfn.NORM.S.INV(RAND())</f>
        <v>5.2796616803084784E-2</v>
      </c>
      <c r="U7804" s="59">
        <f ca="1">Dashboard!D$8* Dashboard!$F$4+Dashboard!D$10*SQRT(Dashboard!$F$4) * _xlfn.NORM.S.INV(RAND())</f>
        <v>-9.3359570660459523E-2</v>
      </c>
    </row>
    <row r="7805" spans="18:21" x14ac:dyDescent="0.2">
      <c r="R7805" s="49">
        <v>7803</v>
      </c>
      <c r="S7805" s="59">
        <f ca="1">Dashboard!B$8* Dashboard!$F$4+Dashboard!B$10*SQRT(Dashboard!$F$4) * _xlfn.NORM.S.INV(RAND())</f>
        <v>-3.0894755360249292E-2</v>
      </c>
      <c r="T7805" s="59">
        <f ca="1">Dashboard!C$8* Dashboard!$F$4+Dashboard!C$10*SQRT(Dashboard!$F$4) * _xlfn.NORM.S.INV(RAND())</f>
        <v>6.2614741267921822E-3</v>
      </c>
      <c r="U7805" s="59">
        <f ca="1">Dashboard!D$8* Dashboard!$F$4+Dashboard!D$10*SQRT(Dashboard!$F$4) * _xlfn.NORM.S.INV(RAND())</f>
        <v>2.060573859444401E-2</v>
      </c>
    </row>
    <row r="7806" spans="18:21" x14ac:dyDescent="0.2">
      <c r="R7806" s="49">
        <v>7804</v>
      </c>
      <c r="S7806" s="59">
        <f ca="1">Dashboard!B$8* Dashboard!$F$4+Dashboard!B$10*SQRT(Dashboard!$F$4) * _xlfn.NORM.S.INV(RAND())</f>
        <v>4.0507926170572854E-2</v>
      </c>
      <c r="T7806" s="59">
        <f ca="1">Dashboard!C$8* Dashboard!$F$4+Dashboard!C$10*SQRT(Dashboard!$F$4) * _xlfn.NORM.S.INV(RAND())</f>
        <v>-1.9099549997548926E-2</v>
      </c>
      <c r="U7806" s="59">
        <f ca="1">Dashboard!D$8* Dashboard!$F$4+Dashboard!D$10*SQRT(Dashboard!$F$4) * _xlfn.NORM.S.INV(RAND())</f>
        <v>-2.8843689369934172E-2</v>
      </c>
    </row>
    <row r="7807" spans="18:21" x14ac:dyDescent="0.2">
      <c r="R7807" s="49">
        <v>7805</v>
      </c>
      <c r="S7807" s="59">
        <f ca="1">Dashboard!B$8* Dashboard!$F$4+Dashboard!B$10*SQRT(Dashboard!$F$4) * _xlfn.NORM.S.INV(RAND())</f>
        <v>2.2096013842942104E-3</v>
      </c>
      <c r="T7807" s="59">
        <f ca="1">Dashboard!C$8* Dashboard!$F$4+Dashboard!C$10*SQRT(Dashboard!$F$4) * _xlfn.NORM.S.INV(RAND())</f>
        <v>3.6582792184004773E-2</v>
      </c>
      <c r="U7807" s="59">
        <f ca="1">Dashboard!D$8* Dashboard!$F$4+Dashboard!D$10*SQRT(Dashboard!$F$4) * _xlfn.NORM.S.INV(RAND())</f>
        <v>-6.0921453105674005E-2</v>
      </c>
    </row>
    <row r="7808" spans="18:21" x14ac:dyDescent="0.2">
      <c r="R7808" s="49">
        <v>7806</v>
      </c>
      <c r="S7808" s="59">
        <f ca="1">Dashboard!B$8* Dashboard!$F$4+Dashboard!B$10*SQRT(Dashboard!$F$4) * _xlfn.NORM.S.INV(RAND())</f>
        <v>3.012649281974606E-2</v>
      </c>
      <c r="T7808" s="59">
        <f ca="1">Dashboard!C$8* Dashboard!$F$4+Dashboard!C$10*SQRT(Dashboard!$F$4) * _xlfn.NORM.S.INV(RAND())</f>
        <v>3.8370486286484727E-2</v>
      </c>
      <c r="U7808" s="59">
        <f ca="1">Dashboard!D$8* Dashboard!$F$4+Dashboard!D$10*SQRT(Dashboard!$F$4) * _xlfn.NORM.S.INV(RAND())</f>
        <v>5.7254744454266128E-2</v>
      </c>
    </row>
    <row r="7809" spans="18:21" x14ac:dyDescent="0.2">
      <c r="R7809" s="49">
        <v>7807</v>
      </c>
      <c r="S7809" s="59">
        <f ca="1">Dashboard!B$8* Dashboard!$F$4+Dashboard!B$10*SQRT(Dashboard!$F$4) * _xlfn.NORM.S.INV(RAND())</f>
        <v>2.875665471822076E-2</v>
      </c>
      <c r="T7809" s="59">
        <f ca="1">Dashboard!C$8* Dashboard!$F$4+Dashboard!C$10*SQRT(Dashboard!$F$4) * _xlfn.NORM.S.INV(RAND())</f>
        <v>1.3064145704254029E-2</v>
      </c>
      <c r="U7809" s="59">
        <f ca="1">Dashboard!D$8* Dashboard!$F$4+Dashboard!D$10*SQRT(Dashboard!$F$4) * _xlfn.NORM.S.INV(RAND())</f>
        <v>-5.0468606470336325E-2</v>
      </c>
    </row>
    <row r="7810" spans="18:21" x14ac:dyDescent="0.2">
      <c r="R7810" s="49">
        <v>7808</v>
      </c>
      <c r="S7810" s="59">
        <f ca="1">Dashboard!B$8* Dashboard!$F$4+Dashboard!B$10*SQRT(Dashboard!$F$4) * _xlfn.NORM.S.INV(RAND())</f>
        <v>-3.4163253249967487E-3</v>
      </c>
      <c r="T7810" s="59">
        <f ca="1">Dashboard!C$8* Dashboard!$F$4+Dashboard!C$10*SQRT(Dashboard!$F$4) * _xlfn.NORM.S.INV(RAND())</f>
        <v>-1.4566028375542304E-2</v>
      </c>
      <c r="U7810" s="59">
        <f ca="1">Dashboard!D$8* Dashboard!$F$4+Dashboard!D$10*SQRT(Dashboard!$F$4) * _xlfn.NORM.S.INV(RAND())</f>
        <v>1.1041406413710732E-2</v>
      </c>
    </row>
    <row r="7811" spans="18:21" x14ac:dyDescent="0.2">
      <c r="R7811" s="49">
        <v>7809</v>
      </c>
      <c r="S7811" s="59">
        <f ca="1">Dashboard!B$8* Dashboard!$F$4+Dashboard!B$10*SQRT(Dashboard!$F$4) * _xlfn.NORM.S.INV(RAND())</f>
        <v>-1.5993398007947742E-3</v>
      </c>
      <c r="T7811" s="59">
        <f ca="1">Dashboard!C$8* Dashboard!$F$4+Dashboard!C$10*SQRT(Dashboard!$F$4) * _xlfn.NORM.S.INV(RAND())</f>
        <v>2.3603528181188094E-2</v>
      </c>
      <c r="U7811" s="59">
        <f ca="1">Dashboard!D$8* Dashboard!$F$4+Dashboard!D$10*SQRT(Dashboard!$F$4) * _xlfn.NORM.S.INV(RAND())</f>
        <v>-2.8324699058087661E-2</v>
      </c>
    </row>
    <row r="7812" spans="18:21" x14ac:dyDescent="0.2">
      <c r="R7812" s="49">
        <v>7810</v>
      </c>
      <c r="S7812" s="59">
        <f ca="1">Dashboard!B$8* Dashboard!$F$4+Dashboard!B$10*SQRT(Dashboard!$F$4) * _xlfn.NORM.S.INV(RAND())</f>
        <v>-7.4431270583812811E-2</v>
      </c>
      <c r="T7812" s="59">
        <f ca="1">Dashboard!C$8* Dashboard!$F$4+Dashboard!C$10*SQRT(Dashboard!$F$4) * _xlfn.NORM.S.INV(RAND())</f>
        <v>-2.8195508789078557E-2</v>
      </c>
      <c r="U7812" s="59">
        <f ca="1">Dashboard!D$8* Dashboard!$F$4+Dashboard!D$10*SQRT(Dashboard!$F$4) * _xlfn.NORM.S.INV(RAND())</f>
        <v>-1.070595799509644E-2</v>
      </c>
    </row>
    <row r="7813" spans="18:21" x14ac:dyDescent="0.2">
      <c r="R7813" s="49">
        <v>7811</v>
      </c>
      <c r="S7813" s="59">
        <f ca="1">Dashboard!B$8* Dashboard!$F$4+Dashboard!B$10*SQRT(Dashboard!$F$4) * _xlfn.NORM.S.INV(RAND())</f>
        <v>2.8088737775161514E-2</v>
      </c>
      <c r="T7813" s="59">
        <f ca="1">Dashboard!C$8* Dashboard!$F$4+Dashboard!C$10*SQRT(Dashboard!$F$4) * _xlfn.NORM.S.INV(RAND())</f>
        <v>2.8951101247724518E-2</v>
      </c>
      <c r="U7813" s="59">
        <f ca="1">Dashboard!D$8* Dashboard!$F$4+Dashboard!D$10*SQRT(Dashboard!$F$4) * _xlfn.NORM.S.INV(RAND())</f>
        <v>5.7005233756742796E-2</v>
      </c>
    </row>
    <row r="7814" spans="18:21" x14ac:dyDescent="0.2">
      <c r="R7814" s="49">
        <v>7812</v>
      </c>
      <c r="S7814" s="59">
        <f ca="1">Dashboard!B$8* Dashboard!$F$4+Dashboard!B$10*SQRT(Dashboard!$F$4) * _xlfn.NORM.S.INV(RAND())</f>
        <v>-3.4474402334608467E-2</v>
      </c>
      <c r="T7814" s="59">
        <f ca="1">Dashboard!C$8* Dashboard!$F$4+Dashboard!C$10*SQRT(Dashboard!$F$4) * _xlfn.NORM.S.INV(RAND())</f>
        <v>5.0005595681245733E-2</v>
      </c>
      <c r="U7814" s="59">
        <f ca="1">Dashboard!D$8* Dashboard!$F$4+Dashboard!D$10*SQRT(Dashboard!$F$4) * _xlfn.NORM.S.INV(RAND())</f>
        <v>2.0606082763383146E-2</v>
      </c>
    </row>
    <row r="7815" spans="18:21" x14ac:dyDescent="0.2">
      <c r="R7815" s="49">
        <v>7813</v>
      </c>
      <c r="S7815" s="59">
        <f ca="1">Dashboard!B$8* Dashboard!$F$4+Dashboard!B$10*SQRT(Dashboard!$F$4) * _xlfn.NORM.S.INV(RAND())</f>
        <v>-3.2918694721548965E-2</v>
      </c>
      <c r="T7815" s="59">
        <f ca="1">Dashboard!C$8* Dashboard!$F$4+Dashboard!C$10*SQRT(Dashboard!$F$4) * _xlfn.NORM.S.INV(RAND())</f>
        <v>-2.9115895778850032E-2</v>
      </c>
      <c r="U7815" s="59">
        <f ca="1">Dashboard!D$8* Dashboard!$F$4+Dashboard!D$10*SQRT(Dashboard!$F$4) * _xlfn.NORM.S.INV(RAND())</f>
        <v>1.0968442830358636E-2</v>
      </c>
    </row>
    <row r="7816" spans="18:21" x14ac:dyDescent="0.2">
      <c r="R7816" s="49">
        <v>7814</v>
      </c>
      <c r="S7816" s="59">
        <f ca="1">Dashboard!B$8* Dashboard!$F$4+Dashboard!B$10*SQRT(Dashboard!$F$4) * _xlfn.NORM.S.INV(RAND())</f>
        <v>-5.3011788773066355E-3</v>
      </c>
      <c r="T7816" s="59">
        <f ca="1">Dashboard!C$8* Dashboard!$F$4+Dashboard!C$10*SQRT(Dashboard!$F$4) * _xlfn.NORM.S.INV(RAND())</f>
        <v>-8.8669451326551463E-2</v>
      </c>
      <c r="U7816" s="59">
        <f ca="1">Dashboard!D$8* Dashboard!$F$4+Dashboard!D$10*SQRT(Dashboard!$F$4) * _xlfn.NORM.S.INV(RAND())</f>
        <v>-4.1345923103359071E-2</v>
      </c>
    </row>
    <row r="7817" spans="18:21" x14ac:dyDescent="0.2">
      <c r="R7817" s="49">
        <v>7815</v>
      </c>
      <c r="S7817" s="59">
        <f ca="1">Dashboard!B$8* Dashboard!$F$4+Dashboard!B$10*SQRT(Dashboard!$F$4) * _xlfn.NORM.S.INV(RAND())</f>
        <v>1.0679727394446621E-3</v>
      </c>
      <c r="T7817" s="59">
        <f ca="1">Dashboard!C$8* Dashboard!$F$4+Dashboard!C$10*SQRT(Dashboard!$F$4) * _xlfn.NORM.S.INV(RAND())</f>
        <v>-2.4863455441191992E-2</v>
      </c>
      <c r="U7817" s="59">
        <f ca="1">Dashboard!D$8* Dashboard!$F$4+Dashboard!D$10*SQRT(Dashboard!$F$4) * _xlfn.NORM.S.INV(RAND())</f>
        <v>2.5624754601700609E-2</v>
      </c>
    </row>
    <row r="7818" spans="18:21" x14ac:dyDescent="0.2">
      <c r="R7818" s="49">
        <v>7816</v>
      </c>
      <c r="S7818" s="59">
        <f ca="1">Dashboard!B$8* Dashboard!$F$4+Dashboard!B$10*SQRT(Dashboard!$F$4) * _xlfn.NORM.S.INV(RAND())</f>
        <v>1.5128863457188035E-2</v>
      </c>
      <c r="T7818" s="59">
        <f ca="1">Dashboard!C$8* Dashboard!$F$4+Dashboard!C$10*SQRT(Dashboard!$F$4) * _xlfn.NORM.S.INV(RAND())</f>
        <v>-2.5721442722942644E-2</v>
      </c>
      <c r="U7818" s="59">
        <f ca="1">Dashboard!D$8* Dashboard!$F$4+Dashboard!D$10*SQRT(Dashboard!$F$4) * _xlfn.NORM.S.INV(RAND())</f>
        <v>-2.9365136419213542E-2</v>
      </c>
    </row>
    <row r="7819" spans="18:21" x14ac:dyDescent="0.2">
      <c r="R7819" s="49">
        <v>7817</v>
      </c>
      <c r="S7819" s="59">
        <f ca="1">Dashboard!B$8* Dashboard!$F$4+Dashboard!B$10*SQRT(Dashboard!$F$4) * _xlfn.NORM.S.INV(RAND())</f>
        <v>-2.46301371748304E-3</v>
      </c>
      <c r="T7819" s="59">
        <f ca="1">Dashboard!C$8* Dashboard!$F$4+Dashboard!C$10*SQRT(Dashboard!$F$4) * _xlfn.NORM.S.INV(RAND())</f>
        <v>5.3107959166457268E-2</v>
      </c>
      <c r="U7819" s="59">
        <f ca="1">Dashboard!D$8* Dashboard!$F$4+Dashboard!D$10*SQRT(Dashboard!$F$4) * _xlfn.NORM.S.INV(RAND())</f>
        <v>-4.245361561620218E-2</v>
      </c>
    </row>
    <row r="7820" spans="18:21" x14ac:dyDescent="0.2">
      <c r="R7820" s="49">
        <v>7818</v>
      </c>
      <c r="S7820" s="59">
        <f ca="1">Dashboard!B$8* Dashboard!$F$4+Dashboard!B$10*SQRT(Dashboard!$F$4) * _xlfn.NORM.S.INV(RAND())</f>
        <v>1.5472196974116793E-2</v>
      </c>
      <c r="T7820" s="59">
        <f ca="1">Dashboard!C$8* Dashboard!$F$4+Dashboard!C$10*SQRT(Dashboard!$F$4) * _xlfn.NORM.S.INV(RAND())</f>
        <v>7.0691137520984063E-2</v>
      </c>
      <c r="U7820" s="59">
        <f ca="1">Dashboard!D$8* Dashboard!$F$4+Dashboard!D$10*SQRT(Dashboard!$F$4) * _xlfn.NORM.S.INV(RAND())</f>
        <v>-4.2633130221067225E-2</v>
      </c>
    </row>
    <row r="7821" spans="18:21" x14ac:dyDescent="0.2">
      <c r="R7821" s="49">
        <v>7819</v>
      </c>
      <c r="S7821" s="59">
        <f ca="1">Dashboard!B$8* Dashboard!$F$4+Dashboard!B$10*SQRT(Dashboard!$F$4) * _xlfn.NORM.S.INV(RAND())</f>
        <v>-1.2354193495553268E-2</v>
      </c>
      <c r="T7821" s="59">
        <f ca="1">Dashboard!C$8* Dashboard!$F$4+Dashboard!C$10*SQRT(Dashboard!$F$4) * _xlfn.NORM.S.INV(RAND())</f>
        <v>-2.5928837410677748E-2</v>
      </c>
      <c r="U7821" s="59">
        <f ca="1">Dashboard!D$8* Dashboard!$F$4+Dashboard!D$10*SQRT(Dashboard!$F$4) * _xlfn.NORM.S.INV(RAND())</f>
        <v>-5.5857809183165498E-2</v>
      </c>
    </row>
    <row r="7822" spans="18:21" x14ac:dyDescent="0.2">
      <c r="R7822" s="49">
        <v>7820</v>
      </c>
      <c r="S7822" s="59">
        <f ca="1">Dashboard!B$8* Dashboard!$F$4+Dashboard!B$10*SQRT(Dashboard!$F$4) * _xlfn.NORM.S.INV(RAND())</f>
        <v>1.7961208408672283E-2</v>
      </c>
      <c r="T7822" s="59">
        <f ca="1">Dashboard!C$8* Dashboard!$F$4+Dashboard!C$10*SQRT(Dashboard!$F$4) * _xlfn.NORM.S.INV(RAND())</f>
        <v>-5.5582543138880322E-2</v>
      </c>
      <c r="U7822" s="59">
        <f ca="1">Dashboard!D$8* Dashboard!$F$4+Dashboard!D$10*SQRT(Dashboard!$F$4) * _xlfn.NORM.S.INV(RAND())</f>
        <v>-1.4399229497605996E-2</v>
      </c>
    </row>
    <row r="7823" spans="18:21" x14ac:dyDescent="0.2">
      <c r="R7823" s="49">
        <v>7821</v>
      </c>
      <c r="S7823" s="59">
        <f ca="1">Dashboard!B$8* Dashboard!$F$4+Dashboard!B$10*SQRT(Dashboard!$F$4) * _xlfn.NORM.S.INV(RAND())</f>
        <v>-2.850832960344972E-2</v>
      </c>
      <c r="T7823" s="59">
        <f ca="1">Dashboard!C$8* Dashboard!$F$4+Dashboard!C$10*SQRT(Dashboard!$F$4) * _xlfn.NORM.S.INV(RAND())</f>
        <v>-7.8553410609247962E-2</v>
      </c>
      <c r="U7823" s="59">
        <f ca="1">Dashboard!D$8* Dashboard!$F$4+Dashboard!D$10*SQRT(Dashboard!$F$4) * _xlfn.NORM.S.INV(RAND())</f>
        <v>-8.6297259087140862E-3</v>
      </c>
    </row>
    <row r="7824" spans="18:21" x14ac:dyDescent="0.2">
      <c r="R7824" s="49">
        <v>7822</v>
      </c>
      <c r="S7824" s="59">
        <f ca="1">Dashboard!B$8* Dashboard!$F$4+Dashboard!B$10*SQRT(Dashboard!$F$4) * _xlfn.NORM.S.INV(RAND())</f>
        <v>2.3173115390952057E-2</v>
      </c>
      <c r="T7824" s="59">
        <f ca="1">Dashboard!C$8* Dashboard!$F$4+Dashboard!C$10*SQRT(Dashboard!$F$4) * _xlfn.NORM.S.INV(RAND())</f>
        <v>-9.6292953358941454E-3</v>
      </c>
      <c r="U7824" s="59">
        <f ca="1">Dashboard!D$8* Dashboard!$F$4+Dashboard!D$10*SQRT(Dashboard!$F$4) * _xlfn.NORM.S.INV(RAND())</f>
        <v>-1.423576017719928E-2</v>
      </c>
    </row>
    <row r="7825" spans="18:21" x14ac:dyDescent="0.2">
      <c r="R7825" s="49">
        <v>7823</v>
      </c>
      <c r="S7825" s="59">
        <f ca="1">Dashboard!B$8* Dashboard!$F$4+Dashboard!B$10*SQRT(Dashboard!$F$4) * _xlfn.NORM.S.INV(RAND())</f>
        <v>-4.8808385242389604E-2</v>
      </c>
      <c r="T7825" s="59">
        <f ca="1">Dashboard!C$8* Dashboard!$F$4+Dashboard!C$10*SQRT(Dashboard!$F$4) * _xlfn.NORM.S.INV(RAND())</f>
        <v>1.0115651942724593E-2</v>
      </c>
      <c r="U7825" s="59">
        <f ca="1">Dashboard!D$8* Dashboard!$F$4+Dashboard!D$10*SQRT(Dashboard!$F$4) * _xlfn.NORM.S.INV(RAND())</f>
        <v>-2.453844158227364E-2</v>
      </c>
    </row>
    <row r="7826" spans="18:21" x14ac:dyDescent="0.2">
      <c r="R7826" s="49">
        <v>7824</v>
      </c>
      <c r="S7826" s="59">
        <f ca="1">Dashboard!B$8* Dashboard!$F$4+Dashboard!B$10*SQRT(Dashboard!$F$4) * _xlfn.NORM.S.INV(RAND())</f>
        <v>6.2114943690305041E-2</v>
      </c>
      <c r="T7826" s="59">
        <f ca="1">Dashboard!C$8* Dashboard!$F$4+Dashboard!C$10*SQRT(Dashboard!$F$4) * _xlfn.NORM.S.INV(RAND())</f>
        <v>2.2485260768621691E-2</v>
      </c>
      <c r="U7826" s="59">
        <f ca="1">Dashboard!D$8* Dashboard!$F$4+Dashboard!D$10*SQRT(Dashboard!$F$4) * _xlfn.NORM.S.INV(RAND())</f>
        <v>2.6095720842792363E-2</v>
      </c>
    </row>
    <row r="7827" spans="18:21" x14ac:dyDescent="0.2">
      <c r="R7827" s="49">
        <v>7825</v>
      </c>
      <c r="S7827" s="59">
        <f ca="1">Dashboard!B$8* Dashboard!$F$4+Dashboard!B$10*SQRT(Dashboard!$F$4) * _xlfn.NORM.S.INV(RAND())</f>
        <v>-7.4519091036523398E-3</v>
      </c>
      <c r="T7827" s="59">
        <f ca="1">Dashboard!C$8* Dashboard!$F$4+Dashboard!C$10*SQRT(Dashboard!$F$4) * _xlfn.NORM.S.INV(RAND())</f>
        <v>2.1583025331458436E-2</v>
      </c>
      <c r="U7827" s="59">
        <f ca="1">Dashboard!D$8* Dashboard!$F$4+Dashboard!D$10*SQRT(Dashboard!$F$4) * _xlfn.NORM.S.INV(RAND())</f>
        <v>3.8359900626490737E-2</v>
      </c>
    </row>
    <row r="7828" spans="18:21" x14ac:dyDescent="0.2">
      <c r="R7828" s="49">
        <v>7826</v>
      </c>
      <c r="S7828" s="59">
        <f ca="1">Dashboard!B$8* Dashboard!$F$4+Dashboard!B$10*SQRT(Dashboard!$F$4) * _xlfn.NORM.S.INV(RAND())</f>
        <v>7.8607545435750385E-3</v>
      </c>
      <c r="T7828" s="59">
        <f ca="1">Dashboard!C$8* Dashboard!$F$4+Dashboard!C$10*SQRT(Dashboard!$F$4) * _xlfn.NORM.S.INV(RAND())</f>
        <v>-5.0920665370402775E-2</v>
      </c>
      <c r="U7828" s="59">
        <f ca="1">Dashboard!D$8* Dashboard!$F$4+Dashboard!D$10*SQRT(Dashboard!$F$4) * _xlfn.NORM.S.INV(RAND())</f>
        <v>-1.8945119783281412E-2</v>
      </c>
    </row>
    <row r="7829" spans="18:21" x14ac:dyDescent="0.2">
      <c r="R7829" s="49">
        <v>7827</v>
      </c>
      <c r="S7829" s="59">
        <f ca="1">Dashboard!B$8* Dashboard!$F$4+Dashboard!B$10*SQRT(Dashboard!$F$4) * _xlfn.NORM.S.INV(RAND())</f>
        <v>-1.5275382977659024E-2</v>
      </c>
      <c r="T7829" s="59">
        <f ca="1">Dashboard!C$8* Dashboard!$F$4+Dashboard!C$10*SQRT(Dashboard!$F$4) * _xlfn.NORM.S.INV(RAND())</f>
        <v>-3.9709612719686038E-2</v>
      </c>
      <c r="U7829" s="59">
        <f ca="1">Dashboard!D$8* Dashboard!$F$4+Dashboard!D$10*SQRT(Dashboard!$F$4) * _xlfn.NORM.S.INV(RAND())</f>
        <v>4.5449439123940887E-2</v>
      </c>
    </row>
    <row r="7830" spans="18:21" x14ac:dyDescent="0.2">
      <c r="R7830" s="49">
        <v>7828</v>
      </c>
      <c r="S7830" s="59">
        <f ca="1">Dashboard!B$8* Dashboard!$F$4+Dashboard!B$10*SQRT(Dashboard!$F$4) * _xlfn.NORM.S.INV(RAND())</f>
        <v>-1.1349008264808665E-2</v>
      </c>
      <c r="T7830" s="59">
        <f ca="1">Dashboard!C$8* Dashboard!$F$4+Dashboard!C$10*SQRT(Dashboard!$F$4) * _xlfn.NORM.S.INV(RAND())</f>
        <v>-1.747996710708904E-3</v>
      </c>
      <c r="U7830" s="59">
        <f ca="1">Dashboard!D$8* Dashboard!$F$4+Dashboard!D$10*SQRT(Dashboard!$F$4) * _xlfn.NORM.S.INV(RAND())</f>
        <v>-3.484603860662841E-2</v>
      </c>
    </row>
    <row r="7831" spans="18:21" x14ac:dyDescent="0.2">
      <c r="R7831" s="49">
        <v>7829</v>
      </c>
      <c r="S7831" s="59">
        <f ca="1">Dashboard!B$8* Dashboard!$F$4+Dashboard!B$10*SQRT(Dashboard!$F$4) * _xlfn.NORM.S.INV(RAND())</f>
        <v>-2.9096588519038742E-2</v>
      </c>
      <c r="T7831" s="59">
        <f ca="1">Dashboard!C$8* Dashboard!$F$4+Dashboard!C$10*SQRT(Dashboard!$F$4) * _xlfn.NORM.S.INV(RAND())</f>
        <v>6.0829854575825078E-2</v>
      </c>
      <c r="U7831" s="59">
        <f ca="1">Dashboard!D$8* Dashboard!$F$4+Dashboard!D$10*SQRT(Dashboard!$F$4) * _xlfn.NORM.S.INV(RAND())</f>
        <v>3.0130406398780719E-2</v>
      </c>
    </row>
    <row r="7832" spans="18:21" x14ac:dyDescent="0.2">
      <c r="R7832" s="49">
        <v>7830</v>
      </c>
      <c r="S7832" s="59">
        <f ca="1">Dashboard!B$8* Dashboard!$F$4+Dashboard!B$10*SQRT(Dashboard!$F$4) * _xlfn.NORM.S.INV(RAND())</f>
        <v>3.9830785308145635E-2</v>
      </c>
      <c r="T7832" s="59">
        <f ca="1">Dashboard!C$8* Dashboard!$F$4+Dashboard!C$10*SQRT(Dashboard!$F$4) * _xlfn.NORM.S.INV(RAND())</f>
        <v>6.0486743698310707E-3</v>
      </c>
      <c r="U7832" s="59">
        <f ca="1">Dashboard!D$8* Dashboard!$F$4+Dashboard!D$10*SQRT(Dashboard!$F$4) * _xlfn.NORM.S.INV(RAND())</f>
        <v>-6.4620617732102439E-2</v>
      </c>
    </row>
    <row r="7833" spans="18:21" x14ac:dyDescent="0.2">
      <c r="R7833" s="49">
        <v>7831</v>
      </c>
      <c r="S7833" s="59">
        <f ca="1">Dashboard!B$8* Dashboard!$F$4+Dashboard!B$10*SQRT(Dashboard!$F$4) * _xlfn.NORM.S.INV(RAND())</f>
        <v>-1.8814563014689943E-2</v>
      </c>
      <c r="T7833" s="59">
        <f ca="1">Dashboard!C$8* Dashboard!$F$4+Dashboard!C$10*SQRT(Dashboard!$F$4) * _xlfn.NORM.S.INV(RAND())</f>
        <v>-1.71456933225979E-2</v>
      </c>
      <c r="U7833" s="59">
        <f ca="1">Dashboard!D$8* Dashboard!$F$4+Dashboard!D$10*SQRT(Dashboard!$F$4) * _xlfn.NORM.S.INV(RAND())</f>
        <v>3.0614456878119103E-2</v>
      </c>
    </row>
    <row r="7834" spans="18:21" x14ac:dyDescent="0.2">
      <c r="R7834" s="49">
        <v>7832</v>
      </c>
      <c r="S7834" s="59">
        <f ca="1">Dashboard!B$8* Dashboard!$F$4+Dashboard!B$10*SQRT(Dashboard!$F$4) * _xlfn.NORM.S.INV(RAND())</f>
        <v>1.9870442420908373E-3</v>
      </c>
      <c r="T7834" s="59">
        <f ca="1">Dashboard!C$8* Dashboard!$F$4+Dashboard!C$10*SQRT(Dashboard!$F$4) * _xlfn.NORM.S.INV(RAND())</f>
        <v>-2.9101388484680388E-2</v>
      </c>
      <c r="U7834" s="59">
        <f ca="1">Dashboard!D$8* Dashboard!$F$4+Dashboard!D$10*SQRT(Dashboard!$F$4) * _xlfn.NORM.S.INV(RAND())</f>
        <v>-1.3210072830415736E-2</v>
      </c>
    </row>
    <row r="7835" spans="18:21" x14ac:dyDescent="0.2">
      <c r="R7835" s="49">
        <v>7833</v>
      </c>
      <c r="S7835" s="59">
        <f ca="1">Dashboard!B$8* Dashboard!$F$4+Dashboard!B$10*SQRT(Dashboard!$F$4) * _xlfn.NORM.S.INV(RAND())</f>
        <v>6.9695206549452177E-3</v>
      </c>
      <c r="T7835" s="59">
        <f ca="1">Dashboard!C$8* Dashboard!$F$4+Dashboard!C$10*SQRT(Dashboard!$F$4) * _xlfn.NORM.S.INV(RAND())</f>
        <v>3.5921877157476231E-2</v>
      </c>
      <c r="U7835" s="59">
        <f ca="1">Dashboard!D$8* Dashboard!$F$4+Dashboard!D$10*SQRT(Dashboard!$F$4) * _xlfn.NORM.S.INV(RAND())</f>
        <v>-3.0139615648579723E-2</v>
      </c>
    </row>
    <row r="7836" spans="18:21" x14ac:dyDescent="0.2">
      <c r="R7836" s="49">
        <v>7834</v>
      </c>
      <c r="S7836" s="59">
        <f ca="1">Dashboard!B$8* Dashboard!$F$4+Dashboard!B$10*SQRT(Dashboard!$F$4) * _xlfn.NORM.S.INV(RAND())</f>
        <v>-1.1021621038558166E-2</v>
      </c>
      <c r="T7836" s="59">
        <f ca="1">Dashboard!C$8* Dashboard!$F$4+Dashboard!C$10*SQRT(Dashboard!$F$4) * _xlfn.NORM.S.INV(RAND())</f>
        <v>-2.3760408509223306E-2</v>
      </c>
      <c r="U7836" s="59">
        <f ca="1">Dashboard!D$8* Dashboard!$F$4+Dashboard!D$10*SQRT(Dashboard!$F$4) * _xlfn.NORM.S.INV(RAND())</f>
        <v>1.5512135934669479E-2</v>
      </c>
    </row>
    <row r="7837" spans="18:21" x14ac:dyDescent="0.2">
      <c r="R7837" s="49">
        <v>7835</v>
      </c>
      <c r="S7837" s="59">
        <f ca="1">Dashboard!B$8* Dashboard!$F$4+Dashboard!B$10*SQRT(Dashboard!$F$4) * _xlfn.NORM.S.INV(RAND())</f>
        <v>1.5921376988042683E-2</v>
      </c>
      <c r="T7837" s="59">
        <f ca="1">Dashboard!C$8* Dashboard!$F$4+Dashboard!C$10*SQRT(Dashboard!$F$4) * _xlfn.NORM.S.INV(RAND())</f>
        <v>-1.7843928355451906E-2</v>
      </c>
      <c r="U7837" s="59">
        <f ca="1">Dashboard!D$8* Dashboard!$F$4+Dashboard!D$10*SQRT(Dashboard!$F$4) * _xlfn.NORM.S.INV(RAND())</f>
        <v>-3.219115713855146E-2</v>
      </c>
    </row>
    <row r="7838" spans="18:21" x14ac:dyDescent="0.2">
      <c r="R7838" s="49">
        <v>7836</v>
      </c>
      <c r="S7838" s="59">
        <f ca="1">Dashboard!B$8* Dashboard!$F$4+Dashboard!B$10*SQRT(Dashboard!$F$4) * _xlfn.NORM.S.INV(RAND())</f>
        <v>4.6004624548894538E-3</v>
      </c>
      <c r="T7838" s="59">
        <f ca="1">Dashboard!C$8* Dashboard!$F$4+Dashboard!C$10*SQRT(Dashboard!$F$4) * _xlfn.NORM.S.INV(RAND())</f>
        <v>-1.9084560702467307E-2</v>
      </c>
      <c r="U7838" s="59">
        <f ca="1">Dashboard!D$8* Dashboard!$F$4+Dashboard!D$10*SQRT(Dashboard!$F$4) * _xlfn.NORM.S.INV(RAND())</f>
        <v>-2.588629252572331E-2</v>
      </c>
    </row>
    <row r="7839" spans="18:21" x14ac:dyDescent="0.2">
      <c r="R7839" s="49">
        <v>7837</v>
      </c>
      <c r="S7839" s="59">
        <f ca="1">Dashboard!B$8* Dashboard!$F$4+Dashboard!B$10*SQRT(Dashboard!$F$4) * _xlfn.NORM.S.INV(RAND())</f>
        <v>6.988534357748365E-3</v>
      </c>
      <c r="T7839" s="59">
        <f ca="1">Dashboard!C$8* Dashboard!$F$4+Dashboard!C$10*SQRT(Dashboard!$F$4) * _xlfn.NORM.S.INV(RAND())</f>
        <v>-4.0791284375013184E-2</v>
      </c>
      <c r="U7839" s="59">
        <f ca="1">Dashboard!D$8* Dashboard!$F$4+Dashboard!D$10*SQRT(Dashboard!$F$4) * _xlfn.NORM.S.INV(RAND())</f>
        <v>-2.7231575631405686E-2</v>
      </c>
    </row>
    <row r="7840" spans="18:21" x14ac:dyDescent="0.2">
      <c r="R7840" s="49">
        <v>7838</v>
      </c>
      <c r="S7840" s="59">
        <f ca="1">Dashboard!B$8* Dashboard!$F$4+Dashboard!B$10*SQRT(Dashboard!$F$4) * _xlfn.NORM.S.INV(RAND())</f>
        <v>8.420077135401131E-3</v>
      </c>
      <c r="T7840" s="59">
        <f ca="1">Dashboard!C$8* Dashboard!$F$4+Dashboard!C$10*SQRT(Dashboard!$F$4) * _xlfn.NORM.S.INV(RAND())</f>
        <v>2.6835425148400732E-2</v>
      </c>
      <c r="U7840" s="59">
        <f ca="1">Dashboard!D$8* Dashboard!$F$4+Dashboard!D$10*SQRT(Dashboard!$F$4) * _xlfn.NORM.S.INV(RAND())</f>
        <v>2.32474161895956E-2</v>
      </c>
    </row>
    <row r="7841" spans="18:21" x14ac:dyDescent="0.2">
      <c r="R7841" s="49">
        <v>7839</v>
      </c>
      <c r="S7841" s="59">
        <f ca="1">Dashboard!B$8* Dashboard!$F$4+Dashboard!B$10*SQRT(Dashboard!$F$4) * _xlfn.NORM.S.INV(RAND())</f>
        <v>-1.5322281777668255E-2</v>
      </c>
      <c r="T7841" s="59">
        <f ca="1">Dashboard!C$8* Dashboard!$F$4+Dashboard!C$10*SQRT(Dashboard!$F$4) * _xlfn.NORM.S.INV(RAND())</f>
        <v>1.7563598550589424E-3</v>
      </c>
      <c r="U7841" s="59">
        <f ca="1">Dashboard!D$8* Dashboard!$F$4+Dashboard!D$10*SQRT(Dashboard!$F$4) * _xlfn.NORM.S.INV(RAND())</f>
        <v>-5.1875494685591859E-3</v>
      </c>
    </row>
    <row r="7842" spans="18:21" x14ac:dyDescent="0.2">
      <c r="R7842" s="49">
        <v>7840</v>
      </c>
      <c r="S7842" s="59">
        <f ca="1">Dashboard!B$8* Dashboard!$F$4+Dashboard!B$10*SQRT(Dashboard!$F$4) * _xlfn.NORM.S.INV(RAND())</f>
        <v>4.141797682537874E-2</v>
      </c>
      <c r="T7842" s="59">
        <f ca="1">Dashboard!C$8* Dashboard!$F$4+Dashboard!C$10*SQRT(Dashboard!$F$4) * _xlfn.NORM.S.INV(RAND())</f>
        <v>-4.1948570228030495E-2</v>
      </c>
      <c r="U7842" s="59">
        <f ca="1">Dashboard!D$8* Dashboard!$F$4+Dashboard!D$10*SQRT(Dashboard!$F$4) * _xlfn.NORM.S.INV(RAND())</f>
        <v>-4.1809805692027788E-2</v>
      </c>
    </row>
    <row r="7843" spans="18:21" x14ac:dyDescent="0.2">
      <c r="R7843" s="49">
        <v>7841</v>
      </c>
      <c r="S7843" s="59">
        <f ca="1">Dashboard!B$8* Dashboard!$F$4+Dashboard!B$10*SQRT(Dashboard!$F$4) * _xlfn.NORM.S.INV(RAND())</f>
        <v>-6.442660844718168E-3</v>
      </c>
      <c r="T7843" s="59">
        <f ca="1">Dashboard!C$8* Dashboard!$F$4+Dashboard!C$10*SQRT(Dashboard!$F$4) * _xlfn.NORM.S.INV(RAND())</f>
        <v>5.9878238477470418E-2</v>
      </c>
      <c r="U7843" s="59">
        <f ca="1">Dashboard!D$8* Dashboard!$F$4+Dashboard!D$10*SQRT(Dashboard!$F$4) * _xlfn.NORM.S.INV(RAND())</f>
        <v>5.7624678429039457E-3</v>
      </c>
    </row>
    <row r="7844" spans="18:21" x14ac:dyDescent="0.2">
      <c r="R7844" s="49">
        <v>7842</v>
      </c>
      <c r="S7844" s="59">
        <f ca="1">Dashboard!B$8* Dashboard!$F$4+Dashboard!B$10*SQRT(Dashboard!$F$4) * _xlfn.NORM.S.INV(RAND())</f>
        <v>-2.0487251773049692E-2</v>
      </c>
      <c r="T7844" s="59">
        <f ca="1">Dashboard!C$8* Dashboard!$F$4+Dashboard!C$10*SQRT(Dashboard!$F$4) * _xlfn.NORM.S.INV(RAND())</f>
        <v>4.423898178871831E-2</v>
      </c>
      <c r="U7844" s="59">
        <f ca="1">Dashboard!D$8* Dashboard!$F$4+Dashboard!D$10*SQRT(Dashboard!$F$4) * _xlfn.NORM.S.INV(RAND())</f>
        <v>-7.3444282839072311E-3</v>
      </c>
    </row>
    <row r="7845" spans="18:21" x14ac:dyDescent="0.2">
      <c r="R7845" s="49">
        <v>7843</v>
      </c>
      <c r="S7845" s="59">
        <f ca="1">Dashboard!B$8* Dashboard!$F$4+Dashboard!B$10*SQRT(Dashboard!$F$4) * _xlfn.NORM.S.INV(RAND())</f>
        <v>3.8028216856977784E-2</v>
      </c>
      <c r="T7845" s="59">
        <f ca="1">Dashboard!C$8* Dashboard!$F$4+Dashboard!C$10*SQRT(Dashboard!$F$4) * _xlfn.NORM.S.INV(RAND())</f>
        <v>2.7083855953948011E-2</v>
      </c>
      <c r="U7845" s="59">
        <f ca="1">Dashboard!D$8* Dashboard!$F$4+Dashboard!D$10*SQRT(Dashboard!$F$4) * _xlfn.NORM.S.INV(RAND())</f>
        <v>-2.9668647661516875E-2</v>
      </c>
    </row>
    <row r="7846" spans="18:21" x14ac:dyDescent="0.2">
      <c r="R7846" s="49">
        <v>7844</v>
      </c>
      <c r="S7846" s="59">
        <f ca="1">Dashboard!B$8* Dashboard!$F$4+Dashboard!B$10*SQRT(Dashboard!$F$4) * _xlfn.NORM.S.INV(RAND())</f>
        <v>5.9372873916754953E-3</v>
      </c>
      <c r="T7846" s="59">
        <f ca="1">Dashboard!C$8* Dashboard!$F$4+Dashboard!C$10*SQRT(Dashboard!$F$4) * _xlfn.NORM.S.INV(RAND())</f>
        <v>7.3864219998450416E-3</v>
      </c>
      <c r="U7846" s="59">
        <f ca="1">Dashboard!D$8* Dashboard!$F$4+Dashboard!D$10*SQRT(Dashboard!$F$4) * _xlfn.NORM.S.INV(RAND())</f>
        <v>-2.5363475689018502E-2</v>
      </c>
    </row>
    <row r="7847" spans="18:21" x14ac:dyDescent="0.2">
      <c r="R7847" s="49">
        <v>7845</v>
      </c>
      <c r="S7847" s="59">
        <f ca="1">Dashboard!B$8* Dashboard!$F$4+Dashboard!B$10*SQRT(Dashboard!$F$4) * _xlfn.NORM.S.INV(RAND())</f>
        <v>-2.2011905750642574E-2</v>
      </c>
      <c r="T7847" s="59">
        <f ca="1">Dashboard!C$8* Dashboard!$F$4+Dashboard!C$10*SQRT(Dashboard!$F$4) * _xlfn.NORM.S.INV(RAND())</f>
        <v>-1.6468567130458613E-2</v>
      </c>
      <c r="U7847" s="59">
        <f ca="1">Dashboard!D$8* Dashboard!$F$4+Dashboard!D$10*SQRT(Dashboard!$F$4) * _xlfn.NORM.S.INV(RAND())</f>
        <v>2.9298426221825845E-2</v>
      </c>
    </row>
    <row r="7848" spans="18:21" x14ac:dyDescent="0.2">
      <c r="R7848" s="49">
        <v>7846</v>
      </c>
      <c r="S7848" s="59">
        <f ca="1">Dashboard!B$8* Dashboard!$F$4+Dashboard!B$10*SQRT(Dashboard!$F$4) * _xlfn.NORM.S.INV(RAND())</f>
        <v>3.6625596912631994E-2</v>
      </c>
      <c r="T7848" s="59">
        <f ca="1">Dashboard!C$8* Dashboard!$F$4+Dashboard!C$10*SQRT(Dashboard!$F$4) * _xlfn.NORM.S.INV(RAND())</f>
        <v>-5.3670476392138053E-2</v>
      </c>
      <c r="U7848" s="59">
        <f ca="1">Dashboard!D$8* Dashboard!$F$4+Dashboard!D$10*SQRT(Dashboard!$F$4) * _xlfn.NORM.S.INV(RAND())</f>
        <v>3.9711804105638564E-2</v>
      </c>
    </row>
    <row r="7849" spans="18:21" x14ac:dyDescent="0.2">
      <c r="R7849" s="49">
        <v>7847</v>
      </c>
      <c r="S7849" s="59">
        <f ca="1">Dashboard!B$8* Dashboard!$F$4+Dashboard!B$10*SQRT(Dashboard!$F$4) * _xlfn.NORM.S.INV(RAND())</f>
        <v>-2.8606718601291208E-2</v>
      </c>
      <c r="T7849" s="59">
        <f ca="1">Dashboard!C$8* Dashboard!$F$4+Dashboard!C$10*SQRT(Dashboard!$F$4) * _xlfn.NORM.S.INV(RAND())</f>
        <v>1.7537815098521516E-3</v>
      </c>
      <c r="U7849" s="59">
        <f ca="1">Dashboard!D$8* Dashboard!$F$4+Dashboard!D$10*SQRT(Dashboard!$F$4) * _xlfn.NORM.S.INV(RAND())</f>
        <v>-3.7133776134142066E-2</v>
      </c>
    </row>
    <row r="7850" spans="18:21" x14ac:dyDescent="0.2">
      <c r="R7850" s="49">
        <v>7848</v>
      </c>
      <c r="S7850" s="59">
        <f ca="1">Dashboard!B$8* Dashboard!$F$4+Dashboard!B$10*SQRT(Dashboard!$F$4) * _xlfn.NORM.S.INV(RAND())</f>
        <v>5.0879405645914647E-3</v>
      </c>
      <c r="T7850" s="59">
        <f ca="1">Dashboard!C$8* Dashboard!$F$4+Dashboard!C$10*SQRT(Dashboard!$F$4) * _xlfn.NORM.S.INV(RAND())</f>
        <v>2.3298960239961721E-2</v>
      </c>
      <c r="U7850" s="59">
        <f ca="1">Dashboard!D$8* Dashboard!$F$4+Dashboard!D$10*SQRT(Dashboard!$F$4) * _xlfn.NORM.S.INV(RAND())</f>
        <v>-7.7864981237648007E-3</v>
      </c>
    </row>
    <row r="7851" spans="18:21" x14ac:dyDescent="0.2">
      <c r="R7851" s="49">
        <v>7849</v>
      </c>
      <c r="S7851" s="59">
        <f ca="1">Dashboard!B$8* Dashboard!$F$4+Dashboard!B$10*SQRT(Dashboard!$F$4) * _xlfn.NORM.S.INV(RAND())</f>
        <v>3.6707155975768208E-2</v>
      </c>
      <c r="T7851" s="59">
        <f ca="1">Dashboard!C$8* Dashboard!$F$4+Dashboard!C$10*SQRT(Dashboard!$F$4) * _xlfn.NORM.S.INV(RAND())</f>
        <v>-5.2811468224139263E-2</v>
      </c>
      <c r="U7851" s="59">
        <f ca="1">Dashboard!D$8* Dashboard!$F$4+Dashboard!D$10*SQRT(Dashboard!$F$4) * _xlfn.NORM.S.INV(RAND())</f>
        <v>4.1835851404074732E-2</v>
      </c>
    </row>
    <row r="7852" spans="18:21" x14ac:dyDescent="0.2">
      <c r="R7852" s="49">
        <v>7850</v>
      </c>
      <c r="S7852" s="59">
        <f ca="1">Dashboard!B$8* Dashboard!$F$4+Dashboard!B$10*SQRT(Dashboard!$F$4) * _xlfn.NORM.S.INV(RAND())</f>
        <v>-3.3788109201785523E-2</v>
      </c>
      <c r="T7852" s="59">
        <f ca="1">Dashboard!C$8* Dashboard!$F$4+Dashboard!C$10*SQRT(Dashboard!$F$4) * _xlfn.NORM.S.INV(RAND())</f>
        <v>8.2719574944715907E-2</v>
      </c>
      <c r="U7852" s="59">
        <f ca="1">Dashboard!D$8* Dashboard!$F$4+Dashboard!D$10*SQRT(Dashboard!$F$4) * _xlfn.NORM.S.INV(RAND())</f>
        <v>1.0079071538669504E-3</v>
      </c>
    </row>
    <row r="7853" spans="18:21" x14ac:dyDescent="0.2">
      <c r="R7853" s="49">
        <v>7851</v>
      </c>
      <c r="S7853" s="59">
        <f ca="1">Dashboard!B$8* Dashboard!$F$4+Dashboard!B$10*SQRT(Dashboard!$F$4) * _xlfn.NORM.S.INV(RAND())</f>
        <v>4.7950615321398549E-2</v>
      </c>
      <c r="T7853" s="59">
        <f ca="1">Dashboard!C$8* Dashboard!$F$4+Dashboard!C$10*SQRT(Dashboard!$F$4) * _xlfn.NORM.S.INV(RAND())</f>
        <v>-2.3091065128213999E-2</v>
      </c>
      <c r="U7853" s="59">
        <f ca="1">Dashboard!D$8* Dashboard!$F$4+Dashboard!D$10*SQRT(Dashboard!$F$4) * _xlfn.NORM.S.INV(RAND())</f>
        <v>2.4339769874700944E-2</v>
      </c>
    </row>
    <row r="7854" spans="18:21" x14ac:dyDescent="0.2">
      <c r="R7854" s="49">
        <v>7852</v>
      </c>
      <c r="S7854" s="59">
        <f ca="1">Dashboard!B$8* Dashboard!$F$4+Dashboard!B$10*SQRT(Dashboard!$F$4) * _xlfn.NORM.S.INV(RAND())</f>
        <v>-5.0220678275475538E-3</v>
      </c>
      <c r="T7854" s="59">
        <f ca="1">Dashboard!C$8* Dashboard!$F$4+Dashboard!C$10*SQRT(Dashboard!$F$4) * _xlfn.NORM.S.INV(RAND())</f>
        <v>-9.5620576138676049E-3</v>
      </c>
      <c r="U7854" s="59">
        <f ca="1">Dashboard!D$8* Dashboard!$F$4+Dashboard!D$10*SQRT(Dashboard!$F$4) * _xlfn.NORM.S.INV(RAND())</f>
        <v>2.0775233167634976E-2</v>
      </c>
    </row>
    <row r="7855" spans="18:21" x14ac:dyDescent="0.2">
      <c r="R7855" s="49">
        <v>7853</v>
      </c>
      <c r="S7855" s="59">
        <f ca="1">Dashboard!B$8* Dashboard!$F$4+Dashboard!B$10*SQRT(Dashboard!$F$4) * _xlfn.NORM.S.INV(RAND())</f>
        <v>1.3334983243852199E-2</v>
      </c>
      <c r="T7855" s="59">
        <f ca="1">Dashboard!C$8* Dashboard!$F$4+Dashboard!C$10*SQRT(Dashboard!$F$4) * _xlfn.NORM.S.INV(RAND())</f>
        <v>-3.9417614423466071E-2</v>
      </c>
      <c r="U7855" s="59">
        <f ca="1">Dashboard!D$8* Dashboard!$F$4+Dashboard!D$10*SQRT(Dashboard!$F$4) * _xlfn.NORM.S.INV(RAND())</f>
        <v>-1.6608563636097865E-2</v>
      </c>
    </row>
    <row r="7856" spans="18:21" x14ac:dyDescent="0.2">
      <c r="R7856" s="49">
        <v>7854</v>
      </c>
      <c r="S7856" s="59">
        <f ca="1">Dashboard!B$8* Dashboard!$F$4+Dashboard!B$10*SQRT(Dashboard!$F$4) * _xlfn.NORM.S.INV(RAND())</f>
        <v>-1.2045982951430388E-3</v>
      </c>
      <c r="T7856" s="59">
        <f ca="1">Dashboard!C$8* Dashboard!$F$4+Dashboard!C$10*SQRT(Dashboard!$F$4) * _xlfn.NORM.S.INV(RAND())</f>
        <v>1.1574734464753073E-2</v>
      </c>
      <c r="U7856" s="59">
        <f ca="1">Dashboard!D$8* Dashboard!$F$4+Dashboard!D$10*SQRT(Dashboard!$F$4) * _xlfn.NORM.S.INV(RAND())</f>
        <v>-5.8116405711716314E-2</v>
      </c>
    </row>
    <row r="7857" spans="18:21" x14ac:dyDescent="0.2">
      <c r="R7857" s="49">
        <v>7855</v>
      </c>
      <c r="S7857" s="59">
        <f ca="1">Dashboard!B$8* Dashboard!$F$4+Dashboard!B$10*SQRT(Dashboard!$F$4) * _xlfn.NORM.S.INV(RAND())</f>
        <v>-2.6612921767798482E-2</v>
      </c>
      <c r="T7857" s="59">
        <f ca="1">Dashboard!C$8* Dashboard!$F$4+Dashboard!C$10*SQRT(Dashboard!$F$4) * _xlfn.NORM.S.INV(RAND())</f>
        <v>-3.2582374912797821E-2</v>
      </c>
      <c r="U7857" s="59">
        <f ca="1">Dashboard!D$8* Dashboard!$F$4+Dashboard!D$10*SQRT(Dashboard!$F$4) * _xlfn.NORM.S.INV(RAND())</f>
        <v>4.9602109462792685E-2</v>
      </c>
    </row>
    <row r="7858" spans="18:21" x14ac:dyDescent="0.2">
      <c r="R7858" s="49">
        <v>7856</v>
      </c>
      <c r="S7858" s="59">
        <f ca="1">Dashboard!B$8* Dashboard!$F$4+Dashboard!B$10*SQRT(Dashboard!$F$4) * _xlfn.NORM.S.INV(RAND())</f>
        <v>-5.3595915223441863E-2</v>
      </c>
      <c r="T7858" s="59">
        <f ca="1">Dashboard!C$8* Dashboard!$F$4+Dashboard!C$10*SQRT(Dashboard!$F$4) * _xlfn.NORM.S.INV(RAND())</f>
        <v>-2.5606880002571816E-2</v>
      </c>
      <c r="U7858" s="59">
        <f ca="1">Dashboard!D$8* Dashboard!$F$4+Dashboard!D$10*SQRT(Dashboard!$F$4) * _xlfn.NORM.S.INV(RAND())</f>
        <v>3.7300801772294008E-2</v>
      </c>
    </row>
    <row r="7859" spans="18:21" x14ac:dyDescent="0.2">
      <c r="R7859" s="49">
        <v>7857</v>
      </c>
      <c r="S7859" s="59">
        <f ca="1">Dashboard!B$8* Dashboard!$F$4+Dashboard!B$10*SQRT(Dashboard!$F$4) * _xlfn.NORM.S.INV(RAND())</f>
        <v>-3.7075514604128661E-2</v>
      </c>
      <c r="T7859" s="59">
        <f ca="1">Dashboard!C$8* Dashboard!$F$4+Dashboard!C$10*SQRT(Dashboard!$F$4) * _xlfn.NORM.S.INV(RAND())</f>
        <v>-7.2313353876701141E-3</v>
      </c>
      <c r="U7859" s="59">
        <f ca="1">Dashboard!D$8* Dashboard!$F$4+Dashboard!D$10*SQRT(Dashboard!$F$4) * _xlfn.NORM.S.INV(RAND())</f>
        <v>-3.1224860473937872E-2</v>
      </c>
    </row>
    <row r="7860" spans="18:21" x14ac:dyDescent="0.2">
      <c r="R7860" s="49">
        <v>7858</v>
      </c>
      <c r="S7860" s="59">
        <f ca="1">Dashboard!B$8* Dashboard!$F$4+Dashboard!B$10*SQRT(Dashboard!$F$4) * _xlfn.NORM.S.INV(RAND())</f>
        <v>-4.0644862383826329E-2</v>
      </c>
      <c r="T7860" s="59">
        <f ca="1">Dashboard!C$8* Dashboard!$F$4+Dashboard!C$10*SQRT(Dashboard!$F$4) * _xlfn.NORM.S.INV(RAND())</f>
        <v>-2.6446595302351925E-2</v>
      </c>
      <c r="U7860" s="59">
        <f ca="1">Dashboard!D$8* Dashboard!$F$4+Dashboard!D$10*SQRT(Dashboard!$F$4) * _xlfn.NORM.S.INV(RAND())</f>
        <v>4.6856363320223027E-2</v>
      </c>
    </row>
    <row r="7861" spans="18:21" x14ac:dyDescent="0.2">
      <c r="R7861" s="49">
        <v>7859</v>
      </c>
      <c r="S7861" s="59">
        <f ca="1">Dashboard!B$8* Dashboard!$F$4+Dashboard!B$10*SQRT(Dashboard!$F$4) * _xlfn.NORM.S.INV(RAND())</f>
        <v>-7.815950634784196E-3</v>
      </c>
      <c r="T7861" s="59">
        <f ca="1">Dashboard!C$8* Dashboard!$F$4+Dashboard!C$10*SQRT(Dashboard!$F$4) * _xlfn.NORM.S.INV(RAND())</f>
        <v>-2.1293305309767658E-2</v>
      </c>
      <c r="U7861" s="59">
        <f ca="1">Dashboard!D$8* Dashboard!$F$4+Dashboard!D$10*SQRT(Dashboard!$F$4) * _xlfn.NORM.S.INV(RAND())</f>
        <v>3.5614702787837106E-2</v>
      </c>
    </row>
    <row r="7862" spans="18:21" x14ac:dyDescent="0.2">
      <c r="R7862" s="49">
        <v>7860</v>
      </c>
      <c r="S7862" s="59">
        <f ca="1">Dashboard!B$8* Dashboard!$F$4+Dashboard!B$10*SQRT(Dashboard!$F$4) * _xlfn.NORM.S.INV(RAND())</f>
        <v>3.0303621210447045E-2</v>
      </c>
      <c r="T7862" s="59">
        <f ca="1">Dashboard!C$8* Dashboard!$F$4+Dashboard!C$10*SQRT(Dashboard!$F$4) * _xlfn.NORM.S.INV(RAND())</f>
        <v>-1.0761095070152157E-2</v>
      </c>
      <c r="U7862" s="59">
        <f ca="1">Dashboard!D$8* Dashboard!$F$4+Dashboard!D$10*SQRT(Dashboard!$F$4) * _xlfn.NORM.S.INV(RAND())</f>
        <v>-3.2086659251826084E-2</v>
      </c>
    </row>
    <row r="7863" spans="18:21" x14ac:dyDescent="0.2">
      <c r="R7863" s="49">
        <v>7861</v>
      </c>
      <c r="S7863" s="59">
        <f ca="1">Dashboard!B$8* Dashboard!$F$4+Dashboard!B$10*SQRT(Dashboard!$F$4) * _xlfn.NORM.S.INV(RAND())</f>
        <v>-2.6508835994638567E-2</v>
      </c>
      <c r="T7863" s="59">
        <f ca="1">Dashboard!C$8* Dashboard!$F$4+Dashboard!C$10*SQRT(Dashboard!$F$4) * _xlfn.NORM.S.INV(RAND())</f>
        <v>1.1200488922650806E-3</v>
      </c>
      <c r="U7863" s="59">
        <f ca="1">Dashboard!D$8* Dashboard!$F$4+Dashboard!D$10*SQRT(Dashboard!$F$4) * _xlfn.NORM.S.INV(RAND())</f>
        <v>-2.8980487766827705E-3</v>
      </c>
    </row>
    <row r="7864" spans="18:21" x14ac:dyDescent="0.2">
      <c r="R7864" s="49">
        <v>7862</v>
      </c>
      <c r="S7864" s="59">
        <f ca="1">Dashboard!B$8* Dashboard!$F$4+Dashboard!B$10*SQRT(Dashboard!$F$4) * _xlfn.NORM.S.INV(RAND())</f>
        <v>-1.8246644726439198E-3</v>
      </c>
      <c r="T7864" s="59">
        <f ca="1">Dashboard!C$8* Dashboard!$F$4+Dashboard!C$10*SQRT(Dashboard!$F$4) * _xlfn.NORM.S.INV(RAND())</f>
        <v>-4.5114953762095511E-2</v>
      </c>
      <c r="U7864" s="59">
        <f ca="1">Dashboard!D$8* Dashboard!$F$4+Dashboard!D$10*SQRT(Dashboard!$F$4) * _xlfn.NORM.S.INV(RAND())</f>
        <v>-3.6723918720726702E-2</v>
      </c>
    </row>
    <row r="7865" spans="18:21" x14ac:dyDescent="0.2">
      <c r="R7865" s="49">
        <v>7863</v>
      </c>
      <c r="S7865" s="59">
        <f ca="1">Dashboard!B$8* Dashboard!$F$4+Dashboard!B$10*SQRT(Dashboard!$F$4) * _xlfn.NORM.S.INV(RAND())</f>
        <v>-1.0907933037334717E-2</v>
      </c>
      <c r="T7865" s="59">
        <f ca="1">Dashboard!C$8* Dashboard!$F$4+Dashboard!C$10*SQRT(Dashboard!$F$4) * _xlfn.NORM.S.INV(RAND())</f>
        <v>6.6210759448237774E-2</v>
      </c>
      <c r="U7865" s="59">
        <f ca="1">Dashboard!D$8* Dashboard!$F$4+Dashboard!D$10*SQRT(Dashboard!$F$4) * _xlfn.NORM.S.INV(RAND())</f>
        <v>2.3368779724659571E-2</v>
      </c>
    </row>
    <row r="7866" spans="18:21" x14ac:dyDescent="0.2">
      <c r="R7866" s="49">
        <v>7864</v>
      </c>
      <c r="S7866" s="59">
        <f ca="1">Dashboard!B$8* Dashboard!$F$4+Dashboard!B$10*SQRT(Dashboard!$F$4) * _xlfn.NORM.S.INV(RAND())</f>
        <v>2.1339206535383654E-2</v>
      </c>
      <c r="T7866" s="59">
        <f ca="1">Dashboard!C$8* Dashboard!$F$4+Dashboard!C$10*SQRT(Dashboard!$F$4) * _xlfn.NORM.S.INV(RAND())</f>
        <v>-7.792167279076106E-3</v>
      </c>
      <c r="U7866" s="59">
        <f ca="1">Dashboard!D$8* Dashboard!$F$4+Dashboard!D$10*SQRT(Dashboard!$F$4) * _xlfn.NORM.S.INV(RAND())</f>
        <v>3.6545580058243578E-2</v>
      </c>
    </row>
    <row r="7867" spans="18:21" x14ac:dyDescent="0.2">
      <c r="R7867" s="49">
        <v>7865</v>
      </c>
      <c r="S7867" s="59">
        <f ca="1">Dashboard!B$8* Dashboard!$F$4+Dashboard!B$10*SQRT(Dashboard!$F$4) * _xlfn.NORM.S.INV(RAND())</f>
        <v>-4.8365855611465641E-2</v>
      </c>
      <c r="T7867" s="59">
        <f ca="1">Dashboard!C$8* Dashboard!$F$4+Dashboard!C$10*SQRT(Dashboard!$F$4) * _xlfn.NORM.S.INV(RAND())</f>
        <v>-2.0125664244373329E-2</v>
      </c>
      <c r="U7867" s="59">
        <f ca="1">Dashboard!D$8* Dashboard!$F$4+Dashboard!D$10*SQRT(Dashboard!$F$4) * _xlfn.NORM.S.INV(RAND())</f>
        <v>-5.3446306143114262E-2</v>
      </c>
    </row>
    <row r="7868" spans="18:21" x14ac:dyDescent="0.2">
      <c r="R7868" s="49">
        <v>7866</v>
      </c>
      <c r="S7868" s="59">
        <f ca="1">Dashboard!B$8* Dashboard!$F$4+Dashboard!B$10*SQRT(Dashboard!$F$4) * _xlfn.NORM.S.INV(RAND())</f>
        <v>-1.4676987950113952E-2</v>
      </c>
      <c r="T7868" s="59">
        <f ca="1">Dashboard!C$8* Dashboard!$F$4+Dashboard!C$10*SQRT(Dashboard!$F$4) * _xlfn.NORM.S.INV(RAND())</f>
        <v>-3.4060406830234598E-2</v>
      </c>
      <c r="U7868" s="59">
        <f ca="1">Dashboard!D$8* Dashboard!$F$4+Dashboard!D$10*SQRT(Dashboard!$F$4) * _xlfn.NORM.S.INV(RAND())</f>
        <v>5.4593447105286699E-2</v>
      </c>
    </row>
    <row r="7869" spans="18:21" x14ac:dyDescent="0.2">
      <c r="R7869" s="49">
        <v>7867</v>
      </c>
      <c r="S7869" s="59">
        <f ca="1">Dashboard!B$8* Dashboard!$F$4+Dashboard!B$10*SQRT(Dashboard!$F$4) * _xlfn.NORM.S.INV(RAND())</f>
        <v>7.9384157906496507E-3</v>
      </c>
      <c r="T7869" s="59">
        <f ca="1">Dashboard!C$8* Dashboard!$F$4+Dashboard!C$10*SQRT(Dashboard!$F$4) * _xlfn.NORM.S.INV(RAND())</f>
        <v>3.8571672015647991E-2</v>
      </c>
      <c r="U7869" s="59">
        <f ca="1">Dashboard!D$8* Dashboard!$F$4+Dashboard!D$10*SQRT(Dashboard!$F$4) * _xlfn.NORM.S.INV(RAND())</f>
        <v>-2.5534160478320304E-2</v>
      </c>
    </row>
    <row r="7870" spans="18:21" x14ac:dyDescent="0.2">
      <c r="R7870" s="49">
        <v>7868</v>
      </c>
      <c r="S7870" s="59">
        <f ca="1">Dashboard!B$8* Dashboard!$F$4+Dashboard!B$10*SQRT(Dashboard!$F$4) * _xlfn.NORM.S.INV(RAND())</f>
        <v>1.9356416083727478E-2</v>
      </c>
      <c r="T7870" s="59">
        <f ca="1">Dashboard!C$8* Dashboard!$F$4+Dashboard!C$10*SQRT(Dashboard!$F$4) * _xlfn.NORM.S.INV(RAND())</f>
        <v>-4.1271553709783901E-2</v>
      </c>
      <c r="U7870" s="59">
        <f ca="1">Dashboard!D$8* Dashboard!$F$4+Dashboard!D$10*SQRT(Dashboard!$F$4) * _xlfn.NORM.S.INV(RAND())</f>
        <v>1.9226978332414914E-2</v>
      </c>
    </row>
    <row r="7871" spans="18:21" x14ac:dyDescent="0.2">
      <c r="R7871" s="49">
        <v>7869</v>
      </c>
      <c r="S7871" s="59">
        <f ca="1">Dashboard!B$8* Dashboard!$F$4+Dashboard!B$10*SQRT(Dashboard!$F$4) * _xlfn.NORM.S.INV(RAND())</f>
        <v>-4.8941422429448538E-2</v>
      </c>
      <c r="T7871" s="59">
        <f ca="1">Dashboard!C$8* Dashboard!$F$4+Dashboard!C$10*SQRT(Dashboard!$F$4) * _xlfn.NORM.S.INV(RAND())</f>
        <v>6.6865760222021078E-4</v>
      </c>
      <c r="U7871" s="59">
        <f ca="1">Dashboard!D$8* Dashboard!$F$4+Dashboard!D$10*SQRT(Dashboard!$F$4) * _xlfn.NORM.S.INV(RAND())</f>
        <v>3.34293995473419E-2</v>
      </c>
    </row>
    <row r="7872" spans="18:21" x14ac:dyDescent="0.2">
      <c r="R7872" s="49">
        <v>7870</v>
      </c>
      <c r="S7872" s="59">
        <f ca="1">Dashboard!B$8* Dashboard!$F$4+Dashboard!B$10*SQRT(Dashboard!$F$4) * _xlfn.NORM.S.INV(RAND())</f>
        <v>-1.8429155872194219E-2</v>
      </c>
      <c r="T7872" s="59">
        <f ca="1">Dashboard!C$8* Dashboard!$F$4+Dashboard!C$10*SQRT(Dashboard!$F$4) * _xlfn.NORM.S.INV(RAND())</f>
        <v>-3.2372777346127542E-2</v>
      </c>
      <c r="U7872" s="59">
        <f ca="1">Dashboard!D$8* Dashboard!$F$4+Dashboard!D$10*SQRT(Dashboard!$F$4) * _xlfn.NORM.S.INV(RAND())</f>
        <v>-2.2987516316804964E-2</v>
      </c>
    </row>
    <row r="7873" spans="18:21" x14ac:dyDescent="0.2">
      <c r="R7873" s="49">
        <v>7871</v>
      </c>
      <c r="S7873" s="59">
        <f ca="1">Dashboard!B$8* Dashboard!$F$4+Dashboard!B$10*SQRT(Dashboard!$F$4) * _xlfn.NORM.S.INV(RAND())</f>
        <v>-2.5973662565952217E-2</v>
      </c>
      <c r="T7873" s="59">
        <f ca="1">Dashboard!C$8* Dashboard!$F$4+Dashboard!C$10*SQRT(Dashboard!$F$4) * _xlfn.NORM.S.INV(RAND())</f>
        <v>2.5314725469883396E-2</v>
      </c>
      <c r="U7873" s="59">
        <f ca="1">Dashboard!D$8* Dashboard!$F$4+Dashboard!D$10*SQRT(Dashboard!$F$4) * _xlfn.NORM.S.INV(RAND())</f>
        <v>2.1835328011912163E-2</v>
      </c>
    </row>
    <row r="7874" spans="18:21" x14ac:dyDescent="0.2">
      <c r="R7874" s="49">
        <v>7872</v>
      </c>
      <c r="S7874" s="59">
        <f ca="1">Dashboard!B$8* Dashboard!$F$4+Dashboard!B$10*SQRT(Dashboard!$F$4) * _xlfn.NORM.S.INV(RAND())</f>
        <v>-8.1972048303244685E-5</v>
      </c>
      <c r="T7874" s="59">
        <f ca="1">Dashboard!C$8* Dashboard!$F$4+Dashboard!C$10*SQRT(Dashboard!$F$4) * _xlfn.NORM.S.INV(RAND())</f>
        <v>4.3681337159823313E-3</v>
      </c>
      <c r="U7874" s="59">
        <f ca="1">Dashboard!D$8* Dashboard!$F$4+Dashboard!D$10*SQRT(Dashboard!$F$4) * _xlfn.NORM.S.INV(RAND())</f>
        <v>-4.6587331131177259E-2</v>
      </c>
    </row>
    <row r="7875" spans="18:21" x14ac:dyDescent="0.2">
      <c r="R7875" s="49">
        <v>7873</v>
      </c>
      <c r="S7875" s="59">
        <f ca="1">Dashboard!B$8* Dashboard!$F$4+Dashboard!B$10*SQRT(Dashboard!$F$4) * _xlfn.NORM.S.INV(RAND())</f>
        <v>-1.2151159867375317E-2</v>
      </c>
      <c r="T7875" s="59">
        <f ca="1">Dashboard!C$8* Dashboard!$F$4+Dashboard!C$10*SQRT(Dashboard!$F$4) * _xlfn.NORM.S.INV(RAND())</f>
        <v>2.3515611153674804E-2</v>
      </c>
      <c r="U7875" s="59">
        <f ca="1">Dashboard!D$8* Dashboard!$F$4+Dashboard!D$10*SQRT(Dashboard!$F$4) * _xlfn.NORM.S.INV(RAND())</f>
        <v>5.222490726816223E-2</v>
      </c>
    </row>
    <row r="7876" spans="18:21" x14ac:dyDescent="0.2">
      <c r="R7876" s="49">
        <v>7874</v>
      </c>
      <c r="S7876" s="59">
        <f ca="1">Dashboard!B$8* Dashboard!$F$4+Dashboard!B$10*SQRT(Dashboard!$F$4) * _xlfn.NORM.S.INV(RAND())</f>
        <v>-1.3027908565401581E-2</v>
      </c>
      <c r="T7876" s="59">
        <f ca="1">Dashboard!C$8* Dashboard!$F$4+Dashboard!C$10*SQRT(Dashboard!$F$4) * _xlfn.NORM.S.INV(RAND())</f>
        <v>-3.9141361855709496E-2</v>
      </c>
      <c r="U7876" s="59">
        <f ca="1">Dashboard!D$8* Dashboard!$F$4+Dashboard!D$10*SQRT(Dashboard!$F$4) * _xlfn.NORM.S.INV(RAND())</f>
        <v>3.6449040958493996E-3</v>
      </c>
    </row>
    <row r="7877" spans="18:21" x14ac:dyDescent="0.2">
      <c r="R7877" s="49">
        <v>7875</v>
      </c>
      <c r="S7877" s="59">
        <f ca="1">Dashboard!B$8* Dashboard!$F$4+Dashboard!B$10*SQRT(Dashboard!$F$4) * _xlfn.NORM.S.INV(RAND())</f>
        <v>4.6959424471892039E-3</v>
      </c>
      <c r="T7877" s="59">
        <f ca="1">Dashboard!C$8* Dashboard!$F$4+Dashboard!C$10*SQRT(Dashboard!$F$4) * _xlfn.NORM.S.INV(RAND())</f>
        <v>-6.727362374041034E-3</v>
      </c>
      <c r="U7877" s="59">
        <f ca="1">Dashboard!D$8* Dashboard!$F$4+Dashboard!D$10*SQRT(Dashboard!$F$4) * _xlfn.NORM.S.INV(RAND())</f>
        <v>2.3441072389550521E-2</v>
      </c>
    </row>
    <row r="7878" spans="18:21" x14ac:dyDescent="0.2">
      <c r="R7878" s="49">
        <v>7876</v>
      </c>
      <c r="S7878" s="59">
        <f ca="1">Dashboard!B$8* Dashboard!$F$4+Dashboard!B$10*SQRT(Dashboard!$F$4) * _xlfn.NORM.S.INV(RAND())</f>
        <v>-4.0475330577032155E-2</v>
      </c>
      <c r="T7878" s="59">
        <f ca="1">Dashboard!C$8* Dashboard!$F$4+Dashboard!C$10*SQRT(Dashboard!$F$4) * _xlfn.NORM.S.INV(RAND())</f>
        <v>4.9163620274540543E-3</v>
      </c>
      <c r="U7878" s="59">
        <f ca="1">Dashboard!D$8* Dashboard!$F$4+Dashboard!D$10*SQRT(Dashboard!$F$4) * _xlfn.NORM.S.INV(RAND())</f>
        <v>-4.713347425896347E-2</v>
      </c>
    </row>
    <row r="7879" spans="18:21" x14ac:dyDescent="0.2">
      <c r="R7879" s="49">
        <v>7877</v>
      </c>
      <c r="S7879" s="59">
        <f ca="1">Dashboard!B$8* Dashboard!$F$4+Dashboard!B$10*SQRT(Dashboard!$F$4) * _xlfn.NORM.S.INV(RAND())</f>
        <v>1.4731586107471837E-2</v>
      </c>
      <c r="T7879" s="59">
        <f ca="1">Dashboard!C$8* Dashboard!$F$4+Dashboard!C$10*SQRT(Dashboard!$F$4) * _xlfn.NORM.S.INV(RAND())</f>
        <v>-2.3247526948379782E-2</v>
      </c>
      <c r="U7879" s="59">
        <f ca="1">Dashboard!D$8* Dashboard!$F$4+Dashboard!D$10*SQRT(Dashboard!$F$4) * _xlfn.NORM.S.INV(RAND())</f>
        <v>1.9796493599353066E-2</v>
      </c>
    </row>
    <row r="7880" spans="18:21" x14ac:dyDescent="0.2">
      <c r="R7880" s="49">
        <v>7878</v>
      </c>
      <c r="S7880" s="59">
        <f ca="1">Dashboard!B$8* Dashboard!$F$4+Dashboard!B$10*SQRT(Dashboard!$F$4) * _xlfn.NORM.S.INV(RAND())</f>
        <v>-5.2668798216467937E-2</v>
      </c>
      <c r="T7880" s="59">
        <f ca="1">Dashboard!C$8* Dashboard!$F$4+Dashboard!C$10*SQRT(Dashboard!$F$4) * _xlfn.NORM.S.INV(RAND())</f>
        <v>2.1147580786023541E-2</v>
      </c>
      <c r="U7880" s="59">
        <f ca="1">Dashboard!D$8* Dashboard!$F$4+Dashboard!D$10*SQRT(Dashboard!$F$4) * _xlfn.NORM.S.INV(RAND())</f>
        <v>3.8179439970571416E-3</v>
      </c>
    </row>
    <row r="7881" spans="18:21" x14ac:dyDescent="0.2">
      <c r="R7881" s="49">
        <v>7879</v>
      </c>
      <c r="S7881" s="59">
        <f ca="1">Dashboard!B$8* Dashboard!$F$4+Dashboard!B$10*SQRT(Dashboard!$F$4) * _xlfn.NORM.S.INV(RAND())</f>
        <v>-2.6743535133984121E-2</v>
      </c>
      <c r="T7881" s="59">
        <f ca="1">Dashboard!C$8* Dashboard!$F$4+Dashboard!C$10*SQRT(Dashboard!$F$4) * _xlfn.NORM.S.INV(RAND())</f>
        <v>-3.7724341962459594E-3</v>
      </c>
      <c r="U7881" s="59">
        <f ca="1">Dashboard!D$8* Dashboard!$F$4+Dashboard!D$10*SQRT(Dashboard!$F$4) * _xlfn.NORM.S.INV(RAND())</f>
        <v>-1.6568689133334286E-2</v>
      </c>
    </row>
    <row r="7882" spans="18:21" x14ac:dyDescent="0.2">
      <c r="R7882" s="49">
        <v>7880</v>
      </c>
      <c r="S7882" s="59">
        <f ca="1">Dashboard!B$8* Dashboard!$F$4+Dashboard!B$10*SQRT(Dashboard!$F$4) * _xlfn.NORM.S.INV(RAND())</f>
        <v>-1.674453625284953E-2</v>
      </c>
      <c r="T7882" s="59">
        <f ca="1">Dashboard!C$8* Dashboard!$F$4+Dashboard!C$10*SQRT(Dashboard!$F$4) * _xlfn.NORM.S.INV(RAND())</f>
        <v>3.1152319133366205E-2</v>
      </c>
      <c r="U7882" s="59">
        <f ca="1">Dashboard!D$8* Dashboard!$F$4+Dashboard!D$10*SQRT(Dashboard!$F$4) * _xlfn.NORM.S.INV(RAND())</f>
        <v>-3.3843742924783329E-2</v>
      </c>
    </row>
    <row r="7883" spans="18:21" x14ac:dyDescent="0.2">
      <c r="R7883" s="49">
        <v>7881</v>
      </c>
      <c r="S7883" s="59">
        <f ca="1">Dashboard!B$8* Dashboard!$F$4+Dashboard!B$10*SQRT(Dashboard!$F$4) * _xlfn.NORM.S.INV(RAND())</f>
        <v>9.8889135633654923E-4</v>
      </c>
      <c r="T7883" s="59">
        <f ca="1">Dashboard!C$8* Dashboard!$F$4+Dashboard!C$10*SQRT(Dashboard!$F$4) * _xlfn.NORM.S.INV(RAND())</f>
        <v>7.3328978780924522E-2</v>
      </c>
      <c r="U7883" s="59">
        <f ca="1">Dashboard!D$8* Dashboard!$F$4+Dashboard!D$10*SQRT(Dashboard!$F$4) * _xlfn.NORM.S.INV(RAND())</f>
        <v>-2.3558540899173693E-2</v>
      </c>
    </row>
    <row r="7884" spans="18:21" x14ac:dyDescent="0.2">
      <c r="R7884" s="49">
        <v>7882</v>
      </c>
      <c r="S7884" s="59">
        <f ca="1">Dashboard!B$8* Dashboard!$F$4+Dashboard!B$10*SQRT(Dashboard!$F$4) * _xlfn.NORM.S.INV(RAND())</f>
        <v>-1.287807524616452E-3</v>
      </c>
      <c r="T7884" s="59">
        <f ca="1">Dashboard!C$8* Dashboard!$F$4+Dashboard!C$10*SQRT(Dashboard!$F$4) * _xlfn.NORM.S.INV(RAND())</f>
        <v>-2.4987640426154787E-2</v>
      </c>
      <c r="U7884" s="59">
        <f ca="1">Dashboard!D$8* Dashboard!$F$4+Dashboard!D$10*SQRT(Dashboard!$F$4) * _xlfn.NORM.S.INV(RAND())</f>
        <v>-2.282085129123982E-2</v>
      </c>
    </row>
    <row r="7885" spans="18:21" x14ac:dyDescent="0.2">
      <c r="R7885" s="49">
        <v>7883</v>
      </c>
      <c r="S7885" s="59">
        <f ca="1">Dashboard!B$8* Dashboard!$F$4+Dashboard!B$10*SQRT(Dashboard!$F$4) * _xlfn.NORM.S.INV(RAND())</f>
        <v>-1.669804039396392E-3</v>
      </c>
      <c r="T7885" s="59">
        <f ca="1">Dashboard!C$8* Dashboard!$F$4+Dashboard!C$10*SQRT(Dashboard!$F$4) * _xlfn.NORM.S.INV(RAND())</f>
        <v>-4.9755381778463614E-2</v>
      </c>
      <c r="U7885" s="59">
        <f ca="1">Dashboard!D$8* Dashboard!$F$4+Dashboard!D$10*SQRT(Dashboard!$F$4) * _xlfn.NORM.S.INV(RAND())</f>
        <v>3.4043281569870139E-2</v>
      </c>
    </row>
    <row r="7886" spans="18:21" x14ac:dyDescent="0.2">
      <c r="R7886" s="49">
        <v>7884</v>
      </c>
      <c r="S7886" s="59">
        <f ca="1">Dashboard!B$8* Dashboard!$F$4+Dashboard!B$10*SQRT(Dashboard!$F$4) * _xlfn.NORM.S.INV(RAND())</f>
        <v>3.3395105290376986E-3</v>
      </c>
      <c r="T7886" s="59">
        <f ca="1">Dashboard!C$8* Dashboard!$F$4+Dashboard!C$10*SQRT(Dashboard!$F$4) * _xlfn.NORM.S.INV(RAND())</f>
        <v>-4.8662661063616344E-2</v>
      </c>
      <c r="U7886" s="59">
        <f ca="1">Dashboard!D$8* Dashboard!$F$4+Dashboard!D$10*SQRT(Dashboard!$F$4) * _xlfn.NORM.S.INV(RAND())</f>
        <v>-1.0351338718405741E-2</v>
      </c>
    </row>
    <row r="7887" spans="18:21" x14ac:dyDescent="0.2">
      <c r="R7887" s="49">
        <v>7885</v>
      </c>
      <c r="S7887" s="59">
        <f ca="1">Dashboard!B$8* Dashboard!$F$4+Dashboard!B$10*SQRT(Dashboard!$F$4) * _xlfn.NORM.S.INV(RAND())</f>
        <v>-1.1156834293354361E-2</v>
      </c>
      <c r="T7887" s="59">
        <f ca="1">Dashboard!C$8* Dashboard!$F$4+Dashboard!C$10*SQRT(Dashboard!$F$4) * _xlfn.NORM.S.INV(RAND())</f>
        <v>-1.6795401837360419E-2</v>
      </c>
      <c r="U7887" s="59">
        <f ca="1">Dashboard!D$8* Dashboard!$F$4+Dashboard!D$10*SQRT(Dashboard!$F$4) * _xlfn.NORM.S.INV(RAND())</f>
        <v>2.3422363744575455E-2</v>
      </c>
    </row>
    <row r="7888" spans="18:21" x14ac:dyDescent="0.2">
      <c r="R7888" s="49">
        <v>7886</v>
      </c>
      <c r="S7888" s="59">
        <f ca="1">Dashboard!B$8* Dashboard!$F$4+Dashboard!B$10*SQRT(Dashboard!$F$4) * _xlfn.NORM.S.INV(RAND())</f>
        <v>1.6706788730143557E-2</v>
      </c>
      <c r="T7888" s="59">
        <f ca="1">Dashboard!C$8* Dashboard!$F$4+Dashboard!C$10*SQRT(Dashboard!$F$4) * _xlfn.NORM.S.INV(RAND())</f>
        <v>5.3098549122279175E-2</v>
      </c>
      <c r="U7888" s="59">
        <f ca="1">Dashboard!D$8* Dashboard!$F$4+Dashboard!D$10*SQRT(Dashboard!$F$4) * _xlfn.NORM.S.INV(RAND())</f>
        <v>1.6048320006812986E-2</v>
      </c>
    </row>
    <row r="7889" spans="18:21" x14ac:dyDescent="0.2">
      <c r="R7889" s="49">
        <v>7887</v>
      </c>
      <c r="S7889" s="59">
        <f ca="1">Dashboard!B$8* Dashboard!$F$4+Dashboard!B$10*SQRT(Dashboard!$F$4) * _xlfn.NORM.S.INV(RAND())</f>
        <v>-4.2495697576991141E-2</v>
      </c>
      <c r="T7889" s="59">
        <f ca="1">Dashboard!C$8* Dashboard!$F$4+Dashboard!C$10*SQRT(Dashboard!$F$4) * _xlfn.NORM.S.INV(RAND())</f>
        <v>2.3587901313344952E-2</v>
      </c>
      <c r="U7889" s="59">
        <f ca="1">Dashboard!D$8* Dashboard!$F$4+Dashboard!D$10*SQRT(Dashboard!$F$4) * _xlfn.NORM.S.INV(RAND())</f>
        <v>-1.1870145272100566E-2</v>
      </c>
    </row>
    <row r="7890" spans="18:21" x14ac:dyDescent="0.2">
      <c r="R7890" s="49">
        <v>7888</v>
      </c>
      <c r="S7890" s="59">
        <f ca="1">Dashboard!B$8* Dashboard!$F$4+Dashboard!B$10*SQRT(Dashboard!$F$4) * _xlfn.NORM.S.INV(RAND())</f>
        <v>-2.0429132757338923E-2</v>
      </c>
      <c r="T7890" s="59">
        <f ca="1">Dashboard!C$8* Dashboard!$F$4+Dashboard!C$10*SQRT(Dashboard!$F$4) * _xlfn.NORM.S.INV(RAND())</f>
        <v>3.7881518168712512E-2</v>
      </c>
      <c r="U7890" s="59">
        <f ca="1">Dashboard!D$8* Dashboard!$F$4+Dashboard!D$10*SQRT(Dashboard!$F$4) * _xlfn.NORM.S.INV(RAND())</f>
        <v>-1.6442475121565648E-2</v>
      </c>
    </row>
    <row r="7891" spans="18:21" x14ac:dyDescent="0.2">
      <c r="R7891" s="49">
        <v>7889</v>
      </c>
      <c r="S7891" s="59">
        <f ca="1">Dashboard!B$8* Dashboard!$F$4+Dashboard!B$10*SQRT(Dashboard!$F$4) * _xlfn.NORM.S.INV(RAND())</f>
        <v>-2.2219208578963881E-2</v>
      </c>
      <c r="T7891" s="59">
        <f ca="1">Dashboard!C$8* Dashboard!$F$4+Dashboard!C$10*SQRT(Dashboard!$F$4) * _xlfn.NORM.S.INV(RAND())</f>
        <v>-9.6354485618197379E-3</v>
      </c>
      <c r="U7891" s="59">
        <f ca="1">Dashboard!D$8* Dashboard!$F$4+Dashboard!D$10*SQRT(Dashboard!$F$4) * _xlfn.NORM.S.INV(RAND())</f>
        <v>-1.2601103664202867E-2</v>
      </c>
    </row>
    <row r="7892" spans="18:21" x14ac:dyDescent="0.2">
      <c r="R7892" s="49">
        <v>7890</v>
      </c>
      <c r="S7892" s="59">
        <f ca="1">Dashboard!B$8* Dashboard!$F$4+Dashboard!B$10*SQRT(Dashboard!$F$4) * _xlfn.NORM.S.INV(RAND())</f>
        <v>-6.7601273948096428E-3</v>
      </c>
      <c r="T7892" s="59">
        <f ca="1">Dashboard!C$8* Dashboard!$F$4+Dashboard!C$10*SQRT(Dashboard!$F$4) * _xlfn.NORM.S.INV(RAND())</f>
        <v>-2.9104584301519309E-2</v>
      </c>
      <c r="U7892" s="59">
        <f ca="1">Dashboard!D$8* Dashboard!$F$4+Dashboard!D$10*SQRT(Dashboard!$F$4) * _xlfn.NORM.S.INV(RAND())</f>
        <v>-2.7166453705550264E-2</v>
      </c>
    </row>
    <row r="7893" spans="18:21" x14ac:dyDescent="0.2">
      <c r="R7893" s="49">
        <v>7891</v>
      </c>
      <c r="S7893" s="59">
        <f ca="1">Dashboard!B$8* Dashboard!$F$4+Dashboard!B$10*SQRT(Dashboard!$F$4) * _xlfn.NORM.S.INV(RAND())</f>
        <v>-5.2928250352992749E-2</v>
      </c>
      <c r="T7893" s="59">
        <f ca="1">Dashboard!C$8* Dashboard!$F$4+Dashboard!C$10*SQRT(Dashboard!$F$4) * _xlfn.NORM.S.INV(RAND())</f>
        <v>-9.3838897203619744E-3</v>
      </c>
      <c r="U7893" s="59">
        <f ca="1">Dashboard!D$8* Dashboard!$F$4+Dashboard!D$10*SQRT(Dashboard!$F$4) * _xlfn.NORM.S.INV(RAND())</f>
        <v>2.2253808033606891E-2</v>
      </c>
    </row>
    <row r="7894" spans="18:21" x14ac:dyDescent="0.2">
      <c r="R7894" s="49">
        <v>7892</v>
      </c>
      <c r="S7894" s="59">
        <f ca="1">Dashboard!B$8* Dashboard!$F$4+Dashboard!B$10*SQRT(Dashboard!$F$4) * _xlfn.NORM.S.INV(RAND())</f>
        <v>1.4408956591650634E-2</v>
      </c>
      <c r="T7894" s="59">
        <f ca="1">Dashboard!C$8* Dashboard!$F$4+Dashboard!C$10*SQRT(Dashboard!$F$4) * _xlfn.NORM.S.INV(RAND())</f>
        <v>4.1585608068834601E-2</v>
      </c>
      <c r="U7894" s="59">
        <f ca="1">Dashboard!D$8* Dashboard!$F$4+Dashboard!D$10*SQRT(Dashboard!$F$4) * _xlfn.NORM.S.INV(RAND())</f>
        <v>8.9876031101504533E-3</v>
      </c>
    </row>
    <row r="7895" spans="18:21" x14ac:dyDescent="0.2">
      <c r="R7895" s="49">
        <v>7893</v>
      </c>
      <c r="S7895" s="59">
        <f ca="1">Dashboard!B$8* Dashboard!$F$4+Dashboard!B$10*SQRT(Dashboard!$F$4) * _xlfn.NORM.S.INV(RAND())</f>
        <v>-3.1876064642397089E-2</v>
      </c>
      <c r="T7895" s="59">
        <f ca="1">Dashboard!C$8* Dashboard!$F$4+Dashboard!C$10*SQRT(Dashboard!$F$4) * _xlfn.NORM.S.INV(RAND())</f>
        <v>-5.2824205197464481E-2</v>
      </c>
      <c r="U7895" s="59">
        <f ca="1">Dashboard!D$8* Dashboard!$F$4+Dashboard!D$10*SQRT(Dashboard!$F$4) * _xlfn.NORM.S.INV(RAND())</f>
        <v>2.7374658259721431E-2</v>
      </c>
    </row>
    <row r="7896" spans="18:21" x14ac:dyDescent="0.2">
      <c r="R7896" s="49">
        <v>7894</v>
      </c>
      <c r="S7896" s="59">
        <f ca="1">Dashboard!B$8* Dashboard!$F$4+Dashboard!B$10*SQRT(Dashboard!$F$4) * _xlfn.NORM.S.INV(RAND())</f>
        <v>1.2708897852100684E-2</v>
      </c>
      <c r="T7896" s="59">
        <f ca="1">Dashboard!C$8* Dashboard!$F$4+Dashboard!C$10*SQRT(Dashboard!$F$4) * _xlfn.NORM.S.INV(RAND())</f>
        <v>3.3328770707417472E-2</v>
      </c>
      <c r="U7896" s="59">
        <f ca="1">Dashboard!D$8* Dashboard!$F$4+Dashboard!D$10*SQRT(Dashboard!$F$4) * _xlfn.NORM.S.INV(RAND())</f>
        <v>-9.4096204720385762E-4</v>
      </c>
    </row>
    <row r="7897" spans="18:21" x14ac:dyDescent="0.2">
      <c r="R7897" s="49">
        <v>7895</v>
      </c>
      <c r="S7897" s="59">
        <f ca="1">Dashboard!B$8* Dashboard!$F$4+Dashboard!B$10*SQRT(Dashboard!$F$4) * _xlfn.NORM.S.INV(RAND())</f>
        <v>-1.919956060658563E-2</v>
      </c>
      <c r="T7897" s="59">
        <f ca="1">Dashboard!C$8* Dashboard!$F$4+Dashboard!C$10*SQRT(Dashboard!$F$4) * _xlfn.NORM.S.INV(RAND())</f>
        <v>1.3321868311313264E-2</v>
      </c>
      <c r="U7897" s="59">
        <f ca="1">Dashboard!D$8* Dashboard!$F$4+Dashboard!D$10*SQRT(Dashboard!$F$4) * _xlfn.NORM.S.INV(RAND())</f>
        <v>-2.0388649088260703E-2</v>
      </c>
    </row>
    <row r="7898" spans="18:21" x14ac:dyDescent="0.2">
      <c r="R7898" s="49">
        <v>7896</v>
      </c>
      <c r="S7898" s="59">
        <f ca="1">Dashboard!B$8* Dashboard!$F$4+Dashboard!B$10*SQRT(Dashboard!$F$4) * _xlfn.NORM.S.INV(RAND())</f>
        <v>-1.8457754726840747E-2</v>
      </c>
      <c r="T7898" s="59">
        <f ca="1">Dashboard!C$8* Dashboard!$F$4+Dashboard!C$10*SQRT(Dashboard!$F$4) * _xlfn.NORM.S.INV(RAND())</f>
        <v>-1.4176137025994941E-3</v>
      </c>
      <c r="U7898" s="59">
        <f ca="1">Dashboard!D$8* Dashboard!$F$4+Dashboard!D$10*SQRT(Dashboard!$F$4) * _xlfn.NORM.S.INV(RAND())</f>
        <v>-5.2819800492874887E-2</v>
      </c>
    </row>
    <row r="7899" spans="18:21" x14ac:dyDescent="0.2">
      <c r="R7899" s="49">
        <v>7897</v>
      </c>
      <c r="S7899" s="59">
        <f ca="1">Dashboard!B$8* Dashboard!$F$4+Dashboard!B$10*SQRT(Dashboard!$F$4) * _xlfn.NORM.S.INV(RAND())</f>
        <v>2.6022911775564331E-2</v>
      </c>
      <c r="T7899" s="59">
        <f ca="1">Dashboard!C$8* Dashboard!$F$4+Dashboard!C$10*SQRT(Dashboard!$F$4) * _xlfn.NORM.S.INV(RAND())</f>
        <v>8.4920134891373927E-2</v>
      </c>
      <c r="U7899" s="59">
        <f ca="1">Dashboard!D$8* Dashboard!$F$4+Dashboard!D$10*SQRT(Dashboard!$F$4) * _xlfn.NORM.S.INV(RAND())</f>
        <v>-2.1732005655878323E-2</v>
      </c>
    </row>
    <row r="7900" spans="18:21" x14ac:dyDescent="0.2">
      <c r="R7900" s="49">
        <v>7898</v>
      </c>
      <c r="S7900" s="59">
        <f ca="1">Dashboard!B$8* Dashboard!$F$4+Dashboard!B$10*SQRT(Dashboard!$F$4) * _xlfn.NORM.S.INV(RAND())</f>
        <v>1.9054628324213375E-2</v>
      </c>
      <c r="T7900" s="59">
        <f ca="1">Dashboard!C$8* Dashboard!$F$4+Dashboard!C$10*SQRT(Dashboard!$F$4) * _xlfn.NORM.S.INV(RAND())</f>
        <v>4.2507850753009564E-2</v>
      </c>
      <c r="U7900" s="59">
        <f ca="1">Dashboard!D$8* Dashboard!$F$4+Dashboard!D$10*SQRT(Dashboard!$F$4) * _xlfn.NORM.S.INV(RAND())</f>
        <v>-6.6849820804724805E-2</v>
      </c>
    </row>
    <row r="7901" spans="18:21" x14ac:dyDescent="0.2">
      <c r="R7901" s="49">
        <v>7899</v>
      </c>
      <c r="S7901" s="59">
        <f ca="1">Dashboard!B$8* Dashboard!$F$4+Dashboard!B$10*SQRT(Dashboard!$F$4) * _xlfn.NORM.S.INV(RAND())</f>
        <v>-6.0423644020303542E-2</v>
      </c>
      <c r="T7901" s="59">
        <f ca="1">Dashboard!C$8* Dashboard!$F$4+Dashboard!C$10*SQRT(Dashboard!$F$4) * _xlfn.NORM.S.INV(RAND())</f>
        <v>-6.3804875055558244E-3</v>
      </c>
      <c r="U7901" s="59">
        <f ca="1">Dashboard!D$8* Dashboard!$F$4+Dashboard!D$10*SQRT(Dashboard!$F$4) * _xlfn.NORM.S.INV(RAND())</f>
        <v>-3.0498589214942029E-2</v>
      </c>
    </row>
    <row r="7902" spans="18:21" x14ac:dyDescent="0.2">
      <c r="R7902" s="49">
        <v>7900</v>
      </c>
      <c r="S7902" s="59">
        <f ca="1">Dashboard!B$8* Dashboard!$F$4+Dashboard!B$10*SQRT(Dashboard!$F$4) * _xlfn.NORM.S.INV(RAND())</f>
        <v>-1.0651065318495814E-5</v>
      </c>
      <c r="T7902" s="59">
        <f ca="1">Dashboard!C$8* Dashboard!$F$4+Dashboard!C$10*SQRT(Dashboard!$F$4) * _xlfn.NORM.S.INV(RAND())</f>
        <v>2.6497081135195024E-2</v>
      </c>
      <c r="U7902" s="59">
        <f ca="1">Dashboard!D$8* Dashboard!$F$4+Dashboard!D$10*SQRT(Dashboard!$F$4) * _xlfn.NORM.S.INV(RAND())</f>
        <v>-6.5789976135016406E-3</v>
      </c>
    </row>
    <row r="7903" spans="18:21" x14ac:dyDescent="0.2">
      <c r="R7903" s="49">
        <v>7901</v>
      </c>
      <c r="S7903" s="59">
        <f ca="1">Dashboard!B$8* Dashboard!$F$4+Dashboard!B$10*SQRT(Dashboard!$F$4) * _xlfn.NORM.S.INV(RAND())</f>
        <v>-3.9484590263785778E-2</v>
      </c>
      <c r="T7903" s="59">
        <f ca="1">Dashboard!C$8* Dashboard!$F$4+Dashboard!C$10*SQRT(Dashboard!$F$4) * _xlfn.NORM.S.INV(RAND())</f>
        <v>2.025012094611691E-2</v>
      </c>
      <c r="U7903" s="59">
        <f ca="1">Dashboard!D$8* Dashboard!$F$4+Dashboard!D$10*SQRT(Dashboard!$F$4) * _xlfn.NORM.S.INV(RAND())</f>
        <v>2.7604364034551163E-2</v>
      </c>
    </row>
    <row r="7904" spans="18:21" x14ac:dyDescent="0.2">
      <c r="R7904" s="49">
        <v>7902</v>
      </c>
      <c r="S7904" s="59">
        <f ca="1">Dashboard!B$8* Dashboard!$F$4+Dashboard!B$10*SQRT(Dashboard!$F$4) * _xlfn.NORM.S.INV(RAND())</f>
        <v>-4.2028184728449172E-2</v>
      </c>
      <c r="T7904" s="59">
        <f ca="1">Dashboard!C$8* Dashboard!$F$4+Dashboard!C$10*SQRT(Dashboard!$F$4) * _xlfn.NORM.S.INV(RAND())</f>
        <v>-1.5856139440575769E-2</v>
      </c>
      <c r="U7904" s="59">
        <f ca="1">Dashboard!D$8* Dashboard!$F$4+Dashboard!D$10*SQRT(Dashboard!$F$4) * _xlfn.NORM.S.INV(RAND())</f>
        <v>3.1934383188159811E-2</v>
      </c>
    </row>
    <row r="7905" spans="18:21" x14ac:dyDescent="0.2">
      <c r="R7905" s="49">
        <v>7903</v>
      </c>
      <c r="S7905" s="59">
        <f ca="1">Dashboard!B$8* Dashboard!$F$4+Dashboard!B$10*SQRT(Dashboard!$F$4) * _xlfn.NORM.S.INV(RAND())</f>
        <v>-3.2949408152489555E-2</v>
      </c>
      <c r="T7905" s="59">
        <f ca="1">Dashboard!C$8* Dashboard!$F$4+Dashboard!C$10*SQRT(Dashboard!$F$4) * _xlfn.NORM.S.INV(RAND())</f>
        <v>-7.3531044774945353E-3</v>
      </c>
      <c r="U7905" s="59">
        <f ca="1">Dashboard!D$8* Dashboard!$F$4+Dashboard!D$10*SQRT(Dashboard!$F$4) * _xlfn.NORM.S.INV(RAND())</f>
        <v>-2.4544343574517749E-2</v>
      </c>
    </row>
    <row r="7906" spans="18:21" x14ac:dyDescent="0.2">
      <c r="R7906" s="49">
        <v>7904</v>
      </c>
      <c r="S7906" s="59">
        <f ca="1">Dashboard!B$8* Dashboard!$F$4+Dashboard!B$10*SQRT(Dashboard!$F$4) * _xlfn.NORM.S.INV(RAND())</f>
        <v>-3.9988670182379484E-2</v>
      </c>
      <c r="T7906" s="59">
        <f ca="1">Dashboard!C$8* Dashboard!$F$4+Dashboard!C$10*SQRT(Dashboard!$F$4) * _xlfn.NORM.S.INV(RAND())</f>
        <v>1.7643552492089098E-2</v>
      </c>
      <c r="U7906" s="59">
        <f ca="1">Dashboard!D$8* Dashboard!$F$4+Dashboard!D$10*SQRT(Dashboard!$F$4) * _xlfn.NORM.S.INV(RAND())</f>
        <v>9.9874854086985723E-3</v>
      </c>
    </row>
    <row r="7907" spans="18:21" x14ac:dyDescent="0.2">
      <c r="R7907" s="49">
        <v>7905</v>
      </c>
      <c r="S7907" s="59">
        <f ca="1">Dashboard!B$8* Dashboard!$F$4+Dashboard!B$10*SQRT(Dashboard!$F$4) * _xlfn.NORM.S.INV(RAND())</f>
        <v>1.3382039640698449E-2</v>
      </c>
      <c r="T7907" s="59">
        <f ca="1">Dashboard!C$8* Dashboard!$F$4+Dashboard!C$10*SQRT(Dashboard!$F$4) * _xlfn.NORM.S.INV(RAND())</f>
        <v>2.0931599752707763E-3</v>
      </c>
      <c r="U7907" s="59">
        <f ca="1">Dashboard!D$8* Dashboard!$F$4+Dashboard!D$10*SQRT(Dashboard!$F$4) * _xlfn.NORM.S.INV(RAND())</f>
        <v>5.1424056937765666E-2</v>
      </c>
    </row>
    <row r="7908" spans="18:21" x14ac:dyDescent="0.2">
      <c r="R7908" s="49">
        <v>7906</v>
      </c>
      <c r="S7908" s="59">
        <f ca="1">Dashboard!B$8* Dashboard!$F$4+Dashboard!B$10*SQRT(Dashboard!$F$4) * _xlfn.NORM.S.INV(RAND())</f>
        <v>-2.5450342081160754E-3</v>
      </c>
      <c r="T7908" s="59">
        <f ca="1">Dashboard!C$8* Dashboard!$F$4+Dashboard!C$10*SQRT(Dashboard!$F$4) * _xlfn.NORM.S.INV(RAND())</f>
        <v>4.5576964637676139E-2</v>
      </c>
      <c r="U7908" s="59">
        <f ca="1">Dashboard!D$8* Dashboard!$F$4+Dashboard!D$10*SQRT(Dashboard!$F$4) * _xlfn.NORM.S.INV(RAND())</f>
        <v>1.7717525802537406E-2</v>
      </c>
    </row>
    <row r="7909" spans="18:21" x14ac:dyDescent="0.2">
      <c r="R7909" s="49">
        <v>7907</v>
      </c>
      <c r="S7909" s="59">
        <f ca="1">Dashboard!B$8* Dashboard!$F$4+Dashboard!B$10*SQRT(Dashboard!$F$4) * _xlfn.NORM.S.INV(RAND())</f>
        <v>-2.384222961282971E-2</v>
      </c>
      <c r="T7909" s="59">
        <f ca="1">Dashboard!C$8* Dashboard!$F$4+Dashboard!C$10*SQRT(Dashboard!$F$4) * _xlfn.NORM.S.INV(RAND())</f>
        <v>2.3942825933322278E-2</v>
      </c>
      <c r="U7909" s="59">
        <f ca="1">Dashboard!D$8* Dashboard!$F$4+Dashboard!D$10*SQRT(Dashboard!$F$4) * _xlfn.NORM.S.INV(RAND())</f>
        <v>-2.996412242760662E-2</v>
      </c>
    </row>
    <row r="7910" spans="18:21" x14ac:dyDescent="0.2">
      <c r="R7910" s="49">
        <v>7908</v>
      </c>
      <c r="S7910" s="59">
        <f ca="1">Dashboard!B$8* Dashboard!$F$4+Dashboard!B$10*SQRT(Dashboard!$F$4) * _xlfn.NORM.S.INV(RAND())</f>
        <v>-7.9204372301351425E-2</v>
      </c>
      <c r="T7910" s="59">
        <f ca="1">Dashboard!C$8* Dashboard!$F$4+Dashboard!C$10*SQRT(Dashboard!$F$4) * _xlfn.NORM.S.INV(RAND())</f>
        <v>3.031972326862478E-3</v>
      </c>
      <c r="U7910" s="59">
        <f ca="1">Dashboard!D$8* Dashboard!$F$4+Dashboard!D$10*SQRT(Dashboard!$F$4) * _xlfn.NORM.S.INV(RAND())</f>
        <v>5.3140810755883229E-3</v>
      </c>
    </row>
    <row r="7911" spans="18:21" x14ac:dyDescent="0.2">
      <c r="R7911" s="49">
        <v>7909</v>
      </c>
      <c r="S7911" s="59">
        <f ca="1">Dashboard!B$8* Dashboard!$F$4+Dashboard!B$10*SQRT(Dashboard!$F$4) * _xlfn.NORM.S.INV(RAND())</f>
        <v>-4.2227531971849745E-2</v>
      </c>
      <c r="T7911" s="59">
        <f ca="1">Dashboard!C$8* Dashboard!$F$4+Dashboard!C$10*SQRT(Dashboard!$F$4) * _xlfn.NORM.S.INV(RAND())</f>
        <v>-0.10188685352948587</v>
      </c>
      <c r="U7911" s="59">
        <f ca="1">Dashboard!D$8* Dashboard!$F$4+Dashboard!D$10*SQRT(Dashboard!$F$4) * _xlfn.NORM.S.INV(RAND())</f>
        <v>5.2654066243097646E-2</v>
      </c>
    </row>
    <row r="7912" spans="18:21" x14ac:dyDescent="0.2">
      <c r="R7912" s="49">
        <v>7910</v>
      </c>
      <c r="S7912" s="59">
        <f ca="1">Dashboard!B$8* Dashboard!$F$4+Dashboard!B$10*SQRT(Dashboard!$F$4) * _xlfn.NORM.S.INV(RAND())</f>
        <v>-1.1118701539124736E-2</v>
      </c>
      <c r="T7912" s="59">
        <f ca="1">Dashboard!C$8* Dashboard!$F$4+Dashboard!C$10*SQRT(Dashboard!$F$4) * _xlfn.NORM.S.INV(RAND())</f>
        <v>1.9590261373615352E-2</v>
      </c>
      <c r="U7912" s="59">
        <f ca="1">Dashboard!D$8* Dashboard!$F$4+Dashboard!D$10*SQRT(Dashboard!$F$4) * _xlfn.NORM.S.INV(RAND())</f>
        <v>-1.7762860584753964E-3</v>
      </c>
    </row>
    <row r="7913" spans="18:21" x14ac:dyDescent="0.2">
      <c r="R7913" s="49">
        <v>7911</v>
      </c>
      <c r="S7913" s="59">
        <f ca="1">Dashboard!B$8* Dashboard!$F$4+Dashboard!B$10*SQRT(Dashboard!$F$4) * _xlfn.NORM.S.INV(RAND())</f>
        <v>-6.6382940341496458E-2</v>
      </c>
      <c r="T7913" s="59">
        <f ca="1">Dashboard!C$8* Dashboard!$F$4+Dashboard!C$10*SQRT(Dashboard!$F$4) * _xlfn.NORM.S.INV(RAND())</f>
        <v>-1.4525712964833411E-3</v>
      </c>
      <c r="U7913" s="59">
        <f ca="1">Dashboard!D$8* Dashboard!$F$4+Dashboard!D$10*SQRT(Dashboard!$F$4) * _xlfn.NORM.S.INV(RAND())</f>
        <v>-3.2803497914905673E-2</v>
      </c>
    </row>
    <row r="7914" spans="18:21" x14ac:dyDescent="0.2">
      <c r="R7914" s="49">
        <v>7912</v>
      </c>
      <c r="S7914" s="59">
        <f ca="1">Dashboard!B$8* Dashboard!$F$4+Dashboard!B$10*SQRT(Dashboard!$F$4) * _xlfn.NORM.S.INV(RAND())</f>
        <v>2.063013308335819E-2</v>
      </c>
      <c r="T7914" s="59">
        <f ca="1">Dashboard!C$8* Dashboard!$F$4+Dashboard!C$10*SQRT(Dashboard!$F$4) * _xlfn.NORM.S.INV(RAND())</f>
        <v>5.854021665701005E-2</v>
      </c>
      <c r="U7914" s="59">
        <f ca="1">Dashboard!D$8* Dashboard!$F$4+Dashboard!D$10*SQRT(Dashboard!$F$4) * _xlfn.NORM.S.INV(RAND())</f>
        <v>6.139314089686064E-3</v>
      </c>
    </row>
    <row r="7915" spans="18:21" x14ac:dyDescent="0.2">
      <c r="R7915" s="49">
        <v>7913</v>
      </c>
      <c r="S7915" s="59">
        <f ca="1">Dashboard!B$8* Dashboard!$F$4+Dashboard!B$10*SQRT(Dashboard!$F$4) * _xlfn.NORM.S.INV(RAND())</f>
        <v>3.5684849377291418E-2</v>
      </c>
      <c r="T7915" s="59">
        <f ca="1">Dashboard!C$8* Dashboard!$F$4+Dashboard!C$10*SQRT(Dashboard!$F$4) * _xlfn.NORM.S.INV(RAND())</f>
        <v>4.4511499212136561E-2</v>
      </c>
      <c r="U7915" s="59">
        <f ca="1">Dashboard!D$8* Dashboard!$F$4+Dashboard!D$10*SQRT(Dashboard!$F$4) * _xlfn.NORM.S.INV(RAND())</f>
        <v>-1.366363790019976E-2</v>
      </c>
    </row>
    <row r="7916" spans="18:21" x14ac:dyDescent="0.2">
      <c r="R7916" s="49">
        <v>7914</v>
      </c>
      <c r="S7916" s="59">
        <f ca="1">Dashboard!B$8* Dashboard!$F$4+Dashboard!B$10*SQRT(Dashboard!$F$4) * _xlfn.NORM.S.INV(RAND())</f>
        <v>5.0756435466858096E-2</v>
      </c>
      <c r="T7916" s="59">
        <f ca="1">Dashboard!C$8* Dashboard!$F$4+Dashboard!C$10*SQRT(Dashboard!$F$4) * _xlfn.NORM.S.INV(RAND())</f>
        <v>-4.5647443321075426E-2</v>
      </c>
      <c r="U7916" s="59">
        <f ca="1">Dashboard!D$8* Dashboard!$F$4+Dashboard!D$10*SQRT(Dashboard!$F$4) * _xlfn.NORM.S.INV(RAND())</f>
        <v>-1.0882723099857858E-2</v>
      </c>
    </row>
    <row r="7917" spans="18:21" x14ac:dyDescent="0.2">
      <c r="R7917" s="49">
        <v>7915</v>
      </c>
      <c r="S7917" s="59">
        <f ca="1">Dashboard!B$8* Dashboard!$F$4+Dashboard!B$10*SQRT(Dashboard!$F$4) * _xlfn.NORM.S.INV(RAND())</f>
        <v>4.000220140002244E-2</v>
      </c>
      <c r="T7917" s="59">
        <f ca="1">Dashboard!C$8* Dashboard!$F$4+Dashboard!C$10*SQRT(Dashboard!$F$4) * _xlfn.NORM.S.INV(RAND())</f>
        <v>5.3320528872504484E-2</v>
      </c>
      <c r="U7917" s="59">
        <f ca="1">Dashboard!D$8* Dashboard!$F$4+Dashboard!D$10*SQRT(Dashboard!$F$4) * _xlfn.NORM.S.INV(RAND())</f>
        <v>2.7911592314339595E-2</v>
      </c>
    </row>
    <row r="7918" spans="18:21" x14ac:dyDescent="0.2">
      <c r="R7918" s="49">
        <v>7916</v>
      </c>
      <c r="S7918" s="59">
        <f ca="1">Dashboard!B$8* Dashboard!$F$4+Dashboard!B$10*SQRT(Dashboard!$F$4) * _xlfn.NORM.S.INV(RAND())</f>
        <v>-1.4554056991460496E-2</v>
      </c>
      <c r="T7918" s="59">
        <f ca="1">Dashboard!C$8* Dashboard!$F$4+Dashboard!C$10*SQRT(Dashboard!$F$4) * _xlfn.NORM.S.INV(RAND())</f>
        <v>-1.7867961202090048E-2</v>
      </c>
      <c r="U7918" s="59">
        <f ca="1">Dashboard!D$8* Dashboard!$F$4+Dashboard!D$10*SQRT(Dashboard!$F$4) * _xlfn.NORM.S.INV(RAND())</f>
        <v>1.5956932353803584E-2</v>
      </c>
    </row>
    <row r="7919" spans="18:21" x14ac:dyDescent="0.2">
      <c r="R7919" s="49">
        <v>7917</v>
      </c>
      <c r="S7919" s="59">
        <f ca="1">Dashboard!B$8* Dashboard!$F$4+Dashboard!B$10*SQRT(Dashboard!$F$4) * _xlfn.NORM.S.INV(RAND())</f>
        <v>2.4746966415537724E-2</v>
      </c>
      <c r="T7919" s="59">
        <f ca="1">Dashboard!C$8* Dashboard!$F$4+Dashboard!C$10*SQRT(Dashboard!$F$4) * _xlfn.NORM.S.INV(RAND())</f>
        <v>9.4011239478637501E-3</v>
      </c>
      <c r="U7919" s="59">
        <f ca="1">Dashboard!D$8* Dashboard!$F$4+Dashboard!D$10*SQRT(Dashboard!$F$4) * _xlfn.NORM.S.INV(RAND())</f>
        <v>-5.6942080172465652E-2</v>
      </c>
    </row>
    <row r="7920" spans="18:21" x14ac:dyDescent="0.2">
      <c r="R7920" s="49">
        <v>7918</v>
      </c>
      <c r="S7920" s="59">
        <f ca="1">Dashboard!B$8* Dashboard!$F$4+Dashboard!B$10*SQRT(Dashboard!$F$4) * _xlfn.NORM.S.INV(RAND())</f>
        <v>1.6409972764088461E-2</v>
      </c>
      <c r="T7920" s="59">
        <f ca="1">Dashboard!C$8* Dashboard!$F$4+Dashboard!C$10*SQRT(Dashboard!$F$4) * _xlfn.NORM.S.INV(RAND())</f>
        <v>4.0711380553979356E-3</v>
      </c>
      <c r="U7920" s="59">
        <f ca="1">Dashboard!D$8* Dashboard!$F$4+Dashboard!D$10*SQRT(Dashboard!$F$4) * _xlfn.NORM.S.INV(RAND())</f>
        <v>1.9828871096724758E-2</v>
      </c>
    </row>
    <row r="7921" spans="18:21" x14ac:dyDescent="0.2">
      <c r="R7921" s="49">
        <v>7919</v>
      </c>
      <c r="S7921" s="59">
        <f ca="1">Dashboard!B$8* Dashboard!$F$4+Dashboard!B$10*SQRT(Dashboard!$F$4) * _xlfn.NORM.S.INV(RAND())</f>
        <v>4.8710759999977822E-2</v>
      </c>
      <c r="T7921" s="59">
        <f ca="1">Dashboard!C$8* Dashboard!$F$4+Dashboard!C$10*SQRT(Dashboard!$F$4) * _xlfn.NORM.S.INV(RAND())</f>
        <v>-5.993301957115167E-3</v>
      </c>
      <c r="U7921" s="59">
        <f ca="1">Dashboard!D$8* Dashboard!$F$4+Dashboard!D$10*SQRT(Dashboard!$F$4) * _xlfn.NORM.S.INV(RAND())</f>
        <v>-3.0268365379607113E-3</v>
      </c>
    </row>
    <row r="7922" spans="18:21" x14ac:dyDescent="0.2">
      <c r="R7922" s="49">
        <v>7920</v>
      </c>
      <c r="S7922" s="59">
        <f ca="1">Dashboard!B$8* Dashboard!$F$4+Dashboard!B$10*SQRT(Dashboard!$F$4) * _xlfn.NORM.S.INV(RAND())</f>
        <v>-6.7218813457648227E-2</v>
      </c>
      <c r="T7922" s="59">
        <f ca="1">Dashboard!C$8* Dashboard!$F$4+Dashboard!C$10*SQRT(Dashboard!$F$4) * _xlfn.NORM.S.INV(RAND())</f>
        <v>-2.2599675552018663E-2</v>
      </c>
      <c r="U7922" s="59">
        <f ca="1">Dashboard!D$8* Dashboard!$F$4+Dashboard!D$10*SQRT(Dashboard!$F$4) * _xlfn.NORM.S.INV(RAND())</f>
        <v>3.3612204272861053E-2</v>
      </c>
    </row>
    <row r="7923" spans="18:21" x14ac:dyDescent="0.2">
      <c r="R7923" s="49">
        <v>7921</v>
      </c>
      <c r="S7923" s="59">
        <f ca="1">Dashboard!B$8* Dashboard!$F$4+Dashboard!B$10*SQRT(Dashboard!$F$4) * _xlfn.NORM.S.INV(RAND())</f>
        <v>9.1825099452464507E-3</v>
      </c>
      <c r="T7923" s="59">
        <f ca="1">Dashboard!C$8* Dashboard!$F$4+Dashboard!C$10*SQRT(Dashboard!$F$4) * _xlfn.NORM.S.INV(RAND())</f>
        <v>2.101046859311146E-2</v>
      </c>
      <c r="U7923" s="59">
        <f ca="1">Dashboard!D$8* Dashboard!$F$4+Dashboard!D$10*SQRT(Dashboard!$F$4) * _xlfn.NORM.S.INV(RAND())</f>
        <v>4.0499447868593677E-2</v>
      </c>
    </row>
    <row r="7924" spans="18:21" x14ac:dyDescent="0.2">
      <c r="R7924" s="49">
        <v>7922</v>
      </c>
      <c r="S7924" s="59">
        <f ca="1">Dashboard!B$8* Dashboard!$F$4+Dashboard!B$10*SQRT(Dashboard!$F$4) * _xlfn.NORM.S.INV(RAND())</f>
        <v>-2.0681491041880919E-2</v>
      </c>
      <c r="T7924" s="59">
        <f ca="1">Dashboard!C$8* Dashboard!$F$4+Dashboard!C$10*SQRT(Dashboard!$F$4) * _xlfn.NORM.S.INV(RAND())</f>
        <v>-3.1956478498545271E-2</v>
      </c>
      <c r="U7924" s="59">
        <f ca="1">Dashboard!D$8* Dashboard!$F$4+Dashboard!D$10*SQRT(Dashboard!$F$4) * _xlfn.NORM.S.INV(RAND())</f>
        <v>3.4154639514135977E-3</v>
      </c>
    </row>
    <row r="7925" spans="18:21" x14ac:dyDescent="0.2">
      <c r="R7925" s="49">
        <v>7923</v>
      </c>
      <c r="S7925" s="59">
        <f ca="1">Dashboard!B$8* Dashboard!$F$4+Dashboard!B$10*SQRT(Dashboard!$F$4) * _xlfn.NORM.S.INV(RAND())</f>
        <v>1.0727510537061249E-2</v>
      </c>
      <c r="T7925" s="59">
        <f ca="1">Dashboard!C$8* Dashboard!$F$4+Dashboard!C$10*SQRT(Dashboard!$F$4) * _xlfn.NORM.S.INV(RAND())</f>
        <v>7.5867576612826159E-3</v>
      </c>
      <c r="U7925" s="59">
        <f ca="1">Dashboard!D$8* Dashboard!$F$4+Dashboard!D$10*SQRT(Dashboard!$F$4) * _xlfn.NORM.S.INV(RAND())</f>
        <v>-2.369595378104165E-2</v>
      </c>
    </row>
    <row r="7926" spans="18:21" x14ac:dyDescent="0.2">
      <c r="R7926" s="49">
        <v>7924</v>
      </c>
      <c r="S7926" s="59">
        <f ca="1">Dashboard!B$8* Dashboard!$F$4+Dashboard!B$10*SQRT(Dashboard!$F$4) * _xlfn.NORM.S.INV(RAND())</f>
        <v>-1.2683194816016019E-2</v>
      </c>
      <c r="T7926" s="59">
        <f ca="1">Dashboard!C$8* Dashboard!$F$4+Dashboard!C$10*SQRT(Dashboard!$F$4) * _xlfn.NORM.S.INV(RAND())</f>
        <v>4.0310286084333118E-2</v>
      </c>
      <c r="U7926" s="59">
        <f ca="1">Dashboard!D$8* Dashboard!$F$4+Dashboard!D$10*SQRT(Dashboard!$F$4) * _xlfn.NORM.S.INV(RAND())</f>
        <v>-3.3730163296091485E-3</v>
      </c>
    </row>
    <row r="7927" spans="18:21" x14ac:dyDescent="0.2">
      <c r="R7927" s="49">
        <v>7925</v>
      </c>
      <c r="S7927" s="59">
        <f ca="1">Dashboard!B$8* Dashboard!$F$4+Dashboard!B$10*SQRT(Dashboard!$F$4) * _xlfn.NORM.S.INV(RAND())</f>
        <v>-2.9086816771674393E-2</v>
      </c>
      <c r="T7927" s="59">
        <f ca="1">Dashboard!C$8* Dashboard!$F$4+Dashboard!C$10*SQRT(Dashboard!$F$4) * _xlfn.NORM.S.INV(RAND())</f>
        <v>5.3624460764605454E-2</v>
      </c>
      <c r="U7927" s="59">
        <f ca="1">Dashboard!D$8* Dashboard!$F$4+Dashboard!D$10*SQRT(Dashboard!$F$4) * _xlfn.NORM.S.INV(RAND())</f>
        <v>2.2147120884123152E-2</v>
      </c>
    </row>
    <row r="7928" spans="18:21" x14ac:dyDescent="0.2">
      <c r="R7928" s="49">
        <v>7926</v>
      </c>
      <c r="S7928" s="59">
        <f ca="1">Dashboard!B$8* Dashboard!$F$4+Dashboard!B$10*SQRT(Dashboard!$F$4) * _xlfn.NORM.S.INV(RAND())</f>
        <v>3.0625600474512474E-2</v>
      </c>
      <c r="T7928" s="59">
        <f ca="1">Dashboard!C$8* Dashboard!$F$4+Dashboard!C$10*SQRT(Dashboard!$F$4) * _xlfn.NORM.S.INV(RAND())</f>
        <v>2.0367390789647298E-2</v>
      </c>
      <c r="U7928" s="59">
        <f ca="1">Dashboard!D$8* Dashboard!$F$4+Dashboard!D$10*SQRT(Dashboard!$F$4) * _xlfn.NORM.S.INV(RAND())</f>
        <v>-2.6961474972313571E-3</v>
      </c>
    </row>
    <row r="7929" spans="18:21" x14ac:dyDescent="0.2">
      <c r="R7929" s="49">
        <v>7927</v>
      </c>
      <c r="S7929" s="59">
        <f ca="1">Dashboard!B$8* Dashboard!$F$4+Dashboard!B$10*SQRT(Dashboard!$F$4) * _xlfn.NORM.S.INV(RAND())</f>
        <v>-1.8675369818006795E-2</v>
      </c>
      <c r="T7929" s="59">
        <f ca="1">Dashboard!C$8* Dashboard!$F$4+Dashboard!C$10*SQRT(Dashboard!$F$4) * _xlfn.NORM.S.INV(RAND())</f>
        <v>2.8089869812168308E-2</v>
      </c>
      <c r="U7929" s="59">
        <f ca="1">Dashboard!D$8* Dashboard!$F$4+Dashboard!D$10*SQRT(Dashboard!$F$4) * _xlfn.NORM.S.INV(RAND())</f>
        <v>4.3357864756941804E-2</v>
      </c>
    </row>
    <row r="7930" spans="18:21" x14ac:dyDescent="0.2">
      <c r="R7930" s="49">
        <v>7928</v>
      </c>
      <c r="S7930" s="59">
        <f ca="1">Dashboard!B$8* Dashboard!$F$4+Dashboard!B$10*SQRT(Dashboard!$F$4) * _xlfn.NORM.S.INV(RAND())</f>
        <v>9.0399623749494763E-3</v>
      </c>
      <c r="T7930" s="59">
        <f ca="1">Dashboard!C$8* Dashboard!$F$4+Dashboard!C$10*SQRT(Dashboard!$F$4) * _xlfn.NORM.S.INV(RAND())</f>
        <v>-2.6998224258764188E-2</v>
      </c>
      <c r="U7930" s="59">
        <f ca="1">Dashboard!D$8* Dashboard!$F$4+Dashboard!D$10*SQRT(Dashboard!$F$4) * _xlfn.NORM.S.INV(RAND())</f>
        <v>-4.3477965053309225E-2</v>
      </c>
    </row>
    <row r="7931" spans="18:21" x14ac:dyDescent="0.2">
      <c r="R7931" s="49">
        <v>7929</v>
      </c>
      <c r="S7931" s="59">
        <f ca="1">Dashboard!B$8* Dashboard!$F$4+Dashboard!B$10*SQRT(Dashboard!$F$4) * _xlfn.NORM.S.INV(RAND())</f>
        <v>6.356109981405661E-2</v>
      </c>
      <c r="T7931" s="59">
        <f ca="1">Dashboard!C$8* Dashboard!$F$4+Dashboard!C$10*SQRT(Dashboard!$F$4) * _xlfn.NORM.S.INV(RAND())</f>
        <v>-4.107710467609973E-3</v>
      </c>
      <c r="U7931" s="59">
        <f ca="1">Dashboard!D$8* Dashboard!$F$4+Dashboard!D$10*SQRT(Dashboard!$F$4) * _xlfn.NORM.S.INV(RAND())</f>
        <v>-2.5586209000395894E-2</v>
      </c>
    </row>
    <row r="7932" spans="18:21" x14ac:dyDescent="0.2">
      <c r="R7932" s="49">
        <v>7930</v>
      </c>
      <c r="S7932" s="59">
        <f ca="1">Dashboard!B$8* Dashboard!$F$4+Dashboard!B$10*SQRT(Dashboard!$F$4) * _xlfn.NORM.S.INV(RAND())</f>
        <v>-1.9802792149230593E-2</v>
      </c>
      <c r="T7932" s="59">
        <f ca="1">Dashboard!C$8* Dashboard!$F$4+Dashboard!C$10*SQRT(Dashboard!$F$4) * _xlfn.NORM.S.INV(RAND())</f>
        <v>-3.0634816662686925E-2</v>
      </c>
      <c r="U7932" s="59">
        <f ca="1">Dashboard!D$8* Dashboard!$F$4+Dashboard!D$10*SQRT(Dashboard!$F$4) * _xlfn.NORM.S.INV(RAND())</f>
        <v>-1.5556116194101896E-2</v>
      </c>
    </row>
    <row r="7933" spans="18:21" x14ac:dyDescent="0.2">
      <c r="R7933" s="49">
        <v>7931</v>
      </c>
      <c r="S7933" s="59">
        <f ca="1">Dashboard!B$8* Dashboard!$F$4+Dashboard!B$10*SQRT(Dashboard!$F$4) * _xlfn.NORM.S.INV(RAND())</f>
        <v>-3.4885911989171255E-3</v>
      </c>
      <c r="T7933" s="59">
        <f ca="1">Dashboard!C$8* Dashboard!$F$4+Dashboard!C$10*SQRT(Dashboard!$F$4) * _xlfn.NORM.S.INV(RAND())</f>
        <v>2.01035209480132E-3</v>
      </c>
      <c r="U7933" s="59">
        <f ca="1">Dashboard!D$8* Dashboard!$F$4+Dashboard!D$10*SQRT(Dashboard!$F$4) * _xlfn.NORM.S.INV(RAND())</f>
        <v>-2.6830964924697684E-3</v>
      </c>
    </row>
    <row r="7934" spans="18:21" x14ac:dyDescent="0.2">
      <c r="R7934" s="49">
        <v>7932</v>
      </c>
      <c r="S7934" s="59">
        <f ca="1">Dashboard!B$8* Dashboard!$F$4+Dashboard!B$10*SQRT(Dashboard!$F$4) * _xlfn.NORM.S.INV(RAND())</f>
        <v>-1.7718193141940862E-2</v>
      </c>
      <c r="T7934" s="59">
        <f ca="1">Dashboard!C$8* Dashboard!$F$4+Dashboard!C$10*SQRT(Dashboard!$F$4) * _xlfn.NORM.S.INV(RAND())</f>
        <v>4.4033371375345645E-2</v>
      </c>
      <c r="U7934" s="59">
        <f ca="1">Dashboard!D$8* Dashboard!$F$4+Dashboard!D$10*SQRT(Dashboard!$F$4) * _xlfn.NORM.S.INV(RAND())</f>
        <v>-2.3340507494832869E-2</v>
      </c>
    </row>
    <row r="7935" spans="18:21" x14ac:dyDescent="0.2">
      <c r="R7935" s="49">
        <v>7933</v>
      </c>
      <c r="S7935" s="59">
        <f ca="1">Dashboard!B$8* Dashboard!$F$4+Dashboard!B$10*SQRT(Dashboard!$F$4) * _xlfn.NORM.S.INV(RAND())</f>
        <v>2.8179676834591556E-2</v>
      </c>
      <c r="T7935" s="59">
        <f ca="1">Dashboard!C$8* Dashboard!$F$4+Dashboard!C$10*SQRT(Dashboard!$F$4) * _xlfn.NORM.S.INV(RAND())</f>
        <v>-2.8946960760147199E-2</v>
      </c>
      <c r="U7935" s="59">
        <f ca="1">Dashboard!D$8* Dashboard!$F$4+Dashboard!D$10*SQRT(Dashboard!$F$4) * _xlfn.NORM.S.INV(RAND())</f>
        <v>3.6185330737514003E-2</v>
      </c>
    </row>
    <row r="7936" spans="18:21" x14ac:dyDescent="0.2">
      <c r="R7936" s="49">
        <v>7934</v>
      </c>
      <c r="S7936" s="59">
        <f ca="1">Dashboard!B$8* Dashboard!$F$4+Dashboard!B$10*SQRT(Dashboard!$F$4) * _xlfn.NORM.S.INV(RAND())</f>
        <v>-6.4663823688157537E-3</v>
      </c>
      <c r="T7936" s="59">
        <f ca="1">Dashboard!C$8* Dashboard!$F$4+Dashboard!C$10*SQRT(Dashboard!$F$4) * _xlfn.NORM.S.INV(RAND())</f>
        <v>-4.4773930762482456E-2</v>
      </c>
      <c r="U7936" s="59">
        <f ca="1">Dashboard!D$8* Dashboard!$F$4+Dashboard!D$10*SQRT(Dashboard!$F$4) * _xlfn.NORM.S.INV(RAND())</f>
        <v>-1.6440767271438193E-2</v>
      </c>
    </row>
    <row r="7937" spans="18:21" x14ac:dyDescent="0.2">
      <c r="R7937" s="49">
        <v>7935</v>
      </c>
      <c r="S7937" s="59">
        <f ca="1">Dashboard!B$8* Dashboard!$F$4+Dashboard!B$10*SQRT(Dashboard!$F$4) * _xlfn.NORM.S.INV(RAND())</f>
        <v>-6.2716311855928755E-2</v>
      </c>
      <c r="T7937" s="59">
        <f ca="1">Dashboard!C$8* Dashboard!$F$4+Dashboard!C$10*SQRT(Dashboard!$F$4) * _xlfn.NORM.S.INV(RAND())</f>
        <v>2.7273208659420116E-2</v>
      </c>
      <c r="U7937" s="59">
        <f ca="1">Dashboard!D$8* Dashboard!$F$4+Dashboard!D$10*SQRT(Dashboard!$F$4) * _xlfn.NORM.S.INV(RAND())</f>
        <v>3.7415653290119706E-2</v>
      </c>
    </row>
    <row r="7938" spans="18:21" x14ac:dyDescent="0.2">
      <c r="R7938" s="49">
        <v>7936</v>
      </c>
      <c r="S7938" s="59">
        <f ca="1">Dashboard!B$8* Dashboard!$F$4+Dashboard!B$10*SQRT(Dashboard!$F$4) * _xlfn.NORM.S.INV(RAND())</f>
        <v>2.0501074170197538E-2</v>
      </c>
      <c r="T7938" s="59">
        <f ca="1">Dashboard!C$8* Dashboard!$F$4+Dashboard!C$10*SQRT(Dashboard!$F$4) * _xlfn.NORM.S.INV(RAND())</f>
        <v>-4.195438065597927E-2</v>
      </c>
      <c r="U7938" s="59">
        <f ca="1">Dashboard!D$8* Dashboard!$F$4+Dashboard!D$10*SQRT(Dashboard!$F$4) * _xlfn.NORM.S.INV(RAND())</f>
        <v>-4.0470313656197437E-2</v>
      </c>
    </row>
    <row r="7939" spans="18:21" x14ac:dyDescent="0.2">
      <c r="R7939" s="49">
        <v>7937</v>
      </c>
      <c r="S7939" s="59">
        <f ca="1">Dashboard!B$8* Dashboard!$F$4+Dashboard!B$10*SQRT(Dashboard!$F$4) * _xlfn.NORM.S.INV(RAND())</f>
        <v>2.2049474655884693E-2</v>
      </c>
      <c r="T7939" s="59">
        <f ca="1">Dashboard!C$8* Dashboard!$F$4+Dashboard!C$10*SQRT(Dashboard!$F$4) * _xlfn.NORM.S.INV(RAND())</f>
        <v>-4.5203812309022255E-2</v>
      </c>
      <c r="U7939" s="59">
        <f ca="1">Dashboard!D$8* Dashboard!$F$4+Dashboard!D$10*SQRT(Dashboard!$F$4) * _xlfn.NORM.S.INV(RAND())</f>
        <v>-5.3913813841084297E-2</v>
      </c>
    </row>
    <row r="7940" spans="18:21" x14ac:dyDescent="0.2">
      <c r="R7940" s="49">
        <v>7938</v>
      </c>
      <c r="S7940" s="59">
        <f ca="1">Dashboard!B$8* Dashboard!$F$4+Dashboard!B$10*SQRT(Dashboard!$F$4) * _xlfn.NORM.S.INV(RAND())</f>
        <v>-6.6517372819892232E-3</v>
      </c>
      <c r="T7940" s="59">
        <f ca="1">Dashboard!C$8* Dashboard!$F$4+Dashboard!C$10*SQRT(Dashboard!$F$4) * _xlfn.NORM.S.INV(RAND())</f>
        <v>-4.0177132493738173E-2</v>
      </c>
      <c r="U7940" s="59">
        <f ca="1">Dashboard!D$8* Dashboard!$F$4+Dashboard!D$10*SQRT(Dashboard!$F$4) * _xlfn.NORM.S.INV(RAND())</f>
        <v>-2.0645199621429404E-2</v>
      </c>
    </row>
    <row r="7941" spans="18:21" x14ac:dyDescent="0.2">
      <c r="R7941" s="49">
        <v>7939</v>
      </c>
      <c r="S7941" s="59">
        <f ca="1">Dashboard!B$8* Dashboard!$F$4+Dashboard!B$10*SQRT(Dashboard!$F$4) * _xlfn.NORM.S.INV(RAND())</f>
        <v>2.7294075401691799E-2</v>
      </c>
      <c r="T7941" s="59">
        <f ca="1">Dashboard!C$8* Dashboard!$F$4+Dashboard!C$10*SQRT(Dashboard!$F$4) * _xlfn.NORM.S.INV(RAND())</f>
        <v>-2.5430096965025233E-2</v>
      </c>
      <c r="U7941" s="59">
        <f ca="1">Dashboard!D$8* Dashboard!$F$4+Dashboard!D$10*SQRT(Dashboard!$F$4) * _xlfn.NORM.S.INV(RAND())</f>
        <v>-6.4652949323078896E-3</v>
      </c>
    </row>
    <row r="7942" spans="18:21" x14ac:dyDescent="0.2">
      <c r="R7942" s="49">
        <v>7940</v>
      </c>
      <c r="S7942" s="59">
        <f ca="1">Dashboard!B$8* Dashboard!$F$4+Dashboard!B$10*SQRT(Dashboard!$F$4) * _xlfn.NORM.S.INV(RAND())</f>
        <v>4.3533746572435895E-2</v>
      </c>
      <c r="T7942" s="59">
        <f ca="1">Dashboard!C$8* Dashboard!$F$4+Dashboard!C$10*SQRT(Dashboard!$F$4) * _xlfn.NORM.S.INV(RAND())</f>
        <v>3.1010066139249028E-2</v>
      </c>
      <c r="U7942" s="59">
        <f ca="1">Dashboard!D$8* Dashboard!$F$4+Dashboard!D$10*SQRT(Dashboard!$F$4) * _xlfn.NORM.S.INV(RAND())</f>
        <v>-1.5655222857112495E-2</v>
      </c>
    </row>
    <row r="7943" spans="18:21" x14ac:dyDescent="0.2">
      <c r="R7943" s="49">
        <v>7941</v>
      </c>
      <c r="S7943" s="59">
        <f ca="1">Dashboard!B$8* Dashboard!$F$4+Dashboard!B$10*SQRT(Dashboard!$F$4) * _xlfn.NORM.S.INV(RAND())</f>
        <v>-4.3275546734739344E-2</v>
      </c>
      <c r="T7943" s="59">
        <f ca="1">Dashboard!C$8* Dashboard!$F$4+Dashboard!C$10*SQRT(Dashboard!$F$4) * _xlfn.NORM.S.INV(RAND())</f>
        <v>-1.6794288720812778E-2</v>
      </c>
      <c r="U7943" s="59">
        <f ca="1">Dashboard!D$8* Dashboard!$F$4+Dashboard!D$10*SQRT(Dashboard!$F$4) * _xlfn.NORM.S.INV(RAND())</f>
        <v>-2.686641293272091E-2</v>
      </c>
    </row>
    <row r="7944" spans="18:21" x14ac:dyDescent="0.2">
      <c r="R7944" s="49">
        <v>7942</v>
      </c>
      <c r="S7944" s="59">
        <f ca="1">Dashboard!B$8* Dashboard!$F$4+Dashboard!B$10*SQRT(Dashboard!$F$4) * _xlfn.NORM.S.INV(RAND())</f>
        <v>1.819561043835672E-2</v>
      </c>
      <c r="T7944" s="59">
        <f ca="1">Dashboard!C$8* Dashboard!$F$4+Dashboard!C$10*SQRT(Dashboard!$F$4) * _xlfn.NORM.S.INV(RAND())</f>
        <v>-3.3713414999945825E-2</v>
      </c>
      <c r="U7944" s="59">
        <f ca="1">Dashboard!D$8* Dashboard!$F$4+Dashboard!D$10*SQRT(Dashboard!$F$4) * _xlfn.NORM.S.INV(RAND())</f>
        <v>-4.4114498930543526E-2</v>
      </c>
    </row>
    <row r="7945" spans="18:21" x14ac:dyDescent="0.2">
      <c r="R7945" s="49">
        <v>7943</v>
      </c>
      <c r="S7945" s="59">
        <f ca="1">Dashboard!B$8* Dashboard!$F$4+Dashboard!B$10*SQRT(Dashboard!$F$4) * _xlfn.NORM.S.INV(RAND())</f>
        <v>3.1658929397350197E-2</v>
      </c>
      <c r="T7945" s="59">
        <f ca="1">Dashboard!C$8* Dashboard!$F$4+Dashboard!C$10*SQRT(Dashboard!$F$4) * _xlfn.NORM.S.INV(RAND())</f>
        <v>2.3157991514084805E-2</v>
      </c>
      <c r="U7945" s="59">
        <f ca="1">Dashboard!D$8* Dashboard!$F$4+Dashboard!D$10*SQRT(Dashboard!$F$4) * _xlfn.NORM.S.INV(RAND())</f>
        <v>4.1362467435954287E-2</v>
      </c>
    </row>
    <row r="7946" spans="18:21" x14ac:dyDescent="0.2">
      <c r="R7946" s="49">
        <v>7944</v>
      </c>
      <c r="S7946" s="59">
        <f ca="1">Dashboard!B$8* Dashboard!$F$4+Dashboard!B$10*SQRT(Dashboard!$F$4) * _xlfn.NORM.S.INV(RAND())</f>
        <v>-5.2472095144846007E-2</v>
      </c>
      <c r="T7946" s="59">
        <f ca="1">Dashboard!C$8* Dashboard!$F$4+Dashboard!C$10*SQRT(Dashboard!$F$4) * _xlfn.NORM.S.INV(RAND())</f>
        <v>-1.7836265527980018E-2</v>
      </c>
      <c r="U7946" s="59">
        <f ca="1">Dashboard!D$8* Dashboard!$F$4+Dashboard!D$10*SQRT(Dashboard!$F$4) * _xlfn.NORM.S.INV(RAND())</f>
        <v>-1.5931086410021347E-2</v>
      </c>
    </row>
    <row r="7947" spans="18:21" x14ac:dyDescent="0.2">
      <c r="R7947" s="49">
        <v>7945</v>
      </c>
      <c r="S7947" s="59">
        <f ca="1">Dashboard!B$8* Dashboard!$F$4+Dashboard!B$10*SQRT(Dashboard!$F$4) * _xlfn.NORM.S.INV(RAND())</f>
        <v>4.3646467778086742E-2</v>
      </c>
      <c r="T7947" s="59">
        <f ca="1">Dashboard!C$8* Dashboard!$F$4+Dashboard!C$10*SQRT(Dashboard!$F$4) * _xlfn.NORM.S.INV(RAND())</f>
        <v>2.230073587926687E-2</v>
      </c>
      <c r="U7947" s="59">
        <f ca="1">Dashboard!D$8* Dashboard!$F$4+Dashboard!D$10*SQRT(Dashboard!$F$4) * _xlfn.NORM.S.INV(RAND())</f>
        <v>3.8264289328462563E-2</v>
      </c>
    </row>
    <row r="7948" spans="18:21" x14ac:dyDescent="0.2">
      <c r="R7948" s="49">
        <v>7946</v>
      </c>
      <c r="S7948" s="59">
        <f ca="1">Dashboard!B$8* Dashboard!$F$4+Dashboard!B$10*SQRT(Dashboard!$F$4) * _xlfn.NORM.S.INV(RAND())</f>
        <v>-4.0859456150152282E-2</v>
      </c>
      <c r="T7948" s="59">
        <f ca="1">Dashboard!C$8* Dashboard!$F$4+Dashboard!C$10*SQRT(Dashboard!$F$4) * _xlfn.NORM.S.INV(RAND())</f>
        <v>-2.9980001302743694E-2</v>
      </c>
      <c r="U7948" s="59">
        <f ca="1">Dashboard!D$8* Dashboard!$F$4+Dashboard!D$10*SQRT(Dashboard!$F$4) * _xlfn.NORM.S.INV(RAND())</f>
        <v>5.1455110991863784E-2</v>
      </c>
    </row>
    <row r="7949" spans="18:21" x14ac:dyDescent="0.2">
      <c r="R7949" s="49">
        <v>7947</v>
      </c>
      <c r="S7949" s="59">
        <f ca="1">Dashboard!B$8* Dashboard!$F$4+Dashboard!B$10*SQRT(Dashboard!$F$4) * _xlfn.NORM.S.INV(RAND())</f>
        <v>-2.3262158625557819E-2</v>
      </c>
      <c r="T7949" s="59">
        <f ca="1">Dashboard!C$8* Dashboard!$F$4+Dashboard!C$10*SQRT(Dashboard!$F$4) * _xlfn.NORM.S.INV(RAND())</f>
        <v>-2.3234254157505366E-2</v>
      </c>
      <c r="U7949" s="59">
        <f ca="1">Dashboard!D$8* Dashboard!$F$4+Dashboard!D$10*SQRT(Dashboard!$F$4) * _xlfn.NORM.S.INV(RAND())</f>
        <v>3.4160913561253947E-2</v>
      </c>
    </row>
    <row r="7950" spans="18:21" x14ac:dyDescent="0.2">
      <c r="R7950" s="49">
        <v>7948</v>
      </c>
      <c r="S7950" s="59">
        <f ca="1">Dashboard!B$8* Dashboard!$F$4+Dashboard!B$10*SQRT(Dashboard!$F$4) * _xlfn.NORM.S.INV(RAND())</f>
        <v>-1.7193801169756787E-2</v>
      </c>
      <c r="T7950" s="59">
        <f ca="1">Dashboard!C$8* Dashboard!$F$4+Dashboard!C$10*SQRT(Dashboard!$F$4) * _xlfn.NORM.S.INV(RAND())</f>
        <v>-3.9416161148334919E-2</v>
      </c>
      <c r="U7950" s="59">
        <f ca="1">Dashboard!D$8* Dashboard!$F$4+Dashboard!D$10*SQRT(Dashboard!$F$4) * _xlfn.NORM.S.INV(RAND())</f>
        <v>-3.5836514157878738E-2</v>
      </c>
    </row>
    <row r="7951" spans="18:21" x14ac:dyDescent="0.2">
      <c r="R7951" s="49">
        <v>7949</v>
      </c>
      <c r="S7951" s="59">
        <f ca="1">Dashboard!B$8* Dashboard!$F$4+Dashboard!B$10*SQRT(Dashboard!$F$4) * _xlfn.NORM.S.INV(RAND())</f>
        <v>3.2680953166477986E-4</v>
      </c>
      <c r="T7951" s="59">
        <f ca="1">Dashboard!C$8* Dashboard!$F$4+Dashboard!C$10*SQRT(Dashboard!$F$4) * _xlfn.NORM.S.INV(RAND())</f>
        <v>-5.4603077677153569E-2</v>
      </c>
      <c r="U7951" s="59">
        <f ca="1">Dashboard!D$8* Dashboard!$F$4+Dashboard!D$10*SQRT(Dashboard!$F$4) * _xlfn.NORM.S.INV(RAND())</f>
        <v>2.3704092528308617E-3</v>
      </c>
    </row>
    <row r="7952" spans="18:21" x14ac:dyDescent="0.2">
      <c r="R7952" s="49">
        <v>7950</v>
      </c>
      <c r="S7952" s="59">
        <f ca="1">Dashboard!B$8* Dashboard!$F$4+Dashboard!B$10*SQRT(Dashboard!$F$4) * _xlfn.NORM.S.INV(RAND())</f>
        <v>-2.6552485501666202E-2</v>
      </c>
      <c r="T7952" s="59">
        <f ca="1">Dashboard!C$8* Dashboard!$F$4+Dashboard!C$10*SQRT(Dashboard!$F$4) * _xlfn.NORM.S.INV(RAND())</f>
        <v>1.1820359143727498E-2</v>
      </c>
      <c r="U7952" s="59">
        <f ca="1">Dashboard!D$8* Dashboard!$F$4+Dashboard!D$10*SQRT(Dashboard!$F$4) * _xlfn.NORM.S.INV(RAND())</f>
        <v>-5.906956938908684E-3</v>
      </c>
    </row>
    <row r="7953" spans="18:21" x14ac:dyDescent="0.2">
      <c r="R7953" s="49">
        <v>7951</v>
      </c>
      <c r="S7953" s="59">
        <f ca="1">Dashboard!B$8* Dashboard!$F$4+Dashboard!B$10*SQRT(Dashboard!$F$4) * _xlfn.NORM.S.INV(RAND())</f>
        <v>-4.0972743617685142E-3</v>
      </c>
      <c r="T7953" s="59">
        <f ca="1">Dashboard!C$8* Dashboard!$F$4+Dashboard!C$10*SQRT(Dashboard!$F$4) * _xlfn.NORM.S.INV(RAND())</f>
        <v>7.3955500649691447E-2</v>
      </c>
      <c r="U7953" s="59">
        <f ca="1">Dashboard!D$8* Dashboard!$F$4+Dashboard!D$10*SQRT(Dashboard!$F$4) * _xlfn.NORM.S.INV(RAND())</f>
        <v>8.5986105271179875E-4</v>
      </c>
    </row>
    <row r="7954" spans="18:21" x14ac:dyDescent="0.2">
      <c r="R7954" s="49">
        <v>7952</v>
      </c>
      <c r="S7954" s="59">
        <f ca="1">Dashboard!B$8* Dashboard!$F$4+Dashboard!B$10*SQRT(Dashboard!$F$4) * _xlfn.NORM.S.INV(RAND())</f>
        <v>7.008631090283754E-2</v>
      </c>
      <c r="T7954" s="59">
        <f ca="1">Dashboard!C$8* Dashboard!$F$4+Dashboard!C$10*SQRT(Dashboard!$F$4) * _xlfn.NORM.S.INV(RAND())</f>
        <v>6.2178807423845142E-2</v>
      </c>
      <c r="U7954" s="59">
        <f ca="1">Dashboard!D$8* Dashboard!$F$4+Dashboard!D$10*SQRT(Dashboard!$F$4) * _xlfn.NORM.S.INV(RAND())</f>
        <v>-4.1637558468913928E-3</v>
      </c>
    </row>
    <row r="7955" spans="18:21" x14ac:dyDescent="0.2">
      <c r="R7955" s="49">
        <v>7953</v>
      </c>
      <c r="S7955" s="59">
        <f ca="1">Dashboard!B$8* Dashboard!$F$4+Dashboard!B$10*SQRT(Dashboard!$F$4) * _xlfn.NORM.S.INV(RAND())</f>
        <v>4.1903129752847885E-3</v>
      </c>
      <c r="T7955" s="59">
        <f ca="1">Dashboard!C$8* Dashboard!$F$4+Dashboard!C$10*SQRT(Dashboard!$F$4) * _xlfn.NORM.S.INV(RAND())</f>
        <v>-5.5746447213055099E-2</v>
      </c>
      <c r="U7955" s="59">
        <f ca="1">Dashboard!D$8* Dashboard!$F$4+Dashboard!D$10*SQRT(Dashboard!$F$4) * _xlfn.NORM.S.INV(RAND())</f>
        <v>-1.1547789938393142E-2</v>
      </c>
    </row>
    <row r="7956" spans="18:21" x14ac:dyDescent="0.2">
      <c r="R7956" s="49">
        <v>7954</v>
      </c>
      <c r="S7956" s="59">
        <f ca="1">Dashboard!B$8* Dashboard!$F$4+Dashboard!B$10*SQRT(Dashboard!$F$4) * _xlfn.NORM.S.INV(RAND())</f>
        <v>-7.4021328943064263E-2</v>
      </c>
      <c r="T7956" s="59">
        <f ca="1">Dashboard!C$8* Dashboard!$F$4+Dashboard!C$10*SQRT(Dashboard!$F$4) * _xlfn.NORM.S.INV(RAND())</f>
        <v>-1.0465985573937291E-2</v>
      </c>
      <c r="U7956" s="59">
        <f ca="1">Dashboard!D$8* Dashboard!$F$4+Dashboard!D$10*SQRT(Dashboard!$F$4) * _xlfn.NORM.S.INV(RAND())</f>
        <v>-1.5968306577057001E-2</v>
      </c>
    </row>
    <row r="7957" spans="18:21" x14ac:dyDescent="0.2">
      <c r="R7957" s="49">
        <v>7955</v>
      </c>
      <c r="S7957" s="59">
        <f ca="1">Dashboard!B$8* Dashboard!$F$4+Dashboard!B$10*SQRT(Dashboard!$F$4) * _xlfn.NORM.S.INV(RAND())</f>
        <v>-2.4964906927460007E-2</v>
      </c>
      <c r="T7957" s="59">
        <f ca="1">Dashboard!C$8* Dashboard!$F$4+Dashboard!C$10*SQRT(Dashboard!$F$4) * _xlfn.NORM.S.INV(RAND())</f>
        <v>-1.3469032475915479E-2</v>
      </c>
      <c r="U7957" s="59">
        <f ca="1">Dashboard!D$8* Dashboard!$F$4+Dashboard!D$10*SQRT(Dashboard!$F$4) * _xlfn.NORM.S.INV(RAND())</f>
        <v>7.7569055885281547E-3</v>
      </c>
    </row>
    <row r="7958" spans="18:21" x14ac:dyDescent="0.2">
      <c r="R7958" s="49">
        <v>7956</v>
      </c>
      <c r="S7958" s="59">
        <f ca="1">Dashboard!B$8* Dashboard!$F$4+Dashboard!B$10*SQRT(Dashboard!$F$4) * _xlfn.NORM.S.INV(RAND())</f>
        <v>4.1029530088552771E-3</v>
      </c>
      <c r="T7958" s="59">
        <f ca="1">Dashboard!C$8* Dashboard!$F$4+Dashboard!C$10*SQRT(Dashboard!$F$4) * _xlfn.NORM.S.INV(RAND())</f>
        <v>-3.5745505148901235E-2</v>
      </c>
      <c r="U7958" s="59">
        <f ca="1">Dashboard!D$8* Dashboard!$F$4+Dashboard!D$10*SQRT(Dashboard!$F$4) * _xlfn.NORM.S.INV(RAND())</f>
        <v>-4.2131039928934091E-3</v>
      </c>
    </row>
    <row r="7959" spans="18:21" x14ac:dyDescent="0.2">
      <c r="R7959" s="49">
        <v>7957</v>
      </c>
      <c r="S7959" s="59">
        <f ca="1">Dashboard!B$8* Dashboard!$F$4+Dashboard!B$10*SQRT(Dashboard!$F$4) * _xlfn.NORM.S.INV(RAND())</f>
        <v>-5.3849422804055441E-2</v>
      </c>
      <c r="T7959" s="59">
        <f ca="1">Dashboard!C$8* Dashboard!$F$4+Dashboard!C$10*SQRT(Dashboard!$F$4) * _xlfn.NORM.S.INV(RAND())</f>
        <v>-1.9269656430500645E-2</v>
      </c>
      <c r="U7959" s="59">
        <f ca="1">Dashboard!D$8* Dashboard!$F$4+Dashboard!D$10*SQRT(Dashboard!$F$4) * _xlfn.NORM.S.INV(RAND())</f>
        <v>4.4244765764443221E-3</v>
      </c>
    </row>
    <row r="7960" spans="18:21" x14ac:dyDescent="0.2">
      <c r="R7960" s="49">
        <v>7958</v>
      </c>
      <c r="S7960" s="59">
        <f ca="1">Dashboard!B$8* Dashboard!$F$4+Dashboard!B$10*SQRT(Dashboard!$F$4) * _xlfn.NORM.S.INV(RAND())</f>
        <v>-5.3958534892609407E-3</v>
      </c>
      <c r="T7960" s="59">
        <f ca="1">Dashboard!C$8* Dashboard!$F$4+Dashboard!C$10*SQRT(Dashboard!$F$4) * _xlfn.NORM.S.INV(RAND())</f>
        <v>-8.4725562410911705E-3</v>
      </c>
      <c r="U7960" s="59">
        <f ca="1">Dashboard!D$8* Dashboard!$F$4+Dashboard!D$10*SQRT(Dashboard!$F$4) * _xlfn.NORM.S.INV(RAND())</f>
        <v>2.4326702559661312E-2</v>
      </c>
    </row>
    <row r="7961" spans="18:21" x14ac:dyDescent="0.2">
      <c r="R7961" s="49">
        <v>7959</v>
      </c>
      <c r="S7961" s="59">
        <f ca="1">Dashboard!B$8* Dashboard!$F$4+Dashboard!B$10*SQRT(Dashboard!$F$4) * _xlfn.NORM.S.INV(RAND())</f>
        <v>-3.2469182803510868E-2</v>
      </c>
      <c r="T7961" s="59">
        <f ca="1">Dashboard!C$8* Dashboard!$F$4+Dashboard!C$10*SQRT(Dashboard!$F$4) * _xlfn.NORM.S.INV(RAND())</f>
        <v>3.6817934230731007E-2</v>
      </c>
      <c r="U7961" s="59">
        <f ca="1">Dashboard!D$8* Dashboard!$F$4+Dashboard!D$10*SQRT(Dashboard!$F$4) * _xlfn.NORM.S.INV(RAND())</f>
        <v>5.5100761036404808E-3</v>
      </c>
    </row>
    <row r="7962" spans="18:21" x14ac:dyDescent="0.2">
      <c r="R7962" s="49">
        <v>7960</v>
      </c>
      <c r="S7962" s="59">
        <f ca="1">Dashboard!B$8* Dashboard!$F$4+Dashboard!B$10*SQRT(Dashboard!$F$4) * _xlfn.NORM.S.INV(RAND())</f>
        <v>1.7106657263495875E-2</v>
      </c>
      <c r="T7962" s="59">
        <f ca="1">Dashboard!C$8* Dashboard!$F$4+Dashboard!C$10*SQRT(Dashboard!$F$4) * _xlfn.NORM.S.INV(RAND())</f>
        <v>8.7637545330210551E-2</v>
      </c>
      <c r="U7962" s="59">
        <f ca="1">Dashboard!D$8* Dashboard!$F$4+Dashboard!D$10*SQRT(Dashboard!$F$4) * _xlfn.NORM.S.INV(RAND())</f>
        <v>3.2643084319893489E-2</v>
      </c>
    </row>
    <row r="7963" spans="18:21" x14ac:dyDescent="0.2">
      <c r="R7963" s="49">
        <v>7961</v>
      </c>
      <c r="S7963" s="59">
        <f ca="1">Dashboard!B$8* Dashboard!$F$4+Dashboard!B$10*SQRT(Dashboard!$F$4) * _xlfn.NORM.S.INV(RAND())</f>
        <v>-2.5649545502859153E-3</v>
      </c>
      <c r="T7963" s="59">
        <f ca="1">Dashboard!C$8* Dashboard!$F$4+Dashboard!C$10*SQRT(Dashboard!$F$4) * _xlfn.NORM.S.INV(RAND())</f>
        <v>-4.0715928709510719E-2</v>
      </c>
      <c r="U7963" s="59">
        <f ca="1">Dashboard!D$8* Dashboard!$F$4+Dashboard!D$10*SQRT(Dashboard!$F$4) * _xlfn.NORM.S.INV(RAND())</f>
        <v>9.3572885013606791E-2</v>
      </c>
    </row>
    <row r="7964" spans="18:21" x14ac:dyDescent="0.2">
      <c r="R7964" s="49">
        <v>7962</v>
      </c>
      <c r="S7964" s="59">
        <f ca="1">Dashboard!B$8* Dashboard!$F$4+Dashboard!B$10*SQRT(Dashboard!$F$4) * _xlfn.NORM.S.INV(RAND())</f>
        <v>-1.7675975248255163E-2</v>
      </c>
      <c r="T7964" s="59">
        <f ca="1">Dashboard!C$8* Dashboard!$F$4+Dashboard!C$10*SQRT(Dashboard!$F$4) * _xlfn.NORM.S.INV(RAND())</f>
        <v>3.5095510975700413E-2</v>
      </c>
      <c r="U7964" s="59">
        <f ca="1">Dashboard!D$8* Dashboard!$F$4+Dashboard!D$10*SQRT(Dashboard!$F$4) * _xlfn.NORM.S.INV(RAND())</f>
        <v>2.862088088257863E-2</v>
      </c>
    </row>
    <row r="7965" spans="18:21" x14ac:dyDescent="0.2">
      <c r="R7965" s="49">
        <v>7963</v>
      </c>
      <c r="S7965" s="59">
        <f ca="1">Dashboard!B$8* Dashboard!$F$4+Dashboard!B$10*SQRT(Dashboard!$F$4) * _xlfn.NORM.S.INV(RAND())</f>
        <v>2.8836391696953553E-2</v>
      </c>
      <c r="T7965" s="59">
        <f ca="1">Dashboard!C$8* Dashboard!$F$4+Dashboard!C$10*SQRT(Dashboard!$F$4) * _xlfn.NORM.S.INV(RAND())</f>
        <v>-3.6492753414612078E-3</v>
      </c>
      <c r="U7965" s="59">
        <f ca="1">Dashboard!D$8* Dashboard!$F$4+Dashboard!D$10*SQRT(Dashboard!$F$4) * _xlfn.NORM.S.INV(RAND())</f>
        <v>-6.5852442372373284E-3</v>
      </c>
    </row>
    <row r="7966" spans="18:21" x14ac:dyDescent="0.2">
      <c r="R7966" s="49">
        <v>7964</v>
      </c>
      <c r="S7966" s="59">
        <f ca="1">Dashboard!B$8* Dashboard!$F$4+Dashboard!B$10*SQRT(Dashboard!$F$4) * _xlfn.NORM.S.INV(RAND())</f>
        <v>-4.2310802110438347E-2</v>
      </c>
      <c r="T7966" s="59">
        <f ca="1">Dashboard!C$8* Dashboard!$F$4+Dashboard!C$10*SQRT(Dashboard!$F$4) * _xlfn.NORM.S.INV(RAND())</f>
        <v>1.1873990447272293E-2</v>
      </c>
      <c r="U7966" s="59">
        <f ca="1">Dashboard!D$8* Dashboard!$F$4+Dashboard!D$10*SQRT(Dashboard!$F$4) * _xlfn.NORM.S.INV(RAND())</f>
        <v>-2.1302740996738727E-2</v>
      </c>
    </row>
    <row r="7967" spans="18:21" x14ac:dyDescent="0.2">
      <c r="R7967" s="49">
        <v>7965</v>
      </c>
      <c r="S7967" s="59">
        <f ca="1">Dashboard!B$8* Dashboard!$F$4+Dashboard!B$10*SQRT(Dashboard!$F$4) * _xlfn.NORM.S.INV(RAND())</f>
        <v>-6.9937856071987561E-2</v>
      </c>
      <c r="T7967" s="59">
        <f ca="1">Dashboard!C$8* Dashboard!$F$4+Dashboard!C$10*SQRT(Dashboard!$F$4) * _xlfn.NORM.S.INV(RAND())</f>
        <v>-7.2613299867508488E-2</v>
      </c>
      <c r="U7967" s="59">
        <f ca="1">Dashboard!D$8* Dashboard!$F$4+Dashboard!D$10*SQRT(Dashboard!$F$4) * _xlfn.NORM.S.INV(RAND())</f>
        <v>2.8978524482527857E-2</v>
      </c>
    </row>
    <row r="7968" spans="18:21" x14ac:dyDescent="0.2">
      <c r="R7968" s="49">
        <v>7966</v>
      </c>
      <c r="S7968" s="59">
        <f ca="1">Dashboard!B$8* Dashboard!$F$4+Dashboard!B$10*SQRT(Dashboard!$F$4) * _xlfn.NORM.S.INV(RAND())</f>
        <v>1.2646451742010496E-2</v>
      </c>
      <c r="T7968" s="59">
        <f ca="1">Dashboard!C$8* Dashboard!$F$4+Dashboard!C$10*SQRT(Dashboard!$F$4) * _xlfn.NORM.S.INV(RAND())</f>
        <v>3.0964398655277107E-2</v>
      </c>
      <c r="U7968" s="59">
        <f ca="1">Dashboard!D$8* Dashboard!$F$4+Dashboard!D$10*SQRT(Dashboard!$F$4) * _xlfn.NORM.S.INV(RAND())</f>
        <v>-3.8290658242362066E-3</v>
      </c>
    </row>
    <row r="7969" spans="18:21" x14ac:dyDescent="0.2">
      <c r="R7969" s="49">
        <v>7967</v>
      </c>
      <c r="S7969" s="59">
        <f ca="1">Dashboard!B$8* Dashboard!$F$4+Dashboard!B$10*SQRT(Dashboard!$F$4) * _xlfn.NORM.S.INV(RAND())</f>
        <v>5.2373473672922041E-2</v>
      </c>
      <c r="T7969" s="59">
        <f ca="1">Dashboard!C$8* Dashboard!$F$4+Dashboard!C$10*SQRT(Dashboard!$F$4) * _xlfn.NORM.S.INV(RAND())</f>
        <v>5.6285178562209427E-3</v>
      </c>
      <c r="U7969" s="59">
        <f ca="1">Dashboard!D$8* Dashboard!$F$4+Dashboard!D$10*SQRT(Dashboard!$F$4) * _xlfn.NORM.S.INV(RAND())</f>
        <v>-1.7931797134362559E-2</v>
      </c>
    </row>
    <row r="7970" spans="18:21" x14ac:dyDescent="0.2">
      <c r="R7970" s="49">
        <v>7968</v>
      </c>
      <c r="S7970" s="59">
        <f ca="1">Dashboard!B$8* Dashboard!$F$4+Dashboard!B$10*SQRT(Dashboard!$F$4) * _xlfn.NORM.S.INV(RAND())</f>
        <v>-5.4280320562017708E-3</v>
      </c>
      <c r="T7970" s="59">
        <f ca="1">Dashboard!C$8* Dashboard!$F$4+Dashboard!C$10*SQRT(Dashboard!$F$4) * _xlfn.NORM.S.INV(RAND())</f>
        <v>1.8905874331366403E-2</v>
      </c>
      <c r="U7970" s="59">
        <f ca="1">Dashboard!D$8* Dashboard!$F$4+Dashboard!D$10*SQRT(Dashboard!$F$4) * _xlfn.NORM.S.INV(RAND())</f>
        <v>1.3778980898350533E-2</v>
      </c>
    </row>
    <row r="7971" spans="18:21" x14ac:dyDescent="0.2">
      <c r="R7971" s="49">
        <v>7969</v>
      </c>
      <c r="S7971" s="59">
        <f ca="1">Dashboard!B$8* Dashboard!$F$4+Dashboard!B$10*SQRT(Dashboard!$F$4) * _xlfn.NORM.S.INV(RAND())</f>
        <v>2.069468095514395E-2</v>
      </c>
      <c r="T7971" s="59">
        <f ca="1">Dashboard!C$8* Dashboard!$F$4+Dashboard!C$10*SQRT(Dashboard!$F$4) * _xlfn.NORM.S.INV(RAND())</f>
        <v>4.3720134604970033E-2</v>
      </c>
      <c r="U7971" s="59">
        <f ca="1">Dashboard!D$8* Dashboard!$F$4+Dashboard!D$10*SQRT(Dashboard!$F$4) * _xlfn.NORM.S.INV(RAND())</f>
        <v>-6.4336710175213994E-3</v>
      </c>
    </row>
    <row r="7972" spans="18:21" x14ac:dyDescent="0.2">
      <c r="R7972" s="49">
        <v>7970</v>
      </c>
      <c r="S7972" s="59">
        <f ca="1">Dashboard!B$8* Dashboard!$F$4+Dashboard!B$10*SQRT(Dashboard!$F$4) * _xlfn.NORM.S.INV(RAND())</f>
        <v>4.3260990787377301E-2</v>
      </c>
      <c r="T7972" s="59">
        <f ca="1">Dashboard!C$8* Dashboard!$F$4+Dashboard!C$10*SQRT(Dashboard!$F$4) * _xlfn.NORM.S.INV(RAND())</f>
        <v>7.1761506009321296E-2</v>
      </c>
      <c r="U7972" s="59">
        <f ca="1">Dashboard!D$8* Dashboard!$F$4+Dashboard!D$10*SQRT(Dashboard!$F$4) * _xlfn.NORM.S.INV(RAND())</f>
        <v>3.2699132166273778E-2</v>
      </c>
    </row>
    <row r="7973" spans="18:21" x14ac:dyDescent="0.2">
      <c r="R7973" s="49">
        <v>7971</v>
      </c>
      <c r="S7973" s="59">
        <f ca="1">Dashboard!B$8* Dashboard!$F$4+Dashboard!B$10*SQRT(Dashboard!$F$4) * _xlfn.NORM.S.INV(RAND())</f>
        <v>-4.4279696180122693E-3</v>
      </c>
      <c r="T7973" s="59">
        <f ca="1">Dashboard!C$8* Dashboard!$F$4+Dashboard!C$10*SQRT(Dashboard!$F$4) * _xlfn.NORM.S.INV(RAND())</f>
        <v>2.9433844991509341E-2</v>
      </c>
      <c r="U7973" s="59">
        <f ca="1">Dashboard!D$8* Dashboard!$F$4+Dashboard!D$10*SQRT(Dashboard!$F$4) * _xlfn.NORM.S.INV(RAND())</f>
        <v>-1.7348520785231941E-2</v>
      </c>
    </row>
    <row r="7974" spans="18:21" x14ac:dyDescent="0.2">
      <c r="R7974" s="49">
        <v>7972</v>
      </c>
      <c r="S7974" s="59">
        <f ca="1">Dashboard!B$8* Dashboard!$F$4+Dashboard!B$10*SQRT(Dashboard!$F$4) * _xlfn.NORM.S.INV(RAND())</f>
        <v>-5.7557221748837158E-2</v>
      </c>
      <c r="T7974" s="59">
        <f ca="1">Dashboard!C$8* Dashboard!$F$4+Dashboard!C$10*SQRT(Dashboard!$F$4) * _xlfn.NORM.S.INV(RAND())</f>
        <v>8.8326987115815964E-2</v>
      </c>
      <c r="U7974" s="59">
        <f ca="1">Dashboard!D$8* Dashboard!$F$4+Dashboard!D$10*SQRT(Dashboard!$F$4) * _xlfn.NORM.S.INV(RAND())</f>
        <v>2.2376869165884401E-2</v>
      </c>
    </row>
    <row r="7975" spans="18:21" x14ac:dyDescent="0.2">
      <c r="R7975" s="49">
        <v>7973</v>
      </c>
      <c r="S7975" s="59">
        <f ca="1">Dashboard!B$8* Dashboard!$F$4+Dashboard!B$10*SQRT(Dashboard!$F$4) * _xlfn.NORM.S.INV(RAND())</f>
        <v>6.5626480087019795E-2</v>
      </c>
      <c r="T7975" s="59">
        <f ca="1">Dashboard!C$8* Dashboard!$F$4+Dashboard!C$10*SQRT(Dashboard!$F$4) * _xlfn.NORM.S.INV(RAND())</f>
        <v>8.5318532442883802E-3</v>
      </c>
      <c r="U7975" s="59">
        <f ca="1">Dashboard!D$8* Dashboard!$F$4+Dashboard!D$10*SQRT(Dashboard!$F$4) * _xlfn.NORM.S.INV(RAND())</f>
        <v>7.6376827240639735E-3</v>
      </c>
    </row>
    <row r="7976" spans="18:21" x14ac:dyDescent="0.2">
      <c r="R7976" s="49">
        <v>7974</v>
      </c>
      <c r="S7976" s="59">
        <f ca="1">Dashboard!B$8* Dashboard!$F$4+Dashboard!B$10*SQRT(Dashboard!$F$4) * _xlfn.NORM.S.INV(RAND())</f>
        <v>1.5216861647621047E-2</v>
      </c>
      <c r="T7976" s="59">
        <f ca="1">Dashboard!C$8* Dashboard!$F$4+Dashboard!C$10*SQRT(Dashboard!$F$4) * _xlfn.NORM.S.INV(RAND())</f>
        <v>1.374930789280121E-2</v>
      </c>
      <c r="U7976" s="59">
        <f ca="1">Dashboard!D$8* Dashboard!$F$4+Dashboard!D$10*SQRT(Dashboard!$F$4) * _xlfn.NORM.S.INV(RAND())</f>
        <v>-1.5617618254538522E-2</v>
      </c>
    </row>
    <row r="7977" spans="18:21" x14ac:dyDescent="0.2">
      <c r="R7977" s="49">
        <v>7975</v>
      </c>
      <c r="S7977" s="59">
        <f ca="1">Dashboard!B$8* Dashboard!$F$4+Dashboard!B$10*SQRT(Dashboard!$F$4) * _xlfn.NORM.S.INV(RAND())</f>
        <v>-5.8081786018565298E-2</v>
      </c>
      <c r="T7977" s="59">
        <f ca="1">Dashboard!C$8* Dashboard!$F$4+Dashboard!C$10*SQRT(Dashboard!$F$4) * _xlfn.NORM.S.INV(RAND())</f>
        <v>2.3283969471535246E-2</v>
      </c>
      <c r="U7977" s="59">
        <f ca="1">Dashboard!D$8* Dashboard!$F$4+Dashboard!D$10*SQRT(Dashboard!$F$4) * _xlfn.NORM.S.INV(RAND())</f>
        <v>3.4464953101032616E-3</v>
      </c>
    </row>
    <row r="7978" spans="18:21" x14ac:dyDescent="0.2">
      <c r="R7978" s="49">
        <v>7976</v>
      </c>
      <c r="S7978" s="59">
        <f ca="1">Dashboard!B$8* Dashboard!$F$4+Dashboard!B$10*SQRT(Dashboard!$F$4) * _xlfn.NORM.S.INV(RAND())</f>
        <v>2.6485287822771229E-2</v>
      </c>
      <c r="T7978" s="59">
        <f ca="1">Dashboard!C$8* Dashboard!$F$4+Dashboard!C$10*SQRT(Dashboard!$F$4) * _xlfn.NORM.S.INV(RAND())</f>
        <v>-5.2594227427321269E-2</v>
      </c>
      <c r="U7978" s="59">
        <f ca="1">Dashboard!D$8* Dashboard!$F$4+Dashboard!D$10*SQRT(Dashboard!$F$4) * _xlfn.NORM.S.INV(RAND())</f>
        <v>-4.9647719472278894E-5</v>
      </c>
    </row>
    <row r="7979" spans="18:21" x14ac:dyDescent="0.2">
      <c r="R7979" s="49">
        <v>7977</v>
      </c>
      <c r="S7979" s="59">
        <f ca="1">Dashboard!B$8* Dashboard!$F$4+Dashboard!B$10*SQRT(Dashboard!$F$4) * _xlfn.NORM.S.INV(RAND())</f>
        <v>-1.9810724919269301E-2</v>
      </c>
      <c r="T7979" s="59">
        <f ca="1">Dashboard!C$8* Dashboard!$F$4+Dashboard!C$10*SQRT(Dashboard!$F$4) * _xlfn.NORM.S.INV(RAND())</f>
        <v>7.0429614217233944E-3</v>
      </c>
      <c r="U7979" s="59">
        <f ca="1">Dashboard!D$8* Dashboard!$F$4+Dashboard!D$10*SQRT(Dashboard!$F$4) * _xlfn.NORM.S.INV(RAND())</f>
        <v>4.8153563390241098E-3</v>
      </c>
    </row>
    <row r="7980" spans="18:21" x14ac:dyDescent="0.2">
      <c r="R7980" s="49">
        <v>7978</v>
      </c>
      <c r="S7980" s="59">
        <f ca="1">Dashboard!B$8* Dashboard!$F$4+Dashboard!B$10*SQRT(Dashboard!$F$4) * _xlfn.NORM.S.INV(RAND())</f>
        <v>6.6135620161029002E-3</v>
      </c>
      <c r="T7980" s="59">
        <f ca="1">Dashboard!C$8* Dashboard!$F$4+Dashboard!C$10*SQRT(Dashboard!$F$4) * _xlfn.NORM.S.INV(RAND())</f>
        <v>-2.9320706037397188E-2</v>
      </c>
      <c r="U7980" s="59">
        <f ca="1">Dashboard!D$8* Dashboard!$F$4+Dashboard!D$10*SQRT(Dashboard!$F$4) * _xlfn.NORM.S.INV(RAND())</f>
        <v>5.8976981609181592E-2</v>
      </c>
    </row>
    <row r="7981" spans="18:21" x14ac:dyDescent="0.2">
      <c r="R7981" s="49">
        <v>7979</v>
      </c>
      <c r="S7981" s="59">
        <f ca="1">Dashboard!B$8* Dashboard!$F$4+Dashboard!B$10*SQRT(Dashboard!$F$4) * _xlfn.NORM.S.INV(RAND())</f>
        <v>6.3737337022167828E-2</v>
      </c>
      <c r="T7981" s="59">
        <f ca="1">Dashboard!C$8* Dashboard!$F$4+Dashboard!C$10*SQRT(Dashboard!$F$4) * _xlfn.NORM.S.INV(RAND())</f>
        <v>-1.3164239124513546E-3</v>
      </c>
      <c r="U7981" s="59">
        <f ca="1">Dashboard!D$8* Dashboard!$F$4+Dashboard!D$10*SQRT(Dashboard!$F$4) * _xlfn.NORM.S.INV(RAND())</f>
        <v>-8.3317024604918133E-2</v>
      </c>
    </row>
    <row r="7982" spans="18:21" x14ac:dyDescent="0.2">
      <c r="R7982" s="49">
        <v>7980</v>
      </c>
      <c r="S7982" s="59">
        <f ca="1">Dashboard!B$8* Dashboard!$F$4+Dashboard!B$10*SQRT(Dashboard!$F$4) * _xlfn.NORM.S.INV(RAND())</f>
        <v>6.2963586682320549E-2</v>
      </c>
      <c r="T7982" s="59">
        <f ca="1">Dashboard!C$8* Dashboard!$F$4+Dashboard!C$10*SQRT(Dashboard!$F$4) * _xlfn.NORM.S.INV(RAND())</f>
        <v>3.2383128598997737E-2</v>
      </c>
      <c r="U7982" s="59">
        <f ca="1">Dashboard!D$8* Dashboard!$F$4+Dashboard!D$10*SQRT(Dashboard!$F$4) * _xlfn.NORM.S.INV(RAND())</f>
        <v>-2.5255966173488031E-2</v>
      </c>
    </row>
    <row r="7983" spans="18:21" x14ac:dyDescent="0.2">
      <c r="R7983" s="49">
        <v>7981</v>
      </c>
      <c r="S7983" s="59">
        <f ca="1">Dashboard!B$8* Dashboard!$F$4+Dashboard!B$10*SQRT(Dashboard!$F$4) * _xlfn.NORM.S.INV(RAND())</f>
        <v>-1.0633159164258272E-2</v>
      </c>
      <c r="T7983" s="59">
        <f ca="1">Dashboard!C$8* Dashboard!$F$4+Dashboard!C$10*SQRT(Dashboard!$F$4) * _xlfn.NORM.S.INV(RAND())</f>
        <v>2.6843096347650891E-2</v>
      </c>
      <c r="U7983" s="59">
        <f ca="1">Dashboard!D$8* Dashboard!$F$4+Dashboard!D$10*SQRT(Dashboard!$F$4) * _xlfn.NORM.S.INV(RAND())</f>
        <v>-5.5526724021690191E-2</v>
      </c>
    </row>
    <row r="7984" spans="18:21" x14ac:dyDescent="0.2">
      <c r="R7984" s="49">
        <v>7982</v>
      </c>
      <c r="S7984" s="59">
        <f ca="1">Dashboard!B$8* Dashboard!$F$4+Dashboard!B$10*SQRT(Dashboard!$F$4) * _xlfn.NORM.S.INV(RAND())</f>
        <v>1.9458863254772862E-2</v>
      </c>
      <c r="T7984" s="59">
        <f ca="1">Dashboard!C$8* Dashboard!$F$4+Dashboard!C$10*SQRT(Dashboard!$F$4) * _xlfn.NORM.S.INV(RAND())</f>
        <v>3.0767364883265775E-2</v>
      </c>
      <c r="U7984" s="59">
        <f ca="1">Dashboard!D$8* Dashboard!$F$4+Dashboard!D$10*SQRT(Dashboard!$F$4) * _xlfn.NORM.S.INV(RAND())</f>
        <v>-9.3239937941790793E-3</v>
      </c>
    </row>
    <row r="7985" spans="18:21" x14ac:dyDescent="0.2">
      <c r="R7985" s="49">
        <v>7983</v>
      </c>
      <c r="S7985" s="59">
        <f ca="1">Dashboard!B$8* Dashboard!$F$4+Dashboard!B$10*SQRT(Dashboard!$F$4) * _xlfn.NORM.S.INV(RAND())</f>
        <v>-9.8631489975492759E-2</v>
      </c>
      <c r="T7985" s="59">
        <f ca="1">Dashboard!C$8* Dashboard!$F$4+Dashboard!C$10*SQRT(Dashboard!$F$4) * _xlfn.NORM.S.INV(RAND())</f>
        <v>-2.2798245196541406E-2</v>
      </c>
      <c r="U7985" s="59">
        <f ca="1">Dashboard!D$8* Dashboard!$F$4+Dashboard!D$10*SQRT(Dashboard!$F$4) * _xlfn.NORM.S.INV(RAND())</f>
        <v>-2.1676671987884481E-2</v>
      </c>
    </row>
    <row r="7986" spans="18:21" x14ac:dyDescent="0.2">
      <c r="R7986" s="49">
        <v>7984</v>
      </c>
      <c r="S7986" s="59">
        <f ca="1">Dashboard!B$8* Dashboard!$F$4+Dashboard!B$10*SQRT(Dashboard!$F$4) * _xlfn.NORM.S.INV(RAND())</f>
        <v>4.709327992779351E-2</v>
      </c>
      <c r="T7986" s="59">
        <f ca="1">Dashboard!C$8* Dashboard!$F$4+Dashboard!C$10*SQRT(Dashboard!$F$4) * _xlfn.NORM.S.INV(RAND())</f>
        <v>-2.7900132427128802E-2</v>
      </c>
      <c r="U7986" s="59">
        <f ca="1">Dashboard!D$8* Dashboard!$F$4+Dashboard!D$10*SQRT(Dashboard!$F$4) * _xlfn.NORM.S.INV(RAND())</f>
        <v>-8.8321099314681607E-3</v>
      </c>
    </row>
    <row r="7987" spans="18:21" x14ac:dyDescent="0.2">
      <c r="R7987" s="49">
        <v>7985</v>
      </c>
      <c r="S7987" s="59">
        <f ca="1">Dashboard!B$8* Dashboard!$F$4+Dashboard!B$10*SQRT(Dashboard!$F$4) * _xlfn.NORM.S.INV(RAND())</f>
        <v>6.2494991808132769E-2</v>
      </c>
      <c r="T7987" s="59">
        <f ca="1">Dashboard!C$8* Dashboard!$F$4+Dashboard!C$10*SQRT(Dashboard!$F$4) * _xlfn.NORM.S.INV(RAND())</f>
        <v>-8.0513635003571886E-3</v>
      </c>
      <c r="U7987" s="59">
        <f ca="1">Dashboard!D$8* Dashboard!$F$4+Dashboard!D$10*SQRT(Dashboard!$F$4) * _xlfn.NORM.S.INV(RAND())</f>
        <v>-2.6592400758520287E-2</v>
      </c>
    </row>
    <row r="7988" spans="18:21" x14ac:dyDescent="0.2">
      <c r="R7988" s="49">
        <v>7986</v>
      </c>
      <c r="S7988" s="59">
        <f ca="1">Dashboard!B$8* Dashboard!$F$4+Dashboard!B$10*SQRT(Dashboard!$F$4) * _xlfn.NORM.S.INV(RAND())</f>
        <v>-1.586219664094056E-2</v>
      </c>
      <c r="T7988" s="59">
        <f ca="1">Dashboard!C$8* Dashboard!$F$4+Dashboard!C$10*SQRT(Dashboard!$F$4) * _xlfn.NORM.S.INV(RAND())</f>
        <v>-1.4188220360158318E-2</v>
      </c>
      <c r="U7988" s="59">
        <f ca="1">Dashboard!D$8* Dashboard!$F$4+Dashboard!D$10*SQRT(Dashboard!$F$4) * _xlfn.NORM.S.INV(RAND())</f>
        <v>-5.1300584446056299E-3</v>
      </c>
    </row>
    <row r="7989" spans="18:21" x14ac:dyDescent="0.2">
      <c r="R7989" s="49">
        <v>7987</v>
      </c>
      <c r="S7989" s="59">
        <f ca="1">Dashboard!B$8* Dashboard!$F$4+Dashboard!B$10*SQRT(Dashboard!$F$4) * _xlfn.NORM.S.INV(RAND())</f>
        <v>2.9821949513203924E-2</v>
      </c>
      <c r="T7989" s="59">
        <f ca="1">Dashboard!C$8* Dashboard!$F$4+Dashboard!C$10*SQRT(Dashboard!$F$4) * _xlfn.NORM.S.INV(RAND())</f>
        <v>-5.7441982631560628E-3</v>
      </c>
      <c r="U7989" s="59">
        <f ca="1">Dashboard!D$8* Dashboard!$F$4+Dashboard!D$10*SQRT(Dashboard!$F$4) * _xlfn.NORM.S.INV(RAND())</f>
        <v>-1.0702578695385325E-2</v>
      </c>
    </row>
    <row r="7990" spans="18:21" x14ac:dyDescent="0.2">
      <c r="R7990" s="49">
        <v>7988</v>
      </c>
      <c r="S7990" s="59">
        <f ca="1">Dashboard!B$8* Dashboard!$F$4+Dashboard!B$10*SQRT(Dashboard!$F$4) * _xlfn.NORM.S.INV(RAND())</f>
        <v>-3.1375218426112766E-2</v>
      </c>
      <c r="T7990" s="59">
        <f ca="1">Dashboard!C$8* Dashboard!$F$4+Dashboard!C$10*SQRT(Dashboard!$F$4) * _xlfn.NORM.S.INV(RAND())</f>
        <v>3.5719728895290369E-2</v>
      </c>
      <c r="U7990" s="59">
        <f ca="1">Dashboard!D$8* Dashboard!$F$4+Dashboard!D$10*SQRT(Dashboard!$F$4) * _xlfn.NORM.S.INV(RAND())</f>
        <v>1.4054946377753903E-2</v>
      </c>
    </row>
    <row r="7991" spans="18:21" x14ac:dyDescent="0.2">
      <c r="R7991" s="49">
        <v>7989</v>
      </c>
      <c r="S7991" s="59">
        <f ca="1">Dashboard!B$8* Dashboard!$F$4+Dashboard!B$10*SQRT(Dashboard!$F$4) * _xlfn.NORM.S.INV(RAND())</f>
        <v>-6.1834992265700573E-4</v>
      </c>
      <c r="T7991" s="59">
        <f ca="1">Dashboard!C$8* Dashboard!$F$4+Dashboard!C$10*SQRT(Dashboard!$F$4) * _xlfn.NORM.S.INV(RAND())</f>
        <v>2.817517076003567E-3</v>
      </c>
      <c r="U7991" s="59">
        <f ca="1">Dashboard!D$8* Dashboard!$F$4+Dashboard!D$10*SQRT(Dashboard!$F$4) * _xlfn.NORM.S.INV(RAND())</f>
        <v>-7.8379523235745348E-4</v>
      </c>
    </row>
    <row r="7992" spans="18:21" x14ac:dyDescent="0.2">
      <c r="R7992" s="49">
        <v>7990</v>
      </c>
      <c r="S7992" s="59">
        <f ca="1">Dashboard!B$8* Dashboard!$F$4+Dashboard!B$10*SQRT(Dashboard!$F$4) * _xlfn.NORM.S.INV(RAND())</f>
        <v>-1.4897111150606614E-3</v>
      </c>
      <c r="T7992" s="59">
        <f ca="1">Dashboard!C$8* Dashboard!$F$4+Dashboard!C$10*SQRT(Dashboard!$F$4) * _xlfn.NORM.S.INV(RAND())</f>
        <v>-4.2535144636322068E-2</v>
      </c>
      <c r="U7992" s="59">
        <f ca="1">Dashboard!D$8* Dashboard!$F$4+Dashboard!D$10*SQRT(Dashboard!$F$4) * _xlfn.NORM.S.INV(RAND())</f>
        <v>3.8790884072509016E-3</v>
      </c>
    </row>
    <row r="7993" spans="18:21" x14ac:dyDescent="0.2">
      <c r="R7993" s="49">
        <v>7991</v>
      </c>
      <c r="S7993" s="59">
        <f ca="1">Dashboard!B$8* Dashboard!$F$4+Dashboard!B$10*SQRT(Dashboard!$F$4) * _xlfn.NORM.S.INV(RAND())</f>
        <v>9.1498905112684086E-3</v>
      </c>
      <c r="T7993" s="59">
        <f ca="1">Dashboard!C$8* Dashboard!$F$4+Dashboard!C$10*SQRT(Dashboard!$F$4) * _xlfn.NORM.S.INV(RAND())</f>
        <v>-2.5083917816929955E-2</v>
      </c>
      <c r="U7993" s="59">
        <f ca="1">Dashboard!D$8* Dashboard!$F$4+Dashboard!D$10*SQRT(Dashboard!$F$4) * _xlfn.NORM.S.INV(RAND())</f>
        <v>9.3963181292900273E-3</v>
      </c>
    </row>
    <row r="7994" spans="18:21" x14ac:dyDescent="0.2">
      <c r="R7994" s="49">
        <v>7992</v>
      </c>
      <c r="S7994" s="59">
        <f ca="1">Dashboard!B$8* Dashboard!$F$4+Dashboard!B$10*SQRT(Dashboard!$F$4) * _xlfn.NORM.S.INV(RAND())</f>
        <v>-2.9277482261279686E-2</v>
      </c>
      <c r="T7994" s="59">
        <f ca="1">Dashboard!C$8* Dashboard!$F$4+Dashboard!C$10*SQRT(Dashboard!$F$4) * _xlfn.NORM.S.INV(RAND())</f>
        <v>-2.4751451938546307E-2</v>
      </c>
      <c r="U7994" s="59">
        <f ca="1">Dashboard!D$8* Dashboard!$F$4+Dashboard!D$10*SQRT(Dashboard!$F$4) * _xlfn.NORM.S.INV(RAND())</f>
        <v>-1.9524203169177912E-2</v>
      </c>
    </row>
    <row r="7995" spans="18:21" x14ac:dyDescent="0.2">
      <c r="R7995" s="49">
        <v>7993</v>
      </c>
      <c r="S7995" s="59">
        <f ca="1">Dashboard!B$8* Dashboard!$F$4+Dashboard!B$10*SQRT(Dashboard!$F$4) * _xlfn.NORM.S.INV(RAND())</f>
        <v>-2.033859550951999E-2</v>
      </c>
      <c r="T7995" s="59">
        <f ca="1">Dashboard!C$8* Dashboard!$F$4+Dashboard!C$10*SQRT(Dashboard!$F$4) * _xlfn.NORM.S.INV(RAND())</f>
        <v>5.5242172807058586E-2</v>
      </c>
      <c r="U7995" s="59">
        <f ca="1">Dashboard!D$8* Dashboard!$F$4+Dashboard!D$10*SQRT(Dashboard!$F$4) * _xlfn.NORM.S.INV(RAND())</f>
        <v>-3.346653372203607E-2</v>
      </c>
    </row>
    <row r="7996" spans="18:21" x14ac:dyDescent="0.2">
      <c r="R7996" s="49">
        <v>7994</v>
      </c>
      <c r="S7996" s="59">
        <f ca="1">Dashboard!B$8* Dashboard!$F$4+Dashboard!B$10*SQRT(Dashboard!$F$4) * _xlfn.NORM.S.INV(RAND())</f>
        <v>3.6902270963943613E-2</v>
      </c>
      <c r="T7996" s="59">
        <f ca="1">Dashboard!C$8* Dashboard!$F$4+Dashboard!C$10*SQRT(Dashboard!$F$4) * _xlfn.NORM.S.INV(RAND())</f>
        <v>6.6892969937478008E-2</v>
      </c>
      <c r="U7996" s="59">
        <f ca="1">Dashboard!D$8* Dashboard!$F$4+Dashboard!D$10*SQRT(Dashboard!$F$4) * _xlfn.NORM.S.INV(RAND())</f>
        <v>2.6316588661692654E-2</v>
      </c>
    </row>
    <row r="7997" spans="18:21" x14ac:dyDescent="0.2">
      <c r="R7997" s="49">
        <v>7995</v>
      </c>
      <c r="S7997" s="59">
        <f ca="1">Dashboard!B$8* Dashboard!$F$4+Dashboard!B$10*SQRT(Dashboard!$F$4) * _xlfn.NORM.S.INV(RAND())</f>
        <v>2.1178853070574453E-2</v>
      </c>
      <c r="T7997" s="59">
        <f ca="1">Dashboard!C$8* Dashboard!$F$4+Dashboard!C$10*SQRT(Dashboard!$F$4) * _xlfn.NORM.S.INV(RAND())</f>
        <v>-9.1330229193670037E-3</v>
      </c>
      <c r="U7997" s="59">
        <f ca="1">Dashboard!D$8* Dashboard!$F$4+Dashboard!D$10*SQRT(Dashboard!$F$4) * _xlfn.NORM.S.INV(RAND())</f>
        <v>-1.3993963747160703E-2</v>
      </c>
    </row>
    <row r="7998" spans="18:21" x14ac:dyDescent="0.2">
      <c r="R7998" s="49">
        <v>7996</v>
      </c>
      <c r="S7998" s="59">
        <f ca="1">Dashboard!B$8* Dashboard!$F$4+Dashboard!B$10*SQRT(Dashboard!$F$4) * _xlfn.NORM.S.INV(RAND())</f>
        <v>-8.8100884271632117E-3</v>
      </c>
      <c r="T7998" s="59">
        <f ca="1">Dashboard!C$8* Dashboard!$F$4+Dashboard!C$10*SQRT(Dashboard!$F$4) * _xlfn.NORM.S.INV(RAND())</f>
        <v>-6.2619656814435149E-3</v>
      </c>
      <c r="U7998" s="59">
        <f ca="1">Dashboard!D$8* Dashboard!$F$4+Dashboard!D$10*SQRT(Dashboard!$F$4) * _xlfn.NORM.S.INV(RAND())</f>
        <v>-1.5805576815739197E-2</v>
      </c>
    </row>
    <row r="7999" spans="18:21" x14ac:dyDescent="0.2">
      <c r="R7999" s="49">
        <v>7997</v>
      </c>
      <c r="S7999" s="59">
        <f ca="1">Dashboard!B$8* Dashboard!$F$4+Dashboard!B$10*SQRT(Dashboard!$F$4) * _xlfn.NORM.S.INV(RAND())</f>
        <v>-1.1445528615156984E-2</v>
      </c>
      <c r="T7999" s="59">
        <f ca="1">Dashboard!C$8* Dashboard!$F$4+Dashboard!C$10*SQRT(Dashboard!$F$4) * _xlfn.NORM.S.INV(RAND())</f>
        <v>3.1996902683317348E-2</v>
      </c>
      <c r="U7999" s="59">
        <f ca="1">Dashboard!D$8* Dashboard!$F$4+Dashboard!D$10*SQRT(Dashboard!$F$4) * _xlfn.NORM.S.INV(RAND())</f>
        <v>-2.3819306008835313E-2</v>
      </c>
    </row>
    <row r="8000" spans="18:21" x14ac:dyDescent="0.2">
      <c r="R8000" s="49">
        <v>7998</v>
      </c>
      <c r="S8000" s="59">
        <f ca="1">Dashboard!B$8* Dashboard!$F$4+Dashboard!B$10*SQRT(Dashboard!$F$4) * _xlfn.NORM.S.INV(RAND())</f>
        <v>-3.8697178199647575E-2</v>
      </c>
      <c r="T8000" s="59">
        <f ca="1">Dashboard!C$8* Dashboard!$F$4+Dashboard!C$10*SQRT(Dashboard!$F$4) * _xlfn.NORM.S.INV(RAND())</f>
        <v>2.9576540869480895E-2</v>
      </c>
      <c r="U8000" s="59">
        <f ca="1">Dashboard!D$8* Dashboard!$F$4+Dashboard!D$10*SQRT(Dashboard!$F$4) * _xlfn.NORM.S.INV(RAND())</f>
        <v>2.197250389462501E-2</v>
      </c>
    </row>
    <row r="8001" spans="18:21" x14ac:dyDescent="0.2">
      <c r="R8001" s="49">
        <v>7999</v>
      </c>
      <c r="S8001" s="59">
        <f ca="1">Dashboard!B$8* Dashboard!$F$4+Dashboard!B$10*SQRT(Dashboard!$F$4) * _xlfn.NORM.S.INV(RAND())</f>
        <v>-1.9665773209077073E-2</v>
      </c>
      <c r="T8001" s="59">
        <f ca="1">Dashboard!C$8* Dashboard!$F$4+Dashboard!C$10*SQRT(Dashboard!$F$4) * _xlfn.NORM.S.INV(RAND())</f>
        <v>3.3242678007831166E-3</v>
      </c>
      <c r="U8001" s="59">
        <f ca="1">Dashboard!D$8* Dashboard!$F$4+Dashboard!D$10*SQRT(Dashboard!$F$4) * _xlfn.NORM.S.INV(RAND())</f>
        <v>-2.9487838223594999E-2</v>
      </c>
    </row>
    <row r="8002" spans="18:21" x14ac:dyDescent="0.2">
      <c r="R8002" s="49">
        <v>8000</v>
      </c>
      <c r="S8002" s="59">
        <f ca="1">Dashboard!B$8* Dashboard!$F$4+Dashboard!B$10*SQRT(Dashboard!$F$4) * _xlfn.NORM.S.INV(RAND())</f>
        <v>1.1054562671608158E-2</v>
      </c>
      <c r="T8002" s="59">
        <f ca="1">Dashboard!C$8* Dashboard!$F$4+Dashboard!C$10*SQRT(Dashboard!$F$4) * _xlfn.NORM.S.INV(RAND())</f>
        <v>2.0558174533195669E-3</v>
      </c>
      <c r="U8002" s="59">
        <f ca="1">Dashboard!D$8* Dashboard!$F$4+Dashboard!D$10*SQRT(Dashboard!$F$4) * _xlfn.NORM.S.INV(RAND())</f>
        <v>-1.5069319150572857E-2</v>
      </c>
    </row>
    <row r="8003" spans="18:21" x14ac:dyDescent="0.2">
      <c r="R8003" s="49">
        <v>8001</v>
      </c>
      <c r="S8003" s="59">
        <f ca="1">Dashboard!B$8* Dashboard!$F$4+Dashboard!B$10*SQRT(Dashboard!$F$4) * _xlfn.NORM.S.INV(RAND())</f>
        <v>-9.8700610229788786E-3</v>
      </c>
      <c r="T8003" s="59">
        <f ca="1">Dashboard!C$8* Dashboard!$F$4+Dashboard!C$10*SQRT(Dashboard!$F$4) * _xlfn.NORM.S.INV(RAND())</f>
        <v>-4.3683379242271232E-2</v>
      </c>
      <c r="U8003" s="59">
        <f ca="1">Dashboard!D$8* Dashboard!$F$4+Dashboard!D$10*SQRT(Dashboard!$F$4) * _xlfn.NORM.S.INV(RAND())</f>
        <v>4.5081774615790392E-3</v>
      </c>
    </row>
    <row r="8004" spans="18:21" x14ac:dyDescent="0.2">
      <c r="R8004" s="49">
        <v>8002</v>
      </c>
      <c r="S8004" s="59">
        <f ca="1">Dashboard!B$8* Dashboard!$F$4+Dashboard!B$10*SQRT(Dashboard!$F$4) * _xlfn.NORM.S.INV(RAND())</f>
        <v>1.9148674291949906E-2</v>
      </c>
      <c r="T8004" s="59">
        <f ca="1">Dashboard!C$8* Dashboard!$F$4+Dashboard!C$10*SQRT(Dashboard!$F$4) * _xlfn.NORM.S.INV(RAND())</f>
        <v>3.657810446818565E-2</v>
      </c>
      <c r="U8004" s="59">
        <f ca="1">Dashboard!D$8* Dashboard!$F$4+Dashboard!D$10*SQRT(Dashboard!$F$4) * _xlfn.NORM.S.INV(RAND())</f>
        <v>-8.2249915184418858E-3</v>
      </c>
    </row>
    <row r="8005" spans="18:21" x14ac:dyDescent="0.2">
      <c r="R8005" s="49">
        <v>8003</v>
      </c>
      <c r="S8005" s="59">
        <f ca="1">Dashboard!B$8* Dashboard!$F$4+Dashboard!B$10*SQRT(Dashboard!$F$4) * _xlfn.NORM.S.INV(RAND())</f>
        <v>-7.4174722426303945E-3</v>
      </c>
      <c r="T8005" s="59">
        <f ca="1">Dashboard!C$8* Dashboard!$F$4+Dashboard!C$10*SQRT(Dashboard!$F$4) * _xlfn.NORM.S.INV(RAND())</f>
        <v>4.5355896945804768E-2</v>
      </c>
      <c r="U8005" s="59">
        <f ca="1">Dashboard!D$8* Dashboard!$F$4+Dashboard!D$10*SQRT(Dashboard!$F$4) * _xlfn.NORM.S.INV(RAND())</f>
        <v>3.7626393408550424E-2</v>
      </c>
    </row>
    <row r="8006" spans="18:21" x14ac:dyDescent="0.2">
      <c r="R8006" s="49">
        <v>8004</v>
      </c>
      <c r="S8006" s="59">
        <f ca="1">Dashboard!B$8* Dashboard!$F$4+Dashboard!B$10*SQRT(Dashboard!$F$4) * _xlfn.NORM.S.INV(RAND())</f>
        <v>-8.094955310331069E-3</v>
      </c>
      <c r="T8006" s="59">
        <f ca="1">Dashboard!C$8* Dashboard!$F$4+Dashboard!C$10*SQRT(Dashboard!$F$4) * _xlfn.NORM.S.INV(RAND())</f>
        <v>8.0944863463891473E-2</v>
      </c>
      <c r="U8006" s="59">
        <f ca="1">Dashboard!D$8* Dashboard!$F$4+Dashboard!D$10*SQRT(Dashboard!$F$4) * _xlfn.NORM.S.INV(RAND())</f>
        <v>1.6100932125879264E-2</v>
      </c>
    </row>
    <row r="8007" spans="18:21" x14ac:dyDescent="0.2">
      <c r="R8007" s="49">
        <v>8005</v>
      </c>
      <c r="S8007" s="59">
        <f ca="1">Dashboard!B$8* Dashboard!$F$4+Dashboard!B$10*SQRT(Dashboard!$F$4) * _xlfn.NORM.S.INV(RAND())</f>
        <v>2.945084152813441E-2</v>
      </c>
      <c r="T8007" s="59">
        <f ca="1">Dashboard!C$8* Dashboard!$F$4+Dashboard!C$10*SQRT(Dashboard!$F$4) * _xlfn.NORM.S.INV(RAND())</f>
        <v>-5.1938890624502472E-2</v>
      </c>
      <c r="U8007" s="59">
        <f ca="1">Dashboard!D$8* Dashboard!$F$4+Dashboard!D$10*SQRT(Dashboard!$F$4) * _xlfn.NORM.S.INV(RAND())</f>
        <v>3.3840617574409225E-2</v>
      </c>
    </row>
    <row r="8008" spans="18:21" x14ac:dyDescent="0.2">
      <c r="R8008" s="49">
        <v>8006</v>
      </c>
      <c r="S8008" s="59">
        <f ca="1">Dashboard!B$8* Dashboard!$F$4+Dashboard!B$10*SQRT(Dashboard!$F$4) * _xlfn.NORM.S.INV(RAND())</f>
        <v>-1.9117056832520494E-2</v>
      </c>
      <c r="T8008" s="59">
        <f ca="1">Dashboard!C$8* Dashboard!$F$4+Dashboard!C$10*SQRT(Dashboard!$F$4) * _xlfn.NORM.S.INV(RAND())</f>
        <v>-2.4754650045908664E-3</v>
      </c>
      <c r="U8008" s="59">
        <f ca="1">Dashboard!D$8* Dashboard!$F$4+Dashboard!D$10*SQRT(Dashboard!$F$4) * _xlfn.NORM.S.INV(RAND())</f>
        <v>1.6163225182243238E-2</v>
      </c>
    </row>
    <row r="8009" spans="18:21" x14ac:dyDescent="0.2">
      <c r="R8009" s="49">
        <v>8007</v>
      </c>
      <c r="S8009" s="59">
        <f ca="1">Dashboard!B$8* Dashboard!$F$4+Dashboard!B$10*SQRT(Dashboard!$F$4) * _xlfn.NORM.S.INV(RAND())</f>
        <v>1.5609154944631597E-2</v>
      </c>
      <c r="T8009" s="59">
        <f ca="1">Dashboard!C$8* Dashboard!$F$4+Dashboard!C$10*SQRT(Dashboard!$F$4) * _xlfn.NORM.S.INV(RAND())</f>
        <v>-1.4640603921126866E-3</v>
      </c>
      <c r="U8009" s="59">
        <f ca="1">Dashboard!D$8* Dashboard!$F$4+Dashboard!D$10*SQRT(Dashboard!$F$4) * _xlfn.NORM.S.INV(RAND())</f>
        <v>3.0456499553494956E-2</v>
      </c>
    </row>
    <row r="8010" spans="18:21" x14ac:dyDescent="0.2">
      <c r="R8010" s="49">
        <v>8008</v>
      </c>
      <c r="S8010" s="59">
        <f ca="1">Dashboard!B$8* Dashboard!$F$4+Dashboard!B$10*SQRT(Dashboard!$F$4) * _xlfn.NORM.S.INV(RAND())</f>
        <v>-2.2750588261143158E-2</v>
      </c>
      <c r="T8010" s="59">
        <f ca="1">Dashboard!C$8* Dashboard!$F$4+Dashboard!C$10*SQRT(Dashboard!$F$4) * _xlfn.NORM.S.INV(RAND())</f>
        <v>-1.0948974802035851E-2</v>
      </c>
      <c r="U8010" s="59">
        <f ca="1">Dashboard!D$8* Dashboard!$F$4+Dashboard!D$10*SQRT(Dashboard!$F$4) * _xlfn.NORM.S.INV(RAND())</f>
        <v>-6.6519847723423434E-3</v>
      </c>
    </row>
    <row r="8011" spans="18:21" x14ac:dyDescent="0.2">
      <c r="R8011" s="49">
        <v>8009</v>
      </c>
      <c r="S8011" s="59">
        <f ca="1">Dashboard!B$8* Dashboard!$F$4+Dashboard!B$10*SQRT(Dashboard!$F$4) * _xlfn.NORM.S.INV(RAND())</f>
        <v>3.6707474185663058E-2</v>
      </c>
      <c r="T8011" s="59">
        <f ca="1">Dashboard!C$8* Dashboard!$F$4+Dashboard!C$10*SQRT(Dashboard!$F$4) * _xlfn.NORM.S.INV(RAND())</f>
        <v>4.5994429954946611E-2</v>
      </c>
      <c r="U8011" s="59">
        <f ca="1">Dashboard!D$8* Dashboard!$F$4+Dashboard!D$10*SQRT(Dashboard!$F$4) * _xlfn.NORM.S.INV(RAND())</f>
        <v>3.0211706277066541E-2</v>
      </c>
    </row>
    <row r="8012" spans="18:21" x14ac:dyDescent="0.2">
      <c r="R8012" s="49">
        <v>8010</v>
      </c>
      <c r="S8012" s="59">
        <f ca="1">Dashboard!B$8* Dashboard!$F$4+Dashboard!B$10*SQRT(Dashboard!$F$4) * _xlfn.NORM.S.INV(RAND())</f>
        <v>-1.322558429486514E-2</v>
      </c>
      <c r="T8012" s="59">
        <f ca="1">Dashboard!C$8* Dashboard!$F$4+Dashboard!C$10*SQRT(Dashboard!$F$4) * _xlfn.NORM.S.INV(RAND())</f>
        <v>-2.9952858600169784E-2</v>
      </c>
      <c r="U8012" s="59">
        <f ca="1">Dashboard!D$8* Dashboard!$F$4+Dashboard!D$10*SQRT(Dashboard!$F$4) * _xlfn.NORM.S.INV(RAND())</f>
        <v>3.0449614827880774E-2</v>
      </c>
    </row>
    <row r="8013" spans="18:21" x14ac:dyDescent="0.2">
      <c r="R8013" s="49">
        <v>8011</v>
      </c>
      <c r="S8013" s="59">
        <f ca="1">Dashboard!B$8* Dashboard!$F$4+Dashboard!B$10*SQRT(Dashboard!$F$4) * _xlfn.NORM.S.INV(RAND())</f>
        <v>2.6300215465561126E-3</v>
      </c>
      <c r="T8013" s="59">
        <f ca="1">Dashboard!C$8* Dashboard!$F$4+Dashboard!C$10*SQRT(Dashboard!$F$4) * _xlfn.NORM.S.INV(RAND())</f>
        <v>3.7187220328798974E-2</v>
      </c>
      <c r="U8013" s="59">
        <f ca="1">Dashboard!D$8* Dashboard!$F$4+Dashboard!D$10*SQRT(Dashboard!$F$4) * _xlfn.NORM.S.INV(RAND())</f>
        <v>2.1630666661739762E-3</v>
      </c>
    </row>
    <row r="8014" spans="18:21" x14ac:dyDescent="0.2">
      <c r="R8014" s="49">
        <v>8012</v>
      </c>
      <c r="S8014" s="59">
        <f ca="1">Dashboard!B$8* Dashboard!$F$4+Dashboard!B$10*SQRT(Dashboard!$F$4) * _xlfn.NORM.S.INV(RAND())</f>
        <v>4.7531900325379059E-2</v>
      </c>
      <c r="T8014" s="59">
        <f ca="1">Dashboard!C$8* Dashboard!$F$4+Dashboard!C$10*SQRT(Dashboard!$F$4) * _xlfn.NORM.S.INV(RAND())</f>
        <v>-1.8922441926322066E-2</v>
      </c>
      <c r="U8014" s="59">
        <f ca="1">Dashboard!D$8* Dashboard!$F$4+Dashboard!D$10*SQRT(Dashboard!$F$4) * _xlfn.NORM.S.INV(RAND())</f>
        <v>-1.1869622351665171E-3</v>
      </c>
    </row>
    <row r="8015" spans="18:21" x14ac:dyDescent="0.2">
      <c r="R8015" s="49">
        <v>8013</v>
      </c>
      <c r="S8015" s="59">
        <f ca="1">Dashboard!B$8* Dashboard!$F$4+Dashboard!B$10*SQRT(Dashboard!$F$4) * _xlfn.NORM.S.INV(RAND())</f>
        <v>-8.0695059827471851E-3</v>
      </c>
      <c r="T8015" s="59">
        <f ca="1">Dashboard!C$8* Dashboard!$F$4+Dashboard!C$10*SQRT(Dashboard!$F$4) * _xlfn.NORM.S.INV(RAND())</f>
        <v>2.320432396600066E-2</v>
      </c>
      <c r="U8015" s="59">
        <f ca="1">Dashboard!D$8* Dashboard!$F$4+Dashboard!D$10*SQRT(Dashboard!$F$4) * _xlfn.NORM.S.INV(RAND())</f>
        <v>-2.4835112423968759E-2</v>
      </c>
    </row>
    <row r="8016" spans="18:21" x14ac:dyDescent="0.2">
      <c r="R8016" s="49">
        <v>8014</v>
      </c>
      <c r="S8016" s="59">
        <f ca="1">Dashboard!B$8* Dashboard!$F$4+Dashboard!B$10*SQRT(Dashboard!$F$4) * _xlfn.NORM.S.INV(RAND())</f>
        <v>-3.03827458120133E-2</v>
      </c>
      <c r="T8016" s="59">
        <f ca="1">Dashboard!C$8* Dashboard!$F$4+Dashboard!C$10*SQRT(Dashboard!$F$4) * _xlfn.NORM.S.INV(RAND())</f>
        <v>2.3956316590623469E-2</v>
      </c>
      <c r="U8016" s="59">
        <f ca="1">Dashboard!D$8* Dashboard!$F$4+Dashboard!D$10*SQRT(Dashboard!$F$4) * _xlfn.NORM.S.INV(RAND())</f>
        <v>-5.4021899757946091E-3</v>
      </c>
    </row>
    <row r="8017" spans="18:21" x14ac:dyDescent="0.2">
      <c r="R8017" s="49">
        <v>8015</v>
      </c>
      <c r="S8017" s="59">
        <f ca="1">Dashboard!B$8* Dashboard!$F$4+Dashboard!B$10*SQRT(Dashboard!$F$4) * _xlfn.NORM.S.INV(RAND())</f>
        <v>8.7567179179172082E-3</v>
      </c>
      <c r="T8017" s="59">
        <f ca="1">Dashboard!C$8* Dashboard!$F$4+Dashboard!C$10*SQRT(Dashboard!$F$4) * _xlfn.NORM.S.INV(RAND())</f>
        <v>-5.219693451713843E-2</v>
      </c>
      <c r="U8017" s="59">
        <f ca="1">Dashboard!D$8* Dashboard!$F$4+Dashboard!D$10*SQRT(Dashboard!$F$4) * _xlfn.NORM.S.INV(RAND())</f>
        <v>-3.8687027510000312E-2</v>
      </c>
    </row>
    <row r="8018" spans="18:21" x14ac:dyDescent="0.2">
      <c r="R8018" s="49">
        <v>8016</v>
      </c>
      <c r="S8018" s="59">
        <f ca="1">Dashboard!B$8* Dashboard!$F$4+Dashboard!B$10*SQRT(Dashboard!$F$4) * _xlfn.NORM.S.INV(RAND())</f>
        <v>2.4066009001280163E-2</v>
      </c>
      <c r="T8018" s="59">
        <f ca="1">Dashboard!C$8* Dashboard!$F$4+Dashboard!C$10*SQRT(Dashboard!$F$4) * _xlfn.NORM.S.INV(RAND())</f>
        <v>4.590244223627634E-2</v>
      </c>
      <c r="U8018" s="59">
        <f ca="1">Dashboard!D$8* Dashboard!$F$4+Dashboard!D$10*SQRT(Dashboard!$F$4) * _xlfn.NORM.S.INV(RAND())</f>
        <v>1.7980264231836295E-3</v>
      </c>
    </row>
    <row r="8019" spans="18:21" x14ac:dyDescent="0.2">
      <c r="R8019" s="49">
        <v>8017</v>
      </c>
      <c r="S8019" s="59">
        <f ca="1">Dashboard!B$8* Dashboard!$F$4+Dashboard!B$10*SQRT(Dashboard!$F$4) * _xlfn.NORM.S.INV(RAND())</f>
        <v>-2.9227109008222008E-2</v>
      </c>
      <c r="T8019" s="59">
        <f ca="1">Dashboard!C$8* Dashboard!$F$4+Dashboard!C$10*SQRT(Dashboard!$F$4) * _xlfn.NORM.S.INV(RAND())</f>
        <v>5.3473581773446528E-2</v>
      </c>
      <c r="U8019" s="59">
        <f ca="1">Dashboard!D$8* Dashboard!$F$4+Dashboard!D$10*SQRT(Dashboard!$F$4) * _xlfn.NORM.S.INV(RAND())</f>
        <v>1.7096451144390418E-2</v>
      </c>
    </row>
    <row r="8020" spans="18:21" x14ac:dyDescent="0.2">
      <c r="R8020" s="49">
        <v>8018</v>
      </c>
      <c r="S8020" s="59">
        <f ca="1">Dashboard!B$8* Dashboard!$F$4+Dashboard!B$10*SQRT(Dashboard!$F$4) * _xlfn.NORM.S.INV(RAND())</f>
        <v>-7.865471912649187E-2</v>
      </c>
      <c r="T8020" s="59">
        <f ca="1">Dashboard!C$8* Dashboard!$F$4+Dashboard!C$10*SQRT(Dashboard!$F$4) * _xlfn.NORM.S.INV(RAND())</f>
        <v>-2.9487678272943456E-4</v>
      </c>
      <c r="U8020" s="59">
        <f ca="1">Dashboard!D$8* Dashboard!$F$4+Dashboard!D$10*SQRT(Dashboard!$F$4) * _xlfn.NORM.S.INV(RAND())</f>
        <v>-1.7921861767272056E-2</v>
      </c>
    </row>
    <row r="8021" spans="18:21" x14ac:dyDescent="0.2">
      <c r="R8021" s="49">
        <v>8019</v>
      </c>
      <c r="S8021" s="59">
        <f ca="1">Dashboard!B$8* Dashboard!$F$4+Dashboard!B$10*SQRT(Dashboard!$F$4) * _xlfn.NORM.S.INV(RAND())</f>
        <v>-4.9085062701094678E-3</v>
      </c>
      <c r="T8021" s="59">
        <f ca="1">Dashboard!C$8* Dashboard!$F$4+Dashboard!C$10*SQRT(Dashboard!$F$4) * _xlfn.NORM.S.INV(RAND())</f>
        <v>-1.0964774871389058E-2</v>
      </c>
      <c r="U8021" s="59">
        <f ca="1">Dashboard!D$8* Dashboard!$F$4+Dashboard!D$10*SQRT(Dashboard!$F$4) * _xlfn.NORM.S.INV(RAND())</f>
        <v>1.4583382951064115E-3</v>
      </c>
    </row>
    <row r="8022" spans="18:21" x14ac:dyDescent="0.2">
      <c r="R8022" s="49">
        <v>8020</v>
      </c>
      <c r="S8022" s="59">
        <f ca="1">Dashboard!B$8* Dashboard!$F$4+Dashboard!B$10*SQRT(Dashboard!$F$4) * _xlfn.NORM.S.INV(RAND())</f>
        <v>-5.0567588990143124E-2</v>
      </c>
      <c r="T8022" s="59">
        <f ca="1">Dashboard!C$8* Dashboard!$F$4+Dashboard!C$10*SQRT(Dashboard!$F$4) * _xlfn.NORM.S.INV(RAND())</f>
        <v>1.5249837614182603E-2</v>
      </c>
      <c r="U8022" s="59">
        <f ca="1">Dashboard!D$8* Dashboard!$F$4+Dashboard!D$10*SQRT(Dashboard!$F$4) * _xlfn.NORM.S.INV(RAND())</f>
        <v>-4.943518622761791E-2</v>
      </c>
    </row>
    <row r="8023" spans="18:21" x14ac:dyDescent="0.2">
      <c r="R8023" s="49">
        <v>8021</v>
      </c>
      <c r="S8023" s="59">
        <f ca="1">Dashboard!B$8* Dashboard!$F$4+Dashboard!B$10*SQRT(Dashboard!$F$4) * _xlfn.NORM.S.INV(RAND())</f>
        <v>6.6825388312080208E-2</v>
      </c>
      <c r="T8023" s="59">
        <f ca="1">Dashboard!C$8* Dashboard!$F$4+Dashboard!C$10*SQRT(Dashboard!$F$4) * _xlfn.NORM.S.INV(RAND())</f>
        <v>-5.3331589972606723E-2</v>
      </c>
      <c r="U8023" s="59">
        <f ca="1">Dashboard!D$8* Dashboard!$F$4+Dashboard!D$10*SQRT(Dashboard!$F$4) * _xlfn.NORM.S.INV(RAND())</f>
        <v>-1.9374582939661114E-2</v>
      </c>
    </row>
    <row r="8024" spans="18:21" x14ac:dyDescent="0.2">
      <c r="R8024" s="49">
        <v>8022</v>
      </c>
      <c r="S8024" s="59">
        <f ca="1">Dashboard!B$8* Dashboard!$F$4+Dashboard!B$10*SQRT(Dashboard!$F$4) * _xlfn.NORM.S.INV(RAND())</f>
        <v>-6.2204237078627163E-2</v>
      </c>
      <c r="T8024" s="59">
        <f ca="1">Dashboard!C$8* Dashboard!$F$4+Dashboard!C$10*SQRT(Dashboard!$F$4) * _xlfn.NORM.S.INV(RAND())</f>
        <v>4.9101580328216078E-2</v>
      </c>
      <c r="U8024" s="59">
        <f ca="1">Dashboard!D$8* Dashboard!$F$4+Dashboard!D$10*SQRT(Dashboard!$F$4) * _xlfn.NORM.S.INV(RAND())</f>
        <v>1.8994419192554037E-2</v>
      </c>
    </row>
    <row r="8025" spans="18:21" x14ac:dyDescent="0.2">
      <c r="R8025" s="49">
        <v>8023</v>
      </c>
      <c r="S8025" s="59">
        <f ca="1">Dashboard!B$8* Dashboard!$F$4+Dashboard!B$10*SQRT(Dashboard!$F$4) * _xlfn.NORM.S.INV(RAND())</f>
        <v>-4.5586778526503405E-2</v>
      </c>
      <c r="T8025" s="59">
        <f ca="1">Dashboard!C$8* Dashboard!$F$4+Dashboard!C$10*SQRT(Dashboard!$F$4) * _xlfn.NORM.S.INV(RAND())</f>
        <v>5.994930749442931E-2</v>
      </c>
      <c r="U8025" s="59">
        <f ca="1">Dashboard!D$8* Dashboard!$F$4+Dashboard!D$10*SQRT(Dashboard!$F$4) * _xlfn.NORM.S.INV(RAND())</f>
        <v>2.5263832447392338E-2</v>
      </c>
    </row>
    <row r="8026" spans="18:21" x14ac:dyDescent="0.2">
      <c r="R8026" s="49">
        <v>8024</v>
      </c>
      <c r="S8026" s="59">
        <f ca="1">Dashboard!B$8* Dashboard!$F$4+Dashboard!B$10*SQRT(Dashboard!$F$4) * _xlfn.NORM.S.INV(RAND())</f>
        <v>4.8978977716892046E-2</v>
      </c>
      <c r="T8026" s="59">
        <f ca="1">Dashboard!C$8* Dashboard!$F$4+Dashboard!C$10*SQRT(Dashboard!$F$4) * _xlfn.NORM.S.INV(RAND())</f>
        <v>2.961038780364697E-2</v>
      </c>
      <c r="U8026" s="59">
        <f ca="1">Dashboard!D$8* Dashboard!$F$4+Dashboard!D$10*SQRT(Dashboard!$F$4) * _xlfn.NORM.S.INV(RAND())</f>
        <v>-1.5186558035626609E-2</v>
      </c>
    </row>
    <row r="8027" spans="18:21" x14ac:dyDescent="0.2">
      <c r="R8027" s="49">
        <v>8025</v>
      </c>
      <c r="S8027" s="59">
        <f ca="1">Dashboard!B$8* Dashboard!$F$4+Dashboard!B$10*SQRT(Dashboard!$F$4) * _xlfn.NORM.S.INV(RAND())</f>
        <v>-4.7157143003745674E-3</v>
      </c>
      <c r="T8027" s="59">
        <f ca="1">Dashboard!C$8* Dashboard!$F$4+Dashboard!C$10*SQRT(Dashboard!$F$4) * _xlfn.NORM.S.INV(RAND())</f>
        <v>4.5879891380314793E-2</v>
      </c>
      <c r="U8027" s="59">
        <f ca="1">Dashboard!D$8* Dashboard!$F$4+Dashboard!D$10*SQRT(Dashboard!$F$4) * _xlfn.NORM.S.INV(RAND())</f>
        <v>3.512144544622927E-2</v>
      </c>
    </row>
    <row r="8028" spans="18:21" x14ac:dyDescent="0.2">
      <c r="R8028" s="49">
        <v>8026</v>
      </c>
      <c r="S8028" s="59">
        <f ca="1">Dashboard!B$8* Dashboard!$F$4+Dashboard!B$10*SQRT(Dashboard!$F$4) * _xlfn.NORM.S.INV(RAND())</f>
        <v>-4.6679844405749953E-2</v>
      </c>
      <c r="T8028" s="59">
        <f ca="1">Dashboard!C$8* Dashboard!$F$4+Dashboard!C$10*SQRT(Dashboard!$F$4) * _xlfn.NORM.S.INV(RAND())</f>
        <v>-1.0990290332767005E-3</v>
      </c>
      <c r="U8028" s="59">
        <f ca="1">Dashboard!D$8* Dashboard!$F$4+Dashboard!D$10*SQRT(Dashboard!$F$4) * _xlfn.NORM.S.INV(RAND())</f>
        <v>4.0229929685408936E-2</v>
      </c>
    </row>
    <row r="8029" spans="18:21" x14ac:dyDescent="0.2">
      <c r="R8029" s="49">
        <v>8027</v>
      </c>
      <c r="S8029" s="59">
        <f ca="1">Dashboard!B$8* Dashboard!$F$4+Dashboard!B$10*SQRT(Dashboard!$F$4) * _xlfn.NORM.S.INV(RAND())</f>
        <v>-1.3318814801414541E-2</v>
      </c>
      <c r="T8029" s="59">
        <f ca="1">Dashboard!C$8* Dashboard!$F$4+Dashboard!C$10*SQRT(Dashboard!$F$4) * _xlfn.NORM.S.INV(RAND())</f>
        <v>2.0991527124244472E-2</v>
      </c>
      <c r="U8029" s="59">
        <f ca="1">Dashboard!D$8* Dashboard!$F$4+Dashboard!D$10*SQRT(Dashboard!$F$4) * _xlfn.NORM.S.INV(RAND())</f>
        <v>-3.4979980641922518E-3</v>
      </c>
    </row>
    <row r="8030" spans="18:21" x14ac:dyDescent="0.2">
      <c r="R8030" s="49">
        <v>8028</v>
      </c>
      <c r="S8030" s="59">
        <f ca="1">Dashboard!B$8* Dashboard!$F$4+Dashboard!B$10*SQRT(Dashboard!$F$4) * _xlfn.NORM.S.INV(RAND())</f>
        <v>-1.0543107826163065E-2</v>
      </c>
      <c r="T8030" s="59">
        <f ca="1">Dashboard!C$8* Dashboard!$F$4+Dashboard!C$10*SQRT(Dashboard!$F$4) * _xlfn.NORM.S.INV(RAND())</f>
        <v>5.5646129853357366E-3</v>
      </c>
      <c r="U8030" s="59">
        <f ca="1">Dashboard!D$8* Dashboard!$F$4+Dashboard!D$10*SQRT(Dashboard!$F$4) * _xlfn.NORM.S.INV(RAND())</f>
        <v>-2.5849129479620144E-2</v>
      </c>
    </row>
    <row r="8031" spans="18:21" x14ac:dyDescent="0.2">
      <c r="R8031" s="49">
        <v>8029</v>
      </c>
      <c r="S8031" s="59">
        <f ca="1">Dashboard!B$8* Dashboard!$F$4+Dashboard!B$10*SQRT(Dashboard!$F$4) * _xlfn.NORM.S.INV(RAND())</f>
        <v>-1.9977373377385713E-2</v>
      </c>
      <c r="T8031" s="59">
        <f ca="1">Dashboard!C$8* Dashboard!$F$4+Dashboard!C$10*SQRT(Dashboard!$F$4) * _xlfn.NORM.S.INV(RAND())</f>
        <v>4.8959454939062737E-2</v>
      </c>
      <c r="U8031" s="59">
        <f ca="1">Dashboard!D$8* Dashboard!$F$4+Dashboard!D$10*SQRT(Dashboard!$F$4) * _xlfn.NORM.S.INV(RAND())</f>
        <v>-5.1728399777042487E-2</v>
      </c>
    </row>
    <row r="8032" spans="18:21" x14ac:dyDescent="0.2">
      <c r="R8032" s="49">
        <v>8030</v>
      </c>
      <c r="S8032" s="59">
        <f ca="1">Dashboard!B$8* Dashboard!$F$4+Dashboard!B$10*SQRT(Dashboard!$F$4) * _xlfn.NORM.S.INV(RAND())</f>
        <v>2.451193486512835E-2</v>
      </c>
      <c r="T8032" s="59">
        <f ca="1">Dashboard!C$8* Dashboard!$F$4+Dashboard!C$10*SQRT(Dashboard!$F$4) * _xlfn.NORM.S.INV(RAND())</f>
        <v>-1.9917507485281379E-2</v>
      </c>
      <c r="U8032" s="59">
        <f ca="1">Dashboard!D$8* Dashboard!$F$4+Dashboard!D$10*SQRT(Dashboard!$F$4) * _xlfn.NORM.S.INV(RAND())</f>
        <v>1.4769924100411098E-2</v>
      </c>
    </row>
    <row r="8033" spans="18:21" x14ac:dyDescent="0.2">
      <c r="R8033" s="49">
        <v>8031</v>
      </c>
      <c r="S8033" s="59">
        <f ca="1">Dashboard!B$8* Dashboard!$F$4+Dashboard!B$10*SQRT(Dashboard!$F$4) * _xlfn.NORM.S.INV(RAND())</f>
        <v>3.8324877385749245E-2</v>
      </c>
      <c r="T8033" s="59">
        <f ca="1">Dashboard!C$8* Dashboard!$F$4+Dashboard!C$10*SQRT(Dashboard!$F$4) * _xlfn.NORM.S.INV(RAND())</f>
        <v>-5.0454570041080914E-2</v>
      </c>
      <c r="U8033" s="59">
        <f ca="1">Dashboard!D$8* Dashboard!$F$4+Dashboard!D$10*SQRT(Dashboard!$F$4) * _xlfn.NORM.S.INV(RAND())</f>
        <v>1.0197124370897535E-2</v>
      </c>
    </row>
    <row r="8034" spans="18:21" x14ac:dyDescent="0.2">
      <c r="R8034" s="49">
        <v>8032</v>
      </c>
      <c r="S8034" s="59">
        <f ca="1">Dashboard!B$8* Dashboard!$F$4+Dashboard!B$10*SQRT(Dashboard!$F$4) * _xlfn.NORM.S.INV(RAND())</f>
        <v>-4.7135050226472658E-2</v>
      </c>
      <c r="T8034" s="59">
        <f ca="1">Dashboard!C$8* Dashboard!$F$4+Dashboard!C$10*SQRT(Dashboard!$F$4) * _xlfn.NORM.S.INV(RAND())</f>
        <v>3.6594285249554916E-2</v>
      </c>
      <c r="U8034" s="59">
        <f ca="1">Dashboard!D$8* Dashboard!$F$4+Dashboard!D$10*SQRT(Dashboard!$F$4) * _xlfn.NORM.S.INV(RAND())</f>
        <v>-8.5811215446901876E-3</v>
      </c>
    </row>
    <row r="8035" spans="18:21" x14ac:dyDescent="0.2">
      <c r="R8035" s="49">
        <v>8033</v>
      </c>
      <c r="S8035" s="59">
        <f ca="1">Dashboard!B$8* Dashboard!$F$4+Dashboard!B$10*SQRT(Dashboard!$F$4) * _xlfn.NORM.S.INV(RAND())</f>
        <v>1.7045926176610111E-2</v>
      </c>
      <c r="T8035" s="59">
        <f ca="1">Dashboard!C$8* Dashboard!$F$4+Dashboard!C$10*SQRT(Dashboard!$F$4) * _xlfn.NORM.S.INV(RAND())</f>
        <v>8.0119141117772658E-2</v>
      </c>
      <c r="U8035" s="59">
        <f ca="1">Dashboard!D$8* Dashboard!$F$4+Dashboard!D$10*SQRT(Dashboard!$F$4) * _xlfn.NORM.S.INV(RAND())</f>
        <v>-4.578996327175687E-2</v>
      </c>
    </row>
    <row r="8036" spans="18:21" x14ac:dyDescent="0.2">
      <c r="R8036" s="49">
        <v>8034</v>
      </c>
      <c r="S8036" s="59">
        <f ca="1">Dashboard!B$8* Dashboard!$F$4+Dashboard!B$10*SQRT(Dashboard!$F$4) * _xlfn.NORM.S.INV(RAND())</f>
        <v>5.0402622991536621E-3</v>
      </c>
      <c r="T8036" s="59">
        <f ca="1">Dashboard!C$8* Dashboard!$F$4+Dashboard!C$10*SQRT(Dashboard!$F$4) * _xlfn.NORM.S.INV(RAND())</f>
        <v>4.4674683586098541E-3</v>
      </c>
      <c r="U8036" s="59">
        <f ca="1">Dashboard!D$8* Dashboard!$F$4+Dashboard!D$10*SQRT(Dashboard!$F$4) * _xlfn.NORM.S.INV(RAND())</f>
        <v>-7.9624812498364675E-4</v>
      </c>
    </row>
    <row r="8037" spans="18:21" x14ac:dyDescent="0.2">
      <c r="R8037" s="49">
        <v>8035</v>
      </c>
      <c r="S8037" s="59">
        <f ca="1">Dashboard!B$8* Dashboard!$F$4+Dashboard!B$10*SQRT(Dashboard!$F$4) * _xlfn.NORM.S.INV(RAND())</f>
        <v>-6.1302137568159673E-3</v>
      </c>
      <c r="T8037" s="59">
        <f ca="1">Dashboard!C$8* Dashboard!$F$4+Dashboard!C$10*SQRT(Dashboard!$F$4) * _xlfn.NORM.S.INV(RAND())</f>
        <v>-4.4369450683931277E-2</v>
      </c>
      <c r="U8037" s="59">
        <f ca="1">Dashboard!D$8* Dashboard!$F$4+Dashboard!D$10*SQRT(Dashboard!$F$4) * _xlfn.NORM.S.INV(RAND())</f>
        <v>-3.3076517397220062E-2</v>
      </c>
    </row>
    <row r="8038" spans="18:21" x14ac:dyDescent="0.2">
      <c r="R8038" s="49">
        <v>8036</v>
      </c>
      <c r="S8038" s="59">
        <f ca="1">Dashboard!B$8* Dashboard!$F$4+Dashboard!B$10*SQRT(Dashboard!$F$4) * _xlfn.NORM.S.INV(RAND())</f>
        <v>1.2586007636637241E-2</v>
      </c>
      <c r="T8038" s="59">
        <f ca="1">Dashboard!C$8* Dashboard!$F$4+Dashboard!C$10*SQRT(Dashboard!$F$4) * _xlfn.NORM.S.INV(RAND())</f>
        <v>-1.3585043761870252E-2</v>
      </c>
      <c r="U8038" s="59">
        <f ca="1">Dashboard!D$8* Dashboard!$F$4+Dashboard!D$10*SQRT(Dashboard!$F$4) * _xlfn.NORM.S.INV(RAND())</f>
        <v>-3.2025446839008395E-3</v>
      </c>
    </row>
    <row r="8039" spans="18:21" x14ac:dyDescent="0.2">
      <c r="R8039" s="49">
        <v>8037</v>
      </c>
      <c r="S8039" s="59">
        <f ca="1">Dashboard!B$8* Dashboard!$F$4+Dashboard!B$10*SQRT(Dashboard!$F$4) * _xlfn.NORM.S.INV(RAND())</f>
        <v>2.0435439574817284E-2</v>
      </c>
      <c r="T8039" s="59">
        <f ca="1">Dashboard!C$8* Dashboard!$F$4+Dashboard!C$10*SQRT(Dashboard!$F$4) * _xlfn.NORM.S.INV(RAND())</f>
        <v>2.7137375201230003E-2</v>
      </c>
      <c r="U8039" s="59">
        <f ca="1">Dashboard!D$8* Dashboard!$F$4+Dashboard!D$10*SQRT(Dashboard!$F$4) * _xlfn.NORM.S.INV(RAND())</f>
        <v>2.1895010516853702E-2</v>
      </c>
    </row>
    <row r="8040" spans="18:21" x14ac:dyDescent="0.2">
      <c r="R8040" s="49">
        <v>8038</v>
      </c>
      <c r="S8040" s="59">
        <f ca="1">Dashboard!B$8* Dashboard!$F$4+Dashboard!B$10*SQRT(Dashboard!$F$4) * _xlfn.NORM.S.INV(RAND())</f>
        <v>1.9513229650355263E-2</v>
      </c>
      <c r="T8040" s="59">
        <f ca="1">Dashboard!C$8* Dashboard!$F$4+Dashboard!C$10*SQRT(Dashboard!$F$4) * _xlfn.NORM.S.INV(RAND())</f>
        <v>-2.0319656106077569E-2</v>
      </c>
      <c r="U8040" s="59">
        <f ca="1">Dashboard!D$8* Dashboard!$F$4+Dashboard!D$10*SQRT(Dashboard!$F$4) * _xlfn.NORM.S.INV(RAND())</f>
        <v>-4.8055382566030071E-2</v>
      </c>
    </row>
    <row r="8041" spans="18:21" x14ac:dyDescent="0.2">
      <c r="R8041" s="49">
        <v>8039</v>
      </c>
      <c r="S8041" s="59">
        <f ca="1">Dashboard!B$8* Dashboard!$F$4+Dashboard!B$10*SQRT(Dashboard!$F$4) * _xlfn.NORM.S.INV(RAND())</f>
        <v>-1.7225718789250423E-2</v>
      </c>
      <c r="T8041" s="59">
        <f ca="1">Dashboard!C$8* Dashboard!$F$4+Dashboard!C$10*SQRT(Dashboard!$F$4) * _xlfn.NORM.S.INV(RAND())</f>
        <v>4.1665829325647948E-2</v>
      </c>
      <c r="U8041" s="59">
        <f ca="1">Dashboard!D$8* Dashboard!$F$4+Dashboard!D$10*SQRT(Dashboard!$F$4) * _xlfn.NORM.S.INV(RAND())</f>
        <v>2.3500346464689733E-2</v>
      </c>
    </row>
    <row r="8042" spans="18:21" x14ac:dyDescent="0.2">
      <c r="R8042" s="49">
        <v>8040</v>
      </c>
      <c r="S8042" s="59">
        <f ca="1">Dashboard!B$8* Dashboard!$F$4+Dashboard!B$10*SQRT(Dashboard!$F$4) * _xlfn.NORM.S.INV(RAND())</f>
        <v>-1.3767378681162099E-2</v>
      </c>
      <c r="T8042" s="59">
        <f ca="1">Dashboard!C$8* Dashboard!$F$4+Dashboard!C$10*SQRT(Dashboard!$F$4) * _xlfn.NORM.S.INV(RAND())</f>
        <v>3.3592211069729441E-2</v>
      </c>
      <c r="U8042" s="59">
        <f ca="1">Dashboard!D$8* Dashboard!$F$4+Dashboard!D$10*SQRT(Dashboard!$F$4) * _xlfn.NORM.S.INV(RAND())</f>
        <v>6.8789035530806859E-3</v>
      </c>
    </row>
    <row r="8043" spans="18:21" x14ac:dyDescent="0.2">
      <c r="R8043" s="49">
        <v>8041</v>
      </c>
      <c r="S8043" s="59">
        <f ca="1">Dashboard!B$8* Dashboard!$F$4+Dashboard!B$10*SQRT(Dashboard!$F$4) * _xlfn.NORM.S.INV(RAND())</f>
        <v>-2.5341013396613432E-2</v>
      </c>
      <c r="T8043" s="59">
        <f ca="1">Dashboard!C$8* Dashboard!$F$4+Dashboard!C$10*SQRT(Dashboard!$F$4) * _xlfn.NORM.S.INV(RAND())</f>
        <v>5.2331151024168535E-2</v>
      </c>
      <c r="U8043" s="59">
        <f ca="1">Dashboard!D$8* Dashboard!$F$4+Dashboard!D$10*SQRT(Dashboard!$F$4) * _xlfn.NORM.S.INV(RAND())</f>
        <v>7.0335556073373842E-2</v>
      </c>
    </row>
    <row r="8044" spans="18:21" x14ac:dyDescent="0.2">
      <c r="R8044" s="49">
        <v>8042</v>
      </c>
      <c r="S8044" s="59">
        <f ca="1">Dashboard!B$8* Dashboard!$F$4+Dashboard!B$10*SQRT(Dashboard!$F$4) * _xlfn.NORM.S.INV(RAND())</f>
        <v>1.6252567890488116E-2</v>
      </c>
      <c r="T8044" s="59">
        <f ca="1">Dashboard!C$8* Dashboard!$F$4+Dashboard!C$10*SQRT(Dashboard!$F$4) * _xlfn.NORM.S.INV(RAND())</f>
        <v>-7.9947406638146423E-4</v>
      </c>
      <c r="U8044" s="59">
        <f ca="1">Dashboard!D$8* Dashboard!$F$4+Dashboard!D$10*SQRT(Dashboard!$F$4) * _xlfn.NORM.S.INV(RAND())</f>
        <v>-1.4274913832240978E-2</v>
      </c>
    </row>
    <row r="8045" spans="18:21" x14ac:dyDescent="0.2">
      <c r="R8045" s="49">
        <v>8043</v>
      </c>
      <c r="S8045" s="59">
        <f ca="1">Dashboard!B$8* Dashboard!$F$4+Dashboard!B$10*SQRT(Dashboard!$F$4) * _xlfn.NORM.S.INV(RAND())</f>
        <v>-1.1262063178683848E-2</v>
      </c>
      <c r="T8045" s="59">
        <f ca="1">Dashboard!C$8* Dashboard!$F$4+Dashboard!C$10*SQRT(Dashboard!$F$4) * _xlfn.NORM.S.INV(RAND())</f>
        <v>3.6214562039152173E-2</v>
      </c>
      <c r="U8045" s="59">
        <f ca="1">Dashboard!D$8* Dashboard!$F$4+Dashboard!D$10*SQRT(Dashboard!$F$4) * _xlfn.NORM.S.INV(RAND())</f>
        <v>-2.7709007767194271E-2</v>
      </c>
    </row>
    <row r="8046" spans="18:21" x14ac:dyDescent="0.2">
      <c r="R8046" s="49">
        <v>8044</v>
      </c>
      <c r="S8046" s="59">
        <f ca="1">Dashboard!B$8* Dashboard!$F$4+Dashboard!B$10*SQRT(Dashboard!$F$4) * _xlfn.NORM.S.INV(RAND())</f>
        <v>7.7017955468594804E-3</v>
      </c>
      <c r="T8046" s="59">
        <f ca="1">Dashboard!C$8* Dashboard!$F$4+Dashboard!C$10*SQRT(Dashboard!$F$4) * _xlfn.NORM.S.INV(RAND())</f>
        <v>2.1746069722857089E-3</v>
      </c>
      <c r="U8046" s="59">
        <f ca="1">Dashboard!D$8* Dashboard!$F$4+Dashboard!D$10*SQRT(Dashboard!$F$4) * _xlfn.NORM.S.INV(RAND())</f>
        <v>-2.6760214792689547E-2</v>
      </c>
    </row>
    <row r="8047" spans="18:21" x14ac:dyDescent="0.2">
      <c r="R8047" s="49">
        <v>8045</v>
      </c>
      <c r="S8047" s="59">
        <f ca="1">Dashboard!B$8* Dashboard!$F$4+Dashboard!B$10*SQRT(Dashboard!$F$4) * _xlfn.NORM.S.INV(RAND())</f>
        <v>-8.1359541655396383E-3</v>
      </c>
      <c r="T8047" s="59">
        <f ca="1">Dashboard!C$8* Dashboard!$F$4+Dashboard!C$10*SQRT(Dashboard!$F$4) * _xlfn.NORM.S.INV(RAND())</f>
        <v>1.2564737078363032E-3</v>
      </c>
      <c r="U8047" s="59">
        <f ca="1">Dashboard!D$8* Dashboard!$F$4+Dashboard!D$10*SQRT(Dashboard!$F$4) * _xlfn.NORM.S.INV(RAND())</f>
        <v>1.9718179470853622E-2</v>
      </c>
    </row>
    <row r="8048" spans="18:21" x14ac:dyDescent="0.2">
      <c r="R8048" s="49">
        <v>8046</v>
      </c>
      <c r="S8048" s="59">
        <f ca="1">Dashboard!B$8* Dashboard!$F$4+Dashboard!B$10*SQRT(Dashboard!$F$4) * _xlfn.NORM.S.INV(RAND())</f>
        <v>3.1321287251174112E-2</v>
      </c>
      <c r="T8048" s="59">
        <f ca="1">Dashboard!C$8* Dashboard!$F$4+Dashboard!C$10*SQRT(Dashboard!$F$4) * _xlfn.NORM.S.INV(RAND())</f>
        <v>-5.6704577796423674E-3</v>
      </c>
      <c r="U8048" s="59">
        <f ca="1">Dashboard!D$8* Dashboard!$F$4+Dashboard!D$10*SQRT(Dashboard!$F$4) * _xlfn.NORM.S.INV(RAND())</f>
        <v>-2.259071622623858E-2</v>
      </c>
    </row>
    <row r="8049" spans="18:21" x14ac:dyDescent="0.2">
      <c r="R8049" s="49">
        <v>8047</v>
      </c>
      <c r="S8049" s="59">
        <f ca="1">Dashboard!B$8* Dashboard!$F$4+Dashboard!B$10*SQRT(Dashboard!$F$4) * _xlfn.NORM.S.INV(RAND())</f>
        <v>1.1121925144926912E-3</v>
      </c>
      <c r="T8049" s="59">
        <f ca="1">Dashboard!C$8* Dashboard!$F$4+Dashboard!C$10*SQRT(Dashboard!$F$4) * _xlfn.NORM.S.INV(RAND())</f>
        <v>1.8449096362333901E-2</v>
      </c>
      <c r="U8049" s="59">
        <f ca="1">Dashboard!D$8* Dashboard!$F$4+Dashboard!D$10*SQRT(Dashboard!$F$4) * _xlfn.NORM.S.INV(RAND())</f>
        <v>-9.0940402808371672E-3</v>
      </c>
    </row>
    <row r="8050" spans="18:21" x14ac:dyDescent="0.2">
      <c r="R8050" s="49">
        <v>8048</v>
      </c>
      <c r="S8050" s="59">
        <f ca="1">Dashboard!B$8* Dashboard!$F$4+Dashboard!B$10*SQRT(Dashboard!$F$4) * _xlfn.NORM.S.INV(RAND())</f>
        <v>6.4203533241264134E-3</v>
      </c>
      <c r="T8050" s="59">
        <f ca="1">Dashboard!C$8* Dashboard!$F$4+Dashboard!C$10*SQRT(Dashboard!$F$4) * _xlfn.NORM.S.INV(RAND())</f>
        <v>1.0895452424014558E-2</v>
      </c>
      <c r="U8050" s="59">
        <f ca="1">Dashboard!D$8* Dashboard!$F$4+Dashboard!D$10*SQRT(Dashboard!$F$4) * _xlfn.NORM.S.INV(RAND())</f>
        <v>4.5653155893060696E-2</v>
      </c>
    </row>
    <row r="8051" spans="18:21" x14ac:dyDescent="0.2">
      <c r="R8051" s="49">
        <v>8049</v>
      </c>
      <c r="S8051" s="59">
        <f ca="1">Dashboard!B$8* Dashboard!$F$4+Dashboard!B$10*SQRT(Dashboard!$F$4) * _xlfn.NORM.S.INV(RAND())</f>
        <v>-8.5815119919395985E-2</v>
      </c>
      <c r="T8051" s="59">
        <f ca="1">Dashboard!C$8* Dashboard!$F$4+Dashboard!C$10*SQRT(Dashboard!$F$4) * _xlfn.NORM.S.INV(RAND())</f>
        <v>4.6914556472635247E-3</v>
      </c>
      <c r="U8051" s="59">
        <f ca="1">Dashboard!D$8* Dashboard!$F$4+Dashboard!D$10*SQRT(Dashboard!$F$4) * _xlfn.NORM.S.INV(RAND())</f>
        <v>-3.6940967498984269E-2</v>
      </c>
    </row>
    <row r="8052" spans="18:21" x14ac:dyDescent="0.2">
      <c r="R8052" s="49">
        <v>8050</v>
      </c>
      <c r="S8052" s="59">
        <f ca="1">Dashboard!B$8* Dashboard!$F$4+Dashboard!B$10*SQRT(Dashboard!$F$4) * _xlfn.NORM.S.INV(RAND())</f>
        <v>-4.2321941470366033E-2</v>
      </c>
      <c r="T8052" s="59">
        <f ca="1">Dashboard!C$8* Dashboard!$F$4+Dashboard!C$10*SQRT(Dashboard!$F$4) * _xlfn.NORM.S.INV(RAND())</f>
        <v>-3.3902959053403329E-3</v>
      </c>
      <c r="U8052" s="59">
        <f ca="1">Dashboard!D$8* Dashboard!$F$4+Dashboard!D$10*SQRT(Dashboard!$F$4) * _xlfn.NORM.S.INV(RAND())</f>
        <v>2.1245399633805066E-2</v>
      </c>
    </row>
    <row r="8053" spans="18:21" x14ac:dyDescent="0.2">
      <c r="R8053" s="49">
        <v>8051</v>
      </c>
      <c r="S8053" s="59">
        <f ca="1">Dashboard!B$8* Dashboard!$F$4+Dashboard!B$10*SQRT(Dashboard!$F$4) * _xlfn.NORM.S.INV(RAND())</f>
        <v>-2.4161593483109652E-2</v>
      </c>
      <c r="T8053" s="59">
        <f ca="1">Dashboard!C$8* Dashboard!$F$4+Dashboard!C$10*SQRT(Dashboard!$F$4) * _xlfn.NORM.S.INV(RAND())</f>
        <v>3.5167777532573406E-2</v>
      </c>
      <c r="U8053" s="59">
        <f ca="1">Dashboard!D$8* Dashboard!$F$4+Dashboard!D$10*SQRT(Dashboard!$F$4) * _xlfn.NORM.S.INV(RAND())</f>
        <v>-4.7316122988896488E-2</v>
      </c>
    </row>
    <row r="8054" spans="18:21" x14ac:dyDescent="0.2">
      <c r="R8054" s="49">
        <v>8052</v>
      </c>
      <c r="S8054" s="59">
        <f ca="1">Dashboard!B$8* Dashboard!$F$4+Dashboard!B$10*SQRT(Dashboard!$F$4) * _xlfn.NORM.S.INV(RAND())</f>
        <v>2.7235695868392855E-2</v>
      </c>
      <c r="T8054" s="59">
        <f ca="1">Dashboard!C$8* Dashboard!$F$4+Dashboard!C$10*SQRT(Dashboard!$F$4) * _xlfn.NORM.S.INV(RAND())</f>
        <v>-1.2179657839531096E-3</v>
      </c>
      <c r="U8054" s="59">
        <f ca="1">Dashboard!D$8* Dashboard!$F$4+Dashboard!D$10*SQRT(Dashboard!$F$4) * _xlfn.NORM.S.INV(RAND())</f>
        <v>5.9429447882645417E-6</v>
      </c>
    </row>
    <row r="8055" spans="18:21" x14ac:dyDescent="0.2">
      <c r="R8055" s="49">
        <v>8053</v>
      </c>
      <c r="S8055" s="59">
        <f ca="1">Dashboard!B$8* Dashboard!$F$4+Dashboard!B$10*SQRT(Dashboard!$F$4) * _xlfn.NORM.S.INV(RAND())</f>
        <v>-3.6012932038012299E-2</v>
      </c>
      <c r="T8055" s="59">
        <f ca="1">Dashboard!C$8* Dashboard!$F$4+Dashboard!C$10*SQRT(Dashboard!$F$4) * _xlfn.NORM.S.INV(RAND())</f>
        <v>4.2554051204457023E-3</v>
      </c>
      <c r="U8055" s="59">
        <f ca="1">Dashboard!D$8* Dashboard!$F$4+Dashboard!D$10*SQRT(Dashboard!$F$4) * _xlfn.NORM.S.INV(RAND())</f>
        <v>-4.0678288173571858E-2</v>
      </c>
    </row>
    <row r="8056" spans="18:21" x14ac:dyDescent="0.2">
      <c r="R8056" s="49">
        <v>8054</v>
      </c>
      <c r="S8056" s="59">
        <f ca="1">Dashboard!B$8* Dashboard!$F$4+Dashboard!B$10*SQRT(Dashboard!$F$4) * _xlfn.NORM.S.INV(RAND())</f>
        <v>1.4735196765926738E-3</v>
      </c>
      <c r="T8056" s="59">
        <f ca="1">Dashboard!C$8* Dashboard!$F$4+Dashboard!C$10*SQRT(Dashboard!$F$4) * _xlfn.NORM.S.INV(RAND())</f>
        <v>3.9851080146186629E-2</v>
      </c>
      <c r="U8056" s="59">
        <f ca="1">Dashboard!D$8* Dashboard!$F$4+Dashboard!D$10*SQRT(Dashboard!$F$4) * _xlfn.NORM.S.INV(RAND())</f>
        <v>2.220394540176374E-2</v>
      </c>
    </row>
    <row r="8057" spans="18:21" x14ac:dyDescent="0.2">
      <c r="R8057" s="49">
        <v>8055</v>
      </c>
      <c r="S8057" s="59">
        <f ca="1">Dashboard!B$8* Dashboard!$F$4+Dashboard!B$10*SQRT(Dashboard!$F$4) * _xlfn.NORM.S.INV(RAND())</f>
        <v>2.0714641306254958E-2</v>
      </c>
      <c r="T8057" s="59">
        <f ca="1">Dashboard!C$8* Dashboard!$F$4+Dashboard!C$10*SQRT(Dashboard!$F$4) * _xlfn.NORM.S.INV(RAND())</f>
        <v>-6.7677591208483009E-3</v>
      </c>
      <c r="U8057" s="59">
        <f ca="1">Dashboard!D$8* Dashboard!$F$4+Dashboard!D$10*SQRT(Dashboard!$F$4) * _xlfn.NORM.S.INV(RAND())</f>
        <v>1.590831036379622E-3</v>
      </c>
    </row>
    <row r="8058" spans="18:21" x14ac:dyDescent="0.2">
      <c r="R8058" s="49">
        <v>8056</v>
      </c>
      <c r="S8058" s="59">
        <f ca="1">Dashboard!B$8* Dashboard!$F$4+Dashboard!B$10*SQRT(Dashboard!$F$4) * _xlfn.NORM.S.INV(RAND())</f>
        <v>-8.0935486168232526E-2</v>
      </c>
      <c r="T8058" s="59">
        <f ca="1">Dashboard!C$8* Dashboard!$F$4+Dashboard!C$10*SQRT(Dashboard!$F$4) * _xlfn.NORM.S.INV(RAND())</f>
        <v>9.9184303246922997E-2</v>
      </c>
      <c r="U8058" s="59">
        <f ca="1">Dashboard!D$8* Dashboard!$F$4+Dashboard!D$10*SQRT(Dashboard!$F$4) * _xlfn.NORM.S.INV(RAND())</f>
        <v>5.565251629728183E-2</v>
      </c>
    </row>
    <row r="8059" spans="18:21" x14ac:dyDescent="0.2">
      <c r="R8059" s="49">
        <v>8057</v>
      </c>
      <c r="S8059" s="59">
        <f ca="1">Dashboard!B$8* Dashboard!$F$4+Dashboard!B$10*SQRT(Dashboard!$F$4) * _xlfn.NORM.S.INV(RAND())</f>
        <v>5.7571846930363012E-2</v>
      </c>
      <c r="T8059" s="59">
        <f ca="1">Dashboard!C$8* Dashboard!$F$4+Dashboard!C$10*SQRT(Dashboard!$F$4) * _xlfn.NORM.S.INV(RAND())</f>
        <v>3.2316920399652942E-2</v>
      </c>
      <c r="U8059" s="59">
        <f ca="1">Dashboard!D$8* Dashboard!$F$4+Dashboard!D$10*SQRT(Dashboard!$F$4) * _xlfn.NORM.S.INV(RAND())</f>
        <v>1.3914302850087231E-2</v>
      </c>
    </row>
    <row r="8060" spans="18:21" x14ac:dyDescent="0.2">
      <c r="R8060" s="49">
        <v>8058</v>
      </c>
      <c r="S8060" s="59">
        <f ca="1">Dashboard!B$8* Dashboard!$F$4+Dashboard!B$10*SQRT(Dashboard!$F$4) * _xlfn.NORM.S.INV(RAND())</f>
        <v>-3.5838782519769595E-2</v>
      </c>
      <c r="T8060" s="59">
        <f ca="1">Dashboard!C$8* Dashboard!$F$4+Dashboard!C$10*SQRT(Dashboard!$F$4) * _xlfn.NORM.S.INV(RAND())</f>
        <v>-5.481279770789127E-2</v>
      </c>
      <c r="U8060" s="59">
        <f ca="1">Dashboard!D$8* Dashboard!$F$4+Dashboard!D$10*SQRT(Dashboard!$F$4) * _xlfn.NORM.S.INV(RAND())</f>
        <v>-1.2801942437123683E-2</v>
      </c>
    </row>
    <row r="8061" spans="18:21" x14ac:dyDescent="0.2">
      <c r="R8061" s="49">
        <v>8059</v>
      </c>
      <c r="S8061" s="59">
        <f ca="1">Dashboard!B$8* Dashboard!$F$4+Dashboard!B$10*SQRT(Dashboard!$F$4) * _xlfn.NORM.S.INV(RAND())</f>
        <v>-3.1519313740968169E-2</v>
      </c>
      <c r="T8061" s="59">
        <f ca="1">Dashboard!C$8* Dashboard!$F$4+Dashboard!C$10*SQRT(Dashboard!$F$4) * _xlfn.NORM.S.INV(RAND())</f>
        <v>-1.7705011556113981E-2</v>
      </c>
      <c r="U8061" s="59">
        <f ca="1">Dashboard!D$8* Dashboard!$F$4+Dashboard!D$10*SQRT(Dashboard!$F$4) * _xlfn.NORM.S.INV(RAND())</f>
        <v>3.6540693237680555E-2</v>
      </c>
    </row>
    <row r="8062" spans="18:21" x14ac:dyDescent="0.2">
      <c r="R8062" s="49">
        <v>8060</v>
      </c>
      <c r="S8062" s="59">
        <f ca="1">Dashboard!B$8* Dashboard!$F$4+Dashboard!B$10*SQRT(Dashboard!$F$4) * _xlfn.NORM.S.INV(RAND())</f>
        <v>2.6273680914070875E-2</v>
      </c>
      <c r="T8062" s="59">
        <f ca="1">Dashboard!C$8* Dashboard!$F$4+Dashboard!C$10*SQRT(Dashboard!$F$4) * _xlfn.NORM.S.INV(RAND())</f>
        <v>3.2240800022000377E-3</v>
      </c>
      <c r="U8062" s="59">
        <f ca="1">Dashboard!D$8* Dashboard!$F$4+Dashboard!D$10*SQRT(Dashboard!$F$4) * _xlfn.NORM.S.INV(RAND())</f>
        <v>-9.8224802439128584E-3</v>
      </c>
    </row>
    <row r="8063" spans="18:21" x14ac:dyDescent="0.2">
      <c r="R8063" s="49">
        <v>8061</v>
      </c>
      <c r="S8063" s="59">
        <f ca="1">Dashboard!B$8* Dashboard!$F$4+Dashboard!B$10*SQRT(Dashboard!$F$4) * _xlfn.NORM.S.INV(RAND())</f>
        <v>-4.9522125944456423E-2</v>
      </c>
      <c r="T8063" s="59">
        <f ca="1">Dashboard!C$8* Dashboard!$F$4+Dashboard!C$10*SQRT(Dashboard!$F$4) * _xlfn.NORM.S.INV(RAND())</f>
        <v>-6.0306829225166864E-2</v>
      </c>
      <c r="U8063" s="59">
        <f ca="1">Dashboard!D$8* Dashboard!$F$4+Dashboard!D$10*SQRT(Dashboard!$F$4) * _xlfn.NORM.S.INV(RAND())</f>
        <v>4.9802878487195522E-2</v>
      </c>
    </row>
    <row r="8064" spans="18:21" x14ac:dyDescent="0.2">
      <c r="R8064" s="49">
        <v>8062</v>
      </c>
      <c r="S8064" s="59">
        <f ca="1">Dashboard!B$8* Dashboard!$F$4+Dashboard!B$10*SQRT(Dashboard!$F$4) * _xlfn.NORM.S.INV(RAND())</f>
        <v>-6.2893020041481038E-3</v>
      </c>
      <c r="T8064" s="59">
        <f ca="1">Dashboard!C$8* Dashboard!$F$4+Dashboard!C$10*SQRT(Dashboard!$F$4) * _xlfn.NORM.S.INV(RAND())</f>
        <v>-6.3347201511739339E-3</v>
      </c>
      <c r="U8064" s="59">
        <f ca="1">Dashboard!D$8* Dashboard!$F$4+Dashboard!D$10*SQRT(Dashboard!$F$4) * _xlfn.NORM.S.INV(RAND())</f>
        <v>-5.3937721005044667E-2</v>
      </c>
    </row>
    <row r="8065" spans="18:21" x14ac:dyDescent="0.2">
      <c r="R8065" s="49">
        <v>8063</v>
      </c>
      <c r="S8065" s="59">
        <f ca="1">Dashboard!B$8* Dashboard!$F$4+Dashboard!B$10*SQRT(Dashboard!$F$4) * _xlfn.NORM.S.INV(RAND())</f>
        <v>8.5295320533503305E-3</v>
      </c>
      <c r="T8065" s="59">
        <f ca="1">Dashboard!C$8* Dashboard!$F$4+Dashboard!C$10*SQRT(Dashboard!$F$4) * _xlfn.NORM.S.INV(RAND())</f>
        <v>-2.4961650822161643E-2</v>
      </c>
      <c r="U8065" s="59">
        <f ca="1">Dashboard!D$8* Dashboard!$F$4+Dashboard!D$10*SQRT(Dashboard!$F$4) * _xlfn.NORM.S.INV(RAND())</f>
        <v>-2.8058184995440803E-2</v>
      </c>
    </row>
    <row r="8066" spans="18:21" x14ac:dyDescent="0.2">
      <c r="R8066" s="49">
        <v>8064</v>
      </c>
      <c r="S8066" s="59">
        <f ca="1">Dashboard!B$8* Dashboard!$F$4+Dashboard!B$10*SQRT(Dashboard!$F$4) * _xlfn.NORM.S.INV(RAND())</f>
        <v>-1.6032137002801208E-3</v>
      </c>
      <c r="T8066" s="59">
        <f ca="1">Dashboard!C$8* Dashboard!$F$4+Dashboard!C$10*SQRT(Dashboard!$F$4) * _xlfn.NORM.S.INV(RAND())</f>
        <v>1.2941614738987213E-3</v>
      </c>
      <c r="U8066" s="59">
        <f ca="1">Dashboard!D$8* Dashboard!$F$4+Dashboard!D$10*SQRT(Dashboard!$F$4) * _xlfn.NORM.S.INV(RAND())</f>
        <v>1.8734551494106841E-2</v>
      </c>
    </row>
    <row r="8067" spans="18:21" x14ac:dyDescent="0.2">
      <c r="R8067" s="49">
        <v>8065</v>
      </c>
      <c r="S8067" s="59">
        <f ca="1">Dashboard!B$8* Dashboard!$F$4+Dashboard!B$10*SQRT(Dashboard!$F$4) * _xlfn.NORM.S.INV(RAND())</f>
        <v>-5.3250493641642293E-3</v>
      </c>
      <c r="T8067" s="59">
        <f ca="1">Dashboard!C$8* Dashboard!$F$4+Dashboard!C$10*SQRT(Dashboard!$F$4) * _xlfn.NORM.S.INV(RAND())</f>
        <v>-2.1077915534068264E-2</v>
      </c>
      <c r="U8067" s="59">
        <f ca="1">Dashboard!D$8* Dashboard!$F$4+Dashboard!D$10*SQRT(Dashboard!$F$4) * _xlfn.NORM.S.INV(RAND())</f>
        <v>-6.1982902082589485E-4</v>
      </c>
    </row>
    <row r="8068" spans="18:21" x14ac:dyDescent="0.2">
      <c r="R8068" s="49">
        <v>8066</v>
      </c>
      <c r="S8068" s="59">
        <f ca="1">Dashboard!B$8* Dashboard!$F$4+Dashboard!B$10*SQRT(Dashboard!$F$4) * _xlfn.NORM.S.INV(RAND())</f>
        <v>-4.8179211947360127E-2</v>
      </c>
      <c r="T8068" s="59">
        <f ca="1">Dashboard!C$8* Dashboard!$F$4+Dashboard!C$10*SQRT(Dashboard!$F$4) * _xlfn.NORM.S.INV(RAND())</f>
        <v>4.6789911963047229E-2</v>
      </c>
      <c r="U8068" s="59">
        <f ca="1">Dashboard!D$8* Dashboard!$F$4+Dashboard!D$10*SQRT(Dashboard!$F$4) * _xlfn.NORM.S.INV(RAND())</f>
        <v>2.504723779513025E-2</v>
      </c>
    </row>
    <row r="8069" spans="18:21" x14ac:dyDescent="0.2">
      <c r="R8069" s="49">
        <v>8067</v>
      </c>
      <c r="S8069" s="59">
        <f ca="1">Dashboard!B$8* Dashboard!$F$4+Dashboard!B$10*SQRT(Dashboard!$F$4) * _xlfn.NORM.S.INV(RAND())</f>
        <v>-4.5917153818284311E-2</v>
      </c>
      <c r="T8069" s="59">
        <f ca="1">Dashboard!C$8* Dashboard!$F$4+Dashboard!C$10*SQRT(Dashboard!$F$4) * _xlfn.NORM.S.INV(RAND())</f>
        <v>4.3516006630475466E-2</v>
      </c>
      <c r="U8069" s="59">
        <f ca="1">Dashboard!D$8* Dashboard!$F$4+Dashboard!D$10*SQRT(Dashboard!$F$4) * _xlfn.NORM.S.INV(RAND())</f>
        <v>-1.8031812112247268E-3</v>
      </c>
    </row>
    <row r="8070" spans="18:21" x14ac:dyDescent="0.2">
      <c r="R8070" s="49">
        <v>8068</v>
      </c>
      <c r="S8070" s="59">
        <f ca="1">Dashboard!B$8* Dashboard!$F$4+Dashboard!B$10*SQRT(Dashboard!$F$4) * _xlfn.NORM.S.INV(RAND())</f>
        <v>-7.396751294775368E-2</v>
      </c>
      <c r="T8070" s="59">
        <f ca="1">Dashboard!C$8* Dashboard!$F$4+Dashboard!C$10*SQRT(Dashboard!$F$4) * _xlfn.NORM.S.INV(RAND())</f>
        <v>1.8661103480729819E-2</v>
      </c>
      <c r="U8070" s="59">
        <f ca="1">Dashboard!D$8* Dashboard!$F$4+Dashboard!D$10*SQRT(Dashboard!$F$4) * _xlfn.NORM.S.INV(RAND())</f>
        <v>3.134644029894857E-2</v>
      </c>
    </row>
    <row r="8071" spans="18:21" x14ac:dyDescent="0.2">
      <c r="R8071" s="49">
        <v>8069</v>
      </c>
      <c r="S8071" s="59">
        <f ca="1">Dashboard!B$8* Dashboard!$F$4+Dashboard!B$10*SQRT(Dashboard!$F$4) * _xlfn.NORM.S.INV(RAND())</f>
        <v>-2.8553212162025243E-3</v>
      </c>
      <c r="T8071" s="59">
        <f ca="1">Dashboard!C$8* Dashboard!$F$4+Dashboard!C$10*SQRT(Dashboard!$F$4) * _xlfn.NORM.S.INV(RAND())</f>
        <v>-2.1860579943061346E-2</v>
      </c>
      <c r="U8071" s="59">
        <f ca="1">Dashboard!D$8* Dashboard!$F$4+Dashboard!D$10*SQRT(Dashboard!$F$4) * _xlfn.NORM.S.INV(RAND())</f>
        <v>2.6690187009308999E-2</v>
      </c>
    </row>
    <row r="8072" spans="18:21" x14ac:dyDescent="0.2">
      <c r="R8072" s="49">
        <v>8070</v>
      </c>
      <c r="S8072" s="59">
        <f ca="1">Dashboard!B$8* Dashboard!$F$4+Dashboard!B$10*SQRT(Dashboard!$F$4) * _xlfn.NORM.S.INV(RAND())</f>
        <v>2.0329469015404498E-3</v>
      </c>
      <c r="T8072" s="59">
        <f ca="1">Dashboard!C$8* Dashboard!$F$4+Dashboard!C$10*SQRT(Dashboard!$F$4) * _xlfn.NORM.S.INV(RAND())</f>
        <v>2.503071027603563E-2</v>
      </c>
      <c r="U8072" s="59">
        <f ca="1">Dashboard!D$8* Dashboard!$F$4+Dashboard!D$10*SQRT(Dashboard!$F$4) * _xlfn.NORM.S.INV(RAND())</f>
        <v>-1.568171842225875E-2</v>
      </c>
    </row>
    <row r="8073" spans="18:21" x14ac:dyDescent="0.2">
      <c r="R8073" s="49">
        <v>8071</v>
      </c>
      <c r="S8073" s="59">
        <f ca="1">Dashboard!B$8* Dashboard!$F$4+Dashboard!B$10*SQRT(Dashboard!$F$4) * _xlfn.NORM.S.INV(RAND())</f>
        <v>-8.2635404446996935E-3</v>
      </c>
      <c r="T8073" s="59">
        <f ca="1">Dashboard!C$8* Dashboard!$F$4+Dashboard!C$10*SQRT(Dashboard!$F$4) * _xlfn.NORM.S.INV(RAND())</f>
        <v>2.660934978804325E-2</v>
      </c>
      <c r="U8073" s="59">
        <f ca="1">Dashboard!D$8* Dashboard!$F$4+Dashboard!D$10*SQRT(Dashboard!$F$4) * _xlfn.NORM.S.INV(RAND())</f>
        <v>7.0804017106085429E-2</v>
      </c>
    </row>
    <row r="8074" spans="18:21" x14ac:dyDescent="0.2">
      <c r="R8074" s="49">
        <v>8072</v>
      </c>
      <c r="S8074" s="59">
        <f ca="1">Dashboard!B$8* Dashboard!$F$4+Dashboard!B$10*SQRT(Dashboard!$F$4) * _xlfn.NORM.S.INV(RAND())</f>
        <v>-1.1499757048576437E-2</v>
      </c>
      <c r="T8074" s="59">
        <f ca="1">Dashboard!C$8* Dashboard!$F$4+Dashboard!C$10*SQRT(Dashboard!$F$4) * _xlfn.NORM.S.INV(RAND())</f>
        <v>6.4653724008976992E-3</v>
      </c>
      <c r="U8074" s="59">
        <f ca="1">Dashboard!D$8* Dashboard!$F$4+Dashboard!D$10*SQRT(Dashboard!$F$4) * _xlfn.NORM.S.INV(RAND())</f>
        <v>3.1220078679696488E-3</v>
      </c>
    </row>
    <row r="8075" spans="18:21" x14ac:dyDescent="0.2">
      <c r="R8075" s="49">
        <v>8073</v>
      </c>
      <c r="S8075" s="59">
        <f ca="1">Dashboard!B$8* Dashboard!$F$4+Dashboard!B$10*SQRT(Dashboard!$F$4) * _xlfn.NORM.S.INV(RAND())</f>
        <v>1.0911885872284924E-2</v>
      </c>
      <c r="T8075" s="59">
        <f ca="1">Dashboard!C$8* Dashboard!$F$4+Dashboard!C$10*SQRT(Dashboard!$F$4) * _xlfn.NORM.S.INV(RAND())</f>
        <v>1.809213441893243E-2</v>
      </c>
      <c r="U8075" s="59">
        <f ca="1">Dashboard!D$8* Dashboard!$F$4+Dashboard!D$10*SQRT(Dashboard!$F$4) * _xlfn.NORM.S.INV(RAND())</f>
        <v>3.9106122691112175E-2</v>
      </c>
    </row>
    <row r="8076" spans="18:21" x14ac:dyDescent="0.2">
      <c r="R8076" s="49">
        <v>8074</v>
      </c>
      <c r="S8076" s="59">
        <f ca="1">Dashboard!B$8* Dashboard!$F$4+Dashboard!B$10*SQRT(Dashboard!$F$4) * _xlfn.NORM.S.INV(RAND())</f>
        <v>3.9875984773122593E-3</v>
      </c>
      <c r="T8076" s="59">
        <f ca="1">Dashboard!C$8* Dashboard!$F$4+Dashboard!C$10*SQRT(Dashboard!$F$4) * _xlfn.NORM.S.INV(RAND())</f>
        <v>1.9774259993305739E-2</v>
      </c>
      <c r="U8076" s="59">
        <f ca="1">Dashboard!D$8* Dashboard!$F$4+Dashboard!D$10*SQRT(Dashboard!$F$4) * _xlfn.NORM.S.INV(RAND())</f>
        <v>-1.9654889334483238E-2</v>
      </c>
    </row>
    <row r="8077" spans="18:21" x14ac:dyDescent="0.2">
      <c r="R8077" s="49">
        <v>8075</v>
      </c>
      <c r="S8077" s="59">
        <f ca="1">Dashboard!B$8* Dashboard!$F$4+Dashboard!B$10*SQRT(Dashboard!$F$4) * _xlfn.NORM.S.INV(RAND())</f>
        <v>-2.258139977490789E-2</v>
      </c>
      <c r="T8077" s="59">
        <f ca="1">Dashboard!C$8* Dashboard!$F$4+Dashboard!C$10*SQRT(Dashboard!$F$4) * _xlfn.NORM.S.INV(RAND())</f>
        <v>7.2106259500578376E-2</v>
      </c>
      <c r="U8077" s="59">
        <f ca="1">Dashboard!D$8* Dashboard!$F$4+Dashboard!D$10*SQRT(Dashboard!$F$4) * _xlfn.NORM.S.INV(RAND())</f>
        <v>2.1675334491437621E-2</v>
      </c>
    </row>
    <row r="8078" spans="18:21" x14ac:dyDescent="0.2">
      <c r="R8078" s="49">
        <v>8076</v>
      </c>
      <c r="S8078" s="59">
        <f ca="1">Dashboard!B$8* Dashboard!$F$4+Dashboard!B$10*SQRT(Dashboard!$F$4) * _xlfn.NORM.S.INV(RAND())</f>
        <v>-2.4953741658530669E-2</v>
      </c>
      <c r="T8078" s="59">
        <f ca="1">Dashboard!C$8* Dashboard!$F$4+Dashboard!C$10*SQRT(Dashboard!$F$4) * _xlfn.NORM.S.INV(RAND())</f>
        <v>3.5678547565227564E-2</v>
      </c>
      <c r="U8078" s="59">
        <f ca="1">Dashboard!D$8* Dashboard!$F$4+Dashboard!D$10*SQRT(Dashboard!$F$4) * _xlfn.NORM.S.INV(RAND())</f>
        <v>-5.5595655761591853E-2</v>
      </c>
    </row>
    <row r="8079" spans="18:21" x14ac:dyDescent="0.2">
      <c r="R8079" s="49">
        <v>8077</v>
      </c>
      <c r="S8079" s="59">
        <f ca="1">Dashboard!B$8* Dashboard!$F$4+Dashboard!B$10*SQRT(Dashboard!$F$4) * _xlfn.NORM.S.INV(RAND())</f>
        <v>4.4797262111414174E-2</v>
      </c>
      <c r="T8079" s="59">
        <f ca="1">Dashboard!C$8* Dashboard!$F$4+Dashboard!C$10*SQRT(Dashboard!$F$4) * _xlfn.NORM.S.INV(RAND())</f>
        <v>3.7006982219914115E-2</v>
      </c>
      <c r="U8079" s="59">
        <f ca="1">Dashboard!D$8* Dashboard!$F$4+Dashboard!D$10*SQRT(Dashboard!$F$4) * _xlfn.NORM.S.INV(RAND())</f>
        <v>-2.5161120742014959E-2</v>
      </c>
    </row>
    <row r="8080" spans="18:21" x14ac:dyDescent="0.2">
      <c r="R8080" s="49">
        <v>8078</v>
      </c>
      <c r="S8080" s="59">
        <f ca="1">Dashboard!B$8* Dashboard!$F$4+Dashboard!B$10*SQRT(Dashboard!$F$4) * _xlfn.NORM.S.INV(RAND())</f>
        <v>2.7328977920160799E-2</v>
      </c>
      <c r="T8080" s="59">
        <f ca="1">Dashboard!C$8* Dashboard!$F$4+Dashboard!C$10*SQRT(Dashboard!$F$4) * _xlfn.NORM.S.INV(RAND())</f>
        <v>-2.2035734346982555E-2</v>
      </c>
      <c r="U8080" s="59">
        <f ca="1">Dashboard!D$8* Dashboard!$F$4+Dashboard!D$10*SQRT(Dashboard!$F$4) * _xlfn.NORM.S.INV(RAND())</f>
        <v>-2.3382296709196827E-2</v>
      </c>
    </row>
    <row r="8081" spans="18:21" x14ac:dyDescent="0.2">
      <c r="R8081" s="49">
        <v>8079</v>
      </c>
      <c r="S8081" s="59">
        <f ca="1">Dashboard!B$8* Dashboard!$F$4+Dashboard!B$10*SQRT(Dashboard!$F$4) * _xlfn.NORM.S.INV(RAND())</f>
        <v>-1.4663509358369629E-2</v>
      </c>
      <c r="T8081" s="59">
        <f ca="1">Dashboard!C$8* Dashboard!$F$4+Dashboard!C$10*SQRT(Dashboard!$F$4) * _xlfn.NORM.S.INV(RAND())</f>
        <v>3.9511896769174283E-3</v>
      </c>
      <c r="U8081" s="59">
        <f ca="1">Dashboard!D$8* Dashboard!$F$4+Dashboard!D$10*SQRT(Dashboard!$F$4) * _xlfn.NORM.S.INV(RAND())</f>
        <v>3.3903041245864275E-2</v>
      </c>
    </row>
    <row r="8082" spans="18:21" x14ac:dyDescent="0.2">
      <c r="R8082" s="49">
        <v>8080</v>
      </c>
      <c r="S8082" s="59">
        <f ca="1">Dashboard!B$8* Dashboard!$F$4+Dashboard!B$10*SQRT(Dashboard!$F$4) * _xlfn.NORM.S.INV(RAND())</f>
        <v>-6.3820778699479122E-2</v>
      </c>
      <c r="T8082" s="59">
        <f ca="1">Dashboard!C$8* Dashboard!$F$4+Dashboard!C$10*SQRT(Dashboard!$F$4) * _xlfn.NORM.S.INV(RAND())</f>
        <v>2.6819147581375959E-2</v>
      </c>
      <c r="U8082" s="59">
        <f ca="1">Dashboard!D$8* Dashboard!$F$4+Dashboard!D$10*SQRT(Dashboard!$F$4) * _xlfn.NORM.S.INV(RAND())</f>
        <v>-2.4430463847214076E-2</v>
      </c>
    </row>
    <row r="8083" spans="18:21" x14ac:dyDescent="0.2">
      <c r="R8083" s="49">
        <v>8081</v>
      </c>
      <c r="S8083" s="59">
        <f ca="1">Dashboard!B$8* Dashboard!$F$4+Dashboard!B$10*SQRT(Dashboard!$F$4) * _xlfn.NORM.S.INV(RAND())</f>
        <v>2.9530285414036836E-2</v>
      </c>
      <c r="T8083" s="59">
        <f ca="1">Dashboard!C$8* Dashboard!$F$4+Dashboard!C$10*SQRT(Dashboard!$F$4) * _xlfn.NORM.S.INV(RAND())</f>
        <v>1.7450616610097877E-2</v>
      </c>
      <c r="U8083" s="59">
        <f ca="1">Dashboard!D$8* Dashboard!$F$4+Dashboard!D$10*SQRT(Dashboard!$F$4) * _xlfn.NORM.S.INV(RAND())</f>
        <v>-3.314480293862726E-2</v>
      </c>
    </row>
    <row r="8084" spans="18:21" x14ac:dyDescent="0.2">
      <c r="R8084" s="49">
        <v>8082</v>
      </c>
      <c r="S8084" s="59">
        <f ca="1">Dashboard!B$8* Dashboard!$F$4+Dashboard!B$10*SQRT(Dashboard!$F$4) * _xlfn.NORM.S.INV(RAND())</f>
        <v>2.4674065965906287E-2</v>
      </c>
      <c r="T8084" s="59">
        <f ca="1">Dashboard!C$8* Dashboard!$F$4+Dashboard!C$10*SQRT(Dashboard!$F$4) * _xlfn.NORM.S.INV(RAND())</f>
        <v>-1.689643219701889E-2</v>
      </c>
      <c r="U8084" s="59">
        <f ca="1">Dashboard!D$8* Dashboard!$F$4+Dashboard!D$10*SQRT(Dashboard!$F$4) * _xlfn.NORM.S.INV(RAND())</f>
        <v>-8.595490735774633E-3</v>
      </c>
    </row>
    <row r="8085" spans="18:21" x14ac:dyDescent="0.2">
      <c r="R8085" s="49">
        <v>8083</v>
      </c>
      <c r="S8085" s="59">
        <f ca="1">Dashboard!B$8* Dashboard!$F$4+Dashboard!B$10*SQRT(Dashboard!$F$4) * _xlfn.NORM.S.INV(RAND())</f>
        <v>4.6152466297462051E-2</v>
      </c>
      <c r="T8085" s="59">
        <f ca="1">Dashboard!C$8* Dashboard!$F$4+Dashboard!C$10*SQRT(Dashboard!$F$4) * _xlfn.NORM.S.INV(RAND())</f>
        <v>2.6860764199100363E-2</v>
      </c>
      <c r="U8085" s="59">
        <f ca="1">Dashboard!D$8* Dashboard!$F$4+Dashboard!D$10*SQRT(Dashboard!$F$4) * _xlfn.NORM.S.INV(RAND())</f>
        <v>1.5630786854871014E-3</v>
      </c>
    </row>
    <row r="8086" spans="18:21" x14ac:dyDescent="0.2">
      <c r="R8086" s="49">
        <v>8084</v>
      </c>
      <c r="S8086" s="59">
        <f ca="1">Dashboard!B$8* Dashboard!$F$4+Dashboard!B$10*SQRT(Dashboard!$F$4) * _xlfn.NORM.S.INV(RAND())</f>
        <v>-1.6309534842982976E-2</v>
      </c>
      <c r="T8086" s="59">
        <f ca="1">Dashboard!C$8* Dashboard!$F$4+Dashboard!C$10*SQRT(Dashboard!$F$4) * _xlfn.NORM.S.INV(RAND())</f>
        <v>4.4941853143562367E-2</v>
      </c>
      <c r="U8086" s="59">
        <f ca="1">Dashboard!D$8* Dashboard!$F$4+Dashboard!D$10*SQRT(Dashboard!$F$4) * _xlfn.NORM.S.INV(RAND())</f>
        <v>2.7915938463689671E-2</v>
      </c>
    </row>
    <row r="8087" spans="18:21" x14ac:dyDescent="0.2">
      <c r="R8087" s="49">
        <v>8085</v>
      </c>
      <c r="S8087" s="59">
        <f ca="1">Dashboard!B$8* Dashboard!$F$4+Dashboard!B$10*SQRT(Dashboard!$F$4) * _xlfn.NORM.S.INV(RAND())</f>
        <v>-1.6860861846350311E-3</v>
      </c>
      <c r="T8087" s="59">
        <f ca="1">Dashboard!C$8* Dashboard!$F$4+Dashboard!C$10*SQRT(Dashboard!$F$4) * _xlfn.NORM.S.INV(RAND())</f>
        <v>3.0547267421546204E-2</v>
      </c>
      <c r="U8087" s="59">
        <f ca="1">Dashboard!D$8* Dashboard!$F$4+Dashboard!D$10*SQRT(Dashboard!$F$4) * _xlfn.NORM.S.INV(RAND())</f>
        <v>1.6667399492879657E-2</v>
      </c>
    </row>
    <row r="8088" spans="18:21" x14ac:dyDescent="0.2">
      <c r="R8088" s="49">
        <v>8086</v>
      </c>
      <c r="S8088" s="59">
        <f ca="1">Dashboard!B$8* Dashboard!$F$4+Dashboard!B$10*SQRT(Dashboard!$F$4) * _xlfn.NORM.S.INV(RAND())</f>
        <v>-1.9532103465955849E-2</v>
      </c>
      <c r="T8088" s="59">
        <f ca="1">Dashboard!C$8* Dashboard!$F$4+Dashboard!C$10*SQRT(Dashboard!$F$4) * _xlfn.NORM.S.INV(RAND())</f>
        <v>-2.4477185851318382E-2</v>
      </c>
      <c r="U8088" s="59">
        <f ca="1">Dashboard!D$8* Dashboard!$F$4+Dashboard!D$10*SQRT(Dashboard!$F$4) * _xlfn.NORM.S.INV(RAND())</f>
        <v>-2.7684516407016933E-2</v>
      </c>
    </row>
    <row r="8089" spans="18:21" x14ac:dyDescent="0.2">
      <c r="R8089" s="49">
        <v>8087</v>
      </c>
      <c r="S8089" s="59">
        <f ca="1">Dashboard!B$8* Dashboard!$F$4+Dashboard!B$10*SQRT(Dashboard!$F$4) * _xlfn.NORM.S.INV(RAND())</f>
        <v>-4.4355332559463095E-3</v>
      </c>
      <c r="T8089" s="59">
        <f ca="1">Dashboard!C$8* Dashboard!$F$4+Dashboard!C$10*SQRT(Dashboard!$F$4) * _xlfn.NORM.S.INV(RAND())</f>
        <v>8.0406319933769505E-4</v>
      </c>
      <c r="U8089" s="59">
        <f ca="1">Dashboard!D$8* Dashboard!$F$4+Dashboard!D$10*SQRT(Dashboard!$F$4) * _xlfn.NORM.S.INV(RAND())</f>
        <v>3.100469602298498E-2</v>
      </c>
    </row>
    <row r="8090" spans="18:21" x14ac:dyDescent="0.2">
      <c r="R8090" s="49">
        <v>8088</v>
      </c>
      <c r="S8090" s="59">
        <f ca="1">Dashboard!B$8* Dashboard!$F$4+Dashboard!B$10*SQRT(Dashboard!$F$4) * _xlfn.NORM.S.INV(RAND())</f>
        <v>-2.5410664889162667E-2</v>
      </c>
      <c r="T8090" s="59">
        <f ca="1">Dashboard!C$8* Dashboard!$F$4+Dashboard!C$10*SQRT(Dashboard!$F$4) * _xlfn.NORM.S.INV(RAND())</f>
        <v>3.0411170301147258E-2</v>
      </c>
      <c r="U8090" s="59">
        <f ca="1">Dashboard!D$8* Dashboard!$F$4+Dashboard!D$10*SQRT(Dashboard!$F$4) * _xlfn.NORM.S.INV(RAND())</f>
        <v>-1.93356038702787E-3</v>
      </c>
    </row>
    <row r="8091" spans="18:21" x14ac:dyDescent="0.2">
      <c r="R8091" s="49">
        <v>8089</v>
      </c>
      <c r="S8091" s="59">
        <f ca="1">Dashboard!B$8* Dashboard!$F$4+Dashboard!B$10*SQRT(Dashboard!$F$4) * _xlfn.NORM.S.INV(RAND())</f>
        <v>5.267881886584282E-3</v>
      </c>
      <c r="T8091" s="59">
        <f ca="1">Dashboard!C$8* Dashboard!$F$4+Dashboard!C$10*SQRT(Dashboard!$F$4) * _xlfn.NORM.S.INV(RAND())</f>
        <v>6.8298683154940565E-3</v>
      </c>
      <c r="U8091" s="59">
        <f ca="1">Dashboard!D$8* Dashboard!$F$4+Dashboard!D$10*SQRT(Dashboard!$F$4) * _xlfn.NORM.S.INV(RAND())</f>
        <v>-3.2088529289431102E-2</v>
      </c>
    </row>
    <row r="8092" spans="18:21" x14ac:dyDescent="0.2">
      <c r="R8092" s="49">
        <v>8090</v>
      </c>
      <c r="S8092" s="59">
        <f ca="1">Dashboard!B$8* Dashboard!$F$4+Dashboard!B$10*SQRT(Dashboard!$F$4) * _xlfn.NORM.S.INV(RAND())</f>
        <v>-2.0055974297653371E-2</v>
      </c>
      <c r="T8092" s="59">
        <f ca="1">Dashboard!C$8* Dashboard!$F$4+Dashboard!C$10*SQRT(Dashboard!$F$4) * _xlfn.NORM.S.INV(RAND())</f>
        <v>4.5327575767830509E-2</v>
      </c>
      <c r="U8092" s="59">
        <f ca="1">Dashboard!D$8* Dashboard!$F$4+Dashboard!D$10*SQRT(Dashboard!$F$4) * _xlfn.NORM.S.INV(RAND())</f>
        <v>1.1219661811068104E-2</v>
      </c>
    </row>
    <row r="8093" spans="18:21" x14ac:dyDescent="0.2">
      <c r="R8093" s="49">
        <v>8091</v>
      </c>
      <c r="S8093" s="59">
        <f ca="1">Dashboard!B$8* Dashboard!$F$4+Dashboard!B$10*SQRT(Dashboard!$F$4) * _xlfn.NORM.S.INV(RAND())</f>
        <v>-1.2165941151246454E-2</v>
      </c>
      <c r="T8093" s="59">
        <f ca="1">Dashboard!C$8* Dashboard!$F$4+Dashboard!C$10*SQRT(Dashboard!$F$4) * _xlfn.NORM.S.INV(RAND())</f>
        <v>-4.8693135409787092E-2</v>
      </c>
      <c r="U8093" s="59">
        <f ca="1">Dashboard!D$8* Dashboard!$F$4+Dashboard!D$10*SQRT(Dashboard!$F$4) * _xlfn.NORM.S.INV(RAND())</f>
        <v>-2.4199824484150562E-2</v>
      </c>
    </row>
    <row r="8094" spans="18:21" x14ac:dyDescent="0.2">
      <c r="R8094" s="49">
        <v>8092</v>
      </c>
      <c r="S8094" s="59">
        <f ca="1">Dashboard!B$8* Dashboard!$F$4+Dashboard!B$10*SQRT(Dashboard!$F$4) * _xlfn.NORM.S.INV(RAND())</f>
        <v>5.6817272396627195E-4</v>
      </c>
      <c r="T8094" s="59">
        <f ca="1">Dashboard!C$8* Dashboard!$F$4+Dashboard!C$10*SQRT(Dashboard!$F$4) * _xlfn.NORM.S.INV(RAND())</f>
        <v>5.2564491012178631E-2</v>
      </c>
      <c r="U8094" s="59">
        <f ca="1">Dashboard!D$8* Dashboard!$F$4+Dashboard!D$10*SQRT(Dashboard!$F$4) * _xlfn.NORM.S.INV(RAND())</f>
        <v>-1.704016672542218E-2</v>
      </c>
    </row>
    <row r="8095" spans="18:21" x14ac:dyDescent="0.2">
      <c r="R8095" s="49">
        <v>8093</v>
      </c>
      <c r="S8095" s="59">
        <f ca="1">Dashboard!B$8* Dashboard!$F$4+Dashboard!B$10*SQRT(Dashboard!$F$4) * _xlfn.NORM.S.INV(RAND())</f>
        <v>-7.4261669420404618E-3</v>
      </c>
      <c r="T8095" s="59">
        <f ca="1">Dashboard!C$8* Dashboard!$F$4+Dashboard!C$10*SQRT(Dashboard!$F$4) * _xlfn.NORM.S.INV(RAND())</f>
        <v>1.010636292750754E-2</v>
      </c>
      <c r="U8095" s="59">
        <f ca="1">Dashboard!D$8* Dashboard!$F$4+Dashboard!D$10*SQRT(Dashboard!$F$4) * _xlfn.NORM.S.INV(RAND())</f>
        <v>4.7154835607137346E-2</v>
      </c>
    </row>
    <row r="8096" spans="18:21" x14ac:dyDescent="0.2">
      <c r="R8096" s="49">
        <v>8094</v>
      </c>
      <c r="S8096" s="59">
        <f ca="1">Dashboard!B$8* Dashboard!$F$4+Dashboard!B$10*SQRT(Dashboard!$F$4) * _xlfn.NORM.S.INV(RAND())</f>
        <v>1.7117649511384996E-2</v>
      </c>
      <c r="T8096" s="59">
        <f ca="1">Dashboard!C$8* Dashboard!$F$4+Dashboard!C$10*SQRT(Dashboard!$F$4) * _xlfn.NORM.S.INV(RAND())</f>
        <v>3.9148382220830037E-2</v>
      </c>
      <c r="U8096" s="59">
        <f ca="1">Dashboard!D$8* Dashboard!$F$4+Dashboard!D$10*SQRT(Dashboard!$F$4) * _xlfn.NORM.S.INV(RAND())</f>
        <v>7.1417732532024578E-3</v>
      </c>
    </row>
    <row r="8097" spans="18:21" x14ac:dyDescent="0.2">
      <c r="R8097" s="49">
        <v>8095</v>
      </c>
      <c r="S8097" s="59">
        <f ca="1">Dashboard!B$8* Dashboard!$F$4+Dashboard!B$10*SQRT(Dashboard!$F$4) * _xlfn.NORM.S.INV(RAND())</f>
        <v>4.5712093780096934E-2</v>
      </c>
      <c r="T8097" s="59">
        <f ca="1">Dashboard!C$8* Dashboard!$F$4+Dashboard!C$10*SQRT(Dashboard!$F$4) * _xlfn.NORM.S.INV(RAND())</f>
        <v>-8.7378438307980644E-4</v>
      </c>
      <c r="U8097" s="59">
        <f ca="1">Dashboard!D$8* Dashboard!$F$4+Dashboard!D$10*SQRT(Dashboard!$F$4) * _xlfn.NORM.S.INV(RAND())</f>
        <v>-2.2623991497071387E-2</v>
      </c>
    </row>
    <row r="8098" spans="18:21" x14ac:dyDescent="0.2">
      <c r="R8098" s="49">
        <v>8096</v>
      </c>
      <c r="S8098" s="59">
        <f ca="1">Dashboard!B$8* Dashboard!$F$4+Dashboard!B$10*SQRT(Dashboard!$F$4) * _xlfn.NORM.S.INV(RAND())</f>
        <v>-2.9274104312331892E-2</v>
      </c>
      <c r="T8098" s="59">
        <f ca="1">Dashboard!C$8* Dashboard!$F$4+Dashboard!C$10*SQRT(Dashboard!$F$4) * _xlfn.NORM.S.INV(RAND())</f>
        <v>4.0814634799597099E-2</v>
      </c>
      <c r="U8098" s="59">
        <f ca="1">Dashboard!D$8* Dashboard!$F$4+Dashboard!D$10*SQRT(Dashboard!$F$4) * _xlfn.NORM.S.INV(RAND())</f>
        <v>-7.8804903699587047E-3</v>
      </c>
    </row>
    <row r="8099" spans="18:21" x14ac:dyDescent="0.2">
      <c r="R8099" s="49">
        <v>8097</v>
      </c>
      <c r="S8099" s="59">
        <f ca="1">Dashboard!B$8* Dashboard!$F$4+Dashboard!B$10*SQRT(Dashboard!$F$4) * _xlfn.NORM.S.INV(RAND())</f>
        <v>-6.8351071132966967E-4</v>
      </c>
      <c r="T8099" s="59">
        <f ca="1">Dashboard!C$8* Dashboard!$F$4+Dashboard!C$10*SQRT(Dashboard!$F$4) * _xlfn.NORM.S.INV(RAND())</f>
        <v>1.0393765894929777E-2</v>
      </c>
      <c r="U8099" s="59">
        <f ca="1">Dashboard!D$8* Dashboard!$F$4+Dashboard!D$10*SQRT(Dashboard!$F$4) * _xlfn.NORM.S.INV(RAND())</f>
        <v>-3.7104788736951923E-2</v>
      </c>
    </row>
    <row r="8100" spans="18:21" x14ac:dyDescent="0.2">
      <c r="R8100" s="49">
        <v>8098</v>
      </c>
      <c r="S8100" s="59">
        <f ca="1">Dashboard!B$8* Dashboard!$F$4+Dashboard!B$10*SQRT(Dashboard!$F$4) * _xlfn.NORM.S.INV(RAND())</f>
        <v>2.2873431597868712E-2</v>
      </c>
      <c r="T8100" s="59">
        <f ca="1">Dashboard!C$8* Dashboard!$F$4+Dashboard!C$10*SQRT(Dashboard!$F$4) * _xlfn.NORM.S.INV(RAND())</f>
        <v>-3.28780253673846E-2</v>
      </c>
      <c r="U8100" s="59">
        <f ca="1">Dashboard!D$8* Dashboard!$F$4+Dashboard!D$10*SQRT(Dashboard!$F$4) * _xlfn.NORM.S.INV(RAND())</f>
        <v>6.9224088620987057E-2</v>
      </c>
    </row>
    <row r="8101" spans="18:21" x14ac:dyDescent="0.2">
      <c r="R8101" s="49">
        <v>8099</v>
      </c>
      <c r="S8101" s="59">
        <f ca="1">Dashboard!B$8* Dashboard!$F$4+Dashboard!B$10*SQRT(Dashboard!$F$4) * _xlfn.NORM.S.INV(RAND())</f>
        <v>1.5297107965291509E-2</v>
      </c>
      <c r="T8101" s="59">
        <f ca="1">Dashboard!C$8* Dashboard!$F$4+Dashboard!C$10*SQRT(Dashboard!$F$4) * _xlfn.NORM.S.INV(RAND())</f>
        <v>-4.9099128005498885E-2</v>
      </c>
      <c r="U8101" s="59">
        <f ca="1">Dashboard!D$8* Dashboard!$F$4+Dashboard!D$10*SQRT(Dashboard!$F$4) * _xlfn.NORM.S.INV(RAND())</f>
        <v>5.0649752714347122E-2</v>
      </c>
    </row>
    <row r="8102" spans="18:21" x14ac:dyDescent="0.2">
      <c r="R8102" s="49">
        <v>8100</v>
      </c>
      <c r="S8102" s="59">
        <f ca="1">Dashboard!B$8* Dashboard!$F$4+Dashboard!B$10*SQRT(Dashboard!$F$4) * _xlfn.NORM.S.INV(RAND())</f>
        <v>-3.1846919910670811E-2</v>
      </c>
      <c r="T8102" s="59">
        <f ca="1">Dashboard!C$8* Dashboard!$F$4+Dashboard!C$10*SQRT(Dashboard!$F$4) * _xlfn.NORM.S.INV(RAND())</f>
        <v>6.6458740400654026E-2</v>
      </c>
      <c r="U8102" s="59">
        <f ca="1">Dashboard!D$8* Dashboard!$F$4+Dashboard!D$10*SQRT(Dashboard!$F$4) * _xlfn.NORM.S.INV(RAND())</f>
        <v>-7.7647853540465217E-2</v>
      </c>
    </row>
    <row r="8103" spans="18:21" x14ac:dyDescent="0.2">
      <c r="R8103" s="49">
        <v>8101</v>
      </c>
      <c r="S8103" s="59">
        <f ca="1">Dashboard!B$8* Dashboard!$F$4+Dashboard!B$10*SQRT(Dashboard!$F$4) * _xlfn.NORM.S.INV(RAND())</f>
        <v>-2.4200977022013175E-2</v>
      </c>
      <c r="T8103" s="59">
        <f ca="1">Dashboard!C$8* Dashboard!$F$4+Dashboard!C$10*SQRT(Dashboard!$F$4) * _xlfn.NORM.S.INV(RAND())</f>
        <v>9.4698411388052448E-3</v>
      </c>
      <c r="U8103" s="59">
        <f ca="1">Dashboard!D$8* Dashboard!$F$4+Dashboard!D$10*SQRT(Dashboard!$F$4) * _xlfn.NORM.S.INV(RAND())</f>
        <v>3.104525566674014E-2</v>
      </c>
    </row>
    <row r="8104" spans="18:21" x14ac:dyDescent="0.2">
      <c r="R8104" s="49">
        <v>8102</v>
      </c>
      <c r="S8104" s="59">
        <f ca="1">Dashboard!B$8* Dashboard!$F$4+Dashboard!B$10*SQRT(Dashboard!$F$4) * _xlfn.NORM.S.INV(RAND())</f>
        <v>4.5645247419668959E-2</v>
      </c>
      <c r="T8104" s="59">
        <f ca="1">Dashboard!C$8* Dashboard!$F$4+Dashboard!C$10*SQRT(Dashboard!$F$4) * _xlfn.NORM.S.INV(RAND())</f>
        <v>3.7608397707287938E-2</v>
      </c>
      <c r="U8104" s="59">
        <f ca="1">Dashboard!D$8* Dashboard!$F$4+Dashboard!D$10*SQRT(Dashboard!$F$4) * _xlfn.NORM.S.INV(RAND())</f>
        <v>-2.9793603668071451E-2</v>
      </c>
    </row>
    <row r="8105" spans="18:21" x14ac:dyDescent="0.2">
      <c r="R8105" s="49">
        <v>8103</v>
      </c>
      <c r="S8105" s="59">
        <f ca="1">Dashboard!B$8* Dashboard!$F$4+Dashboard!B$10*SQRT(Dashboard!$F$4) * _xlfn.NORM.S.INV(RAND())</f>
        <v>-5.3808561819509437E-2</v>
      </c>
      <c r="T8105" s="59">
        <f ca="1">Dashboard!C$8* Dashboard!$F$4+Dashboard!C$10*SQRT(Dashboard!$F$4) * _xlfn.NORM.S.INV(RAND())</f>
        <v>4.1022046699467463E-2</v>
      </c>
      <c r="U8105" s="59">
        <f ca="1">Dashboard!D$8* Dashboard!$F$4+Dashboard!D$10*SQRT(Dashboard!$F$4) * _xlfn.NORM.S.INV(RAND())</f>
        <v>-1.5514707838307357E-2</v>
      </c>
    </row>
    <row r="8106" spans="18:21" x14ac:dyDescent="0.2">
      <c r="R8106" s="49">
        <v>8104</v>
      </c>
      <c r="S8106" s="59">
        <f ca="1">Dashboard!B$8* Dashboard!$F$4+Dashboard!B$10*SQRT(Dashboard!$F$4) * _xlfn.NORM.S.INV(RAND())</f>
        <v>3.7473563505677647E-2</v>
      </c>
      <c r="T8106" s="59">
        <f ca="1">Dashboard!C$8* Dashboard!$F$4+Dashboard!C$10*SQRT(Dashboard!$F$4) * _xlfn.NORM.S.INV(RAND())</f>
        <v>-4.6570600614661242E-2</v>
      </c>
      <c r="U8106" s="59">
        <f ca="1">Dashboard!D$8* Dashboard!$F$4+Dashboard!D$10*SQRT(Dashboard!$F$4) * _xlfn.NORM.S.INV(RAND())</f>
        <v>-2.8474044959001955E-3</v>
      </c>
    </row>
    <row r="8107" spans="18:21" x14ac:dyDescent="0.2">
      <c r="R8107" s="49">
        <v>8105</v>
      </c>
      <c r="S8107" s="59">
        <f ca="1">Dashboard!B$8* Dashboard!$F$4+Dashboard!B$10*SQRT(Dashboard!$F$4) * _xlfn.NORM.S.INV(RAND())</f>
        <v>6.1329111282979687E-2</v>
      </c>
      <c r="T8107" s="59">
        <f ca="1">Dashboard!C$8* Dashboard!$F$4+Dashboard!C$10*SQRT(Dashboard!$F$4) * _xlfn.NORM.S.INV(RAND())</f>
        <v>2.8041734392306773E-2</v>
      </c>
      <c r="U8107" s="59">
        <f ca="1">Dashboard!D$8* Dashboard!$F$4+Dashboard!D$10*SQRT(Dashboard!$F$4) * _xlfn.NORM.S.INV(RAND())</f>
        <v>4.3739607632389113E-2</v>
      </c>
    </row>
    <row r="8108" spans="18:21" x14ac:dyDescent="0.2">
      <c r="R8108" s="49">
        <v>8106</v>
      </c>
      <c r="S8108" s="59">
        <f ca="1">Dashboard!B$8* Dashboard!$F$4+Dashboard!B$10*SQRT(Dashboard!$F$4) * _xlfn.NORM.S.INV(RAND())</f>
        <v>1.6945900339136906E-3</v>
      </c>
      <c r="T8108" s="59">
        <f ca="1">Dashboard!C$8* Dashboard!$F$4+Dashboard!C$10*SQRT(Dashboard!$F$4) * _xlfn.NORM.S.INV(RAND())</f>
        <v>-1.5220701061808752E-2</v>
      </c>
      <c r="U8108" s="59">
        <f ca="1">Dashboard!D$8* Dashboard!$F$4+Dashboard!D$10*SQRT(Dashboard!$F$4) * _xlfn.NORM.S.INV(RAND())</f>
        <v>5.6203318718518434E-2</v>
      </c>
    </row>
    <row r="8109" spans="18:21" x14ac:dyDescent="0.2">
      <c r="R8109" s="49">
        <v>8107</v>
      </c>
      <c r="S8109" s="59">
        <f ca="1">Dashboard!B$8* Dashboard!$F$4+Dashboard!B$10*SQRT(Dashboard!$F$4) * _xlfn.NORM.S.INV(RAND())</f>
        <v>2.3822324285753066E-2</v>
      </c>
      <c r="T8109" s="59">
        <f ca="1">Dashboard!C$8* Dashboard!$F$4+Dashboard!C$10*SQRT(Dashboard!$F$4) * _xlfn.NORM.S.INV(RAND())</f>
        <v>8.9065963757252852E-3</v>
      </c>
      <c r="U8109" s="59">
        <f ca="1">Dashboard!D$8* Dashboard!$F$4+Dashboard!D$10*SQRT(Dashboard!$F$4) * _xlfn.NORM.S.INV(RAND())</f>
        <v>-2.8012580302536904E-2</v>
      </c>
    </row>
    <row r="8110" spans="18:21" x14ac:dyDescent="0.2">
      <c r="R8110" s="49">
        <v>8108</v>
      </c>
      <c r="S8110" s="59">
        <f ca="1">Dashboard!B$8* Dashboard!$F$4+Dashboard!B$10*SQRT(Dashboard!$F$4) * _xlfn.NORM.S.INV(RAND())</f>
        <v>-2.894817804219918E-2</v>
      </c>
      <c r="T8110" s="59">
        <f ca="1">Dashboard!C$8* Dashboard!$F$4+Dashboard!C$10*SQRT(Dashboard!$F$4) * _xlfn.NORM.S.INV(RAND())</f>
        <v>-2.5168601529440733E-2</v>
      </c>
      <c r="U8110" s="59">
        <f ca="1">Dashboard!D$8* Dashboard!$F$4+Dashboard!D$10*SQRT(Dashboard!$F$4) * _xlfn.NORM.S.INV(RAND())</f>
        <v>-2.8016672777298406E-2</v>
      </c>
    </row>
    <row r="8111" spans="18:21" x14ac:dyDescent="0.2">
      <c r="R8111" s="49">
        <v>8109</v>
      </c>
      <c r="S8111" s="59">
        <f ca="1">Dashboard!B$8* Dashboard!$F$4+Dashboard!B$10*SQRT(Dashboard!$F$4) * _xlfn.NORM.S.INV(RAND())</f>
        <v>4.1952354632924696E-2</v>
      </c>
      <c r="T8111" s="59">
        <f ca="1">Dashboard!C$8* Dashboard!$F$4+Dashboard!C$10*SQRT(Dashboard!$F$4) * _xlfn.NORM.S.INV(RAND())</f>
        <v>-1.9384678869393965E-2</v>
      </c>
      <c r="U8111" s="59">
        <f ca="1">Dashboard!D$8* Dashboard!$F$4+Dashboard!D$10*SQRT(Dashboard!$F$4) * _xlfn.NORM.S.INV(RAND())</f>
        <v>2.2718781141374236E-2</v>
      </c>
    </row>
    <row r="8112" spans="18:21" x14ac:dyDescent="0.2">
      <c r="R8112" s="49">
        <v>8110</v>
      </c>
      <c r="S8112" s="59">
        <f ca="1">Dashboard!B$8* Dashboard!$F$4+Dashboard!B$10*SQRT(Dashboard!$F$4) * _xlfn.NORM.S.INV(RAND())</f>
        <v>-5.1922405629139079E-2</v>
      </c>
      <c r="T8112" s="59">
        <f ca="1">Dashboard!C$8* Dashboard!$F$4+Dashboard!C$10*SQRT(Dashboard!$F$4) * _xlfn.NORM.S.INV(RAND())</f>
        <v>6.3750673111414415E-3</v>
      </c>
      <c r="U8112" s="59">
        <f ca="1">Dashboard!D$8* Dashboard!$F$4+Dashboard!D$10*SQRT(Dashboard!$F$4) * _xlfn.NORM.S.INV(RAND())</f>
        <v>1.7933013080353829E-2</v>
      </c>
    </row>
    <row r="8113" spans="18:21" x14ac:dyDescent="0.2">
      <c r="R8113" s="49">
        <v>8111</v>
      </c>
      <c r="S8113" s="59">
        <f ca="1">Dashboard!B$8* Dashboard!$F$4+Dashboard!B$10*SQRT(Dashboard!$F$4) * _xlfn.NORM.S.INV(RAND())</f>
        <v>1.7879797441631234E-2</v>
      </c>
      <c r="T8113" s="59">
        <f ca="1">Dashboard!C$8* Dashboard!$F$4+Dashboard!C$10*SQRT(Dashboard!$F$4) * _xlfn.NORM.S.INV(RAND())</f>
        <v>-2.3194846721375756E-2</v>
      </c>
      <c r="U8113" s="59">
        <f ca="1">Dashboard!D$8* Dashboard!$F$4+Dashboard!D$10*SQRT(Dashboard!$F$4) * _xlfn.NORM.S.INV(RAND())</f>
        <v>-7.3842168670314456E-3</v>
      </c>
    </row>
    <row r="8114" spans="18:21" x14ac:dyDescent="0.2">
      <c r="R8114" s="49">
        <v>8112</v>
      </c>
      <c r="S8114" s="59">
        <f ca="1">Dashboard!B$8* Dashboard!$F$4+Dashboard!B$10*SQRT(Dashboard!$F$4) * _xlfn.NORM.S.INV(RAND())</f>
        <v>-6.030350819158134E-2</v>
      </c>
      <c r="T8114" s="59">
        <f ca="1">Dashboard!C$8* Dashboard!$F$4+Dashboard!C$10*SQRT(Dashboard!$F$4) * _xlfn.NORM.S.INV(RAND())</f>
        <v>3.8223875782633511E-2</v>
      </c>
      <c r="U8114" s="59">
        <f ca="1">Dashboard!D$8* Dashboard!$F$4+Dashboard!D$10*SQRT(Dashboard!$F$4) * _xlfn.NORM.S.INV(RAND())</f>
        <v>-5.1212404565221532E-2</v>
      </c>
    </row>
    <row r="8115" spans="18:21" x14ac:dyDescent="0.2">
      <c r="R8115" s="49">
        <v>8113</v>
      </c>
      <c r="S8115" s="59">
        <f ca="1">Dashboard!B$8* Dashboard!$F$4+Dashboard!B$10*SQRT(Dashboard!$F$4) * _xlfn.NORM.S.INV(RAND())</f>
        <v>-2.1117620613589932E-2</v>
      </c>
      <c r="T8115" s="59">
        <f ca="1">Dashboard!C$8* Dashboard!$F$4+Dashboard!C$10*SQRT(Dashboard!$F$4) * _xlfn.NORM.S.INV(RAND())</f>
        <v>2.0701147923726598E-2</v>
      </c>
      <c r="U8115" s="59">
        <f ca="1">Dashboard!D$8* Dashboard!$F$4+Dashboard!D$10*SQRT(Dashboard!$F$4) * _xlfn.NORM.S.INV(RAND())</f>
        <v>-2.6829635916636604E-2</v>
      </c>
    </row>
    <row r="8116" spans="18:21" x14ac:dyDescent="0.2">
      <c r="R8116" s="49">
        <v>8114</v>
      </c>
      <c r="S8116" s="59">
        <f ca="1">Dashboard!B$8* Dashboard!$F$4+Dashboard!B$10*SQRT(Dashboard!$F$4) * _xlfn.NORM.S.INV(RAND())</f>
        <v>1.3983352192099745E-3</v>
      </c>
      <c r="T8116" s="59">
        <f ca="1">Dashboard!C$8* Dashboard!$F$4+Dashboard!C$10*SQRT(Dashboard!$F$4) * _xlfn.NORM.S.INV(RAND())</f>
        <v>-8.6367335567809553E-3</v>
      </c>
      <c r="U8116" s="59">
        <f ca="1">Dashboard!D$8* Dashboard!$F$4+Dashboard!D$10*SQRT(Dashboard!$F$4) * _xlfn.NORM.S.INV(RAND())</f>
        <v>1.4527299478646123E-2</v>
      </c>
    </row>
    <row r="8117" spans="18:21" x14ac:dyDescent="0.2">
      <c r="R8117" s="49">
        <v>8115</v>
      </c>
      <c r="S8117" s="59">
        <f ca="1">Dashboard!B$8* Dashboard!$F$4+Dashboard!B$10*SQRT(Dashboard!$F$4) * _xlfn.NORM.S.INV(RAND())</f>
        <v>2.3354328114517126E-2</v>
      </c>
      <c r="T8117" s="59">
        <f ca="1">Dashboard!C$8* Dashboard!$F$4+Dashboard!C$10*SQRT(Dashboard!$F$4) * _xlfn.NORM.S.INV(RAND())</f>
        <v>5.2617102144761896E-3</v>
      </c>
      <c r="U8117" s="59">
        <f ca="1">Dashboard!D$8* Dashboard!$F$4+Dashboard!D$10*SQRT(Dashboard!$F$4) * _xlfn.NORM.S.INV(RAND())</f>
        <v>-1.9996541162957092E-3</v>
      </c>
    </row>
    <row r="8118" spans="18:21" x14ac:dyDescent="0.2">
      <c r="R8118" s="49">
        <v>8116</v>
      </c>
      <c r="S8118" s="59">
        <f ca="1">Dashboard!B$8* Dashboard!$F$4+Dashboard!B$10*SQRT(Dashboard!$F$4) * _xlfn.NORM.S.INV(RAND())</f>
        <v>-2.2631025220533445E-2</v>
      </c>
      <c r="T8118" s="59">
        <f ca="1">Dashboard!C$8* Dashboard!$F$4+Dashboard!C$10*SQRT(Dashboard!$F$4) * _xlfn.NORM.S.INV(RAND())</f>
        <v>-3.7754691635394884E-3</v>
      </c>
      <c r="U8118" s="59">
        <f ca="1">Dashboard!D$8* Dashboard!$F$4+Dashboard!D$10*SQRT(Dashboard!$F$4) * _xlfn.NORM.S.INV(RAND())</f>
        <v>-4.494378113524998E-2</v>
      </c>
    </row>
    <row r="8119" spans="18:21" x14ac:dyDescent="0.2">
      <c r="R8119" s="49">
        <v>8117</v>
      </c>
      <c r="S8119" s="59">
        <f ca="1">Dashboard!B$8* Dashboard!$F$4+Dashboard!B$10*SQRT(Dashboard!$F$4) * _xlfn.NORM.S.INV(RAND())</f>
        <v>-3.1383697793511439E-2</v>
      </c>
      <c r="T8119" s="59">
        <f ca="1">Dashboard!C$8* Dashboard!$F$4+Dashboard!C$10*SQRT(Dashboard!$F$4) * _xlfn.NORM.S.INV(RAND())</f>
        <v>3.8002319638116538E-2</v>
      </c>
      <c r="U8119" s="59">
        <f ca="1">Dashboard!D$8* Dashboard!$F$4+Dashboard!D$10*SQRT(Dashboard!$F$4) * _xlfn.NORM.S.INV(RAND())</f>
        <v>-6.2073162905110578E-2</v>
      </c>
    </row>
    <row r="8120" spans="18:21" x14ac:dyDescent="0.2">
      <c r="R8120" s="49">
        <v>8118</v>
      </c>
      <c r="S8120" s="59">
        <f ca="1">Dashboard!B$8* Dashboard!$F$4+Dashboard!B$10*SQRT(Dashboard!$F$4) * _xlfn.NORM.S.INV(RAND())</f>
        <v>3.1202380590930178E-3</v>
      </c>
      <c r="T8120" s="59">
        <f ca="1">Dashboard!C$8* Dashboard!$F$4+Dashboard!C$10*SQRT(Dashboard!$F$4) * _xlfn.NORM.S.INV(RAND())</f>
        <v>-4.3088014157651261E-2</v>
      </c>
      <c r="U8120" s="59">
        <f ca="1">Dashboard!D$8* Dashboard!$F$4+Dashboard!D$10*SQRT(Dashboard!$F$4) * _xlfn.NORM.S.INV(RAND())</f>
        <v>4.4914550247618291E-2</v>
      </c>
    </row>
    <row r="8121" spans="18:21" x14ac:dyDescent="0.2">
      <c r="R8121" s="49">
        <v>8119</v>
      </c>
      <c r="S8121" s="59">
        <f ca="1">Dashboard!B$8* Dashboard!$F$4+Dashboard!B$10*SQRT(Dashboard!$F$4) * _xlfn.NORM.S.INV(RAND())</f>
        <v>2.1115053954086846E-2</v>
      </c>
      <c r="T8121" s="59">
        <f ca="1">Dashboard!C$8* Dashboard!$F$4+Dashboard!C$10*SQRT(Dashboard!$F$4) * _xlfn.NORM.S.INV(RAND())</f>
        <v>-4.2616985558496948E-3</v>
      </c>
      <c r="U8121" s="59">
        <f ca="1">Dashboard!D$8* Dashboard!$F$4+Dashboard!D$10*SQRT(Dashboard!$F$4) * _xlfn.NORM.S.INV(RAND())</f>
        <v>-1.9563956003626121E-2</v>
      </c>
    </row>
    <row r="8122" spans="18:21" x14ac:dyDescent="0.2">
      <c r="R8122" s="49">
        <v>8120</v>
      </c>
      <c r="S8122" s="59">
        <f ca="1">Dashboard!B$8* Dashboard!$F$4+Dashboard!B$10*SQRT(Dashboard!$F$4) * _xlfn.NORM.S.INV(RAND())</f>
        <v>2.1798280815203949E-2</v>
      </c>
      <c r="T8122" s="59">
        <f ca="1">Dashboard!C$8* Dashboard!$F$4+Dashboard!C$10*SQRT(Dashboard!$F$4) * _xlfn.NORM.S.INV(RAND())</f>
        <v>-1.4258067405463662E-2</v>
      </c>
      <c r="U8122" s="59">
        <f ca="1">Dashboard!D$8* Dashboard!$F$4+Dashboard!D$10*SQRT(Dashboard!$F$4) * _xlfn.NORM.S.INV(RAND())</f>
        <v>1.4878803603439695E-2</v>
      </c>
    </row>
    <row r="8123" spans="18:21" x14ac:dyDescent="0.2">
      <c r="R8123" s="49">
        <v>8121</v>
      </c>
      <c r="S8123" s="59">
        <f ca="1">Dashboard!B$8* Dashboard!$F$4+Dashboard!B$10*SQRT(Dashboard!$F$4) * _xlfn.NORM.S.INV(RAND())</f>
        <v>1.57290497262298E-2</v>
      </c>
      <c r="T8123" s="59">
        <f ca="1">Dashboard!C$8* Dashboard!$F$4+Dashboard!C$10*SQRT(Dashboard!$F$4) * _xlfn.NORM.S.INV(RAND())</f>
        <v>-3.6730735160619095E-2</v>
      </c>
      <c r="U8123" s="59">
        <f ca="1">Dashboard!D$8* Dashboard!$F$4+Dashboard!D$10*SQRT(Dashboard!$F$4) * _xlfn.NORM.S.INV(RAND())</f>
        <v>-2.478274969146007E-2</v>
      </c>
    </row>
    <row r="8124" spans="18:21" x14ac:dyDescent="0.2">
      <c r="R8124" s="49">
        <v>8122</v>
      </c>
      <c r="S8124" s="59">
        <f ca="1">Dashboard!B$8* Dashboard!$F$4+Dashboard!B$10*SQRT(Dashboard!$F$4) * _xlfn.NORM.S.INV(RAND())</f>
        <v>1.6502575160587354E-2</v>
      </c>
      <c r="T8124" s="59">
        <f ca="1">Dashboard!C$8* Dashboard!$F$4+Dashboard!C$10*SQRT(Dashboard!$F$4) * _xlfn.NORM.S.INV(RAND())</f>
        <v>-1.7806662846637206E-2</v>
      </c>
      <c r="U8124" s="59">
        <f ca="1">Dashboard!D$8* Dashboard!$F$4+Dashboard!D$10*SQRT(Dashboard!$F$4) * _xlfn.NORM.S.INV(RAND())</f>
        <v>-5.169179931352251E-2</v>
      </c>
    </row>
    <row r="8125" spans="18:21" x14ac:dyDescent="0.2">
      <c r="R8125" s="49">
        <v>8123</v>
      </c>
      <c r="S8125" s="59">
        <f ca="1">Dashboard!B$8* Dashboard!$F$4+Dashboard!B$10*SQRT(Dashboard!$F$4) * _xlfn.NORM.S.INV(RAND())</f>
        <v>2.3637577280993638E-2</v>
      </c>
      <c r="T8125" s="59">
        <f ca="1">Dashboard!C$8* Dashboard!$F$4+Dashboard!C$10*SQRT(Dashboard!$F$4) * _xlfn.NORM.S.INV(RAND())</f>
        <v>-1.6193719428053675E-2</v>
      </c>
      <c r="U8125" s="59">
        <f ca="1">Dashboard!D$8* Dashboard!$F$4+Dashboard!D$10*SQRT(Dashboard!$F$4) * _xlfn.NORM.S.INV(RAND())</f>
        <v>-6.7952712238195734E-3</v>
      </c>
    </row>
    <row r="8126" spans="18:21" x14ac:dyDescent="0.2">
      <c r="R8126" s="49">
        <v>8124</v>
      </c>
      <c r="S8126" s="59">
        <f ca="1">Dashboard!B$8* Dashboard!$F$4+Dashboard!B$10*SQRT(Dashboard!$F$4) * _xlfn.NORM.S.INV(RAND())</f>
        <v>1.8731005523539134E-3</v>
      </c>
      <c r="T8126" s="59">
        <f ca="1">Dashboard!C$8* Dashboard!$F$4+Dashboard!C$10*SQRT(Dashboard!$F$4) * _xlfn.NORM.S.INV(RAND())</f>
        <v>-1.2572788310767713E-3</v>
      </c>
      <c r="U8126" s="59">
        <f ca="1">Dashboard!D$8* Dashboard!$F$4+Dashboard!D$10*SQRT(Dashboard!$F$4) * _xlfn.NORM.S.INV(RAND())</f>
        <v>1.2899614837204145E-2</v>
      </c>
    </row>
    <row r="8127" spans="18:21" x14ac:dyDescent="0.2">
      <c r="R8127" s="49">
        <v>8125</v>
      </c>
      <c r="S8127" s="59">
        <f ca="1">Dashboard!B$8* Dashboard!$F$4+Dashboard!B$10*SQRT(Dashboard!$F$4) * _xlfn.NORM.S.INV(RAND())</f>
        <v>4.4288177234520699E-2</v>
      </c>
      <c r="T8127" s="59">
        <f ca="1">Dashboard!C$8* Dashboard!$F$4+Dashboard!C$10*SQRT(Dashboard!$F$4) * _xlfn.NORM.S.INV(RAND())</f>
        <v>6.1012217486610919E-2</v>
      </c>
      <c r="U8127" s="59">
        <f ca="1">Dashboard!D$8* Dashboard!$F$4+Dashboard!D$10*SQRT(Dashboard!$F$4) * _xlfn.NORM.S.INV(RAND())</f>
        <v>-1.6138680863214388E-3</v>
      </c>
    </row>
    <row r="8128" spans="18:21" x14ac:dyDescent="0.2">
      <c r="R8128" s="49">
        <v>8126</v>
      </c>
      <c r="S8128" s="59">
        <f ca="1">Dashboard!B$8* Dashboard!$F$4+Dashboard!B$10*SQRT(Dashboard!$F$4) * _xlfn.NORM.S.INV(RAND())</f>
        <v>-1.8990159742204313E-3</v>
      </c>
      <c r="T8128" s="59">
        <f ca="1">Dashboard!C$8* Dashboard!$F$4+Dashboard!C$10*SQRT(Dashboard!$F$4) * _xlfn.NORM.S.INV(RAND())</f>
        <v>8.4745397364214166E-3</v>
      </c>
      <c r="U8128" s="59">
        <f ca="1">Dashboard!D$8* Dashboard!$F$4+Dashboard!D$10*SQRT(Dashboard!$F$4) * _xlfn.NORM.S.INV(RAND())</f>
        <v>-4.236532176846783E-4</v>
      </c>
    </row>
    <row r="8129" spans="18:21" x14ac:dyDescent="0.2">
      <c r="R8129" s="49">
        <v>8127</v>
      </c>
      <c r="S8129" s="59">
        <f ca="1">Dashboard!B$8* Dashboard!$F$4+Dashboard!B$10*SQRT(Dashboard!$F$4) * _xlfn.NORM.S.INV(RAND())</f>
        <v>-3.3235673348103213E-3</v>
      </c>
      <c r="T8129" s="59">
        <f ca="1">Dashboard!C$8* Dashboard!$F$4+Dashboard!C$10*SQRT(Dashboard!$F$4) * _xlfn.NORM.S.INV(RAND())</f>
        <v>1.6226055410660514E-3</v>
      </c>
      <c r="U8129" s="59">
        <f ca="1">Dashboard!D$8* Dashboard!$F$4+Dashboard!D$10*SQRT(Dashboard!$F$4) * _xlfn.NORM.S.INV(RAND())</f>
        <v>1.655204901988739E-2</v>
      </c>
    </row>
    <row r="8130" spans="18:21" x14ac:dyDescent="0.2">
      <c r="R8130" s="49">
        <v>8128</v>
      </c>
      <c r="S8130" s="59">
        <f ca="1">Dashboard!B$8* Dashboard!$F$4+Dashboard!B$10*SQRT(Dashboard!$F$4) * _xlfn.NORM.S.INV(RAND())</f>
        <v>2.1952669945219827E-2</v>
      </c>
      <c r="T8130" s="59">
        <f ca="1">Dashboard!C$8* Dashboard!$F$4+Dashboard!C$10*SQRT(Dashboard!$F$4) * _xlfn.NORM.S.INV(RAND())</f>
        <v>1.0234867884038169E-2</v>
      </c>
      <c r="U8130" s="59">
        <f ca="1">Dashboard!D$8* Dashboard!$F$4+Dashboard!D$10*SQRT(Dashboard!$F$4) * _xlfn.NORM.S.INV(RAND())</f>
        <v>2.6815909901552627E-2</v>
      </c>
    </row>
    <row r="8131" spans="18:21" x14ac:dyDescent="0.2">
      <c r="R8131" s="49">
        <v>8129</v>
      </c>
      <c r="S8131" s="59">
        <f ca="1">Dashboard!B$8* Dashboard!$F$4+Dashboard!B$10*SQRT(Dashboard!$F$4) * _xlfn.NORM.S.INV(RAND())</f>
        <v>1.8950308652709441E-2</v>
      </c>
      <c r="T8131" s="59">
        <f ca="1">Dashboard!C$8* Dashboard!$F$4+Dashboard!C$10*SQRT(Dashboard!$F$4) * _xlfn.NORM.S.INV(RAND())</f>
        <v>-2.278391462034457E-2</v>
      </c>
      <c r="U8131" s="59">
        <f ca="1">Dashboard!D$8* Dashboard!$F$4+Dashboard!D$10*SQRT(Dashboard!$F$4) * _xlfn.NORM.S.INV(RAND())</f>
        <v>-3.177877328722848E-2</v>
      </c>
    </row>
    <row r="8132" spans="18:21" x14ac:dyDescent="0.2">
      <c r="R8132" s="49">
        <v>8130</v>
      </c>
      <c r="S8132" s="59">
        <f ca="1">Dashboard!B$8* Dashboard!$F$4+Dashboard!B$10*SQRT(Dashboard!$F$4) * _xlfn.NORM.S.INV(RAND())</f>
        <v>-3.1434196382718868E-2</v>
      </c>
      <c r="T8132" s="59">
        <f ca="1">Dashboard!C$8* Dashboard!$F$4+Dashboard!C$10*SQRT(Dashboard!$F$4) * _xlfn.NORM.S.INV(RAND())</f>
        <v>-3.060612332510625E-2</v>
      </c>
      <c r="U8132" s="59">
        <f ca="1">Dashboard!D$8* Dashboard!$F$4+Dashboard!D$10*SQRT(Dashboard!$F$4) * _xlfn.NORM.S.INV(RAND())</f>
        <v>-1.4355682282335171E-2</v>
      </c>
    </row>
    <row r="8133" spans="18:21" x14ac:dyDescent="0.2">
      <c r="R8133" s="49">
        <v>8131</v>
      </c>
      <c r="S8133" s="59">
        <f ca="1">Dashboard!B$8* Dashboard!$F$4+Dashboard!B$10*SQRT(Dashboard!$F$4) * _xlfn.NORM.S.INV(RAND())</f>
        <v>1.6810908877597189E-2</v>
      </c>
      <c r="T8133" s="59">
        <f ca="1">Dashboard!C$8* Dashboard!$F$4+Dashboard!C$10*SQRT(Dashboard!$F$4) * _xlfn.NORM.S.INV(RAND())</f>
        <v>3.5102627961612113E-3</v>
      </c>
      <c r="U8133" s="59">
        <f ca="1">Dashboard!D$8* Dashboard!$F$4+Dashboard!D$10*SQRT(Dashboard!$F$4) * _xlfn.NORM.S.INV(RAND())</f>
        <v>-2.2726004711006723E-2</v>
      </c>
    </row>
    <row r="8134" spans="18:21" x14ac:dyDescent="0.2">
      <c r="R8134" s="49">
        <v>8132</v>
      </c>
      <c r="S8134" s="59">
        <f ca="1">Dashboard!B$8* Dashboard!$F$4+Dashboard!B$10*SQRT(Dashboard!$F$4) * _xlfn.NORM.S.INV(RAND())</f>
        <v>-5.1677252245241896E-2</v>
      </c>
      <c r="T8134" s="59">
        <f ca="1">Dashboard!C$8* Dashboard!$F$4+Dashboard!C$10*SQRT(Dashboard!$F$4) * _xlfn.NORM.S.INV(RAND())</f>
        <v>3.8067284248593736E-2</v>
      </c>
      <c r="U8134" s="59">
        <f ca="1">Dashboard!D$8* Dashboard!$F$4+Dashboard!D$10*SQRT(Dashboard!$F$4) * _xlfn.NORM.S.INV(RAND())</f>
        <v>6.0026408895045317E-3</v>
      </c>
    </row>
    <row r="8135" spans="18:21" x14ac:dyDescent="0.2">
      <c r="R8135" s="49">
        <v>8133</v>
      </c>
      <c r="S8135" s="59">
        <f ca="1">Dashboard!B$8* Dashboard!$F$4+Dashboard!B$10*SQRT(Dashboard!$F$4) * _xlfn.NORM.S.INV(RAND())</f>
        <v>3.508470778818934E-2</v>
      </c>
      <c r="T8135" s="59">
        <f ca="1">Dashboard!C$8* Dashboard!$F$4+Dashboard!C$10*SQRT(Dashboard!$F$4) * _xlfn.NORM.S.INV(RAND())</f>
        <v>3.8291756770703872E-2</v>
      </c>
      <c r="U8135" s="59">
        <f ca="1">Dashboard!D$8* Dashboard!$F$4+Dashboard!D$10*SQRT(Dashboard!$F$4) * _xlfn.NORM.S.INV(RAND())</f>
        <v>1.4507324415647076E-2</v>
      </c>
    </row>
    <row r="8136" spans="18:21" x14ac:dyDescent="0.2">
      <c r="R8136" s="49">
        <v>8134</v>
      </c>
      <c r="S8136" s="59">
        <f ca="1">Dashboard!B$8* Dashboard!$F$4+Dashboard!B$10*SQRT(Dashboard!$F$4) * _xlfn.NORM.S.INV(RAND())</f>
        <v>-6.4234814599823872E-4</v>
      </c>
      <c r="T8136" s="59">
        <f ca="1">Dashboard!C$8* Dashboard!$F$4+Dashboard!C$10*SQRT(Dashboard!$F$4) * _xlfn.NORM.S.INV(RAND())</f>
        <v>4.5285039358340341E-3</v>
      </c>
      <c r="U8136" s="59">
        <f ca="1">Dashboard!D$8* Dashboard!$F$4+Dashboard!D$10*SQRT(Dashboard!$F$4) * _xlfn.NORM.S.INV(RAND())</f>
        <v>-9.2631579876631693E-3</v>
      </c>
    </row>
    <row r="8137" spans="18:21" x14ac:dyDescent="0.2">
      <c r="R8137" s="49">
        <v>8135</v>
      </c>
      <c r="S8137" s="59">
        <f ca="1">Dashboard!B$8* Dashboard!$F$4+Dashboard!B$10*SQRT(Dashboard!$F$4) * _xlfn.NORM.S.INV(RAND())</f>
        <v>2.1415496636598821E-2</v>
      </c>
      <c r="T8137" s="59">
        <f ca="1">Dashboard!C$8* Dashboard!$F$4+Dashboard!C$10*SQRT(Dashboard!$F$4) * _xlfn.NORM.S.INV(RAND())</f>
        <v>1.8892164773908798E-2</v>
      </c>
      <c r="U8137" s="59">
        <f ca="1">Dashboard!D$8* Dashboard!$F$4+Dashboard!D$10*SQRT(Dashboard!$F$4) * _xlfn.NORM.S.INV(RAND())</f>
        <v>-6.8647875652829444E-3</v>
      </c>
    </row>
    <row r="8138" spans="18:21" x14ac:dyDescent="0.2">
      <c r="R8138" s="49">
        <v>8136</v>
      </c>
      <c r="S8138" s="59">
        <f ca="1">Dashboard!B$8* Dashboard!$F$4+Dashboard!B$10*SQRT(Dashboard!$F$4) * _xlfn.NORM.S.INV(RAND())</f>
        <v>-1.9031541483332977E-2</v>
      </c>
      <c r="T8138" s="59">
        <f ca="1">Dashboard!C$8* Dashboard!$F$4+Dashboard!C$10*SQRT(Dashboard!$F$4) * _xlfn.NORM.S.INV(RAND())</f>
        <v>-3.4935417704660944E-2</v>
      </c>
      <c r="U8138" s="59">
        <f ca="1">Dashboard!D$8* Dashboard!$F$4+Dashboard!D$10*SQRT(Dashboard!$F$4) * _xlfn.NORM.S.INV(RAND())</f>
        <v>-2.6721056019583462E-3</v>
      </c>
    </row>
    <row r="8139" spans="18:21" x14ac:dyDescent="0.2">
      <c r="R8139" s="49">
        <v>8137</v>
      </c>
      <c r="S8139" s="59">
        <f ca="1">Dashboard!B$8* Dashboard!$F$4+Dashboard!B$10*SQRT(Dashboard!$F$4) * _xlfn.NORM.S.INV(RAND())</f>
        <v>-1.1790828031366187E-2</v>
      </c>
      <c r="T8139" s="59">
        <f ca="1">Dashboard!C$8* Dashboard!$F$4+Dashboard!C$10*SQRT(Dashboard!$F$4) * _xlfn.NORM.S.INV(RAND())</f>
        <v>-2.5390418811937775E-2</v>
      </c>
      <c r="U8139" s="59">
        <f ca="1">Dashboard!D$8* Dashboard!$F$4+Dashboard!D$10*SQRT(Dashboard!$F$4) * _xlfn.NORM.S.INV(RAND())</f>
        <v>-1.432421921453454E-2</v>
      </c>
    </row>
    <row r="8140" spans="18:21" x14ac:dyDescent="0.2">
      <c r="R8140" s="49">
        <v>8138</v>
      </c>
      <c r="S8140" s="59">
        <f ca="1">Dashboard!B$8* Dashboard!$F$4+Dashboard!B$10*SQRT(Dashboard!$F$4) * _xlfn.NORM.S.INV(RAND())</f>
        <v>7.7212116499508543E-2</v>
      </c>
      <c r="T8140" s="59">
        <f ca="1">Dashboard!C$8* Dashboard!$F$4+Dashboard!C$10*SQRT(Dashboard!$F$4) * _xlfn.NORM.S.INV(RAND())</f>
        <v>-9.7110890682288592E-3</v>
      </c>
      <c r="U8140" s="59">
        <f ca="1">Dashboard!D$8* Dashboard!$F$4+Dashboard!D$10*SQRT(Dashboard!$F$4) * _xlfn.NORM.S.INV(RAND())</f>
        <v>3.9437229190865897E-2</v>
      </c>
    </row>
    <row r="8141" spans="18:21" x14ac:dyDescent="0.2">
      <c r="R8141" s="49">
        <v>8139</v>
      </c>
      <c r="S8141" s="59">
        <f ca="1">Dashboard!B$8* Dashboard!$F$4+Dashboard!B$10*SQRT(Dashboard!$F$4) * _xlfn.NORM.S.INV(RAND())</f>
        <v>-1.013300184674935E-3</v>
      </c>
      <c r="T8141" s="59">
        <f ca="1">Dashboard!C$8* Dashboard!$F$4+Dashboard!C$10*SQRT(Dashboard!$F$4) * _xlfn.NORM.S.INV(RAND())</f>
        <v>-1.3519218506959807E-2</v>
      </c>
      <c r="U8141" s="59">
        <f ca="1">Dashboard!D$8* Dashboard!$F$4+Dashboard!D$10*SQRT(Dashboard!$F$4) * _xlfn.NORM.S.INV(RAND())</f>
        <v>1.6316282376577094E-2</v>
      </c>
    </row>
    <row r="8142" spans="18:21" x14ac:dyDescent="0.2">
      <c r="R8142" s="49">
        <v>8140</v>
      </c>
      <c r="S8142" s="59">
        <f ca="1">Dashboard!B$8* Dashboard!$F$4+Dashboard!B$10*SQRT(Dashboard!$F$4) * _xlfn.NORM.S.INV(RAND())</f>
        <v>-2.1818207262745262E-2</v>
      </c>
      <c r="T8142" s="59">
        <f ca="1">Dashboard!C$8* Dashboard!$F$4+Dashboard!C$10*SQRT(Dashboard!$F$4) * _xlfn.NORM.S.INV(RAND())</f>
        <v>-1.6304114566310094E-2</v>
      </c>
      <c r="U8142" s="59">
        <f ca="1">Dashboard!D$8* Dashboard!$F$4+Dashboard!D$10*SQRT(Dashboard!$F$4) * _xlfn.NORM.S.INV(RAND())</f>
        <v>3.8019722378402065E-3</v>
      </c>
    </row>
    <row r="8143" spans="18:21" x14ac:dyDescent="0.2">
      <c r="R8143" s="49">
        <v>8141</v>
      </c>
      <c r="S8143" s="59">
        <f ca="1">Dashboard!B$8* Dashboard!$F$4+Dashboard!B$10*SQRT(Dashboard!$F$4) * _xlfn.NORM.S.INV(RAND())</f>
        <v>-3.428971720938033E-2</v>
      </c>
      <c r="T8143" s="59">
        <f ca="1">Dashboard!C$8* Dashboard!$F$4+Dashboard!C$10*SQRT(Dashboard!$F$4) * _xlfn.NORM.S.INV(RAND())</f>
        <v>3.256232465616038E-2</v>
      </c>
      <c r="U8143" s="59">
        <f ca="1">Dashboard!D$8* Dashboard!$F$4+Dashboard!D$10*SQRT(Dashboard!$F$4) * _xlfn.NORM.S.INV(RAND())</f>
        <v>-1.0095113956346678E-2</v>
      </c>
    </row>
    <row r="8144" spans="18:21" x14ac:dyDescent="0.2">
      <c r="R8144" s="49">
        <v>8142</v>
      </c>
      <c r="S8144" s="59">
        <f ca="1">Dashboard!B$8* Dashboard!$F$4+Dashboard!B$10*SQRT(Dashboard!$F$4) * _xlfn.NORM.S.INV(RAND())</f>
        <v>-1.9485117752191122E-2</v>
      </c>
      <c r="T8144" s="59">
        <f ca="1">Dashboard!C$8* Dashboard!$F$4+Dashboard!C$10*SQRT(Dashboard!$F$4) * _xlfn.NORM.S.INV(RAND())</f>
        <v>-2.1407648959261207E-2</v>
      </c>
      <c r="U8144" s="59">
        <f ca="1">Dashboard!D$8* Dashboard!$F$4+Dashboard!D$10*SQRT(Dashboard!$F$4) * _xlfn.NORM.S.INV(RAND())</f>
        <v>3.9130838350520045E-2</v>
      </c>
    </row>
    <row r="8145" spans="18:21" x14ac:dyDescent="0.2">
      <c r="R8145" s="49">
        <v>8143</v>
      </c>
      <c r="S8145" s="59">
        <f ca="1">Dashboard!B$8* Dashboard!$F$4+Dashboard!B$10*SQRT(Dashboard!$F$4) * _xlfn.NORM.S.INV(RAND())</f>
        <v>5.7405417061311491E-2</v>
      </c>
      <c r="T8145" s="59">
        <f ca="1">Dashboard!C$8* Dashboard!$F$4+Dashboard!C$10*SQRT(Dashboard!$F$4) * _xlfn.NORM.S.INV(RAND())</f>
        <v>-2.0379917263937824E-2</v>
      </c>
      <c r="U8145" s="59">
        <f ca="1">Dashboard!D$8* Dashboard!$F$4+Dashboard!D$10*SQRT(Dashboard!$F$4) * _xlfn.NORM.S.INV(RAND())</f>
        <v>1.2428752760740682E-2</v>
      </c>
    </row>
    <row r="8146" spans="18:21" x14ac:dyDescent="0.2">
      <c r="R8146" s="49">
        <v>8144</v>
      </c>
      <c r="S8146" s="59">
        <f ca="1">Dashboard!B$8* Dashboard!$F$4+Dashboard!B$10*SQRT(Dashboard!$F$4) * _xlfn.NORM.S.INV(RAND())</f>
        <v>1.9848528692790364E-3</v>
      </c>
      <c r="T8146" s="59">
        <f ca="1">Dashboard!C$8* Dashboard!$F$4+Dashboard!C$10*SQRT(Dashboard!$F$4) * _xlfn.NORM.S.INV(RAND())</f>
        <v>-1.0441943632619813E-2</v>
      </c>
      <c r="U8146" s="59">
        <f ca="1">Dashboard!D$8* Dashboard!$F$4+Dashboard!D$10*SQRT(Dashboard!$F$4) * _xlfn.NORM.S.INV(RAND())</f>
        <v>-4.9426803881725781E-2</v>
      </c>
    </row>
    <row r="8147" spans="18:21" x14ac:dyDescent="0.2">
      <c r="R8147" s="49">
        <v>8145</v>
      </c>
      <c r="S8147" s="59">
        <f ca="1">Dashboard!B$8* Dashboard!$F$4+Dashboard!B$10*SQRT(Dashboard!$F$4) * _xlfn.NORM.S.INV(RAND())</f>
        <v>7.1750461496671546E-3</v>
      </c>
      <c r="T8147" s="59">
        <f ca="1">Dashboard!C$8* Dashboard!$F$4+Dashboard!C$10*SQRT(Dashboard!$F$4) * _xlfn.NORM.S.INV(RAND())</f>
        <v>-9.6333643444166794E-4</v>
      </c>
      <c r="U8147" s="59">
        <f ca="1">Dashboard!D$8* Dashboard!$F$4+Dashboard!D$10*SQRT(Dashboard!$F$4) * _xlfn.NORM.S.INV(RAND())</f>
        <v>9.5351231107670825E-3</v>
      </c>
    </row>
    <row r="8148" spans="18:21" x14ac:dyDescent="0.2">
      <c r="R8148" s="49">
        <v>8146</v>
      </c>
      <c r="S8148" s="59">
        <f ca="1">Dashboard!B$8* Dashboard!$F$4+Dashboard!B$10*SQRT(Dashboard!$F$4) * _xlfn.NORM.S.INV(RAND())</f>
        <v>-1.3468319077606004E-2</v>
      </c>
      <c r="T8148" s="59">
        <f ca="1">Dashboard!C$8* Dashboard!$F$4+Dashboard!C$10*SQRT(Dashboard!$F$4) * _xlfn.NORM.S.INV(RAND())</f>
        <v>-2.9194001423256673E-2</v>
      </c>
      <c r="U8148" s="59">
        <f ca="1">Dashboard!D$8* Dashboard!$F$4+Dashboard!D$10*SQRT(Dashboard!$F$4) * _xlfn.NORM.S.INV(RAND())</f>
        <v>-1.3958506856204258E-2</v>
      </c>
    </row>
    <row r="8149" spans="18:21" x14ac:dyDescent="0.2">
      <c r="R8149" s="49">
        <v>8147</v>
      </c>
      <c r="S8149" s="59">
        <f ca="1">Dashboard!B$8* Dashboard!$F$4+Dashboard!B$10*SQRT(Dashboard!$F$4) * _xlfn.NORM.S.INV(RAND())</f>
        <v>2.4955059756952896E-3</v>
      </c>
      <c r="T8149" s="59">
        <f ca="1">Dashboard!C$8* Dashboard!$F$4+Dashboard!C$10*SQRT(Dashboard!$F$4) * _xlfn.NORM.S.INV(RAND())</f>
        <v>-7.6408792447934082E-2</v>
      </c>
      <c r="U8149" s="59">
        <f ca="1">Dashboard!D$8* Dashboard!$F$4+Dashboard!D$10*SQRT(Dashboard!$F$4) * _xlfn.NORM.S.INV(RAND())</f>
        <v>-5.0566465324507849E-2</v>
      </c>
    </row>
    <row r="8150" spans="18:21" x14ac:dyDescent="0.2">
      <c r="R8150" s="49">
        <v>8148</v>
      </c>
      <c r="S8150" s="59">
        <f ca="1">Dashboard!B$8* Dashboard!$F$4+Dashboard!B$10*SQRT(Dashboard!$F$4) * _xlfn.NORM.S.INV(RAND())</f>
        <v>-2.940984352084465E-2</v>
      </c>
      <c r="T8150" s="59">
        <f ca="1">Dashboard!C$8* Dashboard!$F$4+Dashboard!C$10*SQRT(Dashboard!$F$4) * _xlfn.NORM.S.INV(RAND())</f>
        <v>-4.0665251487853889E-2</v>
      </c>
      <c r="U8150" s="59">
        <f ca="1">Dashboard!D$8* Dashboard!$F$4+Dashboard!D$10*SQRT(Dashboard!$F$4) * _xlfn.NORM.S.INV(RAND())</f>
        <v>-1.78402426681359E-2</v>
      </c>
    </row>
    <row r="8151" spans="18:21" x14ac:dyDescent="0.2">
      <c r="R8151" s="49">
        <v>8149</v>
      </c>
      <c r="S8151" s="59">
        <f ca="1">Dashboard!B$8* Dashboard!$F$4+Dashboard!B$10*SQRT(Dashboard!$F$4) * _xlfn.NORM.S.INV(RAND())</f>
        <v>-2.9665825202469076E-2</v>
      </c>
      <c r="T8151" s="59">
        <f ca="1">Dashboard!C$8* Dashboard!$F$4+Dashboard!C$10*SQRT(Dashboard!$F$4) * _xlfn.NORM.S.INV(RAND())</f>
        <v>4.8723208400971045E-2</v>
      </c>
      <c r="U8151" s="59">
        <f ca="1">Dashboard!D$8* Dashboard!$F$4+Dashboard!D$10*SQRT(Dashboard!$F$4) * _xlfn.NORM.S.INV(RAND())</f>
        <v>5.8576528532654284E-2</v>
      </c>
    </row>
    <row r="8152" spans="18:21" x14ac:dyDescent="0.2">
      <c r="R8152" s="49">
        <v>8150</v>
      </c>
      <c r="S8152" s="59">
        <f ca="1">Dashboard!B$8* Dashboard!$F$4+Dashboard!B$10*SQRT(Dashboard!$F$4) * _xlfn.NORM.S.INV(RAND())</f>
        <v>2.3366502568356283E-2</v>
      </c>
      <c r="T8152" s="59">
        <f ca="1">Dashboard!C$8* Dashboard!$F$4+Dashboard!C$10*SQRT(Dashboard!$F$4) * _xlfn.NORM.S.INV(RAND())</f>
        <v>2.819311198156001E-2</v>
      </c>
      <c r="U8152" s="59">
        <f ca="1">Dashboard!D$8* Dashboard!$F$4+Dashboard!D$10*SQRT(Dashboard!$F$4) * _xlfn.NORM.S.INV(RAND())</f>
        <v>-6.2712173777700903E-3</v>
      </c>
    </row>
    <row r="8153" spans="18:21" x14ac:dyDescent="0.2">
      <c r="R8153" s="49">
        <v>8151</v>
      </c>
      <c r="S8153" s="59">
        <f ca="1">Dashboard!B$8* Dashboard!$F$4+Dashboard!B$10*SQRT(Dashboard!$F$4) * _xlfn.NORM.S.INV(RAND())</f>
        <v>-4.7628319855656812E-2</v>
      </c>
      <c r="T8153" s="59">
        <f ca="1">Dashboard!C$8* Dashboard!$F$4+Dashboard!C$10*SQRT(Dashboard!$F$4) * _xlfn.NORM.S.INV(RAND())</f>
        <v>1.718485333821047E-2</v>
      </c>
      <c r="U8153" s="59">
        <f ca="1">Dashboard!D$8* Dashboard!$F$4+Dashboard!D$10*SQRT(Dashboard!$F$4) * _xlfn.NORM.S.INV(RAND())</f>
        <v>-5.5938690853676318E-3</v>
      </c>
    </row>
    <row r="8154" spans="18:21" x14ac:dyDescent="0.2">
      <c r="R8154" s="49">
        <v>8152</v>
      </c>
      <c r="S8154" s="59">
        <f ca="1">Dashboard!B$8* Dashboard!$F$4+Dashboard!B$10*SQRT(Dashboard!$F$4) * _xlfn.NORM.S.INV(RAND())</f>
        <v>-2.2265796264874495E-2</v>
      </c>
      <c r="T8154" s="59">
        <f ca="1">Dashboard!C$8* Dashboard!$F$4+Dashboard!C$10*SQRT(Dashboard!$F$4) * _xlfn.NORM.S.INV(RAND())</f>
        <v>1.8127644352567539E-2</v>
      </c>
      <c r="U8154" s="59">
        <f ca="1">Dashboard!D$8* Dashboard!$F$4+Dashboard!D$10*SQRT(Dashboard!$F$4) * _xlfn.NORM.S.INV(RAND())</f>
        <v>4.6303407890195818E-2</v>
      </c>
    </row>
    <row r="8155" spans="18:21" x14ac:dyDescent="0.2">
      <c r="R8155" s="49">
        <v>8153</v>
      </c>
      <c r="S8155" s="59">
        <f ca="1">Dashboard!B$8* Dashboard!$F$4+Dashboard!B$10*SQRT(Dashboard!$F$4) * _xlfn.NORM.S.INV(RAND())</f>
        <v>-2.5558820587421288E-2</v>
      </c>
      <c r="T8155" s="59">
        <f ca="1">Dashboard!C$8* Dashboard!$F$4+Dashboard!C$10*SQRT(Dashboard!$F$4) * _xlfn.NORM.S.INV(RAND())</f>
        <v>-4.2741274255400981E-2</v>
      </c>
      <c r="U8155" s="59">
        <f ca="1">Dashboard!D$8* Dashboard!$F$4+Dashboard!D$10*SQRT(Dashboard!$F$4) * _xlfn.NORM.S.INV(RAND())</f>
        <v>3.2289960559935124E-3</v>
      </c>
    </row>
    <row r="8156" spans="18:21" x14ac:dyDescent="0.2">
      <c r="R8156" s="49">
        <v>8154</v>
      </c>
      <c r="S8156" s="59">
        <f ca="1">Dashboard!B$8* Dashboard!$F$4+Dashboard!B$10*SQRT(Dashboard!$F$4) * _xlfn.NORM.S.INV(RAND())</f>
        <v>3.2618282633193043E-3</v>
      </c>
      <c r="T8156" s="59">
        <f ca="1">Dashboard!C$8* Dashboard!$F$4+Dashboard!C$10*SQRT(Dashboard!$F$4) * _xlfn.NORM.S.INV(RAND())</f>
        <v>1.1165055941949886E-3</v>
      </c>
      <c r="U8156" s="59">
        <f ca="1">Dashboard!D$8* Dashboard!$F$4+Dashboard!D$10*SQRT(Dashboard!$F$4) * _xlfn.NORM.S.INV(RAND())</f>
        <v>4.916343131778142E-2</v>
      </c>
    </row>
    <row r="8157" spans="18:21" x14ac:dyDescent="0.2">
      <c r="R8157" s="49">
        <v>8155</v>
      </c>
      <c r="S8157" s="59">
        <f ca="1">Dashboard!B$8* Dashboard!$F$4+Dashboard!B$10*SQRT(Dashboard!$F$4) * _xlfn.NORM.S.INV(RAND())</f>
        <v>2.5907187980236925E-2</v>
      </c>
      <c r="T8157" s="59">
        <f ca="1">Dashboard!C$8* Dashboard!$F$4+Dashboard!C$10*SQRT(Dashboard!$F$4) * _xlfn.NORM.S.INV(RAND())</f>
        <v>-6.6416250046616429E-2</v>
      </c>
      <c r="U8157" s="59">
        <f ca="1">Dashboard!D$8* Dashboard!$F$4+Dashboard!D$10*SQRT(Dashboard!$F$4) * _xlfn.NORM.S.INV(RAND())</f>
        <v>5.6018219630071857E-2</v>
      </c>
    </row>
    <row r="8158" spans="18:21" x14ac:dyDescent="0.2">
      <c r="R8158" s="49">
        <v>8156</v>
      </c>
      <c r="S8158" s="59">
        <f ca="1">Dashboard!B$8* Dashboard!$F$4+Dashboard!B$10*SQRT(Dashboard!$F$4) * _xlfn.NORM.S.INV(RAND())</f>
        <v>-3.6062146933701349E-2</v>
      </c>
      <c r="T8158" s="59">
        <f ca="1">Dashboard!C$8* Dashboard!$F$4+Dashboard!C$10*SQRT(Dashboard!$F$4) * _xlfn.NORM.S.INV(RAND())</f>
        <v>2.890481169875421E-2</v>
      </c>
      <c r="U8158" s="59">
        <f ca="1">Dashboard!D$8* Dashboard!$F$4+Dashboard!D$10*SQRT(Dashboard!$F$4) * _xlfn.NORM.S.INV(RAND())</f>
        <v>3.4333296826428925E-2</v>
      </c>
    </row>
    <row r="8159" spans="18:21" x14ac:dyDescent="0.2">
      <c r="R8159" s="49">
        <v>8157</v>
      </c>
      <c r="S8159" s="59">
        <f ca="1">Dashboard!B$8* Dashboard!$F$4+Dashboard!B$10*SQRT(Dashboard!$F$4) * _xlfn.NORM.S.INV(RAND())</f>
        <v>-1.3557529371901017E-2</v>
      </c>
      <c r="T8159" s="59">
        <f ca="1">Dashboard!C$8* Dashboard!$F$4+Dashboard!C$10*SQRT(Dashboard!$F$4) * _xlfn.NORM.S.INV(RAND())</f>
        <v>-7.7996615315492804E-2</v>
      </c>
      <c r="U8159" s="59">
        <f ca="1">Dashboard!D$8* Dashboard!$F$4+Dashboard!D$10*SQRT(Dashboard!$F$4) * _xlfn.NORM.S.INV(RAND())</f>
        <v>-3.2817191277452723E-2</v>
      </c>
    </row>
    <row r="8160" spans="18:21" x14ac:dyDescent="0.2">
      <c r="R8160" s="49">
        <v>8158</v>
      </c>
      <c r="S8160" s="59">
        <f ca="1">Dashboard!B$8* Dashboard!$F$4+Dashboard!B$10*SQRT(Dashboard!$F$4) * _xlfn.NORM.S.INV(RAND())</f>
        <v>-7.8465967498724011E-3</v>
      </c>
      <c r="T8160" s="59">
        <f ca="1">Dashboard!C$8* Dashboard!$F$4+Dashboard!C$10*SQRT(Dashboard!$F$4) * _xlfn.NORM.S.INV(RAND())</f>
        <v>-5.138600498322249E-3</v>
      </c>
      <c r="U8160" s="59">
        <f ca="1">Dashboard!D$8* Dashboard!$F$4+Dashboard!D$10*SQRT(Dashboard!$F$4) * _xlfn.NORM.S.INV(RAND())</f>
        <v>-8.166231648493695E-2</v>
      </c>
    </row>
    <row r="8161" spans="18:21" x14ac:dyDescent="0.2">
      <c r="R8161" s="49">
        <v>8159</v>
      </c>
      <c r="S8161" s="59">
        <f ca="1">Dashboard!B$8* Dashboard!$F$4+Dashboard!B$10*SQRT(Dashboard!$F$4) * _xlfn.NORM.S.INV(RAND())</f>
        <v>2.3396982879221456E-3</v>
      </c>
      <c r="T8161" s="59">
        <f ca="1">Dashboard!C$8* Dashboard!$F$4+Dashboard!C$10*SQRT(Dashboard!$F$4) * _xlfn.NORM.S.INV(RAND())</f>
        <v>5.6239091390478356E-2</v>
      </c>
      <c r="U8161" s="59">
        <f ca="1">Dashboard!D$8* Dashboard!$F$4+Dashboard!D$10*SQRT(Dashboard!$F$4) * _xlfn.NORM.S.INV(RAND())</f>
        <v>1.7926821120448674E-2</v>
      </c>
    </row>
    <row r="8162" spans="18:21" x14ac:dyDescent="0.2">
      <c r="R8162" s="49">
        <v>8160</v>
      </c>
      <c r="S8162" s="59">
        <f ca="1">Dashboard!B$8* Dashboard!$F$4+Dashboard!B$10*SQRT(Dashboard!$F$4) * _xlfn.NORM.S.INV(RAND())</f>
        <v>-7.5939076598833186E-2</v>
      </c>
      <c r="T8162" s="59">
        <f ca="1">Dashboard!C$8* Dashboard!$F$4+Dashboard!C$10*SQRT(Dashboard!$F$4) * _xlfn.NORM.S.INV(RAND())</f>
        <v>-6.8057279095786174E-3</v>
      </c>
      <c r="U8162" s="59">
        <f ca="1">Dashboard!D$8* Dashboard!$F$4+Dashboard!D$10*SQRT(Dashboard!$F$4) * _xlfn.NORM.S.INV(RAND())</f>
        <v>5.1420468648413695E-3</v>
      </c>
    </row>
    <row r="8163" spans="18:21" x14ac:dyDescent="0.2">
      <c r="R8163" s="49">
        <v>8161</v>
      </c>
      <c r="S8163" s="59">
        <f ca="1">Dashboard!B$8* Dashboard!$F$4+Dashboard!B$10*SQRT(Dashboard!$F$4) * _xlfn.NORM.S.INV(RAND())</f>
        <v>6.1049810663420488E-3</v>
      </c>
      <c r="T8163" s="59">
        <f ca="1">Dashboard!C$8* Dashboard!$F$4+Dashboard!C$10*SQRT(Dashboard!$F$4) * _xlfn.NORM.S.INV(RAND())</f>
        <v>6.0137306822616012E-2</v>
      </c>
      <c r="U8163" s="59">
        <f ca="1">Dashboard!D$8* Dashboard!$F$4+Dashboard!D$10*SQRT(Dashboard!$F$4) * _xlfn.NORM.S.INV(RAND())</f>
        <v>-3.7563540965936237E-3</v>
      </c>
    </row>
    <row r="8164" spans="18:21" x14ac:dyDescent="0.2">
      <c r="R8164" s="49">
        <v>8162</v>
      </c>
      <c r="S8164" s="59">
        <f ca="1">Dashboard!B$8* Dashboard!$F$4+Dashboard!B$10*SQRT(Dashboard!$F$4) * _xlfn.NORM.S.INV(RAND())</f>
        <v>-1.9538521525521289E-2</v>
      </c>
      <c r="T8164" s="59">
        <f ca="1">Dashboard!C$8* Dashboard!$F$4+Dashboard!C$10*SQRT(Dashboard!$F$4) * _xlfn.NORM.S.INV(RAND())</f>
        <v>-1.6731842248178808E-2</v>
      </c>
      <c r="U8164" s="59">
        <f ca="1">Dashboard!D$8* Dashboard!$F$4+Dashboard!D$10*SQRT(Dashboard!$F$4) * _xlfn.NORM.S.INV(RAND())</f>
        <v>-1.5115707318619298E-3</v>
      </c>
    </row>
    <row r="8165" spans="18:21" x14ac:dyDescent="0.2">
      <c r="R8165" s="49">
        <v>8163</v>
      </c>
      <c r="S8165" s="59">
        <f ca="1">Dashboard!B$8* Dashboard!$F$4+Dashboard!B$10*SQRT(Dashboard!$F$4) * _xlfn.NORM.S.INV(RAND())</f>
        <v>-4.2529700379587698E-3</v>
      </c>
      <c r="T8165" s="59">
        <f ca="1">Dashboard!C$8* Dashboard!$F$4+Dashboard!C$10*SQRT(Dashboard!$F$4) * _xlfn.NORM.S.INV(RAND())</f>
        <v>7.7007660008961268E-2</v>
      </c>
      <c r="U8165" s="59">
        <f ca="1">Dashboard!D$8* Dashboard!$F$4+Dashboard!D$10*SQRT(Dashboard!$F$4) * _xlfn.NORM.S.INV(RAND())</f>
        <v>-5.4088628836682216E-2</v>
      </c>
    </row>
    <row r="8166" spans="18:21" x14ac:dyDescent="0.2">
      <c r="R8166" s="49">
        <v>8164</v>
      </c>
      <c r="S8166" s="59">
        <f ca="1">Dashboard!B$8* Dashboard!$F$4+Dashboard!B$10*SQRT(Dashboard!$F$4) * _xlfn.NORM.S.INV(RAND())</f>
        <v>-1.0621897825525545E-2</v>
      </c>
      <c r="T8166" s="59">
        <f ca="1">Dashboard!C$8* Dashboard!$F$4+Dashboard!C$10*SQRT(Dashboard!$F$4) * _xlfn.NORM.S.INV(RAND())</f>
        <v>-6.8199413007743086E-3</v>
      </c>
      <c r="U8166" s="59">
        <f ca="1">Dashboard!D$8* Dashboard!$F$4+Dashboard!D$10*SQRT(Dashboard!$F$4) * _xlfn.NORM.S.INV(RAND())</f>
        <v>2.9483023122716813E-2</v>
      </c>
    </row>
    <row r="8167" spans="18:21" x14ac:dyDescent="0.2">
      <c r="R8167" s="49">
        <v>8165</v>
      </c>
      <c r="S8167" s="59">
        <f ca="1">Dashboard!B$8* Dashboard!$F$4+Dashboard!B$10*SQRT(Dashboard!$F$4) * _xlfn.NORM.S.INV(RAND())</f>
        <v>-3.0914267614248342E-2</v>
      </c>
      <c r="T8167" s="59">
        <f ca="1">Dashboard!C$8* Dashboard!$F$4+Dashboard!C$10*SQRT(Dashboard!$F$4) * _xlfn.NORM.S.INV(RAND())</f>
        <v>4.1602455650357195E-2</v>
      </c>
      <c r="U8167" s="59">
        <f ca="1">Dashboard!D$8* Dashboard!$F$4+Dashboard!D$10*SQRT(Dashboard!$F$4) * _xlfn.NORM.S.INV(RAND())</f>
        <v>-3.9590134586493006E-2</v>
      </c>
    </row>
    <row r="8168" spans="18:21" x14ac:dyDescent="0.2">
      <c r="R8168" s="49">
        <v>8166</v>
      </c>
      <c r="S8168" s="59">
        <f ca="1">Dashboard!B$8* Dashboard!$F$4+Dashboard!B$10*SQRT(Dashboard!$F$4) * _xlfn.NORM.S.INV(RAND())</f>
        <v>1.1099366035773411E-2</v>
      </c>
      <c r="T8168" s="59">
        <f ca="1">Dashboard!C$8* Dashboard!$F$4+Dashboard!C$10*SQRT(Dashboard!$F$4) * _xlfn.NORM.S.INV(RAND())</f>
        <v>2.423104132673401E-2</v>
      </c>
      <c r="U8168" s="59">
        <f ca="1">Dashboard!D$8* Dashboard!$F$4+Dashboard!D$10*SQRT(Dashboard!$F$4) * _xlfn.NORM.S.INV(RAND())</f>
        <v>1.9094979856395952E-2</v>
      </c>
    </row>
    <row r="8169" spans="18:21" x14ac:dyDescent="0.2">
      <c r="R8169" s="49">
        <v>8167</v>
      </c>
      <c r="S8169" s="59">
        <f ca="1">Dashboard!B$8* Dashboard!$F$4+Dashboard!B$10*SQRT(Dashboard!$F$4) * _xlfn.NORM.S.INV(RAND())</f>
        <v>2.9546867322886777E-2</v>
      </c>
      <c r="T8169" s="59">
        <f ca="1">Dashboard!C$8* Dashboard!$F$4+Dashboard!C$10*SQRT(Dashboard!$F$4) * _xlfn.NORM.S.INV(RAND())</f>
        <v>-3.586122540884662E-2</v>
      </c>
      <c r="U8169" s="59">
        <f ca="1">Dashboard!D$8* Dashboard!$F$4+Dashboard!D$10*SQRT(Dashboard!$F$4) * _xlfn.NORM.S.INV(RAND())</f>
        <v>-3.5221644609877041E-3</v>
      </c>
    </row>
    <row r="8170" spans="18:21" x14ac:dyDescent="0.2">
      <c r="R8170" s="49">
        <v>8168</v>
      </c>
      <c r="S8170" s="59">
        <f ca="1">Dashboard!B$8* Dashboard!$F$4+Dashboard!B$10*SQRT(Dashboard!$F$4) * _xlfn.NORM.S.INV(RAND())</f>
        <v>3.1041929374055463E-2</v>
      </c>
      <c r="T8170" s="59">
        <f ca="1">Dashboard!C$8* Dashboard!$F$4+Dashboard!C$10*SQRT(Dashboard!$F$4) * _xlfn.NORM.S.INV(RAND())</f>
        <v>2.3674374674938895E-3</v>
      </c>
      <c r="U8170" s="59">
        <f ca="1">Dashboard!D$8* Dashboard!$F$4+Dashboard!D$10*SQRT(Dashboard!$F$4) * _xlfn.NORM.S.INV(RAND())</f>
        <v>1.6778854263501577E-2</v>
      </c>
    </row>
    <row r="8171" spans="18:21" x14ac:dyDescent="0.2">
      <c r="R8171" s="49">
        <v>8169</v>
      </c>
      <c r="S8171" s="59">
        <f ca="1">Dashboard!B$8* Dashboard!$F$4+Dashboard!B$10*SQRT(Dashboard!$F$4) * _xlfn.NORM.S.INV(RAND())</f>
        <v>4.859861147519047E-2</v>
      </c>
      <c r="T8171" s="59">
        <f ca="1">Dashboard!C$8* Dashboard!$F$4+Dashboard!C$10*SQRT(Dashboard!$F$4) * _xlfn.NORM.S.INV(RAND())</f>
        <v>-6.9143059052217343E-3</v>
      </c>
      <c r="U8171" s="59">
        <f ca="1">Dashboard!D$8* Dashboard!$F$4+Dashboard!D$10*SQRT(Dashboard!$F$4) * _xlfn.NORM.S.INV(RAND())</f>
        <v>6.8814928074794875E-4</v>
      </c>
    </row>
    <row r="8172" spans="18:21" x14ac:dyDescent="0.2">
      <c r="R8172" s="49">
        <v>8170</v>
      </c>
      <c r="S8172" s="59">
        <f ca="1">Dashboard!B$8* Dashboard!$F$4+Dashboard!B$10*SQRT(Dashboard!$F$4) * _xlfn.NORM.S.INV(RAND())</f>
        <v>-2.7043656343047742E-2</v>
      </c>
      <c r="T8172" s="59">
        <f ca="1">Dashboard!C$8* Dashboard!$F$4+Dashboard!C$10*SQRT(Dashboard!$F$4) * _xlfn.NORM.S.INV(RAND())</f>
        <v>-4.6233636209524587E-2</v>
      </c>
      <c r="U8172" s="59">
        <f ca="1">Dashboard!D$8* Dashboard!$F$4+Dashboard!D$10*SQRT(Dashboard!$F$4) * _xlfn.NORM.S.INV(RAND())</f>
        <v>-2.7306304460142712E-2</v>
      </c>
    </row>
    <row r="8173" spans="18:21" x14ac:dyDescent="0.2">
      <c r="R8173" s="49">
        <v>8171</v>
      </c>
      <c r="S8173" s="59">
        <f ca="1">Dashboard!B$8* Dashboard!$F$4+Dashboard!B$10*SQRT(Dashboard!$F$4) * _xlfn.NORM.S.INV(RAND())</f>
        <v>-5.8507640821478163E-2</v>
      </c>
      <c r="T8173" s="59">
        <f ca="1">Dashboard!C$8* Dashboard!$F$4+Dashboard!C$10*SQRT(Dashboard!$F$4) * _xlfn.NORM.S.INV(RAND())</f>
        <v>-1.6305441001572944E-2</v>
      </c>
      <c r="U8173" s="59">
        <f ca="1">Dashboard!D$8* Dashboard!$F$4+Dashboard!D$10*SQRT(Dashboard!$F$4) * _xlfn.NORM.S.INV(RAND())</f>
        <v>-1.5138480592082044E-2</v>
      </c>
    </row>
    <row r="8174" spans="18:21" x14ac:dyDescent="0.2">
      <c r="R8174" s="49">
        <v>8172</v>
      </c>
      <c r="S8174" s="59">
        <f ca="1">Dashboard!B$8* Dashboard!$F$4+Dashboard!B$10*SQRT(Dashboard!$F$4) * _xlfn.NORM.S.INV(RAND())</f>
        <v>3.5476038109609427E-2</v>
      </c>
      <c r="T8174" s="59">
        <f ca="1">Dashboard!C$8* Dashboard!$F$4+Dashboard!C$10*SQRT(Dashboard!$F$4) * _xlfn.NORM.S.INV(RAND())</f>
        <v>-3.3649459361777184E-2</v>
      </c>
      <c r="U8174" s="59">
        <f ca="1">Dashboard!D$8* Dashboard!$F$4+Dashboard!D$10*SQRT(Dashboard!$F$4) * _xlfn.NORM.S.INV(RAND())</f>
        <v>1.0069845112959283E-2</v>
      </c>
    </row>
    <row r="8175" spans="18:21" x14ac:dyDescent="0.2">
      <c r="R8175" s="49">
        <v>8173</v>
      </c>
      <c r="S8175" s="59">
        <f ca="1">Dashboard!B$8* Dashboard!$F$4+Dashboard!B$10*SQRT(Dashboard!$F$4) * _xlfn.NORM.S.INV(RAND())</f>
        <v>-3.9433211184315496E-2</v>
      </c>
      <c r="T8175" s="59">
        <f ca="1">Dashboard!C$8* Dashboard!$F$4+Dashboard!C$10*SQRT(Dashboard!$F$4) * _xlfn.NORM.S.INV(RAND())</f>
        <v>-1.9563738410662269E-2</v>
      </c>
      <c r="U8175" s="59">
        <f ca="1">Dashboard!D$8* Dashboard!$F$4+Dashboard!D$10*SQRT(Dashboard!$F$4) * _xlfn.NORM.S.INV(RAND())</f>
        <v>-5.1206581451983944E-2</v>
      </c>
    </row>
    <row r="8176" spans="18:21" x14ac:dyDescent="0.2">
      <c r="R8176" s="49">
        <v>8174</v>
      </c>
      <c r="S8176" s="59">
        <f ca="1">Dashboard!B$8* Dashboard!$F$4+Dashboard!B$10*SQRT(Dashboard!$F$4) * _xlfn.NORM.S.INV(RAND())</f>
        <v>1.9243758304589798E-2</v>
      </c>
      <c r="T8176" s="59">
        <f ca="1">Dashboard!C$8* Dashboard!$F$4+Dashboard!C$10*SQRT(Dashboard!$F$4) * _xlfn.NORM.S.INV(RAND())</f>
        <v>-1.5961627236469815E-2</v>
      </c>
      <c r="U8176" s="59">
        <f ca="1">Dashboard!D$8* Dashboard!$F$4+Dashboard!D$10*SQRT(Dashboard!$F$4) * _xlfn.NORM.S.INV(RAND())</f>
        <v>-3.3020600596452801E-2</v>
      </c>
    </row>
    <row r="8177" spans="18:21" x14ac:dyDescent="0.2">
      <c r="R8177" s="49">
        <v>8175</v>
      </c>
      <c r="S8177" s="59">
        <f ca="1">Dashboard!B$8* Dashboard!$F$4+Dashboard!B$10*SQRT(Dashboard!$F$4) * _xlfn.NORM.S.INV(RAND())</f>
        <v>-2.040153329039187E-2</v>
      </c>
      <c r="T8177" s="59">
        <f ca="1">Dashboard!C$8* Dashboard!$F$4+Dashboard!C$10*SQRT(Dashboard!$F$4) * _xlfn.NORM.S.INV(RAND())</f>
        <v>6.1381191397119478E-2</v>
      </c>
      <c r="U8177" s="59">
        <f ca="1">Dashboard!D$8* Dashboard!$F$4+Dashboard!D$10*SQRT(Dashboard!$F$4) * _xlfn.NORM.S.INV(RAND())</f>
        <v>-1.5954852289102994E-2</v>
      </c>
    </row>
    <row r="8178" spans="18:21" x14ac:dyDescent="0.2">
      <c r="R8178" s="49">
        <v>8176</v>
      </c>
      <c r="S8178" s="59">
        <f ca="1">Dashboard!B$8* Dashboard!$F$4+Dashboard!B$10*SQRT(Dashboard!$F$4) * _xlfn.NORM.S.INV(RAND())</f>
        <v>2.0914118567145319E-2</v>
      </c>
      <c r="T8178" s="59">
        <f ca="1">Dashboard!C$8* Dashboard!$F$4+Dashboard!C$10*SQRT(Dashboard!$F$4) * _xlfn.NORM.S.INV(RAND())</f>
        <v>1.8297552452657646E-2</v>
      </c>
      <c r="U8178" s="59">
        <f ca="1">Dashboard!D$8* Dashboard!$F$4+Dashboard!D$10*SQRT(Dashboard!$F$4) * _xlfn.NORM.S.INV(RAND())</f>
        <v>-4.2596607587951328E-3</v>
      </c>
    </row>
    <row r="8179" spans="18:21" x14ac:dyDescent="0.2">
      <c r="R8179" s="49">
        <v>8177</v>
      </c>
      <c r="S8179" s="59">
        <f ca="1">Dashboard!B$8* Dashboard!$F$4+Dashboard!B$10*SQRT(Dashboard!$F$4) * _xlfn.NORM.S.INV(RAND())</f>
        <v>1.7048462256578606E-2</v>
      </c>
      <c r="T8179" s="59">
        <f ca="1">Dashboard!C$8* Dashboard!$F$4+Dashboard!C$10*SQRT(Dashboard!$F$4) * _xlfn.NORM.S.INV(RAND())</f>
        <v>1.1858571101397816E-2</v>
      </c>
      <c r="U8179" s="59">
        <f ca="1">Dashboard!D$8* Dashboard!$F$4+Dashboard!D$10*SQRT(Dashboard!$F$4) * _xlfn.NORM.S.INV(RAND())</f>
        <v>1.7945651828403266E-2</v>
      </c>
    </row>
    <row r="8180" spans="18:21" x14ac:dyDescent="0.2">
      <c r="R8180" s="49">
        <v>8178</v>
      </c>
      <c r="S8180" s="59">
        <f ca="1">Dashboard!B$8* Dashboard!$F$4+Dashboard!B$10*SQRT(Dashboard!$F$4) * _xlfn.NORM.S.INV(RAND())</f>
        <v>-3.6168321664096371E-2</v>
      </c>
      <c r="T8180" s="59">
        <f ca="1">Dashboard!C$8* Dashboard!$F$4+Dashboard!C$10*SQRT(Dashboard!$F$4) * _xlfn.NORM.S.INV(RAND())</f>
        <v>-2.0656661887390116E-2</v>
      </c>
      <c r="U8180" s="59">
        <f ca="1">Dashboard!D$8* Dashboard!$F$4+Dashboard!D$10*SQRT(Dashboard!$F$4) * _xlfn.NORM.S.INV(RAND())</f>
        <v>1.1880722552679906E-3</v>
      </c>
    </row>
    <row r="8181" spans="18:21" x14ac:dyDescent="0.2">
      <c r="R8181" s="49">
        <v>8179</v>
      </c>
      <c r="S8181" s="59">
        <f ca="1">Dashboard!B$8* Dashboard!$F$4+Dashboard!B$10*SQRT(Dashboard!$F$4) * _xlfn.NORM.S.INV(RAND())</f>
        <v>-9.0651898259386521E-3</v>
      </c>
      <c r="T8181" s="59">
        <f ca="1">Dashboard!C$8* Dashboard!$F$4+Dashboard!C$10*SQRT(Dashboard!$F$4) * _xlfn.NORM.S.INV(RAND())</f>
        <v>2.4970848984969846E-2</v>
      </c>
      <c r="U8181" s="59">
        <f ca="1">Dashboard!D$8* Dashboard!$F$4+Dashboard!D$10*SQRT(Dashboard!$F$4) * _xlfn.NORM.S.INV(RAND())</f>
        <v>-2.2364632769549756E-2</v>
      </c>
    </row>
    <row r="8182" spans="18:21" x14ac:dyDescent="0.2">
      <c r="R8182" s="49">
        <v>8180</v>
      </c>
      <c r="S8182" s="59">
        <f ca="1">Dashboard!B$8* Dashboard!$F$4+Dashboard!B$10*SQRT(Dashboard!$F$4) * _xlfn.NORM.S.INV(RAND())</f>
        <v>4.1517725001346616E-2</v>
      </c>
      <c r="T8182" s="59">
        <f ca="1">Dashboard!C$8* Dashboard!$F$4+Dashboard!C$10*SQRT(Dashboard!$F$4) * _xlfn.NORM.S.INV(RAND())</f>
        <v>3.5248027192890566E-2</v>
      </c>
      <c r="U8182" s="59">
        <f ca="1">Dashboard!D$8* Dashboard!$F$4+Dashboard!D$10*SQRT(Dashboard!$F$4) * _xlfn.NORM.S.INV(RAND())</f>
        <v>-3.2233112971697536E-2</v>
      </c>
    </row>
    <row r="8183" spans="18:21" x14ac:dyDescent="0.2">
      <c r="R8183" s="49">
        <v>8181</v>
      </c>
      <c r="S8183" s="59">
        <f ca="1">Dashboard!B$8* Dashboard!$F$4+Dashboard!B$10*SQRT(Dashboard!$F$4) * _xlfn.NORM.S.INV(RAND())</f>
        <v>5.8342566243347806E-2</v>
      </c>
      <c r="T8183" s="59">
        <f ca="1">Dashboard!C$8* Dashboard!$F$4+Dashboard!C$10*SQRT(Dashboard!$F$4) * _xlfn.NORM.S.INV(RAND())</f>
        <v>-7.4351881342710521E-2</v>
      </c>
      <c r="U8183" s="59">
        <f ca="1">Dashboard!D$8* Dashboard!$F$4+Dashboard!D$10*SQRT(Dashboard!$F$4) * _xlfn.NORM.S.INV(RAND())</f>
        <v>1.7883161228436424E-2</v>
      </c>
    </row>
    <row r="8184" spans="18:21" x14ac:dyDescent="0.2">
      <c r="R8184" s="49">
        <v>8182</v>
      </c>
      <c r="S8184" s="59">
        <f ca="1">Dashboard!B$8* Dashboard!$F$4+Dashboard!B$10*SQRT(Dashboard!$F$4) * _xlfn.NORM.S.INV(RAND())</f>
        <v>3.9162183247619255E-2</v>
      </c>
      <c r="T8184" s="59">
        <f ca="1">Dashboard!C$8* Dashboard!$F$4+Dashboard!C$10*SQRT(Dashboard!$F$4) * _xlfn.NORM.S.INV(RAND())</f>
        <v>-2.2620016901622221E-3</v>
      </c>
      <c r="U8184" s="59">
        <f ca="1">Dashboard!D$8* Dashboard!$F$4+Dashboard!D$10*SQRT(Dashboard!$F$4) * _xlfn.NORM.S.INV(RAND())</f>
        <v>2.3878325994002504E-2</v>
      </c>
    </row>
    <row r="8185" spans="18:21" x14ac:dyDescent="0.2">
      <c r="R8185" s="49">
        <v>8183</v>
      </c>
      <c r="S8185" s="59">
        <f ca="1">Dashboard!B$8* Dashboard!$F$4+Dashboard!B$10*SQRT(Dashboard!$F$4) * _xlfn.NORM.S.INV(RAND())</f>
        <v>2.4875933670193244E-3</v>
      </c>
      <c r="T8185" s="59">
        <f ca="1">Dashboard!C$8* Dashboard!$F$4+Dashboard!C$10*SQRT(Dashboard!$F$4) * _xlfn.NORM.S.INV(RAND())</f>
        <v>-6.9617922006340538E-2</v>
      </c>
      <c r="U8185" s="59">
        <f ca="1">Dashboard!D$8* Dashboard!$F$4+Dashboard!D$10*SQRT(Dashboard!$F$4) * _xlfn.NORM.S.INV(RAND())</f>
        <v>2.8445827636623712E-2</v>
      </c>
    </row>
    <row r="8186" spans="18:21" x14ac:dyDescent="0.2">
      <c r="R8186" s="49">
        <v>8184</v>
      </c>
      <c r="S8186" s="59">
        <f ca="1">Dashboard!B$8* Dashboard!$F$4+Dashboard!B$10*SQRT(Dashboard!$F$4) * _xlfn.NORM.S.INV(RAND())</f>
        <v>-2.3478023053440364E-2</v>
      </c>
      <c r="T8186" s="59">
        <f ca="1">Dashboard!C$8* Dashboard!$F$4+Dashboard!C$10*SQRT(Dashboard!$F$4) * _xlfn.NORM.S.INV(RAND())</f>
        <v>3.0740934067202474E-2</v>
      </c>
      <c r="U8186" s="59">
        <f ca="1">Dashboard!D$8* Dashboard!$F$4+Dashboard!D$10*SQRT(Dashboard!$F$4) * _xlfn.NORM.S.INV(RAND())</f>
        <v>-2.0627442434890165E-2</v>
      </c>
    </row>
    <row r="8187" spans="18:21" x14ac:dyDescent="0.2">
      <c r="R8187" s="49">
        <v>8185</v>
      </c>
      <c r="S8187" s="59">
        <f ca="1">Dashboard!B$8* Dashboard!$F$4+Dashboard!B$10*SQRT(Dashboard!$F$4) * _xlfn.NORM.S.INV(RAND())</f>
        <v>3.5588047649927563E-3</v>
      </c>
      <c r="T8187" s="59">
        <f ca="1">Dashboard!C$8* Dashboard!$F$4+Dashboard!C$10*SQRT(Dashboard!$F$4) * _xlfn.NORM.S.INV(RAND())</f>
        <v>5.169175199175078E-2</v>
      </c>
      <c r="U8187" s="59">
        <f ca="1">Dashboard!D$8* Dashboard!$F$4+Dashboard!D$10*SQRT(Dashboard!$F$4) * _xlfn.NORM.S.INV(RAND())</f>
        <v>1.4937237601753669E-2</v>
      </c>
    </row>
    <row r="8188" spans="18:21" x14ac:dyDescent="0.2">
      <c r="R8188" s="49">
        <v>8186</v>
      </c>
      <c r="S8188" s="59">
        <f ca="1">Dashboard!B$8* Dashboard!$F$4+Dashboard!B$10*SQRT(Dashboard!$F$4) * _xlfn.NORM.S.INV(RAND())</f>
        <v>4.3369223273573142E-2</v>
      </c>
      <c r="T8188" s="59">
        <f ca="1">Dashboard!C$8* Dashboard!$F$4+Dashboard!C$10*SQRT(Dashboard!$F$4) * _xlfn.NORM.S.INV(RAND())</f>
        <v>1.4047325009898356E-2</v>
      </c>
      <c r="U8188" s="59">
        <f ca="1">Dashboard!D$8* Dashboard!$F$4+Dashboard!D$10*SQRT(Dashboard!$F$4) * _xlfn.NORM.S.INV(RAND())</f>
        <v>-1.8352405287566015E-2</v>
      </c>
    </row>
    <row r="8189" spans="18:21" x14ac:dyDescent="0.2">
      <c r="R8189" s="49">
        <v>8187</v>
      </c>
      <c r="S8189" s="59">
        <f ca="1">Dashboard!B$8* Dashboard!$F$4+Dashboard!B$10*SQRT(Dashboard!$F$4) * _xlfn.NORM.S.INV(RAND())</f>
        <v>7.5242690197633803E-3</v>
      </c>
      <c r="T8189" s="59">
        <f ca="1">Dashboard!C$8* Dashboard!$F$4+Dashboard!C$10*SQRT(Dashboard!$F$4) * _xlfn.NORM.S.INV(RAND())</f>
        <v>3.114925673007047E-2</v>
      </c>
      <c r="U8189" s="59">
        <f ca="1">Dashboard!D$8* Dashboard!$F$4+Dashboard!D$10*SQRT(Dashboard!$F$4) * _xlfn.NORM.S.INV(RAND())</f>
        <v>1.3765527599022959E-2</v>
      </c>
    </row>
    <row r="8190" spans="18:21" x14ac:dyDescent="0.2">
      <c r="R8190" s="49">
        <v>8188</v>
      </c>
      <c r="S8190" s="59">
        <f ca="1">Dashboard!B$8* Dashboard!$F$4+Dashboard!B$10*SQRT(Dashboard!$F$4) * _xlfn.NORM.S.INV(RAND())</f>
        <v>4.7292074186932723E-2</v>
      </c>
      <c r="T8190" s="59">
        <f ca="1">Dashboard!C$8* Dashboard!$F$4+Dashboard!C$10*SQRT(Dashboard!$F$4) * _xlfn.NORM.S.INV(RAND())</f>
        <v>3.0868752236886121E-2</v>
      </c>
      <c r="U8190" s="59">
        <f ca="1">Dashboard!D$8* Dashboard!$F$4+Dashboard!D$10*SQRT(Dashboard!$F$4) * _xlfn.NORM.S.INV(RAND())</f>
        <v>4.3266749554552323E-3</v>
      </c>
    </row>
    <row r="8191" spans="18:21" x14ac:dyDescent="0.2">
      <c r="R8191" s="49">
        <v>8189</v>
      </c>
      <c r="S8191" s="59">
        <f ca="1">Dashboard!B$8* Dashboard!$F$4+Dashboard!B$10*SQRT(Dashboard!$F$4) * _xlfn.NORM.S.INV(RAND())</f>
        <v>-4.9515031774441207E-2</v>
      </c>
      <c r="T8191" s="59">
        <f ca="1">Dashboard!C$8* Dashboard!$F$4+Dashboard!C$10*SQRT(Dashboard!$F$4) * _xlfn.NORM.S.INV(RAND())</f>
        <v>-5.9823658964547827E-3</v>
      </c>
      <c r="U8191" s="59">
        <f ca="1">Dashboard!D$8* Dashboard!$F$4+Dashboard!D$10*SQRT(Dashboard!$F$4) * _xlfn.NORM.S.INV(RAND())</f>
        <v>-3.8191012060889033E-2</v>
      </c>
    </row>
    <row r="8192" spans="18:21" x14ac:dyDescent="0.2">
      <c r="R8192" s="49">
        <v>8190</v>
      </c>
      <c r="S8192" s="59">
        <f ca="1">Dashboard!B$8* Dashboard!$F$4+Dashboard!B$10*SQRT(Dashboard!$F$4) * _xlfn.NORM.S.INV(RAND())</f>
        <v>-4.9691768830544047E-2</v>
      </c>
      <c r="T8192" s="59">
        <f ca="1">Dashboard!C$8* Dashboard!$F$4+Dashboard!C$10*SQRT(Dashboard!$F$4) * _xlfn.NORM.S.INV(RAND())</f>
        <v>-4.8249630693018915E-2</v>
      </c>
      <c r="U8192" s="59">
        <f ca="1">Dashboard!D$8* Dashboard!$F$4+Dashboard!D$10*SQRT(Dashboard!$F$4) * _xlfn.NORM.S.INV(RAND())</f>
        <v>1.5287434290162924E-2</v>
      </c>
    </row>
    <row r="8193" spans="18:21" x14ac:dyDescent="0.2">
      <c r="R8193" s="49">
        <v>8191</v>
      </c>
      <c r="S8193" s="59">
        <f ca="1">Dashboard!B$8* Dashboard!$F$4+Dashboard!B$10*SQRT(Dashboard!$F$4) * _xlfn.NORM.S.INV(RAND())</f>
        <v>1.5234603801892645E-3</v>
      </c>
      <c r="T8193" s="59">
        <f ca="1">Dashboard!C$8* Dashboard!$F$4+Dashboard!C$10*SQRT(Dashboard!$F$4) * _xlfn.NORM.S.INV(RAND())</f>
        <v>-2.0995282511625975E-3</v>
      </c>
      <c r="U8193" s="59">
        <f ca="1">Dashboard!D$8* Dashboard!$F$4+Dashboard!D$10*SQRT(Dashboard!$F$4) * _xlfn.NORM.S.INV(RAND())</f>
        <v>2.9322421137339211E-2</v>
      </c>
    </row>
    <row r="8194" spans="18:21" x14ac:dyDescent="0.2">
      <c r="R8194" s="49">
        <v>8192</v>
      </c>
      <c r="S8194" s="59">
        <f ca="1">Dashboard!B$8* Dashboard!$F$4+Dashboard!B$10*SQRT(Dashboard!$F$4) * _xlfn.NORM.S.INV(RAND())</f>
        <v>-4.5576840505724366E-2</v>
      </c>
      <c r="T8194" s="59">
        <f ca="1">Dashboard!C$8* Dashboard!$F$4+Dashboard!C$10*SQRT(Dashboard!$F$4) * _xlfn.NORM.S.INV(RAND())</f>
        <v>3.0240847282572227E-2</v>
      </c>
      <c r="U8194" s="59">
        <f ca="1">Dashboard!D$8* Dashboard!$F$4+Dashboard!D$10*SQRT(Dashboard!$F$4) * _xlfn.NORM.S.INV(RAND())</f>
        <v>-4.7110206437044777E-2</v>
      </c>
    </row>
    <row r="8195" spans="18:21" x14ac:dyDescent="0.2">
      <c r="R8195" s="49">
        <v>8193</v>
      </c>
      <c r="S8195" s="59">
        <f ca="1">Dashboard!B$8* Dashboard!$F$4+Dashboard!B$10*SQRT(Dashboard!$F$4) * _xlfn.NORM.S.INV(RAND())</f>
        <v>6.2344505247103991E-3</v>
      </c>
      <c r="T8195" s="59">
        <f ca="1">Dashboard!C$8* Dashboard!$F$4+Dashboard!C$10*SQRT(Dashboard!$F$4) * _xlfn.NORM.S.INV(RAND())</f>
        <v>-5.1584273634913969E-2</v>
      </c>
      <c r="U8195" s="59">
        <f ca="1">Dashboard!D$8* Dashboard!$F$4+Dashboard!D$10*SQRT(Dashboard!$F$4) * _xlfn.NORM.S.INV(RAND())</f>
        <v>1.6669169556448742E-2</v>
      </c>
    </row>
    <row r="8196" spans="18:21" x14ac:dyDescent="0.2">
      <c r="R8196" s="49">
        <v>8194</v>
      </c>
      <c r="S8196" s="59">
        <f ca="1">Dashboard!B$8* Dashboard!$F$4+Dashboard!B$10*SQRT(Dashboard!$F$4) * _xlfn.NORM.S.INV(RAND())</f>
        <v>-2.4769544758689872E-2</v>
      </c>
      <c r="T8196" s="59">
        <f ca="1">Dashboard!C$8* Dashboard!$F$4+Dashboard!C$10*SQRT(Dashboard!$F$4) * _xlfn.NORM.S.INV(RAND())</f>
        <v>-7.7294204400041713E-2</v>
      </c>
      <c r="U8196" s="59">
        <f ca="1">Dashboard!D$8* Dashboard!$F$4+Dashboard!D$10*SQRT(Dashboard!$F$4) * _xlfn.NORM.S.INV(RAND())</f>
        <v>-3.278456416034941E-2</v>
      </c>
    </row>
    <row r="8197" spans="18:21" x14ac:dyDescent="0.2">
      <c r="R8197" s="49">
        <v>8195</v>
      </c>
      <c r="S8197" s="59">
        <f ca="1">Dashboard!B$8* Dashboard!$F$4+Dashboard!B$10*SQRT(Dashboard!$F$4) * _xlfn.NORM.S.INV(RAND())</f>
        <v>7.1904946545153406E-2</v>
      </c>
      <c r="T8197" s="59">
        <f ca="1">Dashboard!C$8* Dashboard!$F$4+Dashboard!C$10*SQRT(Dashboard!$F$4) * _xlfn.NORM.S.INV(RAND())</f>
        <v>4.0771153623878169E-2</v>
      </c>
      <c r="U8197" s="59">
        <f ca="1">Dashboard!D$8* Dashboard!$F$4+Dashboard!D$10*SQRT(Dashboard!$F$4) * _xlfn.NORM.S.INV(RAND())</f>
        <v>-1.266964239477192E-2</v>
      </c>
    </row>
    <row r="8198" spans="18:21" x14ac:dyDescent="0.2">
      <c r="R8198" s="49">
        <v>8196</v>
      </c>
      <c r="S8198" s="59">
        <f ca="1">Dashboard!B$8* Dashboard!$F$4+Dashboard!B$10*SQRT(Dashboard!$F$4) * _xlfn.NORM.S.INV(RAND())</f>
        <v>3.3840809237481069E-2</v>
      </c>
      <c r="T8198" s="59">
        <f ca="1">Dashboard!C$8* Dashboard!$F$4+Dashboard!C$10*SQRT(Dashboard!$F$4) * _xlfn.NORM.S.INV(RAND())</f>
        <v>-3.3251286104708976E-2</v>
      </c>
      <c r="U8198" s="59">
        <f ca="1">Dashboard!D$8* Dashboard!$F$4+Dashboard!D$10*SQRT(Dashboard!$F$4) * _xlfn.NORM.S.INV(RAND())</f>
        <v>-1.1939991352695085E-2</v>
      </c>
    </row>
    <row r="8199" spans="18:21" x14ac:dyDescent="0.2">
      <c r="R8199" s="49">
        <v>8197</v>
      </c>
      <c r="S8199" s="59">
        <f ca="1">Dashboard!B$8* Dashboard!$F$4+Dashboard!B$10*SQRT(Dashboard!$F$4) * _xlfn.NORM.S.INV(RAND())</f>
        <v>-2.1008240055943206E-2</v>
      </c>
      <c r="T8199" s="59">
        <f ca="1">Dashboard!C$8* Dashboard!$F$4+Dashboard!C$10*SQRT(Dashboard!$F$4) * _xlfn.NORM.S.INV(RAND())</f>
        <v>2.2275470006763252E-2</v>
      </c>
      <c r="U8199" s="59">
        <f ca="1">Dashboard!D$8* Dashboard!$F$4+Dashboard!D$10*SQRT(Dashboard!$F$4) * _xlfn.NORM.S.INV(RAND())</f>
        <v>1.1773067143298285E-2</v>
      </c>
    </row>
    <row r="8200" spans="18:21" x14ac:dyDescent="0.2">
      <c r="R8200" s="49">
        <v>8198</v>
      </c>
      <c r="S8200" s="59">
        <f ca="1">Dashboard!B$8* Dashboard!$F$4+Dashboard!B$10*SQRT(Dashboard!$F$4) * _xlfn.NORM.S.INV(RAND())</f>
        <v>-3.1686806449769706E-2</v>
      </c>
      <c r="T8200" s="59">
        <f ca="1">Dashboard!C$8* Dashboard!$F$4+Dashboard!C$10*SQRT(Dashboard!$F$4) * _xlfn.NORM.S.INV(RAND())</f>
        <v>4.0777834458223194E-2</v>
      </c>
      <c r="U8200" s="59">
        <f ca="1">Dashboard!D$8* Dashboard!$F$4+Dashboard!D$10*SQRT(Dashboard!$F$4) * _xlfn.NORM.S.INV(RAND())</f>
        <v>3.6273070817155629E-3</v>
      </c>
    </row>
    <row r="8201" spans="18:21" x14ac:dyDescent="0.2">
      <c r="R8201" s="49">
        <v>8199</v>
      </c>
      <c r="S8201" s="59">
        <f ca="1">Dashboard!B$8* Dashboard!$F$4+Dashboard!B$10*SQRT(Dashboard!$F$4) * _xlfn.NORM.S.INV(RAND())</f>
        <v>3.2991534254525291E-3</v>
      </c>
      <c r="T8201" s="59">
        <f ca="1">Dashboard!C$8* Dashboard!$F$4+Dashboard!C$10*SQRT(Dashboard!$F$4) * _xlfn.NORM.S.INV(RAND())</f>
        <v>-1.8644906971695727E-2</v>
      </c>
      <c r="U8201" s="59">
        <f ca="1">Dashboard!D$8* Dashboard!$F$4+Dashboard!D$10*SQRT(Dashboard!$F$4) * _xlfn.NORM.S.INV(RAND())</f>
        <v>-3.41896648099713E-2</v>
      </c>
    </row>
    <row r="8202" spans="18:21" x14ac:dyDescent="0.2">
      <c r="R8202" s="49">
        <v>8200</v>
      </c>
      <c r="S8202" s="59">
        <f ca="1">Dashboard!B$8* Dashboard!$F$4+Dashboard!B$10*SQRT(Dashboard!$F$4) * _xlfn.NORM.S.INV(RAND())</f>
        <v>-1.1242896635793968E-3</v>
      </c>
      <c r="T8202" s="59">
        <f ca="1">Dashboard!C$8* Dashboard!$F$4+Dashboard!C$10*SQRT(Dashboard!$F$4) * _xlfn.NORM.S.INV(RAND())</f>
        <v>-6.9908622618160401E-2</v>
      </c>
      <c r="U8202" s="59">
        <f ca="1">Dashboard!D$8* Dashboard!$F$4+Dashboard!D$10*SQRT(Dashboard!$F$4) * _xlfn.NORM.S.INV(RAND())</f>
        <v>3.9271325232179619E-3</v>
      </c>
    </row>
    <row r="8203" spans="18:21" x14ac:dyDescent="0.2">
      <c r="R8203" s="49">
        <v>8201</v>
      </c>
      <c r="S8203" s="59">
        <f ca="1">Dashboard!B$8* Dashboard!$F$4+Dashboard!B$10*SQRT(Dashboard!$F$4) * _xlfn.NORM.S.INV(RAND())</f>
        <v>-1.9370687246834384E-2</v>
      </c>
      <c r="T8203" s="59">
        <f ca="1">Dashboard!C$8* Dashboard!$F$4+Dashboard!C$10*SQRT(Dashboard!$F$4) * _xlfn.NORM.S.INV(RAND())</f>
        <v>-1.6776542224757645E-2</v>
      </c>
      <c r="U8203" s="59">
        <f ca="1">Dashboard!D$8* Dashboard!$F$4+Dashboard!D$10*SQRT(Dashboard!$F$4) * _xlfn.NORM.S.INV(RAND())</f>
        <v>3.0466287029988666E-2</v>
      </c>
    </row>
    <row r="8204" spans="18:21" x14ac:dyDescent="0.2">
      <c r="R8204" s="49">
        <v>8202</v>
      </c>
      <c r="S8204" s="59">
        <f ca="1">Dashboard!B$8* Dashboard!$F$4+Dashboard!B$10*SQRT(Dashboard!$F$4) * _xlfn.NORM.S.INV(RAND())</f>
        <v>1.9378771958164726E-3</v>
      </c>
      <c r="T8204" s="59">
        <f ca="1">Dashboard!C$8* Dashboard!$F$4+Dashboard!C$10*SQRT(Dashboard!$F$4) * _xlfn.NORM.S.INV(RAND())</f>
        <v>1.3468503647092629E-2</v>
      </c>
      <c r="U8204" s="59">
        <f ca="1">Dashboard!D$8* Dashboard!$F$4+Dashboard!D$10*SQRT(Dashboard!$F$4) * _xlfn.NORM.S.INV(RAND())</f>
        <v>9.6459229396325501E-3</v>
      </c>
    </row>
    <row r="8205" spans="18:21" x14ac:dyDescent="0.2">
      <c r="R8205" s="49">
        <v>8203</v>
      </c>
      <c r="S8205" s="59">
        <f ca="1">Dashboard!B$8* Dashboard!$F$4+Dashboard!B$10*SQRT(Dashboard!$F$4) * _xlfn.NORM.S.INV(RAND())</f>
        <v>1.3559841750604118E-2</v>
      </c>
      <c r="T8205" s="59">
        <f ca="1">Dashboard!C$8* Dashboard!$F$4+Dashboard!C$10*SQRT(Dashboard!$F$4) * _xlfn.NORM.S.INV(RAND())</f>
        <v>-4.2713796698857338E-2</v>
      </c>
      <c r="U8205" s="59">
        <f ca="1">Dashboard!D$8* Dashboard!$F$4+Dashboard!D$10*SQRT(Dashboard!$F$4) * _xlfn.NORM.S.INV(RAND())</f>
        <v>3.1650024874428175E-2</v>
      </c>
    </row>
    <row r="8206" spans="18:21" x14ac:dyDescent="0.2">
      <c r="R8206" s="49">
        <v>8204</v>
      </c>
      <c r="S8206" s="59">
        <f ca="1">Dashboard!B$8* Dashboard!$F$4+Dashboard!B$10*SQRT(Dashboard!$F$4) * _xlfn.NORM.S.INV(RAND())</f>
        <v>-1.0140895377272452E-3</v>
      </c>
      <c r="T8206" s="59">
        <f ca="1">Dashboard!C$8* Dashboard!$F$4+Dashboard!C$10*SQRT(Dashboard!$F$4) * _xlfn.NORM.S.INV(RAND())</f>
        <v>4.8226033078422645E-2</v>
      </c>
      <c r="U8206" s="59">
        <f ca="1">Dashboard!D$8* Dashboard!$F$4+Dashboard!D$10*SQRT(Dashboard!$F$4) * _xlfn.NORM.S.INV(RAND())</f>
        <v>4.3208297621415974E-2</v>
      </c>
    </row>
    <row r="8207" spans="18:21" x14ac:dyDescent="0.2">
      <c r="R8207" s="49">
        <v>8205</v>
      </c>
      <c r="S8207" s="59">
        <f ca="1">Dashboard!B$8* Dashboard!$F$4+Dashboard!B$10*SQRT(Dashboard!$F$4) * _xlfn.NORM.S.INV(RAND())</f>
        <v>2.2195595462841833E-2</v>
      </c>
      <c r="T8207" s="59">
        <f ca="1">Dashboard!C$8* Dashboard!$F$4+Dashboard!C$10*SQRT(Dashboard!$F$4) * _xlfn.NORM.S.INV(RAND())</f>
        <v>4.7621302531043802E-3</v>
      </c>
      <c r="U8207" s="59">
        <f ca="1">Dashboard!D$8* Dashboard!$F$4+Dashboard!D$10*SQRT(Dashboard!$F$4) * _xlfn.NORM.S.INV(RAND())</f>
        <v>-6.4450987299753742E-3</v>
      </c>
    </row>
    <row r="8208" spans="18:21" x14ac:dyDescent="0.2">
      <c r="R8208" s="49">
        <v>8206</v>
      </c>
      <c r="S8208" s="59">
        <f ca="1">Dashboard!B$8* Dashboard!$F$4+Dashboard!B$10*SQRT(Dashboard!$F$4) * _xlfn.NORM.S.INV(RAND())</f>
        <v>-4.8499995634592959E-2</v>
      </c>
      <c r="T8208" s="59">
        <f ca="1">Dashboard!C$8* Dashboard!$F$4+Dashboard!C$10*SQRT(Dashboard!$F$4) * _xlfn.NORM.S.INV(RAND())</f>
        <v>3.8519239874212977E-2</v>
      </c>
      <c r="U8208" s="59">
        <f ca="1">Dashboard!D$8* Dashboard!$F$4+Dashboard!D$10*SQRT(Dashboard!$F$4) * _xlfn.NORM.S.INV(RAND())</f>
        <v>1.2626085345181779E-2</v>
      </c>
    </row>
    <row r="8209" spans="18:21" x14ac:dyDescent="0.2">
      <c r="R8209" s="49">
        <v>8207</v>
      </c>
      <c r="S8209" s="59">
        <f ca="1">Dashboard!B$8* Dashboard!$F$4+Dashboard!B$10*SQRT(Dashboard!$F$4) * _xlfn.NORM.S.INV(RAND())</f>
        <v>-5.1013677049578246E-3</v>
      </c>
      <c r="T8209" s="59">
        <f ca="1">Dashboard!C$8* Dashboard!$F$4+Dashboard!C$10*SQRT(Dashboard!$F$4) * _xlfn.NORM.S.INV(RAND())</f>
        <v>1.7101401687317202E-2</v>
      </c>
      <c r="U8209" s="59">
        <f ca="1">Dashboard!D$8* Dashboard!$F$4+Dashboard!D$10*SQRT(Dashboard!$F$4) * _xlfn.NORM.S.INV(RAND())</f>
        <v>-7.1673181103363293E-3</v>
      </c>
    </row>
    <row r="8210" spans="18:21" x14ac:dyDescent="0.2">
      <c r="R8210" s="49">
        <v>8208</v>
      </c>
      <c r="S8210" s="59">
        <f ca="1">Dashboard!B$8* Dashboard!$F$4+Dashboard!B$10*SQRT(Dashboard!$F$4) * _xlfn.NORM.S.INV(RAND())</f>
        <v>-2.1579929474090563E-2</v>
      </c>
      <c r="T8210" s="59">
        <f ca="1">Dashboard!C$8* Dashboard!$F$4+Dashboard!C$10*SQRT(Dashboard!$F$4) * _xlfn.NORM.S.INV(RAND())</f>
        <v>1.7630244780137579E-2</v>
      </c>
      <c r="U8210" s="59">
        <f ca="1">Dashboard!D$8* Dashboard!$F$4+Dashboard!D$10*SQRT(Dashboard!$F$4) * _xlfn.NORM.S.INV(RAND())</f>
        <v>2.2327701127444227E-2</v>
      </c>
    </row>
    <row r="8211" spans="18:21" x14ac:dyDescent="0.2">
      <c r="R8211" s="49">
        <v>8209</v>
      </c>
      <c r="S8211" s="59">
        <f ca="1">Dashboard!B$8* Dashboard!$F$4+Dashboard!B$10*SQRT(Dashboard!$F$4) * _xlfn.NORM.S.INV(RAND())</f>
        <v>2.3631939194243105E-2</v>
      </c>
      <c r="T8211" s="59">
        <f ca="1">Dashboard!C$8* Dashboard!$F$4+Dashboard!C$10*SQRT(Dashboard!$F$4) * _xlfn.NORM.S.INV(RAND())</f>
        <v>4.7679277128463066E-2</v>
      </c>
      <c r="U8211" s="59">
        <f ca="1">Dashboard!D$8* Dashboard!$F$4+Dashboard!D$10*SQRT(Dashboard!$F$4) * _xlfn.NORM.S.INV(RAND())</f>
        <v>-3.4727810306605794E-2</v>
      </c>
    </row>
    <row r="8212" spans="18:21" x14ac:dyDescent="0.2">
      <c r="R8212" s="49">
        <v>8210</v>
      </c>
      <c r="S8212" s="59">
        <f ca="1">Dashboard!B$8* Dashboard!$F$4+Dashboard!B$10*SQRT(Dashboard!$F$4) * _xlfn.NORM.S.INV(RAND())</f>
        <v>2.6405359915202008E-2</v>
      </c>
      <c r="T8212" s="59">
        <f ca="1">Dashboard!C$8* Dashboard!$F$4+Dashboard!C$10*SQRT(Dashboard!$F$4) * _xlfn.NORM.S.INV(RAND())</f>
        <v>6.3017410516559166E-2</v>
      </c>
      <c r="U8212" s="59">
        <f ca="1">Dashboard!D$8* Dashboard!$F$4+Dashboard!D$10*SQRT(Dashboard!$F$4) * _xlfn.NORM.S.INV(RAND())</f>
        <v>1.145558062020469E-2</v>
      </c>
    </row>
    <row r="8213" spans="18:21" x14ac:dyDescent="0.2">
      <c r="R8213" s="49">
        <v>8211</v>
      </c>
      <c r="S8213" s="59">
        <f ca="1">Dashboard!B$8* Dashboard!$F$4+Dashboard!B$10*SQRT(Dashboard!$F$4) * _xlfn.NORM.S.INV(RAND())</f>
        <v>2.0147434998093572E-2</v>
      </c>
      <c r="T8213" s="59">
        <f ca="1">Dashboard!C$8* Dashboard!$F$4+Dashboard!C$10*SQRT(Dashboard!$F$4) * _xlfn.NORM.S.INV(RAND())</f>
        <v>2.4393331425369393E-2</v>
      </c>
      <c r="U8213" s="59">
        <f ca="1">Dashboard!D$8* Dashboard!$F$4+Dashboard!D$10*SQRT(Dashboard!$F$4) * _xlfn.NORM.S.INV(RAND())</f>
        <v>2.2033122132468726E-2</v>
      </c>
    </row>
    <row r="8214" spans="18:21" x14ac:dyDescent="0.2">
      <c r="R8214" s="49">
        <v>8212</v>
      </c>
      <c r="S8214" s="59">
        <f ca="1">Dashboard!B$8* Dashboard!$F$4+Dashboard!B$10*SQRT(Dashboard!$F$4) * _xlfn.NORM.S.INV(RAND())</f>
        <v>4.3245413834583774E-2</v>
      </c>
      <c r="T8214" s="59">
        <f ca="1">Dashboard!C$8* Dashboard!$F$4+Dashboard!C$10*SQRT(Dashboard!$F$4) * _xlfn.NORM.S.INV(RAND())</f>
        <v>3.3983523448923164E-2</v>
      </c>
      <c r="U8214" s="59">
        <f ca="1">Dashboard!D$8* Dashboard!$F$4+Dashboard!D$10*SQRT(Dashboard!$F$4) * _xlfn.NORM.S.INV(RAND())</f>
        <v>2.4443761501626637E-2</v>
      </c>
    </row>
    <row r="8215" spans="18:21" x14ac:dyDescent="0.2">
      <c r="R8215" s="49">
        <v>8213</v>
      </c>
      <c r="S8215" s="59">
        <f ca="1">Dashboard!B$8* Dashboard!$F$4+Dashboard!B$10*SQRT(Dashboard!$F$4) * _xlfn.NORM.S.INV(RAND())</f>
        <v>4.8417765224932678E-2</v>
      </c>
      <c r="T8215" s="59">
        <f ca="1">Dashboard!C$8* Dashboard!$F$4+Dashboard!C$10*SQRT(Dashboard!$F$4) * _xlfn.NORM.S.INV(RAND())</f>
        <v>2.0954872763463226E-2</v>
      </c>
      <c r="U8215" s="59">
        <f ca="1">Dashboard!D$8* Dashboard!$F$4+Dashboard!D$10*SQRT(Dashboard!$F$4) * _xlfn.NORM.S.INV(RAND())</f>
        <v>1.8933194275893191E-2</v>
      </c>
    </row>
    <row r="8216" spans="18:21" x14ac:dyDescent="0.2">
      <c r="R8216" s="49">
        <v>8214</v>
      </c>
      <c r="S8216" s="59">
        <f ca="1">Dashboard!B$8* Dashboard!$F$4+Dashboard!B$10*SQRT(Dashboard!$F$4) * _xlfn.NORM.S.INV(RAND())</f>
        <v>2.0788578451772809E-2</v>
      </c>
      <c r="T8216" s="59">
        <f ca="1">Dashboard!C$8* Dashboard!$F$4+Dashboard!C$10*SQRT(Dashboard!$F$4) * _xlfn.NORM.S.INV(RAND())</f>
        <v>-3.6173393131213191E-2</v>
      </c>
      <c r="U8216" s="59">
        <f ca="1">Dashboard!D$8* Dashboard!$F$4+Dashboard!D$10*SQRT(Dashboard!$F$4) * _xlfn.NORM.S.INV(RAND())</f>
        <v>3.6348642367396704E-2</v>
      </c>
    </row>
    <row r="8217" spans="18:21" x14ac:dyDescent="0.2">
      <c r="R8217" s="49">
        <v>8215</v>
      </c>
      <c r="S8217" s="59">
        <f ca="1">Dashboard!B$8* Dashboard!$F$4+Dashboard!B$10*SQRT(Dashboard!$F$4) * _xlfn.NORM.S.INV(RAND())</f>
        <v>-4.1640566645242121E-2</v>
      </c>
      <c r="T8217" s="59">
        <f ca="1">Dashboard!C$8* Dashboard!$F$4+Dashboard!C$10*SQRT(Dashboard!$F$4) * _xlfn.NORM.S.INV(RAND())</f>
        <v>-2.933038086705193E-2</v>
      </c>
      <c r="U8217" s="59">
        <f ca="1">Dashboard!D$8* Dashboard!$F$4+Dashboard!D$10*SQRT(Dashboard!$F$4) * _xlfn.NORM.S.INV(RAND())</f>
        <v>-9.8517530434642821E-3</v>
      </c>
    </row>
    <row r="8218" spans="18:21" x14ac:dyDescent="0.2">
      <c r="R8218" s="49">
        <v>8216</v>
      </c>
      <c r="S8218" s="59">
        <f ca="1">Dashboard!B$8* Dashboard!$F$4+Dashboard!B$10*SQRT(Dashboard!$F$4) * _xlfn.NORM.S.INV(RAND())</f>
        <v>1.2511070672421765E-2</v>
      </c>
      <c r="T8218" s="59">
        <f ca="1">Dashboard!C$8* Dashboard!$F$4+Dashboard!C$10*SQRT(Dashboard!$F$4) * _xlfn.NORM.S.INV(RAND())</f>
        <v>3.0805812305576552E-3</v>
      </c>
      <c r="U8218" s="59">
        <f ca="1">Dashboard!D$8* Dashboard!$F$4+Dashboard!D$10*SQRT(Dashboard!$F$4) * _xlfn.NORM.S.INV(RAND())</f>
        <v>-2.2118405219711826E-2</v>
      </c>
    </row>
    <row r="8219" spans="18:21" x14ac:dyDescent="0.2">
      <c r="R8219" s="49">
        <v>8217</v>
      </c>
      <c r="S8219" s="59">
        <f ca="1">Dashboard!B$8* Dashboard!$F$4+Dashboard!B$10*SQRT(Dashboard!$F$4) * _xlfn.NORM.S.INV(RAND())</f>
        <v>4.1400659972864844E-3</v>
      </c>
      <c r="T8219" s="59">
        <f ca="1">Dashboard!C$8* Dashboard!$F$4+Dashboard!C$10*SQRT(Dashboard!$F$4) * _xlfn.NORM.S.INV(RAND())</f>
        <v>8.1375693976955391E-2</v>
      </c>
      <c r="U8219" s="59">
        <f ca="1">Dashboard!D$8* Dashboard!$F$4+Dashboard!D$10*SQRT(Dashboard!$F$4) * _xlfn.NORM.S.INV(RAND())</f>
        <v>1.6007889895588222E-2</v>
      </c>
    </row>
    <row r="8220" spans="18:21" x14ac:dyDescent="0.2">
      <c r="R8220" s="49">
        <v>8218</v>
      </c>
      <c r="S8220" s="59">
        <f ca="1">Dashboard!B$8* Dashboard!$F$4+Dashboard!B$10*SQRT(Dashboard!$F$4) * _xlfn.NORM.S.INV(RAND())</f>
        <v>2.564099577561104E-2</v>
      </c>
      <c r="T8220" s="59">
        <f ca="1">Dashboard!C$8* Dashboard!$F$4+Dashboard!C$10*SQRT(Dashboard!$F$4) * _xlfn.NORM.S.INV(RAND())</f>
        <v>2.2806768520939061E-2</v>
      </c>
      <c r="U8220" s="59">
        <f ca="1">Dashboard!D$8* Dashboard!$F$4+Dashboard!D$10*SQRT(Dashboard!$F$4) * _xlfn.NORM.S.INV(RAND())</f>
        <v>9.8073634429124673E-2</v>
      </c>
    </row>
    <row r="8221" spans="18:21" x14ac:dyDescent="0.2">
      <c r="R8221" s="49">
        <v>8219</v>
      </c>
      <c r="S8221" s="59">
        <f ca="1">Dashboard!B$8* Dashboard!$F$4+Dashboard!B$10*SQRT(Dashboard!$F$4) * _xlfn.NORM.S.INV(RAND())</f>
        <v>4.9728948931160435E-2</v>
      </c>
      <c r="T8221" s="59">
        <f ca="1">Dashboard!C$8* Dashboard!$F$4+Dashboard!C$10*SQRT(Dashboard!$F$4) * _xlfn.NORM.S.INV(RAND())</f>
        <v>-1.9359517949885011E-2</v>
      </c>
      <c r="U8221" s="59">
        <f ca="1">Dashboard!D$8* Dashboard!$F$4+Dashboard!D$10*SQRT(Dashboard!$F$4) * _xlfn.NORM.S.INV(RAND())</f>
        <v>3.2329585240425618E-2</v>
      </c>
    </row>
    <row r="8222" spans="18:21" x14ac:dyDescent="0.2">
      <c r="R8222" s="49">
        <v>8220</v>
      </c>
      <c r="S8222" s="59">
        <f ca="1">Dashboard!B$8* Dashboard!$F$4+Dashboard!B$10*SQRT(Dashboard!$F$4) * _xlfn.NORM.S.INV(RAND())</f>
        <v>-1.9733469401145481E-2</v>
      </c>
      <c r="T8222" s="59">
        <f ca="1">Dashboard!C$8* Dashboard!$F$4+Dashboard!C$10*SQRT(Dashboard!$F$4) * _xlfn.NORM.S.INV(RAND())</f>
        <v>3.5807794554901497E-2</v>
      </c>
      <c r="U8222" s="59">
        <f ca="1">Dashboard!D$8* Dashboard!$F$4+Dashboard!D$10*SQRT(Dashboard!$F$4) * _xlfn.NORM.S.INV(RAND())</f>
        <v>8.5815509307085782E-3</v>
      </c>
    </row>
    <row r="8223" spans="18:21" x14ac:dyDescent="0.2">
      <c r="R8223" s="49">
        <v>8221</v>
      </c>
      <c r="S8223" s="59">
        <f ca="1">Dashboard!B$8* Dashboard!$F$4+Dashboard!B$10*SQRT(Dashboard!$F$4) * _xlfn.NORM.S.INV(RAND())</f>
        <v>3.802129124274075E-2</v>
      </c>
      <c r="T8223" s="59">
        <f ca="1">Dashboard!C$8* Dashboard!$F$4+Dashboard!C$10*SQRT(Dashboard!$F$4) * _xlfn.NORM.S.INV(RAND())</f>
        <v>2.0455037877449567E-4</v>
      </c>
      <c r="U8223" s="59">
        <f ca="1">Dashboard!D$8* Dashboard!$F$4+Dashboard!D$10*SQRT(Dashboard!$F$4) * _xlfn.NORM.S.INV(RAND())</f>
        <v>1.7679784756795949E-2</v>
      </c>
    </row>
    <row r="8224" spans="18:21" x14ac:dyDescent="0.2">
      <c r="R8224" s="49">
        <v>8222</v>
      </c>
      <c r="S8224" s="59">
        <f ca="1">Dashboard!B$8* Dashboard!$F$4+Dashboard!B$10*SQRT(Dashboard!$F$4) * _xlfn.NORM.S.INV(RAND())</f>
        <v>7.3684481622590409E-3</v>
      </c>
      <c r="T8224" s="59">
        <f ca="1">Dashboard!C$8* Dashboard!$F$4+Dashboard!C$10*SQRT(Dashboard!$F$4) * _xlfn.NORM.S.INV(RAND())</f>
        <v>-4.3461510174582002E-3</v>
      </c>
      <c r="U8224" s="59">
        <f ca="1">Dashboard!D$8* Dashboard!$F$4+Dashboard!D$10*SQRT(Dashboard!$F$4) * _xlfn.NORM.S.INV(RAND())</f>
        <v>1.4762731822095744E-3</v>
      </c>
    </row>
    <row r="8225" spans="18:21" x14ac:dyDescent="0.2">
      <c r="R8225" s="49">
        <v>8223</v>
      </c>
      <c r="S8225" s="59">
        <f ca="1">Dashboard!B$8* Dashboard!$F$4+Dashboard!B$10*SQRT(Dashboard!$F$4) * _xlfn.NORM.S.INV(RAND())</f>
        <v>-2.5215433665393273E-3</v>
      </c>
      <c r="T8225" s="59">
        <f ca="1">Dashboard!C$8* Dashboard!$F$4+Dashboard!C$10*SQRT(Dashboard!$F$4) * _xlfn.NORM.S.INV(RAND())</f>
        <v>2.6578844757979961E-2</v>
      </c>
      <c r="U8225" s="59">
        <f ca="1">Dashboard!D$8* Dashboard!$F$4+Dashboard!D$10*SQRT(Dashboard!$F$4) * _xlfn.NORM.S.INV(RAND())</f>
        <v>-5.5823631956393276E-2</v>
      </c>
    </row>
    <row r="8226" spans="18:21" x14ac:dyDescent="0.2">
      <c r="R8226" s="49">
        <v>8224</v>
      </c>
      <c r="S8226" s="59">
        <f ca="1">Dashboard!B$8* Dashboard!$F$4+Dashboard!B$10*SQRT(Dashboard!$F$4) * _xlfn.NORM.S.INV(RAND())</f>
        <v>3.1659209952064463E-2</v>
      </c>
      <c r="T8226" s="59">
        <f ca="1">Dashboard!C$8* Dashboard!$F$4+Dashboard!C$10*SQRT(Dashboard!$F$4) * _xlfn.NORM.S.INV(RAND())</f>
        <v>2.7078104953571994E-2</v>
      </c>
      <c r="U8226" s="59">
        <f ca="1">Dashboard!D$8* Dashboard!$F$4+Dashboard!D$10*SQRT(Dashboard!$F$4) * _xlfn.NORM.S.INV(RAND())</f>
        <v>-3.883806397862637E-3</v>
      </c>
    </row>
    <row r="8227" spans="18:21" x14ac:dyDescent="0.2">
      <c r="R8227" s="49">
        <v>8225</v>
      </c>
      <c r="S8227" s="59">
        <f ca="1">Dashboard!B$8* Dashboard!$F$4+Dashboard!B$10*SQRT(Dashboard!$F$4) * _xlfn.NORM.S.INV(RAND())</f>
        <v>4.4950496475377841E-2</v>
      </c>
      <c r="T8227" s="59">
        <f ca="1">Dashboard!C$8* Dashboard!$F$4+Dashboard!C$10*SQRT(Dashboard!$F$4) * _xlfn.NORM.S.INV(RAND())</f>
        <v>-5.856579731484418E-3</v>
      </c>
      <c r="U8227" s="59">
        <f ca="1">Dashboard!D$8* Dashboard!$F$4+Dashboard!D$10*SQRT(Dashboard!$F$4) * _xlfn.NORM.S.INV(RAND())</f>
        <v>2.361575392106488E-2</v>
      </c>
    </row>
    <row r="8228" spans="18:21" x14ac:dyDescent="0.2">
      <c r="R8228" s="49">
        <v>8226</v>
      </c>
      <c r="S8228" s="59">
        <f ca="1">Dashboard!B$8* Dashboard!$F$4+Dashboard!B$10*SQRT(Dashboard!$F$4) * _xlfn.NORM.S.INV(RAND())</f>
        <v>1.1950978925070037E-2</v>
      </c>
      <c r="T8228" s="59">
        <f ca="1">Dashboard!C$8* Dashboard!$F$4+Dashboard!C$10*SQRT(Dashboard!$F$4) * _xlfn.NORM.S.INV(RAND())</f>
        <v>8.4929656577263559E-3</v>
      </c>
      <c r="U8228" s="59">
        <f ca="1">Dashboard!D$8* Dashboard!$F$4+Dashboard!D$10*SQRT(Dashboard!$F$4) * _xlfn.NORM.S.INV(RAND())</f>
        <v>-2.8590001498217443E-2</v>
      </c>
    </row>
    <row r="8229" spans="18:21" x14ac:dyDescent="0.2">
      <c r="R8229" s="49">
        <v>8227</v>
      </c>
      <c r="S8229" s="59">
        <f ca="1">Dashboard!B$8* Dashboard!$F$4+Dashboard!B$10*SQRT(Dashboard!$F$4) * _xlfn.NORM.S.INV(RAND())</f>
        <v>-3.3323889604763512E-2</v>
      </c>
      <c r="T8229" s="59">
        <f ca="1">Dashboard!C$8* Dashboard!$F$4+Dashboard!C$10*SQRT(Dashboard!$F$4) * _xlfn.NORM.S.INV(RAND())</f>
        <v>-5.4678735088275969E-2</v>
      </c>
      <c r="U8229" s="59">
        <f ca="1">Dashboard!D$8* Dashboard!$F$4+Dashboard!D$10*SQRT(Dashboard!$F$4) * _xlfn.NORM.S.INV(RAND())</f>
        <v>-2.5384344707382912E-3</v>
      </c>
    </row>
    <row r="8230" spans="18:21" x14ac:dyDescent="0.2">
      <c r="R8230" s="49">
        <v>8228</v>
      </c>
      <c r="S8230" s="59">
        <f ca="1">Dashboard!B$8* Dashboard!$F$4+Dashboard!B$10*SQRT(Dashboard!$F$4) * _xlfn.NORM.S.INV(RAND())</f>
        <v>6.3742231248934654E-3</v>
      </c>
      <c r="T8230" s="59">
        <f ca="1">Dashboard!C$8* Dashboard!$F$4+Dashboard!C$10*SQRT(Dashboard!$F$4) * _xlfn.NORM.S.INV(RAND())</f>
        <v>-1.8464705073010099E-2</v>
      </c>
      <c r="U8230" s="59">
        <f ca="1">Dashboard!D$8* Dashboard!$F$4+Dashboard!D$10*SQRT(Dashboard!$F$4) * _xlfn.NORM.S.INV(RAND())</f>
        <v>-6.9124484956869636E-3</v>
      </c>
    </row>
    <row r="8231" spans="18:21" x14ac:dyDescent="0.2">
      <c r="R8231" s="49">
        <v>8229</v>
      </c>
      <c r="S8231" s="59">
        <f ca="1">Dashboard!B$8* Dashboard!$F$4+Dashboard!B$10*SQRT(Dashboard!$F$4) * _xlfn.NORM.S.INV(RAND())</f>
        <v>2.1284304056145641E-2</v>
      </c>
      <c r="T8231" s="59">
        <f ca="1">Dashboard!C$8* Dashboard!$F$4+Dashboard!C$10*SQRT(Dashboard!$F$4) * _xlfn.NORM.S.INV(RAND())</f>
        <v>-4.5191114282074715E-2</v>
      </c>
      <c r="U8231" s="59">
        <f ca="1">Dashboard!D$8* Dashboard!$F$4+Dashboard!D$10*SQRT(Dashboard!$F$4) * _xlfn.NORM.S.INV(RAND())</f>
        <v>-7.9990468069820464E-3</v>
      </c>
    </row>
    <row r="8232" spans="18:21" x14ac:dyDescent="0.2">
      <c r="R8232" s="49">
        <v>8230</v>
      </c>
      <c r="S8232" s="59">
        <f ca="1">Dashboard!B$8* Dashboard!$F$4+Dashboard!B$10*SQRT(Dashboard!$F$4) * _xlfn.NORM.S.INV(RAND())</f>
        <v>-5.621007568120894E-3</v>
      </c>
      <c r="T8232" s="59">
        <f ca="1">Dashboard!C$8* Dashboard!$F$4+Dashboard!C$10*SQRT(Dashboard!$F$4) * _xlfn.NORM.S.INV(RAND())</f>
        <v>2.4642568215931818E-2</v>
      </c>
      <c r="U8232" s="59">
        <f ca="1">Dashboard!D$8* Dashboard!$F$4+Dashboard!D$10*SQRT(Dashboard!$F$4) * _xlfn.NORM.S.INV(RAND())</f>
        <v>2.0907760755936183E-2</v>
      </c>
    </row>
    <row r="8233" spans="18:21" x14ac:dyDescent="0.2">
      <c r="R8233" s="49">
        <v>8231</v>
      </c>
      <c r="S8233" s="59">
        <f ca="1">Dashboard!B$8* Dashboard!$F$4+Dashboard!B$10*SQRT(Dashboard!$F$4) * _xlfn.NORM.S.INV(RAND())</f>
        <v>-7.4015134853324324E-2</v>
      </c>
      <c r="T8233" s="59">
        <f ca="1">Dashboard!C$8* Dashboard!$F$4+Dashboard!C$10*SQRT(Dashboard!$F$4) * _xlfn.NORM.S.INV(RAND())</f>
        <v>-1.5478651337733719E-2</v>
      </c>
      <c r="U8233" s="59">
        <f ca="1">Dashboard!D$8* Dashboard!$F$4+Dashboard!D$10*SQRT(Dashboard!$F$4) * _xlfn.NORM.S.INV(RAND())</f>
        <v>-4.4437414042437758E-3</v>
      </c>
    </row>
    <row r="8234" spans="18:21" x14ac:dyDescent="0.2">
      <c r="R8234" s="49">
        <v>8232</v>
      </c>
      <c r="S8234" s="59">
        <f ca="1">Dashboard!B$8* Dashboard!$F$4+Dashboard!B$10*SQRT(Dashboard!$F$4) * _xlfn.NORM.S.INV(RAND())</f>
        <v>-5.2718918110588086E-3</v>
      </c>
      <c r="T8234" s="59">
        <f ca="1">Dashboard!C$8* Dashboard!$F$4+Dashboard!C$10*SQRT(Dashboard!$F$4) * _xlfn.NORM.S.INV(RAND())</f>
        <v>-6.1470596441697514E-2</v>
      </c>
      <c r="U8234" s="59">
        <f ca="1">Dashboard!D$8* Dashboard!$F$4+Dashboard!D$10*SQRT(Dashboard!$F$4) * _xlfn.NORM.S.INV(RAND())</f>
        <v>-1.2667870616127208E-2</v>
      </c>
    </row>
    <row r="8235" spans="18:21" x14ac:dyDescent="0.2">
      <c r="R8235" s="49">
        <v>8233</v>
      </c>
      <c r="S8235" s="59">
        <f ca="1">Dashboard!B$8* Dashboard!$F$4+Dashboard!B$10*SQRT(Dashboard!$F$4) * _xlfn.NORM.S.INV(RAND())</f>
        <v>-5.9865564289612101E-2</v>
      </c>
      <c r="T8235" s="59">
        <f ca="1">Dashboard!C$8* Dashboard!$F$4+Dashboard!C$10*SQRT(Dashboard!$F$4) * _xlfn.NORM.S.INV(RAND())</f>
        <v>2.2163174493628243E-2</v>
      </c>
      <c r="U8235" s="59">
        <f ca="1">Dashboard!D$8* Dashboard!$F$4+Dashboard!D$10*SQRT(Dashboard!$F$4) * _xlfn.NORM.S.INV(RAND())</f>
        <v>-1.0641149062398375E-2</v>
      </c>
    </row>
    <row r="8236" spans="18:21" x14ac:dyDescent="0.2">
      <c r="R8236" s="49">
        <v>8234</v>
      </c>
      <c r="S8236" s="59">
        <f ca="1">Dashboard!B$8* Dashboard!$F$4+Dashboard!B$10*SQRT(Dashboard!$F$4) * _xlfn.NORM.S.INV(RAND())</f>
        <v>-6.8412559727068049E-3</v>
      </c>
      <c r="T8236" s="59">
        <f ca="1">Dashboard!C$8* Dashboard!$F$4+Dashboard!C$10*SQRT(Dashboard!$F$4) * _xlfn.NORM.S.INV(RAND())</f>
        <v>-7.0159272330612338E-2</v>
      </c>
      <c r="U8236" s="59">
        <f ca="1">Dashboard!D$8* Dashboard!$F$4+Dashboard!D$10*SQRT(Dashboard!$F$4) * _xlfn.NORM.S.INV(RAND())</f>
        <v>-1.6620990848608456E-2</v>
      </c>
    </row>
    <row r="8237" spans="18:21" x14ac:dyDescent="0.2">
      <c r="R8237" s="49">
        <v>8235</v>
      </c>
      <c r="S8237" s="59">
        <f ca="1">Dashboard!B$8* Dashboard!$F$4+Dashboard!B$10*SQRT(Dashboard!$F$4) * _xlfn.NORM.S.INV(RAND())</f>
        <v>-5.3212559136389607E-2</v>
      </c>
      <c r="T8237" s="59">
        <f ca="1">Dashboard!C$8* Dashboard!$F$4+Dashboard!C$10*SQRT(Dashboard!$F$4) * _xlfn.NORM.S.INV(RAND())</f>
        <v>-3.4830027540062772E-2</v>
      </c>
      <c r="U8237" s="59">
        <f ca="1">Dashboard!D$8* Dashboard!$F$4+Dashboard!D$10*SQRT(Dashboard!$F$4) * _xlfn.NORM.S.INV(RAND())</f>
        <v>-3.2995160383361657E-2</v>
      </c>
    </row>
    <row r="8238" spans="18:21" x14ac:dyDescent="0.2">
      <c r="R8238" s="49">
        <v>8236</v>
      </c>
      <c r="S8238" s="59">
        <f ca="1">Dashboard!B$8* Dashboard!$F$4+Dashboard!B$10*SQRT(Dashboard!$F$4) * _xlfn.NORM.S.INV(RAND())</f>
        <v>-2.5413672661952116E-2</v>
      </c>
      <c r="T8238" s="59">
        <f ca="1">Dashboard!C$8* Dashboard!$F$4+Dashboard!C$10*SQRT(Dashboard!$F$4) * _xlfn.NORM.S.INV(RAND())</f>
        <v>3.7269848837887419E-3</v>
      </c>
      <c r="U8238" s="59">
        <f ca="1">Dashboard!D$8* Dashboard!$F$4+Dashboard!D$10*SQRT(Dashboard!$F$4) * _xlfn.NORM.S.INV(RAND())</f>
        <v>-1.3221732943146337E-2</v>
      </c>
    </row>
    <row r="8239" spans="18:21" x14ac:dyDescent="0.2">
      <c r="R8239" s="49">
        <v>8237</v>
      </c>
      <c r="S8239" s="59">
        <f ca="1">Dashboard!B$8* Dashboard!$F$4+Dashboard!B$10*SQRT(Dashboard!$F$4) * _xlfn.NORM.S.INV(RAND())</f>
        <v>-2.7451946318806902E-2</v>
      </c>
      <c r="T8239" s="59">
        <f ca="1">Dashboard!C$8* Dashboard!$F$4+Dashboard!C$10*SQRT(Dashboard!$F$4) * _xlfn.NORM.S.INV(RAND())</f>
        <v>2.6602626493708675E-3</v>
      </c>
      <c r="U8239" s="59">
        <f ca="1">Dashboard!D$8* Dashboard!$F$4+Dashboard!D$10*SQRT(Dashboard!$F$4) * _xlfn.NORM.S.INV(RAND())</f>
        <v>-1.7105870074870081E-2</v>
      </c>
    </row>
    <row r="8240" spans="18:21" x14ac:dyDescent="0.2">
      <c r="R8240" s="49">
        <v>8238</v>
      </c>
      <c r="S8240" s="59">
        <f ca="1">Dashboard!B$8* Dashboard!$F$4+Dashboard!B$10*SQRT(Dashboard!$F$4) * _xlfn.NORM.S.INV(RAND())</f>
        <v>-1.9333273274512006E-3</v>
      </c>
      <c r="T8240" s="59">
        <f ca="1">Dashboard!C$8* Dashboard!$F$4+Dashboard!C$10*SQRT(Dashboard!$F$4) * _xlfn.NORM.S.INV(RAND())</f>
        <v>3.1600081640868805E-2</v>
      </c>
      <c r="U8240" s="59">
        <f ca="1">Dashboard!D$8* Dashboard!$F$4+Dashboard!D$10*SQRT(Dashboard!$F$4) * _xlfn.NORM.S.INV(RAND())</f>
        <v>-4.2100280935345069E-2</v>
      </c>
    </row>
    <row r="8241" spans="18:21" x14ac:dyDescent="0.2">
      <c r="R8241" s="49">
        <v>8239</v>
      </c>
      <c r="S8241" s="59">
        <f ca="1">Dashboard!B$8* Dashboard!$F$4+Dashboard!B$10*SQRT(Dashboard!$F$4) * _xlfn.NORM.S.INV(RAND())</f>
        <v>3.1171502938864684E-2</v>
      </c>
      <c r="T8241" s="59">
        <f ca="1">Dashboard!C$8* Dashboard!$F$4+Dashboard!C$10*SQRT(Dashboard!$F$4) * _xlfn.NORM.S.INV(RAND())</f>
        <v>1.1695022585775261E-2</v>
      </c>
      <c r="U8241" s="59">
        <f ca="1">Dashboard!D$8* Dashboard!$F$4+Dashboard!D$10*SQRT(Dashboard!$F$4) * _xlfn.NORM.S.INV(RAND())</f>
        <v>4.3835880533993404E-3</v>
      </c>
    </row>
    <row r="8242" spans="18:21" x14ac:dyDescent="0.2">
      <c r="R8242" s="49">
        <v>8240</v>
      </c>
      <c r="S8242" s="59">
        <f ca="1">Dashboard!B$8* Dashboard!$F$4+Dashboard!B$10*SQRT(Dashboard!$F$4) * _xlfn.NORM.S.INV(RAND())</f>
        <v>-2.2800730879842156E-2</v>
      </c>
      <c r="T8242" s="59">
        <f ca="1">Dashboard!C$8* Dashboard!$F$4+Dashboard!C$10*SQRT(Dashboard!$F$4) * _xlfn.NORM.S.INV(RAND())</f>
        <v>-2.9292017401052129E-2</v>
      </c>
      <c r="U8242" s="59">
        <f ca="1">Dashboard!D$8* Dashboard!$F$4+Dashboard!D$10*SQRT(Dashboard!$F$4) * _xlfn.NORM.S.INV(RAND())</f>
        <v>3.0679216170540011E-2</v>
      </c>
    </row>
    <row r="8243" spans="18:21" x14ac:dyDescent="0.2">
      <c r="R8243" s="49">
        <v>8241</v>
      </c>
      <c r="S8243" s="59">
        <f ca="1">Dashboard!B$8* Dashboard!$F$4+Dashboard!B$10*SQRT(Dashboard!$F$4) * _xlfn.NORM.S.INV(RAND())</f>
        <v>3.9937738552190856E-2</v>
      </c>
      <c r="T8243" s="59">
        <f ca="1">Dashboard!C$8* Dashboard!$F$4+Dashboard!C$10*SQRT(Dashboard!$F$4) * _xlfn.NORM.S.INV(RAND())</f>
        <v>-3.9208991065667463E-2</v>
      </c>
      <c r="U8243" s="59">
        <f ca="1">Dashboard!D$8* Dashboard!$F$4+Dashboard!D$10*SQRT(Dashboard!$F$4) * _xlfn.NORM.S.INV(RAND())</f>
        <v>-3.8362456828936076E-2</v>
      </c>
    </row>
    <row r="8244" spans="18:21" x14ac:dyDescent="0.2">
      <c r="R8244" s="49">
        <v>8242</v>
      </c>
      <c r="S8244" s="59">
        <f ca="1">Dashboard!B$8* Dashboard!$F$4+Dashboard!B$10*SQRT(Dashboard!$F$4) * _xlfn.NORM.S.INV(RAND())</f>
        <v>2.6024350702789321E-2</v>
      </c>
      <c r="T8244" s="59">
        <f ca="1">Dashboard!C$8* Dashboard!$F$4+Dashboard!C$10*SQRT(Dashboard!$F$4) * _xlfn.NORM.S.INV(RAND())</f>
        <v>9.5582936752474472E-3</v>
      </c>
      <c r="U8244" s="59">
        <f ca="1">Dashboard!D$8* Dashboard!$F$4+Dashboard!D$10*SQRT(Dashboard!$F$4) * _xlfn.NORM.S.INV(RAND())</f>
        <v>-3.4735935718984826E-2</v>
      </c>
    </row>
    <row r="8245" spans="18:21" x14ac:dyDescent="0.2">
      <c r="R8245" s="49">
        <v>8243</v>
      </c>
      <c r="S8245" s="59">
        <f ca="1">Dashboard!B$8* Dashboard!$F$4+Dashboard!B$10*SQRT(Dashboard!$F$4) * _xlfn.NORM.S.INV(RAND())</f>
        <v>-7.591587005205019E-3</v>
      </c>
      <c r="T8245" s="59">
        <f ca="1">Dashboard!C$8* Dashboard!$F$4+Dashboard!C$10*SQRT(Dashboard!$F$4) * _xlfn.NORM.S.INV(RAND())</f>
        <v>5.9868932875535463E-2</v>
      </c>
      <c r="U8245" s="59">
        <f ca="1">Dashboard!D$8* Dashboard!$F$4+Dashboard!D$10*SQRT(Dashboard!$F$4) * _xlfn.NORM.S.INV(RAND())</f>
        <v>2.1361167760313091E-2</v>
      </c>
    </row>
    <row r="8246" spans="18:21" x14ac:dyDescent="0.2">
      <c r="R8246" s="49">
        <v>8244</v>
      </c>
      <c r="S8246" s="59">
        <f ca="1">Dashboard!B$8* Dashboard!$F$4+Dashboard!B$10*SQRT(Dashboard!$F$4) * _xlfn.NORM.S.INV(RAND())</f>
        <v>8.4621146636886455E-3</v>
      </c>
      <c r="T8246" s="59">
        <f ca="1">Dashboard!C$8* Dashboard!$F$4+Dashboard!C$10*SQRT(Dashboard!$F$4) * _xlfn.NORM.S.INV(RAND())</f>
        <v>4.3875308401554958E-2</v>
      </c>
      <c r="U8246" s="59">
        <f ca="1">Dashboard!D$8* Dashboard!$F$4+Dashboard!D$10*SQRT(Dashboard!$F$4) * _xlfn.NORM.S.INV(RAND())</f>
        <v>1.0975688182245946E-3</v>
      </c>
    </row>
    <row r="8247" spans="18:21" x14ac:dyDescent="0.2">
      <c r="R8247" s="49">
        <v>8245</v>
      </c>
      <c r="S8247" s="59">
        <f ca="1">Dashboard!B$8* Dashboard!$F$4+Dashboard!B$10*SQRT(Dashboard!$F$4) * _xlfn.NORM.S.INV(RAND())</f>
        <v>-2.7214582168595028E-2</v>
      </c>
      <c r="T8247" s="59">
        <f ca="1">Dashboard!C$8* Dashboard!$F$4+Dashboard!C$10*SQRT(Dashboard!$F$4) * _xlfn.NORM.S.INV(RAND())</f>
        <v>-1.5869561347329055E-2</v>
      </c>
      <c r="U8247" s="59">
        <f ca="1">Dashboard!D$8* Dashboard!$F$4+Dashboard!D$10*SQRT(Dashboard!$F$4) * _xlfn.NORM.S.INV(RAND())</f>
        <v>-9.7317199849259722E-3</v>
      </c>
    </row>
    <row r="8248" spans="18:21" x14ac:dyDescent="0.2">
      <c r="R8248" s="49">
        <v>8246</v>
      </c>
      <c r="S8248" s="59">
        <f ca="1">Dashboard!B$8* Dashboard!$F$4+Dashboard!B$10*SQRT(Dashboard!$F$4) * _xlfn.NORM.S.INV(RAND())</f>
        <v>-5.5209545509689949E-2</v>
      </c>
      <c r="T8248" s="59">
        <f ca="1">Dashboard!C$8* Dashboard!$F$4+Dashboard!C$10*SQRT(Dashboard!$F$4) * _xlfn.NORM.S.INV(RAND())</f>
        <v>4.1599225533165349E-2</v>
      </c>
      <c r="U8248" s="59">
        <f ca="1">Dashboard!D$8* Dashboard!$F$4+Dashboard!D$10*SQRT(Dashboard!$F$4) * _xlfn.NORM.S.INV(RAND())</f>
        <v>-1.9503989354724825E-2</v>
      </c>
    </row>
    <row r="8249" spans="18:21" x14ac:dyDescent="0.2">
      <c r="R8249" s="49">
        <v>8247</v>
      </c>
      <c r="S8249" s="59">
        <f ca="1">Dashboard!B$8* Dashboard!$F$4+Dashboard!B$10*SQRT(Dashboard!$F$4) * _xlfn.NORM.S.INV(RAND())</f>
        <v>-1.4614734757514302E-2</v>
      </c>
      <c r="T8249" s="59">
        <f ca="1">Dashboard!C$8* Dashboard!$F$4+Dashboard!C$10*SQRT(Dashboard!$F$4) * _xlfn.NORM.S.INV(RAND())</f>
        <v>1.8457216057234174E-2</v>
      </c>
      <c r="U8249" s="59">
        <f ca="1">Dashboard!D$8* Dashboard!$F$4+Dashboard!D$10*SQRT(Dashboard!$F$4) * _xlfn.NORM.S.INV(RAND())</f>
        <v>-1.527448803869543E-2</v>
      </c>
    </row>
    <row r="8250" spans="18:21" x14ac:dyDescent="0.2">
      <c r="R8250" s="49">
        <v>8248</v>
      </c>
      <c r="S8250" s="59">
        <f ca="1">Dashboard!B$8* Dashboard!$F$4+Dashboard!B$10*SQRT(Dashboard!$F$4) * _xlfn.NORM.S.INV(RAND())</f>
        <v>5.9361929985413439E-2</v>
      </c>
      <c r="T8250" s="59">
        <f ca="1">Dashboard!C$8* Dashboard!$F$4+Dashboard!C$10*SQRT(Dashboard!$F$4) * _xlfn.NORM.S.INV(RAND())</f>
        <v>-2.7892767400583874E-2</v>
      </c>
      <c r="U8250" s="59">
        <f ca="1">Dashboard!D$8* Dashboard!$F$4+Dashboard!D$10*SQRT(Dashboard!$F$4) * _xlfn.NORM.S.INV(RAND())</f>
        <v>2.5662299874204503E-2</v>
      </c>
    </row>
    <row r="8251" spans="18:21" x14ac:dyDescent="0.2">
      <c r="R8251" s="49">
        <v>8249</v>
      </c>
      <c r="S8251" s="59">
        <f ca="1">Dashboard!B$8* Dashboard!$F$4+Dashboard!B$10*SQRT(Dashboard!$F$4) * _xlfn.NORM.S.INV(RAND())</f>
        <v>2.3460851165647237E-2</v>
      </c>
      <c r="T8251" s="59">
        <f ca="1">Dashboard!C$8* Dashboard!$F$4+Dashboard!C$10*SQRT(Dashboard!$F$4) * _xlfn.NORM.S.INV(RAND())</f>
        <v>-8.0146151736293622E-2</v>
      </c>
      <c r="U8251" s="59">
        <f ca="1">Dashboard!D$8* Dashboard!$F$4+Dashboard!D$10*SQRT(Dashboard!$F$4) * _xlfn.NORM.S.INV(RAND())</f>
        <v>-8.1990900270150394E-2</v>
      </c>
    </row>
    <row r="8252" spans="18:21" x14ac:dyDescent="0.2">
      <c r="R8252" s="49">
        <v>8250</v>
      </c>
      <c r="S8252" s="59">
        <f ca="1">Dashboard!B$8* Dashboard!$F$4+Dashboard!B$10*SQRT(Dashboard!$F$4) * _xlfn.NORM.S.INV(RAND())</f>
        <v>-3.7342602095343208E-2</v>
      </c>
      <c r="T8252" s="59">
        <f ca="1">Dashboard!C$8* Dashboard!$F$4+Dashboard!C$10*SQRT(Dashboard!$F$4) * _xlfn.NORM.S.INV(RAND())</f>
        <v>7.1372762195444188E-3</v>
      </c>
      <c r="U8252" s="59">
        <f ca="1">Dashboard!D$8* Dashboard!$F$4+Dashboard!D$10*SQRT(Dashboard!$F$4) * _xlfn.NORM.S.INV(RAND())</f>
        <v>9.6069650565166649E-3</v>
      </c>
    </row>
    <row r="8253" spans="18:21" x14ac:dyDescent="0.2">
      <c r="R8253" s="49">
        <v>8251</v>
      </c>
      <c r="S8253" s="59">
        <f ca="1">Dashboard!B$8* Dashboard!$F$4+Dashboard!B$10*SQRT(Dashboard!$F$4) * _xlfn.NORM.S.INV(RAND())</f>
        <v>5.6816753019910977E-3</v>
      </c>
      <c r="T8253" s="59">
        <f ca="1">Dashboard!C$8* Dashboard!$F$4+Dashboard!C$10*SQRT(Dashboard!$F$4) * _xlfn.NORM.S.INV(RAND())</f>
        <v>-8.057212694160383E-3</v>
      </c>
      <c r="U8253" s="59">
        <f ca="1">Dashboard!D$8* Dashboard!$F$4+Dashboard!D$10*SQRT(Dashboard!$F$4) * _xlfn.NORM.S.INV(RAND())</f>
        <v>-1.7733495985942049E-2</v>
      </c>
    </row>
    <row r="8254" spans="18:21" x14ac:dyDescent="0.2">
      <c r="R8254" s="49">
        <v>8252</v>
      </c>
      <c r="S8254" s="59">
        <f ca="1">Dashboard!B$8* Dashboard!$F$4+Dashboard!B$10*SQRT(Dashboard!$F$4) * _xlfn.NORM.S.INV(RAND())</f>
        <v>2.1089688949585614E-2</v>
      </c>
      <c r="T8254" s="59">
        <f ca="1">Dashboard!C$8* Dashboard!$F$4+Dashboard!C$10*SQRT(Dashboard!$F$4) * _xlfn.NORM.S.INV(RAND())</f>
        <v>2.5572361203730423E-2</v>
      </c>
      <c r="U8254" s="59">
        <f ca="1">Dashboard!D$8* Dashboard!$F$4+Dashboard!D$10*SQRT(Dashboard!$F$4) * _xlfn.NORM.S.INV(RAND())</f>
        <v>1.5561256337465008E-2</v>
      </c>
    </row>
    <row r="8255" spans="18:21" x14ac:dyDescent="0.2">
      <c r="R8255" s="49">
        <v>8253</v>
      </c>
      <c r="S8255" s="59">
        <f ca="1">Dashboard!B$8* Dashboard!$F$4+Dashboard!B$10*SQRT(Dashboard!$F$4) * _xlfn.NORM.S.INV(RAND())</f>
        <v>-2.4824383489293549E-2</v>
      </c>
      <c r="T8255" s="59">
        <f ca="1">Dashboard!C$8* Dashboard!$F$4+Dashboard!C$10*SQRT(Dashboard!$F$4) * _xlfn.NORM.S.INV(RAND())</f>
        <v>-3.5411308149343873E-2</v>
      </c>
      <c r="U8255" s="59">
        <f ca="1">Dashboard!D$8* Dashboard!$F$4+Dashboard!D$10*SQRT(Dashboard!$F$4) * _xlfn.NORM.S.INV(RAND())</f>
        <v>4.9736691760467654E-2</v>
      </c>
    </row>
    <row r="8256" spans="18:21" x14ac:dyDescent="0.2">
      <c r="R8256" s="49">
        <v>8254</v>
      </c>
      <c r="S8256" s="59">
        <f ca="1">Dashboard!B$8* Dashboard!$F$4+Dashboard!B$10*SQRT(Dashboard!$F$4) * _xlfn.NORM.S.INV(RAND())</f>
        <v>-1.2257521745623499E-2</v>
      </c>
      <c r="T8256" s="59">
        <f ca="1">Dashboard!C$8* Dashboard!$F$4+Dashboard!C$10*SQRT(Dashboard!$F$4) * _xlfn.NORM.S.INV(RAND())</f>
        <v>5.4250804286587344E-2</v>
      </c>
      <c r="U8256" s="59">
        <f ca="1">Dashboard!D$8* Dashboard!$F$4+Dashboard!D$10*SQRT(Dashboard!$F$4) * _xlfn.NORM.S.INV(RAND())</f>
        <v>1.9577031888690928E-2</v>
      </c>
    </row>
    <row r="8257" spans="18:21" x14ac:dyDescent="0.2">
      <c r="R8257" s="49">
        <v>8255</v>
      </c>
      <c r="S8257" s="59">
        <f ca="1">Dashboard!B$8* Dashboard!$F$4+Dashboard!B$10*SQRT(Dashboard!$F$4) * _xlfn.NORM.S.INV(RAND())</f>
        <v>2.3543510164050166E-2</v>
      </c>
      <c r="T8257" s="59">
        <f ca="1">Dashboard!C$8* Dashboard!$F$4+Dashboard!C$10*SQRT(Dashboard!$F$4) * _xlfn.NORM.S.INV(RAND())</f>
        <v>7.473472088698984E-3</v>
      </c>
      <c r="U8257" s="59">
        <f ca="1">Dashboard!D$8* Dashboard!$F$4+Dashboard!D$10*SQRT(Dashboard!$F$4) * _xlfn.NORM.S.INV(RAND())</f>
        <v>-3.6057614060283162E-2</v>
      </c>
    </row>
    <row r="8258" spans="18:21" x14ac:dyDescent="0.2">
      <c r="R8258" s="49">
        <v>8256</v>
      </c>
      <c r="S8258" s="59">
        <f ca="1">Dashboard!B$8* Dashboard!$F$4+Dashboard!B$10*SQRT(Dashboard!$F$4) * _xlfn.NORM.S.INV(RAND())</f>
        <v>-6.4089098518362135E-3</v>
      </c>
      <c r="T8258" s="59">
        <f ca="1">Dashboard!C$8* Dashboard!$F$4+Dashboard!C$10*SQRT(Dashboard!$F$4) * _xlfn.NORM.S.INV(RAND())</f>
        <v>-2.6179761442991209E-2</v>
      </c>
      <c r="U8258" s="59">
        <f ca="1">Dashboard!D$8* Dashboard!$F$4+Dashboard!D$10*SQRT(Dashboard!$F$4) * _xlfn.NORM.S.INV(RAND())</f>
        <v>4.4779539112473919E-2</v>
      </c>
    </row>
    <row r="8259" spans="18:21" x14ac:dyDescent="0.2">
      <c r="R8259" s="49">
        <v>8257</v>
      </c>
      <c r="S8259" s="59">
        <f ca="1">Dashboard!B$8* Dashboard!$F$4+Dashboard!B$10*SQRT(Dashboard!$F$4) * _xlfn.NORM.S.INV(RAND())</f>
        <v>-1.6273931552708877E-2</v>
      </c>
      <c r="T8259" s="59">
        <f ca="1">Dashboard!C$8* Dashboard!$F$4+Dashboard!C$10*SQRT(Dashboard!$F$4) * _xlfn.NORM.S.INV(RAND())</f>
        <v>-3.0598414227015727E-2</v>
      </c>
      <c r="U8259" s="59">
        <f ca="1">Dashboard!D$8* Dashboard!$F$4+Dashboard!D$10*SQRT(Dashboard!$F$4) * _xlfn.NORM.S.INV(RAND())</f>
        <v>-5.2347786894884403E-2</v>
      </c>
    </row>
    <row r="8260" spans="18:21" x14ac:dyDescent="0.2">
      <c r="R8260" s="49">
        <v>8258</v>
      </c>
      <c r="S8260" s="59">
        <f ca="1">Dashboard!B$8* Dashboard!$F$4+Dashboard!B$10*SQRT(Dashboard!$F$4) * _xlfn.NORM.S.INV(RAND())</f>
        <v>-1.8036611243200464E-2</v>
      </c>
      <c r="T8260" s="59">
        <f ca="1">Dashboard!C$8* Dashboard!$F$4+Dashboard!C$10*SQRT(Dashboard!$F$4) * _xlfn.NORM.S.INV(RAND())</f>
        <v>5.1850089190831478E-3</v>
      </c>
      <c r="U8260" s="59">
        <f ca="1">Dashboard!D$8* Dashboard!$F$4+Dashboard!D$10*SQRT(Dashboard!$F$4) * _xlfn.NORM.S.INV(RAND())</f>
        <v>3.9953779549633091E-2</v>
      </c>
    </row>
    <row r="8261" spans="18:21" x14ac:dyDescent="0.2">
      <c r="R8261" s="49">
        <v>8259</v>
      </c>
      <c r="S8261" s="59">
        <f ca="1">Dashboard!B$8* Dashboard!$F$4+Dashboard!B$10*SQRT(Dashboard!$F$4) * _xlfn.NORM.S.INV(RAND())</f>
        <v>-3.3342544448555923E-2</v>
      </c>
      <c r="T8261" s="59">
        <f ca="1">Dashboard!C$8* Dashboard!$F$4+Dashboard!C$10*SQRT(Dashboard!$F$4) * _xlfn.NORM.S.INV(RAND())</f>
        <v>-1.7369884784538926E-2</v>
      </c>
      <c r="U8261" s="59">
        <f ca="1">Dashboard!D$8* Dashboard!$F$4+Dashboard!D$10*SQRT(Dashboard!$F$4) * _xlfn.NORM.S.INV(RAND())</f>
        <v>-1.2372820163562911E-2</v>
      </c>
    </row>
    <row r="8262" spans="18:21" x14ac:dyDescent="0.2">
      <c r="R8262" s="49">
        <v>8260</v>
      </c>
      <c r="S8262" s="59">
        <f ca="1">Dashboard!B$8* Dashboard!$F$4+Dashboard!B$10*SQRT(Dashboard!$F$4) * _xlfn.NORM.S.INV(RAND())</f>
        <v>2.9602609558494052E-2</v>
      </c>
      <c r="T8262" s="59">
        <f ca="1">Dashboard!C$8* Dashboard!$F$4+Dashboard!C$10*SQRT(Dashboard!$F$4) * _xlfn.NORM.S.INV(RAND())</f>
        <v>-2.4742727624161506E-2</v>
      </c>
      <c r="U8262" s="59">
        <f ca="1">Dashboard!D$8* Dashboard!$F$4+Dashboard!D$10*SQRT(Dashboard!$F$4) * _xlfn.NORM.S.INV(RAND())</f>
        <v>2.8185263098039134E-2</v>
      </c>
    </row>
    <row r="8263" spans="18:21" x14ac:dyDescent="0.2">
      <c r="R8263" s="49">
        <v>8261</v>
      </c>
      <c r="S8263" s="59">
        <f ca="1">Dashboard!B$8* Dashboard!$F$4+Dashboard!B$10*SQRT(Dashboard!$F$4) * _xlfn.NORM.S.INV(RAND())</f>
        <v>-6.0235978739644723E-2</v>
      </c>
      <c r="T8263" s="59">
        <f ca="1">Dashboard!C$8* Dashboard!$F$4+Dashboard!C$10*SQRT(Dashboard!$F$4) * _xlfn.NORM.S.INV(RAND())</f>
        <v>3.597716415279352E-2</v>
      </c>
      <c r="U8263" s="59">
        <f ca="1">Dashboard!D$8* Dashboard!$F$4+Dashboard!D$10*SQRT(Dashboard!$F$4) * _xlfn.NORM.S.INV(RAND())</f>
        <v>-4.7887921227909259E-3</v>
      </c>
    </row>
    <row r="8264" spans="18:21" x14ac:dyDescent="0.2">
      <c r="R8264" s="49">
        <v>8262</v>
      </c>
      <c r="S8264" s="59">
        <f ca="1">Dashboard!B$8* Dashboard!$F$4+Dashboard!B$10*SQRT(Dashboard!$F$4) * _xlfn.NORM.S.INV(RAND())</f>
        <v>-6.2513205939161487E-2</v>
      </c>
      <c r="T8264" s="59">
        <f ca="1">Dashboard!C$8* Dashboard!$F$4+Dashboard!C$10*SQRT(Dashboard!$F$4) * _xlfn.NORM.S.INV(RAND())</f>
        <v>-4.7117454422220248E-2</v>
      </c>
      <c r="U8264" s="59">
        <f ca="1">Dashboard!D$8* Dashboard!$F$4+Dashboard!D$10*SQRT(Dashboard!$F$4) * _xlfn.NORM.S.INV(RAND())</f>
        <v>6.2685123166558298E-4</v>
      </c>
    </row>
    <row r="8265" spans="18:21" x14ac:dyDescent="0.2">
      <c r="R8265" s="49">
        <v>8263</v>
      </c>
      <c r="S8265" s="59">
        <f ca="1">Dashboard!B$8* Dashboard!$F$4+Dashboard!B$10*SQRT(Dashboard!$F$4) * _xlfn.NORM.S.INV(RAND())</f>
        <v>6.2495768423225968E-3</v>
      </c>
      <c r="T8265" s="59">
        <f ca="1">Dashboard!C$8* Dashboard!$F$4+Dashboard!C$10*SQRT(Dashboard!$F$4) * _xlfn.NORM.S.INV(RAND())</f>
        <v>-2.093640692802632E-2</v>
      </c>
      <c r="U8265" s="59">
        <f ca="1">Dashboard!D$8* Dashboard!$F$4+Dashboard!D$10*SQRT(Dashboard!$F$4) * _xlfn.NORM.S.INV(RAND())</f>
        <v>-5.4599810149925328E-2</v>
      </c>
    </row>
    <row r="8266" spans="18:21" x14ac:dyDescent="0.2">
      <c r="R8266" s="49">
        <v>8264</v>
      </c>
      <c r="S8266" s="59">
        <f ca="1">Dashboard!B$8* Dashboard!$F$4+Dashboard!B$10*SQRT(Dashboard!$F$4) * _xlfn.NORM.S.INV(RAND())</f>
        <v>-3.3793704363996077E-2</v>
      </c>
      <c r="T8266" s="59">
        <f ca="1">Dashboard!C$8* Dashboard!$F$4+Dashboard!C$10*SQRT(Dashboard!$F$4) * _xlfn.NORM.S.INV(RAND())</f>
        <v>3.3264260708831553E-2</v>
      </c>
      <c r="U8266" s="59">
        <f ca="1">Dashboard!D$8* Dashboard!$F$4+Dashboard!D$10*SQRT(Dashboard!$F$4) * _xlfn.NORM.S.INV(RAND())</f>
        <v>-8.1661421982345671E-3</v>
      </c>
    </row>
    <row r="8267" spans="18:21" x14ac:dyDescent="0.2">
      <c r="R8267" s="49">
        <v>8265</v>
      </c>
      <c r="S8267" s="59">
        <f ca="1">Dashboard!B$8* Dashboard!$F$4+Dashboard!B$10*SQRT(Dashboard!$F$4) * _xlfn.NORM.S.INV(RAND())</f>
        <v>2.880316188682451E-2</v>
      </c>
      <c r="T8267" s="59">
        <f ca="1">Dashboard!C$8* Dashboard!$F$4+Dashboard!C$10*SQRT(Dashboard!$F$4) * _xlfn.NORM.S.INV(RAND())</f>
        <v>-5.9429010629550921E-3</v>
      </c>
      <c r="U8267" s="59">
        <f ca="1">Dashboard!D$8* Dashboard!$F$4+Dashboard!D$10*SQRT(Dashboard!$F$4) * _xlfn.NORM.S.INV(RAND())</f>
        <v>-5.2510140420282611E-2</v>
      </c>
    </row>
    <row r="8268" spans="18:21" x14ac:dyDescent="0.2">
      <c r="R8268" s="49">
        <v>8266</v>
      </c>
      <c r="S8268" s="59">
        <f ca="1">Dashboard!B$8* Dashboard!$F$4+Dashboard!B$10*SQRT(Dashboard!$F$4) * _xlfn.NORM.S.INV(RAND())</f>
        <v>-1.7863701845960769E-2</v>
      </c>
      <c r="T8268" s="59">
        <f ca="1">Dashboard!C$8* Dashboard!$F$4+Dashboard!C$10*SQRT(Dashboard!$F$4) * _xlfn.NORM.S.INV(RAND())</f>
        <v>2.9818643235606818E-2</v>
      </c>
      <c r="U8268" s="59">
        <f ca="1">Dashboard!D$8* Dashboard!$F$4+Dashboard!D$10*SQRT(Dashboard!$F$4) * _xlfn.NORM.S.INV(RAND())</f>
        <v>7.165404413951304E-2</v>
      </c>
    </row>
    <row r="8269" spans="18:21" x14ac:dyDescent="0.2">
      <c r="R8269" s="49">
        <v>8267</v>
      </c>
      <c r="S8269" s="59">
        <f ca="1">Dashboard!B$8* Dashboard!$F$4+Dashboard!B$10*SQRT(Dashboard!$F$4) * _xlfn.NORM.S.INV(RAND())</f>
        <v>1.6348988687361517E-2</v>
      </c>
      <c r="T8269" s="59">
        <f ca="1">Dashboard!C$8* Dashboard!$F$4+Dashboard!C$10*SQRT(Dashboard!$F$4) * _xlfn.NORM.S.INV(RAND())</f>
        <v>3.7722078179128427E-2</v>
      </c>
      <c r="U8269" s="59">
        <f ca="1">Dashboard!D$8* Dashboard!$F$4+Dashboard!D$10*SQRT(Dashboard!$F$4) * _xlfn.NORM.S.INV(RAND())</f>
        <v>-7.7176134539247737E-2</v>
      </c>
    </row>
    <row r="8270" spans="18:21" x14ac:dyDescent="0.2">
      <c r="R8270" s="49">
        <v>8268</v>
      </c>
      <c r="S8270" s="59">
        <f ca="1">Dashboard!B$8* Dashboard!$F$4+Dashboard!B$10*SQRT(Dashboard!$F$4) * _xlfn.NORM.S.INV(RAND())</f>
        <v>3.6425621264836935E-2</v>
      </c>
      <c r="T8270" s="59">
        <f ca="1">Dashboard!C$8* Dashboard!$F$4+Dashboard!C$10*SQRT(Dashboard!$F$4) * _xlfn.NORM.S.INV(RAND())</f>
        <v>-5.9548195860796738E-2</v>
      </c>
      <c r="U8270" s="59">
        <f ca="1">Dashboard!D$8* Dashboard!$F$4+Dashboard!D$10*SQRT(Dashboard!$F$4) * _xlfn.NORM.S.INV(RAND())</f>
        <v>-2.6628072219660466E-2</v>
      </c>
    </row>
    <row r="8271" spans="18:21" x14ac:dyDescent="0.2">
      <c r="R8271" s="49">
        <v>8269</v>
      </c>
      <c r="S8271" s="59">
        <f ca="1">Dashboard!B$8* Dashboard!$F$4+Dashboard!B$10*SQRT(Dashboard!$F$4) * _xlfn.NORM.S.INV(RAND())</f>
        <v>-3.4866194179609129E-2</v>
      </c>
      <c r="T8271" s="59">
        <f ca="1">Dashboard!C$8* Dashboard!$F$4+Dashboard!C$10*SQRT(Dashboard!$F$4) * _xlfn.NORM.S.INV(RAND())</f>
        <v>5.0361603494274376E-2</v>
      </c>
      <c r="U8271" s="59">
        <f ca="1">Dashboard!D$8* Dashboard!$F$4+Dashboard!D$10*SQRT(Dashboard!$F$4) * _xlfn.NORM.S.INV(RAND())</f>
        <v>-1.3516918908704897E-2</v>
      </c>
    </row>
    <row r="8272" spans="18:21" x14ac:dyDescent="0.2">
      <c r="R8272" s="49">
        <v>8270</v>
      </c>
      <c r="S8272" s="59">
        <f ca="1">Dashboard!B$8* Dashboard!$F$4+Dashboard!B$10*SQRT(Dashboard!$F$4) * _xlfn.NORM.S.INV(RAND())</f>
        <v>-9.9933150672830463E-3</v>
      </c>
      <c r="T8272" s="59">
        <f ca="1">Dashboard!C$8* Dashboard!$F$4+Dashboard!C$10*SQRT(Dashboard!$F$4) * _xlfn.NORM.S.INV(RAND())</f>
        <v>-4.4477077771285484E-2</v>
      </c>
      <c r="U8272" s="59">
        <f ca="1">Dashboard!D$8* Dashboard!$F$4+Dashboard!D$10*SQRT(Dashboard!$F$4) * _xlfn.NORM.S.INV(RAND())</f>
        <v>2.0444469385857984E-2</v>
      </c>
    </row>
    <row r="8273" spans="18:21" x14ac:dyDescent="0.2">
      <c r="R8273" s="49">
        <v>8271</v>
      </c>
      <c r="S8273" s="59">
        <f ca="1">Dashboard!B$8* Dashboard!$F$4+Dashboard!B$10*SQRT(Dashboard!$F$4) * _xlfn.NORM.S.INV(RAND())</f>
        <v>8.6297527719316203E-3</v>
      </c>
      <c r="T8273" s="59">
        <f ca="1">Dashboard!C$8* Dashboard!$F$4+Dashboard!C$10*SQRT(Dashboard!$F$4) * _xlfn.NORM.S.INV(RAND())</f>
        <v>1.5915344833227492E-2</v>
      </c>
      <c r="U8273" s="59">
        <f ca="1">Dashboard!D$8* Dashboard!$F$4+Dashboard!D$10*SQRT(Dashboard!$F$4) * _xlfn.NORM.S.INV(RAND())</f>
        <v>1.6674427380994426E-2</v>
      </c>
    </row>
    <row r="8274" spans="18:21" x14ac:dyDescent="0.2">
      <c r="R8274" s="49">
        <v>8272</v>
      </c>
      <c r="S8274" s="59">
        <f ca="1">Dashboard!B$8* Dashboard!$F$4+Dashboard!B$10*SQRT(Dashboard!$F$4) * _xlfn.NORM.S.INV(RAND())</f>
        <v>2.0126331588918508E-2</v>
      </c>
      <c r="T8274" s="59">
        <f ca="1">Dashboard!C$8* Dashboard!$F$4+Dashboard!C$10*SQRT(Dashboard!$F$4) * _xlfn.NORM.S.INV(RAND())</f>
        <v>-4.6425968090961688E-2</v>
      </c>
      <c r="U8274" s="59">
        <f ca="1">Dashboard!D$8* Dashboard!$F$4+Dashboard!D$10*SQRT(Dashboard!$F$4) * _xlfn.NORM.S.INV(RAND())</f>
        <v>-1.2827783637913212E-2</v>
      </c>
    </row>
    <row r="8275" spans="18:21" x14ac:dyDescent="0.2">
      <c r="R8275" s="49">
        <v>8273</v>
      </c>
      <c r="S8275" s="59">
        <f ca="1">Dashboard!B$8* Dashboard!$F$4+Dashboard!B$10*SQRT(Dashboard!$F$4) * _xlfn.NORM.S.INV(RAND())</f>
        <v>-2.405768687695807E-2</v>
      </c>
      <c r="T8275" s="59">
        <f ca="1">Dashboard!C$8* Dashboard!$F$4+Dashboard!C$10*SQRT(Dashboard!$F$4) * _xlfn.NORM.S.INV(RAND())</f>
        <v>-4.7989268757636658E-3</v>
      </c>
      <c r="U8275" s="59">
        <f ca="1">Dashboard!D$8* Dashboard!$F$4+Dashboard!D$10*SQRT(Dashboard!$F$4) * _xlfn.NORM.S.INV(RAND())</f>
        <v>-3.3198812430435674E-2</v>
      </c>
    </row>
    <row r="8276" spans="18:21" x14ac:dyDescent="0.2">
      <c r="R8276" s="49">
        <v>8274</v>
      </c>
      <c r="S8276" s="59">
        <f ca="1">Dashboard!B$8* Dashboard!$F$4+Dashboard!B$10*SQRT(Dashboard!$F$4) * _xlfn.NORM.S.INV(RAND())</f>
        <v>2.5119310227327676E-2</v>
      </c>
      <c r="T8276" s="59">
        <f ca="1">Dashboard!C$8* Dashboard!$F$4+Dashboard!C$10*SQRT(Dashboard!$F$4) * _xlfn.NORM.S.INV(RAND())</f>
        <v>-2.8255803869000892E-2</v>
      </c>
      <c r="U8276" s="59">
        <f ca="1">Dashboard!D$8* Dashboard!$F$4+Dashboard!D$10*SQRT(Dashboard!$F$4) * _xlfn.NORM.S.INV(RAND())</f>
        <v>5.628262851079717E-2</v>
      </c>
    </row>
    <row r="8277" spans="18:21" x14ac:dyDescent="0.2">
      <c r="R8277" s="49">
        <v>8275</v>
      </c>
      <c r="S8277" s="59">
        <f ca="1">Dashboard!B$8* Dashboard!$F$4+Dashboard!B$10*SQRT(Dashboard!$F$4) * _xlfn.NORM.S.INV(RAND())</f>
        <v>8.6841097839573958E-2</v>
      </c>
      <c r="T8277" s="59">
        <f ca="1">Dashboard!C$8* Dashboard!$F$4+Dashboard!C$10*SQRT(Dashboard!$F$4) * _xlfn.NORM.S.INV(RAND())</f>
        <v>1.0777060334231807E-2</v>
      </c>
      <c r="U8277" s="59">
        <f ca="1">Dashboard!D$8* Dashboard!$F$4+Dashboard!D$10*SQRT(Dashboard!$F$4) * _xlfn.NORM.S.INV(RAND())</f>
        <v>-2.2494040282493223E-2</v>
      </c>
    </row>
    <row r="8278" spans="18:21" x14ac:dyDescent="0.2">
      <c r="R8278" s="49">
        <v>8276</v>
      </c>
      <c r="S8278" s="59">
        <f ca="1">Dashboard!B$8* Dashboard!$F$4+Dashboard!B$10*SQRT(Dashboard!$F$4) * _xlfn.NORM.S.INV(RAND())</f>
        <v>1.4610751254505778E-2</v>
      </c>
      <c r="T8278" s="59">
        <f ca="1">Dashboard!C$8* Dashboard!$F$4+Dashboard!C$10*SQRT(Dashboard!$F$4) * _xlfn.NORM.S.INV(RAND())</f>
        <v>5.3616570614121048E-2</v>
      </c>
      <c r="U8278" s="59">
        <f ca="1">Dashboard!D$8* Dashboard!$F$4+Dashboard!D$10*SQRT(Dashboard!$F$4) * _xlfn.NORM.S.INV(RAND())</f>
        <v>-2.5542774744528002E-2</v>
      </c>
    </row>
    <row r="8279" spans="18:21" x14ac:dyDescent="0.2">
      <c r="R8279" s="49">
        <v>8277</v>
      </c>
      <c r="S8279" s="59">
        <f ca="1">Dashboard!B$8* Dashboard!$F$4+Dashboard!B$10*SQRT(Dashboard!$F$4) * _xlfn.NORM.S.INV(RAND())</f>
        <v>-2.4614523475427079E-2</v>
      </c>
      <c r="T8279" s="59">
        <f ca="1">Dashboard!C$8* Dashboard!$F$4+Dashboard!C$10*SQRT(Dashboard!$F$4) * _xlfn.NORM.S.INV(RAND())</f>
        <v>1.3106689182142604E-2</v>
      </c>
      <c r="U8279" s="59">
        <f ca="1">Dashboard!D$8* Dashboard!$F$4+Dashboard!D$10*SQRT(Dashboard!$F$4) * _xlfn.NORM.S.INV(RAND())</f>
        <v>4.6853584596102098E-3</v>
      </c>
    </row>
    <row r="8280" spans="18:21" x14ac:dyDescent="0.2">
      <c r="R8280" s="49">
        <v>8278</v>
      </c>
      <c r="S8280" s="59">
        <f ca="1">Dashboard!B$8* Dashboard!$F$4+Dashboard!B$10*SQRT(Dashboard!$F$4) * _xlfn.NORM.S.INV(RAND())</f>
        <v>3.382764489909959E-2</v>
      </c>
      <c r="T8280" s="59">
        <f ca="1">Dashboard!C$8* Dashboard!$F$4+Dashboard!C$10*SQRT(Dashboard!$F$4) * _xlfn.NORM.S.INV(RAND())</f>
        <v>2.7419478663147791E-2</v>
      </c>
      <c r="U8280" s="59">
        <f ca="1">Dashboard!D$8* Dashboard!$F$4+Dashboard!D$10*SQRT(Dashboard!$F$4) * _xlfn.NORM.S.INV(RAND())</f>
        <v>-3.1066155660057243E-4</v>
      </c>
    </row>
    <row r="8281" spans="18:21" x14ac:dyDescent="0.2">
      <c r="R8281" s="49">
        <v>8279</v>
      </c>
      <c r="S8281" s="59">
        <f ca="1">Dashboard!B$8* Dashboard!$F$4+Dashboard!B$10*SQRT(Dashboard!$F$4) * _xlfn.NORM.S.INV(RAND())</f>
        <v>-3.622273671738855E-2</v>
      </c>
      <c r="T8281" s="59">
        <f ca="1">Dashboard!C$8* Dashboard!$F$4+Dashboard!C$10*SQRT(Dashboard!$F$4) * _xlfn.NORM.S.INV(RAND())</f>
        <v>5.7826877927360642E-3</v>
      </c>
      <c r="U8281" s="59">
        <f ca="1">Dashboard!D$8* Dashboard!$F$4+Dashboard!D$10*SQRT(Dashboard!$F$4) * _xlfn.NORM.S.INV(RAND())</f>
        <v>1.2867921552375223E-2</v>
      </c>
    </row>
    <row r="8282" spans="18:21" x14ac:dyDescent="0.2">
      <c r="R8282" s="49">
        <v>8280</v>
      </c>
      <c r="S8282" s="59">
        <f ca="1">Dashboard!B$8* Dashboard!$F$4+Dashboard!B$10*SQRT(Dashboard!$F$4) * _xlfn.NORM.S.INV(RAND())</f>
        <v>-7.9715764081815202E-2</v>
      </c>
      <c r="T8282" s="59">
        <f ca="1">Dashboard!C$8* Dashboard!$F$4+Dashboard!C$10*SQRT(Dashboard!$F$4) * _xlfn.NORM.S.INV(RAND())</f>
        <v>-7.4614706799707971E-3</v>
      </c>
      <c r="U8282" s="59">
        <f ca="1">Dashboard!D$8* Dashboard!$F$4+Dashboard!D$10*SQRT(Dashboard!$F$4) * _xlfn.NORM.S.INV(RAND())</f>
        <v>3.4643292472330021E-2</v>
      </c>
    </row>
    <row r="8283" spans="18:21" x14ac:dyDescent="0.2">
      <c r="R8283" s="49">
        <v>8281</v>
      </c>
      <c r="S8283" s="59">
        <f ca="1">Dashboard!B$8* Dashboard!$F$4+Dashboard!B$10*SQRT(Dashboard!$F$4) * _xlfn.NORM.S.INV(RAND())</f>
        <v>4.2880623020084906E-2</v>
      </c>
      <c r="T8283" s="59">
        <f ca="1">Dashboard!C$8* Dashboard!$F$4+Dashboard!C$10*SQRT(Dashboard!$F$4) * _xlfn.NORM.S.INV(RAND())</f>
        <v>8.1870626467384182E-3</v>
      </c>
      <c r="U8283" s="59">
        <f ca="1">Dashboard!D$8* Dashboard!$F$4+Dashboard!D$10*SQRT(Dashboard!$F$4) * _xlfn.NORM.S.INV(RAND())</f>
        <v>-1.4323922888800621E-2</v>
      </c>
    </row>
    <row r="8284" spans="18:21" x14ac:dyDescent="0.2">
      <c r="R8284" s="49">
        <v>8282</v>
      </c>
      <c r="S8284" s="59">
        <f ca="1">Dashboard!B$8* Dashboard!$F$4+Dashboard!B$10*SQRT(Dashboard!$F$4) * _xlfn.NORM.S.INV(RAND())</f>
        <v>-4.8861782070057543E-3</v>
      </c>
      <c r="T8284" s="59">
        <f ca="1">Dashboard!C$8* Dashboard!$F$4+Dashboard!C$10*SQRT(Dashboard!$F$4) * _xlfn.NORM.S.INV(RAND())</f>
        <v>-1.6944294423907286E-2</v>
      </c>
      <c r="U8284" s="59">
        <f ca="1">Dashboard!D$8* Dashboard!$F$4+Dashboard!D$10*SQRT(Dashboard!$F$4) * _xlfn.NORM.S.INV(RAND())</f>
        <v>6.0196463172633871E-2</v>
      </c>
    </row>
    <row r="8285" spans="18:21" x14ac:dyDescent="0.2">
      <c r="R8285" s="49">
        <v>8283</v>
      </c>
      <c r="S8285" s="59">
        <f ca="1">Dashboard!B$8* Dashboard!$F$4+Dashboard!B$10*SQRT(Dashboard!$F$4) * _xlfn.NORM.S.INV(RAND())</f>
        <v>-3.2048234421223877E-2</v>
      </c>
      <c r="T8285" s="59">
        <f ca="1">Dashboard!C$8* Dashboard!$F$4+Dashboard!C$10*SQRT(Dashboard!$F$4) * _xlfn.NORM.S.INV(RAND())</f>
        <v>-6.8512147032200529E-2</v>
      </c>
      <c r="U8285" s="59">
        <f ca="1">Dashboard!D$8* Dashboard!$F$4+Dashboard!D$10*SQRT(Dashboard!$F$4) * _xlfn.NORM.S.INV(RAND())</f>
        <v>2.1901653051652353E-2</v>
      </c>
    </row>
    <row r="8286" spans="18:21" x14ac:dyDescent="0.2">
      <c r="R8286" s="49">
        <v>8284</v>
      </c>
      <c r="S8286" s="59">
        <f ca="1">Dashboard!B$8* Dashboard!$F$4+Dashboard!B$10*SQRT(Dashboard!$F$4) * _xlfn.NORM.S.INV(RAND())</f>
        <v>-1.4062463701997159E-2</v>
      </c>
      <c r="T8286" s="59">
        <f ca="1">Dashboard!C$8* Dashboard!$F$4+Dashboard!C$10*SQRT(Dashboard!$F$4) * _xlfn.NORM.S.INV(RAND())</f>
        <v>1.1760687573590788E-2</v>
      </c>
      <c r="U8286" s="59">
        <f ca="1">Dashboard!D$8* Dashboard!$F$4+Dashboard!D$10*SQRT(Dashboard!$F$4) * _xlfn.NORM.S.INV(RAND())</f>
        <v>-2.4559410663463923E-2</v>
      </c>
    </row>
    <row r="8287" spans="18:21" x14ac:dyDescent="0.2">
      <c r="R8287" s="49">
        <v>8285</v>
      </c>
      <c r="S8287" s="59">
        <f ca="1">Dashboard!B$8* Dashboard!$F$4+Dashboard!B$10*SQRT(Dashboard!$F$4) * _xlfn.NORM.S.INV(RAND())</f>
        <v>-6.175688919996928E-3</v>
      </c>
      <c r="T8287" s="59">
        <f ca="1">Dashboard!C$8* Dashboard!$F$4+Dashboard!C$10*SQRT(Dashboard!$F$4) * _xlfn.NORM.S.INV(RAND())</f>
        <v>3.3625548827929527E-3</v>
      </c>
      <c r="U8287" s="59">
        <f ca="1">Dashboard!D$8* Dashboard!$F$4+Dashboard!D$10*SQRT(Dashboard!$F$4) * _xlfn.NORM.S.INV(RAND())</f>
        <v>1.4373548451310671E-2</v>
      </c>
    </row>
    <row r="8288" spans="18:21" x14ac:dyDescent="0.2">
      <c r="R8288" s="49">
        <v>8286</v>
      </c>
      <c r="S8288" s="59">
        <f ca="1">Dashboard!B$8* Dashboard!$F$4+Dashboard!B$10*SQRT(Dashboard!$F$4) * _xlfn.NORM.S.INV(RAND())</f>
        <v>8.9084474259406021E-3</v>
      </c>
      <c r="T8288" s="59">
        <f ca="1">Dashboard!C$8* Dashboard!$F$4+Dashboard!C$10*SQRT(Dashboard!$F$4) * _xlfn.NORM.S.INV(RAND())</f>
        <v>-6.6946028727308815E-2</v>
      </c>
      <c r="U8288" s="59">
        <f ca="1">Dashboard!D$8* Dashboard!$F$4+Dashboard!D$10*SQRT(Dashboard!$F$4) * _xlfn.NORM.S.INV(RAND())</f>
        <v>-3.7989120244127345E-2</v>
      </c>
    </row>
    <row r="8289" spans="18:21" x14ac:dyDescent="0.2">
      <c r="R8289" s="49">
        <v>8287</v>
      </c>
      <c r="S8289" s="59">
        <f ca="1">Dashboard!B$8* Dashboard!$F$4+Dashboard!B$10*SQRT(Dashboard!$F$4) * _xlfn.NORM.S.INV(RAND())</f>
        <v>1.0437673024996189E-2</v>
      </c>
      <c r="T8289" s="59">
        <f ca="1">Dashboard!C$8* Dashboard!$F$4+Dashboard!C$10*SQRT(Dashboard!$F$4) * _xlfn.NORM.S.INV(RAND())</f>
        <v>3.519099037004747E-2</v>
      </c>
      <c r="U8289" s="59">
        <f ca="1">Dashboard!D$8* Dashboard!$F$4+Dashboard!D$10*SQRT(Dashboard!$F$4) * _xlfn.NORM.S.INV(RAND())</f>
        <v>5.6103447518196636E-3</v>
      </c>
    </row>
    <row r="8290" spans="18:21" x14ac:dyDescent="0.2">
      <c r="R8290" s="49">
        <v>8288</v>
      </c>
      <c r="S8290" s="59">
        <f ca="1">Dashboard!B$8* Dashboard!$F$4+Dashboard!B$10*SQRT(Dashboard!$F$4) * _xlfn.NORM.S.INV(RAND())</f>
        <v>4.7675051101479883E-2</v>
      </c>
      <c r="T8290" s="59">
        <f ca="1">Dashboard!C$8* Dashboard!$F$4+Dashboard!C$10*SQRT(Dashboard!$F$4) * _xlfn.NORM.S.INV(RAND())</f>
        <v>2.6901003958291866E-2</v>
      </c>
      <c r="U8290" s="59">
        <f ca="1">Dashboard!D$8* Dashboard!$F$4+Dashboard!D$10*SQRT(Dashboard!$F$4) * _xlfn.NORM.S.INV(RAND())</f>
        <v>3.5818947290614668E-2</v>
      </c>
    </row>
    <row r="8291" spans="18:21" x14ac:dyDescent="0.2">
      <c r="R8291" s="49">
        <v>8289</v>
      </c>
      <c r="S8291" s="59">
        <f ca="1">Dashboard!B$8* Dashboard!$F$4+Dashboard!B$10*SQRT(Dashboard!$F$4) * _xlfn.NORM.S.INV(RAND())</f>
        <v>2.1599407108249926E-3</v>
      </c>
      <c r="T8291" s="59">
        <f ca="1">Dashboard!C$8* Dashboard!$F$4+Dashboard!C$10*SQRT(Dashboard!$F$4) * _xlfn.NORM.S.INV(RAND())</f>
        <v>1.0945887360374704E-2</v>
      </c>
      <c r="U8291" s="59">
        <f ca="1">Dashboard!D$8* Dashboard!$F$4+Dashboard!D$10*SQRT(Dashboard!$F$4) * _xlfn.NORM.S.INV(RAND())</f>
        <v>3.2638544724718541E-2</v>
      </c>
    </row>
    <row r="8292" spans="18:21" x14ac:dyDescent="0.2">
      <c r="R8292" s="49">
        <v>8290</v>
      </c>
      <c r="S8292" s="59">
        <f ca="1">Dashboard!B$8* Dashboard!$F$4+Dashboard!B$10*SQRT(Dashboard!$F$4) * _xlfn.NORM.S.INV(RAND())</f>
        <v>1.2000222401432876E-2</v>
      </c>
      <c r="T8292" s="59">
        <f ca="1">Dashboard!C$8* Dashboard!$F$4+Dashboard!C$10*SQRT(Dashboard!$F$4) * _xlfn.NORM.S.INV(RAND())</f>
        <v>9.0741722178089887E-2</v>
      </c>
      <c r="U8292" s="59">
        <f ca="1">Dashboard!D$8* Dashboard!$F$4+Dashboard!D$10*SQRT(Dashboard!$F$4) * _xlfn.NORM.S.INV(RAND())</f>
        <v>2.54747767865817E-2</v>
      </c>
    </row>
    <row r="8293" spans="18:21" x14ac:dyDescent="0.2">
      <c r="R8293" s="49">
        <v>8291</v>
      </c>
      <c r="S8293" s="59">
        <f ca="1">Dashboard!B$8* Dashboard!$F$4+Dashboard!B$10*SQRT(Dashboard!$F$4) * _xlfn.NORM.S.INV(RAND())</f>
        <v>-1.8486253099838E-2</v>
      </c>
      <c r="T8293" s="59">
        <f ca="1">Dashboard!C$8* Dashboard!$F$4+Dashboard!C$10*SQRT(Dashboard!$F$4) * _xlfn.NORM.S.INV(RAND())</f>
        <v>4.2608185945990425E-2</v>
      </c>
      <c r="U8293" s="59">
        <f ca="1">Dashboard!D$8* Dashboard!$F$4+Dashboard!D$10*SQRT(Dashboard!$F$4) * _xlfn.NORM.S.INV(RAND())</f>
        <v>2.4351078699896937E-2</v>
      </c>
    </row>
    <row r="8294" spans="18:21" x14ac:dyDescent="0.2">
      <c r="R8294" s="49">
        <v>8292</v>
      </c>
      <c r="S8294" s="59">
        <f ca="1">Dashboard!B$8* Dashboard!$F$4+Dashboard!B$10*SQRT(Dashboard!$F$4) * _xlfn.NORM.S.INV(RAND())</f>
        <v>-1.6830236844762678E-2</v>
      </c>
      <c r="T8294" s="59">
        <f ca="1">Dashboard!C$8* Dashboard!$F$4+Dashboard!C$10*SQRT(Dashboard!$F$4) * _xlfn.NORM.S.INV(RAND())</f>
        <v>-1.285767503214439E-2</v>
      </c>
      <c r="U8294" s="59">
        <f ca="1">Dashboard!D$8* Dashboard!$F$4+Dashboard!D$10*SQRT(Dashboard!$F$4) * _xlfn.NORM.S.INV(RAND())</f>
        <v>2.9714270279103335E-2</v>
      </c>
    </row>
    <row r="8295" spans="18:21" x14ac:dyDescent="0.2">
      <c r="R8295" s="49">
        <v>8293</v>
      </c>
      <c r="S8295" s="59">
        <f ca="1">Dashboard!B$8* Dashboard!$F$4+Dashboard!B$10*SQRT(Dashboard!$F$4) * _xlfn.NORM.S.INV(RAND())</f>
        <v>-1.3864146177678865E-2</v>
      </c>
      <c r="T8295" s="59">
        <f ca="1">Dashboard!C$8* Dashboard!$F$4+Dashboard!C$10*SQRT(Dashboard!$F$4) * _xlfn.NORM.S.INV(RAND())</f>
        <v>4.7956320751861951E-2</v>
      </c>
      <c r="U8295" s="59">
        <f ca="1">Dashboard!D$8* Dashboard!$F$4+Dashboard!D$10*SQRT(Dashboard!$F$4) * _xlfn.NORM.S.INV(RAND())</f>
        <v>1.1097667618749488E-2</v>
      </c>
    </row>
    <row r="8296" spans="18:21" x14ac:dyDescent="0.2">
      <c r="R8296" s="49">
        <v>8294</v>
      </c>
      <c r="S8296" s="59">
        <f ca="1">Dashboard!B$8* Dashboard!$F$4+Dashboard!B$10*SQRT(Dashboard!$F$4) * _xlfn.NORM.S.INV(RAND())</f>
        <v>-4.7745066951931552E-3</v>
      </c>
      <c r="T8296" s="59">
        <f ca="1">Dashboard!C$8* Dashboard!$F$4+Dashboard!C$10*SQRT(Dashboard!$F$4) * _xlfn.NORM.S.INV(RAND())</f>
        <v>1.8047540850774247E-2</v>
      </c>
      <c r="U8296" s="59">
        <f ca="1">Dashboard!D$8* Dashboard!$F$4+Dashboard!D$10*SQRT(Dashboard!$F$4) * _xlfn.NORM.S.INV(RAND())</f>
        <v>5.9162576179512864E-2</v>
      </c>
    </row>
    <row r="8297" spans="18:21" x14ac:dyDescent="0.2">
      <c r="R8297" s="49">
        <v>8295</v>
      </c>
      <c r="S8297" s="59">
        <f ca="1">Dashboard!B$8* Dashboard!$F$4+Dashboard!B$10*SQRT(Dashboard!$F$4) * _xlfn.NORM.S.INV(RAND())</f>
        <v>-2.9190364439615236E-2</v>
      </c>
      <c r="T8297" s="59">
        <f ca="1">Dashboard!C$8* Dashboard!$F$4+Dashboard!C$10*SQRT(Dashboard!$F$4) * _xlfn.NORM.S.INV(RAND())</f>
        <v>-8.5128984444151345E-3</v>
      </c>
      <c r="U8297" s="59">
        <f ca="1">Dashboard!D$8* Dashboard!$F$4+Dashboard!D$10*SQRT(Dashboard!$F$4) * _xlfn.NORM.S.INV(RAND())</f>
        <v>3.0978076894227238E-2</v>
      </c>
    </row>
    <row r="8298" spans="18:21" x14ac:dyDescent="0.2">
      <c r="R8298" s="49">
        <v>8296</v>
      </c>
      <c r="S8298" s="59">
        <f ca="1">Dashboard!B$8* Dashboard!$F$4+Dashboard!B$10*SQRT(Dashboard!$F$4) * _xlfn.NORM.S.INV(RAND())</f>
        <v>-9.3831601939518249E-3</v>
      </c>
      <c r="T8298" s="59">
        <f ca="1">Dashboard!C$8* Dashboard!$F$4+Dashboard!C$10*SQRT(Dashboard!$F$4) * _xlfn.NORM.S.INV(RAND())</f>
        <v>-2.6122646135330559E-2</v>
      </c>
      <c r="U8298" s="59">
        <f ca="1">Dashboard!D$8* Dashboard!$F$4+Dashboard!D$10*SQRT(Dashboard!$F$4) * _xlfn.NORM.S.INV(RAND())</f>
        <v>-2.7216943525105883E-2</v>
      </c>
    </row>
    <row r="8299" spans="18:21" x14ac:dyDescent="0.2">
      <c r="R8299" s="49">
        <v>8297</v>
      </c>
      <c r="S8299" s="59">
        <f ca="1">Dashboard!B$8* Dashboard!$F$4+Dashboard!B$10*SQRT(Dashboard!$F$4) * _xlfn.NORM.S.INV(RAND())</f>
        <v>-3.1124223443529657E-2</v>
      </c>
      <c r="T8299" s="59">
        <f ca="1">Dashboard!C$8* Dashboard!$F$4+Dashboard!C$10*SQRT(Dashboard!$F$4) * _xlfn.NORM.S.INV(RAND())</f>
        <v>1.9603318693085816E-2</v>
      </c>
      <c r="U8299" s="59">
        <f ca="1">Dashboard!D$8* Dashboard!$F$4+Dashboard!D$10*SQRT(Dashboard!$F$4) * _xlfn.NORM.S.INV(RAND())</f>
        <v>3.2144791523857817E-2</v>
      </c>
    </row>
    <row r="8300" spans="18:21" x14ac:dyDescent="0.2">
      <c r="R8300" s="49">
        <v>8298</v>
      </c>
      <c r="S8300" s="59">
        <f ca="1">Dashboard!B$8* Dashboard!$F$4+Dashboard!B$10*SQRT(Dashboard!$F$4) * _xlfn.NORM.S.INV(RAND())</f>
        <v>5.2889017529120785E-3</v>
      </c>
      <c r="T8300" s="59">
        <f ca="1">Dashboard!C$8* Dashboard!$F$4+Dashboard!C$10*SQRT(Dashboard!$F$4) * _xlfn.NORM.S.INV(RAND())</f>
        <v>7.4730669902134551E-3</v>
      </c>
      <c r="U8300" s="59">
        <f ca="1">Dashboard!D$8* Dashboard!$F$4+Dashboard!D$10*SQRT(Dashboard!$F$4) * _xlfn.NORM.S.INV(RAND())</f>
        <v>1.5874661655687478E-2</v>
      </c>
    </row>
    <row r="8301" spans="18:21" x14ac:dyDescent="0.2">
      <c r="R8301" s="49">
        <v>8299</v>
      </c>
      <c r="S8301" s="59">
        <f ca="1">Dashboard!B$8* Dashboard!$F$4+Dashboard!B$10*SQRT(Dashboard!$F$4) * _xlfn.NORM.S.INV(RAND())</f>
        <v>4.7643805229091528E-2</v>
      </c>
      <c r="T8301" s="59">
        <f ca="1">Dashboard!C$8* Dashboard!$F$4+Dashboard!C$10*SQRT(Dashboard!$F$4) * _xlfn.NORM.S.INV(RAND())</f>
        <v>-1.4519794821016624E-3</v>
      </c>
      <c r="U8301" s="59">
        <f ca="1">Dashboard!D$8* Dashboard!$F$4+Dashboard!D$10*SQRT(Dashboard!$F$4) * _xlfn.NORM.S.INV(RAND())</f>
        <v>1.3152340917730029E-2</v>
      </c>
    </row>
    <row r="8302" spans="18:21" x14ac:dyDescent="0.2">
      <c r="R8302" s="49">
        <v>8300</v>
      </c>
      <c r="S8302" s="59">
        <f ca="1">Dashboard!B$8* Dashboard!$F$4+Dashboard!B$10*SQRT(Dashboard!$F$4) * _xlfn.NORM.S.INV(RAND())</f>
        <v>-1.2880603333427311E-2</v>
      </c>
      <c r="T8302" s="59">
        <f ca="1">Dashboard!C$8* Dashboard!$F$4+Dashboard!C$10*SQRT(Dashboard!$F$4) * _xlfn.NORM.S.INV(RAND())</f>
        <v>5.0137680989374392E-2</v>
      </c>
      <c r="U8302" s="59">
        <f ca="1">Dashboard!D$8* Dashboard!$F$4+Dashboard!D$10*SQRT(Dashboard!$F$4) * _xlfn.NORM.S.INV(RAND())</f>
        <v>4.3593066595865815E-2</v>
      </c>
    </row>
    <row r="8303" spans="18:21" x14ac:dyDescent="0.2">
      <c r="R8303" s="49">
        <v>8301</v>
      </c>
      <c r="S8303" s="59">
        <f ca="1">Dashboard!B$8* Dashboard!$F$4+Dashboard!B$10*SQRT(Dashboard!$F$4) * _xlfn.NORM.S.INV(RAND())</f>
        <v>-2.9727075384740315E-2</v>
      </c>
      <c r="T8303" s="59">
        <f ca="1">Dashboard!C$8* Dashboard!$F$4+Dashboard!C$10*SQRT(Dashboard!$F$4) * _xlfn.NORM.S.INV(RAND())</f>
        <v>-6.0214139478469734E-3</v>
      </c>
      <c r="U8303" s="59">
        <f ca="1">Dashboard!D$8* Dashboard!$F$4+Dashboard!D$10*SQRT(Dashboard!$F$4) * _xlfn.NORM.S.INV(RAND())</f>
        <v>-2.6670938548213209E-2</v>
      </c>
    </row>
    <row r="8304" spans="18:21" x14ac:dyDescent="0.2">
      <c r="R8304" s="49">
        <v>8302</v>
      </c>
      <c r="S8304" s="59">
        <f ca="1">Dashboard!B$8* Dashboard!$F$4+Dashboard!B$10*SQRT(Dashboard!$F$4) * _xlfn.NORM.S.INV(RAND())</f>
        <v>-7.1249742720268572E-2</v>
      </c>
      <c r="T8304" s="59">
        <f ca="1">Dashboard!C$8* Dashboard!$F$4+Dashboard!C$10*SQRT(Dashboard!$F$4) * _xlfn.NORM.S.INV(RAND())</f>
        <v>-3.9514518274220756E-2</v>
      </c>
      <c r="U8304" s="59">
        <f ca="1">Dashboard!D$8* Dashboard!$F$4+Dashboard!D$10*SQRT(Dashboard!$F$4) * _xlfn.NORM.S.INV(RAND())</f>
        <v>-2.5490615047667649E-3</v>
      </c>
    </row>
    <row r="8305" spans="18:21" x14ac:dyDescent="0.2">
      <c r="R8305" s="49">
        <v>8303</v>
      </c>
      <c r="S8305" s="59">
        <f ca="1">Dashboard!B$8* Dashboard!$F$4+Dashboard!B$10*SQRT(Dashboard!$F$4) * _xlfn.NORM.S.INV(RAND())</f>
        <v>3.6873751440563429E-2</v>
      </c>
      <c r="T8305" s="59">
        <f ca="1">Dashboard!C$8* Dashboard!$F$4+Dashboard!C$10*SQRT(Dashboard!$F$4) * _xlfn.NORM.S.INV(RAND())</f>
        <v>1.066906635491871E-2</v>
      </c>
      <c r="U8305" s="59">
        <f ca="1">Dashboard!D$8* Dashboard!$F$4+Dashboard!D$10*SQRT(Dashboard!$F$4) * _xlfn.NORM.S.INV(RAND())</f>
        <v>-5.4960162169090707E-2</v>
      </c>
    </row>
    <row r="8306" spans="18:21" x14ac:dyDescent="0.2">
      <c r="R8306" s="49">
        <v>8304</v>
      </c>
      <c r="S8306" s="59">
        <f ca="1">Dashboard!B$8* Dashboard!$F$4+Dashboard!B$10*SQRT(Dashboard!$F$4) * _xlfn.NORM.S.INV(RAND())</f>
        <v>6.6984145166967702E-3</v>
      </c>
      <c r="T8306" s="59">
        <f ca="1">Dashboard!C$8* Dashboard!$F$4+Dashboard!C$10*SQRT(Dashboard!$F$4) * _xlfn.NORM.S.INV(RAND())</f>
        <v>-4.0333537008528202E-2</v>
      </c>
      <c r="U8306" s="59">
        <f ca="1">Dashboard!D$8* Dashboard!$F$4+Dashboard!D$10*SQRT(Dashboard!$F$4) * _xlfn.NORM.S.INV(RAND())</f>
        <v>5.2144899828334833E-2</v>
      </c>
    </row>
    <row r="8307" spans="18:21" x14ac:dyDescent="0.2">
      <c r="R8307" s="49">
        <v>8305</v>
      </c>
      <c r="S8307" s="59">
        <f ca="1">Dashboard!B$8* Dashboard!$F$4+Dashboard!B$10*SQRT(Dashboard!$F$4) * _xlfn.NORM.S.INV(RAND())</f>
        <v>-3.2435650324486018E-2</v>
      </c>
      <c r="T8307" s="59">
        <f ca="1">Dashboard!C$8* Dashboard!$F$4+Dashboard!C$10*SQRT(Dashboard!$F$4) * _xlfn.NORM.S.INV(RAND())</f>
        <v>-8.8639991396245232E-2</v>
      </c>
      <c r="U8307" s="59">
        <f ca="1">Dashboard!D$8* Dashboard!$F$4+Dashboard!D$10*SQRT(Dashboard!$F$4) * _xlfn.NORM.S.INV(RAND())</f>
        <v>3.6454291090407452E-2</v>
      </c>
    </row>
    <row r="8308" spans="18:21" x14ac:dyDescent="0.2">
      <c r="R8308" s="49">
        <v>8306</v>
      </c>
      <c r="S8308" s="59">
        <f ca="1">Dashboard!B$8* Dashboard!$F$4+Dashboard!B$10*SQRT(Dashboard!$F$4) * _xlfn.NORM.S.INV(RAND())</f>
        <v>-1.8628381601840042E-2</v>
      </c>
      <c r="T8308" s="59">
        <f ca="1">Dashboard!C$8* Dashboard!$F$4+Dashboard!C$10*SQRT(Dashboard!$F$4) * _xlfn.NORM.S.INV(RAND())</f>
        <v>-9.5392580543099299E-3</v>
      </c>
      <c r="U8308" s="59">
        <f ca="1">Dashboard!D$8* Dashboard!$F$4+Dashboard!D$10*SQRT(Dashboard!$F$4) * _xlfn.NORM.S.INV(RAND())</f>
        <v>6.8485688289891457E-3</v>
      </c>
    </row>
    <row r="8309" spans="18:21" x14ac:dyDescent="0.2">
      <c r="R8309" s="49">
        <v>8307</v>
      </c>
      <c r="S8309" s="59">
        <f ca="1">Dashboard!B$8* Dashboard!$F$4+Dashboard!B$10*SQRT(Dashboard!$F$4) * _xlfn.NORM.S.INV(RAND())</f>
        <v>-8.4428231218365929E-2</v>
      </c>
      <c r="T8309" s="59">
        <f ca="1">Dashboard!C$8* Dashboard!$F$4+Dashboard!C$10*SQRT(Dashboard!$F$4) * _xlfn.NORM.S.INV(RAND())</f>
        <v>-1.4703373924315942E-2</v>
      </c>
      <c r="U8309" s="59">
        <f ca="1">Dashboard!D$8* Dashboard!$F$4+Dashboard!D$10*SQRT(Dashboard!$F$4) * _xlfn.NORM.S.INV(RAND())</f>
        <v>-1.8828241980986739E-2</v>
      </c>
    </row>
    <row r="8310" spans="18:21" x14ac:dyDescent="0.2">
      <c r="R8310" s="49">
        <v>8308</v>
      </c>
      <c r="S8310" s="59">
        <f ca="1">Dashboard!B$8* Dashboard!$F$4+Dashboard!B$10*SQRT(Dashboard!$F$4) * _xlfn.NORM.S.INV(RAND())</f>
        <v>4.275091955436279E-2</v>
      </c>
      <c r="T8310" s="59">
        <f ca="1">Dashboard!C$8* Dashboard!$F$4+Dashboard!C$10*SQRT(Dashboard!$F$4) * _xlfn.NORM.S.INV(RAND())</f>
        <v>1.640114494755741E-2</v>
      </c>
      <c r="U8310" s="59">
        <f ca="1">Dashboard!D$8* Dashboard!$F$4+Dashboard!D$10*SQRT(Dashboard!$F$4) * _xlfn.NORM.S.INV(RAND())</f>
        <v>7.9031967544006994E-3</v>
      </c>
    </row>
    <row r="8311" spans="18:21" x14ac:dyDescent="0.2">
      <c r="R8311" s="49">
        <v>8309</v>
      </c>
      <c r="S8311" s="59">
        <f ca="1">Dashboard!B$8* Dashboard!$F$4+Dashboard!B$10*SQRT(Dashboard!$F$4) * _xlfn.NORM.S.INV(RAND())</f>
        <v>-8.5590327261293947E-4</v>
      </c>
      <c r="T8311" s="59">
        <f ca="1">Dashboard!C$8* Dashboard!$F$4+Dashboard!C$10*SQRT(Dashboard!$F$4) * _xlfn.NORM.S.INV(RAND())</f>
        <v>-1.5450483469735911E-2</v>
      </c>
      <c r="U8311" s="59">
        <f ca="1">Dashboard!D$8* Dashboard!$F$4+Dashboard!D$10*SQRT(Dashboard!$F$4) * _xlfn.NORM.S.INV(RAND())</f>
        <v>-3.8781845242996799E-2</v>
      </c>
    </row>
    <row r="8312" spans="18:21" x14ac:dyDescent="0.2">
      <c r="R8312" s="49">
        <v>8310</v>
      </c>
      <c r="S8312" s="59">
        <f ca="1">Dashboard!B$8* Dashboard!$F$4+Dashboard!B$10*SQRT(Dashboard!$F$4) * _xlfn.NORM.S.INV(RAND())</f>
        <v>-2.004366011121568E-2</v>
      </c>
      <c r="T8312" s="59">
        <f ca="1">Dashboard!C$8* Dashboard!$F$4+Dashboard!C$10*SQRT(Dashboard!$F$4) * _xlfn.NORM.S.INV(RAND())</f>
        <v>-8.5196042585422137E-4</v>
      </c>
      <c r="U8312" s="59">
        <f ca="1">Dashboard!D$8* Dashboard!$F$4+Dashboard!D$10*SQRT(Dashboard!$F$4) * _xlfn.NORM.S.INV(RAND())</f>
        <v>2.7409465092192348E-2</v>
      </c>
    </row>
    <row r="8313" spans="18:21" x14ac:dyDescent="0.2">
      <c r="R8313" s="49">
        <v>8311</v>
      </c>
      <c r="S8313" s="59">
        <f ca="1">Dashboard!B$8* Dashboard!$F$4+Dashboard!B$10*SQRT(Dashboard!$F$4) * _xlfn.NORM.S.INV(RAND())</f>
        <v>-3.7629981831966497E-3</v>
      </c>
      <c r="T8313" s="59">
        <f ca="1">Dashboard!C$8* Dashboard!$F$4+Dashboard!C$10*SQRT(Dashboard!$F$4) * _xlfn.NORM.S.INV(RAND())</f>
        <v>5.4216909659842924E-2</v>
      </c>
      <c r="U8313" s="59">
        <f ca="1">Dashboard!D$8* Dashboard!$F$4+Dashboard!D$10*SQRT(Dashboard!$F$4) * _xlfn.NORM.S.INV(RAND())</f>
        <v>-1.7980344424143029E-2</v>
      </c>
    </row>
    <row r="8314" spans="18:21" x14ac:dyDescent="0.2">
      <c r="R8314" s="49">
        <v>8312</v>
      </c>
      <c r="S8314" s="59">
        <f ca="1">Dashboard!B$8* Dashboard!$F$4+Dashboard!B$10*SQRT(Dashboard!$F$4) * _xlfn.NORM.S.INV(RAND())</f>
        <v>-1.0584588976380043E-2</v>
      </c>
      <c r="T8314" s="59">
        <f ca="1">Dashboard!C$8* Dashboard!$F$4+Dashboard!C$10*SQRT(Dashboard!$F$4) * _xlfn.NORM.S.INV(RAND())</f>
        <v>4.2879696370522642E-2</v>
      </c>
      <c r="U8314" s="59">
        <f ca="1">Dashboard!D$8* Dashboard!$F$4+Dashboard!D$10*SQRT(Dashboard!$F$4) * _xlfn.NORM.S.INV(RAND())</f>
        <v>4.1034085082276572E-2</v>
      </c>
    </row>
    <row r="8315" spans="18:21" x14ac:dyDescent="0.2">
      <c r="R8315" s="49">
        <v>8313</v>
      </c>
      <c r="S8315" s="59">
        <f ca="1">Dashboard!B$8* Dashboard!$F$4+Dashboard!B$10*SQRT(Dashboard!$F$4) * _xlfn.NORM.S.INV(RAND())</f>
        <v>-2.5174123836748677E-2</v>
      </c>
      <c r="T8315" s="59">
        <f ca="1">Dashboard!C$8* Dashboard!$F$4+Dashboard!C$10*SQRT(Dashboard!$F$4) * _xlfn.NORM.S.INV(RAND())</f>
        <v>2.7629480056081891E-2</v>
      </c>
      <c r="U8315" s="59">
        <f ca="1">Dashboard!D$8* Dashboard!$F$4+Dashboard!D$10*SQRT(Dashboard!$F$4) * _xlfn.NORM.S.INV(RAND())</f>
        <v>-3.8012149319082665E-2</v>
      </c>
    </row>
    <row r="8316" spans="18:21" x14ac:dyDescent="0.2">
      <c r="R8316" s="49">
        <v>8314</v>
      </c>
      <c r="S8316" s="59">
        <f ca="1">Dashboard!B$8* Dashboard!$F$4+Dashboard!B$10*SQRT(Dashboard!$F$4) * _xlfn.NORM.S.INV(RAND())</f>
        <v>-5.9969191576934963E-2</v>
      </c>
      <c r="T8316" s="59">
        <f ca="1">Dashboard!C$8* Dashboard!$F$4+Dashboard!C$10*SQRT(Dashboard!$F$4) * _xlfn.NORM.S.INV(RAND())</f>
        <v>-1.652458035957393E-2</v>
      </c>
      <c r="U8316" s="59">
        <f ca="1">Dashboard!D$8* Dashboard!$F$4+Dashboard!D$10*SQRT(Dashboard!$F$4) * _xlfn.NORM.S.INV(RAND())</f>
        <v>-2.7553510498055385E-2</v>
      </c>
    </row>
    <row r="8317" spans="18:21" x14ac:dyDescent="0.2">
      <c r="R8317" s="49">
        <v>8315</v>
      </c>
      <c r="S8317" s="59">
        <f ca="1">Dashboard!B$8* Dashboard!$F$4+Dashboard!B$10*SQRT(Dashboard!$F$4) * _xlfn.NORM.S.INV(RAND())</f>
        <v>-1.7822354937828737E-2</v>
      </c>
      <c r="T8317" s="59">
        <f ca="1">Dashboard!C$8* Dashboard!$F$4+Dashboard!C$10*SQRT(Dashboard!$F$4) * _xlfn.NORM.S.INV(RAND())</f>
        <v>-8.0001299737695986E-2</v>
      </c>
      <c r="U8317" s="59">
        <f ca="1">Dashboard!D$8* Dashboard!$F$4+Dashboard!D$10*SQRT(Dashboard!$F$4) * _xlfn.NORM.S.INV(RAND())</f>
        <v>-1.8885975380683807E-2</v>
      </c>
    </row>
    <row r="8318" spans="18:21" x14ac:dyDescent="0.2">
      <c r="R8318" s="49">
        <v>8316</v>
      </c>
      <c r="S8318" s="59">
        <f ca="1">Dashboard!B$8* Dashboard!$F$4+Dashboard!B$10*SQRT(Dashboard!$F$4) * _xlfn.NORM.S.INV(RAND())</f>
        <v>-5.6891023690257239E-2</v>
      </c>
      <c r="T8318" s="59">
        <f ca="1">Dashboard!C$8* Dashboard!$F$4+Dashboard!C$10*SQRT(Dashboard!$F$4) * _xlfn.NORM.S.INV(RAND())</f>
        <v>2.3941497008111334E-2</v>
      </c>
      <c r="U8318" s="59">
        <f ca="1">Dashboard!D$8* Dashboard!$F$4+Dashboard!D$10*SQRT(Dashboard!$F$4) * _xlfn.NORM.S.INV(RAND())</f>
        <v>2.0579930235480347E-2</v>
      </c>
    </row>
    <row r="8319" spans="18:21" x14ac:dyDescent="0.2">
      <c r="R8319" s="49">
        <v>8317</v>
      </c>
      <c r="S8319" s="59">
        <f ca="1">Dashboard!B$8* Dashboard!$F$4+Dashboard!B$10*SQRT(Dashboard!$F$4) * _xlfn.NORM.S.INV(RAND())</f>
        <v>1.7534963347361238E-2</v>
      </c>
      <c r="T8319" s="59">
        <f ca="1">Dashboard!C$8* Dashboard!$F$4+Dashboard!C$10*SQRT(Dashboard!$F$4) * _xlfn.NORM.S.INV(RAND())</f>
        <v>2.8243436746209789E-2</v>
      </c>
      <c r="U8319" s="59">
        <f ca="1">Dashboard!D$8* Dashboard!$F$4+Dashboard!D$10*SQRT(Dashboard!$F$4) * _xlfn.NORM.S.INV(RAND())</f>
        <v>-5.4268282971462172E-3</v>
      </c>
    </row>
    <row r="8320" spans="18:21" x14ac:dyDescent="0.2">
      <c r="R8320" s="49">
        <v>8318</v>
      </c>
      <c r="S8320" s="59">
        <f ca="1">Dashboard!B$8* Dashboard!$F$4+Dashboard!B$10*SQRT(Dashboard!$F$4) * _xlfn.NORM.S.INV(RAND())</f>
        <v>2.8535176725327648E-2</v>
      </c>
      <c r="T8320" s="59">
        <f ca="1">Dashboard!C$8* Dashboard!$F$4+Dashboard!C$10*SQRT(Dashboard!$F$4) * _xlfn.NORM.S.INV(RAND())</f>
        <v>-2.8937547314387618E-2</v>
      </c>
      <c r="U8320" s="59">
        <f ca="1">Dashboard!D$8* Dashboard!$F$4+Dashboard!D$10*SQRT(Dashboard!$F$4) * _xlfn.NORM.S.INV(RAND())</f>
        <v>-5.498615944423501E-2</v>
      </c>
    </row>
    <row r="8321" spans="18:21" x14ac:dyDescent="0.2">
      <c r="R8321" s="49">
        <v>8319</v>
      </c>
      <c r="S8321" s="59">
        <f ca="1">Dashboard!B$8* Dashboard!$F$4+Dashboard!B$10*SQRT(Dashboard!$F$4) * _xlfn.NORM.S.INV(RAND())</f>
        <v>3.7114251495150748E-2</v>
      </c>
      <c r="T8321" s="59">
        <f ca="1">Dashboard!C$8* Dashboard!$F$4+Dashboard!C$10*SQRT(Dashboard!$F$4) * _xlfn.NORM.S.INV(RAND())</f>
        <v>8.0530968050572443E-2</v>
      </c>
      <c r="U8321" s="59">
        <f ca="1">Dashboard!D$8* Dashboard!$F$4+Dashboard!D$10*SQRT(Dashboard!$F$4) * _xlfn.NORM.S.INV(RAND())</f>
        <v>1.7709275405971267E-2</v>
      </c>
    </row>
    <row r="8322" spans="18:21" x14ac:dyDescent="0.2">
      <c r="R8322" s="49">
        <v>8320</v>
      </c>
      <c r="S8322" s="59">
        <f ca="1">Dashboard!B$8* Dashboard!$F$4+Dashboard!B$10*SQRT(Dashboard!$F$4) * _xlfn.NORM.S.INV(RAND())</f>
        <v>-9.3632032458975493E-3</v>
      </c>
      <c r="T8322" s="59">
        <f ca="1">Dashboard!C$8* Dashboard!$F$4+Dashboard!C$10*SQRT(Dashboard!$F$4) * _xlfn.NORM.S.INV(RAND())</f>
        <v>1.7007710874718425E-3</v>
      </c>
      <c r="U8322" s="59">
        <f ca="1">Dashboard!D$8* Dashboard!$F$4+Dashboard!D$10*SQRT(Dashboard!$F$4) * _xlfn.NORM.S.INV(RAND())</f>
        <v>2.2057340962162275E-2</v>
      </c>
    </row>
    <row r="8323" spans="18:21" x14ac:dyDescent="0.2">
      <c r="R8323" s="49">
        <v>8321</v>
      </c>
      <c r="S8323" s="59">
        <f ca="1">Dashboard!B$8* Dashboard!$F$4+Dashboard!B$10*SQRT(Dashboard!$F$4) * _xlfn.NORM.S.INV(RAND())</f>
        <v>-1.5153472952669805E-2</v>
      </c>
      <c r="T8323" s="59">
        <f ca="1">Dashboard!C$8* Dashboard!$F$4+Dashboard!C$10*SQRT(Dashboard!$F$4) * _xlfn.NORM.S.INV(RAND())</f>
        <v>-2.3006227932902155E-2</v>
      </c>
      <c r="U8323" s="59">
        <f ca="1">Dashboard!D$8* Dashboard!$F$4+Dashboard!D$10*SQRT(Dashboard!$F$4) * _xlfn.NORM.S.INV(RAND())</f>
        <v>4.632089875538749E-3</v>
      </c>
    </row>
    <row r="8324" spans="18:21" x14ac:dyDescent="0.2">
      <c r="R8324" s="49">
        <v>8322</v>
      </c>
      <c r="S8324" s="59">
        <f ca="1">Dashboard!B$8* Dashboard!$F$4+Dashboard!B$10*SQRT(Dashboard!$F$4) * _xlfn.NORM.S.INV(RAND())</f>
        <v>-3.6843772302290814E-2</v>
      </c>
      <c r="T8324" s="59">
        <f ca="1">Dashboard!C$8* Dashboard!$F$4+Dashboard!C$10*SQRT(Dashboard!$F$4) * _xlfn.NORM.S.INV(RAND())</f>
        <v>2.7448181439275379E-4</v>
      </c>
      <c r="U8324" s="59">
        <f ca="1">Dashboard!D$8* Dashboard!$F$4+Dashboard!D$10*SQRT(Dashboard!$F$4) * _xlfn.NORM.S.INV(RAND())</f>
        <v>-3.0766284237059544E-2</v>
      </c>
    </row>
    <row r="8325" spans="18:21" x14ac:dyDescent="0.2">
      <c r="R8325" s="49">
        <v>8323</v>
      </c>
      <c r="S8325" s="59">
        <f ca="1">Dashboard!B$8* Dashboard!$F$4+Dashboard!B$10*SQRT(Dashboard!$F$4) * _xlfn.NORM.S.INV(RAND())</f>
        <v>2.2240216045338594E-2</v>
      </c>
      <c r="T8325" s="59">
        <f ca="1">Dashboard!C$8* Dashboard!$F$4+Dashboard!C$10*SQRT(Dashboard!$F$4) * _xlfn.NORM.S.INV(RAND())</f>
        <v>-2.3861573755086463E-2</v>
      </c>
      <c r="U8325" s="59">
        <f ca="1">Dashboard!D$8* Dashboard!$F$4+Dashboard!D$10*SQRT(Dashboard!$F$4) * _xlfn.NORM.S.INV(RAND())</f>
        <v>-5.5210043769821013E-2</v>
      </c>
    </row>
    <row r="8326" spans="18:21" x14ac:dyDescent="0.2">
      <c r="R8326" s="49">
        <v>8324</v>
      </c>
      <c r="S8326" s="59">
        <f ca="1">Dashboard!B$8* Dashboard!$F$4+Dashboard!B$10*SQRT(Dashboard!$F$4) * _xlfn.NORM.S.INV(RAND())</f>
        <v>-2.8676336604987099E-2</v>
      </c>
      <c r="T8326" s="59">
        <f ca="1">Dashboard!C$8* Dashboard!$F$4+Dashboard!C$10*SQRT(Dashboard!$F$4) * _xlfn.NORM.S.INV(RAND())</f>
        <v>9.34316582257219E-2</v>
      </c>
      <c r="U8326" s="59">
        <f ca="1">Dashboard!D$8* Dashboard!$F$4+Dashboard!D$10*SQRT(Dashboard!$F$4) * _xlfn.NORM.S.INV(RAND())</f>
        <v>-2.0140700361579753E-2</v>
      </c>
    </row>
    <row r="8327" spans="18:21" x14ac:dyDescent="0.2">
      <c r="R8327" s="49">
        <v>8325</v>
      </c>
      <c r="S8327" s="59">
        <f ca="1">Dashboard!B$8* Dashboard!$F$4+Dashboard!B$10*SQRT(Dashboard!$F$4) * _xlfn.NORM.S.INV(RAND())</f>
        <v>1.8921312376191705E-2</v>
      </c>
      <c r="T8327" s="59">
        <f ca="1">Dashboard!C$8* Dashboard!$F$4+Dashboard!C$10*SQRT(Dashboard!$F$4) * _xlfn.NORM.S.INV(RAND())</f>
        <v>5.0819748799214352E-2</v>
      </c>
      <c r="U8327" s="59">
        <f ca="1">Dashboard!D$8* Dashboard!$F$4+Dashboard!D$10*SQRT(Dashboard!$F$4) * _xlfn.NORM.S.INV(RAND())</f>
        <v>-4.9792477775477746E-2</v>
      </c>
    </row>
    <row r="8328" spans="18:21" x14ac:dyDescent="0.2">
      <c r="R8328" s="49">
        <v>8326</v>
      </c>
      <c r="S8328" s="59">
        <f ca="1">Dashboard!B$8* Dashboard!$F$4+Dashboard!B$10*SQRT(Dashboard!$F$4) * _xlfn.NORM.S.INV(RAND())</f>
        <v>-2.9320981489286642E-2</v>
      </c>
      <c r="T8328" s="59">
        <f ca="1">Dashboard!C$8* Dashboard!$F$4+Dashboard!C$10*SQRT(Dashboard!$F$4) * _xlfn.NORM.S.INV(RAND())</f>
        <v>-2.0178942363035805E-2</v>
      </c>
      <c r="U8328" s="59">
        <f ca="1">Dashboard!D$8* Dashboard!$F$4+Dashboard!D$10*SQRT(Dashboard!$F$4) * _xlfn.NORM.S.INV(RAND())</f>
        <v>5.1071586326990447E-3</v>
      </c>
    </row>
    <row r="8329" spans="18:21" x14ac:dyDescent="0.2">
      <c r="R8329" s="49">
        <v>8327</v>
      </c>
      <c r="S8329" s="59">
        <f ca="1">Dashboard!B$8* Dashboard!$F$4+Dashboard!B$10*SQRT(Dashboard!$F$4) * _xlfn.NORM.S.INV(RAND())</f>
        <v>-3.467946865699479E-2</v>
      </c>
      <c r="T8329" s="59">
        <f ca="1">Dashboard!C$8* Dashboard!$F$4+Dashboard!C$10*SQRT(Dashboard!$F$4) * _xlfn.NORM.S.INV(RAND())</f>
        <v>3.0295309030572148E-2</v>
      </c>
      <c r="U8329" s="59">
        <f ca="1">Dashboard!D$8* Dashboard!$F$4+Dashboard!D$10*SQRT(Dashboard!$F$4) * _xlfn.NORM.S.INV(RAND())</f>
        <v>-2.1002421786452691E-3</v>
      </c>
    </row>
    <row r="8330" spans="18:21" x14ac:dyDescent="0.2">
      <c r="R8330" s="49">
        <v>8328</v>
      </c>
      <c r="S8330" s="59">
        <f ca="1">Dashboard!B$8* Dashboard!$F$4+Dashboard!B$10*SQRT(Dashboard!$F$4) * _xlfn.NORM.S.INV(RAND())</f>
        <v>-3.6630180108469683E-2</v>
      </c>
      <c r="T8330" s="59">
        <f ca="1">Dashboard!C$8* Dashboard!$F$4+Dashboard!C$10*SQRT(Dashboard!$F$4) * _xlfn.NORM.S.INV(RAND())</f>
        <v>-3.704727219893697E-2</v>
      </c>
      <c r="U8330" s="59">
        <f ca="1">Dashboard!D$8* Dashboard!$F$4+Dashboard!D$10*SQRT(Dashboard!$F$4) * _xlfn.NORM.S.INV(RAND())</f>
        <v>-3.7983442895018156E-2</v>
      </c>
    </row>
    <row r="8331" spans="18:21" x14ac:dyDescent="0.2">
      <c r="R8331" s="49">
        <v>8329</v>
      </c>
      <c r="S8331" s="59">
        <f ca="1">Dashboard!B$8* Dashboard!$F$4+Dashboard!B$10*SQRT(Dashboard!$F$4) * _xlfn.NORM.S.INV(RAND())</f>
        <v>-1.3493602503279384E-2</v>
      </c>
      <c r="T8331" s="59">
        <f ca="1">Dashboard!C$8* Dashboard!$F$4+Dashboard!C$10*SQRT(Dashboard!$F$4) * _xlfn.NORM.S.INV(RAND())</f>
        <v>-1.4723978649099405E-2</v>
      </c>
      <c r="U8331" s="59">
        <f ca="1">Dashboard!D$8* Dashboard!$F$4+Dashboard!D$10*SQRT(Dashboard!$F$4) * _xlfn.NORM.S.INV(RAND())</f>
        <v>1.5861643414036213E-2</v>
      </c>
    </row>
    <row r="8332" spans="18:21" x14ac:dyDescent="0.2">
      <c r="R8332" s="49">
        <v>8330</v>
      </c>
      <c r="S8332" s="59">
        <f ca="1">Dashboard!B$8* Dashboard!$F$4+Dashboard!B$10*SQRT(Dashboard!$F$4) * _xlfn.NORM.S.INV(RAND())</f>
        <v>7.6206509388181534E-2</v>
      </c>
      <c r="T8332" s="59">
        <f ca="1">Dashboard!C$8* Dashboard!$F$4+Dashboard!C$10*SQRT(Dashboard!$F$4) * _xlfn.NORM.S.INV(RAND())</f>
        <v>2.7150911988308116E-2</v>
      </c>
      <c r="U8332" s="59">
        <f ca="1">Dashboard!D$8* Dashboard!$F$4+Dashboard!D$10*SQRT(Dashboard!$F$4) * _xlfn.NORM.S.INV(RAND())</f>
        <v>6.0616600082115694E-4</v>
      </c>
    </row>
    <row r="8333" spans="18:21" x14ac:dyDescent="0.2">
      <c r="R8333" s="49">
        <v>8331</v>
      </c>
      <c r="S8333" s="59">
        <f ca="1">Dashboard!B$8* Dashboard!$F$4+Dashboard!B$10*SQRT(Dashboard!$F$4) * _xlfn.NORM.S.INV(RAND())</f>
        <v>-5.1116000022257179E-3</v>
      </c>
      <c r="T8333" s="59">
        <f ca="1">Dashboard!C$8* Dashboard!$F$4+Dashboard!C$10*SQRT(Dashboard!$F$4) * _xlfn.NORM.S.INV(RAND())</f>
        <v>-3.2823717046577501E-2</v>
      </c>
      <c r="U8333" s="59">
        <f ca="1">Dashboard!D$8* Dashboard!$F$4+Dashboard!D$10*SQRT(Dashboard!$F$4) * _xlfn.NORM.S.INV(RAND())</f>
        <v>2.8961407905101617E-2</v>
      </c>
    </row>
    <row r="8334" spans="18:21" x14ac:dyDescent="0.2">
      <c r="R8334" s="49">
        <v>8332</v>
      </c>
      <c r="S8334" s="59">
        <f ca="1">Dashboard!B$8* Dashboard!$F$4+Dashboard!B$10*SQRT(Dashboard!$F$4) * _xlfn.NORM.S.INV(RAND())</f>
        <v>-1.0122364655898476E-2</v>
      </c>
      <c r="T8334" s="59">
        <f ca="1">Dashboard!C$8* Dashboard!$F$4+Dashboard!C$10*SQRT(Dashboard!$F$4) * _xlfn.NORM.S.INV(RAND())</f>
        <v>9.5471737507507645E-3</v>
      </c>
      <c r="U8334" s="59">
        <f ca="1">Dashboard!D$8* Dashboard!$F$4+Dashboard!D$10*SQRT(Dashboard!$F$4) * _xlfn.NORM.S.INV(RAND())</f>
        <v>-9.7477910838127818E-3</v>
      </c>
    </row>
    <row r="8335" spans="18:21" x14ac:dyDescent="0.2">
      <c r="R8335" s="49">
        <v>8333</v>
      </c>
      <c r="S8335" s="59">
        <f ca="1">Dashboard!B$8* Dashboard!$F$4+Dashboard!B$10*SQRT(Dashboard!$F$4) * _xlfn.NORM.S.INV(RAND())</f>
        <v>-2.0961068569050098E-2</v>
      </c>
      <c r="T8335" s="59">
        <f ca="1">Dashboard!C$8* Dashboard!$F$4+Dashboard!C$10*SQRT(Dashboard!$F$4) * _xlfn.NORM.S.INV(RAND())</f>
        <v>4.1248153843189118E-2</v>
      </c>
      <c r="U8335" s="59">
        <f ca="1">Dashboard!D$8* Dashboard!$F$4+Dashboard!D$10*SQRT(Dashboard!$F$4) * _xlfn.NORM.S.INV(RAND())</f>
        <v>1.4479549089188578E-2</v>
      </c>
    </row>
    <row r="8336" spans="18:21" x14ac:dyDescent="0.2">
      <c r="R8336" s="49">
        <v>8334</v>
      </c>
      <c r="S8336" s="59">
        <f ca="1">Dashboard!B$8* Dashboard!$F$4+Dashboard!B$10*SQRT(Dashboard!$F$4) * _xlfn.NORM.S.INV(RAND())</f>
        <v>-1.5172869698384578E-2</v>
      </c>
      <c r="T8336" s="59">
        <f ca="1">Dashboard!C$8* Dashboard!$F$4+Dashboard!C$10*SQRT(Dashboard!$F$4) * _xlfn.NORM.S.INV(RAND())</f>
        <v>9.9543031001080792E-2</v>
      </c>
      <c r="U8336" s="59">
        <f ca="1">Dashboard!D$8* Dashboard!$F$4+Dashboard!D$10*SQRT(Dashboard!$F$4) * _xlfn.NORM.S.INV(RAND())</f>
        <v>-7.389370132054425E-2</v>
      </c>
    </row>
    <row r="8337" spans="18:21" x14ac:dyDescent="0.2">
      <c r="R8337" s="49">
        <v>8335</v>
      </c>
      <c r="S8337" s="59">
        <f ca="1">Dashboard!B$8* Dashboard!$F$4+Dashboard!B$10*SQRT(Dashboard!$F$4) * _xlfn.NORM.S.INV(RAND())</f>
        <v>2.2684587269893544E-2</v>
      </c>
      <c r="T8337" s="59">
        <f ca="1">Dashboard!C$8* Dashboard!$F$4+Dashboard!C$10*SQRT(Dashboard!$F$4) * _xlfn.NORM.S.INV(RAND())</f>
        <v>-4.0826955059189596E-2</v>
      </c>
      <c r="U8337" s="59">
        <f ca="1">Dashboard!D$8* Dashboard!$F$4+Dashboard!D$10*SQRT(Dashboard!$F$4) * _xlfn.NORM.S.INV(RAND())</f>
        <v>1.0666029610229234E-2</v>
      </c>
    </row>
    <row r="8338" spans="18:21" x14ac:dyDescent="0.2">
      <c r="R8338" s="49">
        <v>8336</v>
      </c>
      <c r="S8338" s="59">
        <f ca="1">Dashboard!B$8* Dashboard!$F$4+Dashboard!B$10*SQRT(Dashboard!$F$4) * _xlfn.NORM.S.INV(RAND())</f>
        <v>-4.0654769310771062E-3</v>
      </c>
      <c r="T8338" s="59">
        <f ca="1">Dashboard!C$8* Dashboard!$F$4+Dashboard!C$10*SQRT(Dashboard!$F$4) * _xlfn.NORM.S.INV(RAND())</f>
        <v>1.1302179340213053E-2</v>
      </c>
      <c r="U8338" s="59">
        <f ca="1">Dashboard!D$8* Dashboard!$F$4+Dashboard!D$10*SQRT(Dashboard!$F$4) * _xlfn.NORM.S.INV(RAND())</f>
        <v>-2.2664845844026702E-2</v>
      </c>
    </row>
    <row r="8339" spans="18:21" x14ac:dyDescent="0.2">
      <c r="R8339" s="49">
        <v>8337</v>
      </c>
      <c r="S8339" s="59">
        <f ca="1">Dashboard!B$8* Dashboard!$F$4+Dashboard!B$10*SQRT(Dashboard!$F$4) * _xlfn.NORM.S.INV(RAND())</f>
        <v>1.1934819975471E-2</v>
      </c>
      <c r="T8339" s="59">
        <f ca="1">Dashboard!C$8* Dashboard!$F$4+Dashboard!C$10*SQRT(Dashboard!$F$4) * _xlfn.NORM.S.INV(RAND())</f>
        <v>-5.2981480881189126E-2</v>
      </c>
      <c r="U8339" s="59">
        <f ca="1">Dashboard!D$8* Dashboard!$F$4+Dashboard!D$10*SQRT(Dashboard!$F$4) * _xlfn.NORM.S.INV(RAND())</f>
        <v>4.44827190072168E-2</v>
      </c>
    </row>
    <row r="8340" spans="18:21" x14ac:dyDescent="0.2">
      <c r="R8340" s="49">
        <v>8338</v>
      </c>
      <c r="S8340" s="59">
        <f ca="1">Dashboard!B$8* Dashboard!$F$4+Dashboard!B$10*SQRT(Dashboard!$F$4) * _xlfn.NORM.S.INV(RAND())</f>
        <v>1.6326879770552923E-2</v>
      </c>
      <c r="T8340" s="59">
        <f ca="1">Dashboard!C$8* Dashboard!$F$4+Dashboard!C$10*SQRT(Dashboard!$F$4) * _xlfn.NORM.S.INV(RAND())</f>
        <v>8.0858652058367272E-3</v>
      </c>
      <c r="U8340" s="59">
        <f ca="1">Dashboard!D$8* Dashboard!$F$4+Dashboard!D$10*SQRT(Dashboard!$F$4) * _xlfn.NORM.S.INV(RAND())</f>
        <v>2.0161895481255188E-3</v>
      </c>
    </row>
    <row r="8341" spans="18:21" x14ac:dyDescent="0.2">
      <c r="R8341" s="49">
        <v>8339</v>
      </c>
      <c r="S8341" s="59">
        <f ca="1">Dashboard!B$8* Dashboard!$F$4+Dashboard!B$10*SQRT(Dashboard!$F$4) * _xlfn.NORM.S.INV(RAND())</f>
        <v>-2.6142544884405899E-2</v>
      </c>
      <c r="T8341" s="59">
        <f ca="1">Dashboard!C$8* Dashboard!$F$4+Dashboard!C$10*SQRT(Dashboard!$F$4) * _xlfn.NORM.S.INV(RAND())</f>
        <v>1.4799967775218931E-2</v>
      </c>
      <c r="U8341" s="59">
        <f ca="1">Dashboard!D$8* Dashboard!$F$4+Dashboard!D$10*SQRT(Dashboard!$F$4) * _xlfn.NORM.S.INV(RAND())</f>
        <v>1.2525786460691381E-2</v>
      </c>
    </row>
    <row r="8342" spans="18:21" x14ac:dyDescent="0.2">
      <c r="R8342" s="49">
        <v>8340</v>
      </c>
      <c r="S8342" s="59">
        <f ca="1">Dashboard!B$8* Dashboard!$F$4+Dashboard!B$10*SQRT(Dashboard!$F$4) * _xlfn.NORM.S.INV(RAND())</f>
        <v>-5.1858769427886316E-2</v>
      </c>
      <c r="T8342" s="59">
        <f ca="1">Dashboard!C$8* Dashboard!$F$4+Dashboard!C$10*SQRT(Dashboard!$F$4) * _xlfn.NORM.S.INV(RAND())</f>
        <v>3.3832227899430044E-2</v>
      </c>
      <c r="U8342" s="59">
        <f ca="1">Dashboard!D$8* Dashboard!$F$4+Dashboard!D$10*SQRT(Dashboard!$F$4) * _xlfn.NORM.S.INV(RAND())</f>
        <v>-5.5344638925227257E-2</v>
      </c>
    </row>
    <row r="8343" spans="18:21" x14ac:dyDescent="0.2">
      <c r="R8343" s="49">
        <v>8341</v>
      </c>
      <c r="S8343" s="59">
        <f ca="1">Dashboard!B$8* Dashboard!$F$4+Dashboard!B$10*SQRT(Dashboard!$F$4) * _xlfn.NORM.S.INV(RAND())</f>
        <v>-1.0046297055075652E-2</v>
      </c>
      <c r="T8343" s="59">
        <f ca="1">Dashboard!C$8* Dashboard!$F$4+Dashboard!C$10*SQRT(Dashboard!$F$4) * _xlfn.NORM.S.INV(RAND())</f>
        <v>8.5848215155979839E-3</v>
      </c>
      <c r="U8343" s="59">
        <f ca="1">Dashboard!D$8* Dashboard!$F$4+Dashboard!D$10*SQRT(Dashboard!$F$4) * _xlfn.NORM.S.INV(RAND())</f>
        <v>8.7792571493069266E-3</v>
      </c>
    </row>
    <row r="8344" spans="18:21" x14ac:dyDescent="0.2">
      <c r="R8344" s="49">
        <v>8342</v>
      </c>
      <c r="S8344" s="59">
        <f ca="1">Dashboard!B$8* Dashboard!$F$4+Dashboard!B$10*SQRT(Dashboard!$F$4) * _xlfn.NORM.S.INV(RAND())</f>
        <v>-5.6147215562902574E-3</v>
      </c>
      <c r="T8344" s="59">
        <f ca="1">Dashboard!C$8* Dashboard!$F$4+Dashboard!C$10*SQRT(Dashboard!$F$4) * _xlfn.NORM.S.INV(RAND())</f>
        <v>5.8057776902312418E-3</v>
      </c>
      <c r="U8344" s="59">
        <f ca="1">Dashboard!D$8* Dashboard!$F$4+Dashboard!D$10*SQRT(Dashboard!$F$4) * _xlfn.NORM.S.INV(RAND())</f>
        <v>1.3462513564780581E-3</v>
      </c>
    </row>
    <row r="8345" spans="18:21" x14ac:dyDescent="0.2">
      <c r="R8345" s="49">
        <v>8343</v>
      </c>
      <c r="S8345" s="59">
        <f ca="1">Dashboard!B$8* Dashboard!$F$4+Dashboard!B$10*SQRT(Dashboard!$F$4) * _xlfn.NORM.S.INV(RAND())</f>
        <v>-3.9687908065519834E-2</v>
      </c>
      <c r="T8345" s="59">
        <f ca="1">Dashboard!C$8* Dashboard!$F$4+Dashboard!C$10*SQRT(Dashboard!$F$4) * _xlfn.NORM.S.INV(RAND())</f>
        <v>3.1076945996092214E-2</v>
      </c>
      <c r="U8345" s="59">
        <f ca="1">Dashboard!D$8* Dashboard!$F$4+Dashboard!D$10*SQRT(Dashboard!$F$4) * _xlfn.NORM.S.INV(RAND())</f>
        <v>4.3421099670994945E-3</v>
      </c>
    </row>
    <row r="8346" spans="18:21" x14ac:dyDescent="0.2">
      <c r="R8346" s="49">
        <v>8344</v>
      </c>
      <c r="S8346" s="59">
        <f ca="1">Dashboard!B$8* Dashboard!$F$4+Dashboard!B$10*SQRT(Dashboard!$F$4) * _xlfn.NORM.S.INV(RAND())</f>
        <v>-1.612769885754306E-2</v>
      </c>
      <c r="T8346" s="59">
        <f ca="1">Dashboard!C$8* Dashboard!$F$4+Dashboard!C$10*SQRT(Dashboard!$F$4) * _xlfn.NORM.S.INV(RAND())</f>
        <v>-1.6510381014589584E-2</v>
      </c>
      <c r="U8346" s="59">
        <f ca="1">Dashboard!D$8* Dashboard!$F$4+Dashboard!D$10*SQRT(Dashboard!$F$4) * _xlfn.NORM.S.INV(RAND())</f>
        <v>1.3138085316730632E-2</v>
      </c>
    </row>
    <row r="8347" spans="18:21" x14ac:dyDescent="0.2">
      <c r="R8347" s="49">
        <v>8345</v>
      </c>
      <c r="S8347" s="59">
        <f ca="1">Dashboard!B$8* Dashboard!$F$4+Dashboard!B$10*SQRT(Dashboard!$F$4) * _xlfn.NORM.S.INV(RAND())</f>
        <v>4.7753975137252415E-2</v>
      </c>
      <c r="T8347" s="59">
        <f ca="1">Dashboard!C$8* Dashboard!$F$4+Dashboard!C$10*SQRT(Dashboard!$F$4) * _xlfn.NORM.S.INV(RAND())</f>
        <v>-1.5325598852325454E-3</v>
      </c>
      <c r="U8347" s="59">
        <f ca="1">Dashboard!D$8* Dashboard!$F$4+Dashboard!D$10*SQRT(Dashboard!$F$4) * _xlfn.NORM.S.INV(RAND())</f>
        <v>-1.1880598031734672E-3</v>
      </c>
    </row>
    <row r="8348" spans="18:21" x14ac:dyDescent="0.2">
      <c r="R8348" s="49">
        <v>8346</v>
      </c>
      <c r="S8348" s="59">
        <f ca="1">Dashboard!B$8* Dashboard!$F$4+Dashboard!B$10*SQRT(Dashboard!$F$4) * _xlfn.NORM.S.INV(RAND())</f>
        <v>8.8265738692801018E-3</v>
      </c>
      <c r="T8348" s="59">
        <f ca="1">Dashboard!C$8* Dashboard!$F$4+Dashboard!C$10*SQRT(Dashboard!$F$4) * _xlfn.NORM.S.INV(RAND())</f>
        <v>-4.8682901644286347E-2</v>
      </c>
      <c r="U8348" s="59">
        <f ca="1">Dashboard!D$8* Dashboard!$F$4+Dashboard!D$10*SQRT(Dashboard!$F$4) * _xlfn.NORM.S.INV(RAND())</f>
        <v>-1.9448572067939041E-2</v>
      </c>
    </row>
    <row r="8349" spans="18:21" x14ac:dyDescent="0.2">
      <c r="R8349" s="49">
        <v>8347</v>
      </c>
      <c r="S8349" s="59">
        <f ca="1">Dashboard!B$8* Dashboard!$F$4+Dashboard!B$10*SQRT(Dashboard!$F$4) * _xlfn.NORM.S.INV(RAND())</f>
        <v>2.2118996495552039E-2</v>
      </c>
      <c r="T8349" s="59">
        <f ca="1">Dashboard!C$8* Dashboard!$F$4+Dashboard!C$10*SQRT(Dashboard!$F$4) * _xlfn.NORM.S.INV(RAND())</f>
        <v>-4.7884136828273118E-2</v>
      </c>
      <c r="U8349" s="59">
        <f ca="1">Dashboard!D$8* Dashboard!$F$4+Dashboard!D$10*SQRT(Dashboard!$F$4) * _xlfn.NORM.S.INV(RAND())</f>
        <v>-3.4418331711216048E-3</v>
      </c>
    </row>
    <row r="8350" spans="18:21" x14ac:dyDescent="0.2">
      <c r="R8350" s="49">
        <v>8348</v>
      </c>
      <c r="S8350" s="59">
        <f ca="1">Dashboard!B$8* Dashboard!$F$4+Dashboard!B$10*SQRT(Dashboard!$F$4) * _xlfn.NORM.S.INV(RAND())</f>
        <v>-4.9350685057418919E-3</v>
      </c>
      <c r="T8350" s="59">
        <f ca="1">Dashboard!C$8* Dashboard!$F$4+Dashboard!C$10*SQRT(Dashboard!$F$4) * _xlfn.NORM.S.INV(RAND())</f>
        <v>-5.6906581785528924E-2</v>
      </c>
      <c r="U8350" s="59">
        <f ca="1">Dashboard!D$8* Dashboard!$F$4+Dashboard!D$10*SQRT(Dashboard!$F$4) * _xlfn.NORM.S.INV(RAND())</f>
        <v>4.5593903764849977E-3</v>
      </c>
    </row>
    <row r="8351" spans="18:21" x14ac:dyDescent="0.2">
      <c r="R8351" s="49">
        <v>8349</v>
      </c>
      <c r="S8351" s="59">
        <f ca="1">Dashboard!B$8* Dashboard!$F$4+Dashboard!B$10*SQRT(Dashboard!$F$4) * _xlfn.NORM.S.INV(RAND())</f>
        <v>1.0008170282895069E-2</v>
      </c>
      <c r="T8351" s="59">
        <f ca="1">Dashboard!C$8* Dashboard!$F$4+Dashboard!C$10*SQRT(Dashboard!$F$4) * _xlfn.NORM.S.INV(RAND())</f>
        <v>-8.9724542779277411E-3</v>
      </c>
      <c r="U8351" s="59">
        <f ca="1">Dashboard!D$8* Dashboard!$F$4+Dashboard!D$10*SQRT(Dashboard!$F$4) * _xlfn.NORM.S.INV(RAND())</f>
        <v>-2.4379549572859063E-2</v>
      </c>
    </row>
    <row r="8352" spans="18:21" x14ac:dyDescent="0.2">
      <c r="R8352" s="49">
        <v>8350</v>
      </c>
      <c r="S8352" s="59">
        <f ca="1">Dashboard!B$8* Dashboard!$F$4+Dashboard!B$10*SQRT(Dashboard!$F$4) * _xlfn.NORM.S.INV(RAND())</f>
        <v>-2.7793367532606396E-2</v>
      </c>
      <c r="T8352" s="59">
        <f ca="1">Dashboard!C$8* Dashboard!$F$4+Dashboard!C$10*SQRT(Dashboard!$F$4) * _xlfn.NORM.S.INV(RAND())</f>
        <v>-6.8743420764717983E-2</v>
      </c>
      <c r="U8352" s="59">
        <f ca="1">Dashboard!D$8* Dashboard!$F$4+Dashboard!D$10*SQRT(Dashboard!$F$4) * _xlfn.NORM.S.INV(RAND())</f>
        <v>5.4696115684519535E-2</v>
      </c>
    </row>
    <row r="8353" spans="18:21" x14ac:dyDescent="0.2">
      <c r="R8353" s="49">
        <v>8351</v>
      </c>
      <c r="S8353" s="59">
        <f ca="1">Dashboard!B$8* Dashboard!$F$4+Dashboard!B$10*SQRT(Dashboard!$F$4) * _xlfn.NORM.S.INV(RAND())</f>
        <v>7.5581008730760416E-2</v>
      </c>
      <c r="T8353" s="59">
        <f ca="1">Dashboard!C$8* Dashboard!$F$4+Dashboard!C$10*SQRT(Dashboard!$F$4) * _xlfn.NORM.S.INV(RAND())</f>
        <v>-7.2972758293978021E-2</v>
      </c>
      <c r="U8353" s="59">
        <f ca="1">Dashboard!D$8* Dashboard!$F$4+Dashboard!D$10*SQRT(Dashboard!$F$4) * _xlfn.NORM.S.INV(RAND())</f>
        <v>4.1596711780291723E-3</v>
      </c>
    </row>
    <row r="8354" spans="18:21" x14ac:dyDescent="0.2">
      <c r="R8354" s="49">
        <v>8352</v>
      </c>
      <c r="S8354" s="59">
        <f ca="1">Dashboard!B$8* Dashboard!$F$4+Dashboard!B$10*SQRT(Dashboard!$F$4) * _xlfn.NORM.S.INV(RAND())</f>
        <v>3.1174167966144792E-2</v>
      </c>
      <c r="T8354" s="59">
        <f ca="1">Dashboard!C$8* Dashboard!$F$4+Dashboard!C$10*SQRT(Dashboard!$F$4) * _xlfn.NORM.S.INV(RAND())</f>
        <v>1.9045769968685715E-3</v>
      </c>
      <c r="U8354" s="59">
        <f ca="1">Dashboard!D$8* Dashboard!$F$4+Dashboard!D$10*SQRT(Dashboard!$F$4) * _xlfn.NORM.S.INV(RAND())</f>
        <v>6.4855642813345139E-3</v>
      </c>
    </row>
    <row r="8355" spans="18:21" x14ac:dyDescent="0.2">
      <c r="R8355" s="49">
        <v>8353</v>
      </c>
      <c r="S8355" s="59">
        <f ca="1">Dashboard!B$8* Dashboard!$F$4+Dashboard!B$10*SQRT(Dashboard!$F$4) * _xlfn.NORM.S.INV(RAND())</f>
        <v>-2.8729382759055191E-2</v>
      </c>
      <c r="T8355" s="59">
        <f ca="1">Dashboard!C$8* Dashboard!$F$4+Dashboard!C$10*SQRT(Dashboard!$F$4) * _xlfn.NORM.S.INV(RAND())</f>
        <v>-4.4256080763118441E-3</v>
      </c>
      <c r="U8355" s="59">
        <f ca="1">Dashboard!D$8* Dashboard!$F$4+Dashboard!D$10*SQRT(Dashboard!$F$4) * _xlfn.NORM.S.INV(RAND())</f>
        <v>-1.5118469085586884E-2</v>
      </c>
    </row>
    <row r="8356" spans="18:21" x14ac:dyDescent="0.2">
      <c r="R8356" s="49">
        <v>8354</v>
      </c>
      <c r="S8356" s="59">
        <f ca="1">Dashboard!B$8* Dashboard!$F$4+Dashboard!B$10*SQRT(Dashboard!$F$4) * _xlfn.NORM.S.INV(RAND())</f>
        <v>3.2858353774443981E-2</v>
      </c>
      <c r="T8356" s="59">
        <f ca="1">Dashboard!C$8* Dashboard!$F$4+Dashboard!C$10*SQRT(Dashboard!$F$4) * _xlfn.NORM.S.INV(RAND())</f>
        <v>5.682273357438325E-2</v>
      </c>
      <c r="U8356" s="59">
        <f ca="1">Dashboard!D$8* Dashboard!$F$4+Dashboard!D$10*SQRT(Dashboard!$F$4) * _xlfn.NORM.S.INV(RAND())</f>
        <v>3.8031430783755864E-2</v>
      </c>
    </row>
    <row r="8357" spans="18:21" x14ac:dyDescent="0.2">
      <c r="R8357" s="49">
        <v>8355</v>
      </c>
      <c r="S8357" s="59">
        <f ca="1">Dashboard!B$8* Dashboard!$F$4+Dashboard!B$10*SQRT(Dashboard!$F$4) * _xlfn.NORM.S.INV(RAND())</f>
        <v>-8.2882110195138539E-2</v>
      </c>
      <c r="T8357" s="59">
        <f ca="1">Dashboard!C$8* Dashboard!$F$4+Dashboard!C$10*SQRT(Dashboard!$F$4) * _xlfn.NORM.S.INV(RAND())</f>
        <v>7.8230795291276602E-3</v>
      </c>
      <c r="U8357" s="59">
        <f ca="1">Dashboard!D$8* Dashboard!$F$4+Dashboard!D$10*SQRT(Dashboard!$F$4) * _xlfn.NORM.S.INV(RAND())</f>
        <v>-1.8700621441487132E-2</v>
      </c>
    </row>
    <row r="8358" spans="18:21" x14ac:dyDescent="0.2">
      <c r="R8358" s="49">
        <v>8356</v>
      </c>
      <c r="S8358" s="59">
        <f ca="1">Dashboard!B$8* Dashboard!$F$4+Dashboard!B$10*SQRT(Dashboard!$F$4) * _xlfn.NORM.S.INV(RAND())</f>
        <v>3.305922928224253E-2</v>
      </c>
      <c r="T8358" s="59">
        <f ca="1">Dashboard!C$8* Dashboard!$F$4+Dashboard!C$10*SQRT(Dashboard!$F$4) * _xlfn.NORM.S.INV(RAND())</f>
        <v>1.0141007240160992E-2</v>
      </c>
      <c r="U8358" s="59">
        <f ca="1">Dashboard!D$8* Dashboard!$F$4+Dashboard!D$10*SQRT(Dashboard!$F$4) * _xlfn.NORM.S.INV(RAND())</f>
        <v>-3.4034160544863683E-2</v>
      </c>
    </row>
    <row r="8359" spans="18:21" x14ac:dyDescent="0.2">
      <c r="R8359" s="49">
        <v>8357</v>
      </c>
      <c r="S8359" s="59">
        <f ca="1">Dashboard!B$8* Dashboard!$F$4+Dashboard!B$10*SQRT(Dashboard!$F$4) * _xlfn.NORM.S.INV(RAND())</f>
        <v>-2.0990189369849803E-2</v>
      </c>
      <c r="T8359" s="59">
        <f ca="1">Dashboard!C$8* Dashboard!$F$4+Dashboard!C$10*SQRT(Dashboard!$F$4) * _xlfn.NORM.S.INV(RAND())</f>
        <v>-2.258278038606451E-2</v>
      </c>
      <c r="U8359" s="59">
        <f ca="1">Dashboard!D$8* Dashboard!$F$4+Dashboard!D$10*SQRT(Dashboard!$F$4) * _xlfn.NORM.S.INV(RAND())</f>
        <v>-1.8517543681093925E-2</v>
      </c>
    </row>
    <row r="8360" spans="18:21" x14ac:dyDescent="0.2">
      <c r="R8360" s="49">
        <v>8358</v>
      </c>
      <c r="S8360" s="59">
        <f ca="1">Dashboard!B$8* Dashboard!$F$4+Dashboard!B$10*SQRT(Dashboard!$F$4) * _xlfn.NORM.S.INV(RAND())</f>
        <v>-1.9057132638894449E-2</v>
      </c>
      <c r="T8360" s="59">
        <f ca="1">Dashboard!C$8* Dashboard!$F$4+Dashboard!C$10*SQRT(Dashboard!$F$4) * _xlfn.NORM.S.INV(RAND())</f>
        <v>-6.4670561807993424E-2</v>
      </c>
      <c r="U8360" s="59">
        <f ca="1">Dashboard!D$8* Dashboard!$F$4+Dashboard!D$10*SQRT(Dashboard!$F$4) * _xlfn.NORM.S.INV(RAND())</f>
        <v>-1.7980272975193005E-2</v>
      </c>
    </row>
    <row r="8361" spans="18:21" x14ac:dyDescent="0.2">
      <c r="R8361" s="49">
        <v>8359</v>
      </c>
      <c r="S8361" s="59">
        <f ca="1">Dashboard!B$8* Dashboard!$F$4+Dashboard!B$10*SQRT(Dashboard!$F$4) * _xlfn.NORM.S.INV(RAND())</f>
        <v>-5.507220718055577E-3</v>
      </c>
      <c r="T8361" s="59">
        <f ca="1">Dashboard!C$8* Dashboard!$F$4+Dashboard!C$10*SQRT(Dashboard!$F$4) * _xlfn.NORM.S.INV(RAND())</f>
        <v>2.3551091946366263E-2</v>
      </c>
      <c r="U8361" s="59">
        <f ca="1">Dashboard!D$8* Dashboard!$F$4+Dashboard!D$10*SQRT(Dashboard!$F$4) * _xlfn.NORM.S.INV(RAND())</f>
        <v>-3.4734866664254372E-4</v>
      </c>
    </row>
    <row r="8362" spans="18:21" x14ac:dyDescent="0.2">
      <c r="R8362" s="49">
        <v>8360</v>
      </c>
      <c r="S8362" s="59">
        <f ca="1">Dashboard!B$8* Dashboard!$F$4+Dashboard!B$10*SQRT(Dashboard!$F$4) * _xlfn.NORM.S.INV(RAND())</f>
        <v>5.9961797307406493E-3</v>
      </c>
      <c r="T8362" s="59">
        <f ca="1">Dashboard!C$8* Dashboard!$F$4+Dashboard!C$10*SQRT(Dashboard!$F$4) * _xlfn.NORM.S.INV(RAND())</f>
        <v>4.9304569115551602E-2</v>
      </c>
      <c r="U8362" s="59">
        <f ca="1">Dashboard!D$8* Dashboard!$F$4+Dashboard!D$10*SQRT(Dashboard!$F$4) * _xlfn.NORM.S.INV(RAND())</f>
        <v>-1.7174674876028502E-4</v>
      </c>
    </row>
    <row r="8363" spans="18:21" x14ac:dyDescent="0.2">
      <c r="R8363" s="49">
        <v>8361</v>
      </c>
      <c r="S8363" s="59">
        <f ca="1">Dashboard!B$8* Dashboard!$F$4+Dashboard!B$10*SQRT(Dashboard!$F$4) * _xlfn.NORM.S.INV(RAND())</f>
        <v>3.4006450797310205E-2</v>
      </c>
      <c r="T8363" s="59">
        <f ca="1">Dashboard!C$8* Dashboard!$F$4+Dashboard!C$10*SQRT(Dashboard!$F$4) * _xlfn.NORM.S.INV(RAND())</f>
        <v>1.7159259460822984E-2</v>
      </c>
      <c r="U8363" s="59">
        <f ca="1">Dashboard!D$8* Dashboard!$F$4+Dashboard!D$10*SQRT(Dashboard!$F$4) * _xlfn.NORM.S.INV(RAND())</f>
        <v>-9.2522132182347658E-3</v>
      </c>
    </row>
    <row r="8364" spans="18:21" x14ac:dyDescent="0.2">
      <c r="R8364" s="49">
        <v>8362</v>
      </c>
      <c r="S8364" s="59">
        <f ca="1">Dashboard!B$8* Dashboard!$F$4+Dashboard!B$10*SQRT(Dashboard!$F$4) * _xlfn.NORM.S.INV(RAND())</f>
        <v>-2.362940990057371E-2</v>
      </c>
      <c r="T8364" s="59">
        <f ca="1">Dashboard!C$8* Dashboard!$F$4+Dashboard!C$10*SQRT(Dashboard!$F$4) * _xlfn.NORM.S.INV(RAND())</f>
        <v>-2.5941453117296991E-2</v>
      </c>
      <c r="U8364" s="59">
        <f ca="1">Dashboard!D$8* Dashboard!$F$4+Dashboard!D$10*SQRT(Dashboard!$F$4) * _xlfn.NORM.S.INV(RAND())</f>
        <v>1.2115651560852278E-2</v>
      </c>
    </row>
    <row r="8365" spans="18:21" x14ac:dyDescent="0.2">
      <c r="R8365" s="49">
        <v>8363</v>
      </c>
      <c r="S8365" s="59">
        <f ca="1">Dashboard!B$8* Dashboard!$F$4+Dashboard!B$10*SQRT(Dashboard!$F$4) * _xlfn.NORM.S.INV(RAND())</f>
        <v>-7.0296724915592787E-2</v>
      </c>
      <c r="T8365" s="59">
        <f ca="1">Dashboard!C$8* Dashboard!$F$4+Dashboard!C$10*SQRT(Dashboard!$F$4) * _xlfn.NORM.S.INV(RAND())</f>
        <v>7.7236327511406144E-3</v>
      </c>
      <c r="U8365" s="59">
        <f ca="1">Dashboard!D$8* Dashboard!$F$4+Dashboard!D$10*SQRT(Dashboard!$F$4) * _xlfn.NORM.S.INV(RAND())</f>
        <v>6.6279009236756342E-3</v>
      </c>
    </row>
    <row r="8366" spans="18:21" x14ac:dyDescent="0.2">
      <c r="R8366" s="49">
        <v>8364</v>
      </c>
      <c r="S8366" s="59">
        <f ca="1">Dashboard!B$8* Dashboard!$F$4+Dashboard!B$10*SQRT(Dashboard!$F$4) * _xlfn.NORM.S.INV(RAND())</f>
        <v>-1.5238483891423972E-2</v>
      </c>
      <c r="T8366" s="59">
        <f ca="1">Dashboard!C$8* Dashboard!$F$4+Dashboard!C$10*SQRT(Dashboard!$F$4) * _xlfn.NORM.S.INV(RAND())</f>
        <v>3.7822819286816071E-2</v>
      </c>
      <c r="U8366" s="59">
        <f ca="1">Dashboard!D$8* Dashboard!$F$4+Dashboard!D$10*SQRT(Dashboard!$F$4) * _xlfn.NORM.S.INV(RAND())</f>
        <v>1.2748415147596268E-2</v>
      </c>
    </row>
    <row r="8367" spans="18:21" x14ac:dyDescent="0.2">
      <c r="R8367" s="49">
        <v>8365</v>
      </c>
      <c r="S8367" s="59">
        <f ca="1">Dashboard!B$8* Dashboard!$F$4+Dashboard!B$10*SQRT(Dashboard!$F$4) * _xlfn.NORM.S.INV(RAND())</f>
        <v>7.7469726653545429E-2</v>
      </c>
      <c r="T8367" s="59">
        <f ca="1">Dashboard!C$8* Dashboard!$F$4+Dashboard!C$10*SQRT(Dashboard!$F$4) * _xlfn.NORM.S.INV(RAND())</f>
        <v>3.6591901936990773E-2</v>
      </c>
      <c r="U8367" s="59">
        <f ca="1">Dashboard!D$8* Dashboard!$F$4+Dashboard!D$10*SQRT(Dashboard!$F$4) * _xlfn.NORM.S.INV(RAND())</f>
        <v>3.1658283961578063E-2</v>
      </c>
    </row>
    <row r="8368" spans="18:21" x14ac:dyDescent="0.2">
      <c r="R8368" s="49">
        <v>8366</v>
      </c>
      <c r="S8368" s="59">
        <f ca="1">Dashboard!B$8* Dashboard!$F$4+Dashboard!B$10*SQRT(Dashboard!$F$4) * _xlfn.NORM.S.INV(RAND())</f>
        <v>-1.2539583584179009E-2</v>
      </c>
      <c r="T8368" s="59">
        <f ca="1">Dashboard!C$8* Dashboard!$F$4+Dashboard!C$10*SQRT(Dashboard!$F$4) * _xlfn.NORM.S.INV(RAND())</f>
        <v>-8.6575096581272722E-3</v>
      </c>
      <c r="U8368" s="59">
        <f ca="1">Dashboard!D$8* Dashboard!$F$4+Dashboard!D$10*SQRT(Dashboard!$F$4) * _xlfn.NORM.S.INV(RAND())</f>
        <v>2.7285586533906264E-2</v>
      </c>
    </row>
    <row r="8369" spans="18:21" x14ac:dyDescent="0.2">
      <c r="R8369" s="49">
        <v>8367</v>
      </c>
      <c r="S8369" s="59">
        <f ca="1">Dashboard!B$8* Dashboard!$F$4+Dashboard!B$10*SQRT(Dashboard!$F$4) * _xlfn.NORM.S.INV(RAND())</f>
        <v>-9.2796143854972743E-2</v>
      </c>
      <c r="T8369" s="59">
        <f ca="1">Dashboard!C$8* Dashboard!$F$4+Dashboard!C$10*SQRT(Dashboard!$F$4) * _xlfn.NORM.S.INV(RAND())</f>
        <v>1.7677613328634153E-2</v>
      </c>
      <c r="U8369" s="59">
        <f ca="1">Dashboard!D$8* Dashboard!$F$4+Dashboard!D$10*SQRT(Dashboard!$F$4) * _xlfn.NORM.S.INV(RAND())</f>
        <v>2.8427216581828781E-2</v>
      </c>
    </row>
    <row r="8370" spans="18:21" x14ac:dyDescent="0.2">
      <c r="R8370" s="49">
        <v>8368</v>
      </c>
      <c r="S8370" s="59">
        <f ca="1">Dashboard!B$8* Dashboard!$F$4+Dashboard!B$10*SQRT(Dashboard!$F$4) * _xlfn.NORM.S.INV(RAND())</f>
        <v>1.7169879887508066E-2</v>
      </c>
      <c r="T8370" s="59">
        <f ca="1">Dashboard!C$8* Dashboard!$F$4+Dashboard!C$10*SQRT(Dashboard!$F$4) * _xlfn.NORM.S.INV(RAND())</f>
        <v>2.8813834528993377E-2</v>
      </c>
      <c r="U8370" s="59">
        <f ca="1">Dashboard!D$8* Dashboard!$F$4+Dashboard!D$10*SQRT(Dashboard!$F$4) * _xlfn.NORM.S.INV(RAND())</f>
        <v>-2.2810097860855322E-2</v>
      </c>
    </row>
    <row r="8371" spans="18:21" x14ac:dyDescent="0.2">
      <c r="R8371" s="49">
        <v>8369</v>
      </c>
      <c r="S8371" s="59">
        <f ca="1">Dashboard!B$8* Dashboard!$F$4+Dashboard!B$10*SQRT(Dashboard!$F$4) * _xlfn.NORM.S.INV(RAND())</f>
        <v>1.9799338419760719E-2</v>
      </c>
      <c r="T8371" s="59">
        <f ca="1">Dashboard!C$8* Dashboard!$F$4+Dashboard!C$10*SQRT(Dashboard!$F$4) * _xlfn.NORM.S.INV(RAND())</f>
        <v>7.5171934460905466E-3</v>
      </c>
      <c r="U8371" s="59">
        <f ca="1">Dashboard!D$8* Dashboard!$F$4+Dashboard!D$10*SQRT(Dashboard!$F$4) * _xlfn.NORM.S.INV(RAND())</f>
        <v>4.4274962914987413E-2</v>
      </c>
    </row>
    <row r="8372" spans="18:21" x14ac:dyDescent="0.2">
      <c r="R8372" s="49">
        <v>8370</v>
      </c>
      <c r="S8372" s="59">
        <f ca="1">Dashboard!B$8* Dashboard!$F$4+Dashboard!B$10*SQRT(Dashboard!$F$4) * _xlfn.NORM.S.INV(RAND())</f>
        <v>3.2817668748410259E-2</v>
      </c>
      <c r="T8372" s="59">
        <f ca="1">Dashboard!C$8* Dashboard!$F$4+Dashboard!C$10*SQRT(Dashboard!$F$4) * _xlfn.NORM.S.INV(RAND())</f>
        <v>-4.06432623692978E-2</v>
      </c>
      <c r="U8372" s="59">
        <f ca="1">Dashboard!D$8* Dashboard!$F$4+Dashboard!D$10*SQRT(Dashboard!$F$4) * _xlfn.NORM.S.INV(RAND())</f>
        <v>-3.6571400667343591E-3</v>
      </c>
    </row>
    <row r="8373" spans="18:21" x14ac:dyDescent="0.2">
      <c r="R8373" s="49">
        <v>8371</v>
      </c>
      <c r="S8373" s="59">
        <f ca="1">Dashboard!B$8* Dashboard!$F$4+Dashboard!B$10*SQRT(Dashboard!$F$4) * _xlfn.NORM.S.INV(RAND())</f>
        <v>-1.8904636575385773E-2</v>
      </c>
      <c r="T8373" s="59">
        <f ca="1">Dashboard!C$8* Dashboard!$F$4+Dashboard!C$10*SQRT(Dashboard!$F$4) * _xlfn.NORM.S.INV(RAND())</f>
        <v>-5.3402777238724393E-2</v>
      </c>
      <c r="U8373" s="59">
        <f ca="1">Dashboard!D$8* Dashboard!$F$4+Dashboard!D$10*SQRT(Dashboard!$F$4) * _xlfn.NORM.S.INV(RAND())</f>
        <v>3.6305495302260564E-2</v>
      </c>
    </row>
    <row r="8374" spans="18:21" x14ac:dyDescent="0.2">
      <c r="R8374" s="49">
        <v>8372</v>
      </c>
      <c r="S8374" s="59">
        <f ca="1">Dashboard!B$8* Dashboard!$F$4+Dashboard!B$10*SQRT(Dashboard!$F$4) * _xlfn.NORM.S.INV(RAND())</f>
        <v>-9.3209246824442352E-4</v>
      </c>
      <c r="T8374" s="59">
        <f ca="1">Dashboard!C$8* Dashboard!$F$4+Dashboard!C$10*SQRT(Dashboard!$F$4) * _xlfn.NORM.S.INV(RAND())</f>
        <v>3.3526458621668073E-2</v>
      </c>
      <c r="U8374" s="59">
        <f ca="1">Dashboard!D$8* Dashboard!$F$4+Dashboard!D$10*SQRT(Dashboard!$F$4) * _xlfn.NORM.S.INV(RAND())</f>
        <v>4.6895648876324213E-2</v>
      </c>
    </row>
    <row r="8375" spans="18:21" x14ac:dyDescent="0.2">
      <c r="R8375" s="49">
        <v>8373</v>
      </c>
      <c r="S8375" s="59">
        <f ca="1">Dashboard!B$8* Dashboard!$F$4+Dashboard!B$10*SQRT(Dashboard!$F$4) * _xlfn.NORM.S.INV(RAND())</f>
        <v>-1.1221879536308798E-2</v>
      </c>
      <c r="T8375" s="59">
        <f ca="1">Dashboard!C$8* Dashboard!$F$4+Dashboard!C$10*SQRT(Dashboard!$F$4) * _xlfn.NORM.S.INV(RAND())</f>
        <v>3.6403134038788559E-2</v>
      </c>
      <c r="U8375" s="59">
        <f ca="1">Dashboard!D$8* Dashboard!$F$4+Dashboard!D$10*SQRT(Dashboard!$F$4) * _xlfn.NORM.S.INV(RAND())</f>
        <v>1.9011635328005056E-2</v>
      </c>
    </row>
    <row r="8376" spans="18:21" x14ac:dyDescent="0.2">
      <c r="R8376" s="49">
        <v>8374</v>
      </c>
      <c r="S8376" s="59">
        <f ca="1">Dashboard!B$8* Dashboard!$F$4+Dashboard!B$10*SQRT(Dashboard!$F$4) * _xlfn.NORM.S.INV(RAND())</f>
        <v>5.0809972730641653E-2</v>
      </c>
      <c r="T8376" s="59">
        <f ca="1">Dashboard!C$8* Dashboard!$F$4+Dashboard!C$10*SQRT(Dashboard!$F$4) * _xlfn.NORM.S.INV(RAND())</f>
        <v>2.7582548635813899E-3</v>
      </c>
      <c r="U8376" s="59">
        <f ca="1">Dashboard!D$8* Dashboard!$F$4+Dashboard!D$10*SQRT(Dashboard!$F$4) * _xlfn.NORM.S.INV(RAND())</f>
        <v>1.808239076633459E-2</v>
      </c>
    </row>
    <row r="8377" spans="18:21" x14ac:dyDescent="0.2">
      <c r="R8377" s="49">
        <v>8375</v>
      </c>
      <c r="S8377" s="59">
        <f ca="1">Dashboard!B$8* Dashboard!$F$4+Dashboard!B$10*SQRT(Dashboard!$F$4) * _xlfn.NORM.S.INV(RAND())</f>
        <v>-1.7143291172164864E-2</v>
      </c>
      <c r="T8377" s="59">
        <f ca="1">Dashboard!C$8* Dashboard!$F$4+Dashboard!C$10*SQRT(Dashboard!$F$4) * _xlfn.NORM.S.INV(RAND())</f>
        <v>-1.0373890668352568E-2</v>
      </c>
      <c r="U8377" s="59">
        <f ca="1">Dashboard!D$8* Dashboard!$F$4+Dashboard!D$10*SQRT(Dashboard!$F$4) * _xlfn.NORM.S.INV(RAND())</f>
        <v>1.7370278333606735E-2</v>
      </c>
    </row>
    <row r="8378" spans="18:21" x14ac:dyDescent="0.2">
      <c r="R8378" s="49">
        <v>8376</v>
      </c>
      <c r="S8378" s="59">
        <f ca="1">Dashboard!B$8* Dashboard!$F$4+Dashboard!B$10*SQRT(Dashboard!$F$4) * _xlfn.NORM.S.INV(RAND())</f>
        <v>1.3740584519865802E-2</v>
      </c>
      <c r="T8378" s="59">
        <f ca="1">Dashboard!C$8* Dashboard!$F$4+Dashboard!C$10*SQRT(Dashboard!$F$4) * _xlfn.NORM.S.INV(RAND())</f>
        <v>5.8692679578285202E-2</v>
      </c>
      <c r="U8378" s="59">
        <f ca="1">Dashboard!D$8* Dashboard!$F$4+Dashboard!D$10*SQRT(Dashboard!$F$4) * _xlfn.NORM.S.INV(RAND())</f>
        <v>-3.6510960611765928E-3</v>
      </c>
    </row>
    <row r="8379" spans="18:21" x14ac:dyDescent="0.2">
      <c r="R8379" s="49">
        <v>8377</v>
      </c>
      <c r="S8379" s="59">
        <f ca="1">Dashboard!B$8* Dashboard!$F$4+Dashboard!B$10*SQRT(Dashboard!$F$4) * _xlfn.NORM.S.INV(RAND())</f>
        <v>5.4769279175107155E-2</v>
      </c>
      <c r="T8379" s="59">
        <f ca="1">Dashboard!C$8* Dashboard!$F$4+Dashboard!C$10*SQRT(Dashboard!$F$4) * _xlfn.NORM.S.INV(RAND())</f>
        <v>-2.0612965936784505E-2</v>
      </c>
      <c r="U8379" s="59">
        <f ca="1">Dashboard!D$8* Dashboard!$F$4+Dashboard!D$10*SQRT(Dashboard!$F$4) * _xlfn.NORM.S.INV(RAND())</f>
        <v>-5.136854061801864E-2</v>
      </c>
    </row>
    <row r="8380" spans="18:21" x14ac:dyDescent="0.2">
      <c r="R8380" s="49">
        <v>8378</v>
      </c>
      <c r="S8380" s="59">
        <f ca="1">Dashboard!B$8* Dashboard!$F$4+Dashboard!B$10*SQRT(Dashboard!$F$4) * _xlfn.NORM.S.INV(RAND())</f>
        <v>-2.2552758644385495E-2</v>
      </c>
      <c r="T8380" s="59">
        <f ca="1">Dashboard!C$8* Dashboard!$F$4+Dashboard!C$10*SQRT(Dashboard!$F$4) * _xlfn.NORM.S.INV(RAND())</f>
        <v>-1.5751291629270841E-2</v>
      </c>
      <c r="U8380" s="59">
        <f ca="1">Dashboard!D$8* Dashboard!$F$4+Dashboard!D$10*SQRT(Dashboard!$F$4) * _xlfn.NORM.S.INV(RAND())</f>
        <v>1.0066034048189119E-2</v>
      </c>
    </row>
    <row r="8381" spans="18:21" x14ac:dyDescent="0.2">
      <c r="R8381" s="49">
        <v>8379</v>
      </c>
      <c r="S8381" s="59">
        <f ca="1">Dashboard!B$8* Dashboard!$F$4+Dashboard!B$10*SQRT(Dashboard!$F$4) * _xlfn.NORM.S.INV(RAND())</f>
        <v>-2.6350236267472425E-2</v>
      </c>
      <c r="T8381" s="59">
        <f ca="1">Dashboard!C$8* Dashboard!$F$4+Dashboard!C$10*SQRT(Dashboard!$F$4) * _xlfn.NORM.S.INV(RAND())</f>
        <v>1.8661829182461301E-2</v>
      </c>
      <c r="U8381" s="59">
        <f ca="1">Dashboard!D$8* Dashboard!$F$4+Dashboard!D$10*SQRT(Dashboard!$F$4) * _xlfn.NORM.S.INV(RAND())</f>
        <v>-1.4927844457827784E-2</v>
      </c>
    </row>
    <row r="8382" spans="18:21" x14ac:dyDescent="0.2">
      <c r="R8382" s="49">
        <v>8380</v>
      </c>
      <c r="S8382" s="59">
        <f ca="1">Dashboard!B$8* Dashboard!$F$4+Dashboard!B$10*SQRT(Dashboard!$F$4) * _xlfn.NORM.S.INV(RAND())</f>
        <v>3.9318702842021255E-2</v>
      </c>
      <c r="T8382" s="59">
        <f ca="1">Dashboard!C$8* Dashboard!$F$4+Dashboard!C$10*SQRT(Dashboard!$F$4) * _xlfn.NORM.S.INV(RAND())</f>
        <v>4.2120923365019741E-2</v>
      </c>
      <c r="U8382" s="59">
        <f ca="1">Dashboard!D$8* Dashboard!$F$4+Dashboard!D$10*SQRT(Dashboard!$F$4) * _xlfn.NORM.S.INV(RAND())</f>
        <v>-1.0144830971708662E-2</v>
      </c>
    </row>
    <row r="8383" spans="18:21" x14ac:dyDescent="0.2">
      <c r="R8383" s="49">
        <v>8381</v>
      </c>
      <c r="S8383" s="59">
        <f ca="1">Dashboard!B$8* Dashboard!$F$4+Dashboard!B$10*SQRT(Dashboard!$F$4) * _xlfn.NORM.S.INV(RAND())</f>
        <v>4.0647810962231863E-2</v>
      </c>
      <c r="T8383" s="59">
        <f ca="1">Dashboard!C$8* Dashboard!$F$4+Dashboard!C$10*SQRT(Dashboard!$F$4) * _xlfn.NORM.S.INV(RAND())</f>
        <v>-4.4671498841978713E-2</v>
      </c>
      <c r="U8383" s="59">
        <f ca="1">Dashboard!D$8* Dashboard!$F$4+Dashboard!D$10*SQRT(Dashboard!$F$4) * _xlfn.NORM.S.INV(RAND())</f>
        <v>-1.9441986829508082E-2</v>
      </c>
    </row>
    <row r="8384" spans="18:21" x14ac:dyDescent="0.2">
      <c r="R8384" s="49">
        <v>8382</v>
      </c>
      <c r="S8384" s="59">
        <f ca="1">Dashboard!B$8* Dashboard!$F$4+Dashboard!B$10*SQRT(Dashboard!$F$4) * _xlfn.NORM.S.INV(RAND())</f>
        <v>4.0954996751906336E-2</v>
      </c>
      <c r="T8384" s="59">
        <f ca="1">Dashboard!C$8* Dashboard!$F$4+Dashboard!C$10*SQRT(Dashboard!$F$4) * _xlfn.NORM.S.INV(RAND())</f>
        <v>9.6656096820342298E-3</v>
      </c>
      <c r="U8384" s="59">
        <f ca="1">Dashboard!D$8* Dashboard!$F$4+Dashboard!D$10*SQRT(Dashboard!$F$4) * _xlfn.NORM.S.INV(RAND())</f>
        <v>4.0133500989434689E-2</v>
      </c>
    </row>
    <row r="8385" spans="18:21" x14ac:dyDescent="0.2">
      <c r="R8385" s="49">
        <v>8383</v>
      </c>
      <c r="S8385" s="59">
        <f ca="1">Dashboard!B$8* Dashboard!$F$4+Dashboard!B$10*SQRT(Dashboard!$F$4) * _xlfn.NORM.S.INV(RAND())</f>
        <v>-3.7007658514184583E-2</v>
      </c>
      <c r="T8385" s="59">
        <f ca="1">Dashboard!C$8* Dashboard!$F$4+Dashboard!C$10*SQRT(Dashboard!$F$4) * _xlfn.NORM.S.INV(RAND())</f>
        <v>-1.8870673692567827E-2</v>
      </c>
      <c r="U8385" s="59">
        <f ca="1">Dashboard!D$8* Dashboard!$F$4+Dashboard!D$10*SQRT(Dashboard!$F$4) * _xlfn.NORM.S.INV(RAND())</f>
        <v>-6.7890079511022565E-3</v>
      </c>
    </row>
    <row r="8386" spans="18:21" x14ac:dyDescent="0.2">
      <c r="R8386" s="49">
        <v>8384</v>
      </c>
      <c r="S8386" s="59">
        <f ca="1">Dashboard!B$8* Dashboard!$F$4+Dashboard!B$10*SQRT(Dashboard!$F$4) * _xlfn.NORM.S.INV(RAND())</f>
        <v>5.2501981164161479E-2</v>
      </c>
      <c r="T8386" s="59">
        <f ca="1">Dashboard!C$8* Dashboard!$F$4+Dashboard!C$10*SQRT(Dashboard!$F$4) * _xlfn.NORM.S.INV(RAND())</f>
        <v>-5.4618014224663567E-3</v>
      </c>
      <c r="U8386" s="59">
        <f ca="1">Dashboard!D$8* Dashboard!$F$4+Dashboard!D$10*SQRT(Dashboard!$F$4) * _xlfn.NORM.S.INV(RAND())</f>
        <v>5.5359727231432648E-2</v>
      </c>
    </row>
    <row r="8387" spans="18:21" x14ac:dyDescent="0.2">
      <c r="R8387" s="49">
        <v>8385</v>
      </c>
      <c r="S8387" s="59">
        <f ca="1">Dashboard!B$8* Dashboard!$F$4+Dashboard!B$10*SQRT(Dashboard!$F$4) * _xlfn.NORM.S.INV(RAND())</f>
        <v>5.9712601108656851E-2</v>
      </c>
      <c r="T8387" s="59">
        <f ca="1">Dashboard!C$8* Dashboard!$F$4+Dashboard!C$10*SQRT(Dashboard!$F$4) * _xlfn.NORM.S.INV(RAND())</f>
        <v>-1.9377057739947776E-2</v>
      </c>
      <c r="U8387" s="59">
        <f ca="1">Dashboard!D$8* Dashboard!$F$4+Dashboard!D$10*SQRT(Dashboard!$F$4) * _xlfn.NORM.S.INV(RAND())</f>
        <v>5.2890218992120923E-2</v>
      </c>
    </row>
    <row r="8388" spans="18:21" x14ac:dyDescent="0.2">
      <c r="R8388" s="49">
        <v>8386</v>
      </c>
      <c r="S8388" s="59">
        <f ca="1">Dashboard!B$8* Dashboard!$F$4+Dashboard!B$10*SQRT(Dashboard!$F$4) * _xlfn.NORM.S.INV(RAND())</f>
        <v>-8.1255202064596417E-3</v>
      </c>
      <c r="T8388" s="59">
        <f ca="1">Dashboard!C$8* Dashboard!$F$4+Dashboard!C$10*SQRT(Dashboard!$F$4) * _xlfn.NORM.S.INV(RAND())</f>
        <v>-9.997526535617543E-3</v>
      </c>
      <c r="U8388" s="59">
        <f ca="1">Dashboard!D$8* Dashboard!$F$4+Dashboard!D$10*SQRT(Dashboard!$F$4) * _xlfn.NORM.S.INV(RAND())</f>
        <v>1.2129298774156999E-2</v>
      </c>
    </row>
    <row r="8389" spans="18:21" x14ac:dyDescent="0.2">
      <c r="R8389" s="49">
        <v>8387</v>
      </c>
      <c r="S8389" s="59">
        <f ca="1">Dashboard!B$8* Dashboard!$F$4+Dashboard!B$10*SQRT(Dashboard!$F$4) * _xlfn.NORM.S.INV(RAND())</f>
        <v>-3.8239875785021415E-2</v>
      </c>
      <c r="T8389" s="59">
        <f ca="1">Dashboard!C$8* Dashboard!$F$4+Dashboard!C$10*SQRT(Dashboard!$F$4) * _xlfn.NORM.S.INV(RAND())</f>
        <v>-3.4879387691574185E-2</v>
      </c>
      <c r="U8389" s="59">
        <f ca="1">Dashboard!D$8* Dashboard!$F$4+Dashboard!D$10*SQRT(Dashboard!$F$4) * _xlfn.NORM.S.INV(RAND())</f>
        <v>-1.8870500034584816E-2</v>
      </c>
    </row>
    <row r="8390" spans="18:21" x14ac:dyDescent="0.2">
      <c r="R8390" s="49">
        <v>8388</v>
      </c>
      <c r="S8390" s="59">
        <f ca="1">Dashboard!B$8* Dashboard!$F$4+Dashboard!B$10*SQRT(Dashboard!$F$4) * _xlfn.NORM.S.INV(RAND())</f>
        <v>1.4861145574104185E-2</v>
      </c>
      <c r="T8390" s="59">
        <f ca="1">Dashboard!C$8* Dashboard!$F$4+Dashboard!C$10*SQRT(Dashboard!$F$4) * _xlfn.NORM.S.INV(RAND())</f>
        <v>3.569898164844864E-2</v>
      </c>
      <c r="U8390" s="59">
        <f ca="1">Dashboard!D$8* Dashboard!$F$4+Dashboard!D$10*SQRT(Dashboard!$F$4) * _xlfn.NORM.S.INV(RAND())</f>
        <v>-3.9568053685425174E-2</v>
      </c>
    </row>
    <row r="8391" spans="18:21" x14ac:dyDescent="0.2">
      <c r="R8391" s="49">
        <v>8389</v>
      </c>
      <c r="S8391" s="59">
        <f ca="1">Dashboard!B$8* Dashboard!$F$4+Dashboard!B$10*SQRT(Dashboard!$F$4) * _xlfn.NORM.S.INV(RAND())</f>
        <v>5.4760969490831923E-2</v>
      </c>
      <c r="T8391" s="59">
        <f ca="1">Dashboard!C$8* Dashboard!$F$4+Dashboard!C$10*SQRT(Dashboard!$F$4) * _xlfn.NORM.S.INV(RAND())</f>
        <v>1.7587735419729408E-2</v>
      </c>
      <c r="U8391" s="59">
        <f ca="1">Dashboard!D$8* Dashboard!$F$4+Dashboard!D$10*SQRT(Dashboard!$F$4) * _xlfn.NORM.S.INV(RAND())</f>
        <v>1.1418198931171079E-2</v>
      </c>
    </row>
    <row r="8392" spans="18:21" x14ac:dyDescent="0.2">
      <c r="R8392" s="49">
        <v>8390</v>
      </c>
      <c r="S8392" s="59">
        <f ca="1">Dashboard!B$8* Dashboard!$F$4+Dashboard!B$10*SQRT(Dashboard!$F$4) * _xlfn.NORM.S.INV(RAND())</f>
        <v>-3.50046385421066E-2</v>
      </c>
      <c r="T8392" s="59">
        <f ca="1">Dashboard!C$8* Dashboard!$F$4+Dashboard!C$10*SQRT(Dashboard!$F$4) * _xlfn.NORM.S.INV(RAND())</f>
        <v>-4.6657895552270753E-3</v>
      </c>
      <c r="U8392" s="59">
        <f ca="1">Dashboard!D$8* Dashboard!$F$4+Dashboard!D$10*SQRT(Dashboard!$F$4) * _xlfn.NORM.S.INV(RAND())</f>
        <v>-4.6277735295974076E-3</v>
      </c>
    </row>
    <row r="8393" spans="18:21" x14ac:dyDescent="0.2">
      <c r="R8393" s="49">
        <v>8391</v>
      </c>
      <c r="S8393" s="59">
        <f ca="1">Dashboard!B$8* Dashboard!$F$4+Dashboard!B$10*SQRT(Dashboard!$F$4) * _xlfn.NORM.S.INV(RAND())</f>
        <v>1.4871623225087472E-2</v>
      </c>
      <c r="T8393" s="59">
        <f ca="1">Dashboard!C$8* Dashboard!$F$4+Dashboard!C$10*SQRT(Dashboard!$F$4) * _xlfn.NORM.S.INV(RAND())</f>
        <v>-5.3438767978154701E-2</v>
      </c>
      <c r="U8393" s="59">
        <f ca="1">Dashboard!D$8* Dashboard!$F$4+Dashboard!D$10*SQRT(Dashboard!$F$4) * _xlfn.NORM.S.INV(RAND())</f>
        <v>-2.7148255621636943E-2</v>
      </c>
    </row>
    <row r="8394" spans="18:21" x14ac:dyDescent="0.2">
      <c r="R8394" s="49">
        <v>8392</v>
      </c>
      <c r="S8394" s="59">
        <f ca="1">Dashboard!B$8* Dashboard!$F$4+Dashboard!B$10*SQRT(Dashboard!$F$4) * _xlfn.NORM.S.INV(RAND())</f>
        <v>-3.3367496228183378E-2</v>
      </c>
      <c r="T8394" s="59">
        <f ca="1">Dashboard!C$8* Dashboard!$F$4+Dashboard!C$10*SQRT(Dashboard!$F$4) * _xlfn.NORM.S.INV(RAND())</f>
        <v>5.5296314714623367E-2</v>
      </c>
      <c r="U8394" s="59">
        <f ca="1">Dashboard!D$8* Dashboard!$F$4+Dashboard!D$10*SQRT(Dashboard!$F$4) * _xlfn.NORM.S.INV(RAND())</f>
        <v>2.0660979328470766E-4</v>
      </c>
    </row>
    <row r="8395" spans="18:21" x14ac:dyDescent="0.2">
      <c r="R8395" s="49">
        <v>8393</v>
      </c>
      <c r="S8395" s="59">
        <f ca="1">Dashboard!B$8* Dashboard!$F$4+Dashboard!B$10*SQRT(Dashboard!$F$4) * _xlfn.NORM.S.INV(RAND())</f>
        <v>-5.7433035412438646E-2</v>
      </c>
      <c r="T8395" s="59">
        <f ca="1">Dashboard!C$8* Dashboard!$F$4+Dashboard!C$10*SQRT(Dashboard!$F$4) * _xlfn.NORM.S.INV(RAND())</f>
        <v>-6.2292592030488017E-3</v>
      </c>
      <c r="U8395" s="59">
        <f ca="1">Dashboard!D$8* Dashboard!$F$4+Dashboard!D$10*SQRT(Dashboard!$F$4) * _xlfn.NORM.S.INV(RAND())</f>
        <v>1.3339529041313905E-2</v>
      </c>
    </row>
    <row r="8396" spans="18:21" x14ac:dyDescent="0.2">
      <c r="R8396" s="49">
        <v>8394</v>
      </c>
      <c r="S8396" s="59">
        <f ca="1">Dashboard!B$8* Dashboard!$F$4+Dashboard!B$10*SQRT(Dashboard!$F$4) * _xlfn.NORM.S.INV(RAND())</f>
        <v>-1.349952681336598E-2</v>
      </c>
      <c r="T8396" s="59">
        <f ca="1">Dashboard!C$8* Dashboard!$F$4+Dashboard!C$10*SQRT(Dashboard!$F$4) * _xlfn.NORM.S.INV(RAND())</f>
        <v>1.9560530907958614E-2</v>
      </c>
      <c r="U8396" s="59">
        <f ca="1">Dashboard!D$8* Dashboard!$F$4+Dashboard!D$10*SQRT(Dashboard!$F$4) * _xlfn.NORM.S.INV(RAND())</f>
        <v>-3.3210902572145158E-2</v>
      </c>
    </row>
    <row r="8397" spans="18:21" x14ac:dyDescent="0.2">
      <c r="R8397" s="49">
        <v>8395</v>
      </c>
      <c r="S8397" s="59">
        <f ca="1">Dashboard!B$8* Dashboard!$F$4+Dashboard!B$10*SQRT(Dashboard!$F$4) * _xlfn.NORM.S.INV(RAND())</f>
        <v>4.8127066638157474E-2</v>
      </c>
      <c r="T8397" s="59">
        <f ca="1">Dashboard!C$8* Dashboard!$F$4+Dashboard!C$10*SQRT(Dashboard!$F$4) * _xlfn.NORM.S.INV(RAND())</f>
        <v>0.10318147332008659</v>
      </c>
      <c r="U8397" s="59">
        <f ca="1">Dashboard!D$8* Dashboard!$F$4+Dashboard!D$10*SQRT(Dashboard!$F$4) * _xlfn.NORM.S.INV(RAND())</f>
        <v>3.0318220181013752E-2</v>
      </c>
    </row>
    <row r="8398" spans="18:21" x14ac:dyDescent="0.2">
      <c r="R8398" s="49">
        <v>8396</v>
      </c>
      <c r="S8398" s="59">
        <f ca="1">Dashboard!B$8* Dashboard!$F$4+Dashboard!B$10*SQRT(Dashboard!$F$4) * _xlfn.NORM.S.INV(RAND())</f>
        <v>1.5336729509206516E-2</v>
      </c>
      <c r="T8398" s="59">
        <f ca="1">Dashboard!C$8* Dashboard!$F$4+Dashboard!C$10*SQRT(Dashboard!$F$4) * _xlfn.NORM.S.INV(RAND())</f>
        <v>2.4821404604647997E-2</v>
      </c>
      <c r="U8398" s="59">
        <f ca="1">Dashboard!D$8* Dashboard!$F$4+Dashboard!D$10*SQRT(Dashboard!$F$4) * _xlfn.NORM.S.INV(RAND())</f>
        <v>-8.3620193922855721E-3</v>
      </c>
    </row>
    <row r="8399" spans="18:21" x14ac:dyDescent="0.2">
      <c r="R8399" s="49">
        <v>8397</v>
      </c>
      <c r="S8399" s="59">
        <f ca="1">Dashboard!B$8* Dashboard!$F$4+Dashboard!B$10*SQRT(Dashboard!$F$4) * _xlfn.NORM.S.INV(RAND())</f>
        <v>-1.0699804679023704E-2</v>
      </c>
      <c r="T8399" s="59">
        <f ca="1">Dashboard!C$8* Dashboard!$F$4+Dashboard!C$10*SQRT(Dashboard!$F$4) * _xlfn.NORM.S.INV(RAND())</f>
        <v>2.1502308727756525E-3</v>
      </c>
      <c r="U8399" s="59">
        <f ca="1">Dashboard!D$8* Dashboard!$F$4+Dashboard!D$10*SQRT(Dashboard!$F$4) * _xlfn.NORM.S.INV(RAND())</f>
        <v>4.7332888804371677E-2</v>
      </c>
    </row>
    <row r="8400" spans="18:21" x14ac:dyDescent="0.2">
      <c r="R8400" s="49">
        <v>8398</v>
      </c>
      <c r="S8400" s="59">
        <f ca="1">Dashboard!B$8* Dashboard!$F$4+Dashboard!B$10*SQRT(Dashboard!$F$4) * _xlfn.NORM.S.INV(RAND())</f>
        <v>-7.2511164337174857E-3</v>
      </c>
      <c r="T8400" s="59">
        <f ca="1">Dashboard!C$8* Dashboard!$F$4+Dashboard!C$10*SQRT(Dashboard!$F$4) * _xlfn.NORM.S.INV(RAND())</f>
        <v>1.3096102998469733E-3</v>
      </c>
      <c r="U8400" s="59">
        <f ca="1">Dashboard!D$8* Dashboard!$F$4+Dashboard!D$10*SQRT(Dashboard!$F$4) * _xlfn.NORM.S.INV(RAND())</f>
        <v>7.2370217189913641E-2</v>
      </c>
    </row>
    <row r="8401" spans="18:21" x14ac:dyDescent="0.2">
      <c r="R8401" s="49">
        <v>8399</v>
      </c>
      <c r="S8401" s="59">
        <f ca="1">Dashboard!B$8* Dashboard!$F$4+Dashboard!B$10*SQRT(Dashboard!$F$4) * _xlfn.NORM.S.INV(RAND())</f>
        <v>3.2384705474523316E-2</v>
      </c>
      <c r="T8401" s="59">
        <f ca="1">Dashboard!C$8* Dashboard!$F$4+Dashboard!C$10*SQRT(Dashboard!$F$4) * _xlfn.NORM.S.INV(RAND())</f>
        <v>-2.5699549854242474E-2</v>
      </c>
      <c r="U8401" s="59">
        <f ca="1">Dashboard!D$8* Dashboard!$F$4+Dashboard!D$10*SQRT(Dashboard!$F$4) * _xlfn.NORM.S.INV(RAND())</f>
        <v>3.3709850822578324E-2</v>
      </c>
    </row>
    <row r="8402" spans="18:21" x14ac:dyDescent="0.2">
      <c r="R8402" s="49">
        <v>8400</v>
      </c>
      <c r="S8402" s="59">
        <f ca="1">Dashboard!B$8* Dashboard!$F$4+Dashboard!B$10*SQRT(Dashboard!$F$4) * _xlfn.NORM.S.INV(RAND())</f>
        <v>5.9201383595533993E-3</v>
      </c>
      <c r="T8402" s="59">
        <f ca="1">Dashboard!C$8* Dashboard!$F$4+Dashboard!C$10*SQRT(Dashboard!$F$4) * _xlfn.NORM.S.INV(RAND())</f>
        <v>1.8029799861589771E-4</v>
      </c>
      <c r="U8402" s="59">
        <f ca="1">Dashboard!D$8* Dashboard!$F$4+Dashboard!D$10*SQRT(Dashboard!$F$4) * _xlfn.NORM.S.INV(RAND())</f>
        <v>-4.2002922278865209E-3</v>
      </c>
    </row>
    <row r="8403" spans="18:21" x14ac:dyDescent="0.2">
      <c r="R8403" s="49">
        <v>8401</v>
      </c>
      <c r="S8403" s="59">
        <f ca="1">Dashboard!B$8* Dashboard!$F$4+Dashboard!B$10*SQRT(Dashboard!$F$4) * _xlfn.NORM.S.INV(RAND())</f>
        <v>-1.9553856062412216E-2</v>
      </c>
      <c r="T8403" s="59">
        <f ca="1">Dashboard!C$8* Dashboard!$F$4+Dashboard!C$10*SQRT(Dashboard!$F$4) * _xlfn.NORM.S.INV(RAND())</f>
        <v>2.3683426521665892E-2</v>
      </c>
      <c r="U8403" s="59">
        <f ca="1">Dashboard!D$8* Dashboard!$F$4+Dashboard!D$10*SQRT(Dashboard!$F$4) * _xlfn.NORM.S.INV(RAND())</f>
        <v>9.3885196528346888E-3</v>
      </c>
    </row>
    <row r="8404" spans="18:21" x14ac:dyDescent="0.2">
      <c r="R8404" s="49">
        <v>8402</v>
      </c>
      <c r="S8404" s="59">
        <f ca="1">Dashboard!B$8* Dashboard!$F$4+Dashboard!B$10*SQRT(Dashboard!$F$4) * _xlfn.NORM.S.INV(RAND())</f>
        <v>5.0936828724748064E-4</v>
      </c>
      <c r="T8404" s="59">
        <f ca="1">Dashboard!C$8* Dashboard!$F$4+Dashboard!C$10*SQRT(Dashboard!$F$4) * _xlfn.NORM.S.INV(RAND())</f>
        <v>3.5530837504306231E-2</v>
      </c>
      <c r="U8404" s="59">
        <f ca="1">Dashboard!D$8* Dashboard!$F$4+Dashboard!D$10*SQRT(Dashboard!$F$4) * _xlfn.NORM.S.INV(RAND())</f>
        <v>-3.3901092325425035E-2</v>
      </c>
    </row>
    <row r="8405" spans="18:21" x14ac:dyDescent="0.2">
      <c r="R8405" s="49">
        <v>8403</v>
      </c>
      <c r="S8405" s="59">
        <f ca="1">Dashboard!B$8* Dashboard!$F$4+Dashboard!B$10*SQRT(Dashboard!$F$4) * _xlfn.NORM.S.INV(RAND())</f>
        <v>2.9665120075032823E-2</v>
      </c>
      <c r="T8405" s="59">
        <f ca="1">Dashboard!C$8* Dashboard!$F$4+Dashboard!C$10*SQRT(Dashboard!$F$4) * _xlfn.NORM.S.INV(RAND())</f>
        <v>-1.3077272497314552E-2</v>
      </c>
      <c r="U8405" s="59">
        <f ca="1">Dashboard!D$8* Dashboard!$F$4+Dashboard!D$10*SQRT(Dashboard!$F$4) * _xlfn.NORM.S.INV(RAND())</f>
        <v>-3.015302728941267E-2</v>
      </c>
    </row>
    <row r="8406" spans="18:21" x14ac:dyDescent="0.2">
      <c r="R8406" s="49">
        <v>8404</v>
      </c>
      <c r="S8406" s="59">
        <f ca="1">Dashboard!B$8* Dashboard!$F$4+Dashboard!B$10*SQRT(Dashboard!$F$4) * _xlfn.NORM.S.INV(RAND())</f>
        <v>-4.3959225130779385E-2</v>
      </c>
      <c r="T8406" s="59">
        <f ca="1">Dashboard!C$8* Dashboard!$F$4+Dashboard!C$10*SQRT(Dashboard!$F$4) * _xlfn.NORM.S.INV(RAND())</f>
        <v>-3.9553396670104199E-2</v>
      </c>
      <c r="U8406" s="59">
        <f ca="1">Dashboard!D$8* Dashboard!$F$4+Dashboard!D$10*SQRT(Dashboard!$F$4) * _xlfn.NORM.S.INV(RAND())</f>
        <v>-9.942301124667853E-3</v>
      </c>
    </row>
    <row r="8407" spans="18:21" x14ac:dyDescent="0.2">
      <c r="R8407" s="49">
        <v>8405</v>
      </c>
      <c r="S8407" s="59">
        <f ca="1">Dashboard!B$8* Dashboard!$F$4+Dashboard!B$10*SQRT(Dashboard!$F$4) * _xlfn.NORM.S.INV(RAND())</f>
        <v>-2.9927216696728501E-2</v>
      </c>
      <c r="T8407" s="59">
        <f ca="1">Dashboard!C$8* Dashboard!$F$4+Dashboard!C$10*SQRT(Dashboard!$F$4) * _xlfn.NORM.S.INV(RAND())</f>
        <v>-4.2039049874564513E-2</v>
      </c>
      <c r="U8407" s="59">
        <f ca="1">Dashboard!D$8* Dashboard!$F$4+Dashboard!D$10*SQRT(Dashboard!$F$4) * _xlfn.NORM.S.INV(RAND())</f>
        <v>-9.1853823106621373E-3</v>
      </c>
    </row>
    <row r="8408" spans="18:21" x14ac:dyDescent="0.2">
      <c r="R8408" s="49">
        <v>8406</v>
      </c>
      <c r="S8408" s="59">
        <f ca="1">Dashboard!B$8* Dashboard!$F$4+Dashboard!B$10*SQRT(Dashboard!$F$4) * _xlfn.NORM.S.INV(RAND())</f>
        <v>1.4203028716342993E-2</v>
      </c>
      <c r="T8408" s="59">
        <f ca="1">Dashboard!C$8* Dashboard!$F$4+Dashboard!C$10*SQRT(Dashboard!$F$4) * _xlfn.NORM.S.INV(RAND())</f>
        <v>-1.8639604191419964E-2</v>
      </c>
      <c r="U8408" s="59">
        <f ca="1">Dashboard!D$8* Dashboard!$F$4+Dashboard!D$10*SQRT(Dashboard!$F$4) * _xlfn.NORM.S.INV(RAND())</f>
        <v>-1.9713014900730404E-2</v>
      </c>
    </row>
    <row r="8409" spans="18:21" x14ac:dyDescent="0.2">
      <c r="R8409" s="49">
        <v>8407</v>
      </c>
      <c r="S8409" s="59">
        <f ca="1">Dashboard!B$8* Dashboard!$F$4+Dashboard!B$10*SQRT(Dashboard!$F$4) * _xlfn.NORM.S.INV(RAND())</f>
        <v>-8.3879567891769289E-3</v>
      </c>
      <c r="T8409" s="59">
        <f ca="1">Dashboard!C$8* Dashboard!$F$4+Dashboard!C$10*SQRT(Dashboard!$F$4) * _xlfn.NORM.S.INV(RAND())</f>
        <v>2.5408799611781399E-2</v>
      </c>
      <c r="U8409" s="59">
        <f ca="1">Dashboard!D$8* Dashboard!$F$4+Dashboard!D$10*SQRT(Dashboard!$F$4) * _xlfn.NORM.S.INV(RAND())</f>
        <v>8.3099703859022975E-2</v>
      </c>
    </row>
    <row r="8410" spans="18:21" x14ac:dyDescent="0.2">
      <c r="R8410" s="49">
        <v>8408</v>
      </c>
      <c r="S8410" s="59">
        <f ca="1">Dashboard!B$8* Dashboard!$F$4+Dashboard!B$10*SQRT(Dashboard!$F$4) * _xlfn.NORM.S.INV(RAND())</f>
        <v>2.3437979667738251E-2</v>
      </c>
      <c r="T8410" s="59">
        <f ca="1">Dashboard!C$8* Dashboard!$F$4+Dashboard!C$10*SQRT(Dashboard!$F$4) * _xlfn.NORM.S.INV(RAND())</f>
        <v>-1.2423628156290507E-2</v>
      </c>
      <c r="U8410" s="59">
        <f ca="1">Dashboard!D$8* Dashboard!$F$4+Dashboard!D$10*SQRT(Dashboard!$F$4) * _xlfn.NORM.S.INV(RAND())</f>
        <v>-4.5029783504258195E-2</v>
      </c>
    </row>
    <row r="8411" spans="18:21" x14ac:dyDescent="0.2">
      <c r="R8411" s="49">
        <v>8409</v>
      </c>
      <c r="S8411" s="59">
        <f ca="1">Dashboard!B$8* Dashboard!$F$4+Dashboard!B$10*SQRT(Dashboard!$F$4) * _xlfn.NORM.S.INV(RAND())</f>
        <v>-4.3101398321471621E-3</v>
      </c>
      <c r="T8411" s="59">
        <f ca="1">Dashboard!C$8* Dashboard!$F$4+Dashboard!C$10*SQRT(Dashboard!$F$4) * _xlfn.NORM.S.INV(RAND())</f>
        <v>1.3663517683354741E-2</v>
      </c>
      <c r="U8411" s="59">
        <f ca="1">Dashboard!D$8* Dashboard!$F$4+Dashboard!D$10*SQRT(Dashboard!$F$4) * _xlfn.NORM.S.INV(RAND())</f>
        <v>-5.9503098007809258E-2</v>
      </c>
    </row>
    <row r="8412" spans="18:21" x14ac:dyDescent="0.2">
      <c r="R8412" s="49">
        <v>8410</v>
      </c>
      <c r="S8412" s="59">
        <f ca="1">Dashboard!B$8* Dashboard!$F$4+Dashboard!B$10*SQRT(Dashboard!$F$4) * _xlfn.NORM.S.INV(RAND())</f>
        <v>2.4632703615981216E-2</v>
      </c>
      <c r="T8412" s="59">
        <f ca="1">Dashboard!C$8* Dashboard!$F$4+Dashboard!C$10*SQRT(Dashboard!$F$4) * _xlfn.NORM.S.INV(RAND())</f>
        <v>-3.0927737445080209E-2</v>
      </c>
      <c r="U8412" s="59">
        <f ca="1">Dashboard!D$8* Dashboard!$F$4+Dashboard!D$10*SQRT(Dashboard!$F$4) * _xlfn.NORM.S.INV(RAND())</f>
        <v>3.6868370130107526E-2</v>
      </c>
    </row>
    <row r="8413" spans="18:21" x14ac:dyDescent="0.2">
      <c r="R8413" s="49">
        <v>8411</v>
      </c>
      <c r="S8413" s="59">
        <f ca="1">Dashboard!B$8* Dashboard!$F$4+Dashboard!B$10*SQRT(Dashboard!$F$4) * _xlfn.NORM.S.INV(RAND())</f>
        <v>2.9096251928211178E-2</v>
      </c>
      <c r="T8413" s="59">
        <f ca="1">Dashboard!C$8* Dashboard!$F$4+Dashboard!C$10*SQRT(Dashboard!$F$4) * _xlfn.NORM.S.INV(RAND())</f>
        <v>-6.0125000215483365E-2</v>
      </c>
      <c r="U8413" s="59">
        <f ca="1">Dashboard!D$8* Dashboard!$F$4+Dashboard!D$10*SQRT(Dashboard!$F$4) * _xlfn.NORM.S.INV(RAND())</f>
        <v>-6.652680553701168E-2</v>
      </c>
    </row>
    <row r="8414" spans="18:21" x14ac:dyDescent="0.2">
      <c r="R8414" s="49">
        <v>8412</v>
      </c>
      <c r="S8414" s="59">
        <f ca="1">Dashboard!B$8* Dashboard!$F$4+Dashboard!B$10*SQRT(Dashboard!$F$4) * _xlfn.NORM.S.INV(RAND())</f>
        <v>1.3194022234359523E-2</v>
      </c>
      <c r="T8414" s="59">
        <f ca="1">Dashboard!C$8* Dashboard!$F$4+Dashboard!C$10*SQRT(Dashboard!$F$4) * _xlfn.NORM.S.INV(RAND())</f>
        <v>3.8441821458289754E-3</v>
      </c>
      <c r="U8414" s="59">
        <f ca="1">Dashboard!D$8* Dashboard!$F$4+Dashboard!D$10*SQRT(Dashboard!$F$4) * _xlfn.NORM.S.INV(RAND())</f>
        <v>1.9546217640208686E-2</v>
      </c>
    </row>
    <row r="8415" spans="18:21" x14ac:dyDescent="0.2">
      <c r="R8415" s="49">
        <v>8413</v>
      </c>
      <c r="S8415" s="59">
        <f ca="1">Dashboard!B$8* Dashboard!$F$4+Dashboard!B$10*SQRT(Dashboard!$F$4) * _xlfn.NORM.S.INV(RAND())</f>
        <v>-2.6780320948541596E-2</v>
      </c>
      <c r="T8415" s="59">
        <f ca="1">Dashboard!C$8* Dashboard!$F$4+Dashboard!C$10*SQRT(Dashboard!$F$4) * _xlfn.NORM.S.INV(RAND())</f>
        <v>2.4747674588619484E-2</v>
      </c>
      <c r="U8415" s="59">
        <f ca="1">Dashboard!D$8* Dashboard!$F$4+Dashboard!D$10*SQRT(Dashboard!$F$4) * _xlfn.NORM.S.INV(RAND())</f>
        <v>2.3140370034088184E-2</v>
      </c>
    </row>
    <row r="8416" spans="18:21" x14ac:dyDescent="0.2">
      <c r="R8416" s="49">
        <v>8414</v>
      </c>
      <c r="S8416" s="59">
        <f ca="1">Dashboard!B$8* Dashboard!$F$4+Dashboard!B$10*SQRT(Dashboard!$F$4) * _xlfn.NORM.S.INV(RAND())</f>
        <v>4.1234198492347739E-2</v>
      </c>
      <c r="T8416" s="59">
        <f ca="1">Dashboard!C$8* Dashboard!$F$4+Dashboard!C$10*SQRT(Dashboard!$F$4) * _xlfn.NORM.S.INV(RAND())</f>
        <v>-1.6819879065932127E-2</v>
      </c>
      <c r="U8416" s="59">
        <f ca="1">Dashboard!D$8* Dashboard!$F$4+Dashboard!D$10*SQRT(Dashboard!$F$4) * _xlfn.NORM.S.INV(RAND())</f>
        <v>1.6176612789024943E-2</v>
      </c>
    </row>
    <row r="8417" spans="18:21" x14ac:dyDescent="0.2">
      <c r="R8417" s="49">
        <v>8415</v>
      </c>
      <c r="S8417" s="59">
        <f ca="1">Dashboard!B$8* Dashboard!$F$4+Dashboard!B$10*SQRT(Dashboard!$F$4) * _xlfn.NORM.S.INV(RAND())</f>
        <v>-4.0211745324434486E-2</v>
      </c>
      <c r="T8417" s="59">
        <f ca="1">Dashboard!C$8* Dashboard!$F$4+Dashboard!C$10*SQRT(Dashboard!$F$4) * _xlfn.NORM.S.INV(RAND())</f>
        <v>2.5888191494370782E-2</v>
      </c>
      <c r="U8417" s="59">
        <f ca="1">Dashboard!D$8* Dashboard!$F$4+Dashboard!D$10*SQRT(Dashboard!$F$4) * _xlfn.NORM.S.INV(RAND())</f>
        <v>4.5595550395510588E-2</v>
      </c>
    </row>
    <row r="8418" spans="18:21" x14ac:dyDescent="0.2">
      <c r="R8418" s="49">
        <v>8416</v>
      </c>
      <c r="S8418" s="59">
        <f ca="1">Dashboard!B$8* Dashboard!$F$4+Dashboard!B$10*SQRT(Dashboard!$F$4) * _xlfn.NORM.S.INV(RAND())</f>
        <v>2.0288843746188084E-2</v>
      </c>
      <c r="T8418" s="59">
        <f ca="1">Dashboard!C$8* Dashboard!$F$4+Dashboard!C$10*SQRT(Dashboard!$F$4) * _xlfn.NORM.S.INV(RAND())</f>
        <v>-9.7194823989201866E-3</v>
      </c>
      <c r="U8418" s="59">
        <f ca="1">Dashboard!D$8* Dashboard!$F$4+Dashboard!D$10*SQRT(Dashboard!$F$4) * _xlfn.NORM.S.INV(RAND())</f>
        <v>1.7978171779488992E-2</v>
      </c>
    </row>
    <row r="8419" spans="18:21" x14ac:dyDescent="0.2">
      <c r="R8419" s="49">
        <v>8417</v>
      </c>
      <c r="S8419" s="59">
        <f ca="1">Dashboard!B$8* Dashboard!$F$4+Dashboard!B$10*SQRT(Dashboard!$F$4) * _xlfn.NORM.S.INV(RAND())</f>
        <v>-1.2377838766215008E-2</v>
      </c>
      <c r="T8419" s="59">
        <f ca="1">Dashboard!C$8* Dashboard!$F$4+Dashboard!C$10*SQRT(Dashboard!$F$4) * _xlfn.NORM.S.INV(RAND())</f>
        <v>-3.7962081942524685E-2</v>
      </c>
      <c r="U8419" s="59">
        <f ca="1">Dashboard!D$8* Dashboard!$F$4+Dashboard!D$10*SQRT(Dashboard!$F$4) * _xlfn.NORM.S.INV(RAND())</f>
        <v>9.1733207277092631E-3</v>
      </c>
    </row>
    <row r="8420" spans="18:21" x14ac:dyDescent="0.2">
      <c r="R8420" s="49">
        <v>8418</v>
      </c>
      <c r="S8420" s="59">
        <f ca="1">Dashboard!B$8* Dashboard!$F$4+Dashboard!B$10*SQRT(Dashboard!$F$4) * _xlfn.NORM.S.INV(RAND())</f>
        <v>2.6782647032568697E-2</v>
      </c>
      <c r="T8420" s="59">
        <f ca="1">Dashboard!C$8* Dashboard!$F$4+Dashboard!C$10*SQRT(Dashboard!$F$4) * _xlfn.NORM.S.INV(RAND())</f>
        <v>-3.5807473237075164E-2</v>
      </c>
      <c r="U8420" s="59">
        <f ca="1">Dashboard!D$8* Dashboard!$F$4+Dashboard!D$10*SQRT(Dashboard!$F$4) * _xlfn.NORM.S.INV(RAND())</f>
        <v>6.9259472526504145E-3</v>
      </c>
    </row>
    <row r="8421" spans="18:21" x14ac:dyDescent="0.2">
      <c r="R8421" s="49">
        <v>8419</v>
      </c>
      <c r="S8421" s="59">
        <f ca="1">Dashboard!B$8* Dashboard!$F$4+Dashboard!B$10*SQRT(Dashboard!$F$4) * _xlfn.NORM.S.INV(RAND())</f>
        <v>3.5467875591583958E-2</v>
      </c>
      <c r="T8421" s="59">
        <f ca="1">Dashboard!C$8* Dashboard!$F$4+Dashboard!C$10*SQRT(Dashboard!$F$4) * _xlfn.NORM.S.INV(RAND())</f>
        <v>-4.6342460125923933E-2</v>
      </c>
      <c r="U8421" s="59">
        <f ca="1">Dashboard!D$8* Dashboard!$F$4+Dashboard!D$10*SQRT(Dashboard!$F$4) * _xlfn.NORM.S.INV(RAND())</f>
        <v>-3.3459910284410761E-2</v>
      </c>
    </row>
    <row r="8422" spans="18:21" x14ac:dyDescent="0.2">
      <c r="R8422" s="49">
        <v>8420</v>
      </c>
      <c r="S8422" s="59">
        <f ca="1">Dashboard!B$8* Dashboard!$F$4+Dashboard!B$10*SQRT(Dashboard!$F$4) * _xlfn.NORM.S.INV(RAND())</f>
        <v>-1.905706342443789E-2</v>
      </c>
      <c r="T8422" s="59">
        <f ca="1">Dashboard!C$8* Dashboard!$F$4+Dashboard!C$10*SQRT(Dashboard!$F$4) * _xlfn.NORM.S.INV(RAND())</f>
        <v>-2.6342210674537962E-2</v>
      </c>
      <c r="U8422" s="59">
        <f ca="1">Dashboard!D$8* Dashboard!$F$4+Dashboard!D$10*SQRT(Dashboard!$F$4) * _xlfn.NORM.S.INV(RAND())</f>
        <v>-8.4763701971651371E-3</v>
      </c>
    </row>
    <row r="8423" spans="18:21" x14ac:dyDescent="0.2">
      <c r="R8423" s="49">
        <v>8421</v>
      </c>
      <c r="S8423" s="59">
        <f ca="1">Dashboard!B$8* Dashboard!$F$4+Dashboard!B$10*SQRT(Dashboard!$F$4) * _xlfn.NORM.S.INV(RAND())</f>
        <v>2.6503255711173027E-2</v>
      </c>
      <c r="T8423" s="59">
        <f ca="1">Dashboard!C$8* Dashboard!$F$4+Dashboard!C$10*SQRT(Dashboard!$F$4) * _xlfn.NORM.S.INV(RAND())</f>
        <v>-5.9830177790268779E-2</v>
      </c>
      <c r="U8423" s="59">
        <f ca="1">Dashboard!D$8* Dashboard!$F$4+Dashboard!D$10*SQRT(Dashboard!$F$4) * _xlfn.NORM.S.INV(RAND())</f>
        <v>1.1741303196566662E-2</v>
      </c>
    </row>
    <row r="8424" spans="18:21" x14ac:dyDescent="0.2">
      <c r="R8424" s="49">
        <v>8422</v>
      </c>
      <c r="S8424" s="59">
        <f ca="1">Dashboard!B$8* Dashboard!$F$4+Dashboard!B$10*SQRT(Dashboard!$F$4) * _xlfn.NORM.S.INV(RAND())</f>
        <v>-1.6306637226870063E-2</v>
      </c>
      <c r="T8424" s="59">
        <f ca="1">Dashboard!C$8* Dashboard!$F$4+Dashboard!C$10*SQRT(Dashboard!$F$4) * _xlfn.NORM.S.INV(RAND())</f>
        <v>-7.9861199076750239E-2</v>
      </c>
      <c r="U8424" s="59">
        <f ca="1">Dashboard!D$8* Dashboard!$F$4+Dashboard!D$10*SQRT(Dashboard!$F$4) * _xlfn.NORM.S.INV(RAND())</f>
        <v>-4.4377909396716458E-2</v>
      </c>
    </row>
    <row r="8425" spans="18:21" x14ac:dyDescent="0.2">
      <c r="R8425" s="49">
        <v>8423</v>
      </c>
      <c r="S8425" s="59">
        <f ca="1">Dashboard!B$8* Dashboard!$F$4+Dashboard!B$10*SQRT(Dashboard!$F$4) * _xlfn.NORM.S.INV(RAND())</f>
        <v>1.2520800838501748E-2</v>
      </c>
      <c r="T8425" s="59">
        <f ca="1">Dashboard!C$8* Dashboard!$F$4+Dashboard!C$10*SQRT(Dashboard!$F$4) * _xlfn.NORM.S.INV(RAND())</f>
        <v>-1.6899597298458396E-2</v>
      </c>
      <c r="U8425" s="59">
        <f ca="1">Dashboard!D$8* Dashboard!$F$4+Dashboard!D$10*SQRT(Dashboard!$F$4) * _xlfn.NORM.S.INV(RAND())</f>
        <v>-5.4041498916912095E-2</v>
      </c>
    </row>
    <row r="8426" spans="18:21" x14ac:dyDescent="0.2">
      <c r="R8426" s="49">
        <v>8424</v>
      </c>
      <c r="S8426" s="59">
        <f ca="1">Dashboard!B$8* Dashboard!$F$4+Dashboard!B$10*SQRT(Dashboard!$F$4) * _xlfn.NORM.S.INV(RAND())</f>
        <v>7.4223238037977826E-2</v>
      </c>
      <c r="T8426" s="59">
        <f ca="1">Dashboard!C$8* Dashboard!$F$4+Dashboard!C$10*SQRT(Dashboard!$F$4) * _xlfn.NORM.S.INV(RAND())</f>
        <v>-2.94711683710186E-2</v>
      </c>
      <c r="U8426" s="59">
        <f ca="1">Dashboard!D$8* Dashboard!$F$4+Dashboard!D$10*SQRT(Dashboard!$F$4) * _xlfn.NORM.S.INV(RAND())</f>
        <v>4.661433953682724E-2</v>
      </c>
    </row>
    <row r="8427" spans="18:21" x14ac:dyDescent="0.2">
      <c r="R8427" s="49">
        <v>8425</v>
      </c>
      <c r="S8427" s="59">
        <f ca="1">Dashboard!B$8* Dashboard!$F$4+Dashboard!B$10*SQRT(Dashboard!$F$4) * _xlfn.NORM.S.INV(RAND())</f>
        <v>2.5771588969667969E-2</v>
      </c>
      <c r="T8427" s="59">
        <f ca="1">Dashboard!C$8* Dashboard!$F$4+Dashboard!C$10*SQRT(Dashboard!$F$4) * _xlfn.NORM.S.INV(RAND())</f>
        <v>-3.8077027177903899E-2</v>
      </c>
      <c r="U8427" s="59">
        <f ca="1">Dashboard!D$8* Dashboard!$F$4+Dashboard!D$10*SQRT(Dashboard!$F$4) * _xlfn.NORM.S.INV(RAND())</f>
        <v>4.9227481637015673E-2</v>
      </c>
    </row>
    <row r="8428" spans="18:21" x14ac:dyDescent="0.2">
      <c r="R8428" s="49">
        <v>8426</v>
      </c>
      <c r="S8428" s="59">
        <f ca="1">Dashboard!B$8* Dashboard!$F$4+Dashboard!B$10*SQRT(Dashboard!$F$4) * _xlfn.NORM.S.INV(RAND())</f>
        <v>9.8328100419138691E-3</v>
      </c>
      <c r="T8428" s="59">
        <f ca="1">Dashboard!C$8* Dashboard!$F$4+Dashboard!C$10*SQRT(Dashboard!$F$4) * _xlfn.NORM.S.INV(RAND())</f>
        <v>-9.1461865343595398E-3</v>
      </c>
      <c r="U8428" s="59">
        <f ca="1">Dashboard!D$8* Dashboard!$F$4+Dashboard!D$10*SQRT(Dashboard!$F$4) * _xlfn.NORM.S.INV(RAND())</f>
        <v>3.0669014577246925E-2</v>
      </c>
    </row>
    <row r="8429" spans="18:21" x14ac:dyDescent="0.2">
      <c r="R8429" s="49">
        <v>8427</v>
      </c>
      <c r="S8429" s="59">
        <f ca="1">Dashboard!B$8* Dashboard!$F$4+Dashboard!B$10*SQRT(Dashboard!$F$4) * _xlfn.NORM.S.INV(RAND())</f>
        <v>-1.6328683590592256E-2</v>
      </c>
      <c r="T8429" s="59">
        <f ca="1">Dashboard!C$8* Dashboard!$F$4+Dashboard!C$10*SQRT(Dashboard!$F$4) * _xlfn.NORM.S.INV(RAND())</f>
        <v>-2.8988533391302144E-2</v>
      </c>
      <c r="U8429" s="59">
        <f ca="1">Dashboard!D$8* Dashboard!$F$4+Dashboard!D$10*SQRT(Dashboard!$F$4) * _xlfn.NORM.S.INV(RAND())</f>
        <v>-4.7415291487461382E-4</v>
      </c>
    </row>
    <row r="8430" spans="18:21" x14ac:dyDescent="0.2">
      <c r="R8430" s="49">
        <v>8428</v>
      </c>
      <c r="S8430" s="59">
        <f ca="1">Dashboard!B$8* Dashboard!$F$4+Dashboard!B$10*SQRT(Dashboard!$F$4) * _xlfn.NORM.S.INV(RAND())</f>
        <v>-6.679505115810047E-3</v>
      </c>
      <c r="T8430" s="59">
        <f ca="1">Dashboard!C$8* Dashboard!$F$4+Dashboard!C$10*SQRT(Dashboard!$F$4) * _xlfn.NORM.S.INV(RAND())</f>
        <v>-5.6724068965946202E-3</v>
      </c>
      <c r="U8430" s="59">
        <f ca="1">Dashboard!D$8* Dashboard!$F$4+Dashboard!D$10*SQRT(Dashboard!$F$4) * _xlfn.NORM.S.INV(RAND())</f>
        <v>-8.1564523699401599E-3</v>
      </c>
    </row>
    <row r="8431" spans="18:21" x14ac:dyDescent="0.2">
      <c r="R8431" s="49">
        <v>8429</v>
      </c>
      <c r="S8431" s="59">
        <f ca="1">Dashboard!B$8* Dashboard!$F$4+Dashboard!B$10*SQRT(Dashboard!$F$4) * _xlfn.NORM.S.INV(RAND())</f>
        <v>-5.1146490429706967E-2</v>
      </c>
      <c r="T8431" s="59">
        <f ca="1">Dashboard!C$8* Dashboard!$F$4+Dashboard!C$10*SQRT(Dashboard!$F$4) * _xlfn.NORM.S.INV(RAND())</f>
        <v>2.0943868189144746E-3</v>
      </c>
      <c r="U8431" s="59">
        <f ca="1">Dashboard!D$8* Dashboard!$F$4+Dashboard!D$10*SQRT(Dashboard!$F$4) * _xlfn.NORM.S.INV(RAND())</f>
        <v>-4.0217985360130035E-2</v>
      </c>
    </row>
    <row r="8432" spans="18:21" x14ac:dyDescent="0.2">
      <c r="R8432" s="49">
        <v>8430</v>
      </c>
      <c r="S8432" s="59">
        <f ca="1">Dashboard!B$8* Dashboard!$F$4+Dashboard!B$10*SQRT(Dashboard!$F$4) * _xlfn.NORM.S.INV(RAND())</f>
        <v>3.6024917080894496E-2</v>
      </c>
      <c r="T8432" s="59">
        <f ca="1">Dashboard!C$8* Dashboard!$F$4+Dashboard!C$10*SQRT(Dashboard!$F$4) * _xlfn.NORM.S.INV(RAND())</f>
        <v>5.197693867365679E-2</v>
      </c>
      <c r="U8432" s="59">
        <f ca="1">Dashboard!D$8* Dashboard!$F$4+Dashboard!D$10*SQRT(Dashboard!$F$4) * _xlfn.NORM.S.INV(RAND())</f>
        <v>9.0205557291924612E-3</v>
      </c>
    </row>
    <row r="8433" spans="18:21" x14ac:dyDescent="0.2">
      <c r="R8433" s="49">
        <v>8431</v>
      </c>
      <c r="S8433" s="59">
        <f ca="1">Dashboard!B$8* Dashboard!$F$4+Dashboard!B$10*SQRT(Dashboard!$F$4) * _xlfn.NORM.S.INV(RAND())</f>
        <v>7.3783388270925419E-3</v>
      </c>
      <c r="T8433" s="59">
        <f ca="1">Dashboard!C$8* Dashboard!$F$4+Dashboard!C$10*SQRT(Dashboard!$F$4) * _xlfn.NORM.S.INV(RAND())</f>
        <v>5.511901862725721E-2</v>
      </c>
      <c r="U8433" s="59">
        <f ca="1">Dashboard!D$8* Dashboard!$F$4+Dashboard!D$10*SQRT(Dashboard!$F$4) * _xlfn.NORM.S.INV(RAND())</f>
        <v>-7.1148186270676483E-2</v>
      </c>
    </row>
    <row r="8434" spans="18:21" x14ac:dyDescent="0.2">
      <c r="R8434" s="49">
        <v>8432</v>
      </c>
      <c r="S8434" s="59">
        <f ca="1">Dashboard!B$8* Dashboard!$F$4+Dashboard!B$10*SQRT(Dashboard!$F$4) * _xlfn.NORM.S.INV(RAND())</f>
        <v>2.413687832362614E-2</v>
      </c>
      <c r="T8434" s="59">
        <f ca="1">Dashboard!C$8* Dashboard!$F$4+Dashboard!C$10*SQRT(Dashboard!$F$4) * _xlfn.NORM.S.INV(RAND())</f>
        <v>6.1109922301508891E-2</v>
      </c>
      <c r="U8434" s="59">
        <f ca="1">Dashboard!D$8* Dashboard!$F$4+Dashboard!D$10*SQRT(Dashboard!$F$4) * _xlfn.NORM.S.INV(RAND())</f>
        <v>-6.5656033269093292E-3</v>
      </c>
    </row>
    <row r="8435" spans="18:21" x14ac:dyDescent="0.2">
      <c r="R8435" s="49">
        <v>8433</v>
      </c>
      <c r="S8435" s="59">
        <f ca="1">Dashboard!B$8* Dashboard!$F$4+Dashboard!B$10*SQRT(Dashboard!$F$4) * _xlfn.NORM.S.INV(RAND())</f>
        <v>1.9996103406007659E-2</v>
      </c>
      <c r="T8435" s="59">
        <f ca="1">Dashboard!C$8* Dashboard!$F$4+Dashboard!C$10*SQRT(Dashboard!$F$4) * _xlfn.NORM.S.INV(RAND())</f>
        <v>3.7336957715983062E-2</v>
      </c>
      <c r="U8435" s="59">
        <f ca="1">Dashboard!D$8* Dashboard!$F$4+Dashboard!D$10*SQRT(Dashboard!$F$4) * _xlfn.NORM.S.INV(RAND())</f>
        <v>1.446456449761698E-2</v>
      </c>
    </row>
    <row r="8436" spans="18:21" x14ac:dyDescent="0.2">
      <c r="R8436" s="49">
        <v>8434</v>
      </c>
      <c r="S8436" s="59">
        <f ca="1">Dashboard!B$8* Dashboard!$F$4+Dashboard!B$10*SQRT(Dashboard!$F$4) * _xlfn.NORM.S.INV(RAND())</f>
        <v>-4.4120390269769529E-2</v>
      </c>
      <c r="T8436" s="59">
        <f ca="1">Dashboard!C$8* Dashboard!$F$4+Dashboard!C$10*SQRT(Dashboard!$F$4) * _xlfn.NORM.S.INV(RAND())</f>
        <v>-2.3270722109103296E-2</v>
      </c>
      <c r="U8436" s="59">
        <f ca="1">Dashboard!D$8* Dashboard!$F$4+Dashboard!D$10*SQRT(Dashboard!$F$4) * _xlfn.NORM.S.INV(RAND())</f>
        <v>4.4678850079528702E-2</v>
      </c>
    </row>
    <row r="8437" spans="18:21" x14ac:dyDescent="0.2">
      <c r="R8437" s="49">
        <v>8435</v>
      </c>
      <c r="S8437" s="59">
        <f ca="1">Dashboard!B$8* Dashboard!$F$4+Dashboard!B$10*SQRT(Dashboard!$F$4) * _xlfn.NORM.S.INV(RAND())</f>
        <v>-4.0703743423526027E-2</v>
      </c>
      <c r="T8437" s="59">
        <f ca="1">Dashboard!C$8* Dashboard!$F$4+Dashboard!C$10*SQRT(Dashboard!$F$4) * _xlfn.NORM.S.INV(RAND())</f>
        <v>6.4977071106834573E-3</v>
      </c>
      <c r="U8437" s="59">
        <f ca="1">Dashboard!D$8* Dashboard!$F$4+Dashboard!D$10*SQRT(Dashboard!$F$4) * _xlfn.NORM.S.INV(RAND())</f>
        <v>2.550572942346525E-2</v>
      </c>
    </row>
    <row r="8438" spans="18:21" x14ac:dyDescent="0.2">
      <c r="R8438" s="49">
        <v>8436</v>
      </c>
      <c r="S8438" s="59">
        <f ca="1">Dashboard!B$8* Dashboard!$F$4+Dashboard!B$10*SQRT(Dashboard!$F$4) * _xlfn.NORM.S.INV(RAND())</f>
        <v>5.7143248828061675E-2</v>
      </c>
      <c r="T8438" s="59">
        <f ca="1">Dashboard!C$8* Dashboard!$F$4+Dashboard!C$10*SQRT(Dashboard!$F$4) * _xlfn.NORM.S.INV(RAND())</f>
        <v>-7.7336238746371988E-3</v>
      </c>
      <c r="U8438" s="59">
        <f ca="1">Dashboard!D$8* Dashboard!$F$4+Dashboard!D$10*SQRT(Dashboard!$F$4) * _xlfn.NORM.S.INV(RAND())</f>
        <v>-3.9348357162353395E-3</v>
      </c>
    </row>
    <row r="8439" spans="18:21" x14ac:dyDescent="0.2">
      <c r="R8439" s="49">
        <v>8437</v>
      </c>
      <c r="S8439" s="59">
        <f ca="1">Dashboard!B$8* Dashboard!$F$4+Dashboard!B$10*SQRT(Dashboard!$F$4) * _xlfn.NORM.S.INV(RAND())</f>
        <v>-2.3651121932711724E-2</v>
      </c>
      <c r="T8439" s="59">
        <f ca="1">Dashboard!C$8* Dashboard!$F$4+Dashboard!C$10*SQRT(Dashboard!$F$4) * _xlfn.NORM.S.INV(RAND())</f>
        <v>-3.1260928437045817E-2</v>
      </c>
      <c r="U8439" s="59">
        <f ca="1">Dashboard!D$8* Dashboard!$F$4+Dashboard!D$10*SQRT(Dashboard!$F$4) * _xlfn.NORM.S.INV(RAND())</f>
        <v>6.1258916767454345E-3</v>
      </c>
    </row>
    <row r="8440" spans="18:21" x14ac:dyDescent="0.2">
      <c r="R8440" s="49">
        <v>8438</v>
      </c>
      <c r="S8440" s="59">
        <f ca="1">Dashboard!B$8* Dashboard!$F$4+Dashboard!B$10*SQRT(Dashboard!$F$4) * _xlfn.NORM.S.INV(RAND())</f>
        <v>-6.7101113407887353E-2</v>
      </c>
      <c r="T8440" s="59">
        <f ca="1">Dashboard!C$8* Dashboard!$F$4+Dashboard!C$10*SQRT(Dashboard!$F$4) * _xlfn.NORM.S.INV(RAND())</f>
        <v>6.0959926613689359E-3</v>
      </c>
      <c r="U8440" s="59">
        <f ca="1">Dashboard!D$8* Dashboard!$F$4+Dashboard!D$10*SQRT(Dashboard!$F$4) * _xlfn.NORM.S.INV(RAND())</f>
        <v>1.6077881839630624E-2</v>
      </c>
    </row>
    <row r="8441" spans="18:21" x14ac:dyDescent="0.2">
      <c r="R8441" s="49">
        <v>8439</v>
      </c>
      <c r="S8441" s="59">
        <f ca="1">Dashboard!B$8* Dashboard!$F$4+Dashboard!B$10*SQRT(Dashboard!$F$4) * _xlfn.NORM.S.INV(RAND())</f>
        <v>1.2999232899532915E-2</v>
      </c>
      <c r="T8441" s="59">
        <f ca="1">Dashboard!C$8* Dashboard!$F$4+Dashboard!C$10*SQRT(Dashboard!$F$4) * _xlfn.NORM.S.INV(RAND())</f>
        <v>-4.5039663489973375E-2</v>
      </c>
      <c r="U8441" s="59">
        <f ca="1">Dashboard!D$8* Dashboard!$F$4+Dashboard!D$10*SQRT(Dashboard!$F$4) * _xlfn.NORM.S.INV(RAND())</f>
        <v>4.3835128779996839E-2</v>
      </c>
    </row>
    <row r="8442" spans="18:21" x14ac:dyDescent="0.2">
      <c r="R8442" s="49">
        <v>8440</v>
      </c>
      <c r="S8442" s="59">
        <f ca="1">Dashboard!B$8* Dashboard!$F$4+Dashboard!B$10*SQRT(Dashboard!$F$4) * _xlfn.NORM.S.INV(RAND())</f>
        <v>4.2439656797766557E-3</v>
      </c>
      <c r="T8442" s="59">
        <f ca="1">Dashboard!C$8* Dashboard!$F$4+Dashboard!C$10*SQRT(Dashboard!$F$4) * _xlfn.NORM.S.INV(RAND())</f>
        <v>-1.1063912129137349E-2</v>
      </c>
      <c r="U8442" s="59">
        <f ca="1">Dashboard!D$8* Dashboard!$F$4+Dashboard!D$10*SQRT(Dashboard!$F$4) * _xlfn.NORM.S.INV(RAND())</f>
        <v>-9.6955024854044076E-3</v>
      </c>
    </row>
    <row r="8443" spans="18:21" x14ac:dyDescent="0.2">
      <c r="R8443" s="49">
        <v>8441</v>
      </c>
      <c r="S8443" s="59">
        <f ca="1">Dashboard!B$8* Dashboard!$F$4+Dashboard!B$10*SQRT(Dashboard!$F$4) * _xlfn.NORM.S.INV(RAND())</f>
        <v>1.6371266440754408E-2</v>
      </c>
      <c r="T8443" s="59">
        <f ca="1">Dashboard!C$8* Dashboard!$F$4+Dashboard!C$10*SQRT(Dashboard!$F$4) * _xlfn.NORM.S.INV(RAND())</f>
        <v>-1.4257374535576097E-2</v>
      </c>
      <c r="U8443" s="59">
        <f ca="1">Dashboard!D$8* Dashboard!$F$4+Dashboard!D$10*SQRT(Dashboard!$F$4) * _xlfn.NORM.S.INV(RAND())</f>
        <v>2.1155011823449459E-2</v>
      </c>
    </row>
    <row r="8444" spans="18:21" x14ac:dyDescent="0.2">
      <c r="R8444" s="49">
        <v>8442</v>
      </c>
      <c r="S8444" s="59">
        <f ca="1">Dashboard!B$8* Dashboard!$F$4+Dashboard!B$10*SQRT(Dashboard!$F$4) * _xlfn.NORM.S.INV(RAND())</f>
        <v>1.8529183192623533E-2</v>
      </c>
      <c r="T8444" s="59">
        <f ca="1">Dashboard!C$8* Dashboard!$F$4+Dashboard!C$10*SQRT(Dashboard!$F$4) * _xlfn.NORM.S.INV(RAND())</f>
        <v>2.580829832773722E-2</v>
      </c>
      <c r="U8444" s="59">
        <f ca="1">Dashboard!D$8* Dashboard!$F$4+Dashboard!D$10*SQRT(Dashboard!$F$4) * _xlfn.NORM.S.INV(RAND())</f>
        <v>3.293285125415029E-3</v>
      </c>
    </row>
    <row r="8445" spans="18:21" x14ac:dyDescent="0.2">
      <c r="R8445" s="49">
        <v>8443</v>
      </c>
      <c r="S8445" s="59">
        <f ca="1">Dashboard!B$8* Dashboard!$F$4+Dashboard!B$10*SQRT(Dashboard!$F$4) * _xlfn.NORM.S.INV(RAND())</f>
        <v>-1.2711551765224817E-2</v>
      </c>
      <c r="T8445" s="59">
        <f ca="1">Dashboard!C$8* Dashboard!$F$4+Dashboard!C$10*SQRT(Dashboard!$F$4) * _xlfn.NORM.S.INV(RAND())</f>
        <v>4.6547378021917107E-2</v>
      </c>
      <c r="U8445" s="59">
        <f ca="1">Dashboard!D$8* Dashboard!$F$4+Dashboard!D$10*SQRT(Dashboard!$F$4) * _xlfn.NORM.S.INV(RAND())</f>
        <v>4.0212732480722395E-3</v>
      </c>
    </row>
    <row r="8446" spans="18:21" x14ac:dyDescent="0.2">
      <c r="R8446" s="49">
        <v>8444</v>
      </c>
      <c r="S8446" s="59">
        <f ca="1">Dashboard!B$8* Dashboard!$F$4+Dashboard!B$10*SQRT(Dashboard!$F$4) * _xlfn.NORM.S.INV(RAND())</f>
        <v>-1.5178656597040579E-2</v>
      </c>
      <c r="T8446" s="59">
        <f ca="1">Dashboard!C$8* Dashboard!$F$4+Dashboard!C$10*SQRT(Dashboard!$F$4) * _xlfn.NORM.S.INV(RAND())</f>
        <v>6.52111546289426E-2</v>
      </c>
      <c r="U8446" s="59">
        <f ca="1">Dashboard!D$8* Dashboard!$F$4+Dashboard!D$10*SQRT(Dashboard!$F$4) * _xlfn.NORM.S.INV(RAND())</f>
        <v>-6.1841236591825954E-3</v>
      </c>
    </row>
    <row r="8447" spans="18:21" x14ac:dyDescent="0.2">
      <c r="R8447" s="49">
        <v>8445</v>
      </c>
      <c r="S8447" s="59">
        <f ca="1">Dashboard!B$8* Dashboard!$F$4+Dashboard!B$10*SQRT(Dashboard!$F$4) * _xlfn.NORM.S.INV(RAND())</f>
        <v>-1.2032224759585267E-2</v>
      </c>
      <c r="T8447" s="59">
        <f ca="1">Dashboard!C$8* Dashboard!$F$4+Dashboard!C$10*SQRT(Dashboard!$F$4) * _xlfn.NORM.S.INV(RAND())</f>
        <v>1.3908402819327845E-2</v>
      </c>
      <c r="U8447" s="59">
        <f ca="1">Dashboard!D$8* Dashboard!$F$4+Dashboard!D$10*SQRT(Dashboard!$F$4) * _xlfn.NORM.S.INV(RAND())</f>
        <v>1.1908155604409321E-2</v>
      </c>
    </row>
    <row r="8448" spans="18:21" x14ac:dyDescent="0.2">
      <c r="R8448" s="49">
        <v>8446</v>
      </c>
      <c r="S8448" s="59">
        <f ca="1">Dashboard!B$8* Dashboard!$F$4+Dashboard!B$10*SQRT(Dashboard!$F$4) * _xlfn.NORM.S.INV(RAND())</f>
        <v>4.3887670147892271E-2</v>
      </c>
      <c r="T8448" s="59">
        <f ca="1">Dashboard!C$8* Dashboard!$F$4+Dashboard!C$10*SQRT(Dashboard!$F$4) * _xlfn.NORM.S.INV(RAND())</f>
        <v>6.0504060284618912E-3</v>
      </c>
      <c r="U8448" s="59">
        <f ca="1">Dashboard!D$8* Dashboard!$F$4+Dashboard!D$10*SQRT(Dashboard!$F$4) * _xlfn.NORM.S.INV(RAND())</f>
        <v>1.25242505629638E-2</v>
      </c>
    </row>
    <row r="8449" spans="18:21" x14ac:dyDescent="0.2">
      <c r="R8449" s="49">
        <v>8447</v>
      </c>
      <c r="S8449" s="59">
        <f ca="1">Dashboard!B$8* Dashboard!$F$4+Dashboard!B$10*SQRT(Dashboard!$F$4) * _xlfn.NORM.S.INV(RAND())</f>
        <v>3.3912996434808912E-2</v>
      </c>
      <c r="T8449" s="59">
        <f ca="1">Dashboard!C$8* Dashboard!$F$4+Dashboard!C$10*SQRT(Dashboard!$F$4) * _xlfn.NORM.S.INV(RAND())</f>
        <v>-4.890362143480504E-2</v>
      </c>
      <c r="U8449" s="59">
        <f ca="1">Dashboard!D$8* Dashboard!$F$4+Dashboard!D$10*SQRT(Dashboard!$F$4) * _xlfn.NORM.S.INV(RAND())</f>
        <v>-1.9801932436796139E-2</v>
      </c>
    </row>
    <row r="8450" spans="18:21" x14ac:dyDescent="0.2">
      <c r="R8450" s="49">
        <v>8448</v>
      </c>
      <c r="S8450" s="59">
        <f ca="1">Dashboard!B$8* Dashboard!$F$4+Dashboard!B$10*SQRT(Dashboard!$F$4) * _xlfn.NORM.S.INV(RAND())</f>
        <v>-5.039769271750235E-2</v>
      </c>
      <c r="T8450" s="59">
        <f ca="1">Dashboard!C$8* Dashboard!$F$4+Dashboard!C$10*SQRT(Dashboard!$F$4) * _xlfn.NORM.S.INV(RAND())</f>
        <v>4.5929285915398618E-2</v>
      </c>
      <c r="U8450" s="59">
        <f ca="1">Dashboard!D$8* Dashboard!$F$4+Dashboard!D$10*SQRT(Dashboard!$F$4) * _xlfn.NORM.S.INV(RAND())</f>
        <v>4.082498787393825E-3</v>
      </c>
    </row>
    <row r="8451" spans="18:21" x14ac:dyDescent="0.2">
      <c r="R8451" s="49">
        <v>8449</v>
      </c>
      <c r="S8451" s="59">
        <f ca="1">Dashboard!B$8* Dashboard!$F$4+Dashboard!B$10*SQRT(Dashboard!$F$4) * _xlfn.NORM.S.INV(RAND())</f>
        <v>4.2366345009493593E-2</v>
      </c>
      <c r="T8451" s="59">
        <f ca="1">Dashboard!C$8* Dashboard!$F$4+Dashboard!C$10*SQRT(Dashboard!$F$4) * _xlfn.NORM.S.INV(RAND())</f>
        <v>-5.8419556930227453E-3</v>
      </c>
      <c r="U8451" s="59">
        <f ca="1">Dashboard!D$8* Dashboard!$F$4+Dashboard!D$10*SQRT(Dashboard!$F$4) * _xlfn.NORM.S.INV(RAND())</f>
        <v>2.6156808674747633E-2</v>
      </c>
    </row>
    <row r="8452" spans="18:21" x14ac:dyDescent="0.2">
      <c r="R8452" s="49">
        <v>8450</v>
      </c>
      <c r="S8452" s="59">
        <f ca="1">Dashboard!B$8* Dashboard!$F$4+Dashboard!B$10*SQRT(Dashboard!$F$4) * _xlfn.NORM.S.INV(RAND())</f>
        <v>-3.9843073294589066E-3</v>
      </c>
      <c r="T8452" s="59">
        <f ca="1">Dashboard!C$8* Dashboard!$F$4+Dashboard!C$10*SQRT(Dashboard!$F$4) * _xlfn.NORM.S.INV(RAND())</f>
        <v>4.6332817225517242E-2</v>
      </c>
      <c r="U8452" s="59">
        <f ca="1">Dashboard!D$8* Dashboard!$F$4+Dashboard!D$10*SQRT(Dashboard!$F$4) * _xlfn.NORM.S.INV(RAND())</f>
        <v>3.2047746742088212E-2</v>
      </c>
    </row>
    <row r="8453" spans="18:21" x14ac:dyDescent="0.2">
      <c r="R8453" s="49">
        <v>8451</v>
      </c>
      <c r="S8453" s="59">
        <f ca="1">Dashboard!B$8* Dashboard!$F$4+Dashboard!B$10*SQRT(Dashboard!$F$4) * _xlfn.NORM.S.INV(RAND())</f>
        <v>4.9459554839922863E-2</v>
      </c>
      <c r="T8453" s="59">
        <f ca="1">Dashboard!C$8* Dashboard!$F$4+Dashboard!C$10*SQRT(Dashboard!$F$4) * _xlfn.NORM.S.INV(RAND())</f>
        <v>3.5332610515060973E-2</v>
      </c>
      <c r="U8453" s="59">
        <f ca="1">Dashboard!D$8* Dashboard!$F$4+Dashboard!D$10*SQRT(Dashboard!$F$4) * _xlfn.NORM.S.INV(RAND())</f>
        <v>2.4899196905950549E-2</v>
      </c>
    </row>
    <row r="8454" spans="18:21" x14ac:dyDescent="0.2">
      <c r="R8454" s="49">
        <v>8452</v>
      </c>
      <c r="S8454" s="59">
        <f ca="1">Dashboard!B$8* Dashboard!$F$4+Dashboard!B$10*SQRT(Dashboard!$F$4) * _xlfn.NORM.S.INV(RAND())</f>
        <v>-8.280699441944931E-3</v>
      </c>
      <c r="T8454" s="59">
        <f ca="1">Dashboard!C$8* Dashboard!$F$4+Dashboard!C$10*SQRT(Dashboard!$F$4) * _xlfn.NORM.S.INV(RAND())</f>
        <v>2.2034443496492261E-2</v>
      </c>
      <c r="U8454" s="59">
        <f ca="1">Dashboard!D$8* Dashboard!$F$4+Dashboard!D$10*SQRT(Dashboard!$F$4) * _xlfn.NORM.S.INV(RAND())</f>
        <v>-2.2210847790783948E-2</v>
      </c>
    </row>
    <row r="8455" spans="18:21" x14ac:dyDescent="0.2">
      <c r="R8455" s="49">
        <v>8453</v>
      </c>
      <c r="S8455" s="59">
        <f ca="1">Dashboard!B$8* Dashboard!$F$4+Dashboard!B$10*SQRT(Dashboard!$F$4) * _xlfn.NORM.S.INV(RAND())</f>
        <v>-3.3751529115822444E-2</v>
      </c>
      <c r="T8455" s="59">
        <f ca="1">Dashboard!C$8* Dashboard!$F$4+Dashboard!C$10*SQRT(Dashboard!$F$4) * _xlfn.NORM.S.INV(RAND())</f>
        <v>3.08589136237452E-2</v>
      </c>
      <c r="U8455" s="59">
        <f ca="1">Dashboard!D$8* Dashboard!$F$4+Dashboard!D$10*SQRT(Dashboard!$F$4) * _xlfn.NORM.S.INV(RAND())</f>
        <v>9.2717948675344244E-3</v>
      </c>
    </row>
    <row r="8456" spans="18:21" x14ac:dyDescent="0.2">
      <c r="R8456" s="49">
        <v>8454</v>
      </c>
      <c r="S8456" s="59">
        <f ca="1">Dashboard!B$8* Dashboard!$F$4+Dashboard!B$10*SQRT(Dashboard!$F$4) * _xlfn.NORM.S.INV(RAND())</f>
        <v>3.5082895205089767E-2</v>
      </c>
      <c r="T8456" s="59">
        <f ca="1">Dashboard!C$8* Dashboard!$F$4+Dashboard!C$10*SQRT(Dashboard!$F$4) * _xlfn.NORM.S.INV(RAND())</f>
        <v>-2.4006492556090241E-2</v>
      </c>
      <c r="U8456" s="59">
        <f ca="1">Dashboard!D$8* Dashboard!$F$4+Dashboard!D$10*SQRT(Dashboard!$F$4) * _xlfn.NORM.S.INV(RAND())</f>
        <v>-1.4126423967008027E-2</v>
      </c>
    </row>
    <row r="8457" spans="18:21" x14ac:dyDescent="0.2">
      <c r="R8457" s="49">
        <v>8455</v>
      </c>
      <c r="S8457" s="59">
        <f ca="1">Dashboard!B$8* Dashboard!$F$4+Dashboard!B$10*SQRT(Dashboard!$F$4) * _xlfn.NORM.S.INV(RAND())</f>
        <v>-3.5374963161569052E-2</v>
      </c>
      <c r="T8457" s="59">
        <f ca="1">Dashboard!C$8* Dashboard!$F$4+Dashboard!C$10*SQRT(Dashboard!$F$4) * _xlfn.NORM.S.INV(RAND())</f>
        <v>-2.2387282615789806E-2</v>
      </c>
      <c r="U8457" s="59">
        <f ca="1">Dashboard!D$8* Dashboard!$F$4+Dashboard!D$10*SQRT(Dashboard!$F$4) * _xlfn.NORM.S.INV(RAND())</f>
        <v>4.3181986567096764E-2</v>
      </c>
    </row>
    <row r="8458" spans="18:21" x14ac:dyDescent="0.2">
      <c r="R8458" s="49">
        <v>8456</v>
      </c>
      <c r="S8458" s="59">
        <f ca="1">Dashboard!B$8* Dashboard!$F$4+Dashboard!B$10*SQRT(Dashboard!$F$4) * _xlfn.NORM.S.INV(RAND())</f>
        <v>6.1167940911917879E-2</v>
      </c>
      <c r="T8458" s="59">
        <f ca="1">Dashboard!C$8* Dashboard!$F$4+Dashboard!C$10*SQRT(Dashboard!$F$4) * _xlfn.NORM.S.INV(RAND())</f>
        <v>3.2741772033081573E-3</v>
      </c>
      <c r="U8458" s="59">
        <f ca="1">Dashboard!D$8* Dashboard!$F$4+Dashboard!D$10*SQRT(Dashboard!$F$4) * _xlfn.NORM.S.INV(RAND())</f>
        <v>3.4570890183200531E-2</v>
      </c>
    </row>
    <row r="8459" spans="18:21" x14ac:dyDescent="0.2">
      <c r="R8459" s="49">
        <v>8457</v>
      </c>
      <c r="S8459" s="59">
        <f ca="1">Dashboard!B$8* Dashboard!$F$4+Dashboard!B$10*SQRT(Dashboard!$F$4) * _xlfn.NORM.S.INV(RAND())</f>
        <v>-1.9332891417474674E-4</v>
      </c>
      <c r="T8459" s="59">
        <f ca="1">Dashboard!C$8* Dashboard!$F$4+Dashboard!C$10*SQRT(Dashboard!$F$4) * _xlfn.NORM.S.INV(RAND())</f>
        <v>6.2870568520923473E-2</v>
      </c>
      <c r="U8459" s="59">
        <f ca="1">Dashboard!D$8* Dashboard!$F$4+Dashboard!D$10*SQRT(Dashboard!$F$4) * _xlfn.NORM.S.INV(RAND())</f>
        <v>-5.2344104967840446E-3</v>
      </c>
    </row>
    <row r="8460" spans="18:21" x14ac:dyDescent="0.2">
      <c r="R8460" s="49">
        <v>8458</v>
      </c>
      <c r="S8460" s="59">
        <f ca="1">Dashboard!B$8* Dashboard!$F$4+Dashboard!B$10*SQRT(Dashboard!$F$4) * _xlfn.NORM.S.INV(RAND())</f>
        <v>-2.3050077964503576E-2</v>
      </c>
      <c r="T8460" s="59">
        <f ca="1">Dashboard!C$8* Dashboard!$F$4+Dashboard!C$10*SQRT(Dashboard!$F$4) * _xlfn.NORM.S.INV(RAND())</f>
        <v>2.0220612112503918E-2</v>
      </c>
      <c r="U8460" s="59">
        <f ca="1">Dashboard!D$8* Dashboard!$F$4+Dashboard!D$10*SQRT(Dashboard!$F$4) * _xlfn.NORM.S.INV(RAND())</f>
        <v>5.1912061014458444E-2</v>
      </c>
    </row>
    <row r="8461" spans="18:21" x14ac:dyDescent="0.2">
      <c r="R8461" s="49">
        <v>8459</v>
      </c>
      <c r="S8461" s="59">
        <f ca="1">Dashboard!B$8* Dashboard!$F$4+Dashboard!B$10*SQRT(Dashboard!$F$4) * _xlfn.NORM.S.INV(RAND())</f>
        <v>-5.7858296430269456E-2</v>
      </c>
      <c r="T8461" s="59">
        <f ca="1">Dashboard!C$8* Dashboard!$F$4+Dashboard!C$10*SQRT(Dashboard!$F$4) * _xlfn.NORM.S.INV(RAND())</f>
        <v>-4.9618156016238986E-2</v>
      </c>
      <c r="U8461" s="59">
        <f ca="1">Dashboard!D$8* Dashboard!$F$4+Dashboard!D$10*SQRT(Dashboard!$F$4) * _xlfn.NORM.S.INV(RAND())</f>
        <v>-2.328377624225204E-2</v>
      </c>
    </row>
    <row r="8462" spans="18:21" x14ac:dyDescent="0.2">
      <c r="R8462" s="49">
        <v>8460</v>
      </c>
      <c r="S8462" s="59">
        <f ca="1">Dashboard!B$8* Dashboard!$F$4+Dashboard!B$10*SQRT(Dashboard!$F$4) * _xlfn.NORM.S.INV(RAND())</f>
        <v>-2.6482964906007316E-2</v>
      </c>
      <c r="T8462" s="59">
        <f ca="1">Dashboard!C$8* Dashboard!$F$4+Dashboard!C$10*SQRT(Dashboard!$F$4) * _xlfn.NORM.S.INV(RAND())</f>
        <v>3.5164548020034436E-2</v>
      </c>
      <c r="U8462" s="59">
        <f ca="1">Dashboard!D$8* Dashboard!$F$4+Dashboard!D$10*SQRT(Dashboard!$F$4) * _xlfn.NORM.S.INV(RAND())</f>
        <v>-2.8236058604208289E-2</v>
      </c>
    </row>
    <row r="8463" spans="18:21" x14ac:dyDescent="0.2">
      <c r="R8463" s="49">
        <v>8461</v>
      </c>
      <c r="S8463" s="59">
        <f ca="1">Dashboard!B$8* Dashboard!$F$4+Dashboard!B$10*SQRT(Dashboard!$F$4) * _xlfn.NORM.S.INV(RAND())</f>
        <v>2.2670584390846196E-2</v>
      </c>
      <c r="T8463" s="59">
        <f ca="1">Dashboard!C$8* Dashboard!$F$4+Dashboard!C$10*SQRT(Dashboard!$F$4) * _xlfn.NORM.S.INV(RAND())</f>
        <v>-2.8679499808814228E-3</v>
      </c>
      <c r="U8463" s="59">
        <f ca="1">Dashboard!D$8* Dashboard!$F$4+Dashboard!D$10*SQRT(Dashboard!$F$4) * _xlfn.NORM.S.INV(RAND())</f>
        <v>1.2242638702650473E-3</v>
      </c>
    </row>
    <row r="8464" spans="18:21" x14ac:dyDescent="0.2">
      <c r="R8464" s="49">
        <v>8462</v>
      </c>
      <c r="S8464" s="59">
        <f ca="1">Dashboard!B$8* Dashboard!$F$4+Dashboard!B$10*SQRT(Dashboard!$F$4) * _xlfn.NORM.S.INV(RAND())</f>
        <v>5.2867534609850452E-3</v>
      </c>
      <c r="T8464" s="59">
        <f ca="1">Dashboard!C$8* Dashboard!$F$4+Dashboard!C$10*SQRT(Dashboard!$F$4) * _xlfn.NORM.S.INV(RAND())</f>
        <v>3.9799500214831321E-2</v>
      </c>
      <c r="U8464" s="59">
        <f ca="1">Dashboard!D$8* Dashboard!$F$4+Dashboard!D$10*SQRT(Dashboard!$F$4) * _xlfn.NORM.S.INV(RAND())</f>
        <v>-3.411987618254643E-2</v>
      </c>
    </row>
    <row r="8465" spans="18:21" x14ac:dyDescent="0.2">
      <c r="R8465" s="49">
        <v>8463</v>
      </c>
      <c r="S8465" s="59">
        <f ca="1">Dashboard!B$8* Dashboard!$F$4+Dashboard!B$10*SQRT(Dashboard!$F$4) * _xlfn.NORM.S.INV(RAND())</f>
        <v>3.3790626053447688E-2</v>
      </c>
      <c r="T8465" s="59">
        <f ca="1">Dashboard!C$8* Dashboard!$F$4+Dashboard!C$10*SQRT(Dashboard!$F$4) * _xlfn.NORM.S.INV(RAND())</f>
        <v>-7.5237064924878375E-2</v>
      </c>
      <c r="U8465" s="59">
        <f ca="1">Dashboard!D$8* Dashboard!$F$4+Dashboard!D$10*SQRT(Dashboard!$F$4) * _xlfn.NORM.S.INV(RAND())</f>
        <v>2.5108332074246932E-2</v>
      </c>
    </row>
    <row r="8466" spans="18:21" x14ac:dyDescent="0.2">
      <c r="R8466" s="49">
        <v>8464</v>
      </c>
      <c r="S8466" s="59">
        <f ca="1">Dashboard!B$8* Dashboard!$F$4+Dashboard!B$10*SQRT(Dashboard!$F$4) * _xlfn.NORM.S.INV(RAND())</f>
        <v>1.7798189251870836E-2</v>
      </c>
      <c r="T8466" s="59">
        <f ca="1">Dashboard!C$8* Dashboard!$F$4+Dashboard!C$10*SQRT(Dashboard!$F$4) * _xlfn.NORM.S.INV(RAND())</f>
        <v>-1.0970632737895277E-2</v>
      </c>
      <c r="U8466" s="59">
        <f ca="1">Dashboard!D$8* Dashboard!$F$4+Dashboard!D$10*SQRT(Dashboard!$F$4) * _xlfn.NORM.S.INV(RAND())</f>
        <v>-2.5988302583442391E-3</v>
      </c>
    </row>
    <row r="8467" spans="18:21" x14ac:dyDescent="0.2">
      <c r="R8467" s="49">
        <v>8465</v>
      </c>
      <c r="S8467" s="59">
        <f ca="1">Dashboard!B$8* Dashboard!$F$4+Dashboard!B$10*SQRT(Dashboard!$F$4) * _xlfn.NORM.S.INV(RAND())</f>
        <v>-2.85755634715609E-2</v>
      </c>
      <c r="T8467" s="59">
        <f ca="1">Dashboard!C$8* Dashboard!$F$4+Dashboard!C$10*SQRT(Dashboard!$F$4) * _xlfn.NORM.S.INV(RAND())</f>
        <v>2.5532774185084883E-2</v>
      </c>
      <c r="U8467" s="59">
        <f ca="1">Dashboard!D$8* Dashboard!$F$4+Dashboard!D$10*SQRT(Dashboard!$F$4) * _xlfn.NORM.S.INV(RAND())</f>
        <v>6.5509138601428799E-3</v>
      </c>
    </row>
    <row r="8468" spans="18:21" x14ac:dyDescent="0.2">
      <c r="R8468" s="49">
        <v>8466</v>
      </c>
      <c r="S8468" s="59">
        <f ca="1">Dashboard!B$8* Dashboard!$F$4+Dashboard!B$10*SQRT(Dashboard!$F$4) * _xlfn.NORM.S.INV(RAND())</f>
        <v>5.5775066753013317E-2</v>
      </c>
      <c r="T8468" s="59">
        <f ca="1">Dashboard!C$8* Dashboard!$F$4+Dashboard!C$10*SQRT(Dashboard!$F$4) * _xlfn.NORM.S.INV(RAND())</f>
        <v>2.9019420216229615E-3</v>
      </c>
      <c r="U8468" s="59">
        <f ca="1">Dashboard!D$8* Dashboard!$F$4+Dashboard!D$10*SQRT(Dashboard!$F$4) * _xlfn.NORM.S.INV(RAND())</f>
        <v>5.332720442523111E-3</v>
      </c>
    </row>
    <row r="8469" spans="18:21" x14ac:dyDescent="0.2">
      <c r="R8469" s="49">
        <v>8467</v>
      </c>
      <c r="S8469" s="59">
        <f ca="1">Dashboard!B$8* Dashboard!$F$4+Dashboard!B$10*SQRT(Dashboard!$F$4) * _xlfn.NORM.S.INV(RAND())</f>
        <v>-6.0138657437542958E-2</v>
      </c>
      <c r="T8469" s="59">
        <f ca="1">Dashboard!C$8* Dashboard!$F$4+Dashboard!C$10*SQRT(Dashboard!$F$4) * _xlfn.NORM.S.INV(RAND())</f>
        <v>1.051346709223377E-2</v>
      </c>
      <c r="U8469" s="59">
        <f ca="1">Dashboard!D$8* Dashboard!$F$4+Dashboard!D$10*SQRT(Dashboard!$F$4) * _xlfn.NORM.S.INV(RAND())</f>
        <v>-1.1690743913551739E-2</v>
      </c>
    </row>
    <row r="8470" spans="18:21" x14ac:dyDescent="0.2">
      <c r="R8470" s="49">
        <v>8468</v>
      </c>
      <c r="S8470" s="59">
        <f ca="1">Dashboard!B$8* Dashboard!$F$4+Dashboard!B$10*SQRT(Dashboard!$F$4) * _xlfn.NORM.S.INV(RAND())</f>
        <v>-6.1333878844837389E-2</v>
      </c>
      <c r="T8470" s="59">
        <f ca="1">Dashboard!C$8* Dashboard!$F$4+Dashboard!C$10*SQRT(Dashboard!$F$4) * _xlfn.NORM.S.INV(RAND())</f>
        <v>-1.1467971598741016E-3</v>
      </c>
      <c r="U8470" s="59">
        <f ca="1">Dashboard!D$8* Dashboard!$F$4+Dashboard!D$10*SQRT(Dashboard!$F$4) * _xlfn.NORM.S.INV(RAND())</f>
        <v>-5.4212653928689845E-3</v>
      </c>
    </row>
    <row r="8471" spans="18:21" x14ac:dyDescent="0.2">
      <c r="R8471" s="49">
        <v>8469</v>
      </c>
      <c r="S8471" s="59">
        <f ca="1">Dashboard!B$8* Dashboard!$F$4+Dashboard!B$10*SQRT(Dashboard!$F$4) * _xlfn.NORM.S.INV(RAND())</f>
        <v>4.0865475114866635E-2</v>
      </c>
      <c r="T8471" s="59">
        <f ca="1">Dashboard!C$8* Dashboard!$F$4+Dashboard!C$10*SQRT(Dashboard!$F$4) * _xlfn.NORM.S.INV(RAND())</f>
        <v>3.9035519949856004E-2</v>
      </c>
      <c r="U8471" s="59">
        <f ca="1">Dashboard!D$8* Dashboard!$F$4+Dashboard!D$10*SQRT(Dashboard!$F$4) * _xlfn.NORM.S.INV(RAND())</f>
        <v>-6.8359039587958569E-3</v>
      </c>
    </row>
    <row r="8472" spans="18:21" x14ac:dyDescent="0.2">
      <c r="R8472" s="49">
        <v>8470</v>
      </c>
      <c r="S8472" s="59">
        <f ca="1">Dashboard!B$8* Dashboard!$F$4+Dashboard!B$10*SQRT(Dashboard!$F$4) * _xlfn.NORM.S.INV(RAND())</f>
        <v>-1.2178379324351058E-2</v>
      </c>
      <c r="T8472" s="59">
        <f ca="1">Dashboard!C$8* Dashboard!$F$4+Dashboard!C$10*SQRT(Dashboard!$F$4) * _xlfn.NORM.S.INV(RAND())</f>
        <v>-4.6611044026266764E-2</v>
      </c>
      <c r="U8472" s="59">
        <f ca="1">Dashboard!D$8* Dashboard!$F$4+Dashboard!D$10*SQRT(Dashboard!$F$4) * _xlfn.NORM.S.INV(RAND())</f>
        <v>-2.6426709077422554E-2</v>
      </c>
    </row>
    <row r="8473" spans="18:21" x14ac:dyDescent="0.2">
      <c r="R8473" s="49">
        <v>8471</v>
      </c>
      <c r="S8473" s="59">
        <f ca="1">Dashboard!B$8* Dashboard!$F$4+Dashboard!B$10*SQRT(Dashboard!$F$4) * _xlfn.NORM.S.INV(RAND())</f>
        <v>6.025252085607849E-2</v>
      </c>
      <c r="T8473" s="59">
        <f ca="1">Dashboard!C$8* Dashboard!$F$4+Dashboard!C$10*SQRT(Dashboard!$F$4) * _xlfn.NORM.S.INV(RAND())</f>
        <v>-5.0070859893519136E-2</v>
      </c>
      <c r="U8473" s="59">
        <f ca="1">Dashboard!D$8* Dashboard!$F$4+Dashboard!D$10*SQRT(Dashboard!$F$4) * _xlfn.NORM.S.INV(RAND())</f>
        <v>1.8295323230975293E-2</v>
      </c>
    </row>
    <row r="8474" spans="18:21" x14ac:dyDescent="0.2">
      <c r="R8474" s="49">
        <v>8472</v>
      </c>
      <c r="S8474" s="59">
        <f ca="1">Dashboard!B$8* Dashboard!$F$4+Dashboard!B$10*SQRT(Dashboard!$F$4) * _xlfn.NORM.S.INV(RAND())</f>
        <v>-5.4082828164009195E-3</v>
      </c>
      <c r="T8474" s="59">
        <f ca="1">Dashboard!C$8* Dashboard!$F$4+Dashboard!C$10*SQRT(Dashboard!$F$4) * _xlfn.NORM.S.INV(RAND())</f>
        <v>2.2085839830204086E-2</v>
      </c>
      <c r="U8474" s="59">
        <f ca="1">Dashboard!D$8* Dashboard!$F$4+Dashboard!D$10*SQRT(Dashboard!$F$4) * _xlfn.NORM.S.INV(RAND())</f>
        <v>-1.934690286136298E-2</v>
      </c>
    </row>
    <row r="8475" spans="18:21" x14ac:dyDescent="0.2">
      <c r="R8475" s="49">
        <v>8473</v>
      </c>
      <c r="S8475" s="59">
        <f ca="1">Dashboard!B$8* Dashboard!$F$4+Dashboard!B$10*SQRT(Dashboard!$F$4) * _xlfn.NORM.S.INV(RAND())</f>
        <v>6.0051374710087785E-2</v>
      </c>
      <c r="T8475" s="59">
        <f ca="1">Dashboard!C$8* Dashboard!$F$4+Dashboard!C$10*SQRT(Dashboard!$F$4) * _xlfn.NORM.S.INV(RAND())</f>
        <v>2.3360684039233262E-2</v>
      </c>
      <c r="U8475" s="59">
        <f ca="1">Dashboard!D$8* Dashboard!$F$4+Dashboard!D$10*SQRT(Dashboard!$F$4) * _xlfn.NORM.S.INV(RAND())</f>
        <v>-3.5164318531460494E-2</v>
      </c>
    </row>
    <row r="8476" spans="18:21" x14ac:dyDescent="0.2">
      <c r="R8476" s="49">
        <v>8474</v>
      </c>
      <c r="S8476" s="59">
        <f ca="1">Dashboard!B$8* Dashboard!$F$4+Dashboard!B$10*SQRT(Dashboard!$F$4) * _xlfn.NORM.S.INV(RAND())</f>
        <v>-4.9998501552628314E-3</v>
      </c>
      <c r="T8476" s="59">
        <f ca="1">Dashboard!C$8* Dashboard!$F$4+Dashboard!C$10*SQRT(Dashboard!$F$4) * _xlfn.NORM.S.INV(RAND())</f>
        <v>3.2541328005002033E-3</v>
      </c>
      <c r="U8476" s="59">
        <f ca="1">Dashboard!D$8* Dashboard!$F$4+Dashboard!D$10*SQRT(Dashboard!$F$4) * _xlfn.NORM.S.INV(RAND())</f>
        <v>3.2424700966922737E-2</v>
      </c>
    </row>
    <row r="8477" spans="18:21" x14ac:dyDescent="0.2">
      <c r="R8477" s="49">
        <v>8475</v>
      </c>
      <c r="S8477" s="59">
        <f ca="1">Dashboard!B$8* Dashboard!$F$4+Dashboard!B$10*SQRT(Dashboard!$F$4) * _xlfn.NORM.S.INV(RAND())</f>
        <v>-2.3394943467384952E-2</v>
      </c>
      <c r="T8477" s="59">
        <f ca="1">Dashboard!C$8* Dashboard!$F$4+Dashboard!C$10*SQRT(Dashboard!$F$4) * _xlfn.NORM.S.INV(RAND())</f>
        <v>-3.5316071034493017E-2</v>
      </c>
      <c r="U8477" s="59">
        <f ca="1">Dashboard!D$8* Dashboard!$F$4+Dashboard!D$10*SQRT(Dashboard!$F$4) * _xlfn.NORM.S.INV(RAND())</f>
        <v>-2.46799644293434E-2</v>
      </c>
    </row>
    <row r="8478" spans="18:21" x14ac:dyDescent="0.2">
      <c r="R8478" s="49">
        <v>8476</v>
      </c>
      <c r="S8478" s="59">
        <f ca="1">Dashboard!B$8* Dashboard!$F$4+Dashboard!B$10*SQRT(Dashboard!$F$4) * _xlfn.NORM.S.INV(RAND())</f>
        <v>2.4592403180753279E-3</v>
      </c>
      <c r="T8478" s="59">
        <f ca="1">Dashboard!C$8* Dashboard!$F$4+Dashboard!C$10*SQRT(Dashboard!$F$4) * _xlfn.NORM.S.INV(RAND())</f>
        <v>2.1983586401624546E-2</v>
      </c>
      <c r="U8478" s="59">
        <f ca="1">Dashboard!D$8* Dashboard!$F$4+Dashboard!D$10*SQRT(Dashboard!$F$4) * _xlfn.NORM.S.INV(RAND())</f>
        <v>-2.4202841590222672E-2</v>
      </c>
    </row>
    <row r="8479" spans="18:21" x14ac:dyDescent="0.2">
      <c r="R8479" s="49">
        <v>8477</v>
      </c>
      <c r="S8479" s="59">
        <f ca="1">Dashboard!B$8* Dashboard!$F$4+Dashboard!B$10*SQRT(Dashboard!$F$4) * _xlfn.NORM.S.INV(RAND())</f>
        <v>-1.9501406138803069E-2</v>
      </c>
      <c r="T8479" s="59">
        <f ca="1">Dashboard!C$8* Dashboard!$F$4+Dashboard!C$10*SQRT(Dashboard!$F$4) * _xlfn.NORM.S.INV(RAND())</f>
        <v>4.0903669964935441E-2</v>
      </c>
      <c r="U8479" s="59">
        <f ca="1">Dashboard!D$8* Dashboard!$F$4+Dashboard!D$10*SQRT(Dashboard!$F$4) * _xlfn.NORM.S.INV(RAND())</f>
        <v>1.1153079404905076E-2</v>
      </c>
    </row>
    <row r="8480" spans="18:21" x14ac:dyDescent="0.2">
      <c r="R8480" s="49">
        <v>8478</v>
      </c>
      <c r="S8480" s="59">
        <f ca="1">Dashboard!B$8* Dashboard!$F$4+Dashboard!B$10*SQRT(Dashboard!$F$4) * _xlfn.NORM.S.INV(RAND())</f>
        <v>-4.2649899783886676E-2</v>
      </c>
      <c r="T8480" s="59">
        <f ca="1">Dashboard!C$8* Dashboard!$F$4+Dashboard!C$10*SQRT(Dashboard!$F$4) * _xlfn.NORM.S.INV(RAND())</f>
        <v>-3.1775956226173995E-3</v>
      </c>
      <c r="U8480" s="59">
        <f ca="1">Dashboard!D$8* Dashboard!$F$4+Dashboard!D$10*SQRT(Dashboard!$F$4) * _xlfn.NORM.S.INV(RAND())</f>
        <v>3.1122023785770867E-2</v>
      </c>
    </row>
    <row r="8481" spans="18:21" x14ac:dyDescent="0.2">
      <c r="R8481" s="49">
        <v>8479</v>
      </c>
      <c r="S8481" s="59">
        <f ca="1">Dashboard!B$8* Dashboard!$F$4+Dashboard!B$10*SQRT(Dashboard!$F$4) * _xlfn.NORM.S.INV(RAND())</f>
        <v>-7.8279855252586412E-3</v>
      </c>
      <c r="T8481" s="59">
        <f ca="1">Dashboard!C$8* Dashboard!$F$4+Dashboard!C$10*SQRT(Dashboard!$F$4) * _xlfn.NORM.S.INV(RAND())</f>
        <v>5.8565737018629171E-3</v>
      </c>
      <c r="U8481" s="59">
        <f ca="1">Dashboard!D$8* Dashboard!$F$4+Dashboard!D$10*SQRT(Dashboard!$F$4) * _xlfn.NORM.S.INV(RAND())</f>
        <v>-5.4633858880412056E-2</v>
      </c>
    </row>
    <row r="8482" spans="18:21" x14ac:dyDescent="0.2">
      <c r="R8482" s="49">
        <v>8480</v>
      </c>
      <c r="S8482" s="59">
        <f ca="1">Dashboard!B$8* Dashboard!$F$4+Dashboard!B$10*SQRT(Dashboard!$F$4) * _xlfn.NORM.S.INV(RAND())</f>
        <v>-3.5308493057367496E-2</v>
      </c>
      <c r="T8482" s="59">
        <f ca="1">Dashboard!C$8* Dashboard!$F$4+Dashboard!C$10*SQRT(Dashboard!$F$4) * _xlfn.NORM.S.INV(RAND())</f>
        <v>-3.9135617166358758E-2</v>
      </c>
      <c r="U8482" s="59">
        <f ca="1">Dashboard!D$8* Dashboard!$F$4+Dashboard!D$10*SQRT(Dashboard!$F$4) * _xlfn.NORM.S.INV(RAND())</f>
        <v>4.896113238780319E-2</v>
      </c>
    </row>
    <row r="8483" spans="18:21" x14ac:dyDescent="0.2">
      <c r="R8483" s="49">
        <v>8481</v>
      </c>
      <c r="S8483" s="59">
        <f ca="1">Dashboard!B$8* Dashboard!$F$4+Dashboard!B$10*SQRT(Dashboard!$F$4) * _xlfn.NORM.S.INV(RAND())</f>
        <v>1.6098316965877685E-2</v>
      </c>
      <c r="T8483" s="59">
        <f ca="1">Dashboard!C$8* Dashboard!$F$4+Dashboard!C$10*SQRT(Dashboard!$F$4) * _xlfn.NORM.S.INV(RAND())</f>
        <v>9.0471284211525033E-3</v>
      </c>
      <c r="U8483" s="59">
        <f ca="1">Dashboard!D$8* Dashboard!$F$4+Dashboard!D$10*SQRT(Dashboard!$F$4) * _xlfn.NORM.S.INV(RAND())</f>
        <v>1.5599580400411341E-2</v>
      </c>
    </row>
    <row r="8484" spans="18:21" x14ac:dyDescent="0.2">
      <c r="R8484" s="49">
        <v>8482</v>
      </c>
      <c r="S8484" s="59">
        <f ca="1">Dashboard!B$8* Dashboard!$F$4+Dashboard!B$10*SQRT(Dashboard!$F$4) * _xlfn.NORM.S.INV(RAND())</f>
        <v>1.4953218066662633E-2</v>
      </c>
      <c r="T8484" s="59">
        <f ca="1">Dashboard!C$8* Dashboard!$F$4+Dashboard!C$10*SQRT(Dashboard!$F$4) * _xlfn.NORM.S.INV(RAND())</f>
        <v>3.3987855406338356E-2</v>
      </c>
      <c r="U8484" s="59">
        <f ca="1">Dashboard!D$8* Dashboard!$F$4+Dashboard!D$10*SQRT(Dashboard!$F$4) * _xlfn.NORM.S.INV(RAND())</f>
        <v>-2.237835057930106E-2</v>
      </c>
    </row>
    <row r="8485" spans="18:21" x14ac:dyDescent="0.2">
      <c r="R8485" s="49">
        <v>8483</v>
      </c>
      <c r="S8485" s="59">
        <f ca="1">Dashboard!B$8* Dashboard!$F$4+Dashboard!B$10*SQRT(Dashboard!$F$4) * _xlfn.NORM.S.INV(RAND())</f>
        <v>3.1372286227580197E-2</v>
      </c>
      <c r="T8485" s="59">
        <f ca="1">Dashboard!C$8* Dashboard!$F$4+Dashboard!C$10*SQRT(Dashboard!$F$4) * _xlfn.NORM.S.INV(RAND())</f>
        <v>7.5162247041970193E-2</v>
      </c>
      <c r="U8485" s="59">
        <f ca="1">Dashboard!D$8* Dashboard!$F$4+Dashboard!D$10*SQRT(Dashboard!$F$4) * _xlfn.NORM.S.INV(RAND())</f>
        <v>6.6104514790485593E-3</v>
      </c>
    </row>
    <row r="8486" spans="18:21" x14ac:dyDescent="0.2">
      <c r="R8486" s="49">
        <v>8484</v>
      </c>
      <c r="S8486" s="59">
        <f ca="1">Dashboard!B$8* Dashboard!$F$4+Dashboard!B$10*SQRT(Dashboard!$F$4) * _xlfn.NORM.S.INV(RAND())</f>
        <v>5.9527000472323292E-3</v>
      </c>
      <c r="T8486" s="59">
        <f ca="1">Dashboard!C$8* Dashboard!$F$4+Dashboard!C$10*SQRT(Dashboard!$F$4) * _xlfn.NORM.S.INV(RAND())</f>
        <v>6.2824665445215061E-2</v>
      </c>
      <c r="U8486" s="59">
        <f ca="1">Dashboard!D$8* Dashboard!$F$4+Dashboard!D$10*SQRT(Dashboard!$F$4) * _xlfn.NORM.S.INV(RAND())</f>
        <v>3.1967615081481555E-2</v>
      </c>
    </row>
    <row r="8487" spans="18:21" x14ac:dyDescent="0.2">
      <c r="R8487" s="49">
        <v>8485</v>
      </c>
      <c r="S8487" s="59">
        <f ca="1">Dashboard!B$8* Dashboard!$F$4+Dashboard!B$10*SQRT(Dashboard!$F$4) * _xlfn.NORM.S.INV(RAND())</f>
        <v>-4.1878341942028968E-2</v>
      </c>
      <c r="T8487" s="59">
        <f ca="1">Dashboard!C$8* Dashboard!$F$4+Dashboard!C$10*SQRT(Dashboard!$F$4) * _xlfn.NORM.S.INV(RAND())</f>
        <v>-4.5159502719641842E-3</v>
      </c>
      <c r="U8487" s="59">
        <f ca="1">Dashboard!D$8* Dashboard!$F$4+Dashboard!D$10*SQRT(Dashboard!$F$4) * _xlfn.NORM.S.INV(RAND())</f>
        <v>5.940362284945021E-3</v>
      </c>
    </row>
    <row r="8488" spans="18:21" x14ac:dyDescent="0.2">
      <c r="R8488" s="49">
        <v>8486</v>
      </c>
      <c r="S8488" s="59">
        <f ca="1">Dashboard!B$8* Dashboard!$F$4+Dashboard!B$10*SQRT(Dashboard!$F$4) * _xlfn.NORM.S.INV(RAND())</f>
        <v>-3.6959861699252055E-3</v>
      </c>
      <c r="T8488" s="59">
        <f ca="1">Dashboard!C$8* Dashboard!$F$4+Dashboard!C$10*SQRT(Dashboard!$F$4) * _xlfn.NORM.S.INV(RAND())</f>
        <v>1.4668615436107149E-3</v>
      </c>
      <c r="U8488" s="59">
        <f ca="1">Dashboard!D$8* Dashboard!$F$4+Dashboard!D$10*SQRT(Dashboard!$F$4) * _xlfn.NORM.S.INV(RAND())</f>
        <v>9.95144338766407E-3</v>
      </c>
    </row>
    <row r="8489" spans="18:21" x14ac:dyDescent="0.2">
      <c r="R8489" s="49">
        <v>8487</v>
      </c>
      <c r="S8489" s="59">
        <f ca="1">Dashboard!B$8* Dashboard!$F$4+Dashboard!B$10*SQRT(Dashboard!$F$4) * _xlfn.NORM.S.INV(RAND())</f>
        <v>5.2912713968511788E-3</v>
      </c>
      <c r="T8489" s="59">
        <f ca="1">Dashboard!C$8* Dashboard!$F$4+Dashboard!C$10*SQRT(Dashboard!$F$4) * _xlfn.NORM.S.INV(RAND())</f>
        <v>-6.14397853826288E-2</v>
      </c>
      <c r="U8489" s="59">
        <f ca="1">Dashboard!D$8* Dashboard!$F$4+Dashboard!D$10*SQRT(Dashboard!$F$4) * _xlfn.NORM.S.INV(RAND())</f>
        <v>5.2876411725022218E-3</v>
      </c>
    </row>
    <row r="8490" spans="18:21" x14ac:dyDescent="0.2">
      <c r="R8490" s="49">
        <v>8488</v>
      </c>
      <c r="S8490" s="59">
        <f ca="1">Dashboard!B$8* Dashboard!$F$4+Dashboard!B$10*SQRT(Dashboard!$F$4) * _xlfn.NORM.S.INV(RAND())</f>
        <v>-4.9090748119403138E-3</v>
      </c>
      <c r="T8490" s="59">
        <f ca="1">Dashboard!C$8* Dashboard!$F$4+Dashboard!C$10*SQRT(Dashboard!$F$4) * _xlfn.NORM.S.INV(RAND())</f>
        <v>3.7813270861365343E-2</v>
      </c>
      <c r="U8490" s="59">
        <f ca="1">Dashboard!D$8* Dashboard!$F$4+Dashboard!D$10*SQRT(Dashboard!$F$4) * _xlfn.NORM.S.INV(RAND())</f>
        <v>1.1465942423714985E-2</v>
      </c>
    </row>
    <row r="8491" spans="18:21" x14ac:dyDescent="0.2">
      <c r="R8491" s="49">
        <v>8489</v>
      </c>
      <c r="S8491" s="59">
        <f ca="1">Dashboard!B$8* Dashboard!$F$4+Dashboard!B$10*SQRT(Dashboard!$F$4) * _xlfn.NORM.S.INV(RAND())</f>
        <v>9.3177943081435167E-3</v>
      </c>
      <c r="T8491" s="59">
        <f ca="1">Dashboard!C$8* Dashboard!$F$4+Dashboard!C$10*SQRT(Dashboard!$F$4) * _xlfn.NORM.S.INV(RAND())</f>
        <v>-1.7608180542728787E-2</v>
      </c>
      <c r="U8491" s="59">
        <f ca="1">Dashboard!D$8* Dashboard!$F$4+Dashboard!D$10*SQRT(Dashboard!$F$4) * _xlfn.NORM.S.INV(RAND())</f>
        <v>1.5139091983556122E-2</v>
      </c>
    </row>
    <row r="8492" spans="18:21" x14ac:dyDescent="0.2">
      <c r="R8492" s="49">
        <v>8490</v>
      </c>
      <c r="S8492" s="59">
        <f ca="1">Dashboard!B$8* Dashboard!$F$4+Dashboard!B$10*SQRT(Dashboard!$F$4) * _xlfn.NORM.S.INV(RAND())</f>
        <v>-4.986711942095097E-2</v>
      </c>
      <c r="T8492" s="59">
        <f ca="1">Dashboard!C$8* Dashboard!$F$4+Dashboard!C$10*SQRT(Dashboard!$F$4) * _xlfn.NORM.S.INV(RAND())</f>
        <v>3.2285031350868125E-2</v>
      </c>
      <c r="U8492" s="59">
        <f ca="1">Dashboard!D$8* Dashboard!$F$4+Dashboard!D$10*SQRT(Dashboard!$F$4) * _xlfn.NORM.S.INV(RAND())</f>
        <v>1.9742231969038005E-2</v>
      </c>
    </row>
    <row r="8493" spans="18:21" x14ac:dyDescent="0.2">
      <c r="R8493" s="49">
        <v>8491</v>
      </c>
      <c r="S8493" s="59">
        <f ca="1">Dashboard!B$8* Dashboard!$F$4+Dashboard!B$10*SQRT(Dashboard!$F$4) * _xlfn.NORM.S.INV(RAND())</f>
        <v>5.9439983916721797E-3</v>
      </c>
      <c r="T8493" s="59">
        <f ca="1">Dashboard!C$8* Dashboard!$F$4+Dashboard!C$10*SQRT(Dashboard!$F$4) * _xlfn.NORM.S.INV(RAND())</f>
        <v>7.4164733746252598E-2</v>
      </c>
      <c r="U8493" s="59">
        <f ca="1">Dashboard!D$8* Dashboard!$F$4+Dashboard!D$10*SQRT(Dashboard!$F$4) * _xlfn.NORM.S.INV(RAND())</f>
        <v>-2.6938991096556102E-2</v>
      </c>
    </row>
    <row r="8494" spans="18:21" x14ac:dyDescent="0.2">
      <c r="R8494" s="49">
        <v>8492</v>
      </c>
      <c r="S8494" s="59">
        <f ca="1">Dashboard!B$8* Dashboard!$F$4+Dashboard!B$10*SQRT(Dashboard!$F$4) * _xlfn.NORM.S.INV(RAND())</f>
        <v>1.855094558288771E-2</v>
      </c>
      <c r="T8494" s="59">
        <f ca="1">Dashboard!C$8* Dashboard!$F$4+Dashboard!C$10*SQRT(Dashboard!$F$4) * _xlfn.NORM.S.INV(RAND())</f>
        <v>5.4267691648886042E-2</v>
      </c>
      <c r="U8494" s="59">
        <f ca="1">Dashboard!D$8* Dashboard!$F$4+Dashboard!D$10*SQRT(Dashboard!$F$4) * _xlfn.NORM.S.INV(RAND())</f>
        <v>-3.5270255642664864E-3</v>
      </c>
    </row>
    <row r="8495" spans="18:21" x14ac:dyDescent="0.2">
      <c r="R8495" s="49">
        <v>8493</v>
      </c>
      <c r="S8495" s="59">
        <f ca="1">Dashboard!B$8* Dashboard!$F$4+Dashboard!B$10*SQRT(Dashboard!$F$4) * _xlfn.NORM.S.INV(RAND())</f>
        <v>-1.0592330458557578E-2</v>
      </c>
      <c r="T8495" s="59">
        <f ca="1">Dashboard!C$8* Dashboard!$F$4+Dashboard!C$10*SQRT(Dashboard!$F$4) * _xlfn.NORM.S.INV(RAND())</f>
        <v>7.5862926667020589E-2</v>
      </c>
      <c r="U8495" s="59">
        <f ca="1">Dashboard!D$8* Dashboard!$F$4+Dashboard!D$10*SQRT(Dashboard!$F$4) * _xlfn.NORM.S.INV(RAND())</f>
        <v>2.6008962489853854E-3</v>
      </c>
    </row>
    <row r="8496" spans="18:21" x14ac:dyDescent="0.2">
      <c r="R8496" s="49">
        <v>8494</v>
      </c>
      <c r="S8496" s="59">
        <f ca="1">Dashboard!B$8* Dashboard!$F$4+Dashboard!B$10*SQRT(Dashboard!$F$4) * _xlfn.NORM.S.INV(RAND())</f>
        <v>-1.786930239162398E-2</v>
      </c>
      <c r="T8496" s="59">
        <f ca="1">Dashboard!C$8* Dashboard!$F$4+Dashboard!C$10*SQRT(Dashboard!$F$4) * _xlfn.NORM.S.INV(RAND())</f>
        <v>1.5718683101196122E-2</v>
      </c>
      <c r="U8496" s="59">
        <f ca="1">Dashboard!D$8* Dashboard!$F$4+Dashboard!D$10*SQRT(Dashboard!$F$4) * _xlfn.NORM.S.INV(RAND())</f>
        <v>5.5167405378874323E-2</v>
      </c>
    </row>
    <row r="8497" spans="18:21" x14ac:dyDescent="0.2">
      <c r="R8497" s="49">
        <v>8495</v>
      </c>
      <c r="S8497" s="59">
        <f ca="1">Dashboard!B$8* Dashboard!$F$4+Dashboard!B$10*SQRT(Dashboard!$F$4) * _xlfn.NORM.S.INV(RAND())</f>
        <v>1.0699126769094994E-2</v>
      </c>
      <c r="T8497" s="59">
        <f ca="1">Dashboard!C$8* Dashboard!$F$4+Dashboard!C$10*SQRT(Dashboard!$F$4) * _xlfn.NORM.S.INV(RAND())</f>
        <v>1.7886053649444004E-2</v>
      </c>
      <c r="U8497" s="59">
        <f ca="1">Dashboard!D$8* Dashboard!$F$4+Dashboard!D$10*SQRT(Dashboard!$F$4) * _xlfn.NORM.S.INV(RAND())</f>
        <v>1.8149990387990058E-2</v>
      </c>
    </row>
    <row r="8498" spans="18:21" x14ac:dyDescent="0.2">
      <c r="R8498" s="49">
        <v>8496</v>
      </c>
      <c r="S8498" s="59">
        <f ca="1">Dashboard!B$8* Dashboard!$F$4+Dashboard!B$10*SQRT(Dashboard!$F$4) * _xlfn.NORM.S.INV(RAND())</f>
        <v>-5.7247552419826771E-2</v>
      </c>
      <c r="T8498" s="59">
        <f ca="1">Dashboard!C$8* Dashboard!$F$4+Dashboard!C$10*SQRT(Dashboard!$F$4) * _xlfn.NORM.S.INV(RAND())</f>
        <v>8.6598356459078006E-3</v>
      </c>
      <c r="U8498" s="59">
        <f ca="1">Dashboard!D$8* Dashboard!$F$4+Dashboard!D$10*SQRT(Dashboard!$F$4) * _xlfn.NORM.S.INV(RAND())</f>
        <v>-6.2139486458108019E-3</v>
      </c>
    </row>
    <row r="8499" spans="18:21" x14ac:dyDescent="0.2">
      <c r="R8499" s="49">
        <v>8497</v>
      </c>
      <c r="S8499" s="59">
        <f ca="1">Dashboard!B$8* Dashboard!$F$4+Dashboard!B$10*SQRT(Dashboard!$F$4) * _xlfn.NORM.S.INV(RAND())</f>
        <v>1.197379374779684E-3</v>
      </c>
      <c r="T8499" s="59">
        <f ca="1">Dashboard!C$8* Dashboard!$F$4+Dashboard!C$10*SQRT(Dashboard!$F$4) * _xlfn.NORM.S.INV(RAND())</f>
        <v>1.8322727625811028E-2</v>
      </c>
      <c r="U8499" s="59">
        <f ca="1">Dashboard!D$8* Dashboard!$F$4+Dashboard!D$10*SQRT(Dashboard!$F$4) * _xlfn.NORM.S.INV(RAND())</f>
        <v>3.5327805512922188E-2</v>
      </c>
    </row>
    <row r="8500" spans="18:21" x14ac:dyDescent="0.2">
      <c r="R8500" s="49">
        <v>8498</v>
      </c>
      <c r="S8500" s="59">
        <f ca="1">Dashboard!B$8* Dashboard!$F$4+Dashboard!B$10*SQRT(Dashboard!$F$4) * _xlfn.NORM.S.INV(RAND())</f>
        <v>7.5150447329161985E-3</v>
      </c>
      <c r="T8500" s="59">
        <f ca="1">Dashboard!C$8* Dashboard!$F$4+Dashboard!C$10*SQRT(Dashboard!$F$4) * _xlfn.NORM.S.INV(RAND())</f>
        <v>1.511449658920163E-4</v>
      </c>
      <c r="U8500" s="59">
        <f ca="1">Dashboard!D$8* Dashboard!$F$4+Dashboard!D$10*SQRT(Dashboard!$F$4) * _xlfn.NORM.S.INV(RAND())</f>
        <v>-4.1389165041076426E-2</v>
      </c>
    </row>
    <row r="8501" spans="18:21" x14ac:dyDescent="0.2">
      <c r="R8501" s="49">
        <v>8499</v>
      </c>
      <c r="S8501" s="59">
        <f ca="1">Dashboard!B$8* Dashboard!$F$4+Dashboard!B$10*SQRT(Dashboard!$F$4) * _xlfn.NORM.S.INV(RAND())</f>
        <v>-1.3556913868811676E-2</v>
      </c>
      <c r="T8501" s="59">
        <f ca="1">Dashboard!C$8* Dashboard!$F$4+Dashboard!C$10*SQRT(Dashboard!$F$4) * _xlfn.NORM.S.INV(RAND())</f>
        <v>-1.4088200449571431E-2</v>
      </c>
      <c r="U8501" s="59">
        <f ca="1">Dashboard!D$8* Dashboard!$F$4+Dashboard!D$10*SQRT(Dashboard!$F$4) * _xlfn.NORM.S.INV(RAND())</f>
        <v>1.8974966597935305E-2</v>
      </c>
    </row>
    <row r="8502" spans="18:21" x14ac:dyDescent="0.2">
      <c r="R8502" s="49">
        <v>8500</v>
      </c>
      <c r="S8502" s="59">
        <f ca="1">Dashboard!B$8* Dashboard!$F$4+Dashboard!B$10*SQRT(Dashboard!$F$4) * _xlfn.NORM.S.INV(RAND())</f>
        <v>-1.0359123195436037E-2</v>
      </c>
      <c r="T8502" s="59">
        <f ca="1">Dashboard!C$8* Dashboard!$F$4+Dashboard!C$10*SQRT(Dashboard!$F$4) * _xlfn.NORM.S.INV(RAND())</f>
        <v>7.471055273247193E-3</v>
      </c>
      <c r="U8502" s="59">
        <f ca="1">Dashboard!D$8* Dashboard!$F$4+Dashboard!D$10*SQRT(Dashboard!$F$4) * _xlfn.NORM.S.INV(RAND())</f>
        <v>-1.0673459670849827E-2</v>
      </c>
    </row>
    <row r="8503" spans="18:21" x14ac:dyDescent="0.2">
      <c r="R8503" s="49">
        <v>8501</v>
      </c>
      <c r="S8503" s="59">
        <f ca="1">Dashboard!B$8* Dashboard!$F$4+Dashboard!B$10*SQRT(Dashboard!$F$4) * _xlfn.NORM.S.INV(RAND())</f>
        <v>8.5258500807100981E-3</v>
      </c>
      <c r="T8503" s="59">
        <f ca="1">Dashboard!C$8* Dashboard!$F$4+Dashboard!C$10*SQRT(Dashboard!$F$4) * _xlfn.NORM.S.INV(RAND())</f>
        <v>-4.6033962552281737E-3</v>
      </c>
      <c r="U8503" s="59">
        <f ca="1">Dashboard!D$8* Dashboard!$F$4+Dashboard!D$10*SQRT(Dashboard!$F$4) * _xlfn.NORM.S.INV(RAND())</f>
        <v>-8.4130019036005553E-3</v>
      </c>
    </row>
    <row r="8504" spans="18:21" x14ac:dyDescent="0.2">
      <c r="R8504" s="49">
        <v>8502</v>
      </c>
      <c r="S8504" s="59">
        <f ca="1">Dashboard!B$8* Dashboard!$F$4+Dashboard!B$10*SQRT(Dashboard!$F$4) * _xlfn.NORM.S.INV(RAND())</f>
        <v>-4.0273450367215385E-2</v>
      </c>
      <c r="T8504" s="59">
        <f ca="1">Dashboard!C$8* Dashboard!$F$4+Dashboard!C$10*SQRT(Dashboard!$F$4) * _xlfn.NORM.S.INV(RAND())</f>
        <v>1.743630048352399E-2</v>
      </c>
      <c r="U8504" s="59">
        <f ca="1">Dashboard!D$8* Dashboard!$F$4+Dashboard!D$10*SQRT(Dashboard!$F$4) * _xlfn.NORM.S.INV(RAND())</f>
        <v>2.1403994349263818E-2</v>
      </c>
    </row>
    <row r="8505" spans="18:21" x14ac:dyDescent="0.2">
      <c r="R8505" s="49">
        <v>8503</v>
      </c>
      <c r="S8505" s="59">
        <f ca="1">Dashboard!B$8* Dashboard!$F$4+Dashboard!B$10*SQRT(Dashboard!$F$4) * _xlfn.NORM.S.INV(RAND())</f>
        <v>9.2240795628724254E-3</v>
      </c>
      <c r="T8505" s="59">
        <f ca="1">Dashboard!C$8* Dashboard!$F$4+Dashboard!C$10*SQRT(Dashboard!$F$4) * _xlfn.NORM.S.INV(RAND())</f>
        <v>-4.7265989661062609E-2</v>
      </c>
      <c r="U8505" s="59">
        <f ca="1">Dashboard!D$8* Dashboard!$F$4+Dashboard!D$10*SQRT(Dashboard!$F$4) * _xlfn.NORM.S.INV(RAND())</f>
        <v>9.0061766401020298E-3</v>
      </c>
    </row>
    <row r="8506" spans="18:21" x14ac:dyDescent="0.2">
      <c r="R8506" s="49">
        <v>8504</v>
      </c>
      <c r="S8506" s="59">
        <f ca="1">Dashboard!B$8* Dashboard!$F$4+Dashboard!B$10*SQRT(Dashboard!$F$4) * _xlfn.NORM.S.INV(RAND())</f>
        <v>-7.814274602851788E-4</v>
      </c>
      <c r="T8506" s="59">
        <f ca="1">Dashboard!C$8* Dashboard!$F$4+Dashboard!C$10*SQRT(Dashboard!$F$4) * _xlfn.NORM.S.INV(RAND())</f>
        <v>-2.8944383779308944E-2</v>
      </c>
      <c r="U8506" s="59">
        <f ca="1">Dashboard!D$8* Dashboard!$F$4+Dashboard!D$10*SQRT(Dashboard!$F$4) * _xlfn.NORM.S.INV(RAND())</f>
        <v>2.898411176967362E-2</v>
      </c>
    </row>
    <row r="8507" spans="18:21" x14ac:dyDescent="0.2">
      <c r="R8507" s="49">
        <v>8505</v>
      </c>
      <c r="S8507" s="59">
        <f ca="1">Dashboard!B$8* Dashboard!$F$4+Dashboard!B$10*SQRT(Dashboard!$F$4) * _xlfn.NORM.S.INV(RAND())</f>
        <v>-2.7166002848611905E-2</v>
      </c>
      <c r="T8507" s="59">
        <f ca="1">Dashboard!C$8* Dashboard!$F$4+Dashboard!C$10*SQRT(Dashboard!$F$4) * _xlfn.NORM.S.INV(RAND())</f>
        <v>-1.5659195038878977E-2</v>
      </c>
      <c r="U8507" s="59">
        <f ca="1">Dashboard!D$8* Dashboard!$F$4+Dashboard!D$10*SQRT(Dashboard!$F$4) * _xlfn.NORM.S.INV(RAND())</f>
        <v>-1.6425922549657166E-2</v>
      </c>
    </row>
    <row r="8508" spans="18:21" x14ac:dyDescent="0.2">
      <c r="R8508" s="49">
        <v>8506</v>
      </c>
      <c r="S8508" s="59">
        <f ca="1">Dashboard!B$8* Dashboard!$F$4+Dashboard!B$10*SQRT(Dashboard!$F$4) * _xlfn.NORM.S.INV(RAND())</f>
        <v>9.8505847595798304E-3</v>
      </c>
      <c r="T8508" s="59">
        <f ca="1">Dashboard!C$8* Dashboard!$F$4+Dashboard!C$10*SQRT(Dashboard!$F$4) * _xlfn.NORM.S.INV(RAND())</f>
        <v>-1.1164946422875912E-3</v>
      </c>
      <c r="U8508" s="59">
        <f ca="1">Dashboard!D$8* Dashboard!$F$4+Dashboard!D$10*SQRT(Dashboard!$F$4) * _xlfn.NORM.S.INV(RAND())</f>
        <v>-3.2228526509644605E-2</v>
      </c>
    </row>
    <row r="8509" spans="18:21" x14ac:dyDescent="0.2">
      <c r="R8509" s="49">
        <v>8507</v>
      </c>
      <c r="S8509" s="59">
        <f ca="1">Dashboard!B$8* Dashboard!$F$4+Dashboard!B$10*SQRT(Dashboard!$F$4) * _xlfn.NORM.S.INV(RAND())</f>
        <v>-5.0944191939828971E-2</v>
      </c>
      <c r="T8509" s="59">
        <f ca="1">Dashboard!C$8* Dashboard!$F$4+Dashboard!C$10*SQRT(Dashboard!$F$4) * _xlfn.NORM.S.INV(RAND())</f>
        <v>-3.5961342724591991E-2</v>
      </c>
      <c r="U8509" s="59">
        <f ca="1">Dashboard!D$8* Dashboard!$F$4+Dashboard!D$10*SQRT(Dashboard!$F$4) * _xlfn.NORM.S.INV(RAND())</f>
        <v>6.8320109893620562E-3</v>
      </c>
    </row>
    <row r="8510" spans="18:21" x14ac:dyDescent="0.2">
      <c r="R8510" s="49">
        <v>8508</v>
      </c>
      <c r="S8510" s="59">
        <f ca="1">Dashboard!B$8* Dashboard!$F$4+Dashboard!B$10*SQRT(Dashboard!$F$4) * _xlfn.NORM.S.INV(RAND())</f>
        <v>3.3842123269309507E-2</v>
      </c>
      <c r="T8510" s="59">
        <f ca="1">Dashboard!C$8* Dashboard!$F$4+Dashboard!C$10*SQRT(Dashboard!$F$4) * _xlfn.NORM.S.INV(RAND())</f>
        <v>1.7958046528258009E-2</v>
      </c>
      <c r="U8510" s="59">
        <f ca="1">Dashboard!D$8* Dashboard!$F$4+Dashboard!D$10*SQRT(Dashboard!$F$4) * _xlfn.NORM.S.INV(RAND())</f>
        <v>-2.5150949160034387E-2</v>
      </c>
    </row>
    <row r="8511" spans="18:21" x14ac:dyDescent="0.2">
      <c r="R8511" s="49">
        <v>8509</v>
      </c>
      <c r="S8511" s="59">
        <f ca="1">Dashboard!B$8* Dashboard!$F$4+Dashboard!B$10*SQRT(Dashboard!$F$4) * _xlfn.NORM.S.INV(RAND())</f>
        <v>-4.0263888174904096E-2</v>
      </c>
      <c r="T8511" s="59">
        <f ca="1">Dashboard!C$8* Dashboard!$F$4+Dashboard!C$10*SQRT(Dashboard!$F$4) * _xlfn.NORM.S.INV(RAND())</f>
        <v>1.02640169553826E-2</v>
      </c>
      <c r="U8511" s="59">
        <f ca="1">Dashboard!D$8* Dashboard!$F$4+Dashboard!D$10*SQRT(Dashboard!$F$4) * _xlfn.NORM.S.INV(RAND())</f>
        <v>1.7527724127652602E-2</v>
      </c>
    </row>
    <row r="8512" spans="18:21" x14ac:dyDescent="0.2">
      <c r="R8512" s="49">
        <v>8510</v>
      </c>
      <c r="S8512" s="59">
        <f ca="1">Dashboard!B$8* Dashboard!$F$4+Dashboard!B$10*SQRT(Dashboard!$F$4) * _xlfn.NORM.S.INV(RAND())</f>
        <v>6.4437205896505242E-2</v>
      </c>
      <c r="T8512" s="59">
        <f ca="1">Dashboard!C$8* Dashboard!$F$4+Dashboard!C$10*SQRT(Dashboard!$F$4) * _xlfn.NORM.S.INV(RAND())</f>
        <v>5.580044187764277E-2</v>
      </c>
      <c r="U8512" s="59">
        <f ca="1">Dashboard!D$8* Dashboard!$F$4+Dashboard!D$10*SQRT(Dashboard!$F$4) * _xlfn.NORM.S.INV(RAND())</f>
        <v>-1.2591096148876494E-2</v>
      </c>
    </row>
    <row r="8513" spans="18:21" x14ac:dyDescent="0.2">
      <c r="R8513" s="49">
        <v>8511</v>
      </c>
      <c r="S8513" s="59">
        <f ca="1">Dashboard!B$8* Dashboard!$F$4+Dashboard!B$10*SQRT(Dashboard!$F$4) * _xlfn.NORM.S.INV(RAND())</f>
        <v>-3.5643488703524517E-3</v>
      </c>
      <c r="T8513" s="59">
        <f ca="1">Dashboard!C$8* Dashboard!$F$4+Dashboard!C$10*SQRT(Dashboard!$F$4) * _xlfn.NORM.S.INV(RAND())</f>
        <v>1.8558198298900781E-2</v>
      </c>
      <c r="U8513" s="59">
        <f ca="1">Dashboard!D$8* Dashboard!$F$4+Dashboard!D$10*SQRT(Dashboard!$F$4) * _xlfn.NORM.S.INV(RAND())</f>
        <v>2.5673981183389587E-2</v>
      </c>
    </row>
    <row r="8514" spans="18:21" x14ac:dyDescent="0.2">
      <c r="R8514" s="49">
        <v>8512</v>
      </c>
      <c r="S8514" s="59">
        <f ca="1">Dashboard!B$8* Dashboard!$F$4+Dashboard!B$10*SQRT(Dashboard!$F$4) * _xlfn.NORM.S.INV(RAND())</f>
        <v>2.2100041268721025E-2</v>
      </c>
      <c r="T8514" s="59">
        <f ca="1">Dashboard!C$8* Dashboard!$F$4+Dashboard!C$10*SQRT(Dashboard!$F$4) * _xlfn.NORM.S.INV(RAND())</f>
        <v>7.3700190597000767E-2</v>
      </c>
      <c r="U8514" s="59">
        <f ca="1">Dashboard!D$8* Dashboard!$F$4+Dashboard!D$10*SQRT(Dashboard!$F$4) * _xlfn.NORM.S.INV(RAND())</f>
        <v>-1.9535480600426348E-2</v>
      </c>
    </row>
    <row r="8515" spans="18:21" x14ac:dyDescent="0.2">
      <c r="R8515" s="49">
        <v>8513</v>
      </c>
      <c r="S8515" s="59">
        <f ca="1">Dashboard!B$8* Dashboard!$F$4+Dashboard!B$10*SQRT(Dashboard!$F$4) * _xlfn.NORM.S.INV(RAND())</f>
        <v>-3.2360658376503051E-2</v>
      </c>
      <c r="T8515" s="59">
        <f ca="1">Dashboard!C$8* Dashboard!$F$4+Dashboard!C$10*SQRT(Dashboard!$F$4) * _xlfn.NORM.S.INV(RAND())</f>
        <v>5.7247623763313528E-2</v>
      </c>
      <c r="U8515" s="59">
        <f ca="1">Dashboard!D$8* Dashboard!$F$4+Dashboard!D$10*SQRT(Dashboard!$F$4) * _xlfn.NORM.S.INV(RAND())</f>
        <v>-7.2914438853791943E-3</v>
      </c>
    </row>
    <row r="8516" spans="18:21" x14ac:dyDescent="0.2">
      <c r="R8516" s="49">
        <v>8514</v>
      </c>
      <c r="S8516" s="59">
        <f ca="1">Dashboard!B$8* Dashboard!$F$4+Dashboard!B$10*SQRT(Dashboard!$F$4) * _xlfn.NORM.S.INV(RAND())</f>
        <v>-6.4424655753577385E-4</v>
      </c>
      <c r="T8516" s="59">
        <f ca="1">Dashboard!C$8* Dashboard!$F$4+Dashboard!C$10*SQRT(Dashboard!$F$4) * _xlfn.NORM.S.INV(RAND())</f>
        <v>3.015883369869472E-2</v>
      </c>
      <c r="U8516" s="59">
        <f ca="1">Dashboard!D$8* Dashboard!$F$4+Dashboard!D$10*SQRT(Dashboard!$F$4) * _xlfn.NORM.S.INV(RAND())</f>
        <v>1.4554236793095839E-2</v>
      </c>
    </row>
    <row r="8517" spans="18:21" x14ac:dyDescent="0.2">
      <c r="R8517" s="49">
        <v>8515</v>
      </c>
      <c r="S8517" s="59">
        <f ca="1">Dashboard!B$8* Dashboard!$F$4+Dashboard!B$10*SQRT(Dashboard!$F$4) * _xlfn.NORM.S.INV(RAND())</f>
        <v>-6.9734996766257648E-2</v>
      </c>
      <c r="T8517" s="59">
        <f ca="1">Dashboard!C$8* Dashboard!$F$4+Dashboard!C$10*SQRT(Dashboard!$F$4) * _xlfn.NORM.S.INV(RAND())</f>
        <v>1.1190392392981814E-2</v>
      </c>
      <c r="U8517" s="59">
        <f ca="1">Dashboard!D$8* Dashboard!$F$4+Dashboard!D$10*SQRT(Dashboard!$F$4) * _xlfn.NORM.S.INV(RAND())</f>
        <v>1.7664746320608521E-2</v>
      </c>
    </row>
    <row r="8518" spans="18:21" x14ac:dyDescent="0.2">
      <c r="R8518" s="49">
        <v>8516</v>
      </c>
      <c r="S8518" s="59">
        <f ca="1">Dashboard!B$8* Dashboard!$F$4+Dashboard!B$10*SQRT(Dashboard!$F$4) * _xlfn.NORM.S.INV(RAND())</f>
        <v>2.3703402231309819E-3</v>
      </c>
      <c r="T8518" s="59">
        <f ca="1">Dashboard!C$8* Dashboard!$F$4+Dashboard!C$10*SQRT(Dashboard!$F$4) * _xlfn.NORM.S.INV(RAND())</f>
        <v>2.3789600698744116E-2</v>
      </c>
      <c r="U8518" s="59">
        <f ca="1">Dashboard!D$8* Dashboard!$F$4+Dashboard!D$10*SQRT(Dashboard!$F$4) * _xlfn.NORM.S.INV(RAND())</f>
        <v>-3.0535713338350774E-2</v>
      </c>
    </row>
    <row r="8519" spans="18:21" x14ac:dyDescent="0.2">
      <c r="R8519" s="49">
        <v>8517</v>
      </c>
      <c r="S8519" s="59">
        <f ca="1">Dashboard!B$8* Dashboard!$F$4+Dashboard!B$10*SQRT(Dashboard!$F$4) * _xlfn.NORM.S.INV(RAND())</f>
        <v>-2.6516743594691347E-3</v>
      </c>
      <c r="T8519" s="59">
        <f ca="1">Dashboard!C$8* Dashboard!$F$4+Dashboard!C$10*SQRT(Dashboard!$F$4) * _xlfn.NORM.S.INV(RAND())</f>
        <v>7.3267199590629373E-3</v>
      </c>
      <c r="U8519" s="59">
        <f ca="1">Dashboard!D$8* Dashboard!$F$4+Dashboard!D$10*SQRT(Dashboard!$F$4) * _xlfn.NORM.S.INV(RAND())</f>
        <v>-5.7485140001555437E-3</v>
      </c>
    </row>
    <row r="8520" spans="18:21" x14ac:dyDescent="0.2">
      <c r="R8520" s="49">
        <v>8518</v>
      </c>
      <c r="S8520" s="59">
        <f ca="1">Dashboard!B$8* Dashboard!$F$4+Dashboard!B$10*SQRT(Dashboard!$F$4) * _xlfn.NORM.S.INV(RAND())</f>
        <v>2.8718155815061319E-2</v>
      </c>
      <c r="T8520" s="59">
        <f ca="1">Dashboard!C$8* Dashboard!$F$4+Dashboard!C$10*SQRT(Dashboard!$F$4) * _xlfn.NORM.S.INV(RAND())</f>
        <v>3.3835811891908346E-2</v>
      </c>
      <c r="U8520" s="59">
        <f ca="1">Dashboard!D$8* Dashboard!$F$4+Dashboard!D$10*SQRT(Dashboard!$F$4) * _xlfn.NORM.S.INV(RAND())</f>
        <v>-1.7065793087361076E-2</v>
      </c>
    </row>
    <row r="8521" spans="18:21" x14ac:dyDescent="0.2">
      <c r="R8521" s="49">
        <v>8519</v>
      </c>
      <c r="S8521" s="59">
        <f ca="1">Dashboard!B$8* Dashboard!$F$4+Dashboard!B$10*SQRT(Dashboard!$F$4) * _xlfn.NORM.S.INV(RAND())</f>
        <v>-3.0712063376779841E-2</v>
      </c>
      <c r="T8521" s="59">
        <f ca="1">Dashboard!C$8* Dashboard!$F$4+Dashboard!C$10*SQRT(Dashboard!$F$4) * _xlfn.NORM.S.INV(RAND())</f>
        <v>3.2997897279726336E-3</v>
      </c>
      <c r="U8521" s="59">
        <f ca="1">Dashboard!D$8* Dashboard!$F$4+Dashboard!D$10*SQRT(Dashboard!$F$4) * _xlfn.NORM.S.INV(RAND())</f>
        <v>7.5816117839651543E-3</v>
      </c>
    </row>
    <row r="8522" spans="18:21" x14ac:dyDescent="0.2">
      <c r="R8522" s="49">
        <v>8520</v>
      </c>
      <c r="S8522" s="59">
        <f ca="1">Dashboard!B$8* Dashboard!$F$4+Dashboard!B$10*SQRT(Dashboard!$F$4) * _xlfn.NORM.S.INV(RAND())</f>
        <v>-2.3019423061029332E-2</v>
      </c>
      <c r="T8522" s="59">
        <f ca="1">Dashboard!C$8* Dashboard!$F$4+Dashboard!C$10*SQRT(Dashboard!$F$4) * _xlfn.NORM.S.INV(RAND())</f>
        <v>8.4274558809226026E-3</v>
      </c>
      <c r="U8522" s="59">
        <f ca="1">Dashboard!D$8* Dashboard!$F$4+Dashboard!D$10*SQRT(Dashboard!$F$4) * _xlfn.NORM.S.INV(RAND())</f>
        <v>4.4218943270933633E-2</v>
      </c>
    </row>
    <row r="8523" spans="18:21" x14ac:dyDescent="0.2">
      <c r="R8523" s="49">
        <v>8521</v>
      </c>
      <c r="S8523" s="59">
        <f ca="1">Dashboard!B$8* Dashboard!$F$4+Dashboard!B$10*SQRT(Dashboard!$F$4) * _xlfn.NORM.S.INV(RAND())</f>
        <v>-4.9020830564058086E-2</v>
      </c>
      <c r="T8523" s="59">
        <f ca="1">Dashboard!C$8* Dashboard!$F$4+Dashboard!C$10*SQRT(Dashboard!$F$4) * _xlfn.NORM.S.INV(RAND())</f>
        <v>3.0734665240800978E-2</v>
      </c>
      <c r="U8523" s="59">
        <f ca="1">Dashboard!D$8* Dashboard!$F$4+Dashboard!D$10*SQRT(Dashboard!$F$4) * _xlfn.NORM.S.INV(RAND())</f>
        <v>-1.4259231218916641E-2</v>
      </c>
    </row>
    <row r="8524" spans="18:21" x14ac:dyDescent="0.2">
      <c r="R8524" s="49">
        <v>8522</v>
      </c>
      <c r="S8524" s="59">
        <f ca="1">Dashboard!B$8* Dashboard!$F$4+Dashboard!B$10*SQRT(Dashboard!$F$4) * _xlfn.NORM.S.INV(RAND())</f>
        <v>1.5626396632279799E-2</v>
      </c>
      <c r="T8524" s="59">
        <f ca="1">Dashboard!C$8* Dashboard!$F$4+Dashboard!C$10*SQRT(Dashboard!$F$4) * _xlfn.NORM.S.INV(RAND())</f>
        <v>1.4718447656018693E-2</v>
      </c>
      <c r="U8524" s="59">
        <f ca="1">Dashboard!D$8* Dashboard!$F$4+Dashboard!D$10*SQRT(Dashboard!$F$4) * _xlfn.NORM.S.INV(RAND())</f>
        <v>-2.7942278387872048E-2</v>
      </c>
    </row>
    <row r="8525" spans="18:21" x14ac:dyDescent="0.2">
      <c r="R8525" s="49">
        <v>8523</v>
      </c>
      <c r="S8525" s="59">
        <f ca="1">Dashboard!B$8* Dashboard!$F$4+Dashboard!B$10*SQRT(Dashboard!$F$4) * _xlfn.NORM.S.INV(RAND())</f>
        <v>4.5912326870247232E-2</v>
      </c>
      <c r="T8525" s="59">
        <f ca="1">Dashboard!C$8* Dashboard!$F$4+Dashboard!C$10*SQRT(Dashboard!$F$4) * _xlfn.NORM.S.INV(RAND())</f>
        <v>-2.930163812223854E-2</v>
      </c>
      <c r="U8525" s="59">
        <f ca="1">Dashboard!D$8* Dashboard!$F$4+Dashboard!D$10*SQRT(Dashboard!$F$4) * _xlfn.NORM.S.INV(RAND())</f>
        <v>-3.337104824411783E-2</v>
      </c>
    </row>
    <row r="8526" spans="18:21" x14ac:dyDescent="0.2">
      <c r="R8526" s="49">
        <v>8524</v>
      </c>
      <c r="S8526" s="59">
        <f ca="1">Dashboard!B$8* Dashboard!$F$4+Dashboard!B$10*SQRT(Dashboard!$F$4) * _xlfn.NORM.S.INV(RAND())</f>
        <v>-3.7740256270476294E-2</v>
      </c>
      <c r="T8526" s="59">
        <f ca="1">Dashboard!C$8* Dashboard!$F$4+Dashboard!C$10*SQRT(Dashboard!$F$4) * _xlfn.NORM.S.INV(RAND())</f>
        <v>2.5496235500445386E-2</v>
      </c>
      <c r="U8526" s="59">
        <f ca="1">Dashboard!D$8* Dashboard!$F$4+Dashboard!D$10*SQRT(Dashboard!$F$4) * _xlfn.NORM.S.INV(RAND())</f>
        <v>-8.1861998040718108E-3</v>
      </c>
    </row>
    <row r="8527" spans="18:21" x14ac:dyDescent="0.2">
      <c r="R8527" s="49">
        <v>8525</v>
      </c>
      <c r="S8527" s="59">
        <f ca="1">Dashboard!B$8* Dashboard!$F$4+Dashboard!B$10*SQRT(Dashboard!$F$4) * _xlfn.NORM.S.INV(RAND())</f>
        <v>-3.396679549250245E-2</v>
      </c>
      <c r="T8527" s="59">
        <f ca="1">Dashboard!C$8* Dashboard!$F$4+Dashboard!C$10*SQRT(Dashboard!$F$4) * _xlfn.NORM.S.INV(RAND())</f>
        <v>2.5336880447881807E-2</v>
      </c>
      <c r="U8527" s="59">
        <f ca="1">Dashboard!D$8* Dashboard!$F$4+Dashboard!D$10*SQRT(Dashboard!$F$4) * _xlfn.NORM.S.INV(RAND())</f>
        <v>-2.7230017932899229E-2</v>
      </c>
    </row>
    <row r="8528" spans="18:21" x14ac:dyDescent="0.2">
      <c r="R8528" s="49">
        <v>8526</v>
      </c>
      <c r="S8528" s="59">
        <f ca="1">Dashboard!B$8* Dashboard!$F$4+Dashboard!B$10*SQRT(Dashboard!$F$4) * _xlfn.NORM.S.INV(RAND())</f>
        <v>-3.7358157814363468E-2</v>
      </c>
      <c r="T8528" s="59">
        <f ca="1">Dashboard!C$8* Dashboard!$F$4+Dashboard!C$10*SQRT(Dashboard!$F$4) * _xlfn.NORM.S.INV(RAND())</f>
        <v>4.1610386333582793E-2</v>
      </c>
      <c r="U8528" s="59">
        <f ca="1">Dashboard!D$8* Dashboard!$F$4+Dashboard!D$10*SQRT(Dashboard!$F$4) * _xlfn.NORM.S.INV(RAND())</f>
        <v>-8.0852786700936624E-3</v>
      </c>
    </row>
    <row r="8529" spans="18:21" x14ac:dyDescent="0.2">
      <c r="R8529" s="49">
        <v>8527</v>
      </c>
      <c r="S8529" s="59">
        <f ca="1">Dashboard!B$8* Dashboard!$F$4+Dashboard!B$10*SQRT(Dashboard!$F$4) * _xlfn.NORM.S.INV(RAND())</f>
        <v>-3.540343102858811E-2</v>
      </c>
      <c r="T8529" s="59">
        <f ca="1">Dashboard!C$8* Dashboard!$F$4+Dashboard!C$10*SQRT(Dashboard!$F$4) * _xlfn.NORM.S.INV(RAND())</f>
        <v>4.1333713404509094E-2</v>
      </c>
      <c r="U8529" s="59">
        <f ca="1">Dashboard!D$8* Dashboard!$F$4+Dashboard!D$10*SQRT(Dashboard!$F$4) * _xlfn.NORM.S.INV(RAND())</f>
        <v>2.8312125536466139E-2</v>
      </c>
    </row>
    <row r="8530" spans="18:21" x14ac:dyDescent="0.2">
      <c r="R8530" s="49">
        <v>8528</v>
      </c>
      <c r="S8530" s="59">
        <f ca="1">Dashboard!B$8* Dashboard!$F$4+Dashboard!B$10*SQRT(Dashboard!$F$4) * _xlfn.NORM.S.INV(RAND())</f>
        <v>-1.4067815510944352E-2</v>
      </c>
      <c r="T8530" s="59">
        <f ca="1">Dashboard!C$8* Dashboard!$F$4+Dashboard!C$10*SQRT(Dashboard!$F$4) * _xlfn.NORM.S.INV(RAND())</f>
        <v>-1.6809978318272255E-2</v>
      </c>
      <c r="U8530" s="59">
        <f ca="1">Dashboard!D$8* Dashboard!$F$4+Dashboard!D$10*SQRT(Dashboard!$F$4) * _xlfn.NORM.S.INV(RAND())</f>
        <v>-1.5288458981680851E-2</v>
      </c>
    </row>
    <row r="8531" spans="18:21" x14ac:dyDescent="0.2">
      <c r="R8531" s="49">
        <v>8529</v>
      </c>
      <c r="S8531" s="59">
        <f ca="1">Dashboard!B$8* Dashboard!$F$4+Dashboard!B$10*SQRT(Dashboard!$F$4) * _xlfn.NORM.S.INV(RAND())</f>
        <v>-1.0854243204227676E-2</v>
      </c>
      <c r="T8531" s="59">
        <f ca="1">Dashboard!C$8* Dashboard!$F$4+Dashboard!C$10*SQRT(Dashboard!$F$4) * _xlfn.NORM.S.INV(RAND())</f>
        <v>-3.3156707844962038E-2</v>
      </c>
      <c r="U8531" s="59">
        <f ca="1">Dashboard!D$8* Dashboard!$F$4+Dashboard!D$10*SQRT(Dashboard!$F$4) * _xlfn.NORM.S.INV(RAND())</f>
        <v>3.2842007994802511E-2</v>
      </c>
    </row>
    <row r="8532" spans="18:21" x14ac:dyDescent="0.2">
      <c r="R8532" s="49">
        <v>8530</v>
      </c>
      <c r="S8532" s="59">
        <f ca="1">Dashboard!B$8* Dashboard!$F$4+Dashboard!B$10*SQRT(Dashboard!$F$4) * _xlfn.NORM.S.INV(RAND())</f>
        <v>-4.5017311546218193E-2</v>
      </c>
      <c r="T8532" s="59">
        <f ca="1">Dashboard!C$8* Dashboard!$F$4+Dashboard!C$10*SQRT(Dashboard!$F$4) * _xlfn.NORM.S.INV(RAND())</f>
        <v>-2.9662258917020661E-2</v>
      </c>
      <c r="U8532" s="59">
        <f ca="1">Dashboard!D$8* Dashboard!$F$4+Dashboard!D$10*SQRT(Dashboard!$F$4) * _xlfn.NORM.S.INV(RAND())</f>
        <v>-3.0077448670582436E-2</v>
      </c>
    </row>
    <row r="8533" spans="18:21" x14ac:dyDescent="0.2">
      <c r="R8533" s="49">
        <v>8531</v>
      </c>
      <c r="S8533" s="59">
        <f ca="1">Dashboard!B$8* Dashboard!$F$4+Dashboard!B$10*SQRT(Dashboard!$F$4) * _xlfn.NORM.S.INV(RAND())</f>
        <v>1.1924198571101103E-2</v>
      </c>
      <c r="T8533" s="59">
        <f ca="1">Dashboard!C$8* Dashboard!$F$4+Dashboard!C$10*SQRT(Dashboard!$F$4) * _xlfn.NORM.S.INV(RAND())</f>
        <v>-9.7316887868060704E-3</v>
      </c>
      <c r="U8533" s="59">
        <f ca="1">Dashboard!D$8* Dashboard!$F$4+Dashboard!D$10*SQRT(Dashboard!$F$4) * _xlfn.NORM.S.INV(RAND())</f>
        <v>-1.7402216506526898E-2</v>
      </c>
    </row>
    <row r="8534" spans="18:21" x14ac:dyDescent="0.2">
      <c r="R8534" s="49">
        <v>8532</v>
      </c>
      <c r="S8534" s="59">
        <f ca="1">Dashboard!B$8* Dashboard!$F$4+Dashboard!B$10*SQRT(Dashboard!$F$4) * _xlfn.NORM.S.INV(RAND())</f>
        <v>-1.114631953296774E-3</v>
      </c>
      <c r="T8534" s="59">
        <f ca="1">Dashboard!C$8* Dashboard!$F$4+Dashboard!C$10*SQRT(Dashboard!$F$4) * _xlfn.NORM.S.INV(RAND())</f>
        <v>5.6909766122061577E-2</v>
      </c>
      <c r="U8534" s="59">
        <f ca="1">Dashboard!D$8* Dashboard!$F$4+Dashboard!D$10*SQRT(Dashboard!$F$4) * _xlfn.NORM.S.INV(RAND())</f>
        <v>-4.8666290177229787E-2</v>
      </c>
    </row>
    <row r="8535" spans="18:21" x14ac:dyDescent="0.2">
      <c r="R8535" s="49">
        <v>8533</v>
      </c>
      <c r="S8535" s="59">
        <f ca="1">Dashboard!B$8* Dashboard!$F$4+Dashboard!B$10*SQRT(Dashboard!$F$4) * _xlfn.NORM.S.INV(RAND())</f>
        <v>3.5385374336407337E-2</v>
      </c>
      <c r="T8535" s="59">
        <f ca="1">Dashboard!C$8* Dashboard!$F$4+Dashboard!C$10*SQRT(Dashboard!$F$4) * _xlfn.NORM.S.INV(RAND())</f>
        <v>6.054144655404993E-2</v>
      </c>
      <c r="U8535" s="59">
        <f ca="1">Dashboard!D$8* Dashboard!$F$4+Dashboard!D$10*SQRT(Dashboard!$F$4) * _xlfn.NORM.S.INV(RAND())</f>
        <v>1.1131989300981082E-2</v>
      </c>
    </row>
    <row r="8536" spans="18:21" x14ac:dyDescent="0.2">
      <c r="R8536" s="49">
        <v>8534</v>
      </c>
      <c r="S8536" s="59">
        <f ca="1">Dashboard!B$8* Dashboard!$F$4+Dashboard!B$10*SQRT(Dashboard!$F$4) * _xlfn.NORM.S.INV(RAND())</f>
        <v>-4.2633054163813945E-2</v>
      </c>
      <c r="T8536" s="59">
        <f ca="1">Dashboard!C$8* Dashboard!$F$4+Dashboard!C$10*SQRT(Dashboard!$F$4) * _xlfn.NORM.S.INV(RAND())</f>
        <v>-1.6645519018874174E-2</v>
      </c>
      <c r="U8536" s="59">
        <f ca="1">Dashboard!D$8* Dashboard!$F$4+Dashboard!D$10*SQRT(Dashboard!$F$4) * _xlfn.NORM.S.INV(RAND())</f>
        <v>-3.5386234595764419E-2</v>
      </c>
    </row>
    <row r="8537" spans="18:21" x14ac:dyDescent="0.2">
      <c r="R8537" s="49">
        <v>8535</v>
      </c>
      <c r="S8537" s="59">
        <f ca="1">Dashboard!B$8* Dashboard!$F$4+Dashboard!B$10*SQRT(Dashboard!$F$4) * _xlfn.NORM.S.INV(RAND())</f>
        <v>-1.4081425124391856E-2</v>
      </c>
      <c r="T8537" s="59">
        <f ca="1">Dashboard!C$8* Dashboard!$F$4+Dashboard!C$10*SQRT(Dashboard!$F$4) * _xlfn.NORM.S.INV(RAND())</f>
        <v>-4.1236727461780254E-2</v>
      </c>
      <c r="U8537" s="59">
        <f ca="1">Dashboard!D$8* Dashboard!$F$4+Dashboard!D$10*SQRT(Dashboard!$F$4) * _xlfn.NORM.S.INV(RAND())</f>
        <v>4.0263659567919774E-2</v>
      </c>
    </row>
    <row r="8538" spans="18:21" x14ac:dyDescent="0.2">
      <c r="R8538" s="49">
        <v>8536</v>
      </c>
      <c r="S8538" s="59">
        <f ca="1">Dashboard!B$8* Dashboard!$F$4+Dashboard!B$10*SQRT(Dashboard!$F$4) * _xlfn.NORM.S.INV(RAND())</f>
        <v>-4.5416766181183489E-2</v>
      </c>
      <c r="T8538" s="59">
        <f ca="1">Dashboard!C$8* Dashboard!$F$4+Dashboard!C$10*SQRT(Dashboard!$F$4) * _xlfn.NORM.S.INV(RAND())</f>
        <v>5.8121737488496819E-2</v>
      </c>
      <c r="U8538" s="59">
        <f ca="1">Dashboard!D$8* Dashboard!$F$4+Dashboard!D$10*SQRT(Dashboard!$F$4) * _xlfn.NORM.S.INV(RAND())</f>
        <v>-2.3853648357509593E-2</v>
      </c>
    </row>
    <row r="8539" spans="18:21" x14ac:dyDescent="0.2">
      <c r="R8539" s="49">
        <v>8537</v>
      </c>
      <c r="S8539" s="59">
        <f ca="1">Dashboard!B$8* Dashboard!$F$4+Dashboard!B$10*SQRT(Dashboard!$F$4) * _xlfn.NORM.S.INV(RAND())</f>
        <v>1.5311725009197924E-2</v>
      </c>
      <c r="T8539" s="59">
        <f ca="1">Dashboard!C$8* Dashboard!$F$4+Dashboard!C$10*SQRT(Dashboard!$F$4) * _xlfn.NORM.S.INV(RAND())</f>
        <v>4.3372715567949298E-2</v>
      </c>
      <c r="U8539" s="59">
        <f ca="1">Dashboard!D$8* Dashboard!$F$4+Dashboard!D$10*SQRT(Dashboard!$F$4) * _xlfn.NORM.S.INV(RAND())</f>
        <v>-2.4402384477176086E-2</v>
      </c>
    </row>
    <row r="8540" spans="18:21" x14ac:dyDescent="0.2">
      <c r="R8540" s="49">
        <v>8538</v>
      </c>
      <c r="S8540" s="59">
        <f ca="1">Dashboard!B$8* Dashboard!$F$4+Dashboard!B$10*SQRT(Dashboard!$F$4) * _xlfn.NORM.S.INV(RAND())</f>
        <v>1.0382692874173507E-2</v>
      </c>
      <c r="T8540" s="59">
        <f ca="1">Dashboard!C$8* Dashboard!$F$4+Dashboard!C$10*SQRT(Dashboard!$F$4) * _xlfn.NORM.S.INV(RAND())</f>
        <v>-6.4246106433641911E-2</v>
      </c>
      <c r="U8540" s="59">
        <f ca="1">Dashboard!D$8* Dashboard!$F$4+Dashboard!D$10*SQRT(Dashboard!$F$4) * _xlfn.NORM.S.INV(RAND())</f>
        <v>3.9049282685729825E-2</v>
      </c>
    </row>
    <row r="8541" spans="18:21" x14ac:dyDescent="0.2">
      <c r="R8541" s="49">
        <v>8539</v>
      </c>
      <c r="S8541" s="59">
        <f ca="1">Dashboard!B$8* Dashboard!$F$4+Dashboard!B$10*SQRT(Dashboard!$F$4) * _xlfn.NORM.S.INV(RAND())</f>
        <v>-1.2100550175551802E-3</v>
      </c>
      <c r="T8541" s="59">
        <f ca="1">Dashboard!C$8* Dashboard!$F$4+Dashboard!C$10*SQRT(Dashboard!$F$4) * _xlfn.NORM.S.INV(RAND())</f>
        <v>2.0344486859188354E-2</v>
      </c>
      <c r="U8541" s="59">
        <f ca="1">Dashboard!D$8* Dashboard!$F$4+Dashboard!D$10*SQRT(Dashboard!$F$4) * _xlfn.NORM.S.INV(RAND())</f>
        <v>4.3887590791902749E-2</v>
      </c>
    </row>
    <row r="8542" spans="18:21" x14ac:dyDescent="0.2">
      <c r="R8542" s="49">
        <v>8540</v>
      </c>
      <c r="S8542" s="59">
        <f ca="1">Dashboard!B$8* Dashboard!$F$4+Dashboard!B$10*SQRT(Dashboard!$F$4) * _xlfn.NORM.S.INV(RAND())</f>
        <v>-2.9209301261113652E-2</v>
      </c>
      <c r="T8542" s="59">
        <f ca="1">Dashboard!C$8* Dashboard!$F$4+Dashboard!C$10*SQRT(Dashboard!$F$4) * _xlfn.NORM.S.INV(RAND())</f>
        <v>-1.0496601592266147E-2</v>
      </c>
      <c r="U8542" s="59">
        <f ca="1">Dashboard!D$8* Dashboard!$F$4+Dashboard!D$10*SQRT(Dashboard!$F$4) * _xlfn.NORM.S.INV(RAND())</f>
        <v>2.7216888655035697E-2</v>
      </c>
    </row>
    <row r="8543" spans="18:21" x14ac:dyDescent="0.2">
      <c r="R8543" s="49">
        <v>8541</v>
      </c>
      <c r="S8543" s="59">
        <f ca="1">Dashboard!B$8* Dashboard!$F$4+Dashboard!B$10*SQRT(Dashboard!$F$4) * _xlfn.NORM.S.INV(RAND())</f>
        <v>1.616150407952039E-2</v>
      </c>
      <c r="T8543" s="59">
        <f ca="1">Dashboard!C$8* Dashboard!$F$4+Dashboard!C$10*SQRT(Dashboard!$F$4) * _xlfn.NORM.S.INV(RAND())</f>
        <v>-3.7605431554804974E-2</v>
      </c>
      <c r="U8543" s="59">
        <f ca="1">Dashboard!D$8* Dashboard!$F$4+Dashboard!D$10*SQRT(Dashboard!$F$4) * _xlfn.NORM.S.INV(RAND())</f>
        <v>-1.1422404065974552E-3</v>
      </c>
    </row>
    <row r="8544" spans="18:21" x14ac:dyDescent="0.2">
      <c r="R8544" s="49">
        <v>8542</v>
      </c>
      <c r="S8544" s="59">
        <f ca="1">Dashboard!B$8* Dashboard!$F$4+Dashboard!B$10*SQRT(Dashboard!$F$4) * _xlfn.NORM.S.INV(RAND())</f>
        <v>-6.0977231177211919E-2</v>
      </c>
      <c r="T8544" s="59">
        <f ca="1">Dashboard!C$8* Dashboard!$F$4+Dashboard!C$10*SQRT(Dashboard!$F$4) * _xlfn.NORM.S.INV(RAND())</f>
        <v>-2.107984539440088E-2</v>
      </c>
      <c r="U8544" s="59">
        <f ca="1">Dashboard!D$8* Dashboard!$F$4+Dashboard!D$10*SQRT(Dashboard!$F$4) * _xlfn.NORM.S.INV(RAND())</f>
        <v>-5.8156869782968475E-2</v>
      </c>
    </row>
    <row r="8545" spans="18:21" x14ac:dyDescent="0.2">
      <c r="R8545" s="49">
        <v>8543</v>
      </c>
      <c r="S8545" s="59">
        <f ca="1">Dashboard!B$8* Dashboard!$F$4+Dashboard!B$10*SQRT(Dashboard!$F$4) * _xlfn.NORM.S.INV(RAND())</f>
        <v>-1.1176452205341604E-3</v>
      </c>
      <c r="T8545" s="59">
        <f ca="1">Dashboard!C$8* Dashboard!$F$4+Dashboard!C$10*SQRT(Dashboard!$F$4) * _xlfn.NORM.S.INV(RAND())</f>
        <v>2.9658636691925856E-2</v>
      </c>
      <c r="U8545" s="59">
        <f ca="1">Dashboard!D$8* Dashboard!$F$4+Dashboard!D$10*SQRT(Dashboard!$F$4) * _xlfn.NORM.S.INV(RAND())</f>
        <v>3.1588916858190083E-2</v>
      </c>
    </row>
    <row r="8546" spans="18:21" x14ac:dyDescent="0.2">
      <c r="R8546" s="49">
        <v>8544</v>
      </c>
      <c r="S8546" s="59">
        <f ca="1">Dashboard!B$8* Dashboard!$F$4+Dashboard!B$10*SQRT(Dashboard!$F$4) * _xlfn.NORM.S.INV(RAND())</f>
        <v>-1.6182184402797527E-2</v>
      </c>
      <c r="T8546" s="59">
        <f ca="1">Dashboard!C$8* Dashboard!$F$4+Dashboard!C$10*SQRT(Dashboard!$F$4) * _xlfn.NORM.S.INV(RAND())</f>
        <v>-7.2140836034690703E-3</v>
      </c>
      <c r="U8546" s="59">
        <f ca="1">Dashboard!D$8* Dashboard!$F$4+Dashboard!D$10*SQRT(Dashboard!$F$4) * _xlfn.NORM.S.INV(RAND())</f>
        <v>-5.540012824316299E-2</v>
      </c>
    </row>
    <row r="8547" spans="18:21" x14ac:dyDescent="0.2">
      <c r="R8547" s="49">
        <v>8545</v>
      </c>
      <c r="S8547" s="59">
        <f ca="1">Dashboard!B$8* Dashboard!$F$4+Dashboard!B$10*SQRT(Dashboard!$F$4) * _xlfn.NORM.S.INV(RAND())</f>
        <v>-2.6099807120585308E-2</v>
      </c>
      <c r="T8547" s="59">
        <f ca="1">Dashboard!C$8* Dashboard!$F$4+Dashboard!C$10*SQRT(Dashboard!$F$4) * _xlfn.NORM.S.INV(RAND())</f>
        <v>-1.6329743247910082E-2</v>
      </c>
      <c r="U8547" s="59">
        <f ca="1">Dashboard!D$8* Dashboard!$F$4+Dashboard!D$10*SQRT(Dashboard!$F$4) * _xlfn.NORM.S.INV(RAND())</f>
        <v>7.0990501899424513E-4</v>
      </c>
    </row>
    <row r="8548" spans="18:21" x14ac:dyDescent="0.2">
      <c r="R8548" s="49">
        <v>8546</v>
      </c>
      <c r="S8548" s="59">
        <f ca="1">Dashboard!B$8* Dashboard!$F$4+Dashboard!B$10*SQRT(Dashboard!$F$4) * _xlfn.NORM.S.INV(RAND())</f>
        <v>7.2386796175693047E-2</v>
      </c>
      <c r="T8548" s="59">
        <f ca="1">Dashboard!C$8* Dashboard!$F$4+Dashboard!C$10*SQRT(Dashboard!$F$4) * _xlfn.NORM.S.INV(RAND())</f>
        <v>0.11727934041463402</v>
      </c>
      <c r="U8548" s="59">
        <f ca="1">Dashboard!D$8* Dashboard!$F$4+Dashboard!D$10*SQRT(Dashboard!$F$4) * _xlfn.NORM.S.INV(RAND())</f>
        <v>4.8823943359697544E-2</v>
      </c>
    </row>
    <row r="8549" spans="18:21" x14ac:dyDescent="0.2">
      <c r="R8549" s="49">
        <v>8547</v>
      </c>
      <c r="S8549" s="59">
        <f ca="1">Dashboard!B$8* Dashboard!$F$4+Dashboard!B$10*SQRT(Dashboard!$F$4) * _xlfn.NORM.S.INV(RAND())</f>
        <v>4.0304873320329192E-2</v>
      </c>
      <c r="T8549" s="59">
        <f ca="1">Dashboard!C$8* Dashboard!$F$4+Dashboard!C$10*SQRT(Dashboard!$F$4) * _xlfn.NORM.S.INV(RAND())</f>
        <v>5.6589815333123031E-2</v>
      </c>
      <c r="U8549" s="59">
        <f ca="1">Dashboard!D$8* Dashboard!$F$4+Dashboard!D$10*SQRT(Dashboard!$F$4) * _xlfn.NORM.S.INV(RAND())</f>
        <v>-1.6693579740822438E-2</v>
      </c>
    </row>
    <row r="8550" spans="18:21" x14ac:dyDescent="0.2">
      <c r="R8550" s="49">
        <v>8548</v>
      </c>
      <c r="S8550" s="59">
        <f ca="1">Dashboard!B$8* Dashboard!$F$4+Dashboard!B$10*SQRT(Dashboard!$F$4) * _xlfn.NORM.S.INV(RAND())</f>
        <v>7.5339798257814776E-3</v>
      </c>
      <c r="T8550" s="59">
        <f ca="1">Dashboard!C$8* Dashboard!$F$4+Dashboard!C$10*SQRT(Dashboard!$F$4) * _xlfn.NORM.S.INV(RAND())</f>
        <v>-2.4099424083126725E-2</v>
      </c>
      <c r="U8550" s="59">
        <f ca="1">Dashboard!D$8* Dashboard!$F$4+Dashboard!D$10*SQRT(Dashboard!$F$4) * _xlfn.NORM.S.INV(RAND())</f>
        <v>-6.7023798773766111E-3</v>
      </c>
    </row>
    <row r="8551" spans="18:21" x14ac:dyDescent="0.2">
      <c r="R8551" s="49">
        <v>8549</v>
      </c>
      <c r="S8551" s="59">
        <f ca="1">Dashboard!B$8* Dashboard!$F$4+Dashboard!B$10*SQRT(Dashboard!$F$4) * _xlfn.NORM.S.INV(RAND())</f>
        <v>9.8555101388962899E-3</v>
      </c>
      <c r="T8551" s="59">
        <f ca="1">Dashboard!C$8* Dashboard!$F$4+Dashboard!C$10*SQRT(Dashboard!$F$4) * _xlfn.NORM.S.INV(RAND())</f>
        <v>2.1168387690010233E-2</v>
      </c>
      <c r="U8551" s="59">
        <f ca="1">Dashboard!D$8* Dashboard!$F$4+Dashboard!D$10*SQRT(Dashboard!$F$4) * _xlfn.NORM.S.INV(RAND())</f>
        <v>1.0873331654838536E-2</v>
      </c>
    </row>
    <row r="8552" spans="18:21" x14ac:dyDescent="0.2">
      <c r="R8552" s="49">
        <v>8550</v>
      </c>
      <c r="S8552" s="59">
        <f ca="1">Dashboard!B$8* Dashboard!$F$4+Dashboard!B$10*SQRT(Dashboard!$F$4) * _xlfn.NORM.S.INV(RAND())</f>
        <v>8.2775414080951577E-3</v>
      </c>
      <c r="T8552" s="59">
        <f ca="1">Dashboard!C$8* Dashboard!$F$4+Dashboard!C$10*SQRT(Dashboard!$F$4) * _xlfn.NORM.S.INV(RAND())</f>
        <v>-7.0410618839920891E-4</v>
      </c>
      <c r="U8552" s="59">
        <f ca="1">Dashboard!D$8* Dashboard!$F$4+Dashboard!D$10*SQRT(Dashboard!$F$4) * _xlfn.NORM.S.INV(RAND())</f>
        <v>4.3400220947813845E-2</v>
      </c>
    </row>
    <row r="8553" spans="18:21" x14ac:dyDescent="0.2">
      <c r="R8553" s="49">
        <v>8551</v>
      </c>
      <c r="S8553" s="59">
        <f ca="1">Dashboard!B$8* Dashboard!$F$4+Dashboard!B$10*SQRT(Dashboard!$F$4) * _xlfn.NORM.S.INV(RAND())</f>
        <v>-4.2668475860680947E-2</v>
      </c>
      <c r="T8553" s="59">
        <f ca="1">Dashboard!C$8* Dashboard!$F$4+Dashboard!C$10*SQRT(Dashboard!$F$4) * _xlfn.NORM.S.INV(RAND())</f>
        <v>4.8622165152383224E-3</v>
      </c>
      <c r="U8553" s="59">
        <f ca="1">Dashboard!D$8* Dashboard!$F$4+Dashboard!D$10*SQRT(Dashboard!$F$4) * _xlfn.NORM.S.INV(RAND())</f>
        <v>1.6991138975636592E-2</v>
      </c>
    </row>
    <row r="8554" spans="18:21" x14ac:dyDescent="0.2">
      <c r="R8554" s="49">
        <v>8552</v>
      </c>
      <c r="S8554" s="59">
        <f ca="1">Dashboard!B$8* Dashboard!$F$4+Dashboard!B$10*SQRT(Dashboard!$F$4) * _xlfn.NORM.S.INV(RAND())</f>
        <v>2.3916601846394089E-2</v>
      </c>
      <c r="T8554" s="59">
        <f ca="1">Dashboard!C$8* Dashboard!$F$4+Dashboard!C$10*SQRT(Dashboard!$F$4) * _xlfn.NORM.S.INV(RAND())</f>
        <v>-4.8949732628813546E-2</v>
      </c>
      <c r="U8554" s="59">
        <f ca="1">Dashboard!D$8* Dashboard!$F$4+Dashboard!D$10*SQRT(Dashboard!$F$4) * _xlfn.NORM.S.INV(RAND())</f>
        <v>3.9150436882531815E-2</v>
      </c>
    </row>
    <row r="8555" spans="18:21" x14ac:dyDescent="0.2">
      <c r="R8555" s="49">
        <v>8553</v>
      </c>
      <c r="S8555" s="59">
        <f ca="1">Dashboard!B$8* Dashboard!$F$4+Dashboard!B$10*SQRT(Dashboard!$F$4) * _xlfn.NORM.S.INV(RAND())</f>
        <v>-1.4103200077774181E-2</v>
      </c>
      <c r="T8555" s="59">
        <f ca="1">Dashboard!C$8* Dashboard!$F$4+Dashboard!C$10*SQRT(Dashboard!$F$4) * _xlfn.NORM.S.INV(RAND())</f>
        <v>-3.9241848221247169E-2</v>
      </c>
      <c r="U8555" s="59">
        <f ca="1">Dashboard!D$8* Dashboard!$F$4+Dashboard!D$10*SQRT(Dashboard!$F$4) * _xlfn.NORM.S.INV(RAND())</f>
        <v>4.8972363948461786E-2</v>
      </c>
    </row>
    <row r="8556" spans="18:21" x14ac:dyDescent="0.2">
      <c r="R8556" s="49">
        <v>8554</v>
      </c>
      <c r="S8556" s="59">
        <f ca="1">Dashboard!B$8* Dashboard!$F$4+Dashboard!B$10*SQRT(Dashboard!$F$4) * _xlfn.NORM.S.INV(RAND())</f>
        <v>2.8461302402725069E-2</v>
      </c>
      <c r="T8556" s="59">
        <f ca="1">Dashboard!C$8* Dashboard!$F$4+Dashboard!C$10*SQRT(Dashboard!$F$4) * _xlfn.NORM.S.INV(RAND())</f>
        <v>-4.4051171365042184E-2</v>
      </c>
      <c r="U8556" s="59">
        <f ca="1">Dashboard!D$8* Dashboard!$F$4+Dashboard!D$10*SQRT(Dashboard!$F$4) * _xlfn.NORM.S.INV(RAND())</f>
        <v>6.3117177970031836E-3</v>
      </c>
    </row>
    <row r="8557" spans="18:21" x14ac:dyDescent="0.2">
      <c r="R8557" s="49">
        <v>8555</v>
      </c>
      <c r="S8557" s="59">
        <f ca="1">Dashboard!B$8* Dashboard!$F$4+Dashboard!B$10*SQRT(Dashboard!$F$4) * _xlfn.NORM.S.INV(RAND())</f>
        <v>3.6030877187581975E-3</v>
      </c>
      <c r="T8557" s="59">
        <f ca="1">Dashboard!C$8* Dashboard!$F$4+Dashboard!C$10*SQRT(Dashboard!$F$4) * _xlfn.NORM.S.INV(RAND())</f>
        <v>-1.0003559975636216E-2</v>
      </c>
      <c r="U8557" s="59">
        <f ca="1">Dashboard!D$8* Dashboard!$F$4+Dashboard!D$10*SQRT(Dashboard!$F$4) * _xlfn.NORM.S.INV(RAND())</f>
        <v>-1.0334444358067927E-3</v>
      </c>
    </row>
    <row r="8558" spans="18:21" x14ac:dyDescent="0.2">
      <c r="R8558" s="49">
        <v>8556</v>
      </c>
      <c r="S8558" s="59">
        <f ca="1">Dashboard!B$8* Dashboard!$F$4+Dashboard!B$10*SQRT(Dashboard!$F$4) * _xlfn.NORM.S.INV(RAND())</f>
        <v>4.1980440838540727E-3</v>
      </c>
      <c r="T8558" s="59">
        <f ca="1">Dashboard!C$8* Dashboard!$F$4+Dashboard!C$10*SQRT(Dashboard!$F$4) * _xlfn.NORM.S.INV(RAND())</f>
        <v>2.5048100368351978E-2</v>
      </c>
      <c r="U8558" s="59">
        <f ca="1">Dashboard!D$8* Dashboard!$F$4+Dashboard!D$10*SQRT(Dashboard!$F$4) * _xlfn.NORM.S.INV(RAND())</f>
        <v>1.8085913556034765E-2</v>
      </c>
    </row>
    <row r="8559" spans="18:21" x14ac:dyDescent="0.2">
      <c r="R8559" s="49">
        <v>8557</v>
      </c>
      <c r="S8559" s="59">
        <f ca="1">Dashboard!B$8* Dashboard!$F$4+Dashboard!B$10*SQRT(Dashboard!$F$4) * _xlfn.NORM.S.INV(RAND())</f>
        <v>-4.2641762898951115E-2</v>
      </c>
      <c r="T8559" s="59">
        <f ca="1">Dashboard!C$8* Dashboard!$F$4+Dashboard!C$10*SQRT(Dashboard!$F$4) * _xlfn.NORM.S.INV(RAND())</f>
        <v>-3.7763979887705081E-3</v>
      </c>
      <c r="U8559" s="59">
        <f ca="1">Dashboard!D$8* Dashboard!$F$4+Dashboard!D$10*SQRT(Dashboard!$F$4) * _xlfn.NORM.S.INV(RAND())</f>
        <v>5.5470443004896029E-3</v>
      </c>
    </row>
    <row r="8560" spans="18:21" x14ac:dyDescent="0.2">
      <c r="R8560" s="49">
        <v>8558</v>
      </c>
      <c r="S8560" s="59">
        <f ca="1">Dashboard!B$8* Dashboard!$F$4+Dashboard!B$10*SQRT(Dashboard!$F$4) * _xlfn.NORM.S.INV(RAND())</f>
        <v>1.7366510249818168E-2</v>
      </c>
      <c r="T8560" s="59">
        <f ca="1">Dashboard!C$8* Dashboard!$F$4+Dashboard!C$10*SQRT(Dashboard!$F$4) * _xlfn.NORM.S.INV(RAND())</f>
        <v>-5.4427888201779391E-3</v>
      </c>
      <c r="U8560" s="59">
        <f ca="1">Dashboard!D$8* Dashboard!$F$4+Dashboard!D$10*SQRT(Dashboard!$F$4) * _xlfn.NORM.S.INV(RAND())</f>
        <v>-1.1682990840040822E-2</v>
      </c>
    </row>
    <row r="8561" spans="18:21" x14ac:dyDescent="0.2">
      <c r="R8561" s="49">
        <v>8559</v>
      </c>
      <c r="S8561" s="59">
        <f ca="1">Dashboard!B$8* Dashboard!$F$4+Dashboard!B$10*SQRT(Dashboard!$F$4) * _xlfn.NORM.S.INV(RAND())</f>
        <v>1.2133567272409719E-2</v>
      </c>
      <c r="T8561" s="59">
        <f ca="1">Dashboard!C$8* Dashboard!$F$4+Dashboard!C$10*SQRT(Dashboard!$F$4) * _xlfn.NORM.S.INV(RAND())</f>
        <v>-1.4034934601892094E-2</v>
      </c>
      <c r="U8561" s="59">
        <f ca="1">Dashboard!D$8* Dashboard!$F$4+Dashboard!D$10*SQRT(Dashboard!$F$4) * _xlfn.NORM.S.INV(RAND())</f>
        <v>3.612784294941828E-2</v>
      </c>
    </row>
    <row r="8562" spans="18:21" x14ac:dyDescent="0.2">
      <c r="R8562" s="49">
        <v>8560</v>
      </c>
      <c r="S8562" s="59">
        <f ca="1">Dashboard!B$8* Dashboard!$F$4+Dashboard!B$10*SQRT(Dashboard!$F$4) * _xlfn.NORM.S.INV(RAND())</f>
        <v>-1.001131668769013E-2</v>
      </c>
      <c r="T8562" s="59">
        <f ca="1">Dashboard!C$8* Dashboard!$F$4+Dashboard!C$10*SQRT(Dashboard!$F$4) * _xlfn.NORM.S.INV(RAND())</f>
        <v>2.8656470137214195E-2</v>
      </c>
      <c r="U8562" s="59">
        <f ca="1">Dashboard!D$8* Dashboard!$F$4+Dashboard!D$10*SQRT(Dashboard!$F$4) * _xlfn.NORM.S.INV(RAND())</f>
        <v>-2.0814697402018755E-2</v>
      </c>
    </row>
    <row r="8563" spans="18:21" x14ac:dyDescent="0.2">
      <c r="R8563" s="49">
        <v>8561</v>
      </c>
      <c r="S8563" s="59">
        <f ca="1">Dashboard!B$8* Dashboard!$F$4+Dashboard!B$10*SQRT(Dashboard!$F$4) * _xlfn.NORM.S.INV(RAND())</f>
        <v>2.6362374760137711E-2</v>
      </c>
      <c r="T8563" s="59">
        <f ca="1">Dashboard!C$8* Dashboard!$F$4+Dashboard!C$10*SQRT(Dashboard!$F$4) * _xlfn.NORM.S.INV(RAND())</f>
        <v>1.726514505323563E-2</v>
      </c>
      <c r="U8563" s="59">
        <f ca="1">Dashboard!D$8* Dashboard!$F$4+Dashboard!D$10*SQRT(Dashboard!$F$4) * _xlfn.NORM.S.INV(RAND())</f>
        <v>2.8215237315931719E-2</v>
      </c>
    </row>
    <row r="8564" spans="18:21" x14ac:dyDescent="0.2">
      <c r="R8564" s="49">
        <v>8562</v>
      </c>
      <c r="S8564" s="59">
        <f ca="1">Dashboard!B$8* Dashboard!$F$4+Dashboard!B$10*SQRT(Dashboard!$F$4) * _xlfn.NORM.S.INV(RAND())</f>
        <v>-3.5801810613551753E-3</v>
      </c>
      <c r="T8564" s="59">
        <f ca="1">Dashboard!C$8* Dashboard!$F$4+Dashboard!C$10*SQRT(Dashboard!$F$4) * _xlfn.NORM.S.INV(RAND())</f>
        <v>1.3948349477717881E-2</v>
      </c>
      <c r="U8564" s="59">
        <f ca="1">Dashboard!D$8* Dashboard!$F$4+Dashboard!D$10*SQRT(Dashboard!$F$4) * _xlfn.NORM.S.INV(RAND())</f>
        <v>3.7828998127697765E-2</v>
      </c>
    </row>
    <row r="8565" spans="18:21" x14ac:dyDescent="0.2">
      <c r="R8565" s="49">
        <v>8563</v>
      </c>
      <c r="S8565" s="59">
        <f ca="1">Dashboard!B$8* Dashboard!$F$4+Dashboard!B$10*SQRT(Dashboard!$F$4) * _xlfn.NORM.S.INV(RAND())</f>
        <v>-7.7067569410991452E-3</v>
      </c>
      <c r="T8565" s="59">
        <f ca="1">Dashboard!C$8* Dashboard!$F$4+Dashboard!C$10*SQRT(Dashboard!$F$4) * _xlfn.NORM.S.INV(RAND())</f>
        <v>-3.9326010997473723E-2</v>
      </c>
      <c r="U8565" s="59">
        <f ca="1">Dashboard!D$8* Dashboard!$F$4+Dashboard!D$10*SQRT(Dashboard!$F$4) * _xlfn.NORM.S.INV(RAND())</f>
        <v>-9.6645553548616973E-3</v>
      </c>
    </row>
    <row r="8566" spans="18:21" x14ac:dyDescent="0.2">
      <c r="R8566" s="49">
        <v>8564</v>
      </c>
      <c r="S8566" s="59">
        <f ca="1">Dashboard!B$8* Dashboard!$F$4+Dashboard!B$10*SQRT(Dashboard!$F$4) * _xlfn.NORM.S.INV(RAND())</f>
        <v>1.2013294844884869E-2</v>
      </c>
      <c r="T8566" s="59">
        <f ca="1">Dashboard!C$8* Dashboard!$F$4+Dashboard!C$10*SQRT(Dashboard!$F$4) * _xlfn.NORM.S.INV(RAND())</f>
        <v>3.698978043288962E-2</v>
      </c>
      <c r="U8566" s="59">
        <f ca="1">Dashboard!D$8* Dashboard!$F$4+Dashboard!D$10*SQRT(Dashboard!$F$4) * _xlfn.NORM.S.INV(RAND())</f>
        <v>2.0205028714284645E-2</v>
      </c>
    </row>
    <row r="8567" spans="18:21" x14ac:dyDescent="0.2">
      <c r="R8567" s="49">
        <v>8565</v>
      </c>
      <c r="S8567" s="59">
        <f ca="1">Dashboard!B$8* Dashboard!$F$4+Dashboard!B$10*SQRT(Dashboard!$F$4) * _xlfn.NORM.S.INV(RAND())</f>
        <v>2.0281689442563797E-2</v>
      </c>
      <c r="T8567" s="59">
        <f ca="1">Dashboard!C$8* Dashboard!$F$4+Dashboard!C$10*SQRT(Dashboard!$F$4) * _xlfn.NORM.S.INV(RAND())</f>
        <v>6.4298593528669158E-3</v>
      </c>
      <c r="U8567" s="59">
        <f ca="1">Dashboard!D$8* Dashboard!$F$4+Dashboard!D$10*SQRT(Dashboard!$F$4) * _xlfn.NORM.S.INV(RAND())</f>
        <v>8.5233873256337356E-3</v>
      </c>
    </row>
    <row r="8568" spans="18:21" x14ac:dyDescent="0.2">
      <c r="R8568" s="49">
        <v>8566</v>
      </c>
      <c r="S8568" s="59">
        <f ca="1">Dashboard!B$8* Dashboard!$F$4+Dashboard!B$10*SQRT(Dashboard!$F$4) * _xlfn.NORM.S.INV(RAND())</f>
        <v>4.367044951046075E-2</v>
      </c>
      <c r="T8568" s="59">
        <f ca="1">Dashboard!C$8* Dashboard!$F$4+Dashboard!C$10*SQRT(Dashboard!$F$4) * _xlfn.NORM.S.INV(RAND())</f>
        <v>7.7843786838019385E-3</v>
      </c>
      <c r="U8568" s="59">
        <f ca="1">Dashboard!D$8* Dashboard!$F$4+Dashboard!D$10*SQRT(Dashboard!$F$4) * _xlfn.NORM.S.INV(RAND())</f>
        <v>-4.4943989432086856E-2</v>
      </c>
    </row>
    <row r="8569" spans="18:21" x14ac:dyDescent="0.2">
      <c r="R8569" s="49">
        <v>8567</v>
      </c>
      <c r="S8569" s="59">
        <f ca="1">Dashboard!B$8* Dashboard!$F$4+Dashboard!B$10*SQRT(Dashboard!$F$4) * _xlfn.NORM.S.INV(RAND())</f>
        <v>-8.9547264257466286E-3</v>
      </c>
      <c r="T8569" s="59">
        <f ca="1">Dashboard!C$8* Dashboard!$F$4+Dashboard!C$10*SQRT(Dashboard!$F$4) * _xlfn.NORM.S.INV(RAND())</f>
        <v>-2.9750749675367043E-2</v>
      </c>
      <c r="U8569" s="59">
        <f ca="1">Dashboard!D$8* Dashboard!$F$4+Dashboard!D$10*SQRT(Dashboard!$F$4) * _xlfn.NORM.S.INV(RAND())</f>
        <v>2.1527547106141291E-2</v>
      </c>
    </row>
    <row r="8570" spans="18:21" x14ac:dyDescent="0.2">
      <c r="R8570" s="49">
        <v>8568</v>
      </c>
      <c r="S8570" s="59">
        <f ca="1">Dashboard!B$8* Dashboard!$F$4+Dashboard!B$10*SQRT(Dashboard!$F$4) * _xlfn.NORM.S.INV(RAND())</f>
        <v>-4.6827098349580725E-3</v>
      </c>
      <c r="T8570" s="59">
        <f ca="1">Dashboard!C$8* Dashboard!$F$4+Dashboard!C$10*SQRT(Dashboard!$F$4) * _xlfn.NORM.S.INV(RAND())</f>
        <v>-7.0807657007550887E-2</v>
      </c>
      <c r="U8570" s="59">
        <f ca="1">Dashboard!D$8* Dashboard!$F$4+Dashboard!D$10*SQRT(Dashboard!$F$4) * _xlfn.NORM.S.INV(RAND())</f>
        <v>-2.3097243182329259E-2</v>
      </c>
    </row>
    <row r="8571" spans="18:21" x14ac:dyDescent="0.2">
      <c r="R8571" s="49">
        <v>8569</v>
      </c>
      <c r="S8571" s="59">
        <f ca="1">Dashboard!B$8* Dashboard!$F$4+Dashboard!B$10*SQRT(Dashboard!$F$4) * _xlfn.NORM.S.INV(RAND())</f>
        <v>1.6569252252130011E-2</v>
      </c>
      <c r="T8571" s="59">
        <f ca="1">Dashboard!C$8* Dashboard!$F$4+Dashboard!C$10*SQRT(Dashboard!$F$4) * _xlfn.NORM.S.INV(RAND())</f>
        <v>-1.1262259161780076E-2</v>
      </c>
      <c r="U8571" s="59">
        <f ca="1">Dashboard!D$8* Dashboard!$F$4+Dashboard!D$10*SQRT(Dashboard!$F$4) * _xlfn.NORM.S.INV(RAND())</f>
        <v>6.9784777082684588E-2</v>
      </c>
    </row>
    <row r="8572" spans="18:21" x14ac:dyDescent="0.2">
      <c r="R8572" s="49">
        <v>8570</v>
      </c>
      <c r="S8572" s="59">
        <f ca="1">Dashboard!B$8* Dashboard!$F$4+Dashboard!B$10*SQRT(Dashboard!$F$4) * _xlfn.NORM.S.INV(RAND())</f>
        <v>3.4840566017256179E-2</v>
      </c>
      <c r="T8572" s="59">
        <f ca="1">Dashboard!C$8* Dashboard!$F$4+Dashboard!C$10*SQRT(Dashboard!$F$4) * _xlfn.NORM.S.INV(RAND())</f>
        <v>1.4885049056573901E-3</v>
      </c>
      <c r="U8572" s="59">
        <f ca="1">Dashboard!D$8* Dashboard!$F$4+Dashboard!D$10*SQRT(Dashboard!$F$4) * _xlfn.NORM.S.INV(RAND())</f>
        <v>-3.5457330370505073E-2</v>
      </c>
    </row>
    <row r="8573" spans="18:21" x14ac:dyDescent="0.2">
      <c r="R8573" s="49">
        <v>8571</v>
      </c>
      <c r="S8573" s="59">
        <f ca="1">Dashboard!B$8* Dashboard!$F$4+Dashboard!B$10*SQRT(Dashboard!$F$4) * _xlfn.NORM.S.INV(RAND())</f>
        <v>-5.5032028589369661E-2</v>
      </c>
      <c r="T8573" s="59">
        <f ca="1">Dashboard!C$8* Dashboard!$F$4+Dashboard!C$10*SQRT(Dashboard!$F$4) * _xlfn.NORM.S.INV(RAND())</f>
        <v>-1.3478303017800973E-2</v>
      </c>
      <c r="U8573" s="59">
        <f ca="1">Dashboard!D$8* Dashboard!$F$4+Dashboard!D$10*SQRT(Dashboard!$F$4) * _xlfn.NORM.S.INV(RAND())</f>
        <v>3.5375264703154594E-2</v>
      </c>
    </row>
    <row r="8574" spans="18:21" x14ac:dyDescent="0.2">
      <c r="R8574" s="49">
        <v>8572</v>
      </c>
      <c r="S8574" s="59">
        <f ca="1">Dashboard!B$8* Dashboard!$F$4+Dashboard!B$10*SQRT(Dashboard!$F$4) * _xlfn.NORM.S.INV(RAND())</f>
        <v>9.9149776902344011E-3</v>
      </c>
      <c r="T8574" s="59">
        <f ca="1">Dashboard!C$8* Dashboard!$F$4+Dashboard!C$10*SQRT(Dashboard!$F$4) * _xlfn.NORM.S.INV(RAND())</f>
        <v>-8.053020882950325E-3</v>
      </c>
      <c r="U8574" s="59">
        <f ca="1">Dashboard!D$8* Dashboard!$F$4+Dashboard!D$10*SQRT(Dashboard!$F$4) * _xlfn.NORM.S.INV(RAND())</f>
        <v>-7.0482992890016138E-2</v>
      </c>
    </row>
    <row r="8575" spans="18:21" x14ac:dyDescent="0.2">
      <c r="R8575" s="49">
        <v>8573</v>
      </c>
      <c r="S8575" s="59">
        <f ca="1">Dashboard!B$8* Dashboard!$F$4+Dashboard!B$10*SQRT(Dashboard!$F$4) * _xlfn.NORM.S.INV(RAND())</f>
        <v>6.8628170948658203E-3</v>
      </c>
      <c r="T8575" s="59">
        <f ca="1">Dashboard!C$8* Dashboard!$F$4+Dashboard!C$10*SQRT(Dashboard!$F$4) * _xlfn.NORM.S.INV(RAND())</f>
        <v>2.8742214241217999E-2</v>
      </c>
      <c r="U8575" s="59">
        <f ca="1">Dashboard!D$8* Dashboard!$F$4+Dashboard!D$10*SQRT(Dashboard!$F$4) * _xlfn.NORM.S.INV(RAND())</f>
        <v>1.2715144355357503E-2</v>
      </c>
    </row>
    <row r="8576" spans="18:21" x14ac:dyDescent="0.2">
      <c r="R8576" s="49">
        <v>8574</v>
      </c>
      <c r="S8576" s="59">
        <f ca="1">Dashboard!B$8* Dashboard!$F$4+Dashboard!B$10*SQRT(Dashboard!$F$4) * _xlfn.NORM.S.INV(RAND())</f>
        <v>-2.048417716701334E-2</v>
      </c>
      <c r="T8576" s="59">
        <f ca="1">Dashboard!C$8* Dashboard!$F$4+Dashboard!C$10*SQRT(Dashboard!$F$4) * _xlfn.NORM.S.INV(RAND())</f>
        <v>-9.3555046918258923E-3</v>
      </c>
      <c r="U8576" s="59">
        <f ca="1">Dashboard!D$8* Dashboard!$F$4+Dashboard!D$10*SQRT(Dashboard!$F$4) * _xlfn.NORM.S.INV(RAND())</f>
        <v>-1.0830561528672959E-2</v>
      </c>
    </row>
    <row r="8577" spans="18:21" x14ac:dyDescent="0.2">
      <c r="R8577" s="49">
        <v>8575</v>
      </c>
      <c r="S8577" s="59">
        <f ca="1">Dashboard!B$8* Dashboard!$F$4+Dashboard!B$10*SQRT(Dashboard!$F$4) * _xlfn.NORM.S.INV(RAND())</f>
        <v>-2.5464847655136395E-2</v>
      </c>
      <c r="T8577" s="59">
        <f ca="1">Dashboard!C$8* Dashboard!$F$4+Dashboard!C$10*SQRT(Dashboard!$F$4) * _xlfn.NORM.S.INV(RAND())</f>
        <v>8.5190341548796178E-3</v>
      </c>
      <c r="U8577" s="59">
        <f ca="1">Dashboard!D$8* Dashboard!$F$4+Dashboard!D$10*SQRT(Dashboard!$F$4) * _xlfn.NORM.S.INV(RAND())</f>
        <v>6.28694245280306E-3</v>
      </c>
    </row>
    <row r="8578" spans="18:21" x14ac:dyDescent="0.2">
      <c r="R8578" s="49">
        <v>8576</v>
      </c>
      <c r="S8578" s="59">
        <f ca="1">Dashboard!B$8* Dashboard!$F$4+Dashboard!B$10*SQRT(Dashboard!$F$4) * _xlfn.NORM.S.INV(RAND())</f>
        <v>-1.1337539293311912E-2</v>
      </c>
      <c r="T8578" s="59">
        <f ca="1">Dashboard!C$8* Dashboard!$F$4+Dashboard!C$10*SQRT(Dashboard!$F$4) * _xlfn.NORM.S.INV(RAND())</f>
        <v>2.7759972073536879E-2</v>
      </c>
      <c r="U8578" s="59">
        <f ca="1">Dashboard!D$8* Dashboard!$F$4+Dashboard!D$10*SQRT(Dashboard!$F$4) * _xlfn.NORM.S.INV(RAND())</f>
        <v>-7.7647624321370456E-2</v>
      </c>
    </row>
    <row r="8579" spans="18:21" x14ac:dyDescent="0.2">
      <c r="R8579" s="49">
        <v>8577</v>
      </c>
      <c r="S8579" s="59">
        <f ca="1">Dashboard!B$8* Dashboard!$F$4+Dashboard!B$10*SQRT(Dashboard!$F$4) * _xlfn.NORM.S.INV(RAND())</f>
        <v>4.9009574142048606E-4</v>
      </c>
      <c r="T8579" s="59">
        <f ca="1">Dashboard!C$8* Dashboard!$F$4+Dashboard!C$10*SQRT(Dashboard!$F$4) * _xlfn.NORM.S.INV(RAND())</f>
        <v>3.2786732771300731E-2</v>
      </c>
      <c r="U8579" s="59">
        <f ca="1">Dashboard!D$8* Dashboard!$F$4+Dashboard!D$10*SQRT(Dashboard!$F$4) * _xlfn.NORM.S.INV(RAND())</f>
        <v>3.3304658223101266E-3</v>
      </c>
    </row>
    <row r="8580" spans="18:21" x14ac:dyDescent="0.2">
      <c r="R8580" s="49">
        <v>8578</v>
      </c>
      <c r="S8580" s="59">
        <f ca="1">Dashboard!B$8* Dashboard!$F$4+Dashboard!B$10*SQRT(Dashboard!$F$4) * _xlfn.NORM.S.INV(RAND())</f>
        <v>-7.5804962025846617E-3</v>
      </c>
      <c r="T8580" s="59">
        <f ca="1">Dashboard!C$8* Dashboard!$F$4+Dashboard!C$10*SQRT(Dashboard!$F$4) * _xlfn.NORM.S.INV(RAND())</f>
        <v>4.3010849704521716E-2</v>
      </c>
      <c r="U8580" s="59">
        <f ca="1">Dashboard!D$8* Dashboard!$F$4+Dashboard!D$10*SQRT(Dashboard!$F$4) * _xlfn.NORM.S.INV(RAND())</f>
        <v>-3.0488020025920921E-3</v>
      </c>
    </row>
    <row r="8581" spans="18:21" x14ac:dyDescent="0.2">
      <c r="R8581" s="49">
        <v>8579</v>
      </c>
      <c r="S8581" s="59">
        <f ca="1">Dashboard!B$8* Dashboard!$F$4+Dashboard!B$10*SQRT(Dashboard!$F$4) * _xlfn.NORM.S.INV(RAND())</f>
        <v>-1.2609449329217233E-2</v>
      </c>
      <c r="T8581" s="59">
        <f ca="1">Dashboard!C$8* Dashboard!$F$4+Dashboard!C$10*SQRT(Dashboard!$F$4) * _xlfn.NORM.S.INV(RAND())</f>
        <v>7.206007588697351E-2</v>
      </c>
      <c r="U8581" s="59">
        <f ca="1">Dashboard!D$8* Dashboard!$F$4+Dashboard!D$10*SQRT(Dashboard!$F$4) * _xlfn.NORM.S.INV(RAND())</f>
        <v>-8.509817590824512E-4</v>
      </c>
    </row>
    <row r="8582" spans="18:21" x14ac:dyDescent="0.2">
      <c r="R8582" s="49">
        <v>8580</v>
      </c>
      <c r="S8582" s="59">
        <f ca="1">Dashboard!B$8* Dashboard!$F$4+Dashboard!B$10*SQRT(Dashboard!$F$4) * _xlfn.NORM.S.INV(RAND())</f>
        <v>4.4640211274294753E-3</v>
      </c>
      <c r="T8582" s="59">
        <f ca="1">Dashboard!C$8* Dashboard!$F$4+Dashboard!C$10*SQRT(Dashboard!$F$4) * _xlfn.NORM.S.INV(RAND())</f>
        <v>5.7272291739769901E-2</v>
      </c>
      <c r="U8582" s="59">
        <f ca="1">Dashboard!D$8* Dashboard!$F$4+Dashboard!D$10*SQRT(Dashboard!$F$4) * _xlfn.NORM.S.INV(RAND())</f>
        <v>1.0564047572523052E-2</v>
      </c>
    </row>
    <row r="8583" spans="18:21" x14ac:dyDescent="0.2">
      <c r="R8583" s="49">
        <v>8581</v>
      </c>
      <c r="S8583" s="59">
        <f ca="1">Dashboard!B$8* Dashboard!$F$4+Dashboard!B$10*SQRT(Dashboard!$F$4) * _xlfn.NORM.S.INV(RAND())</f>
        <v>-3.0968906111283616E-3</v>
      </c>
      <c r="T8583" s="59">
        <f ca="1">Dashboard!C$8* Dashboard!$F$4+Dashboard!C$10*SQRT(Dashboard!$F$4) * _xlfn.NORM.S.INV(RAND())</f>
        <v>2.1189640396778457E-3</v>
      </c>
      <c r="U8583" s="59">
        <f ca="1">Dashboard!D$8* Dashboard!$F$4+Dashboard!D$10*SQRT(Dashboard!$F$4) * _xlfn.NORM.S.INV(RAND())</f>
        <v>-1.7807357173516038E-2</v>
      </c>
    </row>
    <row r="8584" spans="18:21" x14ac:dyDescent="0.2">
      <c r="R8584" s="49">
        <v>8582</v>
      </c>
      <c r="S8584" s="59">
        <f ca="1">Dashboard!B$8* Dashboard!$F$4+Dashboard!B$10*SQRT(Dashboard!$F$4) * _xlfn.NORM.S.INV(RAND())</f>
        <v>4.1990010805273772E-2</v>
      </c>
      <c r="T8584" s="59">
        <f ca="1">Dashboard!C$8* Dashboard!$F$4+Dashboard!C$10*SQRT(Dashboard!$F$4) * _xlfn.NORM.S.INV(RAND())</f>
        <v>5.1764637911890142E-2</v>
      </c>
      <c r="U8584" s="59">
        <f ca="1">Dashboard!D$8* Dashboard!$F$4+Dashboard!D$10*SQRT(Dashboard!$F$4) * _xlfn.NORM.S.INV(RAND())</f>
        <v>-1.3314582663282167E-2</v>
      </c>
    </row>
    <row r="8585" spans="18:21" x14ac:dyDescent="0.2">
      <c r="R8585" s="49">
        <v>8583</v>
      </c>
      <c r="S8585" s="59">
        <f ca="1">Dashboard!B$8* Dashboard!$F$4+Dashboard!B$10*SQRT(Dashboard!$F$4) * _xlfn.NORM.S.INV(RAND())</f>
        <v>-4.4567908697078031E-2</v>
      </c>
      <c r="T8585" s="59">
        <f ca="1">Dashboard!C$8* Dashboard!$F$4+Dashboard!C$10*SQRT(Dashboard!$F$4) * _xlfn.NORM.S.INV(RAND())</f>
        <v>-2.6772465084943731E-2</v>
      </c>
      <c r="U8585" s="59">
        <f ca="1">Dashboard!D$8* Dashboard!$F$4+Dashboard!D$10*SQRT(Dashboard!$F$4) * _xlfn.NORM.S.INV(RAND())</f>
        <v>1.9034611421249884E-3</v>
      </c>
    </row>
    <row r="8586" spans="18:21" x14ac:dyDescent="0.2">
      <c r="R8586" s="49">
        <v>8584</v>
      </c>
      <c r="S8586" s="59">
        <f ca="1">Dashboard!B$8* Dashboard!$F$4+Dashboard!B$10*SQRT(Dashboard!$F$4) * _xlfn.NORM.S.INV(RAND())</f>
        <v>-1.6505450388875284E-2</v>
      </c>
      <c r="T8586" s="59">
        <f ca="1">Dashboard!C$8* Dashboard!$F$4+Dashboard!C$10*SQRT(Dashboard!$F$4) * _xlfn.NORM.S.INV(RAND())</f>
        <v>-1.989819930664654E-2</v>
      </c>
      <c r="U8586" s="59">
        <f ca="1">Dashboard!D$8* Dashboard!$F$4+Dashboard!D$10*SQRT(Dashboard!$F$4) * _xlfn.NORM.S.INV(RAND())</f>
        <v>5.2433908410822764E-3</v>
      </c>
    </row>
    <row r="8587" spans="18:21" x14ac:dyDescent="0.2">
      <c r="R8587" s="49">
        <v>8585</v>
      </c>
      <c r="S8587" s="59">
        <f ca="1">Dashboard!B$8* Dashboard!$F$4+Dashboard!B$10*SQRT(Dashboard!$F$4) * _xlfn.NORM.S.INV(RAND())</f>
        <v>3.2819153764266633E-2</v>
      </c>
      <c r="T8587" s="59">
        <f ca="1">Dashboard!C$8* Dashboard!$F$4+Dashboard!C$10*SQRT(Dashboard!$F$4) * _xlfn.NORM.S.INV(RAND())</f>
        <v>2.169832897289543E-3</v>
      </c>
      <c r="U8587" s="59">
        <f ca="1">Dashboard!D$8* Dashboard!$F$4+Dashboard!D$10*SQRT(Dashboard!$F$4) * _xlfn.NORM.S.INV(RAND())</f>
        <v>3.9161650310485624E-4</v>
      </c>
    </row>
    <row r="8588" spans="18:21" x14ac:dyDescent="0.2">
      <c r="R8588" s="49">
        <v>8586</v>
      </c>
      <c r="S8588" s="59">
        <f ca="1">Dashboard!B$8* Dashboard!$F$4+Dashboard!B$10*SQRT(Dashboard!$F$4) * _xlfn.NORM.S.INV(RAND())</f>
        <v>-9.6800112447241911E-3</v>
      </c>
      <c r="T8588" s="59">
        <f ca="1">Dashboard!C$8* Dashboard!$F$4+Dashboard!C$10*SQRT(Dashboard!$F$4) * _xlfn.NORM.S.INV(RAND())</f>
        <v>3.0219216247674582E-2</v>
      </c>
      <c r="U8588" s="59">
        <f ca="1">Dashboard!D$8* Dashboard!$F$4+Dashboard!D$10*SQRT(Dashboard!$F$4) * _xlfn.NORM.S.INV(RAND())</f>
        <v>-2.4437031868883647E-2</v>
      </c>
    </row>
    <row r="8589" spans="18:21" x14ac:dyDescent="0.2">
      <c r="R8589" s="49">
        <v>8587</v>
      </c>
      <c r="S8589" s="59">
        <f ca="1">Dashboard!B$8* Dashboard!$F$4+Dashboard!B$10*SQRT(Dashboard!$F$4) * _xlfn.NORM.S.INV(RAND())</f>
        <v>1.3940649426100684E-2</v>
      </c>
      <c r="T8589" s="59">
        <f ca="1">Dashboard!C$8* Dashboard!$F$4+Dashboard!C$10*SQRT(Dashboard!$F$4) * _xlfn.NORM.S.INV(RAND())</f>
        <v>5.804336493787874E-2</v>
      </c>
      <c r="U8589" s="59">
        <f ca="1">Dashboard!D$8* Dashboard!$F$4+Dashboard!D$10*SQRT(Dashboard!$F$4) * _xlfn.NORM.S.INV(RAND())</f>
        <v>-3.0649503538664503E-2</v>
      </c>
    </row>
    <row r="8590" spans="18:21" x14ac:dyDescent="0.2">
      <c r="R8590" s="49">
        <v>8588</v>
      </c>
      <c r="S8590" s="59">
        <f ca="1">Dashboard!B$8* Dashboard!$F$4+Dashboard!B$10*SQRT(Dashboard!$F$4) * _xlfn.NORM.S.INV(RAND())</f>
        <v>3.7509847870328353E-4</v>
      </c>
      <c r="T8590" s="59">
        <f ca="1">Dashboard!C$8* Dashboard!$F$4+Dashboard!C$10*SQRT(Dashboard!$F$4) * _xlfn.NORM.S.INV(RAND())</f>
        <v>5.8788402253975545E-3</v>
      </c>
      <c r="U8590" s="59">
        <f ca="1">Dashboard!D$8* Dashboard!$F$4+Dashboard!D$10*SQRT(Dashboard!$F$4) * _xlfn.NORM.S.INV(RAND())</f>
        <v>6.5223072551877717E-3</v>
      </c>
    </row>
    <row r="8591" spans="18:21" x14ac:dyDescent="0.2">
      <c r="R8591" s="49">
        <v>8589</v>
      </c>
      <c r="S8591" s="59">
        <f ca="1">Dashboard!B$8* Dashboard!$F$4+Dashboard!B$10*SQRT(Dashboard!$F$4) * _xlfn.NORM.S.INV(RAND())</f>
        <v>1.9455262008285651E-2</v>
      </c>
      <c r="T8591" s="59">
        <f ca="1">Dashboard!C$8* Dashboard!$F$4+Dashboard!C$10*SQRT(Dashboard!$F$4) * _xlfn.NORM.S.INV(RAND())</f>
        <v>-5.2100376862475831E-2</v>
      </c>
      <c r="U8591" s="59">
        <f ca="1">Dashboard!D$8* Dashboard!$F$4+Dashboard!D$10*SQRT(Dashboard!$F$4) * _xlfn.NORM.S.INV(RAND())</f>
        <v>2.9610788865714003E-2</v>
      </c>
    </row>
    <row r="8592" spans="18:21" x14ac:dyDescent="0.2">
      <c r="R8592" s="49">
        <v>8590</v>
      </c>
      <c r="S8592" s="59">
        <f ca="1">Dashboard!B$8* Dashboard!$F$4+Dashboard!B$10*SQRT(Dashboard!$F$4) * _xlfn.NORM.S.INV(RAND())</f>
        <v>5.6005957991024397E-2</v>
      </c>
      <c r="T8592" s="59">
        <f ca="1">Dashboard!C$8* Dashboard!$F$4+Dashboard!C$10*SQRT(Dashboard!$F$4) * _xlfn.NORM.S.INV(RAND())</f>
        <v>1.6249178794276026E-2</v>
      </c>
      <c r="U8592" s="59">
        <f ca="1">Dashboard!D$8* Dashboard!$F$4+Dashboard!D$10*SQRT(Dashboard!$F$4) * _xlfn.NORM.S.INV(RAND())</f>
        <v>-3.5940611101671183E-2</v>
      </c>
    </row>
    <row r="8593" spans="18:21" x14ac:dyDescent="0.2">
      <c r="R8593" s="49">
        <v>8591</v>
      </c>
      <c r="S8593" s="59">
        <f ca="1">Dashboard!B$8* Dashboard!$F$4+Dashboard!B$10*SQRT(Dashboard!$F$4) * _xlfn.NORM.S.INV(RAND())</f>
        <v>-1.4333439278160973E-2</v>
      </c>
      <c r="T8593" s="59">
        <f ca="1">Dashboard!C$8* Dashboard!$F$4+Dashboard!C$10*SQRT(Dashboard!$F$4) * _xlfn.NORM.S.INV(RAND())</f>
        <v>-1.6893679430010078E-3</v>
      </c>
      <c r="U8593" s="59">
        <f ca="1">Dashboard!D$8* Dashboard!$F$4+Dashboard!D$10*SQRT(Dashboard!$F$4) * _xlfn.NORM.S.INV(RAND())</f>
        <v>2.3082242362697653E-2</v>
      </c>
    </row>
    <row r="8594" spans="18:21" x14ac:dyDescent="0.2">
      <c r="R8594" s="49">
        <v>8592</v>
      </c>
      <c r="S8594" s="59">
        <f ca="1">Dashboard!B$8* Dashboard!$F$4+Dashboard!B$10*SQRT(Dashboard!$F$4) * _xlfn.NORM.S.INV(RAND())</f>
        <v>-6.941847513091047E-2</v>
      </c>
      <c r="T8594" s="59">
        <f ca="1">Dashboard!C$8* Dashboard!$F$4+Dashboard!C$10*SQRT(Dashboard!$F$4) * _xlfn.NORM.S.INV(RAND())</f>
        <v>-1.9204122127264599E-2</v>
      </c>
      <c r="U8594" s="59">
        <f ca="1">Dashboard!D$8* Dashboard!$F$4+Dashboard!D$10*SQRT(Dashboard!$F$4) * _xlfn.NORM.S.INV(RAND())</f>
        <v>-2.1934409299181949E-2</v>
      </c>
    </row>
    <row r="8595" spans="18:21" x14ac:dyDescent="0.2">
      <c r="R8595" s="49">
        <v>8593</v>
      </c>
      <c r="S8595" s="59">
        <f ca="1">Dashboard!B$8* Dashboard!$F$4+Dashboard!B$10*SQRT(Dashboard!$F$4) * _xlfn.NORM.S.INV(RAND())</f>
        <v>1.8139790421795501E-3</v>
      </c>
      <c r="T8595" s="59">
        <f ca="1">Dashboard!C$8* Dashboard!$F$4+Dashboard!C$10*SQRT(Dashboard!$F$4) * _xlfn.NORM.S.INV(RAND())</f>
        <v>2.9477258942987656E-2</v>
      </c>
      <c r="U8595" s="59">
        <f ca="1">Dashboard!D$8* Dashboard!$F$4+Dashboard!D$10*SQRT(Dashboard!$F$4) * _xlfn.NORM.S.INV(RAND())</f>
        <v>-9.7562752112149292E-3</v>
      </c>
    </row>
    <row r="8596" spans="18:21" x14ac:dyDescent="0.2">
      <c r="R8596" s="49">
        <v>8594</v>
      </c>
      <c r="S8596" s="59">
        <f ca="1">Dashboard!B$8* Dashboard!$F$4+Dashboard!B$10*SQRT(Dashboard!$F$4) * _xlfn.NORM.S.INV(RAND())</f>
        <v>-3.6857171207887035E-2</v>
      </c>
      <c r="T8596" s="59">
        <f ca="1">Dashboard!C$8* Dashboard!$F$4+Dashboard!C$10*SQRT(Dashboard!$F$4) * _xlfn.NORM.S.INV(RAND())</f>
        <v>-3.0973891020794325E-2</v>
      </c>
      <c r="U8596" s="59">
        <f ca="1">Dashboard!D$8* Dashboard!$F$4+Dashboard!D$10*SQRT(Dashboard!$F$4) * _xlfn.NORM.S.INV(RAND())</f>
        <v>-3.3744204334039171E-2</v>
      </c>
    </row>
    <row r="8597" spans="18:21" x14ac:dyDescent="0.2">
      <c r="R8597" s="49">
        <v>8595</v>
      </c>
      <c r="S8597" s="59">
        <f ca="1">Dashboard!B$8* Dashboard!$F$4+Dashboard!B$10*SQRT(Dashboard!$F$4) * _xlfn.NORM.S.INV(RAND())</f>
        <v>2.5832241169314797E-2</v>
      </c>
      <c r="T8597" s="59">
        <f ca="1">Dashboard!C$8* Dashboard!$F$4+Dashboard!C$10*SQRT(Dashboard!$F$4) * _xlfn.NORM.S.INV(RAND())</f>
        <v>3.2855223154678877E-2</v>
      </c>
      <c r="U8597" s="59">
        <f ca="1">Dashboard!D$8* Dashboard!$F$4+Dashboard!D$10*SQRT(Dashboard!$F$4) * _xlfn.NORM.S.INV(RAND())</f>
        <v>-5.9418797253757497E-2</v>
      </c>
    </row>
    <row r="8598" spans="18:21" x14ac:dyDescent="0.2">
      <c r="R8598" s="49">
        <v>8596</v>
      </c>
      <c r="S8598" s="59">
        <f ca="1">Dashboard!B$8* Dashboard!$F$4+Dashboard!B$10*SQRT(Dashboard!$F$4) * _xlfn.NORM.S.INV(RAND())</f>
        <v>-4.2864974286792784E-2</v>
      </c>
      <c r="T8598" s="59">
        <f ca="1">Dashboard!C$8* Dashboard!$F$4+Dashboard!C$10*SQRT(Dashboard!$F$4) * _xlfn.NORM.S.INV(RAND())</f>
        <v>-1.1344602466629494E-2</v>
      </c>
      <c r="U8598" s="59">
        <f ca="1">Dashboard!D$8* Dashboard!$F$4+Dashboard!D$10*SQRT(Dashboard!$F$4) * _xlfn.NORM.S.INV(RAND())</f>
        <v>2.4100990985822794E-2</v>
      </c>
    </row>
    <row r="8599" spans="18:21" x14ac:dyDescent="0.2">
      <c r="R8599" s="49">
        <v>8597</v>
      </c>
      <c r="S8599" s="59">
        <f ca="1">Dashboard!B$8* Dashboard!$F$4+Dashboard!B$10*SQRT(Dashboard!$F$4) * _xlfn.NORM.S.INV(RAND())</f>
        <v>1.6352182069433438E-2</v>
      </c>
      <c r="T8599" s="59">
        <f ca="1">Dashboard!C$8* Dashboard!$F$4+Dashboard!C$10*SQRT(Dashboard!$F$4) * _xlfn.NORM.S.INV(RAND())</f>
        <v>-2.8082303779555482E-2</v>
      </c>
      <c r="U8599" s="59">
        <f ca="1">Dashboard!D$8* Dashboard!$F$4+Dashboard!D$10*SQRT(Dashboard!$F$4) * _xlfn.NORM.S.INV(RAND())</f>
        <v>-3.2223361655511339E-2</v>
      </c>
    </row>
    <row r="8600" spans="18:21" x14ac:dyDescent="0.2">
      <c r="R8600" s="49">
        <v>8598</v>
      </c>
      <c r="S8600" s="59">
        <f ca="1">Dashboard!B$8* Dashboard!$F$4+Dashboard!B$10*SQRT(Dashboard!$F$4) * _xlfn.NORM.S.INV(RAND())</f>
        <v>-1.3570808942437954E-3</v>
      </c>
      <c r="T8600" s="59">
        <f ca="1">Dashboard!C$8* Dashboard!$F$4+Dashboard!C$10*SQRT(Dashboard!$F$4) * _xlfn.NORM.S.INV(RAND())</f>
        <v>4.0915145059663691E-2</v>
      </c>
      <c r="U8600" s="59">
        <f ca="1">Dashboard!D$8* Dashboard!$F$4+Dashboard!D$10*SQRT(Dashboard!$F$4) * _xlfn.NORM.S.INV(RAND())</f>
        <v>-3.058588398615841E-2</v>
      </c>
    </row>
    <row r="8601" spans="18:21" x14ac:dyDescent="0.2">
      <c r="R8601" s="49">
        <v>8599</v>
      </c>
      <c r="S8601" s="59">
        <f ca="1">Dashboard!B$8* Dashboard!$F$4+Dashboard!B$10*SQRT(Dashboard!$F$4) * _xlfn.NORM.S.INV(RAND())</f>
        <v>-2.1034532203339465E-2</v>
      </c>
      <c r="T8601" s="59">
        <f ca="1">Dashboard!C$8* Dashboard!$F$4+Dashboard!C$10*SQRT(Dashboard!$F$4) * _xlfn.NORM.S.INV(RAND())</f>
        <v>5.260590871384592E-2</v>
      </c>
      <c r="U8601" s="59">
        <f ca="1">Dashboard!D$8* Dashboard!$F$4+Dashboard!D$10*SQRT(Dashboard!$F$4) * _xlfn.NORM.S.INV(RAND())</f>
        <v>-1.0786009170707159E-2</v>
      </c>
    </row>
    <row r="8602" spans="18:21" x14ac:dyDescent="0.2">
      <c r="R8602" s="49">
        <v>8600</v>
      </c>
      <c r="S8602" s="59">
        <f ca="1">Dashboard!B$8* Dashboard!$F$4+Dashboard!B$10*SQRT(Dashboard!$F$4) * _xlfn.NORM.S.INV(RAND())</f>
        <v>-3.560460766104119E-2</v>
      </c>
      <c r="T8602" s="59">
        <f ca="1">Dashboard!C$8* Dashboard!$F$4+Dashboard!C$10*SQRT(Dashboard!$F$4) * _xlfn.NORM.S.INV(RAND())</f>
        <v>2.5118375718905801E-2</v>
      </c>
      <c r="U8602" s="59">
        <f ca="1">Dashboard!D$8* Dashboard!$F$4+Dashboard!D$10*SQRT(Dashboard!$F$4) * _xlfn.NORM.S.INV(RAND())</f>
        <v>4.8524157735110795E-3</v>
      </c>
    </row>
    <row r="8603" spans="18:21" x14ac:dyDescent="0.2">
      <c r="R8603" s="49">
        <v>8601</v>
      </c>
      <c r="S8603" s="59">
        <f ca="1">Dashboard!B$8* Dashboard!$F$4+Dashboard!B$10*SQRT(Dashboard!$F$4) * _xlfn.NORM.S.INV(RAND())</f>
        <v>1.0240843531285761E-2</v>
      </c>
      <c r="T8603" s="59">
        <f ca="1">Dashboard!C$8* Dashboard!$F$4+Dashboard!C$10*SQRT(Dashboard!$F$4) * _xlfn.NORM.S.INV(RAND())</f>
        <v>5.9659976460993192E-2</v>
      </c>
      <c r="U8603" s="59">
        <f ca="1">Dashboard!D$8* Dashboard!$F$4+Dashboard!D$10*SQRT(Dashboard!$F$4) * _xlfn.NORM.S.INV(RAND())</f>
        <v>-2.8757797459876212E-2</v>
      </c>
    </row>
    <row r="8604" spans="18:21" x14ac:dyDescent="0.2">
      <c r="R8604" s="49">
        <v>8602</v>
      </c>
      <c r="S8604" s="59">
        <f ca="1">Dashboard!B$8* Dashboard!$F$4+Dashboard!B$10*SQRT(Dashboard!$F$4) * _xlfn.NORM.S.INV(RAND())</f>
        <v>-3.5846958036624937E-2</v>
      </c>
      <c r="T8604" s="59">
        <f ca="1">Dashboard!C$8* Dashboard!$F$4+Dashboard!C$10*SQRT(Dashboard!$F$4) * _xlfn.NORM.S.INV(RAND())</f>
        <v>3.3353165937158716E-2</v>
      </c>
      <c r="U8604" s="59">
        <f ca="1">Dashboard!D$8* Dashboard!$F$4+Dashboard!D$10*SQRT(Dashboard!$F$4) * _xlfn.NORM.S.INV(RAND())</f>
        <v>4.4258266482285612E-2</v>
      </c>
    </row>
    <row r="8605" spans="18:21" x14ac:dyDescent="0.2">
      <c r="R8605" s="49">
        <v>8603</v>
      </c>
      <c r="S8605" s="59">
        <f ca="1">Dashboard!B$8* Dashboard!$F$4+Dashboard!B$10*SQRT(Dashboard!$F$4) * _xlfn.NORM.S.INV(RAND())</f>
        <v>2.9091007777341082E-2</v>
      </c>
      <c r="T8605" s="59">
        <f ca="1">Dashboard!C$8* Dashboard!$F$4+Dashboard!C$10*SQRT(Dashboard!$F$4) * _xlfn.NORM.S.INV(RAND())</f>
        <v>-3.2334808145925709E-2</v>
      </c>
      <c r="U8605" s="59">
        <f ca="1">Dashboard!D$8* Dashboard!$F$4+Dashboard!D$10*SQRT(Dashboard!$F$4) * _xlfn.NORM.S.INV(RAND())</f>
        <v>-4.4768499600169952E-2</v>
      </c>
    </row>
    <row r="8606" spans="18:21" x14ac:dyDescent="0.2">
      <c r="R8606" s="49">
        <v>8604</v>
      </c>
      <c r="S8606" s="59">
        <f ca="1">Dashboard!B$8* Dashboard!$F$4+Dashboard!B$10*SQRT(Dashboard!$F$4) * _xlfn.NORM.S.INV(RAND())</f>
        <v>-2.958701479316117E-2</v>
      </c>
      <c r="T8606" s="59">
        <f ca="1">Dashboard!C$8* Dashboard!$F$4+Dashboard!C$10*SQRT(Dashboard!$F$4) * _xlfn.NORM.S.INV(RAND())</f>
        <v>-3.6896142932473792E-2</v>
      </c>
      <c r="U8606" s="59">
        <f ca="1">Dashboard!D$8* Dashboard!$F$4+Dashboard!D$10*SQRT(Dashboard!$F$4) * _xlfn.NORM.S.INV(RAND())</f>
        <v>1.1069121761804591E-2</v>
      </c>
    </row>
    <row r="8607" spans="18:21" x14ac:dyDescent="0.2">
      <c r="R8607" s="49">
        <v>8605</v>
      </c>
      <c r="S8607" s="59">
        <f ca="1">Dashboard!B$8* Dashboard!$F$4+Dashboard!B$10*SQRT(Dashboard!$F$4) * _xlfn.NORM.S.INV(RAND())</f>
        <v>5.0066183430626937E-3</v>
      </c>
      <c r="T8607" s="59">
        <f ca="1">Dashboard!C$8* Dashboard!$F$4+Dashboard!C$10*SQRT(Dashboard!$F$4) * _xlfn.NORM.S.INV(RAND())</f>
        <v>-1.2977909912710701E-2</v>
      </c>
      <c r="U8607" s="59">
        <f ca="1">Dashboard!D$8* Dashboard!$F$4+Dashboard!D$10*SQRT(Dashboard!$F$4) * _xlfn.NORM.S.INV(RAND())</f>
        <v>-5.8742078979801451E-2</v>
      </c>
    </row>
    <row r="8608" spans="18:21" x14ac:dyDescent="0.2">
      <c r="R8608" s="49">
        <v>8606</v>
      </c>
      <c r="S8608" s="59">
        <f ca="1">Dashboard!B$8* Dashboard!$F$4+Dashboard!B$10*SQRT(Dashboard!$F$4) * _xlfn.NORM.S.INV(RAND())</f>
        <v>-6.4813248700854205E-3</v>
      </c>
      <c r="T8608" s="59">
        <f ca="1">Dashboard!C$8* Dashboard!$F$4+Dashboard!C$10*SQRT(Dashboard!$F$4) * _xlfn.NORM.S.INV(RAND())</f>
        <v>6.6657717280551393E-2</v>
      </c>
      <c r="U8608" s="59">
        <f ca="1">Dashboard!D$8* Dashboard!$F$4+Dashboard!D$10*SQRT(Dashboard!$F$4) * _xlfn.NORM.S.INV(RAND())</f>
        <v>-2.5612984564774708E-2</v>
      </c>
    </row>
    <row r="8609" spans="18:21" x14ac:dyDescent="0.2">
      <c r="R8609" s="49">
        <v>8607</v>
      </c>
      <c r="S8609" s="59">
        <f ca="1">Dashboard!B$8* Dashboard!$F$4+Dashboard!B$10*SQRT(Dashboard!$F$4) * _xlfn.NORM.S.INV(RAND())</f>
        <v>-7.7989030931627928E-4</v>
      </c>
      <c r="T8609" s="59">
        <f ca="1">Dashboard!C$8* Dashboard!$F$4+Dashboard!C$10*SQRT(Dashboard!$F$4) * _xlfn.NORM.S.INV(RAND())</f>
        <v>-1.1783822826156053E-2</v>
      </c>
      <c r="U8609" s="59">
        <f ca="1">Dashboard!D$8* Dashboard!$F$4+Dashboard!D$10*SQRT(Dashboard!$F$4) * _xlfn.NORM.S.INV(RAND())</f>
        <v>4.6798757141203851E-2</v>
      </c>
    </row>
    <row r="8610" spans="18:21" x14ac:dyDescent="0.2">
      <c r="R8610" s="49">
        <v>8608</v>
      </c>
      <c r="S8610" s="59">
        <f ca="1">Dashboard!B$8* Dashboard!$F$4+Dashboard!B$10*SQRT(Dashboard!$F$4) * _xlfn.NORM.S.INV(RAND())</f>
        <v>-3.331013305855441E-2</v>
      </c>
      <c r="T8610" s="59">
        <f ca="1">Dashboard!C$8* Dashboard!$F$4+Dashboard!C$10*SQRT(Dashboard!$F$4) * _xlfn.NORM.S.INV(RAND())</f>
        <v>5.8080358075216873E-2</v>
      </c>
      <c r="U8610" s="59">
        <f ca="1">Dashboard!D$8* Dashboard!$F$4+Dashboard!D$10*SQRT(Dashboard!$F$4) * _xlfn.NORM.S.INV(RAND())</f>
        <v>-4.2874784947591069E-3</v>
      </c>
    </row>
    <row r="8611" spans="18:21" x14ac:dyDescent="0.2">
      <c r="R8611" s="49">
        <v>8609</v>
      </c>
      <c r="S8611" s="59">
        <f ca="1">Dashboard!B$8* Dashboard!$F$4+Dashboard!B$10*SQRT(Dashboard!$F$4) * _xlfn.NORM.S.INV(RAND())</f>
        <v>-2.1335738695323236E-2</v>
      </c>
      <c r="T8611" s="59">
        <f ca="1">Dashboard!C$8* Dashboard!$F$4+Dashboard!C$10*SQRT(Dashboard!$F$4) * _xlfn.NORM.S.INV(RAND())</f>
        <v>3.6284760964297134E-2</v>
      </c>
      <c r="U8611" s="59">
        <f ca="1">Dashboard!D$8* Dashboard!$F$4+Dashboard!D$10*SQRT(Dashboard!$F$4) * _xlfn.NORM.S.INV(RAND())</f>
        <v>-3.5571137679250749E-2</v>
      </c>
    </row>
    <row r="8612" spans="18:21" x14ac:dyDescent="0.2">
      <c r="R8612" s="49">
        <v>8610</v>
      </c>
      <c r="S8612" s="59">
        <f ca="1">Dashboard!B$8* Dashboard!$F$4+Dashboard!B$10*SQRT(Dashboard!$F$4) * _xlfn.NORM.S.INV(RAND())</f>
        <v>-4.5371811277663023E-2</v>
      </c>
      <c r="T8612" s="59">
        <f ca="1">Dashboard!C$8* Dashboard!$F$4+Dashboard!C$10*SQRT(Dashboard!$F$4) * _xlfn.NORM.S.INV(RAND())</f>
        <v>5.06141174356618E-3</v>
      </c>
      <c r="U8612" s="59">
        <f ca="1">Dashboard!D$8* Dashboard!$F$4+Dashboard!D$10*SQRT(Dashboard!$F$4) * _xlfn.NORM.S.INV(RAND())</f>
        <v>-7.3640479542271473E-3</v>
      </c>
    </row>
    <row r="8613" spans="18:21" x14ac:dyDescent="0.2">
      <c r="R8613" s="49">
        <v>8611</v>
      </c>
      <c r="S8613" s="59">
        <f ca="1">Dashboard!B$8* Dashboard!$F$4+Dashboard!B$10*SQRT(Dashboard!$F$4) * _xlfn.NORM.S.INV(RAND())</f>
        <v>-1.4092049101576555E-2</v>
      </c>
      <c r="T8613" s="59">
        <f ca="1">Dashboard!C$8* Dashboard!$F$4+Dashboard!C$10*SQRT(Dashboard!$F$4) * _xlfn.NORM.S.INV(RAND())</f>
        <v>4.0856955812661345E-3</v>
      </c>
      <c r="U8613" s="59">
        <f ca="1">Dashboard!D$8* Dashboard!$F$4+Dashboard!D$10*SQRT(Dashboard!$F$4) * _xlfn.NORM.S.INV(RAND())</f>
        <v>-2.5057573462881195E-2</v>
      </c>
    </row>
    <row r="8614" spans="18:21" x14ac:dyDescent="0.2">
      <c r="R8614" s="49">
        <v>8612</v>
      </c>
      <c r="S8614" s="59">
        <f ca="1">Dashboard!B$8* Dashboard!$F$4+Dashboard!B$10*SQRT(Dashboard!$F$4) * _xlfn.NORM.S.INV(RAND())</f>
        <v>-6.5645863875638047E-2</v>
      </c>
      <c r="T8614" s="59">
        <f ca="1">Dashboard!C$8* Dashboard!$F$4+Dashboard!C$10*SQRT(Dashboard!$F$4) * _xlfn.NORM.S.INV(RAND())</f>
        <v>3.8100147096746008E-2</v>
      </c>
      <c r="U8614" s="59">
        <f ca="1">Dashboard!D$8* Dashboard!$F$4+Dashboard!D$10*SQRT(Dashboard!$F$4) * _xlfn.NORM.S.INV(RAND())</f>
        <v>7.4010392802014695E-3</v>
      </c>
    </row>
    <row r="8615" spans="18:21" x14ac:dyDescent="0.2">
      <c r="R8615" s="49">
        <v>8613</v>
      </c>
      <c r="S8615" s="59">
        <f ca="1">Dashboard!B$8* Dashboard!$F$4+Dashboard!B$10*SQRT(Dashboard!$F$4) * _xlfn.NORM.S.INV(RAND())</f>
        <v>-6.9986742526668396E-3</v>
      </c>
      <c r="T8615" s="59">
        <f ca="1">Dashboard!C$8* Dashboard!$F$4+Dashboard!C$10*SQRT(Dashboard!$F$4) * _xlfn.NORM.S.INV(RAND())</f>
        <v>2.9557973636988632E-3</v>
      </c>
      <c r="U8615" s="59">
        <f ca="1">Dashboard!D$8* Dashboard!$F$4+Dashboard!D$10*SQRT(Dashboard!$F$4) * _xlfn.NORM.S.INV(RAND())</f>
        <v>-2.6187304092879796E-2</v>
      </c>
    </row>
    <row r="8616" spans="18:21" x14ac:dyDescent="0.2">
      <c r="R8616" s="49">
        <v>8614</v>
      </c>
      <c r="S8616" s="59">
        <f ca="1">Dashboard!B$8* Dashboard!$F$4+Dashboard!B$10*SQRT(Dashboard!$F$4) * _xlfn.NORM.S.INV(RAND())</f>
        <v>3.691873789911778E-2</v>
      </c>
      <c r="T8616" s="59">
        <f ca="1">Dashboard!C$8* Dashboard!$F$4+Dashboard!C$10*SQRT(Dashboard!$F$4) * _xlfn.NORM.S.INV(RAND())</f>
        <v>-3.8730469122477684E-2</v>
      </c>
      <c r="U8616" s="59">
        <f ca="1">Dashboard!D$8* Dashboard!$F$4+Dashboard!D$10*SQRT(Dashboard!$F$4) * _xlfn.NORM.S.INV(RAND())</f>
        <v>-1.0170523771718499E-2</v>
      </c>
    </row>
    <row r="8617" spans="18:21" x14ac:dyDescent="0.2">
      <c r="R8617" s="49">
        <v>8615</v>
      </c>
      <c r="S8617" s="59">
        <f ca="1">Dashboard!B$8* Dashboard!$F$4+Dashboard!B$10*SQRT(Dashboard!$F$4) * _xlfn.NORM.S.INV(RAND())</f>
        <v>-1.1905116887712593E-2</v>
      </c>
      <c r="T8617" s="59">
        <f ca="1">Dashboard!C$8* Dashboard!$F$4+Dashboard!C$10*SQRT(Dashboard!$F$4) * _xlfn.NORM.S.INV(RAND())</f>
        <v>5.9777800544863875E-2</v>
      </c>
      <c r="U8617" s="59">
        <f ca="1">Dashboard!D$8* Dashboard!$F$4+Dashboard!D$10*SQRT(Dashboard!$F$4) * _xlfn.NORM.S.INV(RAND())</f>
        <v>2.9783647460302565E-3</v>
      </c>
    </row>
    <row r="8618" spans="18:21" x14ac:dyDescent="0.2">
      <c r="R8618" s="49">
        <v>8616</v>
      </c>
      <c r="S8618" s="59">
        <f ca="1">Dashboard!B$8* Dashboard!$F$4+Dashboard!B$10*SQRT(Dashboard!$F$4) * _xlfn.NORM.S.INV(RAND())</f>
        <v>-3.1793500544408881E-2</v>
      </c>
      <c r="T8618" s="59">
        <f ca="1">Dashboard!C$8* Dashboard!$F$4+Dashboard!C$10*SQRT(Dashboard!$F$4) * _xlfn.NORM.S.INV(RAND())</f>
        <v>-1.3323823823579942E-2</v>
      </c>
      <c r="U8618" s="59">
        <f ca="1">Dashboard!D$8* Dashboard!$F$4+Dashboard!D$10*SQRT(Dashboard!$F$4) * _xlfn.NORM.S.INV(RAND())</f>
        <v>8.9918789642406786E-3</v>
      </c>
    </row>
    <row r="8619" spans="18:21" x14ac:dyDescent="0.2">
      <c r="R8619" s="49">
        <v>8617</v>
      </c>
      <c r="S8619" s="59">
        <f ca="1">Dashboard!B$8* Dashboard!$F$4+Dashboard!B$10*SQRT(Dashboard!$F$4) * _xlfn.NORM.S.INV(RAND())</f>
        <v>-8.6751589808071156E-2</v>
      </c>
      <c r="T8619" s="59">
        <f ca="1">Dashboard!C$8* Dashboard!$F$4+Dashboard!C$10*SQRT(Dashboard!$F$4) * _xlfn.NORM.S.INV(RAND())</f>
        <v>4.2037716957252759E-2</v>
      </c>
      <c r="U8619" s="59">
        <f ca="1">Dashboard!D$8* Dashboard!$F$4+Dashboard!D$10*SQRT(Dashboard!$F$4) * _xlfn.NORM.S.INV(RAND())</f>
        <v>9.3424679862602004E-3</v>
      </c>
    </row>
    <row r="8620" spans="18:21" x14ac:dyDescent="0.2">
      <c r="R8620" s="49">
        <v>8618</v>
      </c>
      <c r="S8620" s="59">
        <f ca="1">Dashboard!B$8* Dashboard!$F$4+Dashboard!B$10*SQRT(Dashboard!$F$4) * _xlfn.NORM.S.INV(RAND())</f>
        <v>-3.9122864293670463E-2</v>
      </c>
      <c r="T8620" s="59">
        <f ca="1">Dashboard!C$8* Dashboard!$F$4+Dashboard!C$10*SQRT(Dashboard!$F$4) * _xlfn.NORM.S.INV(RAND())</f>
        <v>3.4468185567862727E-2</v>
      </c>
      <c r="U8620" s="59">
        <f ca="1">Dashboard!D$8* Dashboard!$F$4+Dashboard!D$10*SQRT(Dashboard!$F$4) * _xlfn.NORM.S.INV(RAND())</f>
        <v>3.5595677270663477E-2</v>
      </c>
    </row>
    <row r="8621" spans="18:21" x14ac:dyDescent="0.2">
      <c r="R8621" s="49">
        <v>8619</v>
      </c>
      <c r="S8621" s="59">
        <f ca="1">Dashboard!B$8* Dashboard!$F$4+Dashboard!B$10*SQRT(Dashboard!$F$4) * _xlfn.NORM.S.INV(RAND())</f>
        <v>-1.467162169429197E-2</v>
      </c>
      <c r="T8621" s="59">
        <f ca="1">Dashboard!C$8* Dashboard!$F$4+Dashboard!C$10*SQRT(Dashboard!$F$4) * _xlfn.NORM.S.INV(RAND())</f>
        <v>-5.8871921325813467E-2</v>
      </c>
      <c r="U8621" s="59">
        <f ca="1">Dashboard!D$8* Dashboard!$F$4+Dashboard!D$10*SQRT(Dashboard!$F$4) * _xlfn.NORM.S.INV(RAND())</f>
        <v>3.8032653484112236E-2</v>
      </c>
    </row>
    <row r="8622" spans="18:21" x14ac:dyDescent="0.2">
      <c r="R8622" s="49">
        <v>8620</v>
      </c>
      <c r="S8622" s="59">
        <f ca="1">Dashboard!B$8* Dashboard!$F$4+Dashboard!B$10*SQRT(Dashboard!$F$4) * _xlfn.NORM.S.INV(RAND())</f>
        <v>2.042292589461471E-2</v>
      </c>
      <c r="T8622" s="59">
        <f ca="1">Dashboard!C$8* Dashboard!$F$4+Dashboard!C$10*SQRT(Dashboard!$F$4) * _xlfn.NORM.S.INV(RAND())</f>
        <v>4.4639827855742754E-2</v>
      </c>
      <c r="U8622" s="59">
        <f ca="1">Dashboard!D$8* Dashboard!$F$4+Dashboard!D$10*SQRT(Dashboard!$F$4) * _xlfn.NORM.S.INV(RAND())</f>
        <v>-2.1368681917183135E-2</v>
      </c>
    </row>
    <row r="8623" spans="18:21" x14ac:dyDescent="0.2">
      <c r="R8623" s="49">
        <v>8621</v>
      </c>
      <c r="S8623" s="59">
        <f ca="1">Dashboard!B$8* Dashboard!$F$4+Dashboard!B$10*SQRT(Dashboard!$F$4) * _xlfn.NORM.S.INV(RAND())</f>
        <v>-3.0996113044203751E-2</v>
      </c>
      <c r="T8623" s="59">
        <f ca="1">Dashboard!C$8* Dashboard!$F$4+Dashboard!C$10*SQRT(Dashboard!$F$4) * _xlfn.NORM.S.INV(RAND())</f>
        <v>-2.4210505823526315E-3</v>
      </c>
      <c r="U8623" s="59">
        <f ca="1">Dashboard!D$8* Dashboard!$F$4+Dashboard!D$10*SQRT(Dashboard!$F$4) * _xlfn.NORM.S.INV(RAND())</f>
        <v>-7.4613300885650663E-3</v>
      </c>
    </row>
    <row r="8624" spans="18:21" x14ac:dyDescent="0.2">
      <c r="R8624" s="49">
        <v>8622</v>
      </c>
      <c r="S8624" s="59">
        <f ca="1">Dashboard!B$8* Dashboard!$F$4+Dashboard!B$10*SQRT(Dashboard!$F$4) * _xlfn.NORM.S.INV(RAND())</f>
        <v>-6.5409490620533167E-2</v>
      </c>
      <c r="T8624" s="59">
        <f ca="1">Dashboard!C$8* Dashboard!$F$4+Dashboard!C$10*SQRT(Dashboard!$F$4) * _xlfn.NORM.S.INV(RAND())</f>
        <v>3.3110773441417767E-2</v>
      </c>
      <c r="U8624" s="59">
        <f ca="1">Dashboard!D$8* Dashboard!$F$4+Dashboard!D$10*SQRT(Dashboard!$F$4) * _xlfn.NORM.S.INV(RAND())</f>
        <v>-2.4327328282592767E-2</v>
      </c>
    </row>
    <row r="8625" spans="18:21" x14ac:dyDescent="0.2">
      <c r="R8625" s="49">
        <v>8623</v>
      </c>
      <c r="S8625" s="59">
        <f ca="1">Dashboard!B$8* Dashboard!$F$4+Dashboard!B$10*SQRT(Dashboard!$F$4) * _xlfn.NORM.S.INV(RAND())</f>
        <v>1.3891046719776668E-2</v>
      </c>
      <c r="T8625" s="59">
        <f ca="1">Dashboard!C$8* Dashboard!$F$4+Dashboard!C$10*SQRT(Dashboard!$F$4) * _xlfn.NORM.S.INV(RAND())</f>
        <v>2.4524624111851062E-3</v>
      </c>
      <c r="U8625" s="59">
        <f ca="1">Dashboard!D$8* Dashboard!$F$4+Dashboard!D$10*SQRT(Dashboard!$F$4) * _xlfn.NORM.S.INV(RAND())</f>
        <v>-9.3891956160474278E-3</v>
      </c>
    </row>
    <row r="8626" spans="18:21" x14ac:dyDescent="0.2">
      <c r="R8626" s="49">
        <v>8624</v>
      </c>
      <c r="S8626" s="59">
        <f ca="1">Dashboard!B$8* Dashboard!$F$4+Dashboard!B$10*SQRT(Dashboard!$F$4) * _xlfn.NORM.S.INV(RAND())</f>
        <v>-8.8443558151495752E-2</v>
      </c>
      <c r="T8626" s="59">
        <f ca="1">Dashboard!C$8* Dashboard!$F$4+Dashboard!C$10*SQRT(Dashboard!$F$4) * _xlfn.NORM.S.INV(RAND())</f>
        <v>7.0636950619675107E-2</v>
      </c>
      <c r="U8626" s="59">
        <f ca="1">Dashboard!D$8* Dashboard!$F$4+Dashboard!D$10*SQRT(Dashboard!$F$4) * _xlfn.NORM.S.INV(RAND())</f>
        <v>-5.4157274403138632E-2</v>
      </c>
    </row>
    <row r="8627" spans="18:21" x14ac:dyDescent="0.2">
      <c r="R8627" s="49">
        <v>8625</v>
      </c>
      <c r="S8627" s="59">
        <f ca="1">Dashboard!B$8* Dashboard!$F$4+Dashboard!B$10*SQRT(Dashboard!$F$4) * _xlfn.NORM.S.INV(RAND())</f>
        <v>-3.3444888969089759E-2</v>
      </c>
      <c r="T8627" s="59">
        <f ca="1">Dashboard!C$8* Dashboard!$F$4+Dashboard!C$10*SQRT(Dashboard!$F$4) * _xlfn.NORM.S.INV(RAND())</f>
        <v>2.9894336304270356E-2</v>
      </c>
      <c r="U8627" s="59">
        <f ca="1">Dashboard!D$8* Dashboard!$F$4+Dashboard!D$10*SQRT(Dashboard!$F$4) * _xlfn.NORM.S.INV(RAND())</f>
        <v>-2.0000382576740309E-2</v>
      </c>
    </row>
    <row r="8628" spans="18:21" x14ac:dyDescent="0.2">
      <c r="R8628" s="49">
        <v>8626</v>
      </c>
      <c r="S8628" s="59">
        <f ca="1">Dashboard!B$8* Dashboard!$F$4+Dashboard!B$10*SQRT(Dashboard!$F$4) * _xlfn.NORM.S.INV(RAND())</f>
        <v>2.6780606293994022E-2</v>
      </c>
      <c r="T8628" s="59">
        <f ca="1">Dashboard!C$8* Dashboard!$F$4+Dashboard!C$10*SQRT(Dashboard!$F$4) * _xlfn.NORM.S.INV(RAND())</f>
        <v>-2.115547913838808E-2</v>
      </c>
      <c r="U8628" s="59">
        <f ca="1">Dashboard!D$8* Dashboard!$F$4+Dashboard!D$10*SQRT(Dashboard!$F$4) * _xlfn.NORM.S.INV(RAND())</f>
        <v>-8.2937377710371532E-3</v>
      </c>
    </row>
    <row r="8629" spans="18:21" x14ac:dyDescent="0.2">
      <c r="R8629" s="49">
        <v>8627</v>
      </c>
      <c r="S8629" s="59">
        <f ca="1">Dashboard!B$8* Dashboard!$F$4+Dashboard!B$10*SQRT(Dashboard!$F$4) * _xlfn.NORM.S.INV(RAND())</f>
        <v>9.6942632625654623E-3</v>
      </c>
      <c r="T8629" s="59">
        <f ca="1">Dashboard!C$8* Dashboard!$F$4+Dashboard!C$10*SQRT(Dashboard!$F$4) * _xlfn.NORM.S.INV(RAND())</f>
        <v>-6.6777214338474581E-3</v>
      </c>
      <c r="U8629" s="59">
        <f ca="1">Dashboard!D$8* Dashboard!$F$4+Dashboard!D$10*SQRT(Dashboard!$F$4) * _xlfn.NORM.S.INV(RAND())</f>
        <v>-8.2179060951099708E-3</v>
      </c>
    </row>
    <row r="8630" spans="18:21" x14ac:dyDescent="0.2">
      <c r="R8630" s="49">
        <v>8628</v>
      </c>
      <c r="S8630" s="59">
        <f ca="1">Dashboard!B$8* Dashboard!$F$4+Dashboard!B$10*SQRT(Dashboard!$F$4) * _xlfn.NORM.S.INV(RAND())</f>
        <v>-2.5460958386253431E-2</v>
      </c>
      <c r="T8630" s="59">
        <f ca="1">Dashboard!C$8* Dashboard!$F$4+Dashboard!C$10*SQRT(Dashboard!$F$4) * _xlfn.NORM.S.INV(RAND())</f>
        <v>2.1020059322500825E-2</v>
      </c>
      <c r="U8630" s="59">
        <f ca="1">Dashboard!D$8* Dashboard!$F$4+Dashboard!D$10*SQRT(Dashboard!$F$4) * _xlfn.NORM.S.INV(RAND())</f>
        <v>-2.45282230326665E-2</v>
      </c>
    </row>
    <row r="8631" spans="18:21" x14ac:dyDescent="0.2">
      <c r="R8631" s="49">
        <v>8629</v>
      </c>
      <c r="S8631" s="59">
        <f ca="1">Dashboard!B$8* Dashboard!$F$4+Dashboard!B$10*SQRT(Dashboard!$F$4) * _xlfn.NORM.S.INV(RAND())</f>
        <v>3.712758588809828E-2</v>
      </c>
      <c r="T8631" s="59">
        <f ca="1">Dashboard!C$8* Dashboard!$F$4+Dashboard!C$10*SQRT(Dashboard!$F$4) * _xlfn.NORM.S.INV(RAND())</f>
        <v>-4.8957868430413401E-2</v>
      </c>
      <c r="U8631" s="59">
        <f ca="1">Dashboard!D$8* Dashboard!$F$4+Dashboard!D$10*SQRT(Dashboard!$F$4) * _xlfn.NORM.S.INV(RAND())</f>
        <v>-3.0252649795629402E-2</v>
      </c>
    </row>
    <row r="8632" spans="18:21" x14ac:dyDescent="0.2">
      <c r="R8632" s="49">
        <v>8630</v>
      </c>
      <c r="S8632" s="59">
        <f ca="1">Dashboard!B$8* Dashboard!$F$4+Dashboard!B$10*SQRT(Dashboard!$F$4) * _xlfn.NORM.S.INV(RAND())</f>
        <v>1.9836389867940014E-2</v>
      </c>
      <c r="T8632" s="59">
        <f ca="1">Dashboard!C$8* Dashboard!$F$4+Dashboard!C$10*SQRT(Dashboard!$F$4) * _xlfn.NORM.S.INV(RAND())</f>
        <v>-3.3989723941054838E-2</v>
      </c>
      <c r="U8632" s="59">
        <f ca="1">Dashboard!D$8* Dashboard!$F$4+Dashboard!D$10*SQRT(Dashboard!$F$4) * _xlfn.NORM.S.INV(RAND())</f>
        <v>3.2878469652884885E-2</v>
      </c>
    </row>
    <row r="8633" spans="18:21" x14ac:dyDescent="0.2">
      <c r="R8633" s="49">
        <v>8631</v>
      </c>
      <c r="S8633" s="59">
        <f ca="1">Dashboard!B$8* Dashboard!$F$4+Dashboard!B$10*SQRT(Dashboard!$F$4) * _xlfn.NORM.S.INV(RAND())</f>
        <v>-3.1035379539084432E-2</v>
      </c>
      <c r="T8633" s="59">
        <f ca="1">Dashboard!C$8* Dashboard!$F$4+Dashboard!C$10*SQRT(Dashboard!$F$4) * _xlfn.NORM.S.INV(RAND())</f>
        <v>-1.3658173220298737E-2</v>
      </c>
      <c r="U8633" s="59">
        <f ca="1">Dashboard!D$8* Dashboard!$F$4+Dashboard!D$10*SQRT(Dashboard!$F$4) * _xlfn.NORM.S.INV(RAND())</f>
        <v>-4.6161862401918663E-2</v>
      </c>
    </row>
    <row r="8634" spans="18:21" x14ac:dyDescent="0.2">
      <c r="R8634" s="49">
        <v>8632</v>
      </c>
      <c r="S8634" s="59">
        <f ca="1">Dashboard!B$8* Dashboard!$F$4+Dashboard!B$10*SQRT(Dashboard!$F$4) * _xlfn.NORM.S.INV(RAND())</f>
        <v>3.1361538471638674E-2</v>
      </c>
      <c r="T8634" s="59">
        <f ca="1">Dashboard!C$8* Dashboard!$F$4+Dashboard!C$10*SQRT(Dashboard!$F$4) * _xlfn.NORM.S.INV(RAND())</f>
        <v>-2.7487998892755305E-3</v>
      </c>
      <c r="U8634" s="59">
        <f ca="1">Dashboard!D$8* Dashboard!$F$4+Dashboard!D$10*SQRT(Dashboard!$F$4) * _xlfn.NORM.S.INV(RAND())</f>
        <v>3.0284737713516981E-3</v>
      </c>
    </row>
    <row r="8635" spans="18:21" x14ac:dyDescent="0.2">
      <c r="R8635" s="49">
        <v>8633</v>
      </c>
      <c r="S8635" s="59">
        <f ca="1">Dashboard!B$8* Dashboard!$F$4+Dashboard!B$10*SQRT(Dashboard!$F$4) * _xlfn.NORM.S.INV(RAND())</f>
        <v>7.6437300916794466E-3</v>
      </c>
      <c r="T8635" s="59">
        <f ca="1">Dashboard!C$8* Dashboard!$F$4+Dashboard!C$10*SQRT(Dashboard!$F$4) * _xlfn.NORM.S.INV(RAND())</f>
        <v>6.3428766235056489E-3</v>
      </c>
      <c r="U8635" s="59">
        <f ca="1">Dashboard!D$8* Dashboard!$F$4+Dashboard!D$10*SQRT(Dashboard!$F$4) * _xlfn.NORM.S.INV(RAND())</f>
        <v>-1.952744891386303E-2</v>
      </c>
    </row>
    <row r="8636" spans="18:21" x14ac:dyDescent="0.2">
      <c r="R8636" s="49">
        <v>8634</v>
      </c>
      <c r="S8636" s="59">
        <f ca="1">Dashboard!B$8* Dashboard!$F$4+Dashboard!B$10*SQRT(Dashboard!$F$4) * _xlfn.NORM.S.INV(RAND())</f>
        <v>-1.2508646198493045E-2</v>
      </c>
      <c r="T8636" s="59">
        <f ca="1">Dashboard!C$8* Dashboard!$F$4+Dashboard!C$10*SQRT(Dashboard!$F$4) * _xlfn.NORM.S.INV(RAND())</f>
        <v>5.2043275647224635E-2</v>
      </c>
      <c r="U8636" s="59">
        <f ca="1">Dashboard!D$8* Dashboard!$F$4+Dashboard!D$10*SQRT(Dashboard!$F$4) * _xlfn.NORM.S.INV(RAND())</f>
        <v>-2.4090825885037113E-2</v>
      </c>
    </row>
    <row r="8637" spans="18:21" x14ac:dyDescent="0.2">
      <c r="R8637" s="49">
        <v>8635</v>
      </c>
      <c r="S8637" s="59">
        <f ca="1">Dashboard!B$8* Dashboard!$F$4+Dashboard!B$10*SQRT(Dashboard!$F$4) * _xlfn.NORM.S.INV(RAND())</f>
        <v>5.4535419222683165E-2</v>
      </c>
      <c r="T8637" s="59">
        <f ca="1">Dashboard!C$8* Dashboard!$F$4+Dashboard!C$10*SQRT(Dashboard!$F$4) * _xlfn.NORM.S.INV(RAND())</f>
        <v>-4.5636614934310565E-2</v>
      </c>
      <c r="U8637" s="59">
        <f ca="1">Dashboard!D$8* Dashboard!$F$4+Dashboard!D$10*SQRT(Dashboard!$F$4) * _xlfn.NORM.S.INV(RAND())</f>
        <v>7.9651740309183011E-3</v>
      </c>
    </row>
    <row r="8638" spans="18:21" x14ac:dyDescent="0.2">
      <c r="R8638" s="49">
        <v>8636</v>
      </c>
      <c r="S8638" s="59">
        <f ca="1">Dashboard!B$8* Dashboard!$F$4+Dashboard!B$10*SQRT(Dashboard!$F$4) * _xlfn.NORM.S.INV(RAND())</f>
        <v>3.8706533599415581E-2</v>
      </c>
      <c r="T8638" s="59">
        <f ca="1">Dashboard!C$8* Dashboard!$F$4+Dashboard!C$10*SQRT(Dashboard!$F$4) * _xlfn.NORM.S.INV(RAND())</f>
        <v>-4.6879429854595242E-2</v>
      </c>
      <c r="U8638" s="59">
        <f ca="1">Dashboard!D$8* Dashboard!$F$4+Dashboard!D$10*SQRT(Dashboard!$F$4) * _xlfn.NORM.S.INV(RAND())</f>
        <v>-2.433944930390778E-2</v>
      </c>
    </row>
    <row r="8639" spans="18:21" x14ac:dyDescent="0.2">
      <c r="R8639" s="49">
        <v>8637</v>
      </c>
      <c r="S8639" s="59">
        <f ca="1">Dashboard!B$8* Dashboard!$F$4+Dashboard!B$10*SQRT(Dashboard!$F$4) * _xlfn.NORM.S.INV(RAND())</f>
        <v>-9.0373507316798361E-3</v>
      </c>
      <c r="T8639" s="59">
        <f ca="1">Dashboard!C$8* Dashboard!$F$4+Dashboard!C$10*SQRT(Dashboard!$F$4) * _xlfn.NORM.S.INV(RAND())</f>
        <v>-4.7806517813187545E-2</v>
      </c>
      <c r="U8639" s="59">
        <f ca="1">Dashboard!D$8* Dashboard!$F$4+Dashboard!D$10*SQRT(Dashboard!$F$4) * _xlfn.NORM.S.INV(RAND())</f>
        <v>-2.0912944747141369E-2</v>
      </c>
    </row>
    <row r="8640" spans="18:21" x14ac:dyDescent="0.2">
      <c r="R8640" s="49">
        <v>8638</v>
      </c>
      <c r="S8640" s="59">
        <f ca="1">Dashboard!B$8* Dashboard!$F$4+Dashboard!B$10*SQRT(Dashboard!$F$4) * _xlfn.NORM.S.INV(RAND())</f>
        <v>-1.6726842616473565E-2</v>
      </c>
      <c r="T8640" s="59">
        <f ca="1">Dashboard!C$8* Dashboard!$F$4+Dashboard!C$10*SQRT(Dashboard!$F$4) * _xlfn.NORM.S.INV(RAND())</f>
        <v>3.1371561729954235E-2</v>
      </c>
      <c r="U8640" s="59">
        <f ca="1">Dashboard!D$8* Dashboard!$F$4+Dashboard!D$10*SQRT(Dashboard!$F$4) * _xlfn.NORM.S.INV(RAND())</f>
        <v>3.3343376493945427E-2</v>
      </c>
    </row>
    <row r="8641" spans="18:21" x14ac:dyDescent="0.2">
      <c r="R8641" s="49">
        <v>8639</v>
      </c>
      <c r="S8641" s="59">
        <f ca="1">Dashboard!B$8* Dashboard!$F$4+Dashboard!B$10*SQRT(Dashboard!$F$4) * _xlfn.NORM.S.INV(RAND())</f>
        <v>-4.5175466164383629E-2</v>
      </c>
      <c r="T8641" s="59">
        <f ca="1">Dashboard!C$8* Dashboard!$F$4+Dashboard!C$10*SQRT(Dashboard!$F$4) * _xlfn.NORM.S.INV(RAND())</f>
        <v>-2.9891351755699331E-3</v>
      </c>
      <c r="U8641" s="59">
        <f ca="1">Dashboard!D$8* Dashboard!$F$4+Dashboard!D$10*SQRT(Dashboard!$F$4) * _xlfn.NORM.S.INV(RAND())</f>
        <v>4.4535629980693485E-2</v>
      </c>
    </row>
    <row r="8642" spans="18:21" x14ac:dyDescent="0.2">
      <c r="R8642" s="49">
        <v>8640</v>
      </c>
      <c r="S8642" s="59">
        <f ca="1">Dashboard!B$8* Dashboard!$F$4+Dashboard!B$10*SQRT(Dashboard!$F$4) * _xlfn.NORM.S.INV(RAND())</f>
        <v>-5.3835984790615238E-3</v>
      </c>
      <c r="T8642" s="59">
        <f ca="1">Dashboard!C$8* Dashboard!$F$4+Dashboard!C$10*SQRT(Dashboard!$F$4) * _xlfn.NORM.S.INV(RAND())</f>
        <v>-2.961496189472403E-2</v>
      </c>
      <c r="U8642" s="59">
        <f ca="1">Dashboard!D$8* Dashboard!$F$4+Dashboard!D$10*SQRT(Dashboard!$F$4) * _xlfn.NORM.S.INV(RAND())</f>
        <v>-2.3786533920806249E-2</v>
      </c>
    </row>
    <row r="8643" spans="18:21" x14ac:dyDescent="0.2">
      <c r="R8643" s="49">
        <v>8641</v>
      </c>
      <c r="S8643" s="59">
        <f ca="1">Dashboard!B$8* Dashboard!$F$4+Dashboard!B$10*SQRT(Dashboard!$F$4) * _xlfn.NORM.S.INV(RAND())</f>
        <v>-1.3041520191073351E-2</v>
      </c>
      <c r="T8643" s="59">
        <f ca="1">Dashboard!C$8* Dashboard!$F$4+Dashboard!C$10*SQRT(Dashboard!$F$4) * _xlfn.NORM.S.INV(RAND())</f>
        <v>-2.7797814851772792E-2</v>
      </c>
      <c r="U8643" s="59">
        <f ca="1">Dashboard!D$8* Dashboard!$F$4+Dashboard!D$10*SQRT(Dashboard!$F$4) * _xlfn.NORM.S.INV(RAND())</f>
        <v>9.1191476188279569E-3</v>
      </c>
    </row>
    <row r="8644" spans="18:21" x14ac:dyDescent="0.2">
      <c r="R8644" s="49">
        <v>8642</v>
      </c>
      <c r="S8644" s="59">
        <f ca="1">Dashboard!B$8* Dashboard!$F$4+Dashboard!B$10*SQRT(Dashboard!$F$4) * _xlfn.NORM.S.INV(RAND())</f>
        <v>4.2415957566491615E-2</v>
      </c>
      <c r="T8644" s="59">
        <f ca="1">Dashboard!C$8* Dashboard!$F$4+Dashboard!C$10*SQRT(Dashboard!$F$4) * _xlfn.NORM.S.INV(RAND())</f>
        <v>3.0235478009560352E-2</v>
      </c>
      <c r="U8644" s="59">
        <f ca="1">Dashboard!D$8* Dashboard!$F$4+Dashboard!D$10*SQRT(Dashboard!$F$4) * _xlfn.NORM.S.INV(RAND())</f>
        <v>2.7276096842644537E-2</v>
      </c>
    </row>
    <row r="8645" spans="18:21" x14ac:dyDescent="0.2">
      <c r="R8645" s="49">
        <v>8643</v>
      </c>
      <c r="S8645" s="59">
        <f ca="1">Dashboard!B$8* Dashboard!$F$4+Dashboard!B$10*SQRT(Dashboard!$F$4) * _xlfn.NORM.S.INV(RAND())</f>
        <v>3.5217425313368085E-2</v>
      </c>
      <c r="T8645" s="59">
        <f ca="1">Dashboard!C$8* Dashboard!$F$4+Dashboard!C$10*SQRT(Dashboard!$F$4) * _xlfn.NORM.S.INV(RAND())</f>
        <v>3.290100677811264E-2</v>
      </c>
      <c r="U8645" s="59">
        <f ca="1">Dashboard!D$8* Dashboard!$F$4+Dashboard!D$10*SQRT(Dashboard!$F$4) * _xlfn.NORM.S.INV(RAND())</f>
        <v>1.1546125039767175E-2</v>
      </c>
    </row>
    <row r="8646" spans="18:21" x14ac:dyDescent="0.2">
      <c r="R8646" s="49">
        <v>8644</v>
      </c>
      <c r="S8646" s="59">
        <f ca="1">Dashboard!B$8* Dashboard!$F$4+Dashboard!B$10*SQRT(Dashboard!$F$4) * _xlfn.NORM.S.INV(RAND())</f>
        <v>3.3068177655117062E-2</v>
      </c>
      <c r="T8646" s="59">
        <f ca="1">Dashboard!C$8* Dashboard!$F$4+Dashboard!C$10*SQRT(Dashboard!$F$4) * _xlfn.NORM.S.INV(RAND())</f>
        <v>1.0044489499323263E-2</v>
      </c>
      <c r="U8646" s="59">
        <f ca="1">Dashboard!D$8* Dashboard!$F$4+Dashboard!D$10*SQRT(Dashboard!$F$4) * _xlfn.NORM.S.INV(RAND())</f>
        <v>3.0315747644341123E-2</v>
      </c>
    </row>
    <row r="8647" spans="18:21" x14ac:dyDescent="0.2">
      <c r="R8647" s="49">
        <v>8645</v>
      </c>
      <c r="S8647" s="59">
        <f ca="1">Dashboard!B$8* Dashboard!$F$4+Dashboard!B$10*SQRT(Dashboard!$F$4) * _xlfn.NORM.S.INV(RAND())</f>
        <v>-9.8755588416681948E-3</v>
      </c>
      <c r="T8647" s="59">
        <f ca="1">Dashboard!C$8* Dashboard!$F$4+Dashboard!C$10*SQRT(Dashboard!$F$4) * _xlfn.NORM.S.INV(RAND())</f>
        <v>2.3186846004400595E-2</v>
      </c>
      <c r="U8647" s="59">
        <f ca="1">Dashboard!D$8* Dashboard!$F$4+Dashboard!D$10*SQRT(Dashboard!$F$4) * _xlfn.NORM.S.INV(RAND())</f>
        <v>8.0515509256312692E-2</v>
      </c>
    </row>
    <row r="8648" spans="18:21" x14ac:dyDescent="0.2">
      <c r="R8648" s="49">
        <v>8646</v>
      </c>
      <c r="S8648" s="59">
        <f ca="1">Dashboard!B$8* Dashboard!$F$4+Dashboard!B$10*SQRT(Dashboard!$F$4) * _xlfn.NORM.S.INV(RAND())</f>
        <v>-3.7471243963042161E-2</v>
      </c>
      <c r="T8648" s="59">
        <f ca="1">Dashboard!C$8* Dashboard!$F$4+Dashboard!C$10*SQRT(Dashboard!$F$4) * _xlfn.NORM.S.INV(RAND())</f>
        <v>2.3590434630684963E-2</v>
      </c>
      <c r="U8648" s="59">
        <f ca="1">Dashboard!D$8* Dashboard!$F$4+Dashboard!D$10*SQRT(Dashboard!$F$4) * _xlfn.NORM.S.INV(RAND())</f>
        <v>-2.1087921075627902E-2</v>
      </c>
    </row>
    <row r="8649" spans="18:21" x14ac:dyDescent="0.2">
      <c r="R8649" s="49">
        <v>8647</v>
      </c>
      <c r="S8649" s="59">
        <f ca="1">Dashboard!B$8* Dashboard!$F$4+Dashboard!B$10*SQRT(Dashboard!$F$4) * _xlfn.NORM.S.INV(RAND())</f>
        <v>3.2510024552088485E-2</v>
      </c>
      <c r="T8649" s="59">
        <f ca="1">Dashboard!C$8* Dashboard!$F$4+Dashboard!C$10*SQRT(Dashboard!$F$4) * _xlfn.NORM.S.INV(RAND())</f>
        <v>4.6768332940734188E-2</v>
      </c>
      <c r="U8649" s="59">
        <f ca="1">Dashboard!D$8* Dashboard!$F$4+Dashboard!D$10*SQRT(Dashboard!$F$4) * _xlfn.NORM.S.INV(RAND())</f>
        <v>-1.9967742662431849E-2</v>
      </c>
    </row>
    <row r="8650" spans="18:21" x14ac:dyDescent="0.2">
      <c r="R8650" s="49">
        <v>8648</v>
      </c>
      <c r="S8650" s="59">
        <f ca="1">Dashboard!B$8* Dashboard!$F$4+Dashboard!B$10*SQRT(Dashboard!$F$4) * _xlfn.NORM.S.INV(RAND())</f>
        <v>-1.5602977873792483E-2</v>
      </c>
      <c r="T8650" s="59">
        <f ca="1">Dashboard!C$8* Dashboard!$F$4+Dashboard!C$10*SQRT(Dashboard!$F$4) * _xlfn.NORM.S.INV(RAND())</f>
        <v>6.1120835161248997E-3</v>
      </c>
      <c r="U8650" s="59">
        <f ca="1">Dashboard!D$8* Dashboard!$F$4+Dashboard!D$10*SQRT(Dashboard!$F$4) * _xlfn.NORM.S.INV(RAND())</f>
        <v>-1.4680477668567331E-2</v>
      </c>
    </row>
    <row r="8651" spans="18:21" x14ac:dyDescent="0.2">
      <c r="R8651" s="49">
        <v>8649</v>
      </c>
      <c r="S8651" s="59">
        <f ca="1">Dashboard!B$8* Dashboard!$F$4+Dashboard!B$10*SQRT(Dashboard!$F$4) * _xlfn.NORM.S.INV(RAND())</f>
        <v>5.0060464636190849E-2</v>
      </c>
      <c r="T8651" s="59">
        <f ca="1">Dashboard!C$8* Dashboard!$F$4+Dashboard!C$10*SQRT(Dashboard!$F$4) * _xlfn.NORM.S.INV(RAND())</f>
        <v>8.2999015361040034E-3</v>
      </c>
      <c r="U8651" s="59">
        <f ca="1">Dashboard!D$8* Dashboard!$F$4+Dashboard!D$10*SQRT(Dashboard!$F$4) * _xlfn.NORM.S.INV(RAND())</f>
        <v>-1.3240156448484799E-2</v>
      </c>
    </row>
    <row r="8652" spans="18:21" x14ac:dyDescent="0.2">
      <c r="R8652" s="49">
        <v>8650</v>
      </c>
      <c r="S8652" s="59">
        <f ca="1">Dashboard!B$8* Dashboard!$F$4+Dashboard!B$10*SQRT(Dashboard!$F$4) * _xlfn.NORM.S.INV(RAND())</f>
        <v>-2.2014586196396492E-2</v>
      </c>
      <c r="T8652" s="59">
        <f ca="1">Dashboard!C$8* Dashboard!$F$4+Dashboard!C$10*SQRT(Dashboard!$F$4) * _xlfn.NORM.S.INV(RAND())</f>
        <v>1.8870604419248694E-2</v>
      </c>
      <c r="U8652" s="59">
        <f ca="1">Dashboard!D$8* Dashboard!$F$4+Dashboard!D$10*SQRT(Dashboard!$F$4) * _xlfn.NORM.S.INV(RAND())</f>
        <v>2.8301158931949982E-3</v>
      </c>
    </row>
    <row r="8653" spans="18:21" x14ac:dyDescent="0.2">
      <c r="R8653" s="49">
        <v>8651</v>
      </c>
      <c r="S8653" s="59">
        <f ca="1">Dashboard!B$8* Dashboard!$F$4+Dashboard!B$10*SQRT(Dashboard!$F$4) * _xlfn.NORM.S.INV(RAND())</f>
        <v>2.5339832022129263E-2</v>
      </c>
      <c r="T8653" s="59">
        <f ca="1">Dashboard!C$8* Dashboard!$F$4+Dashboard!C$10*SQRT(Dashboard!$F$4) * _xlfn.NORM.S.INV(RAND())</f>
        <v>1.1234290403959037E-2</v>
      </c>
      <c r="U8653" s="59">
        <f ca="1">Dashboard!D$8* Dashboard!$F$4+Dashboard!D$10*SQRT(Dashboard!$F$4) * _xlfn.NORM.S.INV(RAND())</f>
        <v>4.2490275915660486E-2</v>
      </c>
    </row>
    <row r="8654" spans="18:21" x14ac:dyDescent="0.2">
      <c r="R8654" s="49">
        <v>8652</v>
      </c>
      <c r="S8654" s="59">
        <f ca="1">Dashboard!B$8* Dashboard!$F$4+Dashboard!B$10*SQRT(Dashboard!$F$4) * _xlfn.NORM.S.INV(RAND())</f>
        <v>-2.8897742766429764E-2</v>
      </c>
      <c r="T8654" s="59">
        <f ca="1">Dashboard!C$8* Dashboard!$F$4+Dashboard!C$10*SQRT(Dashboard!$F$4) * _xlfn.NORM.S.INV(RAND())</f>
        <v>8.956390235636204E-4</v>
      </c>
      <c r="U8654" s="59">
        <f ca="1">Dashboard!D$8* Dashboard!$F$4+Dashboard!D$10*SQRT(Dashboard!$F$4) * _xlfn.NORM.S.INV(RAND())</f>
        <v>-2.7421526113513939E-2</v>
      </c>
    </row>
    <row r="8655" spans="18:21" x14ac:dyDescent="0.2">
      <c r="R8655" s="49">
        <v>8653</v>
      </c>
      <c r="S8655" s="59">
        <f ca="1">Dashboard!B$8* Dashboard!$F$4+Dashboard!B$10*SQRT(Dashboard!$F$4) * _xlfn.NORM.S.INV(RAND())</f>
        <v>3.9727061236155395E-2</v>
      </c>
      <c r="T8655" s="59">
        <f ca="1">Dashboard!C$8* Dashboard!$F$4+Dashboard!C$10*SQRT(Dashboard!$F$4) * _xlfn.NORM.S.INV(RAND())</f>
        <v>5.5451533455669874E-2</v>
      </c>
      <c r="U8655" s="59">
        <f ca="1">Dashboard!D$8* Dashboard!$F$4+Dashboard!D$10*SQRT(Dashboard!$F$4) * _xlfn.NORM.S.INV(RAND())</f>
        <v>5.0833710348621589E-3</v>
      </c>
    </row>
    <row r="8656" spans="18:21" x14ac:dyDescent="0.2">
      <c r="R8656" s="49">
        <v>8654</v>
      </c>
      <c r="S8656" s="59">
        <f ca="1">Dashboard!B$8* Dashboard!$F$4+Dashboard!B$10*SQRT(Dashboard!$F$4) * _xlfn.NORM.S.INV(RAND())</f>
        <v>2.514652228792099E-2</v>
      </c>
      <c r="T8656" s="59">
        <f ca="1">Dashboard!C$8* Dashboard!$F$4+Dashboard!C$10*SQRT(Dashboard!$F$4) * _xlfn.NORM.S.INV(RAND())</f>
        <v>1.2937534595243463E-2</v>
      </c>
      <c r="U8656" s="59">
        <f ca="1">Dashboard!D$8* Dashboard!$F$4+Dashboard!D$10*SQRT(Dashboard!$F$4) * _xlfn.NORM.S.INV(RAND())</f>
        <v>2.0429374249299306E-5</v>
      </c>
    </row>
    <row r="8657" spans="18:21" x14ac:dyDescent="0.2">
      <c r="R8657" s="49">
        <v>8655</v>
      </c>
      <c r="S8657" s="59">
        <f ca="1">Dashboard!B$8* Dashboard!$F$4+Dashboard!B$10*SQRT(Dashboard!$F$4) * _xlfn.NORM.S.INV(RAND())</f>
        <v>2.640974862214359E-2</v>
      </c>
      <c r="T8657" s="59">
        <f ca="1">Dashboard!C$8* Dashboard!$F$4+Dashboard!C$10*SQRT(Dashboard!$F$4) * _xlfn.NORM.S.INV(RAND())</f>
        <v>-5.5092813426943214E-2</v>
      </c>
      <c r="U8657" s="59">
        <f ca="1">Dashboard!D$8* Dashboard!$F$4+Dashboard!D$10*SQRT(Dashboard!$F$4) * _xlfn.NORM.S.INV(RAND())</f>
        <v>9.4256627888842544E-3</v>
      </c>
    </row>
    <row r="8658" spans="18:21" x14ac:dyDescent="0.2">
      <c r="R8658" s="49">
        <v>8656</v>
      </c>
      <c r="S8658" s="59">
        <f ca="1">Dashboard!B$8* Dashboard!$F$4+Dashboard!B$10*SQRT(Dashboard!$F$4) * _xlfn.NORM.S.INV(RAND())</f>
        <v>-5.0113437749869594E-2</v>
      </c>
      <c r="T8658" s="59">
        <f ca="1">Dashboard!C$8* Dashboard!$F$4+Dashboard!C$10*SQRT(Dashboard!$F$4) * _xlfn.NORM.S.INV(RAND())</f>
        <v>-2.1801093284458763E-2</v>
      </c>
      <c r="U8658" s="59">
        <f ca="1">Dashboard!D$8* Dashboard!$F$4+Dashboard!D$10*SQRT(Dashboard!$F$4) * _xlfn.NORM.S.INV(RAND())</f>
        <v>-1.6303706487112487E-2</v>
      </c>
    </row>
    <row r="8659" spans="18:21" x14ac:dyDescent="0.2">
      <c r="R8659" s="49">
        <v>8657</v>
      </c>
      <c r="S8659" s="59">
        <f ca="1">Dashboard!B$8* Dashboard!$F$4+Dashboard!B$10*SQRT(Dashboard!$F$4) * _xlfn.NORM.S.INV(RAND())</f>
        <v>1.2134065342182849E-2</v>
      </c>
      <c r="T8659" s="59">
        <f ca="1">Dashboard!C$8* Dashboard!$F$4+Dashboard!C$10*SQRT(Dashboard!$F$4) * _xlfn.NORM.S.INV(RAND())</f>
        <v>2.4073849420896885E-2</v>
      </c>
      <c r="U8659" s="59">
        <f ca="1">Dashboard!D$8* Dashboard!$F$4+Dashboard!D$10*SQRT(Dashboard!$F$4) * _xlfn.NORM.S.INV(RAND())</f>
        <v>-7.7140191795145807E-2</v>
      </c>
    </row>
    <row r="8660" spans="18:21" x14ac:dyDescent="0.2">
      <c r="R8660" s="49">
        <v>8658</v>
      </c>
      <c r="S8660" s="59">
        <f ca="1">Dashboard!B$8* Dashboard!$F$4+Dashboard!B$10*SQRT(Dashboard!$F$4) * _xlfn.NORM.S.INV(RAND())</f>
        <v>-2.2128840936609356E-2</v>
      </c>
      <c r="T8660" s="59">
        <f ca="1">Dashboard!C$8* Dashboard!$F$4+Dashboard!C$10*SQRT(Dashboard!$F$4) * _xlfn.NORM.S.INV(RAND())</f>
        <v>7.7813251326238175E-2</v>
      </c>
      <c r="U8660" s="59">
        <f ca="1">Dashboard!D$8* Dashboard!$F$4+Dashboard!D$10*SQRT(Dashboard!$F$4) * _xlfn.NORM.S.INV(RAND())</f>
        <v>-8.7165148401554642E-3</v>
      </c>
    </row>
    <row r="8661" spans="18:21" x14ac:dyDescent="0.2">
      <c r="R8661" s="49">
        <v>8659</v>
      </c>
      <c r="S8661" s="59">
        <f ca="1">Dashboard!B$8* Dashboard!$F$4+Dashboard!B$10*SQRT(Dashboard!$F$4) * _xlfn.NORM.S.INV(RAND())</f>
        <v>3.0973717664441965E-2</v>
      </c>
      <c r="T8661" s="59">
        <f ca="1">Dashboard!C$8* Dashboard!$F$4+Dashboard!C$10*SQRT(Dashboard!$F$4) * _xlfn.NORM.S.INV(RAND())</f>
        <v>3.1273951537966596E-2</v>
      </c>
      <c r="U8661" s="59">
        <f ca="1">Dashboard!D$8* Dashboard!$F$4+Dashboard!D$10*SQRT(Dashboard!$F$4) * _xlfn.NORM.S.INV(RAND())</f>
        <v>1.7565285710474905E-2</v>
      </c>
    </row>
    <row r="8662" spans="18:21" x14ac:dyDescent="0.2">
      <c r="R8662" s="49">
        <v>8660</v>
      </c>
      <c r="S8662" s="59">
        <f ca="1">Dashboard!B$8* Dashboard!$F$4+Dashboard!B$10*SQRT(Dashboard!$F$4) * _xlfn.NORM.S.INV(RAND())</f>
        <v>7.7244267920127466E-3</v>
      </c>
      <c r="T8662" s="59">
        <f ca="1">Dashboard!C$8* Dashboard!$F$4+Dashboard!C$10*SQRT(Dashboard!$F$4) * _xlfn.NORM.S.INV(RAND())</f>
        <v>2.8522364952037624E-2</v>
      </c>
      <c r="U8662" s="59">
        <f ca="1">Dashboard!D$8* Dashboard!$F$4+Dashboard!D$10*SQRT(Dashboard!$F$4) * _xlfn.NORM.S.INV(RAND())</f>
        <v>1.6913116281114995E-2</v>
      </c>
    </row>
    <row r="8663" spans="18:21" x14ac:dyDescent="0.2">
      <c r="R8663" s="49">
        <v>8661</v>
      </c>
      <c r="S8663" s="59">
        <f ca="1">Dashboard!B$8* Dashboard!$F$4+Dashboard!B$10*SQRT(Dashboard!$F$4) * _xlfn.NORM.S.INV(RAND())</f>
        <v>-4.8289963908213059E-2</v>
      </c>
      <c r="T8663" s="59">
        <f ca="1">Dashboard!C$8* Dashboard!$F$4+Dashboard!C$10*SQRT(Dashboard!$F$4) * _xlfn.NORM.S.INV(RAND())</f>
        <v>2.2763873867059439E-2</v>
      </c>
      <c r="U8663" s="59">
        <f ca="1">Dashboard!D$8* Dashboard!$F$4+Dashboard!D$10*SQRT(Dashboard!$F$4) * _xlfn.NORM.S.INV(RAND())</f>
        <v>-5.049236392235236E-2</v>
      </c>
    </row>
    <row r="8664" spans="18:21" x14ac:dyDescent="0.2">
      <c r="R8664" s="49">
        <v>8662</v>
      </c>
      <c r="S8664" s="59">
        <f ca="1">Dashboard!B$8* Dashboard!$F$4+Dashboard!B$10*SQRT(Dashboard!$F$4) * _xlfn.NORM.S.INV(RAND())</f>
        <v>-2.8119385833729055E-2</v>
      </c>
      <c r="T8664" s="59">
        <f ca="1">Dashboard!C$8* Dashboard!$F$4+Dashboard!C$10*SQRT(Dashboard!$F$4) * _xlfn.NORM.S.INV(RAND())</f>
        <v>-6.1022069694665462E-2</v>
      </c>
      <c r="U8664" s="59">
        <f ca="1">Dashboard!D$8* Dashboard!$F$4+Dashboard!D$10*SQRT(Dashboard!$F$4) * _xlfn.NORM.S.INV(RAND())</f>
        <v>-2.6094536185885111E-2</v>
      </c>
    </row>
    <row r="8665" spans="18:21" x14ac:dyDescent="0.2">
      <c r="R8665" s="49">
        <v>8663</v>
      </c>
      <c r="S8665" s="59">
        <f ca="1">Dashboard!B$8* Dashboard!$F$4+Dashboard!B$10*SQRT(Dashboard!$F$4) * _xlfn.NORM.S.INV(RAND())</f>
        <v>6.6236269053074476E-3</v>
      </c>
      <c r="T8665" s="59">
        <f ca="1">Dashboard!C$8* Dashboard!$F$4+Dashboard!C$10*SQRT(Dashboard!$F$4) * _xlfn.NORM.S.INV(RAND())</f>
        <v>1.6131075996109075E-2</v>
      </c>
      <c r="U8665" s="59">
        <f ca="1">Dashboard!D$8* Dashboard!$F$4+Dashboard!D$10*SQRT(Dashboard!$F$4) * _xlfn.NORM.S.INV(RAND())</f>
        <v>1.4811186273478138E-2</v>
      </c>
    </row>
    <row r="8666" spans="18:21" x14ac:dyDescent="0.2">
      <c r="R8666" s="49">
        <v>8664</v>
      </c>
      <c r="S8666" s="59">
        <f ca="1">Dashboard!B$8* Dashboard!$F$4+Dashboard!B$10*SQRT(Dashboard!$F$4) * _xlfn.NORM.S.INV(RAND())</f>
        <v>-7.845269087741134E-3</v>
      </c>
      <c r="T8666" s="59">
        <f ca="1">Dashboard!C$8* Dashboard!$F$4+Dashboard!C$10*SQRT(Dashboard!$F$4) * _xlfn.NORM.S.INV(RAND())</f>
        <v>-6.4898092076601842E-3</v>
      </c>
      <c r="U8666" s="59">
        <f ca="1">Dashboard!D$8* Dashboard!$F$4+Dashboard!D$10*SQRT(Dashboard!$F$4) * _xlfn.NORM.S.INV(RAND())</f>
        <v>-1.76880102033827E-2</v>
      </c>
    </row>
    <row r="8667" spans="18:21" x14ac:dyDescent="0.2">
      <c r="R8667" s="49">
        <v>8665</v>
      </c>
      <c r="S8667" s="59">
        <f ca="1">Dashboard!B$8* Dashboard!$F$4+Dashboard!B$10*SQRT(Dashboard!$F$4) * _xlfn.NORM.S.INV(RAND())</f>
        <v>2.5611845979511029E-2</v>
      </c>
      <c r="T8667" s="59">
        <f ca="1">Dashboard!C$8* Dashboard!$F$4+Dashboard!C$10*SQRT(Dashboard!$F$4) * _xlfn.NORM.S.INV(RAND())</f>
        <v>-3.5578191577582033E-2</v>
      </c>
      <c r="U8667" s="59">
        <f ca="1">Dashboard!D$8* Dashboard!$F$4+Dashboard!D$10*SQRT(Dashboard!$F$4) * _xlfn.NORM.S.INV(RAND())</f>
        <v>3.7171006043644594E-2</v>
      </c>
    </row>
    <row r="8668" spans="18:21" x14ac:dyDescent="0.2">
      <c r="R8668" s="49">
        <v>8666</v>
      </c>
      <c r="S8668" s="59">
        <f ca="1">Dashboard!B$8* Dashboard!$F$4+Dashboard!B$10*SQRT(Dashboard!$F$4) * _xlfn.NORM.S.INV(RAND())</f>
        <v>4.1970969068074321E-2</v>
      </c>
      <c r="T8668" s="59">
        <f ca="1">Dashboard!C$8* Dashboard!$F$4+Dashboard!C$10*SQRT(Dashboard!$F$4) * _xlfn.NORM.S.INV(RAND())</f>
        <v>4.0192554448478891E-2</v>
      </c>
      <c r="U8668" s="59">
        <f ca="1">Dashboard!D$8* Dashboard!$F$4+Dashboard!D$10*SQRT(Dashboard!$F$4) * _xlfn.NORM.S.INV(RAND())</f>
        <v>-2.0134079723797622E-2</v>
      </c>
    </row>
    <row r="8669" spans="18:21" x14ac:dyDescent="0.2">
      <c r="R8669" s="49">
        <v>8667</v>
      </c>
      <c r="S8669" s="59">
        <f ca="1">Dashboard!B$8* Dashboard!$F$4+Dashboard!B$10*SQRT(Dashboard!$F$4) * _xlfn.NORM.S.INV(RAND())</f>
        <v>-2.9467330122570995E-2</v>
      </c>
      <c r="T8669" s="59">
        <f ca="1">Dashboard!C$8* Dashboard!$F$4+Dashboard!C$10*SQRT(Dashboard!$F$4) * _xlfn.NORM.S.INV(RAND())</f>
        <v>-3.2190849506337112E-2</v>
      </c>
      <c r="U8669" s="59">
        <f ca="1">Dashboard!D$8* Dashboard!$F$4+Dashboard!D$10*SQRT(Dashboard!$F$4) * _xlfn.NORM.S.INV(RAND())</f>
        <v>7.9619726334985555E-2</v>
      </c>
    </row>
    <row r="8670" spans="18:21" x14ac:dyDescent="0.2">
      <c r="R8670" s="49">
        <v>8668</v>
      </c>
      <c r="S8670" s="59">
        <f ca="1">Dashboard!B$8* Dashboard!$F$4+Dashboard!B$10*SQRT(Dashboard!$F$4) * _xlfn.NORM.S.INV(RAND())</f>
        <v>-6.617556336934452E-2</v>
      </c>
      <c r="T8670" s="59">
        <f ca="1">Dashboard!C$8* Dashboard!$F$4+Dashboard!C$10*SQRT(Dashboard!$F$4) * _xlfn.NORM.S.INV(RAND())</f>
        <v>2.1798342244210171E-2</v>
      </c>
      <c r="U8670" s="59">
        <f ca="1">Dashboard!D$8* Dashboard!$F$4+Dashboard!D$10*SQRT(Dashboard!$F$4) * _xlfn.NORM.S.INV(RAND())</f>
        <v>2.0504350749512519E-2</v>
      </c>
    </row>
    <row r="8671" spans="18:21" x14ac:dyDescent="0.2">
      <c r="R8671" s="49">
        <v>8669</v>
      </c>
      <c r="S8671" s="59">
        <f ca="1">Dashboard!B$8* Dashboard!$F$4+Dashboard!B$10*SQRT(Dashboard!$F$4) * _xlfn.NORM.S.INV(RAND())</f>
        <v>2.33630526139352E-3</v>
      </c>
      <c r="T8671" s="59">
        <f ca="1">Dashboard!C$8* Dashboard!$F$4+Dashboard!C$10*SQRT(Dashboard!$F$4) * _xlfn.NORM.S.INV(RAND())</f>
        <v>3.3343539106721151E-2</v>
      </c>
      <c r="U8671" s="59">
        <f ca="1">Dashboard!D$8* Dashboard!$F$4+Dashboard!D$10*SQRT(Dashboard!$F$4) * _xlfn.NORM.S.INV(RAND())</f>
        <v>-2.9686705143986181E-2</v>
      </c>
    </row>
    <row r="8672" spans="18:21" x14ac:dyDescent="0.2">
      <c r="R8672" s="49">
        <v>8670</v>
      </c>
      <c r="S8672" s="59">
        <f ca="1">Dashboard!B$8* Dashboard!$F$4+Dashboard!B$10*SQRT(Dashboard!$F$4) * _xlfn.NORM.S.INV(RAND())</f>
        <v>-7.2333158692730257E-3</v>
      </c>
      <c r="T8672" s="59">
        <f ca="1">Dashboard!C$8* Dashboard!$F$4+Dashboard!C$10*SQRT(Dashboard!$F$4) * _xlfn.NORM.S.INV(RAND())</f>
        <v>-2.0357718112279004E-3</v>
      </c>
      <c r="U8672" s="59">
        <f ca="1">Dashboard!D$8* Dashboard!$F$4+Dashboard!D$10*SQRT(Dashboard!$F$4) * _xlfn.NORM.S.INV(RAND())</f>
        <v>8.1855313720789521E-3</v>
      </c>
    </row>
    <row r="8673" spans="18:21" x14ac:dyDescent="0.2">
      <c r="R8673" s="49">
        <v>8671</v>
      </c>
      <c r="S8673" s="59">
        <f ca="1">Dashboard!B$8* Dashboard!$F$4+Dashboard!B$10*SQRT(Dashboard!$F$4) * _xlfn.NORM.S.INV(RAND())</f>
        <v>6.6854271113337388E-2</v>
      </c>
      <c r="T8673" s="59">
        <f ca="1">Dashboard!C$8* Dashboard!$F$4+Dashboard!C$10*SQRT(Dashboard!$F$4) * _xlfn.NORM.S.INV(RAND())</f>
        <v>4.7607215199382859E-2</v>
      </c>
      <c r="U8673" s="59">
        <f ca="1">Dashboard!D$8* Dashboard!$F$4+Dashboard!D$10*SQRT(Dashboard!$F$4) * _xlfn.NORM.S.INV(RAND())</f>
        <v>-8.5007474425801664E-3</v>
      </c>
    </row>
    <row r="8674" spans="18:21" x14ac:dyDescent="0.2">
      <c r="R8674" s="49">
        <v>8672</v>
      </c>
      <c r="S8674" s="59">
        <f ca="1">Dashboard!B$8* Dashboard!$F$4+Dashboard!B$10*SQRT(Dashboard!$F$4) * _xlfn.NORM.S.INV(RAND())</f>
        <v>-1.4206138354460158E-2</v>
      </c>
      <c r="T8674" s="59">
        <f ca="1">Dashboard!C$8* Dashboard!$F$4+Dashboard!C$10*SQRT(Dashboard!$F$4) * _xlfn.NORM.S.INV(RAND())</f>
        <v>-3.8946629114020172E-2</v>
      </c>
      <c r="U8674" s="59">
        <f ca="1">Dashboard!D$8* Dashboard!$F$4+Dashboard!D$10*SQRT(Dashboard!$F$4) * _xlfn.NORM.S.INV(RAND())</f>
        <v>2.6100267287002876E-2</v>
      </c>
    </row>
    <row r="8675" spans="18:21" x14ac:dyDescent="0.2">
      <c r="R8675" s="49">
        <v>8673</v>
      </c>
      <c r="S8675" s="59">
        <f ca="1">Dashboard!B$8* Dashboard!$F$4+Dashboard!B$10*SQRT(Dashboard!$F$4) * _xlfn.NORM.S.INV(RAND())</f>
        <v>7.660246404532299E-2</v>
      </c>
      <c r="T8675" s="59">
        <f ca="1">Dashboard!C$8* Dashboard!$F$4+Dashboard!C$10*SQRT(Dashboard!$F$4) * _xlfn.NORM.S.INV(RAND())</f>
        <v>1.1148741500586435E-2</v>
      </c>
      <c r="U8675" s="59">
        <f ca="1">Dashboard!D$8* Dashboard!$F$4+Dashboard!D$10*SQRT(Dashboard!$F$4) * _xlfn.NORM.S.INV(RAND())</f>
        <v>1.2785608292661906E-2</v>
      </c>
    </row>
    <row r="8676" spans="18:21" x14ac:dyDescent="0.2">
      <c r="R8676" s="49">
        <v>8674</v>
      </c>
      <c r="S8676" s="59">
        <f ca="1">Dashboard!B$8* Dashboard!$F$4+Dashboard!B$10*SQRT(Dashboard!$F$4) * _xlfn.NORM.S.INV(RAND())</f>
        <v>-4.204726338227683E-2</v>
      </c>
      <c r="T8676" s="59">
        <f ca="1">Dashboard!C$8* Dashboard!$F$4+Dashboard!C$10*SQRT(Dashboard!$F$4) * _xlfn.NORM.S.INV(RAND())</f>
        <v>-1.9219591020067109E-2</v>
      </c>
      <c r="U8676" s="59">
        <f ca="1">Dashboard!D$8* Dashboard!$F$4+Dashboard!D$10*SQRT(Dashboard!$F$4) * _xlfn.NORM.S.INV(RAND())</f>
        <v>4.5471585165815578E-2</v>
      </c>
    </row>
    <row r="8677" spans="18:21" x14ac:dyDescent="0.2">
      <c r="R8677" s="49">
        <v>8675</v>
      </c>
      <c r="S8677" s="59">
        <f ca="1">Dashboard!B$8* Dashboard!$F$4+Dashboard!B$10*SQRT(Dashboard!$F$4) * _xlfn.NORM.S.INV(RAND())</f>
        <v>-2.5780273089786952E-3</v>
      </c>
      <c r="T8677" s="59">
        <f ca="1">Dashboard!C$8* Dashboard!$F$4+Dashboard!C$10*SQRT(Dashboard!$F$4) * _xlfn.NORM.S.INV(RAND())</f>
        <v>-3.4515914373281636E-2</v>
      </c>
      <c r="U8677" s="59">
        <f ca="1">Dashboard!D$8* Dashboard!$F$4+Dashboard!D$10*SQRT(Dashboard!$F$4) * _xlfn.NORM.S.INV(RAND())</f>
        <v>2.2954933908506042E-2</v>
      </c>
    </row>
    <row r="8678" spans="18:21" x14ac:dyDescent="0.2">
      <c r="R8678" s="49">
        <v>8676</v>
      </c>
      <c r="S8678" s="59">
        <f ca="1">Dashboard!B$8* Dashboard!$F$4+Dashboard!B$10*SQRT(Dashboard!$F$4) * _xlfn.NORM.S.INV(RAND())</f>
        <v>-3.8142447199754327E-2</v>
      </c>
      <c r="T8678" s="59">
        <f ca="1">Dashboard!C$8* Dashboard!$F$4+Dashboard!C$10*SQRT(Dashboard!$F$4) * _xlfn.NORM.S.INV(RAND())</f>
        <v>-1.1869320682719283E-2</v>
      </c>
      <c r="U8678" s="59">
        <f ca="1">Dashboard!D$8* Dashboard!$F$4+Dashboard!D$10*SQRT(Dashboard!$F$4) * _xlfn.NORM.S.INV(RAND())</f>
        <v>-2.4434087526155873E-2</v>
      </c>
    </row>
    <row r="8679" spans="18:21" x14ac:dyDescent="0.2">
      <c r="R8679" s="49">
        <v>8677</v>
      </c>
      <c r="S8679" s="59">
        <f ca="1">Dashboard!B$8* Dashboard!$F$4+Dashboard!B$10*SQRT(Dashboard!$F$4) * _xlfn.NORM.S.INV(RAND())</f>
        <v>-1.2847027504599602E-2</v>
      </c>
      <c r="T8679" s="59">
        <f ca="1">Dashboard!C$8* Dashboard!$F$4+Dashboard!C$10*SQRT(Dashboard!$F$4) * _xlfn.NORM.S.INV(RAND())</f>
        <v>6.285649814791211E-3</v>
      </c>
      <c r="U8679" s="59">
        <f ca="1">Dashboard!D$8* Dashboard!$F$4+Dashboard!D$10*SQRT(Dashboard!$F$4) * _xlfn.NORM.S.INV(RAND())</f>
        <v>-7.2982682293004253E-2</v>
      </c>
    </row>
    <row r="8680" spans="18:21" x14ac:dyDescent="0.2">
      <c r="R8680" s="49">
        <v>8678</v>
      </c>
      <c r="S8680" s="59">
        <f ca="1">Dashboard!B$8* Dashboard!$F$4+Dashboard!B$10*SQRT(Dashboard!$F$4) * _xlfn.NORM.S.INV(RAND())</f>
        <v>1.902483842877873E-2</v>
      </c>
      <c r="T8680" s="59">
        <f ca="1">Dashboard!C$8* Dashboard!$F$4+Dashboard!C$10*SQRT(Dashboard!$F$4) * _xlfn.NORM.S.INV(RAND())</f>
        <v>2.24197622884321E-2</v>
      </c>
      <c r="U8680" s="59">
        <f ca="1">Dashboard!D$8* Dashboard!$F$4+Dashboard!D$10*SQRT(Dashboard!$F$4) * _xlfn.NORM.S.INV(RAND())</f>
        <v>9.9121003967535971E-3</v>
      </c>
    </row>
    <row r="8681" spans="18:21" x14ac:dyDescent="0.2">
      <c r="R8681" s="49">
        <v>8679</v>
      </c>
      <c r="S8681" s="59">
        <f ca="1">Dashboard!B$8* Dashboard!$F$4+Dashboard!B$10*SQRT(Dashboard!$F$4) * _xlfn.NORM.S.INV(RAND())</f>
        <v>8.5484061231575863E-3</v>
      </c>
      <c r="T8681" s="59">
        <f ca="1">Dashboard!C$8* Dashboard!$F$4+Dashboard!C$10*SQRT(Dashboard!$F$4) * _xlfn.NORM.S.INV(RAND())</f>
        <v>-2.8622858990056147E-3</v>
      </c>
      <c r="U8681" s="59">
        <f ca="1">Dashboard!D$8* Dashboard!$F$4+Dashboard!D$10*SQRT(Dashboard!$F$4) * _xlfn.NORM.S.INV(RAND())</f>
        <v>-2.7231044344529443E-2</v>
      </c>
    </row>
    <row r="8682" spans="18:21" x14ac:dyDescent="0.2">
      <c r="R8682" s="49">
        <v>8680</v>
      </c>
      <c r="S8682" s="59">
        <f ca="1">Dashboard!B$8* Dashboard!$F$4+Dashboard!B$10*SQRT(Dashboard!$F$4) * _xlfn.NORM.S.INV(RAND())</f>
        <v>3.5150184731423104E-2</v>
      </c>
      <c r="T8682" s="59">
        <f ca="1">Dashboard!C$8* Dashboard!$F$4+Dashboard!C$10*SQRT(Dashboard!$F$4) * _xlfn.NORM.S.INV(RAND())</f>
        <v>3.0634617215058075E-2</v>
      </c>
      <c r="U8682" s="59">
        <f ca="1">Dashboard!D$8* Dashboard!$F$4+Dashboard!D$10*SQRT(Dashboard!$F$4) * _xlfn.NORM.S.INV(RAND())</f>
        <v>-4.7013359483519699E-3</v>
      </c>
    </row>
    <row r="8683" spans="18:21" x14ac:dyDescent="0.2">
      <c r="R8683" s="49">
        <v>8681</v>
      </c>
      <c r="S8683" s="59">
        <f ca="1">Dashboard!B$8* Dashboard!$F$4+Dashboard!B$10*SQRT(Dashboard!$F$4) * _xlfn.NORM.S.INV(RAND())</f>
        <v>5.6424952878072435E-2</v>
      </c>
      <c r="T8683" s="59">
        <f ca="1">Dashboard!C$8* Dashboard!$F$4+Dashboard!C$10*SQRT(Dashboard!$F$4) * _xlfn.NORM.S.INV(RAND())</f>
        <v>1.794441222802934E-3</v>
      </c>
      <c r="U8683" s="59">
        <f ca="1">Dashboard!D$8* Dashboard!$F$4+Dashboard!D$10*SQRT(Dashboard!$F$4) * _xlfn.NORM.S.INV(RAND())</f>
        <v>-1.7450647308417232E-2</v>
      </c>
    </row>
    <row r="8684" spans="18:21" x14ac:dyDescent="0.2">
      <c r="R8684" s="49">
        <v>8682</v>
      </c>
      <c r="S8684" s="59">
        <f ca="1">Dashboard!B$8* Dashboard!$F$4+Dashboard!B$10*SQRT(Dashboard!$F$4) * _xlfn.NORM.S.INV(RAND())</f>
        <v>-5.5266125595274272E-3</v>
      </c>
      <c r="T8684" s="59">
        <f ca="1">Dashboard!C$8* Dashboard!$F$4+Dashboard!C$10*SQRT(Dashboard!$F$4) * _xlfn.NORM.S.INV(RAND())</f>
        <v>3.0990514050798959E-2</v>
      </c>
      <c r="U8684" s="59">
        <f ca="1">Dashboard!D$8* Dashboard!$F$4+Dashboard!D$10*SQRT(Dashboard!$F$4) * _xlfn.NORM.S.INV(RAND())</f>
        <v>1.8634065593273554E-2</v>
      </c>
    </row>
    <row r="8685" spans="18:21" x14ac:dyDescent="0.2">
      <c r="R8685" s="49">
        <v>8683</v>
      </c>
      <c r="S8685" s="59">
        <f ca="1">Dashboard!B$8* Dashboard!$F$4+Dashboard!B$10*SQRT(Dashboard!$F$4) * _xlfn.NORM.S.INV(RAND())</f>
        <v>2.8568554747925232E-2</v>
      </c>
      <c r="T8685" s="59">
        <f ca="1">Dashboard!C$8* Dashboard!$F$4+Dashboard!C$10*SQRT(Dashboard!$F$4) * _xlfn.NORM.S.INV(RAND())</f>
        <v>-1.2386874572469474E-2</v>
      </c>
      <c r="U8685" s="59">
        <f ca="1">Dashboard!D$8* Dashboard!$F$4+Dashboard!D$10*SQRT(Dashboard!$F$4) * _xlfn.NORM.S.INV(RAND())</f>
        <v>1.4943030888690839E-2</v>
      </c>
    </row>
    <row r="8686" spans="18:21" x14ac:dyDescent="0.2">
      <c r="R8686" s="49">
        <v>8684</v>
      </c>
      <c r="S8686" s="59">
        <f ca="1">Dashboard!B$8* Dashboard!$F$4+Dashboard!B$10*SQRT(Dashboard!$F$4) * _xlfn.NORM.S.INV(RAND())</f>
        <v>-3.1142914114073578E-2</v>
      </c>
      <c r="T8686" s="59">
        <f ca="1">Dashboard!C$8* Dashboard!$F$4+Dashboard!C$10*SQRT(Dashboard!$F$4) * _xlfn.NORM.S.INV(RAND())</f>
        <v>1.0408414911982033E-2</v>
      </c>
      <c r="U8686" s="59">
        <f ca="1">Dashboard!D$8* Dashboard!$F$4+Dashboard!D$10*SQRT(Dashboard!$F$4) * _xlfn.NORM.S.INV(RAND())</f>
        <v>-6.1419540186423441E-2</v>
      </c>
    </row>
    <row r="8687" spans="18:21" x14ac:dyDescent="0.2">
      <c r="R8687" s="49">
        <v>8685</v>
      </c>
      <c r="S8687" s="59">
        <f ca="1">Dashboard!B$8* Dashboard!$F$4+Dashboard!B$10*SQRT(Dashboard!$F$4) * _xlfn.NORM.S.INV(RAND())</f>
        <v>4.3693972398129902E-2</v>
      </c>
      <c r="T8687" s="59">
        <f ca="1">Dashboard!C$8* Dashboard!$F$4+Dashboard!C$10*SQRT(Dashboard!$F$4) * _xlfn.NORM.S.INV(RAND())</f>
        <v>-5.3149230199684996E-2</v>
      </c>
      <c r="U8687" s="59">
        <f ca="1">Dashboard!D$8* Dashboard!$F$4+Dashboard!D$10*SQRT(Dashboard!$F$4) * _xlfn.NORM.S.INV(RAND())</f>
        <v>2.0527167547134306E-2</v>
      </c>
    </row>
    <row r="8688" spans="18:21" x14ac:dyDescent="0.2">
      <c r="R8688" s="49">
        <v>8686</v>
      </c>
      <c r="S8688" s="59">
        <f ca="1">Dashboard!B$8* Dashboard!$F$4+Dashboard!B$10*SQRT(Dashboard!$F$4) * _xlfn.NORM.S.INV(RAND())</f>
        <v>5.2125151661279602E-2</v>
      </c>
      <c r="T8688" s="59">
        <f ca="1">Dashboard!C$8* Dashboard!$F$4+Dashboard!C$10*SQRT(Dashboard!$F$4) * _xlfn.NORM.S.INV(RAND())</f>
        <v>5.6566278620120682E-2</v>
      </c>
      <c r="U8688" s="59">
        <f ca="1">Dashboard!D$8* Dashboard!$F$4+Dashboard!D$10*SQRT(Dashboard!$F$4) * _xlfn.NORM.S.INV(RAND())</f>
        <v>-3.8383108564393212E-2</v>
      </c>
    </row>
    <row r="8689" spans="18:21" x14ac:dyDescent="0.2">
      <c r="R8689" s="49">
        <v>8687</v>
      </c>
      <c r="S8689" s="59">
        <f ca="1">Dashboard!B$8* Dashboard!$F$4+Dashboard!B$10*SQRT(Dashboard!$F$4) * _xlfn.NORM.S.INV(RAND())</f>
        <v>5.6024052993560204E-2</v>
      </c>
      <c r="T8689" s="59">
        <f ca="1">Dashboard!C$8* Dashboard!$F$4+Dashboard!C$10*SQRT(Dashboard!$F$4) * _xlfn.NORM.S.INV(RAND())</f>
        <v>-2.353640989003886E-2</v>
      </c>
      <c r="U8689" s="59">
        <f ca="1">Dashboard!D$8* Dashboard!$F$4+Dashboard!D$10*SQRT(Dashboard!$F$4) * _xlfn.NORM.S.INV(RAND())</f>
        <v>8.4624554226481862E-3</v>
      </c>
    </row>
    <row r="8690" spans="18:21" x14ac:dyDescent="0.2">
      <c r="R8690" s="49">
        <v>8688</v>
      </c>
      <c r="S8690" s="59">
        <f ca="1">Dashboard!B$8* Dashboard!$F$4+Dashboard!B$10*SQRT(Dashboard!$F$4) * _xlfn.NORM.S.INV(RAND())</f>
        <v>4.1090964788020559E-2</v>
      </c>
      <c r="T8690" s="59">
        <f ca="1">Dashboard!C$8* Dashboard!$F$4+Dashboard!C$10*SQRT(Dashboard!$F$4) * _xlfn.NORM.S.INV(RAND())</f>
        <v>1.594705823680482E-3</v>
      </c>
      <c r="U8690" s="59">
        <f ca="1">Dashboard!D$8* Dashboard!$F$4+Dashboard!D$10*SQRT(Dashboard!$F$4) * _xlfn.NORM.S.INV(RAND())</f>
        <v>-3.0712481531371103E-2</v>
      </c>
    </row>
    <row r="8691" spans="18:21" x14ac:dyDescent="0.2">
      <c r="R8691" s="49">
        <v>8689</v>
      </c>
      <c r="S8691" s="59">
        <f ca="1">Dashboard!B$8* Dashboard!$F$4+Dashboard!B$10*SQRT(Dashboard!$F$4) * _xlfn.NORM.S.INV(RAND())</f>
        <v>-8.5003044010039427E-2</v>
      </c>
      <c r="T8691" s="59">
        <f ca="1">Dashboard!C$8* Dashboard!$F$4+Dashboard!C$10*SQRT(Dashboard!$F$4) * _xlfn.NORM.S.INV(RAND())</f>
        <v>6.3523933853352796E-2</v>
      </c>
      <c r="U8691" s="59">
        <f ca="1">Dashboard!D$8* Dashboard!$F$4+Dashboard!D$10*SQRT(Dashboard!$F$4) * _xlfn.NORM.S.INV(RAND())</f>
        <v>-2.0651182817697799E-2</v>
      </c>
    </row>
    <row r="8692" spans="18:21" x14ac:dyDescent="0.2">
      <c r="R8692" s="49">
        <v>8690</v>
      </c>
      <c r="S8692" s="59">
        <f ca="1">Dashboard!B$8* Dashboard!$F$4+Dashboard!B$10*SQRT(Dashboard!$F$4) * _xlfn.NORM.S.INV(RAND())</f>
        <v>-4.8558508345729029E-2</v>
      </c>
      <c r="T8692" s="59">
        <f ca="1">Dashboard!C$8* Dashboard!$F$4+Dashboard!C$10*SQRT(Dashboard!$F$4) * _xlfn.NORM.S.INV(RAND())</f>
        <v>-1.2238512094566951E-2</v>
      </c>
      <c r="U8692" s="59">
        <f ca="1">Dashboard!D$8* Dashboard!$F$4+Dashboard!D$10*SQRT(Dashboard!$F$4) * _xlfn.NORM.S.INV(RAND())</f>
        <v>4.889415964776515E-3</v>
      </c>
    </row>
    <row r="8693" spans="18:21" x14ac:dyDescent="0.2">
      <c r="R8693" s="49">
        <v>8691</v>
      </c>
      <c r="S8693" s="59">
        <f ca="1">Dashboard!B$8* Dashboard!$F$4+Dashboard!B$10*SQRT(Dashboard!$F$4) * _xlfn.NORM.S.INV(RAND())</f>
        <v>5.0111886246615826E-2</v>
      </c>
      <c r="T8693" s="59">
        <f ca="1">Dashboard!C$8* Dashboard!$F$4+Dashboard!C$10*SQRT(Dashboard!$F$4) * _xlfn.NORM.S.INV(RAND())</f>
        <v>6.886780079455368E-2</v>
      </c>
      <c r="U8693" s="59">
        <f ca="1">Dashboard!D$8* Dashboard!$F$4+Dashboard!D$10*SQRT(Dashboard!$F$4) * _xlfn.NORM.S.INV(RAND())</f>
        <v>-1.0476940792344815E-2</v>
      </c>
    </row>
    <row r="8694" spans="18:21" x14ac:dyDescent="0.2">
      <c r="R8694" s="49">
        <v>8692</v>
      </c>
      <c r="S8694" s="59">
        <f ca="1">Dashboard!B$8* Dashboard!$F$4+Dashboard!B$10*SQRT(Dashboard!$F$4) * _xlfn.NORM.S.INV(RAND())</f>
        <v>2.9113708015036117E-3</v>
      </c>
      <c r="T8694" s="59">
        <f ca="1">Dashboard!C$8* Dashboard!$F$4+Dashboard!C$10*SQRT(Dashboard!$F$4) * _xlfn.NORM.S.INV(RAND())</f>
        <v>-1.1802034240370504E-2</v>
      </c>
      <c r="U8694" s="59">
        <f ca="1">Dashboard!D$8* Dashboard!$F$4+Dashboard!D$10*SQRT(Dashboard!$F$4) * _xlfn.NORM.S.INV(RAND())</f>
        <v>-2.6798955720758844E-2</v>
      </c>
    </row>
    <row r="8695" spans="18:21" x14ac:dyDescent="0.2">
      <c r="R8695" s="49">
        <v>8693</v>
      </c>
      <c r="S8695" s="59">
        <f ca="1">Dashboard!B$8* Dashboard!$F$4+Dashboard!B$10*SQRT(Dashboard!$F$4) * _xlfn.NORM.S.INV(RAND())</f>
        <v>1.01296573649153E-2</v>
      </c>
      <c r="T8695" s="59">
        <f ca="1">Dashboard!C$8* Dashboard!$F$4+Dashboard!C$10*SQRT(Dashboard!$F$4) * _xlfn.NORM.S.INV(RAND())</f>
        <v>2.3935247858257087E-2</v>
      </c>
      <c r="U8695" s="59">
        <f ca="1">Dashboard!D$8* Dashboard!$F$4+Dashboard!D$10*SQRT(Dashboard!$F$4) * _xlfn.NORM.S.INV(RAND())</f>
        <v>7.127231252060588E-4</v>
      </c>
    </row>
    <row r="8696" spans="18:21" x14ac:dyDescent="0.2">
      <c r="R8696" s="49">
        <v>8694</v>
      </c>
      <c r="S8696" s="59">
        <f ca="1">Dashboard!B$8* Dashboard!$F$4+Dashboard!B$10*SQRT(Dashboard!$F$4) * _xlfn.NORM.S.INV(RAND())</f>
        <v>5.1001401507045491E-4</v>
      </c>
      <c r="T8696" s="59">
        <f ca="1">Dashboard!C$8* Dashboard!$F$4+Dashboard!C$10*SQRT(Dashboard!$F$4) * _xlfn.NORM.S.INV(RAND())</f>
        <v>-4.8080701736404184E-2</v>
      </c>
      <c r="U8696" s="59">
        <f ca="1">Dashboard!D$8* Dashboard!$F$4+Dashboard!D$10*SQRT(Dashboard!$F$4) * _xlfn.NORM.S.INV(RAND())</f>
        <v>-4.7208148566901864E-2</v>
      </c>
    </row>
    <row r="8697" spans="18:21" x14ac:dyDescent="0.2">
      <c r="R8697" s="49">
        <v>8695</v>
      </c>
      <c r="S8697" s="59">
        <f ca="1">Dashboard!B$8* Dashboard!$F$4+Dashboard!B$10*SQRT(Dashboard!$F$4) * _xlfn.NORM.S.INV(RAND())</f>
        <v>2.1329342838367675E-2</v>
      </c>
      <c r="T8697" s="59">
        <f ca="1">Dashboard!C$8* Dashboard!$F$4+Dashboard!C$10*SQRT(Dashboard!$F$4) * _xlfn.NORM.S.INV(RAND())</f>
        <v>-4.5380159153643575E-3</v>
      </c>
      <c r="U8697" s="59">
        <f ca="1">Dashboard!D$8* Dashboard!$F$4+Dashboard!D$10*SQRT(Dashboard!$F$4) * _xlfn.NORM.S.INV(RAND())</f>
        <v>-6.6246239296724949E-2</v>
      </c>
    </row>
    <row r="8698" spans="18:21" x14ac:dyDescent="0.2">
      <c r="R8698" s="49">
        <v>8696</v>
      </c>
      <c r="S8698" s="59">
        <f ca="1">Dashboard!B$8* Dashboard!$F$4+Dashboard!B$10*SQRT(Dashboard!$F$4) * _xlfn.NORM.S.INV(RAND())</f>
        <v>-3.1535894143714618E-2</v>
      </c>
      <c r="T8698" s="59">
        <f ca="1">Dashboard!C$8* Dashboard!$F$4+Dashboard!C$10*SQRT(Dashboard!$F$4) * _xlfn.NORM.S.INV(RAND())</f>
        <v>1.9491466276156513E-2</v>
      </c>
      <c r="U8698" s="59">
        <f ca="1">Dashboard!D$8* Dashboard!$F$4+Dashboard!D$10*SQRT(Dashboard!$F$4) * _xlfn.NORM.S.INV(RAND())</f>
        <v>-2.7998620247462396E-2</v>
      </c>
    </row>
    <row r="8699" spans="18:21" x14ac:dyDescent="0.2">
      <c r="R8699" s="49">
        <v>8697</v>
      </c>
      <c r="S8699" s="59">
        <f ca="1">Dashboard!B$8* Dashboard!$F$4+Dashboard!B$10*SQRT(Dashboard!$F$4) * _xlfn.NORM.S.INV(RAND())</f>
        <v>-2.3177764836004311E-2</v>
      </c>
      <c r="T8699" s="59">
        <f ca="1">Dashboard!C$8* Dashboard!$F$4+Dashboard!C$10*SQRT(Dashboard!$F$4) * _xlfn.NORM.S.INV(RAND())</f>
        <v>-1.4241471891403099E-2</v>
      </c>
      <c r="U8699" s="59">
        <f ca="1">Dashboard!D$8* Dashboard!$F$4+Dashboard!D$10*SQRT(Dashboard!$F$4) * _xlfn.NORM.S.INV(RAND())</f>
        <v>-4.0345213196300959E-2</v>
      </c>
    </row>
    <row r="8700" spans="18:21" x14ac:dyDescent="0.2">
      <c r="R8700" s="49">
        <v>8698</v>
      </c>
      <c r="S8700" s="59">
        <f ca="1">Dashboard!B$8* Dashboard!$F$4+Dashboard!B$10*SQRT(Dashboard!$F$4) * _xlfn.NORM.S.INV(RAND())</f>
        <v>-5.8353477916626185E-2</v>
      </c>
      <c r="T8700" s="59">
        <f ca="1">Dashboard!C$8* Dashboard!$F$4+Dashboard!C$10*SQRT(Dashboard!$F$4) * _xlfn.NORM.S.INV(RAND())</f>
        <v>-2.3938579223901087E-2</v>
      </c>
      <c r="U8700" s="59">
        <f ca="1">Dashboard!D$8* Dashboard!$F$4+Dashboard!D$10*SQRT(Dashboard!$F$4) * _xlfn.NORM.S.INV(RAND())</f>
        <v>-5.6278217938084511E-3</v>
      </c>
    </row>
    <row r="8701" spans="18:21" x14ac:dyDescent="0.2">
      <c r="R8701" s="49">
        <v>8699</v>
      </c>
      <c r="S8701" s="59">
        <f ca="1">Dashboard!B$8* Dashboard!$F$4+Dashboard!B$10*SQRT(Dashboard!$F$4) * _xlfn.NORM.S.INV(RAND())</f>
        <v>-9.1757903681152012E-3</v>
      </c>
      <c r="T8701" s="59">
        <f ca="1">Dashboard!C$8* Dashboard!$F$4+Dashboard!C$10*SQRT(Dashboard!$F$4) * _xlfn.NORM.S.INV(RAND())</f>
        <v>-2.2413160808806464E-2</v>
      </c>
      <c r="U8701" s="59">
        <f ca="1">Dashboard!D$8* Dashboard!$F$4+Dashboard!D$10*SQRT(Dashboard!$F$4) * _xlfn.NORM.S.INV(RAND())</f>
        <v>8.7042391121765188E-3</v>
      </c>
    </row>
    <row r="8702" spans="18:21" x14ac:dyDescent="0.2">
      <c r="R8702" s="49">
        <v>8700</v>
      </c>
      <c r="S8702" s="59">
        <f ca="1">Dashboard!B$8* Dashboard!$F$4+Dashboard!B$10*SQRT(Dashboard!$F$4) * _xlfn.NORM.S.INV(RAND())</f>
        <v>3.3479957287906814E-2</v>
      </c>
      <c r="T8702" s="59">
        <f ca="1">Dashboard!C$8* Dashboard!$F$4+Dashboard!C$10*SQRT(Dashboard!$F$4) * _xlfn.NORM.S.INV(RAND())</f>
        <v>-3.1955160235175875E-2</v>
      </c>
      <c r="U8702" s="59">
        <f ca="1">Dashboard!D$8* Dashboard!$F$4+Dashboard!D$10*SQRT(Dashboard!$F$4) * _xlfn.NORM.S.INV(RAND())</f>
        <v>1.7587651720744894E-2</v>
      </c>
    </row>
    <row r="8703" spans="18:21" x14ac:dyDescent="0.2">
      <c r="R8703" s="49">
        <v>8701</v>
      </c>
      <c r="S8703" s="59">
        <f ca="1">Dashboard!B$8* Dashboard!$F$4+Dashboard!B$10*SQRT(Dashboard!$F$4) * _xlfn.NORM.S.INV(RAND())</f>
        <v>-1.1269265279414312E-2</v>
      </c>
      <c r="T8703" s="59">
        <f ca="1">Dashboard!C$8* Dashboard!$F$4+Dashboard!C$10*SQRT(Dashboard!$F$4) * _xlfn.NORM.S.INV(RAND())</f>
        <v>1.1362159025486646E-2</v>
      </c>
      <c r="U8703" s="59">
        <f ca="1">Dashboard!D$8* Dashboard!$F$4+Dashboard!D$10*SQRT(Dashboard!$F$4) * _xlfn.NORM.S.INV(RAND())</f>
        <v>-1.666104622323121E-2</v>
      </c>
    </row>
    <row r="8704" spans="18:21" x14ac:dyDescent="0.2">
      <c r="R8704" s="49">
        <v>8702</v>
      </c>
      <c r="S8704" s="59">
        <f ca="1">Dashboard!B$8* Dashboard!$F$4+Dashboard!B$10*SQRT(Dashboard!$F$4) * _xlfn.NORM.S.INV(RAND())</f>
        <v>9.1505853685041015E-3</v>
      </c>
      <c r="T8704" s="59">
        <f ca="1">Dashboard!C$8* Dashboard!$F$4+Dashboard!C$10*SQRT(Dashboard!$F$4) * _xlfn.NORM.S.INV(RAND())</f>
        <v>7.0791014603006691E-4</v>
      </c>
      <c r="U8704" s="59">
        <f ca="1">Dashboard!D$8* Dashboard!$F$4+Dashboard!D$10*SQRT(Dashboard!$F$4) * _xlfn.NORM.S.INV(RAND())</f>
        <v>4.712802986817051E-2</v>
      </c>
    </row>
    <row r="8705" spans="18:21" x14ac:dyDescent="0.2">
      <c r="R8705" s="49">
        <v>8703</v>
      </c>
      <c r="S8705" s="59">
        <f ca="1">Dashboard!B$8* Dashboard!$F$4+Dashboard!B$10*SQRT(Dashboard!$F$4) * _xlfn.NORM.S.INV(RAND())</f>
        <v>5.9472929437847794E-3</v>
      </c>
      <c r="T8705" s="59">
        <f ca="1">Dashboard!C$8* Dashboard!$F$4+Dashboard!C$10*SQRT(Dashboard!$F$4) * _xlfn.NORM.S.INV(RAND())</f>
        <v>-6.1872588511302146E-2</v>
      </c>
      <c r="U8705" s="59">
        <f ca="1">Dashboard!D$8* Dashboard!$F$4+Dashboard!D$10*SQRT(Dashboard!$F$4) * _xlfn.NORM.S.INV(RAND())</f>
        <v>-2.5543385905236436E-2</v>
      </c>
    </row>
    <row r="8706" spans="18:21" x14ac:dyDescent="0.2">
      <c r="R8706" s="49">
        <v>8704</v>
      </c>
      <c r="S8706" s="59">
        <f ca="1">Dashboard!B$8* Dashboard!$F$4+Dashboard!B$10*SQRT(Dashboard!$F$4) * _xlfn.NORM.S.INV(RAND())</f>
        <v>-3.4259881334123096E-2</v>
      </c>
      <c r="T8706" s="59">
        <f ca="1">Dashboard!C$8* Dashboard!$F$4+Dashboard!C$10*SQRT(Dashboard!$F$4) * _xlfn.NORM.S.INV(RAND())</f>
        <v>2.9303894125456521E-2</v>
      </c>
      <c r="U8706" s="59">
        <f ca="1">Dashboard!D$8* Dashboard!$F$4+Dashboard!D$10*SQRT(Dashboard!$F$4) * _xlfn.NORM.S.INV(RAND())</f>
        <v>2.2130070368669635E-2</v>
      </c>
    </row>
    <row r="8707" spans="18:21" x14ac:dyDescent="0.2">
      <c r="R8707" s="49">
        <v>8705</v>
      </c>
      <c r="S8707" s="59">
        <f ca="1">Dashboard!B$8* Dashboard!$F$4+Dashboard!B$10*SQRT(Dashboard!$F$4) * _xlfn.NORM.S.INV(RAND())</f>
        <v>-1.1078412727212028E-2</v>
      </c>
      <c r="T8707" s="59">
        <f ca="1">Dashboard!C$8* Dashboard!$F$4+Dashboard!C$10*SQRT(Dashboard!$F$4) * _xlfn.NORM.S.INV(RAND())</f>
        <v>2.9277993683840927E-2</v>
      </c>
      <c r="U8707" s="59">
        <f ca="1">Dashboard!D$8* Dashboard!$F$4+Dashboard!D$10*SQRT(Dashboard!$F$4) * _xlfn.NORM.S.INV(RAND())</f>
        <v>3.2778217779513147E-3</v>
      </c>
    </row>
    <row r="8708" spans="18:21" x14ac:dyDescent="0.2">
      <c r="R8708" s="49">
        <v>8706</v>
      </c>
      <c r="S8708" s="59">
        <f ca="1">Dashboard!B$8* Dashboard!$F$4+Dashboard!B$10*SQRT(Dashboard!$F$4) * _xlfn.NORM.S.INV(RAND())</f>
        <v>7.8594919207254955E-3</v>
      </c>
      <c r="T8708" s="59">
        <f ca="1">Dashboard!C$8* Dashboard!$F$4+Dashboard!C$10*SQRT(Dashboard!$F$4) * _xlfn.NORM.S.INV(RAND())</f>
        <v>6.9054537450904188E-3</v>
      </c>
      <c r="U8708" s="59">
        <f ca="1">Dashboard!D$8* Dashboard!$F$4+Dashboard!D$10*SQRT(Dashboard!$F$4) * _xlfn.NORM.S.INV(RAND())</f>
        <v>3.2147097743556438E-2</v>
      </c>
    </row>
    <row r="8709" spans="18:21" x14ac:dyDescent="0.2">
      <c r="R8709" s="49">
        <v>8707</v>
      </c>
      <c r="S8709" s="59">
        <f ca="1">Dashboard!B$8* Dashboard!$F$4+Dashboard!B$10*SQRT(Dashboard!$F$4) * _xlfn.NORM.S.INV(RAND())</f>
        <v>9.0661148400814195E-3</v>
      </c>
      <c r="T8709" s="59">
        <f ca="1">Dashboard!C$8* Dashboard!$F$4+Dashboard!C$10*SQRT(Dashboard!$F$4) * _xlfn.NORM.S.INV(RAND())</f>
        <v>-3.519647585777929E-2</v>
      </c>
      <c r="U8709" s="59">
        <f ca="1">Dashboard!D$8* Dashboard!$F$4+Dashboard!D$10*SQRT(Dashboard!$F$4) * _xlfn.NORM.S.INV(RAND())</f>
        <v>4.4920353930630839E-2</v>
      </c>
    </row>
    <row r="8710" spans="18:21" x14ac:dyDescent="0.2">
      <c r="R8710" s="49">
        <v>8708</v>
      </c>
      <c r="S8710" s="59">
        <f ca="1">Dashboard!B$8* Dashboard!$F$4+Dashboard!B$10*SQRT(Dashboard!$F$4) * _xlfn.NORM.S.INV(RAND())</f>
        <v>2.9007690472702005E-2</v>
      </c>
      <c r="T8710" s="59">
        <f ca="1">Dashboard!C$8* Dashboard!$F$4+Dashboard!C$10*SQRT(Dashboard!$F$4) * _xlfn.NORM.S.INV(RAND())</f>
        <v>-4.3606997002405244E-2</v>
      </c>
      <c r="U8710" s="59">
        <f ca="1">Dashboard!D$8* Dashboard!$F$4+Dashboard!D$10*SQRT(Dashboard!$F$4) * _xlfn.NORM.S.INV(RAND())</f>
        <v>7.3915634474758425E-4</v>
      </c>
    </row>
    <row r="8711" spans="18:21" x14ac:dyDescent="0.2">
      <c r="R8711" s="49">
        <v>8709</v>
      </c>
      <c r="S8711" s="59">
        <f ca="1">Dashboard!B$8* Dashboard!$F$4+Dashboard!B$10*SQRT(Dashboard!$F$4) * _xlfn.NORM.S.INV(RAND())</f>
        <v>-3.424765330626265E-2</v>
      </c>
      <c r="T8711" s="59">
        <f ca="1">Dashboard!C$8* Dashboard!$F$4+Dashboard!C$10*SQRT(Dashboard!$F$4) * _xlfn.NORM.S.INV(RAND())</f>
        <v>-4.0017502279985802E-2</v>
      </c>
      <c r="U8711" s="59">
        <f ca="1">Dashboard!D$8* Dashboard!$F$4+Dashboard!D$10*SQRT(Dashboard!$F$4) * _xlfn.NORM.S.INV(RAND())</f>
        <v>2.5941263904634002E-2</v>
      </c>
    </row>
    <row r="8712" spans="18:21" x14ac:dyDescent="0.2">
      <c r="R8712" s="49">
        <v>8710</v>
      </c>
      <c r="S8712" s="59">
        <f ca="1">Dashboard!B$8* Dashboard!$F$4+Dashboard!B$10*SQRT(Dashboard!$F$4) * _xlfn.NORM.S.INV(RAND())</f>
        <v>-4.9182225051229052E-2</v>
      </c>
      <c r="T8712" s="59">
        <f ca="1">Dashboard!C$8* Dashboard!$F$4+Dashboard!C$10*SQRT(Dashboard!$F$4) * _xlfn.NORM.S.INV(RAND())</f>
        <v>-2.0360708382870529E-2</v>
      </c>
      <c r="U8712" s="59">
        <f ca="1">Dashboard!D$8* Dashboard!$F$4+Dashboard!D$10*SQRT(Dashboard!$F$4) * _xlfn.NORM.S.INV(RAND())</f>
        <v>-1.2306019517682096E-2</v>
      </c>
    </row>
    <row r="8713" spans="18:21" x14ac:dyDescent="0.2">
      <c r="R8713" s="49">
        <v>8711</v>
      </c>
      <c r="S8713" s="59">
        <f ca="1">Dashboard!B$8* Dashboard!$F$4+Dashboard!B$10*SQRT(Dashboard!$F$4) * _xlfn.NORM.S.INV(RAND())</f>
        <v>-3.9754230441243467E-2</v>
      </c>
      <c r="T8713" s="59">
        <f ca="1">Dashboard!C$8* Dashboard!$F$4+Dashboard!C$10*SQRT(Dashboard!$F$4) * _xlfn.NORM.S.INV(RAND())</f>
        <v>1.1251165925816587E-2</v>
      </c>
      <c r="U8713" s="59">
        <f ca="1">Dashboard!D$8* Dashboard!$F$4+Dashboard!D$10*SQRT(Dashboard!$F$4) * _xlfn.NORM.S.INV(RAND())</f>
        <v>3.4177466456086811E-2</v>
      </c>
    </row>
    <row r="8714" spans="18:21" x14ac:dyDescent="0.2">
      <c r="R8714" s="49">
        <v>8712</v>
      </c>
      <c r="S8714" s="59">
        <f ca="1">Dashboard!B$8* Dashboard!$F$4+Dashboard!B$10*SQRT(Dashboard!$F$4) * _xlfn.NORM.S.INV(RAND())</f>
        <v>-3.5108685696197618E-3</v>
      </c>
      <c r="T8714" s="59">
        <f ca="1">Dashboard!C$8* Dashboard!$F$4+Dashboard!C$10*SQRT(Dashboard!$F$4) * _xlfn.NORM.S.INV(RAND())</f>
        <v>-9.2980997590591738E-3</v>
      </c>
      <c r="U8714" s="59">
        <f ca="1">Dashboard!D$8* Dashboard!$F$4+Dashboard!D$10*SQRT(Dashboard!$F$4) * _xlfn.NORM.S.INV(RAND())</f>
        <v>-4.2842294697004568E-2</v>
      </c>
    </row>
    <row r="8715" spans="18:21" x14ac:dyDescent="0.2">
      <c r="R8715" s="49">
        <v>8713</v>
      </c>
      <c r="S8715" s="59">
        <f ca="1">Dashboard!B$8* Dashboard!$F$4+Dashboard!B$10*SQRT(Dashboard!$F$4) * _xlfn.NORM.S.INV(RAND())</f>
        <v>7.3368395148838472E-2</v>
      </c>
      <c r="T8715" s="59">
        <f ca="1">Dashboard!C$8* Dashboard!$F$4+Dashboard!C$10*SQRT(Dashboard!$F$4) * _xlfn.NORM.S.INV(RAND())</f>
        <v>-4.2918820088954444E-2</v>
      </c>
      <c r="U8715" s="59">
        <f ca="1">Dashboard!D$8* Dashboard!$F$4+Dashboard!D$10*SQRT(Dashboard!$F$4) * _xlfn.NORM.S.INV(RAND())</f>
        <v>4.0060155435193305E-2</v>
      </c>
    </row>
    <row r="8716" spans="18:21" x14ac:dyDescent="0.2">
      <c r="R8716" s="49">
        <v>8714</v>
      </c>
      <c r="S8716" s="59">
        <f ca="1">Dashboard!B$8* Dashboard!$F$4+Dashboard!B$10*SQRT(Dashboard!$F$4) * _xlfn.NORM.S.INV(RAND())</f>
        <v>-2.9839290485353387E-2</v>
      </c>
      <c r="T8716" s="59">
        <f ca="1">Dashboard!C$8* Dashboard!$F$4+Dashboard!C$10*SQRT(Dashboard!$F$4) * _xlfn.NORM.S.INV(RAND())</f>
        <v>7.2779579563193256E-3</v>
      </c>
      <c r="U8716" s="59">
        <f ca="1">Dashboard!D$8* Dashboard!$F$4+Dashboard!D$10*SQRT(Dashboard!$F$4) * _xlfn.NORM.S.INV(RAND())</f>
        <v>-1.257054712447868E-2</v>
      </c>
    </row>
    <row r="8717" spans="18:21" x14ac:dyDescent="0.2">
      <c r="R8717" s="49">
        <v>8715</v>
      </c>
      <c r="S8717" s="59">
        <f ca="1">Dashboard!B$8* Dashboard!$F$4+Dashboard!B$10*SQRT(Dashboard!$F$4) * _xlfn.NORM.S.INV(RAND())</f>
        <v>-5.0759146707774809E-2</v>
      </c>
      <c r="T8717" s="59">
        <f ca="1">Dashboard!C$8* Dashboard!$F$4+Dashboard!C$10*SQRT(Dashboard!$F$4) * _xlfn.NORM.S.INV(RAND())</f>
        <v>-3.1554087777341012E-2</v>
      </c>
      <c r="U8717" s="59">
        <f ca="1">Dashboard!D$8* Dashboard!$F$4+Dashboard!D$10*SQRT(Dashboard!$F$4) * _xlfn.NORM.S.INV(RAND())</f>
        <v>-3.3118804989095051E-2</v>
      </c>
    </row>
    <row r="8718" spans="18:21" x14ac:dyDescent="0.2">
      <c r="R8718" s="49">
        <v>8716</v>
      </c>
      <c r="S8718" s="59">
        <f ca="1">Dashboard!B$8* Dashboard!$F$4+Dashboard!B$10*SQRT(Dashboard!$F$4) * _xlfn.NORM.S.INV(RAND())</f>
        <v>2.2417396335661477E-2</v>
      </c>
      <c r="T8718" s="59">
        <f ca="1">Dashboard!C$8* Dashboard!$F$4+Dashboard!C$10*SQRT(Dashboard!$F$4) * _xlfn.NORM.S.INV(RAND())</f>
        <v>3.0999561827026959E-4</v>
      </c>
      <c r="U8718" s="59">
        <f ca="1">Dashboard!D$8* Dashboard!$F$4+Dashboard!D$10*SQRT(Dashboard!$F$4) * _xlfn.NORM.S.INV(RAND())</f>
        <v>1.890495918929145E-2</v>
      </c>
    </row>
    <row r="8719" spans="18:21" x14ac:dyDescent="0.2">
      <c r="R8719" s="49">
        <v>8717</v>
      </c>
      <c r="S8719" s="59">
        <f ca="1">Dashboard!B$8* Dashboard!$F$4+Dashboard!B$10*SQRT(Dashboard!$F$4) * _xlfn.NORM.S.INV(RAND())</f>
        <v>6.4274574269482607E-3</v>
      </c>
      <c r="T8719" s="59">
        <f ca="1">Dashboard!C$8* Dashboard!$F$4+Dashboard!C$10*SQRT(Dashboard!$F$4) * _xlfn.NORM.S.INV(RAND())</f>
        <v>3.6176347106831652E-2</v>
      </c>
      <c r="U8719" s="59">
        <f ca="1">Dashboard!D$8* Dashboard!$F$4+Dashboard!D$10*SQRT(Dashboard!$F$4) * _xlfn.NORM.S.INV(RAND())</f>
        <v>1.7563932641103831E-2</v>
      </c>
    </row>
    <row r="8720" spans="18:21" x14ac:dyDescent="0.2">
      <c r="R8720" s="49">
        <v>8718</v>
      </c>
      <c r="S8720" s="59">
        <f ca="1">Dashboard!B$8* Dashboard!$F$4+Dashboard!B$10*SQRT(Dashboard!$F$4) * _xlfn.NORM.S.INV(RAND())</f>
        <v>-1.2495592152027274E-2</v>
      </c>
      <c r="T8720" s="59">
        <f ca="1">Dashboard!C$8* Dashboard!$F$4+Dashboard!C$10*SQRT(Dashboard!$F$4) * _xlfn.NORM.S.INV(RAND())</f>
        <v>2.3845634627116637E-2</v>
      </c>
      <c r="U8720" s="59">
        <f ca="1">Dashboard!D$8* Dashboard!$F$4+Dashboard!D$10*SQRT(Dashboard!$F$4) * _xlfn.NORM.S.INV(RAND())</f>
        <v>-3.0992771263907089E-2</v>
      </c>
    </row>
    <row r="8721" spans="18:21" x14ac:dyDescent="0.2">
      <c r="R8721" s="49">
        <v>8719</v>
      </c>
      <c r="S8721" s="59">
        <f ca="1">Dashboard!B$8* Dashboard!$F$4+Dashboard!B$10*SQRT(Dashboard!$F$4) * _xlfn.NORM.S.INV(RAND())</f>
        <v>-7.4430462510105726E-3</v>
      </c>
      <c r="T8721" s="59">
        <f ca="1">Dashboard!C$8* Dashboard!$F$4+Dashboard!C$10*SQRT(Dashboard!$F$4) * _xlfn.NORM.S.INV(RAND())</f>
        <v>-5.1261763459586281E-2</v>
      </c>
      <c r="U8721" s="59">
        <f ca="1">Dashboard!D$8* Dashboard!$F$4+Dashboard!D$10*SQRT(Dashboard!$F$4) * _xlfn.NORM.S.INV(RAND())</f>
        <v>-3.6133163326802296E-2</v>
      </c>
    </row>
    <row r="8722" spans="18:21" x14ac:dyDescent="0.2">
      <c r="R8722" s="49">
        <v>8720</v>
      </c>
      <c r="S8722" s="59">
        <f ca="1">Dashboard!B$8* Dashboard!$F$4+Dashboard!B$10*SQRT(Dashboard!$F$4) * _xlfn.NORM.S.INV(RAND())</f>
        <v>-3.1856141861947337E-2</v>
      </c>
      <c r="T8722" s="59">
        <f ca="1">Dashboard!C$8* Dashboard!$F$4+Dashboard!C$10*SQRT(Dashboard!$F$4) * _xlfn.NORM.S.INV(RAND())</f>
        <v>-2.1004956094810939E-2</v>
      </c>
      <c r="U8722" s="59">
        <f ca="1">Dashboard!D$8* Dashboard!$F$4+Dashboard!D$10*SQRT(Dashboard!$F$4) * _xlfn.NORM.S.INV(RAND())</f>
        <v>-1.4608344941639428E-2</v>
      </c>
    </row>
    <row r="8723" spans="18:21" x14ac:dyDescent="0.2">
      <c r="R8723" s="49">
        <v>8721</v>
      </c>
      <c r="S8723" s="59">
        <f ca="1">Dashboard!B$8* Dashboard!$F$4+Dashboard!B$10*SQRT(Dashboard!$F$4) * _xlfn.NORM.S.INV(RAND())</f>
        <v>-1.9782837441966204E-2</v>
      </c>
      <c r="T8723" s="59">
        <f ca="1">Dashboard!C$8* Dashboard!$F$4+Dashboard!C$10*SQRT(Dashboard!$F$4) * _xlfn.NORM.S.INV(RAND())</f>
        <v>-2.9330466878095627E-2</v>
      </c>
      <c r="U8723" s="59">
        <f ca="1">Dashboard!D$8* Dashboard!$F$4+Dashboard!D$10*SQRT(Dashboard!$F$4) * _xlfn.NORM.S.INV(RAND())</f>
        <v>2.4807632945702002E-2</v>
      </c>
    </row>
    <row r="8724" spans="18:21" x14ac:dyDescent="0.2">
      <c r="R8724" s="49">
        <v>8722</v>
      </c>
      <c r="S8724" s="59">
        <f ca="1">Dashboard!B$8* Dashboard!$F$4+Dashboard!B$10*SQRT(Dashboard!$F$4) * _xlfn.NORM.S.INV(RAND())</f>
        <v>-5.6106951939887042E-3</v>
      </c>
      <c r="T8724" s="59">
        <f ca="1">Dashboard!C$8* Dashboard!$F$4+Dashboard!C$10*SQRT(Dashboard!$F$4) * _xlfn.NORM.S.INV(RAND())</f>
        <v>1.5488088919103443E-2</v>
      </c>
      <c r="U8724" s="59">
        <f ca="1">Dashboard!D$8* Dashboard!$F$4+Dashboard!D$10*SQRT(Dashboard!$F$4) * _xlfn.NORM.S.INV(RAND())</f>
        <v>-3.2518794125455198E-2</v>
      </c>
    </row>
    <row r="8725" spans="18:21" x14ac:dyDescent="0.2">
      <c r="R8725" s="49">
        <v>8723</v>
      </c>
      <c r="S8725" s="59">
        <f ca="1">Dashboard!B$8* Dashboard!$F$4+Dashboard!B$10*SQRT(Dashboard!$F$4) * _xlfn.NORM.S.INV(RAND())</f>
        <v>2.0379863640332105E-2</v>
      </c>
      <c r="T8725" s="59">
        <f ca="1">Dashboard!C$8* Dashboard!$F$4+Dashboard!C$10*SQRT(Dashboard!$F$4) * _xlfn.NORM.S.INV(RAND())</f>
        <v>2.9388077559948603E-2</v>
      </c>
      <c r="U8725" s="59">
        <f ca="1">Dashboard!D$8* Dashboard!$F$4+Dashboard!D$10*SQRT(Dashboard!$F$4) * _xlfn.NORM.S.INV(RAND())</f>
        <v>4.0438707109761302E-2</v>
      </c>
    </row>
    <row r="8726" spans="18:21" x14ac:dyDescent="0.2">
      <c r="R8726" s="49">
        <v>8724</v>
      </c>
      <c r="S8726" s="59">
        <f ca="1">Dashboard!B$8* Dashboard!$F$4+Dashboard!B$10*SQRT(Dashboard!$F$4) * _xlfn.NORM.S.INV(RAND())</f>
        <v>3.2783991955533651E-2</v>
      </c>
      <c r="T8726" s="59">
        <f ca="1">Dashboard!C$8* Dashboard!$F$4+Dashboard!C$10*SQRT(Dashboard!$F$4) * _xlfn.NORM.S.INV(RAND())</f>
        <v>7.6977279351084105E-3</v>
      </c>
      <c r="U8726" s="59">
        <f ca="1">Dashboard!D$8* Dashboard!$F$4+Dashboard!D$10*SQRT(Dashboard!$F$4) * _xlfn.NORM.S.INV(RAND())</f>
        <v>-1.5520958239052588E-2</v>
      </c>
    </row>
    <row r="8727" spans="18:21" x14ac:dyDescent="0.2">
      <c r="R8727" s="49">
        <v>8725</v>
      </c>
      <c r="S8727" s="59">
        <f ca="1">Dashboard!B$8* Dashboard!$F$4+Dashboard!B$10*SQRT(Dashboard!$F$4) * _xlfn.NORM.S.INV(RAND())</f>
        <v>1.1138992034628797E-2</v>
      </c>
      <c r="T8727" s="59">
        <f ca="1">Dashboard!C$8* Dashboard!$F$4+Dashboard!C$10*SQRT(Dashboard!$F$4) * _xlfn.NORM.S.INV(RAND())</f>
        <v>5.6608101676868722E-2</v>
      </c>
      <c r="U8727" s="59">
        <f ca="1">Dashboard!D$8* Dashboard!$F$4+Dashboard!D$10*SQRT(Dashboard!$F$4) * _xlfn.NORM.S.INV(RAND())</f>
        <v>-4.273583999802353E-2</v>
      </c>
    </row>
    <row r="8728" spans="18:21" x14ac:dyDescent="0.2">
      <c r="R8728" s="49">
        <v>8726</v>
      </c>
      <c r="S8728" s="59">
        <f ca="1">Dashboard!B$8* Dashboard!$F$4+Dashboard!B$10*SQRT(Dashboard!$F$4) * _xlfn.NORM.S.INV(RAND())</f>
        <v>-1.9544903344351139E-3</v>
      </c>
      <c r="T8728" s="59">
        <f ca="1">Dashboard!C$8* Dashboard!$F$4+Dashboard!C$10*SQRT(Dashboard!$F$4) * _xlfn.NORM.S.INV(RAND())</f>
        <v>-1.7474650834310976E-2</v>
      </c>
      <c r="U8728" s="59">
        <f ca="1">Dashboard!D$8* Dashboard!$F$4+Dashboard!D$10*SQRT(Dashboard!$F$4) * _xlfn.NORM.S.INV(RAND())</f>
        <v>-6.4591188106791819E-2</v>
      </c>
    </row>
    <row r="8729" spans="18:21" x14ac:dyDescent="0.2">
      <c r="R8729" s="49">
        <v>8727</v>
      </c>
      <c r="S8729" s="59">
        <f ca="1">Dashboard!B$8* Dashboard!$F$4+Dashboard!B$10*SQRT(Dashboard!$F$4) * _xlfn.NORM.S.INV(RAND())</f>
        <v>-5.5511490423744481E-2</v>
      </c>
      <c r="T8729" s="59">
        <f ca="1">Dashboard!C$8* Dashboard!$F$4+Dashboard!C$10*SQRT(Dashboard!$F$4) * _xlfn.NORM.S.INV(RAND())</f>
        <v>-7.0088099215855851E-4</v>
      </c>
      <c r="U8729" s="59">
        <f ca="1">Dashboard!D$8* Dashboard!$F$4+Dashboard!D$10*SQRT(Dashboard!$F$4) * _xlfn.NORM.S.INV(RAND())</f>
        <v>2.8768936799877885E-3</v>
      </c>
    </row>
    <row r="8730" spans="18:21" x14ac:dyDescent="0.2">
      <c r="R8730" s="49">
        <v>8728</v>
      </c>
      <c r="S8730" s="59">
        <f ca="1">Dashboard!B$8* Dashboard!$F$4+Dashboard!B$10*SQRT(Dashboard!$F$4) * _xlfn.NORM.S.INV(RAND())</f>
        <v>5.1145728136527256E-2</v>
      </c>
      <c r="T8730" s="59">
        <f ca="1">Dashboard!C$8* Dashboard!$F$4+Dashboard!C$10*SQRT(Dashboard!$F$4) * _xlfn.NORM.S.INV(RAND())</f>
        <v>-9.9882884055842204E-3</v>
      </c>
      <c r="U8730" s="59">
        <f ca="1">Dashboard!D$8* Dashboard!$F$4+Dashboard!D$10*SQRT(Dashboard!$F$4) * _xlfn.NORM.S.INV(RAND())</f>
        <v>-1.469018643639069E-2</v>
      </c>
    </row>
    <row r="8731" spans="18:21" x14ac:dyDescent="0.2">
      <c r="R8731" s="49">
        <v>8729</v>
      </c>
      <c r="S8731" s="59">
        <f ca="1">Dashboard!B$8* Dashboard!$F$4+Dashboard!B$10*SQRT(Dashboard!$F$4) * _xlfn.NORM.S.INV(RAND())</f>
        <v>9.2264093490423225E-3</v>
      </c>
      <c r="T8731" s="59">
        <f ca="1">Dashboard!C$8* Dashboard!$F$4+Dashboard!C$10*SQRT(Dashboard!$F$4) * _xlfn.NORM.S.INV(RAND())</f>
        <v>3.9816274506974308E-2</v>
      </c>
      <c r="U8731" s="59">
        <f ca="1">Dashboard!D$8* Dashboard!$F$4+Dashboard!D$10*SQRT(Dashboard!$F$4) * _xlfn.NORM.S.INV(RAND())</f>
        <v>-2.818933609357269E-2</v>
      </c>
    </row>
    <row r="8732" spans="18:21" x14ac:dyDescent="0.2">
      <c r="R8732" s="49">
        <v>8730</v>
      </c>
      <c r="S8732" s="59">
        <f ca="1">Dashboard!B$8* Dashboard!$F$4+Dashboard!B$10*SQRT(Dashboard!$F$4) * _xlfn.NORM.S.INV(RAND())</f>
        <v>-2.5793596657457889E-2</v>
      </c>
      <c r="T8732" s="59">
        <f ca="1">Dashboard!C$8* Dashboard!$F$4+Dashboard!C$10*SQRT(Dashboard!$F$4) * _xlfn.NORM.S.INV(RAND())</f>
        <v>2.1340604048941489E-2</v>
      </c>
      <c r="U8732" s="59">
        <f ca="1">Dashboard!D$8* Dashboard!$F$4+Dashboard!D$10*SQRT(Dashboard!$F$4) * _xlfn.NORM.S.INV(RAND())</f>
        <v>1.3162559623096906E-2</v>
      </c>
    </row>
    <row r="8733" spans="18:21" x14ac:dyDescent="0.2">
      <c r="R8733" s="49">
        <v>8731</v>
      </c>
      <c r="S8733" s="59">
        <f ca="1">Dashboard!B$8* Dashboard!$F$4+Dashboard!B$10*SQRT(Dashboard!$F$4) * _xlfn.NORM.S.INV(RAND())</f>
        <v>-3.5592703048820812E-2</v>
      </c>
      <c r="T8733" s="59">
        <f ca="1">Dashboard!C$8* Dashboard!$F$4+Dashboard!C$10*SQRT(Dashboard!$F$4) * _xlfn.NORM.S.INV(RAND())</f>
        <v>-2.4182537292276023E-2</v>
      </c>
      <c r="U8733" s="59">
        <f ca="1">Dashboard!D$8* Dashboard!$F$4+Dashboard!D$10*SQRT(Dashboard!$F$4) * _xlfn.NORM.S.INV(RAND())</f>
        <v>1.0048198805691936E-2</v>
      </c>
    </row>
    <row r="8734" spans="18:21" x14ac:dyDescent="0.2">
      <c r="R8734" s="49">
        <v>8732</v>
      </c>
      <c r="S8734" s="59">
        <f ca="1">Dashboard!B$8* Dashboard!$F$4+Dashboard!B$10*SQRT(Dashboard!$F$4) * _xlfn.NORM.S.INV(RAND())</f>
        <v>2.4400511946408132E-2</v>
      </c>
      <c r="T8734" s="59">
        <f ca="1">Dashboard!C$8* Dashboard!$F$4+Dashboard!C$10*SQRT(Dashboard!$F$4) * _xlfn.NORM.S.INV(RAND())</f>
        <v>-2.2902827919474955E-2</v>
      </c>
      <c r="U8734" s="59">
        <f ca="1">Dashboard!D$8* Dashboard!$F$4+Dashboard!D$10*SQRT(Dashboard!$F$4) * _xlfn.NORM.S.INV(RAND())</f>
        <v>3.0496479247207508E-2</v>
      </c>
    </row>
    <row r="8735" spans="18:21" x14ac:dyDescent="0.2">
      <c r="R8735" s="49">
        <v>8733</v>
      </c>
      <c r="S8735" s="59">
        <f ca="1">Dashboard!B$8* Dashboard!$F$4+Dashboard!B$10*SQRT(Dashboard!$F$4) * _xlfn.NORM.S.INV(RAND())</f>
        <v>-5.3576105676020579E-3</v>
      </c>
      <c r="T8735" s="59">
        <f ca="1">Dashboard!C$8* Dashboard!$F$4+Dashboard!C$10*SQRT(Dashboard!$F$4) * _xlfn.NORM.S.INV(RAND())</f>
        <v>8.5819906483001251E-2</v>
      </c>
      <c r="U8735" s="59">
        <f ca="1">Dashboard!D$8* Dashboard!$F$4+Dashboard!D$10*SQRT(Dashboard!$F$4) * _xlfn.NORM.S.INV(RAND())</f>
        <v>-2.5376026880246198E-3</v>
      </c>
    </row>
    <row r="8736" spans="18:21" x14ac:dyDescent="0.2">
      <c r="R8736" s="49">
        <v>8734</v>
      </c>
      <c r="S8736" s="59">
        <f ca="1">Dashboard!B$8* Dashboard!$F$4+Dashboard!B$10*SQRT(Dashboard!$F$4) * _xlfn.NORM.S.INV(RAND())</f>
        <v>-2.3133307226449913E-2</v>
      </c>
      <c r="T8736" s="59">
        <f ca="1">Dashboard!C$8* Dashboard!$F$4+Dashboard!C$10*SQRT(Dashboard!$F$4) * _xlfn.NORM.S.INV(RAND())</f>
        <v>-3.9270141977427757E-3</v>
      </c>
      <c r="U8736" s="59">
        <f ca="1">Dashboard!D$8* Dashboard!$F$4+Dashboard!D$10*SQRT(Dashboard!$F$4) * _xlfn.NORM.S.INV(RAND())</f>
        <v>-4.2610876654744369E-2</v>
      </c>
    </row>
    <row r="8737" spans="18:21" x14ac:dyDescent="0.2">
      <c r="R8737" s="49">
        <v>8735</v>
      </c>
      <c r="S8737" s="59">
        <f ca="1">Dashboard!B$8* Dashboard!$F$4+Dashboard!B$10*SQRT(Dashboard!$F$4) * _xlfn.NORM.S.INV(RAND())</f>
        <v>-4.9317356966496591E-2</v>
      </c>
      <c r="T8737" s="59">
        <f ca="1">Dashboard!C$8* Dashboard!$F$4+Dashboard!C$10*SQRT(Dashboard!$F$4) * _xlfn.NORM.S.INV(RAND())</f>
        <v>3.2314355710560336E-2</v>
      </c>
      <c r="U8737" s="59">
        <f ca="1">Dashboard!D$8* Dashboard!$F$4+Dashboard!D$10*SQRT(Dashboard!$F$4) * _xlfn.NORM.S.INV(RAND())</f>
        <v>2.2602526401000293E-3</v>
      </c>
    </row>
    <row r="8738" spans="18:21" x14ac:dyDescent="0.2">
      <c r="R8738" s="49">
        <v>8736</v>
      </c>
      <c r="S8738" s="59">
        <f ca="1">Dashboard!B$8* Dashboard!$F$4+Dashboard!B$10*SQRT(Dashboard!$F$4) * _xlfn.NORM.S.INV(RAND())</f>
        <v>-1.5835539795293667E-2</v>
      </c>
      <c r="T8738" s="59">
        <f ca="1">Dashboard!C$8* Dashboard!$F$4+Dashboard!C$10*SQRT(Dashboard!$F$4) * _xlfn.NORM.S.INV(RAND())</f>
        <v>-1.4259705948715722E-2</v>
      </c>
      <c r="U8738" s="59">
        <f ca="1">Dashboard!D$8* Dashboard!$F$4+Dashboard!D$10*SQRT(Dashboard!$F$4) * _xlfn.NORM.S.INV(RAND())</f>
        <v>2.7639309850777102E-2</v>
      </c>
    </row>
    <row r="8739" spans="18:21" x14ac:dyDescent="0.2">
      <c r="R8739" s="49">
        <v>8737</v>
      </c>
      <c r="S8739" s="59">
        <f ca="1">Dashboard!B$8* Dashboard!$F$4+Dashboard!B$10*SQRT(Dashboard!$F$4) * _xlfn.NORM.S.INV(RAND())</f>
        <v>1.3050857219279973E-2</v>
      </c>
      <c r="T8739" s="59">
        <f ca="1">Dashboard!C$8* Dashboard!$F$4+Dashboard!C$10*SQRT(Dashboard!$F$4) * _xlfn.NORM.S.INV(RAND())</f>
        <v>6.4848264740782896E-3</v>
      </c>
      <c r="U8739" s="59">
        <f ca="1">Dashboard!D$8* Dashboard!$F$4+Dashboard!D$10*SQRT(Dashboard!$F$4) * _xlfn.NORM.S.INV(RAND())</f>
        <v>3.9399520022534225E-2</v>
      </c>
    </row>
    <row r="8740" spans="18:21" x14ac:dyDescent="0.2">
      <c r="R8740" s="49">
        <v>8738</v>
      </c>
      <c r="S8740" s="59">
        <f ca="1">Dashboard!B$8* Dashboard!$F$4+Dashboard!B$10*SQRT(Dashboard!$F$4) * _xlfn.NORM.S.INV(RAND())</f>
        <v>-3.7048753870979586E-3</v>
      </c>
      <c r="T8740" s="59">
        <f ca="1">Dashboard!C$8* Dashboard!$F$4+Dashboard!C$10*SQRT(Dashboard!$F$4) * _xlfn.NORM.S.INV(RAND())</f>
        <v>2.0628332343576906E-2</v>
      </c>
      <c r="U8740" s="59">
        <f ca="1">Dashboard!D$8* Dashboard!$F$4+Dashboard!D$10*SQRT(Dashboard!$F$4) * _xlfn.NORM.S.INV(RAND())</f>
        <v>-1.6549145178240403E-2</v>
      </c>
    </row>
    <row r="8741" spans="18:21" x14ac:dyDescent="0.2">
      <c r="R8741" s="49">
        <v>8739</v>
      </c>
      <c r="S8741" s="59">
        <f ca="1">Dashboard!B$8* Dashboard!$F$4+Dashboard!B$10*SQRT(Dashboard!$F$4) * _xlfn.NORM.S.INV(RAND())</f>
        <v>-6.9634276132037034E-3</v>
      </c>
      <c r="T8741" s="59">
        <f ca="1">Dashboard!C$8* Dashboard!$F$4+Dashboard!C$10*SQRT(Dashboard!$F$4) * _xlfn.NORM.S.INV(RAND())</f>
        <v>9.6731622717662058E-3</v>
      </c>
      <c r="U8741" s="59">
        <f ca="1">Dashboard!D$8* Dashboard!$F$4+Dashboard!D$10*SQRT(Dashboard!$F$4) * _xlfn.NORM.S.INV(RAND())</f>
        <v>-1.8899212867299231E-2</v>
      </c>
    </row>
    <row r="8742" spans="18:21" x14ac:dyDescent="0.2">
      <c r="R8742" s="49">
        <v>8740</v>
      </c>
      <c r="S8742" s="59">
        <f ca="1">Dashboard!B$8* Dashboard!$F$4+Dashboard!B$10*SQRT(Dashboard!$F$4) * _xlfn.NORM.S.INV(RAND())</f>
        <v>2.4104222973972342E-2</v>
      </c>
      <c r="T8742" s="59">
        <f ca="1">Dashboard!C$8* Dashboard!$F$4+Dashboard!C$10*SQRT(Dashboard!$F$4) * _xlfn.NORM.S.INV(RAND())</f>
        <v>2.2715633885070509E-2</v>
      </c>
      <c r="U8742" s="59">
        <f ca="1">Dashboard!D$8* Dashboard!$F$4+Dashboard!D$10*SQRT(Dashboard!$F$4) * _xlfn.NORM.S.INV(RAND())</f>
        <v>-8.0907484093477935E-2</v>
      </c>
    </row>
    <row r="8743" spans="18:21" x14ac:dyDescent="0.2">
      <c r="R8743" s="49">
        <v>8741</v>
      </c>
      <c r="S8743" s="59">
        <f ca="1">Dashboard!B$8* Dashboard!$F$4+Dashboard!B$10*SQRT(Dashboard!$F$4) * _xlfn.NORM.S.INV(RAND())</f>
        <v>-2.41668410156724E-3</v>
      </c>
      <c r="T8743" s="59">
        <f ca="1">Dashboard!C$8* Dashboard!$F$4+Dashboard!C$10*SQRT(Dashboard!$F$4) * _xlfn.NORM.S.INV(RAND())</f>
        <v>3.5851131102453054E-2</v>
      </c>
      <c r="U8743" s="59">
        <f ca="1">Dashboard!D$8* Dashboard!$F$4+Dashboard!D$10*SQRT(Dashboard!$F$4) * _xlfn.NORM.S.INV(RAND())</f>
        <v>1.6667352203090938E-3</v>
      </c>
    </row>
    <row r="8744" spans="18:21" x14ac:dyDescent="0.2">
      <c r="R8744" s="49">
        <v>8742</v>
      </c>
      <c r="S8744" s="59">
        <f ca="1">Dashboard!B$8* Dashboard!$F$4+Dashboard!B$10*SQRT(Dashboard!$F$4) * _xlfn.NORM.S.INV(RAND())</f>
        <v>1.9086956156726599E-2</v>
      </c>
      <c r="T8744" s="59">
        <f ca="1">Dashboard!C$8* Dashboard!$F$4+Dashboard!C$10*SQRT(Dashboard!$F$4) * _xlfn.NORM.S.INV(RAND())</f>
        <v>4.9833813780307303E-2</v>
      </c>
      <c r="U8744" s="59">
        <f ca="1">Dashboard!D$8* Dashboard!$F$4+Dashboard!D$10*SQRT(Dashboard!$F$4) * _xlfn.NORM.S.INV(RAND())</f>
        <v>5.0144697859214722E-2</v>
      </c>
    </row>
    <row r="8745" spans="18:21" x14ac:dyDescent="0.2">
      <c r="R8745" s="49">
        <v>8743</v>
      </c>
      <c r="S8745" s="59">
        <f ca="1">Dashboard!B$8* Dashboard!$F$4+Dashboard!B$10*SQRT(Dashboard!$F$4) * _xlfn.NORM.S.INV(RAND())</f>
        <v>-2.0062812575114497E-2</v>
      </c>
      <c r="T8745" s="59">
        <f ca="1">Dashboard!C$8* Dashboard!$F$4+Dashboard!C$10*SQRT(Dashboard!$F$4) * _xlfn.NORM.S.INV(RAND())</f>
        <v>5.3075759982220659E-2</v>
      </c>
      <c r="U8745" s="59">
        <f ca="1">Dashboard!D$8* Dashboard!$F$4+Dashboard!D$10*SQRT(Dashboard!$F$4) * _xlfn.NORM.S.INV(RAND())</f>
        <v>2.1144886511378157E-2</v>
      </c>
    </row>
    <row r="8746" spans="18:21" x14ac:dyDescent="0.2">
      <c r="R8746" s="49">
        <v>8744</v>
      </c>
      <c r="S8746" s="59">
        <f ca="1">Dashboard!B$8* Dashboard!$F$4+Dashboard!B$10*SQRT(Dashboard!$F$4) * _xlfn.NORM.S.INV(RAND())</f>
        <v>-1.7677907647414687E-2</v>
      </c>
      <c r="T8746" s="59">
        <f ca="1">Dashboard!C$8* Dashboard!$F$4+Dashboard!C$10*SQRT(Dashboard!$F$4) * _xlfn.NORM.S.INV(RAND())</f>
        <v>1.9868984517167905E-2</v>
      </c>
      <c r="U8746" s="59">
        <f ca="1">Dashboard!D$8* Dashboard!$F$4+Dashboard!D$10*SQRT(Dashboard!$F$4) * _xlfn.NORM.S.INV(RAND())</f>
        <v>2.8053597174646758E-2</v>
      </c>
    </row>
    <row r="8747" spans="18:21" x14ac:dyDescent="0.2">
      <c r="R8747" s="49">
        <v>8745</v>
      </c>
      <c r="S8747" s="59">
        <f ca="1">Dashboard!B$8* Dashboard!$F$4+Dashboard!B$10*SQRT(Dashboard!$F$4) * _xlfn.NORM.S.INV(RAND())</f>
        <v>2.1075057795600545E-2</v>
      </c>
      <c r="T8747" s="59">
        <f ca="1">Dashboard!C$8* Dashboard!$F$4+Dashboard!C$10*SQRT(Dashboard!$F$4) * _xlfn.NORM.S.INV(RAND())</f>
        <v>-2.8809307429137915E-4</v>
      </c>
      <c r="U8747" s="59">
        <f ca="1">Dashboard!D$8* Dashboard!$F$4+Dashboard!D$10*SQRT(Dashboard!$F$4) * _xlfn.NORM.S.INV(RAND())</f>
        <v>3.11132234167295E-2</v>
      </c>
    </row>
    <row r="8748" spans="18:21" x14ac:dyDescent="0.2">
      <c r="R8748" s="49">
        <v>8746</v>
      </c>
      <c r="S8748" s="59">
        <f ca="1">Dashboard!B$8* Dashboard!$F$4+Dashboard!B$10*SQRT(Dashboard!$F$4) * _xlfn.NORM.S.INV(RAND())</f>
        <v>-4.9180172066657132E-2</v>
      </c>
      <c r="T8748" s="59">
        <f ca="1">Dashboard!C$8* Dashboard!$F$4+Dashboard!C$10*SQRT(Dashboard!$F$4) * _xlfn.NORM.S.INV(RAND())</f>
        <v>3.9450754744267168E-3</v>
      </c>
      <c r="U8748" s="59">
        <f ca="1">Dashboard!D$8* Dashboard!$F$4+Dashboard!D$10*SQRT(Dashboard!$F$4) * _xlfn.NORM.S.INV(RAND())</f>
        <v>-5.707934856582963E-3</v>
      </c>
    </row>
    <row r="8749" spans="18:21" x14ac:dyDescent="0.2">
      <c r="R8749" s="49">
        <v>8747</v>
      </c>
      <c r="S8749" s="59">
        <f ca="1">Dashboard!B$8* Dashboard!$F$4+Dashboard!B$10*SQRT(Dashboard!$F$4) * _xlfn.NORM.S.INV(RAND())</f>
        <v>1.2651001507175271E-2</v>
      </c>
      <c r="T8749" s="59">
        <f ca="1">Dashboard!C$8* Dashboard!$F$4+Dashboard!C$10*SQRT(Dashboard!$F$4) * _xlfn.NORM.S.INV(RAND())</f>
        <v>5.1849760387900894E-2</v>
      </c>
      <c r="U8749" s="59">
        <f ca="1">Dashboard!D$8* Dashboard!$F$4+Dashboard!D$10*SQRT(Dashboard!$F$4) * _xlfn.NORM.S.INV(RAND())</f>
        <v>1.6083683934752121E-2</v>
      </c>
    </row>
    <row r="8750" spans="18:21" x14ac:dyDescent="0.2">
      <c r="R8750" s="49">
        <v>8748</v>
      </c>
      <c r="S8750" s="59">
        <f ca="1">Dashboard!B$8* Dashboard!$F$4+Dashboard!B$10*SQRT(Dashboard!$F$4) * _xlfn.NORM.S.INV(RAND())</f>
        <v>-4.8624498048575278E-2</v>
      </c>
      <c r="T8750" s="59">
        <f ca="1">Dashboard!C$8* Dashboard!$F$4+Dashboard!C$10*SQRT(Dashboard!$F$4) * _xlfn.NORM.S.INV(RAND())</f>
        <v>2.9898494961623959E-2</v>
      </c>
      <c r="U8750" s="59">
        <f ca="1">Dashboard!D$8* Dashboard!$F$4+Dashboard!D$10*SQRT(Dashboard!$F$4) * _xlfn.NORM.S.INV(RAND())</f>
        <v>9.4924725121922331E-3</v>
      </c>
    </row>
    <row r="8751" spans="18:21" x14ac:dyDescent="0.2">
      <c r="R8751" s="49">
        <v>8749</v>
      </c>
      <c r="S8751" s="59">
        <f ca="1">Dashboard!B$8* Dashboard!$F$4+Dashboard!B$10*SQRT(Dashboard!$F$4) * _xlfn.NORM.S.INV(RAND())</f>
        <v>-2.1583716404684122E-2</v>
      </c>
      <c r="T8751" s="59">
        <f ca="1">Dashboard!C$8* Dashboard!$F$4+Dashboard!C$10*SQRT(Dashboard!$F$4) * _xlfn.NORM.S.INV(RAND())</f>
        <v>1.413704112604499E-2</v>
      </c>
      <c r="U8751" s="59">
        <f ca="1">Dashboard!D$8* Dashboard!$F$4+Dashboard!D$10*SQRT(Dashboard!$F$4) * _xlfn.NORM.S.INV(RAND())</f>
        <v>4.3922638566809377E-2</v>
      </c>
    </row>
    <row r="8752" spans="18:21" x14ac:dyDescent="0.2">
      <c r="R8752" s="49">
        <v>8750</v>
      </c>
      <c r="S8752" s="59">
        <f ca="1">Dashboard!B$8* Dashboard!$F$4+Dashboard!B$10*SQRT(Dashboard!$F$4) * _xlfn.NORM.S.INV(RAND())</f>
        <v>3.4884252519350185E-2</v>
      </c>
      <c r="T8752" s="59">
        <f ca="1">Dashboard!C$8* Dashboard!$F$4+Dashboard!C$10*SQRT(Dashboard!$F$4) * _xlfn.NORM.S.INV(RAND())</f>
        <v>5.7727162380205935E-2</v>
      </c>
      <c r="U8752" s="59">
        <f ca="1">Dashboard!D$8* Dashboard!$F$4+Dashboard!D$10*SQRT(Dashboard!$F$4) * _xlfn.NORM.S.INV(RAND())</f>
        <v>6.2719624194507398E-2</v>
      </c>
    </row>
    <row r="8753" spans="18:21" x14ac:dyDescent="0.2">
      <c r="R8753" s="49">
        <v>8751</v>
      </c>
      <c r="S8753" s="59">
        <f ca="1">Dashboard!B$8* Dashboard!$F$4+Dashboard!B$10*SQRT(Dashboard!$F$4) * _xlfn.NORM.S.INV(RAND())</f>
        <v>-1.7677370890316575E-2</v>
      </c>
      <c r="T8753" s="59">
        <f ca="1">Dashboard!C$8* Dashboard!$F$4+Dashboard!C$10*SQRT(Dashboard!$F$4) * _xlfn.NORM.S.INV(RAND())</f>
        <v>4.6114166574172603E-2</v>
      </c>
      <c r="U8753" s="59">
        <f ca="1">Dashboard!D$8* Dashboard!$F$4+Dashboard!D$10*SQRT(Dashboard!$F$4) * _xlfn.NORM.S.INV(RAND())</f>
        <v>3.5079640861827785E-3</v>
      </c>
    </row>
    <row r="8754" spans="18:21" x14ac:dyDescent="0.2">
      <c r="R8754" s="49">
        <v>8752</v>
      </c>
      <c r="S8754" s="59">
        <f ca="1">Dashboard!B$8* Dashboard!$F$4+Dashboard!B$10*SQRT(Dashboard!$F$4) * _xlfn.NORM.S.INV(RAND())</f>
        <v>-4.8491832361197383E-2</v>
      </c>
      <c r="T8754" s="59">
        <f ca="1">Dashboard!C$8* Dashboard!$F$4+Dashboard!C$10*SQRT(Dashboard!$F$4) * _xlfn.NORM.S.INV(RAND())</f>
        <v>-8.3897951208818072E-2</v>
      </c>
      <c r="U8754" s="59">
        <f ca="1">Dashboard!D$8* Dashboard!$F$4+Dashboard!D$10*SQRT(Dashboard!$F$4) * _xlfn.NORM.S.INV(RAND())</f>
        <v>5.1510365977017032E-2</v>
      </c>
    </row>
    <row r="8755" spans="18:21" x14ac:dyDescent="0.2">
      <c r="R8755" s="49">
        <v>8753</v>
      </c>
      <c r="S8755" s="59">
        <f ca="1">Dashboard!B$8* Dashboard!$F$4+Dashboard!B$10*SQRT(Dashboard!$F$4) * _xlfn.NORM.S.INV(RAND())</f>
        <v>-1.0490410784764644E-2</v>
      </c>
      <c r="T8755" s="59">
        <f ca="1">Dashboard!C$8* Dashboard!$F$4+Dashboard!C$10*SQRT(Dashboard!$F$4) * _xlfn.NORM.S.INV(RAND())</f>
        <v>-1.9221516693167635E-2</v>
      </c>
      <c r="U8755" s="59">
        <f ca="1">Dashboard!D$8* Dashboard!$F$4+Dashboard!D$10*SQRT(Dashboard!$F$4) * _xlfn.NORM.S.INV(RAND())</f>
        <v>-8.8713691198895458E-4</v>
      </c>
    </row>
    <row r="8756" spans="18:21" x14ac:dyDescent="0.2">
      <c r="R8756" s="49">
        <v>8754</v>
      </c>
      <c r="S8756" s="59">
        <f ca="1">Dashboard!B$8* Dashboard!$F$4+Dashboard!B$10*SQRT(Dashboard!$F$4) * _xlfn.NORM.S.INV(RAND())</f>
        <v>-5.8897842768633399E-3</v>
      </c>
      <c r="T8756" s="59">
        <f ca="1">Dashboard!C$8* Dashboard!$F$4+Dashboard!C$10*SQRT(Dashboard!$F$4) * _xlfn.NORM.S.INV(RAND())</f>
        <v>2.7029992189680576E-2</v>
      </c>
      <c r="U8756" s="59">
        <f ca="1">Dashboard!D$8* Dashboard!$F$4+Dashboard!D$10*SQRT(Dashboard!$F$4) * _xlfn.NORM.S.INV(RAND())</f>
        <v>6.9937300010227354E-4</v>
      </c>
    </row>
    <row r="8757" spans="18:21" x14ac:dyDescent="0.2">
      <c r="R8757" s="49">
        <v>8755</v>
      </c>
      <c r="S8757" s="59">
        <f ca="1">Dashboard!B$8* Dashboard!$F$4+Dashboard!B$10*SQRT(Dashboard!$F$4) * _xlfn.NORM.S.INV(RAND())</f>
        <v>2.7167191501506933E-2</v>
      </c>
      <c r="T8757" s="59">
        <f ca="1">Dashboard!C$8* Dashboard!$F$4+Dashboard!C$10*SQRT(Dashboard!$F$4) * _xlfn.NORM.S.INV(RAND())</f>
        <v>-2.0616272198833389E-2</v>
      </c>
      <c r="U8757" s="59">
        <f ca="1">Dashboard!D$8* Dashboard!$F$4+Dashboard!D$10*SQRT(Dashboard!$F$4) * _xlfn.NORM.S.INV(RAND())</f>
        <v>2.7478486355022338E-2</v>
      </c>
    </row>
    <row r="8758" spans="18:21" x14ac:dyDescent="0.2">
      <c r="R8758" s="49">
        <v>8756</v>
      </c>
      <c r="S8758" s="59">
        <f ca="1">Dashboard!B$8* Dashboard!$F$4+Dashboard!B$10*SQRT(Dashboard!$F$4) * _xlfn.NORM.S.INV(RAND())</f>
        <v>-3.0003753788529004E-3</v>
      </c>
      <c r="T8758" s="59">
        <f ca="1">Dashboard!C$8* Dashboard!$F$4+Dashboard!C$10*SQRT(Dashboard!$F$4) * _xlfn.NORM.S.INV(RAND())</f>
        <v>-3.7792798368962634E-2</v>
      </c>
      <c r="U8758" s="59">
        <f ca="1">Dashboard!D$8* Dashboard!$F$4+Dashboard!D$10*SQRT(Dashboard!$F$4) * _xlfn.NORM.S.INV(RAND())</f>
        <v>-1.1895553665905719E-2</v>
      </c>
    </row>
    <row r="8759" spans="18:21" x14ac:dyDescent="0.2">
      <c r="R8759" s="49">
        <v>8757</v>
      </c>
      <c r="S8759" s="59">
        <f ca="1">Dashboard!B$8* Dashboard!$F$4+Dashboard!B$10*SQRT(Dashboard!$F$4) * _xlfn.NORM.S.INV(RAND())</f>
        <v>5.5876684840561724E-3</v>
      </c>
      <c r="T8759" s="59">
        <f ca="1">Dashboard!C$8* Dashboard!$F$4+Dashboard!C$10*SQRT(Dashboard!$F$4) * _xlfn.NORM.S.INV(RAND())</f>
        <v>-1.6812298473753092E-2</v>
      </c>
      <c r="U8759" s="59">
        <f ca="1">Dashboard!D$8* Dashboard!$F$4+Dashboard!D$10*SQRT(Dashboard!$F$4) * _xlfn.NORM.S.INV(RAND())</f>
        <v>-5.8311398829560178E-2</v>
      </c>
    </row>
    <row r="8760" spans="18:21" x14ac:dyDescent="0.2">
      <c r="R8760" s="49">
        <v>8758</v>
      </c>
      <c r="S8760" s="59">
        <f ca="1">Dashboard!B$8* Dashboard!$F$4+Dashboard!B$10*SQRT(Dashboard!$F$4) * _xlfn.NORM.S.INV(RAND())</f>
        <v>3.0640379489005075E-2</v>
      </c>
      <c r="T8760" s="59">
        <f ca="1">Dashboard!C$8* Dashboard!$F$4+Dashboard!C$10*SQRT(Dashboard!$F$4) * _xlfn.NORM.S.INV(RAND())</f>
        <v>8.2758207130678635E-2</v>
      </c>
      <c r="U8760" s="59">
        <f ca="1">Dashboard!D$8* Dashboard!$F$4+Dashboard!D$10*SQRT(Dashboard!$F$4) * _xlfn.NORM.S.INV(RAND())</f>
        <v>6.653749675800695E-2</v>
      </c>
    </row>
    <row r="8761" spans="18:21" x14ac:dyDescent="0.2">
      <c r="R8761" s="49">
        <v>8759</v>
      </c>
      <c r="S8761" s="59">
        <f ca="1">Dashboard!B$8* Dashboard!$F$4+Dashboard!B$10*SQRT(Dashboard!$F$4) * _xlfn.NORM.S.INV(RAND())</f>
        <v>-4.5851696254947873E-2</v>
      </c>
      <c r="T8761" s="59">
        <f ca="1">Dashboard!C$8* Dashboard!$F$4+Dashboard!C$10*SQRT(Dashboard!$F$4) * _xlfn.NORM.S.INV(RAND())</f>
        <v>-8.8619131829514822E-2</v>
      </c>
      <c r="U8761" s="59">
        <f ca="1">Dashboard!D$8* Dashboard!$F$4+Dashboard!D$10*SQRT(Dashboard!$F$4) * _xlfn.NORM.S.INV(RAND())</f>
        <v>-1.0484025725898695E-2</v>
      </c>
    </row>
    <row r="8762" spans="18:21" x14ac:dyDescent="0.2">
      <c r="R8762" s="49">
        <v>8760</v>
      </c>
      <c r="S8762" s="59">
        <f ca="1">Dashboard!B$8* Dashboard!$F$4+Dashboard!B$10*SQRT(Dashboard!$F$4) * _xlfn.NORM.S.INV(RAND())</f>
        <v>-2.7551705488150093E-2</v>
      </c>
      <c r="T8762" s="59">
        <f ca="1">Dashboard!C$8* Dashboard!$F$4+Dashboard!C$10*SQRT(Dashboard!$F$4) * _xlfn.NORM.S.INV(RAND())</f>
        <v>8.7495589505070422E-3</v>
      </c>
      <c r="U8762" s="59">
        <f ca="1">Dashboard!D$8* Dashboard!$F$4+Dashboard!D$10*SQRT(Dashboard!$F$4) * _xlfn.NORM.S.INV(RAND())</f>
        <v>3.2994621435083631E-2</v>
      </c>
    </row>
    <row r="8763" spans="18:21" x14ac:dyDescent="0.2">
      <c r="R8763" s="49">
        <v>8761</v>
      </c>
      <c r="S8763" s="59">
        <f ca="1">Dashboard!B$8* Dashboard!$F$4+Dashboard!B$10*SQRT(Dashboard!$F$4) * _xlfn.NORM.S.INV(RAND())</f>
        <v>-2.789647987629236E-2</v>
      </c>
      <c r="T8763" s="59">
        <f ca="1">Dashboard!C$8* Dashboard!$F$4+Dashboard!C$10*SQRT(Dashboard!$F$4) * _xlfn.NORM.S.INV(RAND())</f>
        <v>-6.7456343681134732E-3</v>
      </c>
      <c r="U8763" s="59">
        <f ca="1">Dashboard!D$8* Dashboard!$F$4+Dashboard!D$10*SQRT(Dashboard!$F$4) * _xlfn.NORM.S.INV(RAND())</f>
        <v>-6.7676363989781505E-3</v>
      </c>
    </row>
    <row r="8764" spans="18:21" x14ac:dyDescent="0.2">
      <c r="R8764" s="49">
        <v>8762</v>
      </c>
      <c r="S8764" s="59">
        <f ca="1">Dashboard!B$8* Dashboard!$F$4+Dashboard!B$10*SQRT(Dashboard!$F$4) * _xlfn.NORM.S.INV(RAND())</f>
        <v>2.6401797492549228E-2</v>
      </c>
      <c r="T8764" s="59">
        <f ca="1">Dashboard!C$8* Dashboard!$F$4+Dashboard!C$10*SQRT(Dashboard!$F$4) * _xlfn.NORM.S.INV(RAND())</f>
        <v>2.9469478254769092E-2</v>
      </c>
      <c r="U8764" s="59">
        <f ca="1">Dashboard!D$8* Dashboard!$F$4+Dashboard!D$10*SQRT(Dashboard!$F$4) * _xlfn.NORM.S.INV(RAND())</f>
        <v>4.3174146817397008E-2</v>
      </c>
    </row>
    <row r="8765" spans="18:21" x14ac:dyDescent="0.2">
      <c r="R8765" s="49">
        <v>8763</v>
      </c>
      <c r="S8765" s="59">
        <f ca="1">Dashboard!B$8* Dashboard!$F$4+Dashboard!B$10*SQRT(Dashboard!$F$4) * _xlfn.NORM.S.INV(RAND())</f>
        <v>8.4453117516321528E-3</v>
      </c>
      <c r="T8765" s="59">
        <f ca="1">Dashboard!C$8* Dashboard!$F$4+Dashboard!C$10*SQRT(Dashboard!$F$4) * _xlfn.NORM.S.INV(RAND())</f>
        <v>-3.7282399095954016E-2</v>
      </c>
      <c r="U8765" s="59">
        <f ca="1">Dashboard!D$8* Dashboard!$F$4+Dashboard!D$10*SQRT(Dashboard!$F$4) * _xlfn.NORM.S.INV(RAND())</f>
        <v>4.6438854445175995E-2</v>
      </c>
    </row>
    <row r="8766" spans="18:21" x14ac:dyDescent="0.2">
      <c r="R8766" s="49">
        <v>8764</v>
      </c>
      <c r="S8766" s="59">
        <f ca="1">Dashboard!B$8* Dashboard!$F$4+Dashboard!B$10*SQRT(Dashboard!$F$4) * _xlfn.NORM.S.INV(RAND())</f>
        <v>3.9135194860946715E-2</v>
      </c>
      <c r="T8766" s="59">
        <f ca="1">Dashboard!C$8* Dashboard!$F$4+Dashboard!C$10*SQRT(Dashboard!$F$4) * _xlfn.NORM.S.INV(RAND())</f>
        <v>-1.8799879162020609E-3</v>
      </c>
      <c r="U8766" s="59">
        <f ca="1">Dashboard!D$8* Dashboard!$F$4+Dashboard!D$10*SQRT(Dashboard!$F$4) * _xlfn.NORM.S.INV(RAND())</f>
        <v>1.3030241481570106E-3</v>
      </c>
    </row>
    <row r="8767" spans="18:21" x14ac:dyDescent="0.2">
      <c r="R8767" s="49">
        <v>8765</v>
      </c>
      <c r="S8767" s="59">
        <f ca="1">Dashboard!B$8* Dashboard!$F$4+Dashboard!B$10*SQRT(Dashboard!$F$4) * _xlfn.NORM.S.INV(RAND())</f>
        <v>-1.8541332413017367E-2</v>
      </c>
      <c r="T8767" s="59">
        <f ca="1">Dashboard!C$8* Dashboard!$F$4+Dashboard!C$10*SQRT(Dashboard!$F$4) * _xlfn.NORM.S.INV(RAND())</f>
        <v>3.778896104631832E-2</v>
      </c>
      <c r="U8767" s="59">
        <f ca="1">Dashboard!D$8* Dashboard!$F$4+Dashboard!D$10*SQRT(Dashboard!$F$4) * _xlfn.NORM.S.INV(RAND())</f>
        <v>2.4938613370979468E-2</v>
      </c>
    </row>
    <row r="8768" spans="18:21" x14ac:dyDescent="0.2">
      <c r="R8768" s="49">
        <v>8766</v>
      </c>
      <c r="S8768" s="59">
        <f ca="1">Dashboard!B$8* Dashboard!$F$4+Dashboard!B$10*SQRT(Dashboard!$F$4) * _xlfn.NORM.S.INV(RAND())</f>
        <v>2.0907538603200097E-2</v>
      </c>
      <c r="T8768" s="59">
        <f ca="1">Dashboard!C$8* Dashboard!$F$4+Dashboard!C$10*SQRT(Dashboard!$F$4) * _xlfn.NORM.S.INV(RAND())</f>
        <v>-1.2020815616559946E-2</v>
      </c>
      <c r="U8768" s="59">
        <f ca="1">Dashboard!D$8* Dashboard!$F$4+Dashboard!D$10*SQRT(Dashboard!$F$4) * _xlfn.NORM.S.INV(RAND())</f>
        <v>6.109543415292849E-3</v>
      </c>
    </row>
    <row r="8769" spans="18:21" x14ac:dyDescent="0.2">
      <c r="R8769" s="49">
        <v>8767</v>
      </c>
      <c r="S8769" s="59">
        <f ca="1">Dashboard!B$8* Dashboard!$F$4+Dashboard!B$10*SQRT(Dashboard!$F$4) * _xlfn.NORM.S.INV(RAND())</f>
        <v>1.3429424678136981E-2</v>
      </c>
      <c r="T8769" s="59">
        <f ca="1">Dashboard!C$8* Dashboard!$F$4+Dashboard!C$10*SQRT(Dashboard!$F$4) * _xlfn.NORM.S.INV(RAND())</f>
        <v>2.2447232816710769E-2</v>
      </c>
      <c r="U8769" s="59">
        <f ca="1">Dashboard!D$8* Dashboard!$F$4+Dashboard!D$10*SQRT(Dashboard!$F$4) * _xlfn.NORM.S.INV(RAND())</f>
        <v>-3.4874056202963896E-2</v>
      </c>
    </row>
    <row r="8770" spans="18:21" x14ac:dyDescent="0.2">
      <c r="R8770" s="49">
        <v>8768</v>
      </c>
      <c r="S8770" s="59">
        <f ca="1">Dashboard!B$8* Dashboard!$F$4+Dashboard!B$10*SQRT(Dashboard!$F$4) * _xlfn.NORM.S.INV(RAND())</f>
        <v>-2.8057643954214111E-2</v>
      </c>
      <c r="T8770" s="59">
        <f ca="1">Dashboard!C$8* Dashboard!$F$4+Dashboard!C$10*SQRT(Dashboard!$F$4) * _xlfn.NORM.S.INV(RAND())</f>
        <v>-3.4023796304107443E-2</v>
      </c>
      <c r="U8770" s="59">
        <f ca="1">Dashboard!D$8* Dashboard!$F$4+Dashboard!D$10*SQRT(Dashboard!$F$4) * _xlfn.NORM.S.INV(RAND())</f>
        <v>4.7353580531464927E-2</v>
      </c>
    </row>
    <row r="8771" spans="18:21" x14ac:dyDescent="0.2">
      <c r="R8771" s="49">
        <v>8769</v>
      </c>
      <c r="S8771" s="59">
        <f ca="1">Dashboard!B$8* Dashboard!$F$4+Dashboard!B$10*SQRT(Dashboard!$F$4) * _xlfn.NORM.S.INV(RAND())</f>
        <v>3.0868846058342933E-2</v>
      </c>
      <c r="T8771" s="59">
        <f ca="1">Dashboard!C$8* Dashboard!$F$4+Dashboard!C$10*SQRT(Dashboard!$F$4) * _xlfn.NORM.S.INV(RAND())</f>
        <v>-4.1755892987196237E-2</v>
      </c>
      <c r="U8771" s="59">
        <f ca="1">Dashboard!D$8* Dashboard!$F$4+Dashboard!D$10*SQRT(Dashboard!$F$4) * _xlfn.NORM.S.INV(RAND())</f>
        <v>3.2129288633573012E-2</v>
      </c>
    </row>
    <row r="8772" spans="18:21" x14ac:dyDescent="0.2">
      <c r="R8772" s="49">
        <v>8770</v>
      </c>
      <c r="S8772" s="59">
        <f ca="1">Dashboard!B$8* Dashboard!$F$4+Dashboard!B$10*SQRT(Dashboard!$F$4) * _xlfn.NORM.S.INV(RAND())</f>
        <v>9.6994259584124165E-3</v>
      </c>
      <c r="T8772" s="59">
        <f ca="1">Dashboard!C$8* Dashboard!$F$4+Dashboard!C$10*SQRT(Dashboard!$F$4) * _xlfn.NORM.S.INV(RAND())</f>
        <v>-5.9442271921795617E-2</v>
      </c>
      <c r="U8772" s="59">
        <f ca="1">Dashboard!D$8* Dashboard!$F$4+Dashboard!D$10*SQRT(Dashboard!$F$4) * _xlfn.NORM.S.INV(RAND())</f>
        <v>-8.9037698783256403E-3</v>
      </c>
    </row>
    <row r="8773" spans="18:21" x14ac:dyDescent="0.2">
      <c r="R8773" s="49">
        <v>8771</v>
      </c>
      <c r="S8773" s="59">
        <f ca="1">Dashboard!B$8* Dashboard!$F$4+Dashboard!B$10*SQRT(Dashboard!$F$4) * _xlfn.NORM.S.INV(RAND())</f>
        <v>-3.6262676057049865E-2</v>
      </c>
      <c r="T8773" s="59">
        <f ca="1">Dashboard!C$8* Dashboard!$F$4+Dashboard!C$10*SQRT(Dashboard!$F$4) * _xlfn.NORM.S.INV(RAND())</f>
        <v>-1.2776497034346794E-2</v>
      </c>
      <c r="U8773" s="59">
        <f ca="1">Dashboard!D$8* Dashboard!$F$4+Dashboard!D$10*SQRT(Dashboard!$F$4) * _xlfn.NORM.S.INV(RAND())</f>
        <v>-2.9503661049041313E-2</v>
      </c>
    </row>
    <row r="8774" spans="18:21" x14ac:dyDescent="0.2">
      <c r="R8774" s="49">
        <v>8772</v>
      </c>
      <c r="S8774" s="59">
        <f ca="1">Dashboard!B$8* Dashboard!$F$4+Dashboard!B$10*SQRT(Dashboard!$F$4) * _xlfn.NORM.S.INV(RAND())</f>
        <v>-9.6861076344244255E-3</v>
      </c>
      <c r="T8774" s="59">
        <f ca="1">Dashboard!C$8* Dashboard!$F$4+Dashboard!C$10*SQRT(Dashboard!$F$4) * _xlfn.NORM.S.INV(RAND())</f>
        <v>4.2181589419584192E-2</v>
      </c>
      <c r="U8774" s="59">
        <f ca="1">Dashboard!D$8* Dashboard!$F$4+Dashboard!D$10*SQRT(Dashboard!$F$4) * _xlfn.NORM.S.INV(RAND())</f>
        <v>3.0629813821718014E-3</v>
      </c>
    </row>
    <row r="8775" spans="18:21" x14ac:dyDescent="0.2">
      <c r="R8775" s="49">
        <v>8773</v>
      </c>
      <c r="S8775" s="59">
        <f ca="1">Dashboard!B$8* Dashboard!$F$4+Dashboard!B$10*SQRT(Dashboard!$F$4) * _xlfn.NORM.S.INV(RAND())</f>
        <v>5.7860342289557977E-3</v>
      </c>
      <c r="T8775" s="59">
        <f ca="1">Dashboard!C$8* Dashboard!$F$4+Dashboard!C$10*SQRT(Dashboard!$F$4) * _xlfn.NORM.S.INV(RAND())</f>
        <v>-1.300163564753759E-2</v>
      </c>
      <c r="U8775" s="59">
        <f ca="1">Dashboard!D$8* Dashboard!$F$4+Dashboard!D$10*SQRT(Dashboard!$F$4) * _xlfn.NORM.S.INV(RAND())</f>
        <v>-3.5213848238532172E-2</v>
      </c>
    </row>
    <row r="8776" spans="18:21" x14ac:dyDescent="0.2">
      <c r="R8776" s="49">
        <v>8774</v>
      </c>
      <c r="S8776" s="59">
        <f ca="1">Dashboard!B$8* Dashboard!$F$4+Dashboard!B$10*SQRT(Dashboard!$F$4) * _xlfn.NORM.S.INV(RAND())</f>
        <v>1.733455696946995E-2</v>
      </c>
      <c r="T8776" s="59">
        <f ca="1">Dashboard!C$8* Dashboard!$F$4+Dashboard!C$10*SQRT(Dashboard!$F$4) * _xlfn.NORM.S.INV(RAND())</f>
        <v>1.2258095688908432E-2</v>
      </c>
      <c r="U8776" s="59">
        <f ca="1">Dashboard!D$8* Dashboard!$F$4+Dashboard!D$10*SQRT(Dashboard!$F$4) * _xlfn.NORM.S.INV(RAND())</f>
        <v>-6.5261016822693391E-2</v>
      </c>
    </row>
    <row r="8777" spans="18:21" x14ac:dyDescent="0.2">
      <c r="R8777" s="49">
        <v>8775</v>
      </c>
      <c r="S8777" s="59">
        <f ca="1">Dashboard!B$8* Dashboard!$F$4+Dashboard!B$10*SQRT(Dashboard!$F$4) * _xlfn.NORM.S.INV(RAND())</f>
        <v>1.7169887419607996E-2</v>
      </c>
      <c r="T8777" s="59">
        <f ca="1">Dashboard!C$8* Dashboard!$F$4+Dashboard!C$10*SQRT(Dashboard!$F$4) * _xlfn.NORM.S.INV(RAND())</f>
        <v>-2.0139154260696672E-2</v>
      </c>
      <c r="U8777" s="59">
        <f ca="1">Dashboard!D$8* Dashboard!$F$4+Dashboard!D$10*SQRT(Dashboard!$F$4) * _xlfn.NORM.S.INV(RAND())</f>
        <v>7.088440088686077E-5</v>
      </c>
    </row>
    <row r="8778" spans="18:21" x14ac:dyDescent="0.2">
      <c r="R8778" s="49">
        <v>8776</v>
      </c>
      <c r="S8778" s="59">
        <f ca="1">Dashboard!B$8* Dashboard!$F$4+Dashboard!B$10*SQRT(Dashboard!$F$4) * _xlfn.NORM.S.INV(RAND())</f>
        <v>-1.3074776162371115E-2</v>
      </c>
      <c r="T8778" s="59">
        <f ca="1">Dashboard!C$8* Dashboard!$F$4+Dashboard!C$10*SQRT(Dashboard!$F$4) * _xlfn.NORM.S.INV(RAND())</f>
        <v>6.6655030524777059E-2</v>
      </c>
      <c r="U8778" s="59">
        <f ca="1">Dashboard!D$8* Dashboard!$F$4+Dashboard!D$10*SQRT(Dashboard!$F$4) * _xlfn.NORM.S.INV(RAND())</f>
        <v>-4.9422905815723533E-2</v>
      </c>
    </row>
    <row r="8779" spans="18:21" x14ac:dyDescent="0.2">
      <c r="R8779" s="49">
        <v>8777</v>
      </c>
      <c r="S8779" s="59">
        <f ca="1">Dashboard!B$8* Dashboard!$F$4+Dashboard!B$10*SQRT(Dashboard!$F$4) * _xlfn.NORM.S.INV(RAND())</f>
        <v>5.2382728015232752E-3</v>
      </c>
      <c r="T8779" s="59">
        <f ca="1">Dashboard!C$8* Dashboard!$F$4+Dashboard!C$10*SQRT(Dashboard!$F$4) * _xlfn.NORM.S.INV(RAND())</f>
        <v>-7.4816537431028049E-2</v>
      </c>
      <c r="U8779" s="59">
        <f ca="1">Dashboard!D$8* Dashboard!$F$4+Dashboard!D$10*SQRT(Dashboard!$F$4) * _xlfn.NORM.S.INV(RAND())</f>
        <v>4.0907729669486716E-3</v>
      </c>
    </row>
    <row r="8780" spans="18:21" x14ac:dyDescent="0.2">
      <c r="R8780" s="49">
        <v>8778</v>
      </c>
      <c r="S8780" s="59">
        <f ca="1">Dashboard!B$8* Dashboard!$F$4+Dashboard!B$10*SQRT(Dashboard!$F$4) * _xlfn.NORM.S.INV(RAND())</f>
        <v>-4.3426636974887217E-2</v>
      </c>
      <c r="T8780" s="59">
        <f ca="1">Dashboard!C$8* Dashboard!$F$4+Dashboard!C$10*SQRT(Dashboard!$F$4) * _xlfn.NORM.S.INV(RAND())</f>
        <v>-6.5148424859771872E-4</v>
      </c>
      <c r="U8780" s="59">
        <f ca="1">Dashboard!D$8* Dashboard!$F$4+Dashboard!D$10*SQRT(Dashboard!$F$4) * _xlfn.NORM.S.INV(RAND())</f>
        <v>3.6681274278817753E-2</v>
      </c>
    </row>
    <row r="8781" spans="18:21" x14ac:dyDescent="0.2">
      <c r="R8781" s="49">
        <v>8779</v>
      </c>
      <c r="S8781" s="59">
        <f ca="1">Dashboard!B$8* Dashboard!$F$4+Dashboard!B$10*SQRT(Dashboard!$F$4) * _xlfn.NORM.S.INV(RAND())</f>
        <v>-1.5641223161516057E-2</v>
      </c>
      <c r="T8781" s="59">
        <f ca="1">Dashboard!C$8* Dashboard!$F$4+Dashboard!C$10*SQRT(Dashboard!$F$4) * _xlfn.NORM.S.INV(RAND())</f>
        <v>2.2842529412082431E-2</v>
      </c>
      <c r="U8781" s="59">
        <f ca="1">Dashboard!D$8* Dashboard!$F$4+Dashboard!D$10*SQRT(Dashboard!$F$4) * _xlfn.NORM.S.INV(RAND())</f>
        <v>-4.9405762121218583E-2</v>
      </c>
    </row>
    <row r="8782" spans="18:21" x14ac:dyDescent="0.2">
      <c r="R8782" s="49">
        <v>8780</v>
      </c>
      <c r="S8782" s="59">
        <f ca="1">Dashboard!B$8* Dashboard!$F$4+Dashboard!B$10*SQRT(Dashboard!$F$4) * _xlfn.NORM.S.INV(RAND())</f>
        <v>-3.8483451430315785E-2</v>
      </c>
      <c r="T8782" s="59">
        <f ca="1">Dashboard!C$8* Dashboard!$F$4+Dashboard!C$10*SQRT(Dashboard!$F$4) * _xlfn.NORM.S.INV(RAND())</f>
        <v>-3.0471802480948319E-2</v>
      </c>
      <c r="U8782" s="59">
        <f ca="1">Dashboard!D$8* Dashboard!$F$4+Dashboard!D$10*SQRT(Dashboard!$F$4) * _xlfn.NORM.S.INV(RAND())</f>
        <v>1.0281043936040667E-2</v>
      </c>
    </row>
    <row r="8783" spans="18:21" x14ac:dyDescent="0.2">
      <c r="R8783" s="49">
        <v>8781</v>
      </c>
      <c r="S8783" s="59">
        <f ca="1">Dashboard!B$8* Dashboard!$F$4+Dashboard!B$10*SQRT(Dashboard!$F$4) * _xlfn.NORM.S.INV(RAND())</f>
        <v>-1.8022944345653422E-2</v>
      </c>
      <c r="T8783" s="59">
        <f ca="1">Dashboard!C$8* Dashboard!$F$4+Dashboard!C$10*SQRT(Dashboard!$F$4) * _xlfn.NORM.S.INV(RAND())</f>
        <v>2.5483716296566893E-2</v>
      </c>
      <c r="U8783" s="59">
        <f ca="1">Dashboard!D$8* Dashboard!$F$4+Dashboard!D$10*SQRT(Dashboard!$F$4) * _xlfn.NORM.S.INV(RAND())</f>
        <v>-3.0053377514509295E-3</v>
      </c>
    </row>
    <row r="8784" spans="18:21" x14ac:dyDescent="0.2">
      <c r="R8784" s="49">
        <v>8782</v>
      </c>
      <c r="S8784" s="59">
        <f ca="1">Dashboard!B$8* Dashboard!$F$4+Dashboard!B$10*SQRT(Dashboard!$F$4) * _xlfn.NORM.S.INV(RAND())</f>
        <v>-6.7724609103673346E-3</v>
      </c>
      <c r="T8784" s="59">
        <f ca="1">Dashboard!C$8* Dashboard!$F$4+Dashboard!C$10*SQRT(Dashboard!$F$4) * _xlfn.NORM.S.INV(RAND())</f>
        <v>-2.6175306246625864E-2</v>
      </c>
      <c r="U8784" s="59">
        <f ca="1">Dashboard!D$8* Dashboard!$F$4+Dashboard!D$10*SQRT(Dashboard!$F$4) * _xlfn.NORM.S.INV(RAND())</f>
        <v>1.1048183081964836E-3</v>
      </c>
    </row>
    <row r="8785" spans="18:21" x14ac:dyDescent="0.2">
      <c r="R8785" s="49">
        <v>8783</v>
      </c>
      <c r="S8785" s="59">
        <f ca="1">Dashboard!B$8* Dashboard!$F$4+Dashboard!B$10*SQRT(Dashboard!$F$4) * _xlfn.NORM.S.INV(RAND())</f>
        <v>-2.8061600658347771E-2</v>
      </c>
      <c r="T8785" s="59">
        <f ca="1">Dashboard!C$8* Dashboard!$F$4+Dashboard!C$10*SQRT(Dashboard!$F$4) * _xlfn.NORM.S.INV(RAND())</f>
        <v>2.1525774159512272E-2</v>
      </c>
      <c r="U8785" s="59">
        <f ca="1">Dashboard!D$8* Dashboard!$F$4+Dashboard!D$10*SQRT(Dashboard!$F$4) * _xlfn.NORM.S.INV(RAND())</f>
        <v>-3.3135443573297632E-2</v>
      </c>
    </row>
    <row r="8786" spans="18:21" x14ac:dyDescent="0.2">
      <c r="R8786" s="49">
        <v>8784</v>
      </c>
      <c r="S8786" s="59">
        <f ca="1">Dashboard!B$8* Dashboard!$F$4+Dashboard!B$10*SQRT(Dashboard!$F$4) * _xlfn.NORM.S.INV(RAND())</f>
        <v>1.1842188882522251E-3</v>
      </c>
      <c r="T8786" s="59">
        <f ca="1">Dashboard!C$8* Dashboard!$F$4+Dashboard!C$10*SQRT(Dashboard!$F$4) * _xlfn.NORM.S.INV(RAND())</f>
        <v>8.6625942497406044E-2</v>
      </c>
      <c r="U8786" s="59">
        <f ca="1">Dashboard!D$8* Dashboard!$F$4+Dashboard!D$10*SQRT(Dashboard!$F$4) * _xlfn.NORM.S.INV(RAND())</f>
        <v>-1.9764442994959903E-2</v>
      </c>
    </row>
    <row r="8787" spans="18:21" x14ac:dyDescent="0.2">
      <c r="R8787" s="49">
        <v>8785</v>
      </c>
      <c r="S8787" s="59">
        <f ca="1">Dashboard!B$8* Dashboard!$F$4+Dashboard!B$10*SQRT(Dashboard!$F$4) * _xlfn.NORM.S.INV(RAND())</f>
        <v>-6.8106880428921074E-2</v>
      </c>
      <c r="T8787" s="59">
        <f ca="1">Dashboard!C$8* Dashboard!$F$4+Dashboard!C$10*SQRT(Dashboard!$F$4) * _xlfn.NORM.S.INV(RAND())</f>
        <v>4.9977703620614475E-2</v>
      </c>
      <c r="U8787" s="59">
        <f ca="1">Dashboard!D$8* Dashboard!$F$4+Dashboard!D$10*SQRT(Dashboard!$F$4) * _xlfn.NORM.S.INV(RAND())</f>
        <v>-5.747738583424198E-2</v>
      </c>
    </row>
    <row r="8788" spans="18:21" x14ac:dyDescent="0.2">
      <c r="R8788" s="49">
        <v>8786</v>
      </c>
      <c r="S8788" s="59">
        <f ca="1">Dashboard!B$8* Dashboard!$F$4+Dashboard!B$10*SQRT(Dashboard!$F$4) * _xlfn.NORM.S.INV(RAND())</f>
        <v>-1.1093310188963468E-2</v>
      </c>
      <c r="T8788" s="59">
        <f ca="1">Dashboard!C$8* Dashboard!$F$4+Dashboard!C$10*SQRT(Dashboard!$F$4) * _xlfn.NORM.S.INV(RAND())</f>
        <v>-1.4452295238146964E-2</v>
      </c>
      <c r="U8788" s="59">
        <f ca="1">Dashboard!D$8* Dashboard!$F$4+Dashboard!D$10*SQRT(Dashboard!$F$4) * _xlfn.NORM.S.INV(RAND())</f>
        <v>-6.8006045680967875E-3</v>
      </c>
    </row>
    <row r="8789" spans="18:21" x14ac:dyDescent="0.2">
      <c r="R8789" s="49">
        <v>8787</v>
      </c>
      <c r="S8789" s="59">
        <f ca="1">Dashboard!B$8* Dashboard!$F$4+Dashboard!B$10*SQRT(Dashboard!$F$4) * _xlfn.NORM.S.INV(RAND())</f>
        <v>-1.1543451377541571E-2</v>
      </c>
      <c r="T8789" s="59">
        <f ca="1">Dashboard!C$8* Dashboard!$F$4+Dashboard!C$10*SQRT(Dashboard!$F$4) * _xlfn.NORM.S.INV(RAND())</f>
        <v>6.5892169694102568E-2</v>
      </c>
      <c r="U8789" s="59">
        <f ca="1">Dashboard!D$8* Dashboard!$F$4+Dashboard!D$10*SQRT(Dashboard!$F$4) * _xlfn.NORM.S.INV(RAND())</f>
        <v>-1.4742892900655384E-3</v>
      </c>
    </row>
    <row r="8790" spans="18:21" x14ac:dyDescent="0.2">
      <c r="R8790" s="49">
        <v>8788</v>
      </c>
      <c r="S8790" s="59">
        <f ca="1">Dashboard!B$8* Dashboard!$F$4+Dashboard!B$10*SQRT(Dashboard!$F$4) * _xlfn.NORM.S.INV(RAND())</f>
        <v>-9.7365346765467334E-3</v>
      </c>
      <c r="T8790" s="59">
        <f ca="1">Dashboard!C$8* Dashboard!$F$4+Dashboard!C$10*SQRT(Dashboard!$F$4) * _xlfn.NORM.S.INV(RAND())</f>
        <v>2.7236403217163599E-2</v>
      </c>
      <c r="U8790" s="59">
        <f ca="1">Dashboard!D$8* Dashboard!$F$4+Dashboard!D$10*SQRT(Dashboard!$F$4) * _xlfn.NORM.S.INV(RAND())</f>
        <v>-2.7250704039745673E-2</v>
      </c>
    </row>
    <row r="8791" spans="18:21" x14ac:dyDescent="0.2">
      <c r="R8791" s="49">
        <v>8789</v>
      </c>
      <c r="S8791" s="59">
        <f ca="1">Dashboard!B$8* Dashboard!$F$4+Dashboard!B$10*SQRT(Dashboard!$F$4) * _xlfn.NORM.S.INV(RAND())</f>
        <v>5.4157727410965202E-2</v>
      </c>
      <c r="T8791" s="59">
        <f ca="1">Dashboard!C$8* Dashboard!$F$4+Dashboard!C$10*SQRT(Dashboard!$F$4) * _xlfn.NORM.S.INV(RAND())</f>
        <v>2.5310417044138622E-2</v>
      </c>
      <c r="U8791" s="59">
        <f ca="1">Dashboard!D$8* Dashboard!$F$4+Dashboard!D$10*SQRT(Dashboard!$F$4) * _xlfn.NORM.S.INV(RAND())</f>
        <v>-3.737618325198787E-3</v>
      </c>
    </row>
    <row r="8792" spans="18:21" x14ac:dyDescent="0.2">
      <c r="R8792" s="49">
        <v>8790</v>
      </c>
      <c r="S8792" s="59">
        <f ca="1">Dashboard!B$8* Dashboard!$F$4+Dashboard!B$10*SQRT(Dashboard!$F$4) * _xlfn.NORM.S.INV(RAND())</f>
        <v>-1.1445715884828438E-2</v>
      </c>
      <c r="T8792" s="59">
        <f ca="1">Dashboard!C$8* Dashboard!$F$4+Dashboard!C$10*SQRT(Dashboard!$F$4) * _xlfn.NORM.S.INV(RAND())</f>
        <v>1.3403562447564465E-2</v>
      </c>
      <c r="U8792" s="59">
        <f ca="1">Dashboard!D$8* Dashboard!$F$4+Dashboard!D$10*SQRT(Dashboard!$F$4) * _xlfn.NORM.S.INV(RAND())</f>
        <v>-3.8411368764379561E-2</v>
      </c>
    </row>
    <row r="8793" spans="18:21" x14ac:dyDescent="0.2">
      <c r="R8793" s="49">
        <v>8791</v>
      </c>
      <c r="S8793" s="59">
        <f ca="1">Dashboard!B$8* Dashboard!$F$4+Dashboard!B$10*SQRT(Dashboard!$F$4) * _xlfn.NORM.S.INV(RAND())</f>
        <v>1.0625135103277802E-2</v>
      </c>
      <c r="T8793" s="59">
        <f ca="1">Dashboard!C$8* Dashboard!$F$4+Dashboard!C$10*SQRT(Dashboard!$F$4) * _xlfn.NORM.S.INV(RAND())</f>
        <v>-1.1731965896621895E-2</v>
      </c>
      <c r="U8793" s="59">
        <f ca="1">Dashboard!D$8* Dashboard!$F$4+Dashboard!D$10*SQRT(Dashboard!$F$4) * _xlfn.NORM.S.INV(RAND())</f>
        <v>4.6032587950389945E-3</v>
      </c>
    </row>
    <row r="8794" spans="18:21" x14ac:dyDescent="0.2">
      <c r="R8794" s="49">
        <v>8792</v>
      </c>
      <c r="S8794" s="59">
        <f ca="1">Dashboard!B$8* Dashboard!$F$4+Dashboard!B$10*SQRT(Dashboard!$F$4) * _xlfn.NORM.S.INV(RAND())</f>
        <v>-1.0641070932879394E-2</v>
      </c>
      <c r="T8794" s="59">
        <f ca="1">Dashboard!C$8* Dashboard!$F$4+Dashboard!C$10*SQRT(Dashboard!$F$4) * _xlfn.NORM.S.INV(RAND())</f>
        <v>7.3315636110223362E-4</v>
      </c>
      <c r="U8794" s="59">
        <f ca="1">Dashboard!D$8* Dashboard!$F$4+Dashboard!D$10*SQRT(Dashboard!$F$4) * _xlfn.NORM.S.INV(RAND())</f>
        <v>1.3103699441230727E-2</v>
      </c>
    </row>
    <row r="8795" spans="18:21" x14ac:dyDescent="0.2">
      <c r="R8795" s="49">
        <v>8793</v>
      </c>
      <c r="S8795" s="59">
        <f ca="1">Dashboard!B$8* Dashboard!$F$4+Dashboard!B$10*SQRT(Dashboard!$F$4) * _xlfn.NORM.S.INV(RAND())</f>
        <v>-2.4580916978057171E-2</v>
      </c>
      <c r="T8795" s="59">
        <f ca="1">Dashboard!C$8* Dashboard!$F$4+Dashboard!C$10*SQRT(Dashboard!$F$4) * _xlfn.NORM.S.INV(RAND())</f>
        <v>6.0162072543302282E-2</v>
      </c>
      <c r="U8795" s="59">
        <f ca="1">Dashboard!D$8* Dashboard!$F$4+Dashboard!D$10*SQRT(Dashboard!$F$4) * _xlfn.NORM.S.INV(RAND())</f>
        <v>-1.7979924825363539E-2</v>
      </c>
    </row>
    <row r="8796" spans="18:21" x14ac:dyDescent="0.2">
      <c r="R8796" s="49">
        <v>8794</v>
      </c>
      <c r="S8796" s="59">
        <f ca="1">Dashboard!B$8* Dashboard!$F$4+Dashboard!B$10*SQRT(Dashboard!$F$4) * _xlfn.NORM.S.INV(RAND())</f>
        <v>-3.2560433683372005E-2</v>
      </c>
      <c r="T8796" s="59">
        <f ca="1">Dashboard!C$8* Dashboard!$F$4+Dashboard!C$10*SQRT(Dashboard!$F$4) * _xlfn.NORM.S.INV(RAND())</f>
        <v>-1.3918247677433222E-2</v>
      </c>
      <c r="U8796" s="59">
        <f ca="1">Dashboard!D$8* Dashboard!$F$4+Dashboard!D$10*SQRT(Dashboard!$F$4) * _xlfn.NORM.S.INV(RAND())</f>
        <v>4.6832013753773084E-2</v>
      </c>
    </row>
    <row r="8797" spans="18:21" x14ac:dyDescent="0.2">
      <c r="R8797" s="49">
        <v>8795</v>
      </c>
      <c r="S8797" s="59">
        <f ca="1">Dashboard!B$8* Dashboard!$F$4+Dashboard!B$10*SQRT(Dashboard!$F$4) * _xlfn.NORM.S.INV(RAND())</f>
        <v>-7.2557381792487038E-3</v>
      </c>
      <c r="T8797" s="59">
        <f ca="1">Dashboard!C$8* Dashboard!$F$4+Dashboard!C$10*SQRT(Dashboard!$F$4) * _xlfn.NORM.S.INV(RAND())</f>
        <v>-3.2868089333957989E-2</v>
      </c>
      <c r="U8797" s="59">
        <f ca="1">Dashboard!D$8* Dashboard!$F$4+Dashboard!D$10*SQRT(Dashboard!$F$4) * _xlfn.NORM.S.INV(RAND())</f>
        <v>2.7499530158306414E-2</v>
      </c>
    </row>
    <row r="8798" spans="18:21" x14ac:dyDescent="0.2">
      <c r="R8798" s="49">
        <v>8796</v>
      </c>
      <c r="S8798" s="59">
        <f ca="1">Dashboard!B$8* Dashboard!$F$4+Dashboard!B$10*SQRT(Dashboard!$F$4) * _xlfn.NORM.S.INV(RAND())</f>
        <v>2.950652500387433E-2</v>
      </c>
      <c r="T8798" s="59">
        <f ca="1">Dashboard!C$8* Dashboard!$F$4+Dashboard!C$10*SQRT(Dashboard!$F$4) * _xlfn.NORM.S.INV(RAND())</f>
        <v>-1.2343967501723504E-2</v>
      </c>
      <c r="U8798" s="59">
        <f ca="1">Dashboard!D$8* Dashboard!$F$4+Dashboard!D$10*SQRT(Dashboard!$F$4) * _xlfn.NORM.S.INV(RAND())</f>
        <v>2.1757747654207227E-2</v>
      </c>
    </row>
    <row r="8799" spans="18:21" x14ac:dyDescent="0.2">
      <c r="R8799" s="49">
        <v>8797</v>
      </c>
      <c r="S8799" s="59">
        <f ca="1">Dashboard!B$8* Dashboard!$F$4+Dashboard!B$10*SQRT(Dashboard!$F$4) * _xlfn.NORM.S.INV(RAND())</f>
        <v>1.3703233296253258E-2</v>
      </c>
      <c r="T8799" s="59">
        <f ca="1">Dashboard!C$8* Dashboard!$F$4+Dashboard!C$10*SQRT(Dashboard!$F$4) * _xlfn.NORM.S.INV(RAND())</f>
        <v>-3.9006161635540132E-2</v>
      </c>
      <c r="U8799" s="59">
        <f ca="1">Dashboard!D$8* Dashboard!$F$4+Dashboard!D$10*SQRT(Dashboard!$F$4) * _xlfn.NORM.S.INV(RAND())</f>
        <v>3.2178547735247677E-2</v>
      </c>
    </row>
    <row r="8800" spans="18:21" x14ac:dyDescent="0.2">
      <c r="R8800" s="49">
        <v>8798</v>
      </c>
      <c r="S8800" s="59">
        <f ca="1">Dashboard!B$8* Dashboard!$F$4+Dashboard!B$10*SQRT(Dashboard!$F$4) * _xlfn.NORM.S.INV(RAND())</f>
        <v>2.6892740802244956E-4</v>
      </c>
      <c r="T8800" s="59">
        <f ca="1">Dashboard!C$8* Dashboard!$F$4+Dashboard!C$10*SQRT(Dashboard!$F$4) * _xlfn.NORM.S.INV(RAND())</f>
        <v>3.2378519261930985E-2</v>
      </c>
      <c r="U8800" s="59">
        <f ca="1">Dashboard!D$8* Dashboard!$F$4+Dashboard!D$10*SQRT(Dashboard!$F$4) * _xlfn.NORM.S.INV(RAND())</f>
        <v>-2.0672272542035804E-2</v>
      </c>
    </row>
    <row r="8801" spans="18:21" x14ac:dyDescent="0.2">
      <c r="R8801" s="49">
        <v>8799</v>
      </c>
      <c r="S8801" s="59">
        <f ca="1">Dashboard!B$8* Dashboard!$F$4+Dashboard!B$10*SQRT(Dashboard!$F$4) * _xlfn.NORM.S.INV(RAND())</f>
        <v>3.4009415763722878E-4</v>
      </c>
      <c r="T8801" s="59">
        <f ca="1">Dashboard!C$8* Dashboard!$F$4+Dashboard!C$10*SQRT(Dashboard!$F$4) * _xlfn.NORM.S.INV(RAND())</f>
        <v>4.1301315269172082E-3</v>
      </c>
      <c r="U8801" s="59">
        <f ca="1">Dashboard!D$8* Dashboard!$F$4+Dashboard!D$10*SQRT(Dashboard!$F$4) * _xlfn.NORM.S.INV(RAND())</f>
        <v>-2.8075684400436E-2</v>
      </c>
    </row>
    <row r="8802" spans="18:21" x14ac:dyDescent="0.2">
      <c r="R8802" s="49">
        <v>8800</v>
      </c>
      <c r="S8802" s="59">
        <f ca="1">Dashboard!B$8* Dashboard!$F$4+Dashboard!B$10*SQRT(Dashboard!$F$4) * _xlfn.NORM.S.INV(RAND())</f>
        <v>3.1677210654894879E-2</v>
      </c>
      <c r="T8802" s="59">
        <f ca="1">Dashboard!C$8* Dashboard!$F$4+Dashboard!C$10*SQRT(Dashboard!$F$4) * _xlfn.NORM.S.INV(RAND())</f>
        <v>-3.23351957402878E-3</v>
      </c>
      <c r="U8802" s="59">
        <f ca="1">Dashboard!D$8* Dashboard!$F$4+Dashboard!D$10*SQRT(Dashboard!$F$4) * _xlfn.NORM.S.INV(RAND())</f>
        <v>1.7560983486396675E-2</v>
      </c>
    </row>
    <row r="8803" spans="18:21" x14ac:dyDescent="0.2">
      <c r="R8803" s="49">
        <v>8801</v>
      </c>
      <c r="S8803" s="59">
        <f ca="1">Dashboard!B$8* Dashboard!$F$4+Dashboard!B$10*SQRT(Dashboard!$F$4) * _xlfn.NORM.S.INV(RAND())</f>
        <v>5.2313445728829476E-2</v>
      </c>
      <c r="T8803" s="59">
        <f ca="1">Dashboard!C$8* Dashboard!$F$4+Dashboard!C$10*SQRT(Dashboard!$F$4) * _xlfn.NORM.S.INV(RAND())</f>
        <v>1.4795393131067622E-2</v>
      </c>
      <c r="U8803" s="59">
        <f ca="1">Dashboard!D$8* Dashboard!$F$4+Dashboard!D$10*SQRT(Dashboard!$F$4) * _xlfn.NORM.S.INV(RAND())</f>
        <v>-3.6495686233659244E-2</v>
      </c>
    </row>
    <row r="8804" spans="18:21" x14ac:dyDescent="0.2">
      <c r="R8804" s="49">
        <v>8802</v>
      </c>
      <c r="S8804" s="59">
        <f ca="1">Dashboard!B$8* Dashboard!$F$4+Dashboard!B$10*SQRT(Dashboard!$F$4) * _xlfn.NORM.S.INV(RAND())</f>
        <v>-1.3287969344504495E-2</v>
      </c>
      <c r="T8804" s="59">
        <f ca="1">Dashboard!C$8* Dashboard!$F$4+Dashboard!C$10*SQRT(Dashboard!$F$4) * _xlfn.NORM.S.INV(RAND())</f>
        <v>2.3471095186125678E-2</v>
      </c>
      <c r="U8804" s="59">
        <f ca="1">Dashboard!D$8* Dashboard!$F$4+Dashboard!D$10*SQRT(Dashboard!$F$4) * _xlfn.NORM.S.INV(RAND())</f>
        <v>-3.0137803200171412E-2</v>
      </c>
    </row>
    <row r="8805" spans="18:21" x14ac:dyDescent="0.2">
      <c r="R8805" s="49">
        <v>8803</v>
      </c>
      <c r="S8805" s="59">
        <f ca="1">Dashboard!B$8* Dashboard!$F$4+Dashboard!B$10*SQRT(Dashboard!$F$4) * _xlfn.NORM.S.INV(RAND())</f>
        <v>8.5565863269402402E-3</v>
      </c>
      <c r="T8805" s="59">
        <f ca="1">Dashboard!C$8* Dashboard!$F$4+Dashboard!C$10*SQRT(Dashboard!$F$4) * _xlfn.NORM.S.INV(RAND())</f>
        <v>3.8485187611588978E-2</v>
      </c>
      <c r="U8805" s="59">
        <f ca="1">Dashboard!D$8* Dashboard!$F$4+Dashboard!D$10*SQRT(Dashboard!$F$4) * _xlfn.NORM.S.INV(RAND())</f>
        <v>-1.7434289618705901E-2</v>
      </c>
    </row>
    <row r="8806" spans="18:21" x14ac:dyDescent="0.2">
      <c r="R8806" s="49">
        <v>8804</v>
      </c>
      <c r="S8806" s="59">
        <f ca="1">Dashboard!B$8* Dashboard!$F$4+Dashboard!B$10*SQRT(Dashboard!$F$4) * _xlfn.NORM.S.INV(RAND())</f>
        <v>-1.5629745364873729E-2</v>
      </c>
      <c r="T8806" s="59">
        <f ca="1">Dashboard!C$8* Dashboard!$F$4+Dashboard!C$10*SQRT(Dashboard!$F$4) * _xlfn.NORM.S.INV(RAND())</f>
        <v>2.6856642048437764E-2</v>
      </c>
      <c r="U8806" s="59">
        <f ca="1">Dashboard!D$8* Dashboard!$F$4+Dashboard!D$10*SQRT(Dashboard!$F$4) * _xlfn.NORM.S.INV(RAND())</f>
        <v>1.3402007931462205E-2</v>
      </c>
    </row>
    <row r="8807" spans="18:21" x14ac:dyDescent="0.2">
      <c r="R8807" s="49">
        <v>8805</v>
      </c>
      <c r="S8807" s="59">
        <f ca="1">Dashboard!B$8* Dashboard!$F$4+Dashboard!B$10*SQRT(Dashboard!$F$4) * _xlfn.NORM.S.INV(RAND())</f>
        <v>1.0508116048578521E-2</v>
      </c>
      <c r="T8807" s="59">
        <f ca="1">Dashboard!C$8* Dashboard!$F$4+Dashboard!C$10*SQRT(Dashboard!$F$4) * _xlfn.NORM.S.INV(RAND())</f>
        <v>-7.1007893521996259E-3</v>
      </c>
      <c r="U8807" s="59">
        <f ca="1">Dashboard!D$8* Dashboard!$F$4+Dashboard!D$10*SQRT(Dashboard!$F$4) * _xlfn.NORM.S.INV(RAND())</f>
        <v>1.0172473857046581E-2</v>
      </c>
    </row>
    <row r="8808" spans="18:21" x14ac:dyDescent="0.2">
      <c r="R8808" s="49">
        <v>8806</v>
      </c>
      <c r="S8808" s="59">
        <f ca="1">Dashboard!B$8* Dashboard!$F$4+Dashboard!B$10*SQRT(Dashboard!$F$4) * _xlfn.NORM.S.INV(RAND())</f>
        <v>1.9802466464550562E-2</v>
      </c>
      <c r="T8808" s="59">
        <f ca="1">Dashboard!C$8* Dashboard!$F$4+Dashboard!C$10*SQRT(Dashboard!$F$4) * _xlfn.NORM.S.INV(RAND())</f>
        <v>1.9929969712409758E-2</v>
      </c>
      <c r="U8808" s="59">
        <f ca="1">Dashboard!D$8* Dashboard!$F$4+Dashboard!D$10*SQRT(Dashboard!$F$4) * _xlfn.NORM.S.INV(RAND())</f>
        <v>1.1906126753737702E-2</v>
      </c>
    </row>
    <row r="8809" spans="18:21" x14ac:dyDescent="0.2">
      <c r="R8809" s="49">
        <v>8807</v>
      </c>
      <c r="S8809" s="59">
        <f ca="1">Dashboard!B$8* Dashboard!$F$4+Dashboard!B$10*SQRT(Dashboard!$F$4) * _xlfn.NORM.S.INV(RAND())</f>
        <v>3.2197077579295602E-2</v>
      </c>
      <c r="T8809" s="59">
        <f ca="1">Dashboard!C$8* Dashboard!$F$4+Dashboard!C$10*SQRT(Dashboard!$F$4) * _xlfn.NORM.S.INV(RAND())</f>
        <v>-9.295616364566342E-3</v>
      </c>
      <c r="U8809" s="59">
        <f ca="1">Dashboard!D$8* Dashboard!$F$4+Dashboard!D$10*SQRT(Dashboard!$F$4) * _xlfn.NORM.S.INV(RAND())</f>
        <v>-2.4190761839431594E-3</v>
      </c>
    </row>
    <row r="8810" spans="18:21" x14ac:dyDescent="0.2">
      <c r="R8810" s="49">
        <v>8808</v>
      </c>
      <c r="S8810" s="59">
        <f ca="1">Dashboard!B$8* Dashboard!$F$4+Dashboard!B$10*SQRT(Dashboard!$F$4) * _xlfn.NORM.S.INV(RAND())</f>
        <v>-2.7962642790019719E-2</v>
      </c>
      <c r="T8810" s="59">
        <f ca="1">Dashboard!C$8* Dashboard!$F$4+Dashboard!C$10*SQRT(Dashboard!$F$4) * _xlfn.NORM.S.INV(RAND())</f>
        <v>-8.9239940789375416E-3</v>
      </c>
      <c r="U8810" s="59">
        <f ca="1">Dashboard!D$8* Dashboard!$F$4+Dashboard!D$10*SQRT(Dashboard!$F$4) * _xlfn.NORM.S.INV(RAND())</f>
        <v>-5.2630314168332935E-2</v>
      </c>
    </row>
    <row r="8811" spans="18:21" x14ac:dyDescent="0.2">
      <c r="R8811" s="49">
        <v>8809</v>
      </c>
      <c r="S8811" s="59">
        <f ca="1">Dashboard!B$8* Dashboard!$F$4+Dashboard!B$10*SQRT(Dashboard!$F$4) * _xlfn.NORM.S.INV(RAND())</f>
        <v>2.8414354503828844E-3</v>
      </c>
      <c r="T8811" s="59">
        <f ca="1">Dashboard!C$8* Dashboard!$F$4+Dashboard!C$10*SQRT(Dashboard!$F$4) * _xlfn.NORM.S.INV(RAND())</f>
        <v>-5.942268120166092E-3</v>
      </c>
      <c r="U8811" s="59">
        <f ca="1">Dashboard!D$8* Dashboard!$F$4+Dashboard!D$10*SQRT(Dashboard!$F$4) * _xlfn.NORM.S.INV(RAND())</f>
        <v>-5.8356406426439474E-2</v>
      </c>
    </row>
    <row r="8812" spans="18:21" x14ac:dyDescent="0.2">
      <c r="R8812" s="49">
        <v>8810</v>
      </c>
      <c r="S8812" s="59">
        <f ca="1">Dashboard!B$8* Dashboard!$F$4+Dashboard!B$10*SQRT(Dashboard!$F$4) * _xlfn.NORM.S.INV(RAND())</f>
        <v>2.776705482617281E-2</v>
      </c>
      <c r="T8812" s="59">
        <f ca="1">Dashboard!C$8* Dashboard!$F$4+Dashboard!C$10*SQRT(Dashboard!$F$4) * _xlfn.NORM.S.INV(RAND())</f>
        <v>5.400099354952977E-4</v>
      </c>
      <c r="U8812" s="59">
        <f ca="1">Dashboard!D$8* Dashboard!$F$4+Dashboard!D$10*SQRT(Dashboard!$F$4) * _xlfn.NORM.S.INV(RAND())</f>
        <v>-8.0151378125436525E-3</v>
      </c>
    </row>
    <row r="8813" spans="18:21" x14ac:dyDescent="0.2">
      <c r="R8813" s="49">
        <v>8811</v>
      </c>
      <c r="S8813" s="59">
        <f ca="1">Dashboard!B$8* Dashboard!$F$4+Dashboard!B$10*SQRT(Dashboard!$F$4) * _xlfn.NORM.S.INV(RAND())</f>
        <v>4.2590430067489353E-2</v>
      </c>
      <c r="T8813" s="59">
        <f ca="1">Dashboard!C$8* Dashboard!$F$4+Dashboard!C$10*SQRT(Dashboard!$F$4) * _xlfn.NORM.S.INV(RAND())</f>
        <v>1.0573540263254431E-2</v>
      </c>
      <c r="U8813" s="59">
        <f ca="1">Dashboard!D$8* Dashboard!$F$4+Dashboard!D$10*SQRT(Dashboard!$F$4) * _xlfn.NORM.S.INV(RAND())</f>
        <v>-3.3421803168043919E-3</v>
      </c>
    </row>
    <row r="8814" spans="18:21" x14ac:dyDescent="0.2">
      <c r="R8814" s="49">
        <v>8812</v>
      </c>
      <c r="S8814" s="59">
        <f ca="1">Dashboard!B$8* Dashboard!$F$4+Dashboard!B$10*SQRT(Dashboard!$F$4) * _xlfn.NORM.S.INV(RAND())</f>
        <v>-4.9671338577860213E-2</v>
      </c>
      <c r="T8814" s="59">
        <f ca="1">Dashboard!C$8* Dashboard!$F$4+Dashboard!C$10*SQRT(Dashboard!$F$4) * _xlfn.NORM.S.INV(RAND())</f>
        <v>1.6915108651467059E-2</v>
      </c>
      <c r="U8814" s="59">
        <f ca="1">Dashboard!D$8* Dashboard!$F$4+Dashboard!D$10*SQRT(Dashboard!$F$4) * _xlfn.NORM.S.INV(RAND())</f>
        <v>2.1238595947443557E-2</v>
      </c>
    </row>
    <row r="8815" spans="18:21" x14ac:dyDescent="0.2">
      <c r="R8815" s="49">
        <v>8813</v>
      </c>
      <c r="S8815" s="59">
        <f ca="1">Dashboard!B$8* Dashboard!$F$4+Dashboard!B$10*SQRT(Dashboard!$F$4) * _xlfn.NORM.S.INV(RAND())</f>
        <v>-3.1193566080735764E-2</v>
      </c>
      <c r="T8815" s="59">
        <f ca="1">Dashboard!C$8* Dashboard!$F$4+Dashboard!C$10*SQRT(Dashboard!$F$4) * _xlfn.NORM.S.INV(RAND())</f>
        <v>9.5554437688894125E-3</v>
      </c>
      <c r="U8815" s="59">
        <f ca="1">Dashboard!D$8* Dashboard!$F$4+Dashboard!D$10*SQRT(Dashboard!$F$4) * _xlfn.NORM.S.INV(RAND())</f>
        <v>-1.1474478613491063E-2</v>
      </c>
    </row>
    <row r="8816" spans="18:21" x14ac:dyDescent="0.2">
      <c r="R8816" s="49">
        <v>8814</v>
      </c>
      <c r="S8816" s="59">
        <f ca="1">Dashboard!B$8* Dashboard!$F$4+Dashboard!B$10*SQRT(Dashboard!$F$4) * _xlfn.NORM.S.INV(RAND())</f>
        <v>-1.5603266191240852E-2</v>
      </c>
      <c r="T8816" s="59">
        <f ca="1">Dashboard!C$8* Dashboard!$F$4+Dashboard!C$10*SQRT(Dashboard!$F$4) * _xlfn.NORM.S.INV(RAND())</f>
        <v>2.4384212898253491E-2</v>
      </c>
      <c r="U8816" s="59">
        <f ca="1">Dashboard!D$8* Dashboard!$F$4+Dashboard!D$10*SQRT(Dashboard!$F$4) * _xlfn.NORM.S.INV(RAND())</f>
        <v>-2.6220939010582096E-3</v>
      </c>
    </row>
    <row r="8817" spans="18:21" x14ac:dyDescent="0.2">
      <c r="R8817" s="49">
        <v>8815</v>
      </c>
      <c r="S8817" s="59">
        <f ca="1">Dashboard!B$8* Dashboard!$F$4+Dashboard!B$10*SQRT(Dashboard!$F$4) * _xlfn.NORM.S.INV(RAND())</f>
        <v>5.4705249727121479E-4</v>
      </c>
      <c r="T8817" s="59">
        <f ca="1">Dashboard!C$8* Dashboard!$F$4+Dashboard!C$10*SQRT(Dashboard!$F$4) * _xlfn.NORM.S.INV(RAND())</f>
        <v>-3.6167009606549769E-2</v>
      </c>
      <c r="U8817" s="59">
        <f ca="1">Dashboard!D$8* Dashboard!$F$4+Dashboard!D$10*SQRT(Dashboard!$F$4) * _xlfn.NORM.S.INV(RAND())</f>
        <v>1.4367830802932437E-2</v>
      </c>
    </row>
    <row r="8818" spans="18:21" x14ac:dyDescent="0.2">
      <c r="R8818" s="49">
        <v>8816</v>
      </c>
      <c r="S8818" s="59">
        <f ca="1">Dashboard!B$8* Dashboard!$F$4+Dashboard!B$10*SQRT(Dashboard!$F$4) * _xlfn.NORM.S.INV(RAND())</f>
        <v>-1.9694128932948675E-2</v>
      </c>
      <c r="T8818" s="59">
        <f ca="1">Dashboard!C$8* Dashboard!$F$4+Dashboard!C$10*SQRT(Dashboard!$F$4) * _xlfn.NORM.S.INV(RAND())</f>
        <v>4.8665427792773273E-3</v>
      </c>
      <c r="U8818" s="59">
        <f ca="1">Dashboard!D$8* Dashboard!$F$4+Dashboard!D$10*SQRT(Dashboard!$F$4) * _xlfn.NORM.S.INV(RAND())</f>
        <v>-4.7828845039382409E-2</v>
      </c>
    </row>
    <row r="8819" spans="18:21" x14ac:dyDescent="0.2">
      <c r="R8819" s="49">
        <v>8817</v>
      </c>
      <c r="S8819" s="59">
        <f ca="1">Dashboard!B$8* Dashboard!$F$4+Dashboard!B$10*SQRT(Dashboard!$F$4) * _xlfn.NORM.S.INV(RAND())</f>
        <v>5.7302078008410057E-3</v>
      </c>
      <c r="T8819" s="59">
        <f ca="1">Dashboard!C$8* Dashboard!$F$4+Dashboard!C$10*SQRT(Dashboard!$F$4) * _xlfn.NORM.S.INV(RAND())</f>
        <v>-5.4718491805785002E-2</v>
      </c>
      <c r="U8819" s="59">
        <f ca="1">Dashboard!D$8* Dashboard!$F$4+Dashboard!D$10*SQRT(Dashboard!$F$4) * _xlfn.NORM.S.INV(RAND())</f>
        <v>-9.6262047660126641E-3</v>
      </c>
    </row>
    <row r="8820" spans="18:21" x14ac:dyDescent="0.2">
      <c r="R8820" s="49">
        <v>8818</v>
      </c>
      <c r="S8820" s="59">
        <f ca="1">Dashboard!B$8* Dashboard!$F$4+Dashboard!B$10*SQRT(Dashboard!$F$4) * _xlfn.NORM.S.INV(RAND())</f>
        <v>3.3763109530461764E-2</v>
      </c>
      <c r="T8820" s="59">
        <f ca="1">Dashboard!C$8* Dashboard!$F$4+Dashboard!C$10*SQRT(Dashboard!$F$4) * _xlfn.NORM.S.INV(RAND())</f>
        <v>1.5563924401687114E-2</v>
      </c>
      <c r="U8820" s="59">
        <f ca="1">Dashboard!D$8* Dashboard!$F$4+Dashboard!D$10*SQRT(Dashboard!$F$4) * _xlfn.NORM.S.INV(RAND())</f>
        <v>5.0885787398079044E-2</v>
      </c>
    </row>
    <row r="8821" spans="18:21" x14ac:dyDescent="0.2">
      <c r="R8821" s="49">
        <v>8819</v>
      </c>
      <c r="S8821" s="59">
        <f ca="1">Dashboard!B$8* Dashboard!$F$4+Dashboard!B$10*SQRT(Dashboard!$F$4) * _xlfn.NORM.S.INV(RAND())</f>
        <v>-1.8115101122128546E-3</v>
      </c>
      <c r="T8821" s="59">
        <f ca="1">Dashboard!C$8* Dashboard!$F$4+Dashboard!C$10*SQRT(Dashboard!$F$4) * _xlfn.NORM.S.INV(RAND())</f>
        <v>5.4879894606738866E-2</v>
      </c>
      <c r="U8821" s="59">
        <f ca="1">Dashboard!D$8* Dashboard!$F$4+Dashboard!D$10*SQRT(Dashboard!$F$4) * _xlfn.NORM.S.INV(RAND())</f>
        <v>3.9852703060743684E-2</v>
      </c>
    </row>
    <row r="8822" spans="18:21" x14ac:dyDescent="0.2">
      <c r="R8822" s="49">
        <v>8820</v>
      </c>
      <c r="S8822" s="59">
        <f ca="1">Dashboard!B$8* Dashboard!$F$4+Dashboard!B$10*SQRT(Dashboard!$F$4) * _xlfn.NORM.S.INV(RAND())</f>
        <v>-5.1557351589210324E-3</v>
      </c>
      <c r="T8822" s="59">
        <f ca="1">Dashboard!C$8* Dashboard!$F$4+Dashboard!C$10*SQRT(Dashboard!$F$4) * _xlfn.NORM.S.INV(RAND())</f>
        <v>-4.1792655165082846E-3</v>
      </c>
      <c r="U8822" s="59">
        <f ca="1">Dashboard!D$8* Dashboard!$F$4+Dashboard!D$10*SQRT(Dashboard!$F$4) * _xlfn.NORM.S.INV(RAND())</f>
        <v>3.077107796081641E-2</v>
      </c>
    </row>
    <row r="8823" spans="18:21" x14ac:dyDescent="0.2">
      <c r="R8823" s="49">
        <v>8821</v>
      </c>
      <c r="S8823" s="59">
        <f ca="1">Dashboard!B$8* Dashboard!$F$4+Dashboard!B$10*SQRT(Dashboard!$F$4) * _xlfn.NORM.S.INV(RAND())</f>
        <v>2.8269699566242666E-2</v>
      </c>
      <c r="T8823" s="59">
        <f ca="1">Dashboard!C$8* Dashboard!$F$4+Dashboard!C$10*SQRT(Dashboard!$F$4) * _xlfn.NORM.S.INV(RAND())</f>
        <v>-5.4450238529158085E-3</v>
      </c>
      <c r="U8823" s="59">
        <f ca="1">Dashboard!D$8* Dashboard!$F$4+Dashboard!D$10*SQRT(Dashboard!$F$4) * _xlfn.NORM.S.INV(RAND())</f>
        <v>-2.1441294138413525E-3</v>
      </c>
    </row>
    <row r="8824" spans="18:21" x14ac:dyDescent="0.2">
      <c r="R8824" s="49">
        <v>8822</v>
      </c>
      <c r="S8824" s="59">
        <f ca="1">Dashboard!B$8* Dashboard!$F$4+Dashboard!B$10*SQRT(Dashboard!$F$4) * _xlfn.NORM.S.INV(RAND())</f>
        <v>-5.0574559660282778E-2</v>
      </c>
      <c r="T8824" s="59">
        <f ca="1">Dashboard!C$8* Dashboard!$F$4+Dashboard!C$10*SQRT(Dashboard!$F$4) * _xlfn.NORM.S.INV(RAND())</f>
        <v>2.5297769356230293E-2</v>
      </c>
      <c r="U8824" s="59">
        <f ca="1">Dashboard!D$8* Dashboard!$F$4+Dashboard!D$10*SQRT(Dashboard!$F$4) * _xlfn.NORM.S.INV(RAND())</f>
        <v>7.4504080095145224E-3</v>
      </c>
    </row>
    <row r="8825" spans="18:21" x14ac:dyDescent="0.2">
      <c r="R8825" s="49">
        <v>8823</v>
      </c>
      <c r="S8825" s="59">
        <f ca="1">Dashboard!B$8* Dashboard!$F$4+Dashboard!B$10*SQRT(Dashboard!$F$4) * _xlfn.NORM.S.INV(RAND())</f>
        <v>-8.6987966870328698E-3</v>
      </c>
      <c r="T8825" s="59">
        <f ca="1">Dashboard!C$8* Dashboard!$F$4+Dashboard!C$10*SQRT(Dashboard!$F$4) * _xlfn.NORM.S.INV(RAND())</f>
        <v>1.575426508520943E-2</v>
      </c>
      <c r="U8825" s="59">
        <f ca="1">Dashboard!D$8* Dashboard!$F$4+Dashboard!D$10*SQRT(Dashboard!$F$4) * _xlfn.NORM.S.INV(RAND())</f>
        <v>-5.4578466511706406E-2</v>
      </c>
    </row>
    <row r="8826" spans="18:21" x14ac:dyDescent="0.2">
      <c r="R8826" s="49">
        <v>8824</v>
      </c>
      <c r="S8826" s="59">
        <f ca="1">Dashboard!B$8* Dashboard!$F$4+Dashboard!B$10*SQRT(Dashboard!$F$4) * _xlfn.NORM.S.INV(RAND())</f>
        <v>4.9334281344307167E-3</v>
      </c>
      <c r="T8826" s="59">
        <f ca="1">Dashboard!C$8* Dashboard!$F$4+Dashboard!C$10*SQRT(Dashboard!$F$4) * _xlfn.NORM.S.INV(RAND())</f>
        <v>-3.168691674161314E-3</v>
      </c>
      <c r="U8826" s="59">
        <f ca="1">Dashboard!D$8* Dashboard!$F$4+Dashboard!D$10*SQRT(Dashboard!$F$4) * _xlfn.NORM.S.INV(RAND())</f>
        <v>-3.8662981244728258E-2</v>
      </c>
    </row>
    <row r="8827" spans="18:21" x14ac:dyDescent="0.2">
      <c r="R8827" s="49">
        <v>8825</v>
      </c>
      <c r="S8827" s="59">
        <f ca="1">Dashboard!B$8* Dashboard!$F$4+Dashboard!B$10*SQRT(Dashboard!$F$4) * _xlfn.NORM.S.INV(RAND())</f>
        <v>4.9012587534929208E-2</v>
      </c>
      <c r="T8827" s="59">
        <f ca="1">Dashboard!C$8* Dashboard!$F$4+Dashboard!C$10*SQRT(Dashboard!$F$4) * _xlfn.NORM.S.INV(RAND())</f>
        <v>-2.5850774410308133E-3</v>
      </c>
      <c r="U8827" s="59">
        <f ca="1">Dashboard!D$8* Dashboard!$F$4+Dashboard!D$10*SQRT(Dashboard!$F$4) * _xlfn.NORM.S.INV(RAND())</f>
        <v>2.6793738099635403E-3</v>
      </c>
    </row>
    <row r="8828" spans="18:21" x14ac:dyDescent="0.2">
      <c r="R8828" s="49">
        <v>8826</v>
      </c>
      <c r="S8828" s="59">
        <f ca="1">Dashboard!B$8* Dashboard!$F$4+Dashboard!B$10*SQRT(Dashboard!$F$4) * _xlfn.NORM.S.INV(RAND())</f>
        <v>-1.2232048812493857E-2</v>
      </c>
      <c r="T8828" s="59">
        <f ca="1">Dashboard!C$8* Dashboard!$F$4+Dashboard!C$10*SQRT(Dashboard!$F$4) * _xlfn.NORM.S.INV(RAND())</f>
        <v>1.8281280086118443E-2</v>
      </c>
      <c r="U8828" s="59">
        <f ca="1">Dashboard!D$8* Dashboard!$F$4+Dashboard!D$10*SQRT(Dashboard!$F$4) * _xlfn.NORM.S.INV(RAND())</f>
        <v>-4.9108233652931706E-3</v>
      </c>
    </row>
    <row r="8829" spans="18:21" x14ac:dyDescent="0.2">
      <c r="R8829" s="49">
        <v>8827</v>
      </c>
      <c r="S8829" s="59">
        <f ca="1">Dashboard!B$8* Dashboard!$F$4+Dashboard!B$10*SQRT(Dashboard!$F$4) * _xlfn.NORM.S.INV(RAND())</f>
        <v>-2.0269930456287194E-2</v>
      </c>
      <c r="T8829" s="59">
        <f ca="1">Dashboard!C$8* Dashboard!$F$4+Dashboard!C$10*SQRT(Dashboard!$F$4) * _xlfn.NORM.S.INV(RAND())</f>
        <v>-2.0687753839380811E-2</v>
      </c>
      <c r="U8829" s="59">
        <f ca="1">Dashboard!D$8* Dashboard!$F$4+Dashboard!D$10*SQRT(Dashboard!$F$4) * _xlfn.NORM.S.INV(RAND())</f>
        <v>-6.2288908249200116E-3</v>
      </c>
    </row>
    <row r="8830" spans="18:21" x14ac:dyDescent="0.2">
      <c r="R8830" s="49">
        <v>8828</v>
      </c>
      <c r="S8830" s="59">
        <f ca="1">Dashboard!B$8* Dashboard!$F$4+Dashboard!B$10*SQRT(Dashboard!$F$4) * _xlfn.NORM.S.INV(RAND())</f>
        <v>2.37280143449165E-3</v>
      </c>
      <c r="T8830" s="59">
        <f ca="1">Dashboard!C$8* Dashboard!$F$4+Dashboard!C$10*SQRT(Dashboard!$F$4) * _xlfn.NORM.S.INV(RAND())</f>
        <v>-7.6315283857128257E-3</v>
      </c>
      <c r="U8830" s="59">
        <f ca="1">Dashboard!D$8* Dashboard!$F$4+Dashboard!D$10*SQRT(Dashboard!$F$4) * _xlfn.NORM.S.INV(RAND())</f>
        <v>-1.1720928065872533E-2</v>
      </c>
    </row>
    <row r="8831" spans="18:21" x14ac:dyDescent="0.2">
      <c r="R8831" s="49">
        <v>8829</v>
      </c>
      <c r="S8831" s="59">
        <f ca="1">Dashboard!B$8* Dashboard!$F$4+Dashboard!B$10*SQRT(Dashboard!$F$4) * _xlfn.NORM.S.INV(RAND())</f>
        <v>-3.2923988558049518E-2</v>
      </c>
      <c r="T8831" s="59">
        <f ca="1">Dashboard!C$8* Dashboard!$F$4+Dashboard!C$10*SQRT(Dashboard!$F$4) * _xlfn.NORM.S.INV(RAND())</f>
        <v>1.7314326572406523E-2</v>
      </c>
      <c r="U8831" s="59">
        <f ca="1">Dashboard!D$8* Dashboard!$F$4+Dashboard!D$10*SQRT(Dashboard!$F$4) * _xlfn.NORM.S.INV(RAND())</f>
        <v>1.2533558556864768E-2</v>
      </c>
    </row>
    <row r="8832" spans="18:21" x14ac:dyDescent="0.2">
      <c r="R8832" s="49">
        <v>8830</v>
      </c>
      <c r="S8832" s="59">
        <f ca="1">Dashboard!B$8* Dashboard!$F$4+Dashboard!B$10*SQRT(Dashboard!$F$4) * _xlfn.NORM.S.INV(RAND())</f>
        <v>-1.8381291245717492E-2</v>
      </c>
      <c r="T8832" s="59">
        <f ca="1">Dashboard!C$8* Dashboard!$F$4+Dashboard!C$10*SQRT(Dashboard!$F$4) * _xlfn.NORM.S.INV(RAND())</f>
        <v>4.8051779574925658E-2</v>
      </c>
      <c r="U8832" s="59">
        <f ca="1">Dashboard!D$8* Dashboard!$F$4+Dashboard!D$10*SQRT(Dashboard!$F$4) * _xlfn.NORM.S.INV(RAND())</f>
        <v>3.6502913544899512E-3</v>
      </c>
    </row>
    <row r="8833" spans="18:21" x14ac:dyDescent="0.2">
      <c r="R8833" s="49">
        <v>8831</v>
      </c>
      <c r="S8833" s="59">
        <f ca="1">Dashboard!B$8* Dashboard!$F$4+Dashboard!B$10*SQRT(Dashboard!$F$4) * _xlfn.NORM.S.INV(RAND())</f>
        <v>-5.1923138839844743E-2</v>
      </c>
      <c r="T8833" s="59">
        <f ca="1">Dashboard!C$8* Dashboard!$F$4+Dashboard!C$10*SQRT(Dashboard!$F$4) * _xlfn.NORM.S.INV(RAND())</f>
        <v>1.2841223684331517E-2</v>
      </c>
      <c r="U8833" s="59">
        <f ca="1">Dashboard!D$8* Dashboard!$F$4+Dashboard!D$10*SQRT(Dashboard!$F$4) * _xlfn.NORM.S.INV(RAND())</f>
        <v>4.6635764326441401E-3</v>
      </c>
    </row>
    <row r="8834" spans="18:21" x14ac:dyDescent="0.2">
      <c r="R8834" s="49">
        <v>8832</v>
      </c>
      <c r="S8834" s="59">
        <f ca="1">Dashboard!B$8* Dashboard!$F$4+Dashboard!B$10*SQRT(Dashboard!$F$4) * _xlfn.NORM.S.INV(RAND())</f>
        <v>-1.8586429025880064E-2</v>
      </c>
      <c r="T8834" s="59">
        <f ca="1">Dashboard!C$8* Dashboard!$F$4+Dashboard!C$10*SQRT(Dashboard!$F$4) * _xlfn.NORM.S.INV(RAND())</f>
        <v>-2.37600352578798E-2</v>
      </c>
      <c r="U8834" s="59">
        <f ca="1">Dashboard!D$8* Dashboard!$F$4+Dashboard!D$10*SQRT(Dashboard!$F$4) * _xlfn.NORM.S.INV(RAND())</f>
        <v>3.1094230945694957E-2</v>
      </c>
    </row>
    <row r="8835" spans="18:21" x14ac:dyDescent="0.2">
      <c r="R8835" s="49">
        <v>8833</v>
      </c>
      <c r="S8835" s="59">
        <f ca="1">Dashboard!B$8* Dashboard!$F$4+Dashboard!B$10*SQRT(Dashboard!$F$4) * _xlfn.NORM.S.INV(RAND())</f>
        <v>-1.4829209351394573E-2</v>
      </c>
      <c r="T8835" s="59">
        <f ca="1">Dashboard!C$8* Dashboard!$F$4+Dashboard!C$10*SQRT(Dashboard!$F$4) * _xlfn.NORM.S.INV(RAND())</f>
        <v>-6.4464609453597091E-3</v>
      </c>
      <c r="U8835" s="59">
        <f ca="1">Dashboard!D$8* Dashboard!$F$4+Dashboard!D$10*SQRT(Dashboard!$F$4) * _xlfn.NORM.S.INV(RAND())</f>
        <v>4.2798651569742198E-2</v>
      </c>
    </row>
    <row r="8836" spans="18:21" x14ac:dyDescent="0.2">
      <c r="R8836" s="49">
        <v>8834</v>
      </c>
      <c r="S8836" s="59">
        <f ca="1">Dashboard!B$8* Dashboard!$F$4+Dashboard!B$10*SQRT(Dashboard!$F$4) * _xlfn.NORM.S.INV(RAND())</f>
        <v>-1.9209585767981131E-2</v>
      </c>
      <c r="T8836" s="59">
        <f ca="1">Dashboard!C$8* Dashboard!$F$4+Dashboard!C$10*SQRT(Dashboard!$F$4) * _xlfn.NORM.S.INV(RAND())</f>
        <v>6.8371670648032415E-2</v>
      </c>
      <c r="U8836" s="59">
        <f ca="1">Dashboard!D$8* Dashboard!$F$4+Dashboard!D$10*SQRT(Dashboard!$F$4) * _xlfn.NORM.S.INV(RAND())</f>
        <v>-1.8665998576065219E-2</v>
      </c>
    </row>
    <row r="8837" spans="18:21" x14ac:dyDescent="0.2">
      <c r="R8837" s="49">
        <v>8835</v>
      </c>
      <c r="S8837" s="59">
        <f ca="1">Dashboard!B$8* Dashboard!$F$4+Dashboard!B$10*SQRT(Dashboard!$F$4) * _xlfn.NORM.S.INV(RAND())</f>
        <v>-2.241871373866737E-2</v>
      </c>
      <c r="T8837" s="59">
        <f ca="1">Dashboard!C$8* Dashboard!$F$4+Dashboard!C$10*SQRT(Dashboard!$F$4) * _xlfn.NORM.S.INV(RAND())</f>
        <v>1.1375159963109326E-2</v>
      </c>
      <c r="U8837" s="59">
        <f ca="1">Dashboard!D$8* Dashboard!$F$4+Dashboard!D$10*SQRT(Dashboard!$F$4) * _xlfn.NORM.S.INV(RAND())</f>
        <v>4.6480966442243154E-3</v>
      </c>
    </row>
    <row r="8838" spans="18:21" x14ac:dyDescent="0.2">
      <c r="R8838" s="49">
        <v>8836</v>
      </c>
      <c r="S8838" s="59">
        <f ca="1">Dashboard!B$8* Dashboard!$F$4+Dashboard!B$10*SQRT(Dashboard!$F$4) * _xlfn.NORM.S.INV(RAND())</f>
        <v>-2.907851253371169E-3</v>
      </c>
      <c r="T8838" s="59">
        <f ca="1">Dashboard!C$8* Dashboard!$F$4+Dashboard!C$10*SQRT(Dashboard!$F$4) * _xlfn.NORM.S.INV(RAND())</f>
        <v>1.226682865427969E-2</v>
      </c>
      <c r="U8838" s="59">
        <f ca="1">Dashboard!D$8* Dashboard!$F$4+Dashboard!D$10*SQRT(Dashboard!$F$4) * _xlfn.NORM.S.INV(RAND())</f>
        <v>9.2885943936571319E-3</v>
      </c>
    </row>
    <row r="8839" spans="18:21" x14ac:dyDescent="0.2">
      <c r="R8839" s="49">
        <v>8837</v>
      </c>
      <c r="S8839" s="59">
        <f ca="1">Dashboard!B$8* Dashboard!$F$4+Dashboard!B$10*SQRT(Dashboard!$F$4) * _xlfn.NORM.S.INV(RAND())</f>
        <v>-2.6244325384636856E-2</v>
      </c>
      <c r="T8839" s="59">
        <f ca="1">Dashboard!C$8* Dashboard!$F$4+Dashboard!C$10*SQRT(Dashboard!$F$4) * _xlfn.NORM.S.INV(RAND())</f>
        <v>3.2086356924457241E-3</v>
      </c>
      <c r="U8839" s="59">
        <f ca="1">Dashboard!D$8* Dashboard!$F$4+Dashboard!D$10*SQRT(Dashboard!$F$4) * _xlfn.NORM.S.INV(RAND())</f>
        <v>-1.4940551676001262E-2</v>
      </c>
    </row>
    <row r="8840" spans="18:21" x14ac:dyDescent="0.2">
      <c r="R8840" s="49">
        <v>8838</v>
      </c>
      <c r="S8840" s="59">
        <f ca="1">Dashboard!B$8* Dashboard!$F$4+Dashboard!B$10*SQRT(Dashboard!$F$4) * _xlfn.NORM.S.INV(RAND())</f>
        <v>-4.4568997460421526E-2</v>
      </c>
      <c r="T8840" s="59">
        <f ca="1">Dashboard!C$8* Dashboard!$F$4+Dashboard!C$10*SQRT(Dashboard!$F$4) * _xlfn.NORM.S.INV(RAND())</f>
        <v>3.4275050520350125E-3</v>
      </c>
      <c r="U8840" s="59">
        <f ca="1">Dashboard!D$8* Dashboard!$F$4+Dashboard!D$10*SQRT(Dashboard!$F$4) * _xlfn.NORM.S.INV(RAND())</f>
        <v>2.4406809262109974E-2</v>
      </c>
    </row>
    <row r="8841" spans="18:21" x14ac:dyDescent="0.2">
      <c r="R8841" s="49">
        <v>8839</v>
      </c>
      <c r="S8841" s="59">
        <f ca="1">Dashboard!B$8* Dashboard!$F$4+Dashboard!B$10*SQRT(Dashboard!$F$4) * _xlfn.NORM.S.INV(RAND())</f>
        <v>-6.3136496127086772E-2</v>
      </c>
      <c r="T8841" s="59">
        <f ca="1">Dashboard!C$8* Dashboard!$F$4+Dashboard!C$10*SQRT(Dashboard!$F$4) * _xlfn.NORM.S.INV(RAND())</f>
        <v>2.6387486233329278E-2</v>
      </c>
      <c r="U8841" s="59">
        <f ca="1">Dashboard!D$8* Dashboard!$F$4+Dashboard!D$10*SQRT(Dashboard!$F$4) * _xlfn.NORM.S.INV(RAND())</f>
        <v>-2.1378754609572032E-2</v>
      </c>
    </row>
    <row r="8842" spans="18:21" x14ac:dyDescent="0.2">
      <c r="R8842" s="49">
        <v>8840</v>
      </c>
      <c r="S8842" s="59">
        <f ca="1">Dashboard!B$8* Dashboard!$F$4+Dashboard!B$10*SQRT(Dashboard!$F$4) * _xlfn.NORM.S.INV(RAND())</f>
        <v>-4.7660730567096604E-3</v>
      </c>
      <c r="T8842" s="59">
        <f ca="1">Dashboard!C$8* Dashboard!$F$4+Dashboard!C$10*SQRT(Dashboard!$F$4) * _xlfn.NORM.S.INV(RAND())</f>
        <v>1.4596937869174511E-2</v>
      </c>
      <c r="U8842" s="59">
        <f ca="1">Dashboard!D$8* Dashboard!$F$4+Dashboard!D$10*SQRT(Dashboard!$F$4) * _xlfn.NORM.S.INV(RAND())</f>
        <v>-2.7099584990911813E-4</v>
      </c>
    </row>
    <row r="8843" spans="18:21" x14ac:dyDescent="0.2">
      <c r="R8843" s="49">
        <v>8841</v>
      </c>
      <c r="S8843" s="59">
        <f ca="1">Dashboard!B$8* Dashboard!$F$4+Dashboard!B$10*SQRT(Dashboard!$F$4) * _xlfn.NORM.S.INV(RAND())</f>
        <v>2.9971642291101802E-2</v>
      </c>
      <c r="T8843" s="59">
        <f ca="1">Dashboard!C$8* Dashboard!$F$4+Dashboard!C$10*SQRT(Dashboard!$F$4) * _xlfn.NORM.S.INV(RAND())</f>
        <v>-1.878155822454473E-2</v>
      </c>
      <c r="U8843" s="59">
        <f ca="1">Dashboard!D$8* Dashboard!$F$4+Dashboard!D$10*SQRT(Dashboard!$F$4) * _xlfn.NORM.S.INV(RAND())</f>
        <v>2.5321498704596298E-3</v>
      </c>
    </row>
    <row r="8844" spans="18:21" x14ac:dyDescent="0.2">
      <c r="R8844" s="49">
        <v>8842</v>
      </c>
      <c r="S8844" s="59">
        <f ca="1">Dashboard!B$8* Dashboard!$F$4+Dashboard!B$10*SQRT(Dashboard!$F$4) * _xlfn.NORM.S.INV(RAND())</f>
        <v>1.0798556410550435E-2</v>
      </c>
      <c r="T8844" s="59">
        <f ca="1">Dashboard!C$8* Dashboard!$F$4+Dashboard!C$10*SQRT(Dashboard!$F$4) * _xlfn.NORM.S.INV(RAND())</f>
        <v>-1.3317119481260728E-2</v>
      </c>
      <c r="U8844" s="59">
        <f ca="1">Dashboard!D$8* Dashboard!$F$4+Dashboard!D$10*SQRT(Dashboard!$F$4) * _xlfn.NORM.S.INV(RAND())</f>
        <v>6.8845474254723071E-3</v>
      </c>
    </row>
    <row r="8845" spans="18:21" x14ac:dyDescent="0.2">
      <c r="R8845" s="49">
        <v>8843</v>
      </c>
      <c r="S8845" s="59">
        <f ca="1">Dashboard!B$8* Dashboard!$F$4+Dashboard!B$10*SQRT(Dashboard!$F$4) * _xlfn.NORM.S.INV(RAND())</f>
        <v>-7.4317899680509836E-2</v>
      </c>
      <c r="T8845" s="59">
        <f ca="1">Dashboard!C$8* Dashboard!$F$4+Dashboard!C$10*SQRT(Dashboard!$F$4) * _xlfn.NORM.S.INV(RAND())</f>
        <v>2.9134272878938272E-2</v>
      </c>
      <c r="U8845" s="59">
        <f ca="1">Dashboard!D$8* Dashboard!$F$4+Dashboard!D$10*SQRT(Dashboard!$F$4) * _xlfn.NORM.S.INV(RAND())</f>
        <v>-3.8861483653520081E-2</v>
      </c>
    </row>
    <row r="8846" spans="18:21" x14ac:dyDescent="0.2">
      <c r="R8846" s="49">
        <v>8844</v>
      </c>
      <c r="S8846" s="59">
        <f ca="1">Dashboard!B$8* Dashboard!$F$4+Dashboard!B$10*SQRT(Dashboard!$F$4) * _xlfn.NORM.S.INV(RAND())</f>
        <v>3.3206740900911198E-2</v>
      </c>
      <c r="T8846" s="59">
        <f ca="1">Dashboard!C$8* Dashboard!$F$4+Dashboard!C$10*SQRT(Dashboard!$F$4) * _xlfn.NORM.S.INV(RAND())</f>
        <v>-7.4153072141182899E-2</v>
      </c>
      <c r="U8846" s="59">
        <f ca="1">Dashboard!D$8* Dashboard!$F$4+Dashboard!D$10*SQRT(Dashboard!$F$4) * _xlfn.NORM.S.INV(RAND())</f>
        <v>2.8241324394044264E-2</v>
      </c>
    </row>
    <row r="8847" spans="18:21" x14ac:dyDescent="0.2">
      <c r="R8847" s="49">
        <v>8845</v>
      </c>
      <c r="S8847" s="59">
        <f ca="1">Dashboard!B$8* Dashboard!$F$4+Dashboard!B$10*SQRT(Dashboard!$F$4) * _xlfn.NORM.S.INV(RAND())</f>
        <v>-2.021931662970658E-2</v>
      </c>
      <c r="T8847" s="59">
        <f ca="1">Dashboard!C$8* Dashboard!$F$4+Dashboard!C$10*SQRT(Dashboard!$F$4) * _xlfn.NORM.S.INV(RAND())</f>
        <v>3.6921391482648259E-2</v>
      </c>
      <c r="U8847" s="59">
        <f ca="1">Dashboard!D$8* Dashboard!$F$4+Dashboard!D$10*SQRT(Dashboard!$F$4) * _xlfn.NORM.S.INV(RAND())</f>
        <v>3.0665645788407574E-2</v>
      </c>
    </row>
    <row r="8848" spans="18:21" x14ac:dyDescent="0.2">
      <c r="R8848" s="49">
        <v>8846</v>
      </c>
      <c r="S8848" s="59">
        <f ca="1">Dashboard!B$8* Dashboard!$F$4+Dashboard!B$10*SQRT(Dashboard!$F$4) * _xlfn.NORM.S.INV(RAND())</f>
        <v>-4.5756586006125699E-3</v>
      </c>
      <c r="T8848" s="59">
        <f ca="1">Dashboard!C$8* Dashboard!$F$4+Dashboard!C$10*SQRT(Dashboard!$F$4) * _xlfn.NORM.S.INV(RAND())</f>
        <v>-1.4337363856258088E-2</v>
      </c>
      <c r="U8848" s="59">
        <f ca="1">Dashboard!D$8* Dashboard!$F$4+Dashboard!D$10*SQRT(Dashboard!$F$4) * _xlfn.NORM.S.INV(RAND())</f>
        <v>2.4063116226094073E-2</v>
      </c>
    </row>
    <row r="8849" spans="18:21" x14ac:dyDescent="0.2">
      <c r="R8849" s="49">
        <v>8847</v>
      </c>
      <c r="S8849" s="59">
        <f ca="1">Dashboard!B$8* Dashboard!$F$4+Dashboard!B$10*SQRT(Dashboard!$F$4) * _xlfn.NORM.S.INV(RAND())</f>
        <v>-2.0913834958867686E-2</v>
      </c>
      <c r="T8849" s="59">
        <f ca="1">Dashboard!C$8* Dashboard!$F$4+Dashboard!C$10*SQRT(Dashboard!$F$4) * _xlfn.NORM.S.INV(RAND())</f>
        <v>-3.6732294974244746E-2</v>
      </c>
      <c r="U8849" s="59">
        <f ca="1">Dashboard!D$8* Dashboard!$F$4+Dashboard!D$10*SQRT(Dashboard!$F$4) * _xlfn.NORM.S.INV(RAND())</f>
        <v>3.363573678190343E-2</v>
      </c>
    </row>
    <row r="8850" spans="18:21" x14ac:dyDescent="0.2">
      <c r="R8850" s="49">
        <v>8848</v>
      </c>
      <c r="S8850" s="59">
        <f ca="1">Dashboard!B$8* Dashboard!$F$4+Dashboard!B$10*SQRT(Dashboard!$F$4) * _xlfn.NORM.S.INV(RAND())</f>
        <v>2.1858044520301559E-2</v>
      </c>
      <c r="T8850" s="59">
        <f ca="1">Dashboard!C$8* Dashboard!$F$4+Dashboard!C$10*SQRT(Dashboard!$F$4) * _xlfn.NORM.S.INV(RAND())</f>
        <v>2.378596329292007E-2</v>
      </c>
      <c r="U8850" s="59">
        <f ca="1">Dashboard!D$8* Dashboard!$F$4+Dashboard!D$10*SQRT(Dashboard!$F$4) * _xlfn.NORM.S.INV(RAND())</f>
        <v>-6.1123395623591668E-2</v>
      </c>
    </row>
    <row r="8851" spans="18:21" x14ac:dyDescent="0.2">
      <c r="R8851" s="49">
        <v>8849</v>
      </c>
      <c r="S8851" s="59">
        <f ca="1">Dashboard!B$8* Dashboard!$F$4+Dashboard!B$10*SQRT(Dashboard!$F$4) * _xlfn.NORM.S.INV(RAND())</f>
        <v>-1.1382195054912444E-2</v>
      </c>
      <c r="T8851" s="59">
        <f ca="1">Dashboard!C$8* Dashboard!$F$4+Dashboard!C$10*SQRT(Dashboard!$F$4) * _xlfn.NORM.S.INV(RAND())</f>
        <v>-7.9240062727500851E-2</v>
      </c>
      <c r="U8851" s="59">
        <f ca="1">Dashboard!D$8* Dashboard!$F$4+Dashboard!D$10*SQRT(Dashboard!$F$4) * _xlfn.NORM.S.INV(RAND())</f>
        <v>1.1555135778374446E-2</v>
      </c>
    </row>
    <row r="8852" spans="18:21" x14ac:dyDescent="0.2">
      <c r="R8852" s="49">
        <v>8850</v>
      </c>
      <c r="S8852" s="59">
        <f ca="1">Dashboard!B$8* Dashboard!$F$4+Dashboard!B$10*SQRT(Dashboard!$F$4) * _xlfn.NORM.S.INV(RAND())</f>
        <v>-2.8455861642630122E-2</v>
      </c>
      <c r="T8852" s="59">
        <f ca="1">Dashboard!C$8* Dashboard!$F$4+Dashboard!C$10*SQRT(Dashboard!$F$4) * _xlfn.NORM.S.INV(RAND())</f>
        <v>-2.5435947491274858E-2</v>
      </c>
      <c r="U8852" s="59">
        <f ca="1">Dashboard!D$8* Dashboard!$F$4+Dashboard!D$10*SQRT(Dashboard!$F$4) * _xlfn.NORM.S.INV(RAND())</f>
        <v>-5.5170699482562847E-2</v>
      </c>
    </row>
    <row r="8853" spans="18:21" x14ac:dyDescent="0.2">
      <c r="R8853" s="49">
        <v>8851</v>
      </c>
      <c r="S8853" s="59">
        <f ca="1">Dashboard!B$8* Dashboard!$F$4+Dashboard!B$10*SQRT(Dashboard!$F$4) * _xlfn.NORM.S.INV(RAND())</f>
        <v>-7.4404498044985286E-3</v>
      </c>
      <c r="T8853" s="59">
        <f ca="1">Dashboard!C$8* Dashboard!$F$4+Dashboard!C$10*SQRT(Dashboard!$F$4) * _xlfn.NORM.S.INV(RAND())</f>
        <v>3.6509654994194229E-2</v>
      </c>
      <c r="U8853" s="59">
        <f ca="1">Dashboard!D$8* Dashboard!$F$4+Dashboard!D$10*SQRT(Dashboard!$F$4) * _xlfn.NORM.S.INV(RAND())</f>
        <v>8.0634054664609697E-3</v>
      </c>
    </row>
    <row r="8854" spans="18:21" x14ac:dyDescent="0.2">
      <c r="R8854" s="49">
        <v>8852</v>
      </c>
      <c r="S8854" s="59">
        <f ca="1">Dashboard!B$8* Dashboard!$F$4+Dashboard!B$10*SQRT(Dashboard!$F$4) * _xlfn.NORM.S.INV(RAND())</f>
        <v>9.8044106098260312E-3</v>
      </c>
      <c r="T8854" s="59">
        <f ca="1">Dashboard!C$8* Dashboard!$F$4+Dashboard!C$10*SQRT(Dashboard!$F$4) * _xlfn.NORM.S.INV(RAND())</f>
        <v>1.282085340161266E-2</v>
      </c>
      <c r="U8854" s="59">
        <f ca="1">Dashboard!D$8* Dashboard!$F$4+Dashboard!D$10*SQRT(Dashboard!$F$4) * _xlfn.NORM.S.INV(RAND())</f>
        <v>2.4872744610677296E-2</v>
      </c>
    </row>
    <row r="8855" spans="18:21" x14ac:dyDescent="0.2">
      <c r="R8855" s="49">
        <v>8853</v>
      </c>
      <c r="S8855" s="59">
        <f ca="1">Dashboard!B$8* Dashboard!$F$4+Dashboard!B$10*SQRT(Dashboard!$F$4) * _xlfn.NORM.S.INV(RAND())</f>
        <v>2.7295563991709508E-2</v>
      </c>
      <c r="T8855" s="59">
        <f ca="1">Dashboard!C$8* Dashboard!$F$4+Dashboard!C$10*SQRT(Dashboard!$F$4) * _xlfn.NORM.S.INV(RAND())</f>
        <v>-4.8946926179662127E-2</v>
      </c>
      <c r="U8855" s="59">
        <f ca="1">Dashboard!D$8* Dashboard!$F$4+Dashboard!D$10*SQRT(Dashboard!$F$4) * _xlfn.NORM.S.INV(RAND())</f>
        <v>2.4150898404625275E-2</v>
      </c>
    </row>
    <row r="8856" spans="18:21" x14ac:dyDescent="0.2">
      <c r="R8856" s="49">
        <v>8854</v>
      </c>
      <c r="S8856" s="59">
        <f ca="1">Dashboard!B$8* Dashboard!$F$4+Dashboard!B$10*SQRT(Dashboard!$F$4) * _xlfn.NORM.S.INV(RAND())</f>
        <v>-6.7383512390577258E-2</v>
      </c>
      <c r="T8856" s="59">
        <f ca="1">Dashboard!C$8* Dashboard!$F$4+Dashboard!C$10*SQRT(Dashboard!$F$4) * _xlfn.NORM.S.INV(RAND())</f>
        <v>-6.2394628818604206E-2</v>
      </c>
      <c r="U8856" s="59">
        <f ca="1">Dashboard!D$8* Dashboard!$F$4+Dashboard!D$10*SQRT(Dashboard!$F$4) * _xlfn.NORM.S.INV(RAND())</f>
        <v>6.3912105403067694E-4</v>
      </c>
    </row>
    <row r="8857" spans="18:21" x14ac:dyDescent="0.2">
      <c r="R8857" s="49">
        <v>8855</v>
      </c>
      <c r="S8857" s="59">
        <f ca="1">Dashboard!B$8* Dashboard!$F$4+Dashboard!B$10*SQRT(Dashboard!$F$4) * _xlfn.NORM.S.INV(RAND())</f>
        <v>-2.0992478688462921E-2</v>
      </c>
      <c r="T8857" s="59">
        <f ca="1">Dashboard!C$8* Dashboard!$F$4+Dashboard!C$10*SQRT(Dashboard!$F$4) * _xlfn.NORM.S.INV(RAND())</f>
        <v>-3.4892365528215131E-3</v>
      </c>
      <c r="U8857" s="59">
        <f ca="1">Dashboard!D$8* Dashboard!$F$4+Dashboard!D$10*SQRT(Dashboard!$F$4) * _xlfn.NORM.S.INV(RAND())</f>
        <v>-6.77023266859751E-4</v>
      </c>
    </row>
    <row r="8858" spans="18:21" x14ac:dyDescent="0.2">
      <c r="R8858" s="49">
        <v>8856</v>
      </c>
      <c r="S8858" s="59">
        <f ca="1">Dashboard!B$8* Dashboard!$F$4+Dashboard!B$10*SQRT(Dashboard!$F$4) * _xlfn.NORM.S.INV(RAND())</f>
        <v>6.807582826695778E-2</v>
      </c>
      <c r="T8858" s="59">
        <f ca="1">Dashboard!C$8* Dashboard!$F$4+Dashboard!C$10*SQRT(Dashboard!$F$4) * _xlfn.NORM.S.INV(RAND())</f>
        <v>-1.5133002131128757E-2</v>
      </c>
      <c r="U8858" s="59">
        <f ca="1">Dashboard!D$8* Dashboard!$F$4+Dashboard!D$10*SQRT(Dashboard!$F$4) * _xlfn.NORM.S.INV(RAND())</f>
        <v>3.6172416227717413E-2</v>
      </c>
    </row>
    <row r="8859" spans="18:21" x14ac:dyDescent="0.2">
      <c r="R8859" s="49">
        <v>8857</v>
      </c>
      <c r="S8859" s="59">
        <f ca="1">Dashboard!B$8* Dashboard!$F$4+Dashboard!B$10*SQRT(Dashboard!$F$4) * _xlfn.NORM.S.INV(RAND())</f>
        <v>2.0529753910211918E-2</v>
      </c>
      <c r="T8859" s="59">
        <f ca="1">Dashboard!C$8* Dashboard!$F$4+Dashboard!C$10*SQRT(Dashboard!$F$4) * _xlfn.NORM.S.INV(RAND())</f>
        <v>-1.6344903149006815E-2</v>
      </c>
      <c r="U8859" s="59">
        <f ca="1">Dashboard!D$8* Dashboard!$F$4+Dashboard!D$10*SQRT(Dashboard!$F$4) * _xlfn.NORM.S.INV(RAND())</f>
        <v>-6.7224542638095203E-3</v>
      </c>
    </row>
    <row r="8860" spans="18:21" x14ac:dyDescent="0.2">
      <c r="R8860" s="49">
        <v>8858</v>
      </c>
      <c r="S8860" s="59">
        <f ca="1">Dashboard!B$8* Dashboard!$F$4+Dashboard!B$10*SQRT(Dashboard!$F$4) * _xlfn.NORM.S.INV(RAND())</f>
        <v>1.1336324699336053E-2</v>
      </c>
      <c r="T8860" s="59">
        <f ca="1">Dashboard!C$8* Dashboard!$F$4+Dashboard!C$10*SQRT(Dashboard!$F$4) * _xlfn.NORM.S.INV(RAND())</f>
        <v>2.8136975822322198E-2</v>
      </c>
      <c r="U8860" s="59">
        <f ca="1">Dashboard!D$8* Dashboard!$F$4+Dashboard!D$10*SQRT(Dashboard!$F$4) * _xlfn.NORM.S.INV(RAND())</f>
        <v>3.0370110618251591E-2</v>
      </c>
    </row>
    <row r="8861" spans="18:21" x14ac:dyDescent="0.2">
      <c r="R8861" s="49">
        <v>8859</v>
      </c>
      <c r="S8861" s="59">
        <f ca="1">Dashboard!B$8* Dashboard!$F$4+Dashboard!B$10*SQRT(Dashboard!$F$4) * _xlfn.NORM.S.INV(RAND())</f>
        <v>-1.5316960969723152E-2</v>
      </c>
      <c r="T8861" s="59">
        <f ca="1">Dashboard!C$8* Dashboard!$F$4+Dashboard!C$10*SQRT(Dashboard!$F$4) * _xlfn.NORM.S.INV(RAND())</f>
        <v>1.7451633268336857E-2</v>
      </c>
      <c r="U8861" s="59">
        <f ca="1">Dashboard!D$8* Dashboard!$F$4+Dashboard!D$10*SQRT(Dashboard!$F$4) * _xlfn.NORM.S.INV(RAND())</f>
        <v>-2.0052358432511505E-2</v>
      </c>
    </row>
    <row r="8862" spans="18:21" x14ac:dyDescent="0.2">
      <c r="R8862" s="49">
        <v>8860</v>
      </c>
      <c r="S8862" s="59">
        <f ca="1">Dashboard!B$8* Dashboard!$F$4+Dashboard!B$10*SQRT(Dashboard!$F$4) * _xlfn.NORM.S.INV(RAND())</f>
        <v>-8.9583268598519249E-3</v>
      </c>
      <c r="T8862" s="59">
        <f ca="1">Dashboard!C$8* Dashboard!$F$4+Dashboard!C$10*SQRT(Dashboard!$F$4) * _xlfn.NORM.S.INV(RAND())</f>
        <v>0.12274433354903955</v>
      </c>
      <c r="U8862" s="59">
        <f ca="1">Dashboard!D$8* Dashboard!$F$4+Dashboard!D$10*SQRT(Dashboard!$F$4) * _xlfn.NORM.S.INV(RAND())</f>
        <v>2.9209968598129382E-2</v>
      </c>
    </row>
    <row r="8863" spans="18:21" x14ac:dyDescent="0.2">
      <c r="R8863" s="49">
        <v>8861</v>
      </c>
      <c r="S8863" s="59">
        <f ca="1">Dashboard!B$8* Dashboard!$F$4+Dashboard!B$10*SQRT(Dashboard!$F$4) * _xlfn.NORM.S.INV(RAND())</f>
        <v>-4.5340900777685898E-2</v>
      </c>
      <c r="T8863" s="59">
        <f ca="1">Dashboard!C$8* Dashboard!$F$4+Dashboard!C$10*SQRT(Dashboard!$F$4) * _xlfn.NORM.S.INV(RAND())</f>
        <v>2.983427634552002E-3</v>
      </c>
      <c r="U8863" s="59">
        <f ca="1">Dashboard!D$8* Dashboard!$F$4+Dashboard!D$10*SQRT(Dashboard!$F$4) * _xlfn.NORM.S.INV(RAND())</f>
        <v>3.7460679345988283E-2</v>
      </c>
    </row>
    <row r="8864" spans="18:21" x14ac:dyDescent="0.2">
      <c r="R8864" s="49">
        <v>8862</v>
      </c>
      <c r="S8864" s="59">
        <f ca="1">Dashboard!B$8* Dashboard!$F$4+Dashboard!B$10*SQRT(Dashboard!$F$4) * _xlfn.NORM.S.INV(RAND())</f>
        <v>-6.4575755800706496E-3</v>
      </c>
      <c r="T8864" s="59">
        <f ca="1">Dashboard!C$8* Dashboard!$F$4+Dashboard!C$10*SQRT(Dashboard!$F$4) * _xlfn.NORM.S.INV(RAND())</f>
        <v>3.0156283480779502E-2</v>
      </c>
      <c r="U8864" s="59">
        <f ca="1">Dashboard!D$8* Dashboard!$F$4+Dashboard!D$10*SQRT(Dashboard!$F$4) * _xlfn.NORM.S.INV(RAND())</f>
        <v>2.7270792563104371E-2</v>
      </c>
    </row>
    <row r="8865" spans="18:21" x14ac:dyDescent="0.2">
      <c r="R8865" s="49">
        <v>8863</v>
      </c>
      <c r="S8865" s="59">
        <f ca="1">Dashboard!B$8* Dashboard!$F$4+Dashboard!B$10*SQRT(Dashboard!$F$4) * _xlfn.NORM.S.INV(RAND())</f>
        <v>-7.4803379109255322E-3</v>
      </c>
      <c r="T8865" s="59">
        <f ca="1">Dashboard!C$8* Dashboard!$F$4+Dashboard!C$10*SQRT(Dashboard!$F$4) * _xlfn.NORM.S.INV(RAND())</f>
        <v>5.2929884933052819E-2</v>
      </c>
      <c r="U8865" s="59">
        <f ca="1">Dashboard!D$8* Dashboard!$F$4+Dashboard!D$10*SQRT(Dashboard!$F$4) * _xlfn.NORM.S.INV(RAND())</f>
        <v>-5.7086830020330846E-3</v>
      </c>
    </row>
    <row r="8866" spans="18:21" x14ac:dyDescent="0.2">
      <c r="R8866" s="49">
        <v>8864</v>
      </c>
      <c r="S8866" s="59">
        <f ca="1">Dashboard!B$8* Dashboard!$F$4+Dashboard!B$10*SQRT(Dashboard!$F$4) * _xlfn.NORM.S.INV(RAND())</f>
        <v>1.0018652698721079E-2</v>
      </c>
      <c r="T8866" s="59">
        <f ca="1">Dashboard!C$8* Dashboard!$F$4+Dashboard!C$10*SQRT(Dashboard!$F$4) * _xlfn.NORM.S.INV(RAND())</f>
        <v>-3.8510940709417865E-2</v>
      </c>
      <c r="U8866" s="59">
        <f ca="1">Dashboard!D$8* Dashboard!$F$4+Dashboard!D$10*SQRT(Dashboard!$F$4) * _xlfn.NORM.S.INV(RAND())</f>
        <v>2.2310452869901232E-2</v>
      </c>
    </row>
    <row r="8867" spans="18:21" x14ac:dyDescent="0.2">
      <c r="R8867" s="49">
        <v>8865</v>
      </c>
      <c r="S8867" s="59">
        <f ca="1">Dashboard!B$8* Dashboard!$F$4+Dashboard!B$10*SQRT(Dashboard!$F$4) * _xlfn.NORM.S.INV(RAND())</f>
        <v>2.2334386256128068E-2</v>
      </c>
      <c r="T8867" s="59">
        <f ca="1">Dashboard!C$8* Dashboard!$F$4+Dashboard!C$10*SQRT(Dashboard!$F$4) * _xlfn.NORM.S.INV(RAND())</f>
        <v>-1.6157102087163398E-2</v>
      </c>
      <c r="U8867" s="59">
        <f ca="1">Dashboard!D$8* Dashboard!$F$4+Dashboard!D$10*SQRT(Dashboard!$F$4) * _xlfn.NORM.S.INV(RAND())</f>
        <v>-3.3593956070623897E-2</v>
      </c>
    </row>
    <row r="8868" spans="18:21" x14ac:dyDescent="0.2">
      <c r="R8868" s="49">
        <v>8866</v>
      </c>
      <c r="S8868" s="59">
        <f ca="1">Dashboard!B$8* Dashboard!$F$4+Dashboard!B$10*SQRT(Dashboard!$F$4) * _xlfn.NORM.S.INV(RAND())</f>
        <v>-4.0853529350790153E-2</v>
      </c>
      <c r="T8868" s="59">
        <f ca="1">Dashboard!C$8* Dashboard!$F$4+Dashboard!C$10*SQRT(Dashboard!$F$4) * _xlfn.NORM.S.INV(RAND())</f>
        <v>4.4193695035046901E-2</v>
      </c>
      <c r="U8868" s="59">
        <f ca="1">Dashboard!D$8* Dashboard!$F$4+Dashboard!D$10*SQRT(Dashboard!$F$4) * _xlfn.NORM.S.INV(RAND())</f>
        <v>4.2007980758487454E-2</v>
      </c>
    </row>
    <row r="8869" spans="18:21" x14ac:dyDescent="0.2">
      <c r="R8869" s="49">
        <v>8867</v>
      </c>
      <c r="S8869" s="59">
        <f ca="1">Dashboard!B$8* Dashboard!$F$4+Dashboard!B$10*SQRT(Dashboard!$F$4) * _xlfn.NORM.S.INV(RAND())</f>
        <v>-2.7602293565177141E-3</v>
      </c>
      <c r="T8869" s="59">
        <f ca="1">Dashboard!C$8* Dashboard!$F$4+Dashboard!C$10*SQRT(Dashboard!$F$4) * _xlfn.NORM.S.INV(RAND())</f>
        <v>-1.3085047297928334E-2</v>
      </c>
      <c r="U8869" s="59">
        <f ca="1">Dashboard!D$8* Dashboard!$F$4+Dashboard!D$10*SQRT(Dashboard!$F$4) * _xlfn.NORM.S.INV(RAND())</f>
        <v>5.6051075000605171E-3</v>
      </c>
    </row>
    <row r="8870" spans="18:21" x14ac:dyDescent="0.2">
      <c r="R8870" s="49">
        <v>8868</v>
      </c>
      <c r="S8870" s="59">
        <f ca="1">Dashboard!B$8* Dashboard!$F$4+Dashboard!B$10*SQRT(Dashboard!$F$4) * _xlfn.NORM.S.INV(RAND())</f>
        <v>-8.6000456664072633E-3</v>
      </c>
      <c r="T8870" s="59">
        <f ca="1">Dashboard!C$8* Dashboard!$F$4+Dashboard!C$10*SQRT(Dashboard!$F$4) * _xlfn.NORM.S.INV(RAND())</f>
        <v>-8.8383006489928598E-3</v>
      </c>
      <c r="U8870" s="59">
        <f ca="1">Dashboard!D$8* Dashboard!$F$4+Dashboard!D$10*SQRT(Dashboard!$F$4) * _xlfn.NORM.S.INV(RAND())</f>
        <v>-8.0939273974584315E-3</v>
      </c>
    </row>
    <row r="8871" spans="18:21" x14ac:dyDescent="0.2">
      <c r="R8871" s="49">
        <v>8869</v>
      </c>
      <c r="S8871" s="59">
        <f ca="1">Dashboard!B$8* Dashboard!$F$4+Dashboard!B$10*SQRT(Dashboard!$F$4) * _xlfn.NORM.S.INV(RAND())</f>
        <v>3.2476998526630441E-2</v>
      </c>
      <c r="T8871" s="59">
        <f ca="1">Dashboard!C$8* Dashboard!$F$4+Dashboard!C$10*SQRT(Dashboard!$F$4) * _xlfn.NORM.S.INV(RAND())</f>
        <v>-2.1781113256576862E-2</v>
      </c>
      <c r="U8871" s="59">
        <f ca="1">Dashboard!D$8* Dashboard!$F$4+Dashboard!D$10*SQRT(Dashboard!$F$4) * _xlfn.NORM.S.INV(RAND())</f>
        <v>1.9292233555910733E-2</v>
      </c>
    </row>
    <row r="8872" spans="18:21" x14ac:dyDescent="0.2">
      <c r="R8872" s="49">
        <v>8870</v>
      </c>
      <c r="S8872" s="59">
        <f ca="1">Dashboard!B$8* Dashboard!$F$4+Dashboard!B$10*SQRT(Dashboard!$F$4) * _xlfn.NORM.S.INV(RAND())</f>
        <v>-2.4795750148949726E-2</v>
      </c>
      <c r="T8872" s="59">
        <f ca="1">Dashboard!C$8* Dashboard!$F$4+Dashboard!C$10*SQRT(Dashboard!$F$4) * _xlfn.NORM.S.INV(RAND())</f>
        <v>2.1168006222856108E-2</v>
      </c>
      <c r="U8872" s="59">
        <f ca="1">Dashboard!D$8* Dashboard!$F$4+Dashboard!D$10*SQRT(Dashboard!$F$4) * _xlfn.NORM.S.INV(RAND())</f>
        <v>5.1096102927179816E-2</v>
      </c>
    </row>
    <row r="8873" spans="18:21" x14ac:dyDescent="0.2">
      <c r="R8873" s="49">
        <v>8871</v>
      </c>
      <c r="S8873" s="59">
        <f ca="1">Dashboard!B$8* Dashboard!$F$4+Dashboard!B$10*SQRT(Dashboard!$F$4) * _xlfn.NORM.S.INV(RAND())</f>
        <v>1.86863139254516E-2</v>
      </c>
      <c r="T8873" s="59">
        <f ca="1">Dashboard!C$8* Dashboard!$F$4+Dashboard!C$10*SQRT(Dashboard!$F$4) * _xlfn.NORM.S.INV(RAND())</f>
        <v>-8.3752227449419951E-3</v>
      </c>
      <c r="U8873" s="59">
        <f ca="1">Dashboard!D$8* Dashboard!$F$4+Dashboard!D$10*SQRT(Dashboard!$F$4) * _xlfn.NORM.S.INV(RAND())</f>
        <v>1.6672612283106642E-2</v>
      </c>
    </row>
    <row r="8874" spans="18:21" x14ac:dyDescent="0.2">
      <c r="R8874" s="49">
        <v>8872</v>
      </c>
      <c r="S8874" s="59">
        <f ca="1">Dashboard!B$8* Dashboard!$F$4+Dashboard!B$10*SQRT(Dashboard!$F$4) * _xlfn.NORM.S.INV(RAND())</f>
        <v>6.8207662748450804E-2</v>
      </c>
      <c r="T8874" s="59">
        <f ca="1">Dashboard!C$8* Dashboard!$F$4+Dashboard!C$10*SQRT(Dashboard!$F$4) * _xlfn.NORM.S.INV(RAND())</f>
        <v>2.6678318845565322E-2</v>
      </c>
      <c r="U8874" s="59">
        <f ca="1">Dashboard!D$8* Dashboard!$F$4+Dashboard!D$10*SQRT(Dashboard!$F$4) * _xlfn.NORM.S.INV(RAND())</f>
        <v>-2.8249190334694935E-2</v>
      </c>
    </row>
    <row r="8875" spans="18:21" x14ac:dyDescent="0.2">
      <c r="R8875" s="49">
        <v>8873</v>
      </c>
      <c r="S8875" s="59">
        <f ca="1">Dashboard!B$8* Dashboard!$F$4+Dashboard!B$10*SQRT(Dashboard!$F$4) * _xlfn.NORM.S.INV(RAND())</f>
        <v>-2.5056254075863094E-2</v>
      </c>
      <c r="T8875" s="59">
        <f ca="1">Dashboard!C$8* Dashboard!$F$4+Dashboard!C$10*SQRT(Dashboard!$F$4) * _xlfn.NORM.S.INV(RAND())</f>
        <v>-3.5225214381714512E-2</v>
      </c>
      <c r="U8875" s="59">
        <f ca="1">Dashboard!D$8* Dashboard!$F$4+Dashboard!D$10*SQRT(Dashboard!$F$4) * _xlfn.NORM.S.INV(RAND())</f>
        <v>3.5330485249402584E-3</v>
      </c>
    </row>
    <row r="8876" spans="18:21" x14ac:dyDescent="0.2">
      <c r="R8876" s="49">
        <v>8874</v>
      </c>
      <c r="S8876" s="59">
        <f ca="1">Dashboard!B$8* Dashboard!$F$4+Dashboard!B$10*SQRT(Dashboard!$F$4) * _xlfn.NORM.S.INV(RAND())</f>
        <v>5.3590435300646944E-2</v>
      </c>
      <c r="T8876" s="59">
        <f ca="1">Dashboard!C$8* Dashboard!$F$4+Dashboard!C$10*SQRT(Dashboard!$F$4) * _xlfn.NORM.S.INV(RAND())</f>
        <v>-3.840435051068322E-3</v>
      </c>
      <c r="U8876" s="59">
        <f ca="1">Dashboard!D$8* Dashboard!$F$4+Dashboard!D$10*SQRT(Dashboard!$F$4) * _xlfn.NORM.S.INV(RAND())</f>
        <v>-7.2881410442274808E-3</v>
      </c>
    </row>
    <row r="8877" spans="18:21" x14ac:dyDescent="0.2">
      <c r="R8877" s="49">
        <v>8875</v>
      </c>
      <c r="S8877" s="59">
        <f ca="1">Dashboard!B$8* Dashboard!$F$4+Dashboard!B$10*SQRT(Dashboard!$F$4) * _xlfn.NORM.S.INV(RAND())</f>
        <v>3.7772386545827756E-3</v>
      </c>
      <c r="T8877" s="59">
        <f ca="1">Dashboard!C$8* Dashboard!$F$4+Dashboard!C$10*SQRT(Dashboard!$F$4) * _xlfn.NORM.S.INV(RAND())</f>
        <v>-3.336283450647462E-2</v>
      </c>
      <c r="U8877" s="59">
        <f ca="1">Dashboard!D$8* Dashboard!$F$4+Dashboard!D$10*SQRT(Dashboard!$F$4) * _xlfn.NORM.S.INV(RAND())</f>
        <v>-3.2788427392446494E-2</v>
      </c>
    </row>
    <row r="8878" spans="18:21" x14ac:dyDescent="0.2">
      <c r="R8878" s="49">
        <v>8876</v>
      </c>
      <c r="S8878" s="59">
        <f ca="1">Dashboard!B$8* Dashboard!$F$4+Dashboard!B$10*SQRT(Dashboard!$F$4) * _xlfn.NORM.S.INV(RAND())</f>
        <v>-2.3338548683225955E-3</v>
      </c>
      <c r="T8878" s="59">
        <f ca="1">Dashboard!C$8* Dashboard!$F$4+Dashboard!C$10*SQRT(Dashboard!$F$4) * _xlfn.NORM.S.INV(RAND())</f>
        <v>1.5064048762605756E-2</v>
      </c>
      <c r="U8878" s="59">
        <f ca="1">Dashboard!D$8* Dashboard!$F$4+Dashboard!D$10*SQRT(Dashboard!$F$4) * _xlfn.NORM.S.INV(RAND())</f>
        <v>-2.140471144291688E-2</v>
      </c>
    </row>
    <row r="8879" spans="18:21" x14ac:dyDescent="0.2">
      <c r="R8879" s="49">
        <v>8877</v>
      </c>
      <c r="S8879" s="59">
        <f ca="1">Dashboard!B$8* Dashboard!$F$4+Dashboard!B$10*SQRT(Dashboard!$F$4) * _xlfn.NORM.S.INV(RAND())</f>
        <v>1.5889309757711557E-2</v>
      </c>
      <c r="T8879" s="59">
        <f ca="1">Dashboard!C$8* Dashboard!$F$4+Dashboard!C$10*SQRT(Dashboard!$F$4) * _xlfn.NORM.S.INV(RAND())</f>
        <v>-1.0862599644881787E-2</v>
      </c>
      <c r="U8879" s="59">
        <f ca="1">Dashboard!D$8* Dashboard!$F$4+Dashboard!D$10*SQRT(Dashboard!$F$4) * _xlfn.NORM.S.INV(RAND())</f>
        <v>1.6614069008939629E-2</v>
      </c>
    </row>
    <row r="8880" spans="18:21" x14ac:dyDescent="0.2">
      <c r="R8880" s="49">
        <v>8878</v>
      </c>
      <c r="S8880" s="59">
        <f ca="1">Dashboard!B$8* Dashboard!$F$4+Dashboard!B$10*SQRT(Dashboard!$F$4) * _xlfn.NORM.S.INV(RAND())</f>
        <v>-1.5109218865246689E-2</v>
      </c>
      <c r="T8880" s="59">
        <f ca="1">Dashboard!C$8* Dashboard!$F$4+Dashboard!C$10*SQRT(Dashboard!$F$4) * _xlfn.NORM.S.INV(RAND())</f>
        <v>-8.2544359247896923E-2</v>
      </c>
      <c r="U8880" s="59">
        <f ca="1">Dashboard!D$8* Dashboard!$F$4+Dashboard!D$10*SQRT(Dashboard!$F$4) * _xlfn.NORM.S.INV(RAND())</f>
        <v>6.8067278447767054E-2</v>
      </c>
    </row>
    <row r="8881" spans="18:21" x14ac:dyDescent="0.2">
      <c r="R8881" s="49">
        <v>8879</v>
      </c>
      <c r="S8881" s="59">
        <f ca="1">Dashboard!B$8* Dashboard!$F$4+Dashboard!B$10*SQRT(Dashboard!$F$4) * _xlfn.NORM.S.INV(RAND())</f>
        <v>1.086743768483432E-2</v>
      </c>
      <c r="T8881" s="59">
        <f ca="1">Dashboard!C$8* Dashboard!$F$4+Dashboard!C$10*SQRT(Dashboard!$F$4) * _xlfn.NORM.S.INV(RAND())</f>
        <v>3.1780272866151947E-2</v>
      </c>
      <c r="U8881" s="59">
        <f ca="1">Dashboard!D$8* Dashboard!$F$4+Dashboard!D$10*SQRT(Dashboard!$F$4) * _xlfn.NORM.S.INV(RAND())</f>
        <v>5.1243549911187292E-2</v>
      </c>
    </row>
    <row r="8882" spans="18:21" x14ac:dyDescent="0.2">
      <c r="R8882" s="49">
        <v>8880</v>
      </c>
      <c r="S8882" s="59">
        <f ca="1">Dashboard!B$8* Dashboard!$F$4+Dashboard!B$10*SQRT(Dashboard!$F$4) * _xlfn.NORM.S.INV(RAND())</f>
        <v>-2.9128706710914408E-2</v>
      </c>
      <c r="T8882" s="59">
        <f ca="1">Dashboard!C$8* Dashboard!$F$4+Dashboard!C$10*SQRT(Dashboard!$F$4) * _xlfn.NORM.S.INV(RAND())</f>
        <v>5.9534410217801828E-2</v>
      </c>
      <c r="U8882" s="59">
        <f ca="1">Dashboard!D$8* Dashboard!$F$4+Dashboard!D$10*SQRT(Dashboard!$F$4) * _xlfn.NORM.S.INV(RAND())</f>
        <v>3.4159157291102159E-2</v>
      </c>
    </row>
    <row r="8883" spans="18:21" x14ac:dyDescent="0.2">
      <c r="R8883" s="49">
        <v>8881</v>
      </c>
      <c r="S8883" s="59">
        <f ca="1">Dashboard!B$8* Dashboard!$F$4+Dashboard!B$10*SQRT(Dashboard!$F$4) * _xlfn.NORM.S.INV(RAND())</f>
        <v>-2.247611212509032E-2</v>
      </c>
      <c r="T8883" s="59">
        <f ca="1">Dashboard!C$8* Dashboard!$F$4+Dashboard!C$10*SQRT(Dashboard!$F$4) * _xlfn.NORM.S.INV(RAND())</f>
        <v>3.5765470330920257E-2</v>
      </c>
      <c r="U8883" s="59">
        <f ca="1">Dashboard!D$8* Dashboard!$F$4+Dashboard!D$10*SQRT(Dashboard!$F$4) * _xlfn.NORM.S.INV(RAND())</f>
        <v>-1.1902651587621538E-2</v>
      </c>
    </row>
    <row r="8884" spans="18:21" x14ac:dyDescent="0.2">
      <c r="R8884" s="49">
        <v>8882</v>
      </c>
      <c r="S8884" s="59">
        <f ca="1">Dashboard!B$8* Dashboard!$F$4+Dashboard!B$10*SQRT(Dashboard!$F$4) * _xlfn.NORM.S.INV(RAND())</f>
        <v>2.4250080187394274E-2</v>
      </c>
      <c r="T8884" s="59">
        <f ca="1">Dashboard!C$8* Dashboard!$F$4+Dashboard!C$10*SQRT(Dashboard!$F$4) * _xlfn.NORM.S.INV(RAND())</f>
        <v>2.3021089114675167E-4</v>
      </c>
      <c r="U8884" s="59">
        <f ca="1">Dashboard!D$8* Dashboard!$F$4+Dashboard!D$10*SQRT(Dashboard!$F$4) * _xlfn.NORM.S.INV(RAND())</f>
        <v>-3.1570412398485306E-2</v>
      </c>
    </row>
    <row r="8885" spans="18:21" x14ac:dyDescent="0.2">
      <c r="R8885" s="49">
        <v>8883</v>
      </c>
      <c r="S8885" s="59">
        <f ca="1">Dashboard!B$8* Dashboard!$F$4+Dashboard!B$10*SQRT(Dashboard!$F$4) * _xlfn.NORM.S.INV(RAND())</f>
        <v>-3.5130237284535508E-2</v>
      </c>
      <c r="T8885" s="59">
        <f ca="1">Dashboard!C$8* Dashboard!$F$4+Dashboard!C$10*SQRT(Dashboard!$F$4) * _xlfn.NORM.S.INV(RAND())</f>
        <v>5.8696505457975459E-2</v>
      </c>
      <c r="U8885" s="59">
        <f ca="1">Dashboard!D$8* Dashboard!$F$4+Dashboard!D$10*SQRT(Dashboard!$F$4) * _xlfn.NORM.S.INV(RAND())</f>
        <v>-1.1558876201207543E-2</v>
      </c>
    </row>
    <row r="8886" spans="18:21" x14ac:dyDescent="0.2">
      <c r="R8886" s="49">
        <v>8884</v>
      </c>
      <c r="S8886" s="59">
        <f ca="1">Dashboard!B$8* Dashboard!$F$4+Dashboard!B$10*SQRT(Dashboard!$F$4) * _xlfn.NORM.S.INV(RAND())</f>
        <v>5.7293632918911461E-3</v>
      </c>
      <c r="T8886" s="59">
        <f ca="1">Dashboard!C$8* Dashboard!$F$4+Dashboard!C$10*SQRT(Dashboard!$F$4) * _xlfn.NORM.S.INV(RAND())</f>
        <v>-1.9454744070349413E-2</v>
      </c>
      <c r="U8886" s="59">
        <f ca="1">Dashboard!D$8* Dashboard!$F$4+Dashboard!D$10*SQRT(Dashboard!$F$4) * _xlfn.NORM.S.INV(RAND())</f>
        <v>-1.4953560071334334E-2</v>
      </c>
    </row>
    <row r="8887" spans="18:21" x14ac:dyDescent="0.2">
      <c r="R8887" s="49">
        <v>8885</v>
      </c>
      <c r="S8887" s="59">
        <f ca="1">Dashboard!B$8* Dashboard!$F$4+Dashboard!B$10*SQRT(Dashboard!$F$4) * _xlfn.NORM.S.INV(RAND())</f>
        <v>-2.4179296106845841E-2</v>
      </c>
      <c r="T8887" s="59">
        <f ca="1">Dashboard!C$8* Dashboard!$F$4+Dashboard!C$10*SQRT(Dashboard!$F$4) * _xlfn.NORM.S.INV(RAND())</f>
        <v>2.5031417309388435E-2</v>
      </c>
      <c r="U8887" s="59">
        <f ca="1">Dashboard!D$8* Dashboard!$F$4+Dashboard!D$10*SQRT(Dashboard!$F$4) * _xlfn.NORM.S.INV(RAND())</f>
        <v>2.9420477126956356E-2</v>
      </c>
    </row>
    <row r="8888" spans="18:21" x14ac:dyDescent="0.2">
      <c r="R8888" s="49">
        <v>8886</v>
      </c>
      <c r="S8888" s="59">
        <f ca="1">Dashboard!B$8* Dashboard!$F$4+Dashboard!B$10*SQRT(Dashboard!$F$4) * _xlfn.NORM.S.INV(RAND())</f>
        <v>1.5231234243444124E-3</v>
      </c>
      <c r="T8888" s="59">
        <f ca="1">Dashboard!C$8* Dashboard!$F$4+Dashboard!C$10*SQRT(Dashboard!$F$4) * _xlfn.NORM.S.INV(RAND())</f>
        <v>-7.1673360413693918E-2</v>
      </c>
      <c r="U8888" s="59">
        <f ca="1">Dashboard!D$8* Dashboard!$F$4+Dashboard!D$10*SQRT(Dashboard!$F$4) * _xlfn.NORM.S.INV(RAND())</f>
        <v>-2.4078019781480098E-2</v>
      </c>
    </row>
    <row r="8889" spans="18:21" x14ac:dyDescent="0.2">
      <c r="R8889" s="49">
        <v>8887</v>
      </c>
      <c r="S8889" s="59">
        <f ca="1">Dashboard!B$8* Dashboard!$F$4+Dashboard!B$10*SQRT(Dashboard!$F$4) * _xlfn.NORM.S.INV(RAND())</f>
        <v>7.8538481421458559E-3</v>
      </c>
      <c r="T8889" s="59">
        <f ca="1">Dashboard!C$8* Dashboard!$F$4+Dashboard!C$10*SQRT(Dashboard!$F$4) * _xlfn.NORM.S.INV(RAND())</f>
        <v>1.0963206699549765E-2</v>
      </c>
      <c r="U8889" s="59">
        <f ca="1">Dashboard!D$8* Dashboard!$F$4+Dashboard!D$10*SQRT(Dashboard!$F$4) * _xlfn.NORM.S.INV(RAND())</f>
        <v>-6.391339504166875E-2</v>
      </c>
    </row>
    <row r="8890" spans="18:21" x14ac:dyDescent="0.2">
      <c r="R8890" s="49">
        <v>8888</v>
      </c>
      <c r="S8890" s="59">
        <f ca="1">Dashboard!B$8* Dashboard!$F$4+Dashboard!B$10*SQRT(Dashboard!$F$4) * _xlfn.NORM.S.INV(RAND())</f>
        <v>-8.8934620649791379E-3</v>
      </c>
      <c r="T8890" s="59">
        <f ca="1">Dashboard!C$8* Dashboard!$F$4+Dashboard!C$10*SQRT(Dashboard!$F$4) * _xlfn.NORM.S.INV(RAND())</f>
        <v>2.8783918475099955E-2</v>
      </c>
      <c r="U8890" s="59">
        <f ca="1">Dashboard!D$8* Dashboard!$F$4+Dashboard!D$10*SQRT(Dashboard!$F$4) * _xlfn.NORM.S.INV(RAND())</f>
        <v>-1.5156921545707471E-2</v>
      </c>
    </row>
    <row r="8891" spans="18:21" x14ac:dyDescent="0.2">
      <c r="R8891" s="49">
        <v>8889</v>
      </c>
      <c r="S8891" s="59">
        <f ca="1">Dashboard!B$8* Dashboard!$F$4+Dashboard!B$10*SQRT(Dashboard!$F$4) * _xlfn.NORM.S.INV(RAND())</f>
        <v>-4.5881371019445907E-2</v>
      </c>
      <c r="T8891" s="59">
        <f ca="1">Dashboard!C$8* Dashboard!$F$4+Dashboard!C$10*SQRT(Dashboard!$F$4) * _xlfn.NORM.S.INV(RAND())</f>
        <v>1.7807302031286155E-2</v>
      </c>
      <c r="U8891" s="59">
        <f ca="1">Dashboard!D$8* Dashboard!$F$4+Dashboard!D$10*SQRT(Dashboard!$F$4) * _xlfn.NORM.S.INV(RAND())</f>
        <v>1.0611254460504033E-2</v>
      </c>
    </row>
    <row r="8892" spans="18:21" x14ac:dyDescent="0.2">
      <c r="R8892" s="49">
        <v>8890</v>
      </c>
      <c r="S8892" s="59">
        <f ca="1">Dashboard!B$8* Dashboard!$F$4+Dashboard!B$10*SQRT(Dashboard!$F$4) * _xlfn.NORM.S.INV(RAND())</f>
        <v>9.071289914700166E-3</v>
      </c>
      <c r="T8892" s="59">
        <f ca="1">Dashboard!C$8* Dashboard!$F$4+Dashboard!C$10*SQRT(Dashboard!$F$4) * _xlfn.NORM.S.INV(RAND())</f>
        <v>-2.8794155712107824E-3</v>
      </c>
      <c r="U8892" s="59">
        <f ca="1">Dashboard!D$8* Dashboard!$F$4+Dashboard!D$10*SQRT(Dashboard!$F$4) * _xlfn.NORM.S.INV(RAND())</f>
        <v>-8.9579985823010199E-3</v>
      </c>
    </row>
    <row r="8893" spans="18:21" x14ac:dyDescent="0.2">
      <c r="R8893" s="49">
        <v>8891</v>
      </c>
      <c r="S8893" s="59">
        <f ca="1">Dashboard!B$8* Dashboard!$F$4+Dashboard!B$10*SQRT(Dashboard!$F$4) * _xlfn.NORM.S.INV(RAND())</f>
        <v>-2.0019234427329682E-2</v>
      </c>
      <c r="T8893" s="59">
        <f ca="1">Dashboard!C$8* Dashboard!$F$4+Dashboard!C$10*SQRT(Dashboard!$F$4) * _xlfn.NORM.S.INV(RAND())</f>
        <v>2.7380059329691231E-2</v>
      </c>
      <c r="U8893" s="59">
        <f ca="1">Dashboard!D$8* Dashboard!$F$4+Dashboard!D$10*SQRT(Dashboard!$F$4) * _xlfn.NORM.S.INV(RAND())</f>
        <v>2.8440075860222246E-3</v>
      </c>
    </row>
    <row r="8894" spans="18:21" x14ac:dyDescent="0.2">
      <c r="R8894" s="49">
        <v>8892</v>
      </c>
      <c r="S8894" s="59">
        <f ca="1">Dashboard!B$8* Dashboard!$F$4+Dashboard!B$10*SQRT(Dashboard!$F$4) * _xlfn.NORM.S.INV(RAND())</f>
        <v>8.9786422914234568E-3</v>
      </c>
      <c r="T8894" s="59">
        <f ca="1">Dashboard!C$8* Dashboard!$F$4+Dashboard!C$10*SQRT(Dashboard!$F$4) * _xlfn.NORM.S.INV(RAND())</f>
        <v>4.1588794089769052E-2</v>
      </c>
      <c r="U8894" s="59">
        <f ca="1">Dashboard!D$8* Dashboard!$F$4+Dashboard!D$10*SQRT(Dashboard!$F$4) * _xlfn.NORM.S.INV(RAND())</f>
        <v>-3.572341647122635E-2</v>
      </c>
    </row>
    <row r="8895" spans="18:21" x14ac:dyDescent="0.2">
      <c r="R8895" s="49">
        <v>8893</v>
      </c>
      <c r="S8895" s="59">
        <f ca="1">Dashboard!B$8* Dashboard!$F$4+Dashboard!B$10*SQRT(Dashboard!$F$4) * _xlfn.NORM.S.INV(RAND())</f>
        <v>-3.7584278158871318E-2</v>
      </c>
      <c r="T8895" s="59">
        <f ca="1">Dashboard!C$8* Dashboard!$F$4+Dashboard!C$10*SQRT(Dashboard!$F$4) * _xlfn.NORM.S.INV(RAND())</f>
        <v>2.1280671867874275E-3</v>
      </c>
      <c r="U8895" s="59">
        <f ca="1">Dashboard!D$8* Dashboard!$F$4+Dashboard!D$10*SQRT(Dashboard!$F$4) * _xlfn.NORM.S.INV(RAND())</f>
        <v>-4.0029172866631463E-2</v>
      </c>
    </row>
    <row r="8896" spans="18:21" x14ac:dyDescent="0.2">
      <c r="R8896" s="49">
        <v>8894</v>
      </c>
      <c r="S8896" s="59">
        <f ca="1">Dashboard!B$8* Dashboard!$F$4+Dashboard!B$10*SQRT(Dashboard!$F$4) * _xlfn.NORM.S.INV(RAND())</f>
        <v>3.2834948094855404E-2</v>
      </c>
      <c r="T8896" s="59">
        <f ca="1">Dashboard!C$8* Dashboard!$F$4+Dashboard!C$10*SQRT(Dashboard!$F$4) * _xlfn.NORM.S.INV(RAND())</f>
        <v>1.0020959589969874E-3</v>
      </c>
      <c r="U8896" s="59">
        <f ca="1">Dashboard!D$8* Dashboard!$F$4+Dashboard!D$10*SQRT(Dashboard!$F$4) * _xlfn.NORM.S.INV(RAND())</f>
        <v>6.1895201761202757E-2</v>
      </c>
    </row>
    <row r="8897" spans="18:21" x14ac:dyDescent="0.2">
      <c r="R8897" s="49">
        <v>8895</v>
      </c>
      <c r="S8897" s="59">
        <f ca="1">Dashboard!B$8* Dashboard!$F$4+Dashboard!B$10*SQRT(Dashboard!$F$4) * _xlfn.NORM.S.INV(RAND())</f>
        <v>-2.2539567021314849E-2</v>
      </c>
      <c r="T8897" s="59">
        <f ca="1">Dashboard!C$8* Dashboard!$F$4+Dashboard!C$10*SQRT(Dashboard!$F$4) * _xlfn.NORM.S.INV(RAND())</f>
        <v>-2.3620878256845699E-3</v>
      </c>
      <c r="U8897" s="59">
        <f ca="1">Dashboard!D$8* Dashboard!$F$4+Dashboard!D$10*SQRT(Dashboard!$F$4) * _xlfn.NORM.S.INV(RAND())</f>
        <v>-3.9991779486510226E-2</v>
      </c>
    </row>
    <row r="8898" spans="18:21" x14ac:dyDescent="0.2">
      <c r="R8898" s="49">
        <v>8896</v>
      </c>
      <c r="S8898" s="59">
        <f ca="1">Dashboard!B$8* Dashboard!$F$4+Dashboard!B$10*SQRT(Dashboard!$F$4) * _xlfn.NORM.S.INV(RAND())</f>
        <v>6.2358548807601531E-3</v>
      </c>
      <c r="T8898" s="59">
        <f ca="1">Dashboard!C$8* Dashboard!$F$4+Dashboard!C$10*SQRT(Dashboard!$F$4) * _xlfn.NORM.S.INV(RAND())</f>
        <v>-2.2825481875076346E-2</v>
      </c>
      <c r="U8898" s="59">
        <f ca="1">Dashboard!D$8* Dashboard!$F$4+Dashboard!D$10*SQRT(Dashboard!$F$4) * _xlfn.NORM.S.INV(RAND())</f>
        <v>2.1410421359603338E-3</v>
      </c>
    </row>
    <row r="8899" spans="18:21" x14ac:dyDescent="0.2">
      <c r="R8899" s="49">
        <v>8897</v>
      </c>
      <c r="S8899" s="59">
        <f ca="1">Dashboard!B$8* Dashboard!$F$4+Dashboard!B$10*SQRT(Dashboard!$F$4) * _xlfn.NORM.S.INV(RAND())</f>
        <v>4.331301908911922E-2</v>
      </c>
      <c r="T8899" s="59">
        <f ca="1">Dashboard!C$8* Dashboard!$F$4+Dashboard!C$10*SQRT(Dashboard!$F$4) * _xlfn.NORM.S.INV(RAND())</f>
        <v>3.3479109178131655E-2</v>
      </c>
      <c r="U8899" s="59">
        <f ca="1">Dashboard!D$8* Dashboard!$F$4+Dashboard!D$10*SQRT(Dashboard!$F$4) * _xlfn.NORM.S.INV(RAND())</f>
        <v>-4.9307295927489017E-2</v>
      </c>
    </row>
    <row r="8900" spans="18:21" x14ac:dyDescent="0.2">
      <c r="R8900" s="49">
        <v>8898</v>
      </c>
      <c r="S8900" s="59">
        <f ca="1">Dashboard!B$8* Dashboard!$F$4+Dashboard!B$10*SQRT(Dashboard!$F$4) * _xlfn.NORM.S.INV(RAND())</f>
        <v>-3.6733261528237006E-2</v>
      </c>
      <c r="T8900" s="59">
        <f ca="1">Dashboard!C$8* Dashboard!$F$4+Dashboard!C$10*SQRT(Dashboard!$F$4) * _xlfn.NORM.S.INV(RAND())</f>
        <v>-7.7178593967886086E-3</v>
      </c>
      <c r="U8900" s="59">
        <f ca="1">Dashboard!D$8* Dashboard!$F$4+Dashboard!D$10*SQRT(Dashboard!$F$4) * _xlfn.NORM.S.INV(RAND())</f>
        <v>-4.2011245457279627E-2</v>
      </c>
    </row>
    <row r="8901" spans="18:21" x14ac:dyDescent="0.2">
      <c r="R8901" s="49">
        <v>8899</v>
      </c>
      <c r="S8901" s="59">
        <f ca="1">Dashboard!B$8* Dashboard!$F$4+Dashboard!B$10*SQRT(Dashboard!$F$4) * _xlfn.NORM.S.INV(RAND())</f>
        <v>7.7983287577663065E-3</v>
      </c>
      <c r="T8901" s="59">
        <f ca="1">Dashboard!C$8* Dashboard!$F$4+Dashboard!C$10*SQRT(Dashboard!$F$4) * _xlfn.NORM.S.INV(RAND())</f>
        <v>1.2143470946121976E-2</v>
      </c>
      <c r="U8901" s="59">
        <f ca="1">Dashboard!D$8* Dashboard!$F$4+Dashboard!D$10*SQRT(Dashboard!$F$4) * _xlfn.NORM.S.INV(RAND())</f>
        <v>-3.2180463824207552E-3</v>
      </c>
    </row>
    <row r="8902" spans="18:21" x14ac:dyDescent="0.2">
      <c r="R8902" s="49">
        <v>8900</v>
      </c>
      <c r="S8902" s="59">
        <f ca="1">Dashboard!B$8* Dashboard!$F$4+Dashboard!B$10*SQRT(Dashboard!$F$4) * _xlfn.NORM.S.INV(RAND())</f>
        <v>-3.232235904619838E-2</v>
      </c>
      <c r="T8902" s="59">
        <f ca="1">Dashboard!C$8* Dashboard!$F$4+Dashboard!C$10*SQRT(Dashboard!$F$4) * _xlfn.NORM.S.INV(RAND())</f>
        <v>3.0042031277873311E-2</v>
      </c>
      <c r="U8902" s="59">
        <f ca="1">Dashboard!D$8* Dashboard!$F$4+Dashboard!D$10*SQRT(Dashboard!$F$4) * _xlfn.NORM.S.INV(RAND())</f>
        <v>3.8042116425112522E-2</v>
      </c>
    </row>
    <row r="8903" spans="18:21" x14ac:dyDescent="0.2">
      <c r="R8903" s="49">
        <v>8901</v>
      </c>
      <c r="S8903" s="59">
        <f ca="1">Dashboard!B$8* Dashboard!$F$4+Dashboard!B$10*SQRT(Dashboard!$F$4) * _xlfn.NORM.S.INV(RAND())</f>
        <v>1.87665130516333E-2</v>
      </c>
      <c r="T8903" s="59">
        <f ca="1">Dashboard!C$8* Dashboard!$F$4+Dashboard!C$10*SQRT(Dashboard!$F$4) * _xlfn.NORM.S.INV(RAND())</f>
        <v>3.9128980565092085E-2</v>
      </c>
      <c r="U8903" s="59">
        <f ca="1">Dashboard!D$8* Dashboard!$F$4+Dashboard!D$10*SQRT(Dashboard!$F$4) * _xlfn.NORM.S.INV(RAND())</f>
        <v>-2.1655258393147813E-2</v>
      </c>
    </row>
    <row r="8904" spans="18:21" x14ac:dyDescent="0.2">
      <c r="R8904" s="49">
        <v>8902</v>
      </c>
      <c r="S8904" s="59">
        <f ca="1">Dashboard!B$8* Dashboard!$F$4+Dashboard!B$10*SQRT(Dashboard!$F$4) * _xlfn.NORM.S.INV(RAND())</f>
        <v>1.1853441334879073E-2</v>
      </c>
      <c r="T8904" s="59">
        <f ca="1">Dashboard!C$8* Dashboard!$F$4+Dashboard!C$10*SQRT(Dashboard!$F$4) * _xlfn.NORM.S.INV(RAND())</f>
        <v>2.8938548802693431E-2</v>
      </c>
      <c r="U8904" s="59">
        <f ca="1">Dashboard!D$8* Dashboard!$F$4+Dashboard!D$10*SQRT(Dashboard!$F$4) * _xlfn.NORM.S.INV(RAND())</f>
        <v>9.4778096510631637E-3</v>
      </c>
    </row>
    <row r="8905" spans="18:21" x14ac:dyDescent="0.2">
      <c r="R8905" s="49">
        <v>8903</v>
      </c>
      <c r="S8905" s="59">
        <f ca="1">Dashboard!B$8* Dashboard!$F$4+Dashboard!B$10*SQRT(Dashboard!$F$4) * _xlfn.NORM.S.INV(RAND())</f>
        <v>3.0636674290138678E-3</v>
      </c>
      <c r="T8905" s="59">
        <f ca="1">Dashboard!C$8* Dashboard!$F$4+Dashboard!C$10*SQRT(Dashboard!$F$4) * _xlfn.NORM.S.INV(RAND())</f>
        <v>7.336611876620552E-3</v>
      </c>
      <c r="U8905" s="59">
        <f ca="1">Dashboard!D$8* Dashboard!$F$4+Dashboard!D$10*SQRT(Dashboard!$F$4) * _xlfn.NORM.S.INV(RAND())</f>
        <v>3.4750757891131308E-2</v>
      </c>
    </row>
    <row r="8906" spans="18:21" x14ac:dyDescent="0.2">
      <c r="R8906" s="49">
        <v>8904</v>
      </c>
      <c r="S8906" s="59">
        <f ca="1">Dashboard!B$8* Dashboard!$F$4+Dashboard!B$10*SQRT(Dashboard!$F$4) * _xlfn.NORM.S.INV(RAND())</f>
        <v>-1.1014916467157038E-2</v>
      </c>
      <c r="T8906" s="59">
        <f ca="1">Dashboard!C$8* Dashboard!$F$4+Dashboard!C$10*SQRT(Dashboard!$F$4) * _xlfn.NORM.S.INV(RAND())</f>
        <v>2.9276901321143904E-2</v>
      </c>
      <c r="U8906" s="59">
        <f ca="1">Dashboard!D$8* Dashboard!$F$4+Dashboard!D$10*SQRT(Dashboard!$F$4) * _xlfn.NORM.S.INV(RAND())</f>
        <v>4.6076969954147069E-2</v>
      </c>
    </row>
    <row r="8907" spans="18:21" x14ac:dyDescent="0.2">
      <c r="R8907" s="49">
        <v>8905</v>
      </c>
      <c r="S8907" s="59">
        <f ca="1">Dashboard!B$8* Dashboard!$F$4+Dashboard!B$10*SQRT(Dashboard!$F$4) * _xlfn.NORM.S.INV(RAND())</f>
        <v>-2.8113740416481403E-2</v>
      </c>
      <c r="T8907" s="59">
        <f ca="1">Dashboard!C$8* Dashboard!$F$4+Dashboard!C$10*SQRT(Dashboard!$F$4) * _xlfn.NORM.S.INV(RAND())</f>
        <v>2.3150496680560736E-2</v>
      </c>
      <c r="U8907" s="59">
        <f ca="1">Dashboard!D$8* Dashboard!$F$4+Dashboard!D$10*SQRT(Dashboard!$F$4) * _xlfn.NORM.S.INV(RAND())</f>
        <v>-1.9161723569651817E-2</v>
      </c>
    </row>
    <row r="8908" spans="18:21" x14ac:dyDescent="0.2">
      <c r="R8908" s="49">
        <v>8906</v>
      </c>
      <c r="S8908" s="59">
        <f ca="1">Dashboard!B$8* Dashboard!$F$4+Dashboard!B$10*SQRT(Dashboard!$F$4) * _xlfn.NORM.S.INV(RAND())</f>
        <v>-2.1228016751730056E-2</v>
      </c>
      <c r="T8908" s="59">
        <f ca="1">Dashboard!C$8* Dashboard!$F$4+Dashboard!C$10*SQRT(Dashboard!$F$4) * _xlfn.NORM.S.INV(RAND())</f>
        <v>5.6849259317202111E-2</v>
      </c>
      <c r="U8908" s="59">
        <f ca="1">Dashboard!D$8* Dashboard!$F$4+Dashboard!D$10*SQRT(Dashboard!$F$4) * _xlfn.NORM.S.INV(RAND())</f>
        <v>-2.666214320690112E-2</v>
      </c>
    </row>
    <row r="8909" spans="18:21" x14ac:dyDescent="0.2">
      <c r="R8909" s="49">
        <v>8907</v>
      </c>
      <c r="S8909" s="59">
        <f ca="1">Dashboard!B$8* Dashboard!$F$4+Dashboard!B$10*SQRT(Dashboard!$F$4) * _xlfn.NORM.S.INV(RAND())</f>
        <v>3.3501504276550235E-2</v>
      </c>
      <c r="T8909" s="59">
        <f ca="1">Dashboard!C$8* Dashboard!$F$4+Dashboard!C$10*SQRT(Dashboard!$F$4) * _xlfn.NORM.S.INV(RAND())</f>
        <v>5.1781509982075383E-2</v>
      </c>
      <c r="U8909" s="59">
        <f ca="1">Dashboard!D$8* Dashboard!$F$4+Dashboard!D$10*SQRT(Dashboard!$F$4) * _xlfn.NORM.S.INV(RAND())</f>
        <v>1.149928424519244E-2</v>
      </c>
    </row>
    <row r="8910" spans="18:21" x14ac:dyDescent="0.2">
      <c r="R8910" s="49">
        <v>8908</v>
      </c>
      <c r="S8910" s="59">
        <f ca="1">Dashboard!B$8* Dashboard!$F$4+Dashboard!B$10*SQRT(Dashboard!$F$4) * _xlfn.NORM.S.INV(RAND())</f>
        <v>-1.166751438370163E-2</v>
      </c>
      <c r="T8910" s="59">
        <f ca="1">Dashboard!C$8* Dashboard!$F$4+Dashboard!C$10*SQRT(Dashboard!$F$4) * _xlfn.NORM.S.INV(RAND())</f>
        <v>2.6647009985463963E-2</v>
      </c>
      <c r="U8910" s="59">
        <f ca="1">Dashboard!D$8* Dashboard!$F$4+Dashboard!D$10*SQRT(Dashboard!$F$4) * _xlfn.NORM.S.INV(RAND())</f>
        <v>-2.2446377138186535E-2</v>
      </c>
    </row>
    <row r="8911" spans="18:21" x14ac:dyDescent="0.2">
      <c r="R8911" s="49">
        <v>8909</v>
      </c>
      <c r="S8911" s="59">
        <f ca="1">Dashboard!B$8* Dashboard!$F$4+Dashboard!B$10*SQRT(Dashboard!$F$4) * _xlfn.NORM.S.INV(RAND())</f>
        <v>1.9040113695985045E-2</v>
      </c>
      <c r="T8911" s="59">
        <f ca="1">Dashboard!C$8* Dashboard!$F$4+Dashboard!C$10*SQRT(Dashboard!$F$4) * _xlfn.NORM.S.INV(RAND())</f>
        <v>-3.2412142407765146E-2</v>
      </c>
      <c r="U8911" s="59">
        <f ca="1">Dashboard!D$8* Dashboard!$F$4+Dashboard!D$10*SQRT(Dashboard!$F$4) * _xlfn.NORM.S.INV(RAND())</f>
        <v>-5.3027698659437926E-2</v>
      </c>
    </row>
    <row r="8912" spans="18:21" x14ac:dyDescent="0.2">
      <c r="R8912" s="49">
        <v>8910</v>
      </c>
      <c r="S8912" s="59">
        <f ca="1">Dashboard!B$8* Dashboard!$F$4+Dashboard!B$10*SQRT(Dashboard!$F$4) * _xlfn.NORM.S.INV(RAND())</f>
        <v>-1.2657389080606089E-2</v>
      </c>
      <c r="T8912" s="59">
        <f ca="1">Dashboard!C$8* Dashboard!$F$4+Dashboard!C$10*SQRT(Dashboard!$F$4) * _xlfn.NORM.S.INV(RAND())</f>
        <v>1.236099653935635E-2</v>
      </c>
      <c r="U8912" s="59">
        <f ca="1">Dashboard!D$8* Dashboard!$F$4+Dashboard!D$10*SQRT(Dashboard!$F$4) * _xlfn.NORM.S.INV(RAND())</f>
        <v>2.5193621214925219E-2</v>
      </c>
    </row>
    <row r="8913" spans="18:21" x14ac:dyDescent="0.2">
      <c r="R8913" s="49">
        <v>8911</v>
      </c>
      <c r="S8913" s="59">
        <f ca="1">Dashboard!B$8* Dashboard!$F$4+Dashboard!B$10*SQRT(Dashboard!$F$4) * _xlfn.NORM.S.INV(RAND())</f>
        <v>-2.8346424464362543E-2</v>
      </c>
      <c r="T8913" s="59">
        <f ca="1">Dashboard!C$8* Dashboard!$F$4+Dashboard!C$10*SQRT(Dashboard!$F$4) * _xlfn.NORM.S.INV(RAND())</f>
        <v>-5.1950105433184998E-2</v>
      </c>
      <c r="U8913" s="59">
        <f ca="1">Dashboard!D$8* Dashboard!$F$4+Dashboard!D$10*SQRT(Dashboard!$F$4) * _xlfn.NORM.S.INV(RAND())</f>
        <v>-1.8252888862830628E-2</v>
      </c>
    </row>
    <row r="8914" spans="18:21" x14ac:dyDescent="0.2">
      <c r="R8914" s="49">
        <v>8912</v>
      </c>
      <c r="S8914" s="59">
        <f ca="1">Dashboard!B$8* Dashboard!$F$4+Dashboard!B$10*SQRT(Dashboard!$F$4) * _xlfn.NORM.S.INV(RAND())</f>
        <v>-5.6253313677222569E-2</v>
      </c>
      <c r="T8914" s="59">
        <f ca="1">Dashboard!C$8* Dashboard!$F$4+Dashboard!C$10*SQRT(Dashboard!$F$4) * _xlfn.NORM.S.INV(RAND())</f>
        <v>-1.0924197477205213E-2</v>
      </c>
      <c r="U8914" s="59">
        <f ca="1">Dashboard!D$8* Dashboard!$F$4+Dashboard!D$10*SQRT(Dashboard!$F$4) * _xlfn.NORM.S.INV(RAND())</f>
        <v>3.7410831478995245E-2</v>
      </c>
    </row>
    <row r="8915" spans="18:21" x14ac:dyDescent="0.2">
      <c r="R8915" s="49">
        <v>8913</v>
      </c>
      <c r="S8915" s="59">
        <f ca="1">Dashboard!B$8* Dashboard!$F$4+Dashboard!B$10*SQRT(Dashboard!$F$4) * _xlfn.NORM.S.INV(RAND())</f>
        <v>-2.1626062110357738E-2</v>
      </c>
      <c r="T8915" s="59">
        <f ca="1">Dashboard!C$8* Dashboard!$F$4+Dashboard!C$10*SQRT(Dashboard!$F$4) * _xlfn.NORM.S.INV(RAND())</f>
        <v>-9.1656606825453561E-3</v>
      </c>
      <c r="U8915" s="59">
        <f ca="1">Dashboard!D$8* Dashboard!$F$4+Dashboard!D$10*SQRT(Dashboard!$F$4) * _xlfn.NORM.S.INV(RAND())</f>
        <v>2.055999872062883E-2</v>
      </c>
    </row>
    <row r="8916" spans="18:21" x14ac:dyDescent="0.2">
      <c r="R8916" s="49">
        <v>8914</v>
      </c>
      <c r="S8916" s="59">
        <f ca="1">Dashboard!B$8* Dashboard!$F$4+Dashboard!B$10*SQRT(Dashboard!$F$4) * _xlfn.NORM.S.INV(RAND())</f>
        <v>6.0175329905598013E-2</v>
      </c>
      <c r="T8916" s="59">
        <f ca="1">Dashboard!C$8* Dashboard!$F$4+Dashboard!C$10*SQRT(Dashboard!$F$4) * _xlfn.NORM.S.INV(RAND())</f>
        <v>-1.257309831576604E-2</v>
      </c>
      <c r="U8916" s="59">
        <f ca="1">Dashboard!D$8* Dashboard!$F$4+Dashboard!D$10*SQRT(Dashboard!$F$4) * _xlfn.NORM.S.INV(RAND())</f>
        <v>2.9592406165427344E-2</v>
      </c>
    </row>
    <row r="8917" spans="18:21" x14ac:dyDescent="0.2">
      <c r="R8917" s="49">
        <v>8915</v>
      </c>
      <c r="S8917" s="59">
        <f ca="1">Dashboard!B$8* Dashboard!$F$4+Dashboard!B$10*SQRT(Dashboard!$F$4) * _xlfn.NORM.S.INV(RAND())</f>
        <v>9.995138900352505E-3</v>
      </c>
      <c r="T8917" s="59">
        <f ca="1">Dashboard!C$8* Dashboard!$F$4+Dashboard!C$10*SQRT(Dashboard!$F$4) * _xlfn.NORM.S.INV(RAND())</f>
        <v>2.6720506797778428E-2</v>
      </c>
      <c r="U8917" s="59">
        <f ca="1">Dashboard!D$8* Dashboard!$F$4+Dashboard!D$10*SQRT(Dashboard!$F$4) * _xlfn.NORM.S.INV(RAND())</f>
        <v>-7.4930655148400097E-2</v>
      </c>
    </row>
    <row r="8918" spans="18:21" x14ac:dyDescent="0.2">
      <c r="R8918" s="49">
        <v>8916</v>
      </c>
      <c r="S8918" s="59">
        <f ca="1">Dashboard!B$8* Dashboard!$F$4+Dashboard!B$10*SQRT(Dashboard!$F$4) * _xlfn.NORM.S.INV(RAND())</f>
        <v>-2.8112781725322632E-2</v>
      </c>
      <c r="T8918" s="59">
        <f ca="1">Dashboard!C$8* Dashboard!$F$4+Dashboard!C$10*SQRT(Dashboard!$F$4) * _xlfn.NORM.S.INV(RAND())</f>
        <v>9.901306563570321E-3</v>
      </c>
      <c r="U8918" s="59">
        <f ca="1">Dashboard!D$8* Dashboard!$F$4+Dashboard!D$10*SQRT(Dashboard!$F$4) * _xlfn.NORM.S.INV(RAND())</f>
        <v>3.285591401286593E-2</v>
      </c>
    </row>
    <row r="8919" spans="18:21" x14ac:dyDescent="0.2">
      <c r="R8919" s="49">
        <v>8917</v>
      </c>
      <c r="S8919" s="59">
        <f ca="1">Dashboard!B$8* Dashboard!$F$4+Dashboard!B$10*SQRT(Dashboard!$F$4) * _xlfn.NORM.S.INV(RAND())</f>
        <v>-4.4841942723475567E-2</v>
      </c>
      <c r="T8919" s="59">
        <f ca="1">Dashboard!C$8* Dashboard!$F$4+Dashboard!C$10*SQRT(Dashboard!$F$4) * _xlfn.NORM.S.INV(RAND())</f>
        <v>8.1676353479271158E-2</v>
      </c>
      <c r="U8919" s="59">
        <f ca="1">Dashboard!D$8* Dashboard!$F$4+Dashboard!D$10*SQRT(Dashboard!$F$4) * _xlfn.NORM.S.INV(RAND())</f>
        <v>-2.8641984546543219E-2</v>
      </c>
    </row>
    <row r="8920" spans="18:21" x14ac:dyDescent="0.2">
      <c r="R8920" s="49">
        <v>8918</v>
      </c>
      <c r="S8920" s="59">
        <f ca="1">Dashboard!B$8* Dashboard!$F$4+Dashboard!B$10*SQRT(Dashboard!$F$4) * _xlfn.NORM.S.INV(RAND())</f>
        <v>1.1014599772982267E-2</v>
      </c>
      <c r="T8920" s="59">
        <f ca="1">Dashboard!C$8* Dashboard!$F$4+Dashboard!C$10*SQRT(Dashboard!$F$4) * _xlfn.NORM.S.INV(RAND())</f>
        <v>2.2835658661194438E-2</v>
      </c>
      <c r="U8920" s="59">
        <f ca="1">Dashboard!D$8* Dashboard!$F$4+Dashboard!D$10*SQRT(Dashboard!$F$4) * _xlfn.NORM.S.INV(RAND())</f>
        <v>-6.4877913029512463E-3</v>
      </c>
    </row>
    <row r="8921" spans="18:21" x14ac:dyDescent="0.2">
      <c r="R8921" s="49">
        <v>8919</v>
      </c>
      <c r="S8921" s="59">
        <f ca="1">Dashboard!B$8* Dashboard!$F$4+Dashboard!B$10*SQRT(Dashboard!$F$4) * _xlfn.NORM.S.INV(RAND())</f>
        <v>1.1392082528464303E-2</v>
      </c>
      <c r="T8921" s="59">
        <f ca="1">Dashboard!C$8* Dashboard!$F$4+Dashboard!C$10*SQRT(Dashboard!$F$4) * _xlfn.NORM.S.INV(RAND())</f>
        <v>3.29940817418422E-2</v>
      </c>
      <c r="U8921" s="59">
        <f ca="1">Dashboard!D$8* Dashboard!$F$4+Dashboard!D$10*SQRT(Dashboard!$F$4) * _xlfn.NORM.S.INV(RAND())</f>
        <v>1.6089654614306108E-2</v>
      </c>
    </row>
    <row r="8922" spans="18:21" x14ac:dyDescent="0.2">
      <c r="R8922" s="49">
        <v>8920</v>
      </c>
      <c r="S8922" s="59">
        <f ca="1">Dashboard!B$8* Dashboard!$F$4+Dashboard!B$10*SQRT(Dashboard!$F$4) * _xlfn.NORM.S.INV(RAND())</f>
        <v>2.3649286117230904E-2</v>
      </c>
      <c r="T8922" s="59">
        <f ca="1">Dashboard!C$8* Dashboard!$F$4+Dashboard!C$10*SQRT(Dashboard!$F$4) * _xlfn.NORM.S.INV(RAND())</f>
        <v>3.9690158876735437E-2</v>
      </c>
      <c r="U8922" s="59">
        <f ca="1">Dashboard!D$8* Dashboard!$F$4+Dashboard!D$10*SQRT(Dashboard!$F$4) * _xlfn.NORM.S.INV(RAND())</f>
        <v>3.0450109125034684E-2</v>
      </c>
    </row>
    <row r="8923" spans="18:21" x14ac:dyDescent="0.2">
      <c r="R8923" s="49">
        <v>8921</v>
      </c>
      <c r="S8923" s="59">
        <f ca="1">Dashboard!B$8* Dashboard!$F$4+Dashboard!B$10*SQRT(Dashboard!$F$4) * _xlfn.NORM.S.INV(RAND())</f>
        <v>4.0422584901381883E-2</v>
      </c>
      <c r="T8923" s="59">
        <f ca="1">Dashboard!C$8* Dashboard!$F$4+Dashboard!C$10*SQRT(Dashboard!$F$4) * _xlfn.NORM.S.INV(RAND())</f>
        <v>3.0959304324341408E-2</v>
      </c>
      <c r="U8923" s="59">
        <f ca="1">Dashboard!D$8* Dashboard!$F$4+Dashboard!D$10*SQRT(Dashboard!$F$4) * _xlfn.NORM.S.INV(RAND())</f>
        <v>-1.2446594385985771E-2</v>
      </c>
    </row>
    <row r="8924" spans="18:21" x14ac:dyDescent="0.2">
      <c r="R8924" s="49">
        <v>8922</v>
      </c>
      <c r="S8924" s="59">
        <f ca="1">Dashboard!B$8* Dashboard!$F$4+Dashboard!B$10*SQRT(Dashboard!$F$4) * _xlfn.NORM.S.INV(RAND())</f>
        <v>1.8211392021035173E-2</v>
      </c>
      <c r="T8924" s="59">
        <f ca="1">Dashboard!C$8* Dashboard!$F$4+Dashboard!C$10*SQRT(Dashboard!$F$4) * _xlfn.NORM.S.INV(RAND())</f>
        <v>-5.4911556462528613E-2</v>
      </c>
      <c r="U8924" s="59">
        <f ca="1">Dashboard!D$8* Dashboard!$F$4+Dashboard!D$10*SQRT(Dashboard!$F$4) * _xlfn.NORM.S.INV(RAND())</f>
        <v>-3.2541120047479589E-2</v>
      </c>
    </row>
    <row r="8925" spans="18:21" x14ac:dyDescent="0.2">
      <c r="R8925" s="49">
        <v>8923</v>
      </c>
      <c r="S8925" s="59">
        <f ca="1">Dashboard!B$8* Dashboard!$F$4+Dashboard!B$10*SQRT(Dashboard!$F$4) * _xlfn.NORM.S.INV(RAND())</f>
        <v>-2.2443451310941567E-2</v>
      </c>
      <c r="T8925" s="59">
        <f ca="1">Dashboard!C$8* Dashboard!$F$4+Dashboard!C$10*SQRT(Dashboard!$F$4) * _xlfn.NORM.S.INV(RAND())</f>
        <v>-1.036333026169578E-2</v>
      </c>
      <c r="U8925" s="59">
        <f ca="1">Dashboard!D$8* Dashboard!$F$4+Dashboard!D$10*SQRT(Dashboard!$F$4) * _xlfn.NORM.S.INV(RAND())</f>
        <v>-3.6634578210237023E-2</v>
      </c>
    </row>
    <row r="8926" spans="18:21" x14ac:dyDescent="0.2">
      <c r="R8926" s="49">
        <v>8924</v>
      </c>
      <c r="S8926" s="59">
        <f ca="1">Dashboard!B$8* Dashboard!$F$4+Dashboard!B$10*SQRT(Dashboard!$F$4) * _xlfn.NORM.S.INV(RAND())</f>
        <v>-5.1868576853421368E-2</v>
      </c>
      <c r="T8926" s="59">
        <f ca="1">Dashboard!C$8* Dashboard!$F$4+Dashboard!C$10*SQRT(Dashboard!$F$4) * _xlfn.NORM.S.INV(RAND())</f>
        <v>6.2503944322926289E-2</v>
      </c>
      <c r="U8926" s="59">
        <f ca="1">Dashboard!D$8* Dashboard!$F$4+Dashboard!D$10*SQRT(Dashboard!$F$4) * _xlfn.NORM.S.INV(RAND())</f>
        <v>-1.5447208673939228E-2</v>
      </c>
    </row>
    <row r="8927" spans="18:21" x14ac:dyDescent="0.2">
      <c r="R8927" s="49">
        <v>8925</v>
      </c>
      <c r="S8927" s="59">
        <f ca="1">Dashboard!B$8* Dashboard!$F$4+Dashboard!B$10*SQRT(Dashboard!$F$4) * _xlfn.NORM.S.INV(RAND())</f>
        <v>-4.3330429529860194E-2</v>
      </c>
      <c r="T8927" s="59">
        <f ca="1">Dashboard!C$8* Dashboard!$F$4+Dashboard!C$10*SQRT(Dashboard!$F$4) * _xlfn.NORM.S.INV(RAND())</f>
        <v>1.9154495834125169E-2</v>
      </c>
      <c r="U8927" s="59">
        <f ca="1">Dashboard!D$8* Dashboard!$F$4+Dashboard!D$10*SQRT(Dashboard!$F$4) * _xlfn.NORM.S.INV(RAND())</f>
        <v>-5.1302771823363456E-3</v>
      </c>
    </row>
    <row r="8928" spans="18:21" x14ac:dyDescent="0.2">
      <c r="R8928" s="49">
        <v>8926</v>
      </c>
      <c r="S8928" s="59">
        <f ca="1">Dashboard!B$8* Dashboard!$F$4+Dashboard!B$10*SQRT(Dashboard!$F$4) * _xlfn.NORM.S.INV(RAND())</f>
        <v>-4.2005128722489788E-3</v>
      </c>
      <c r="T8928" s="59">
        <f ca="1">Dashboard!C$8* Dashboard!$F$4+Dashboard!C$10*SQRT(Dashboard!$F$4) * _xlfn.NORM.S.INV(RAND())</f>
        <v>1.409032033811581E-2</v>
      </c>
      <c r="U8928" s="59">
        <f ca="1">Dashboard!D$8* Dashboard!$F$4+Dashboard!D$10*SQRT(Dashboard!$F$4) * _xlfn.NORM.S.INV(RAND())</f>
        <v>6.4022231935689823E-3</v>
      </c>
    </row>
    <row r="8929" spans="18:21" x14ac:dyDescent="0.2">
      <c r="R8929" s="49">
        <v>8927</v>
      </c>
      <c r="S8929" s="59">
        <f ca="1">Dashboard!B$8* Dashboard!$F$4+Dashboard!B$10*SQRT(Dashboard!$F$4) * _xlfn.NORM.S.INV(RAND())</f>
        <v>3.7601326021967668E-2</v>
      </c>
      <c r="T8929" s="59">
        <f ca="1">Dashboard!C$8* Dashboard!$F$4+Dashboard!C$10*SQRT(Dashboard!$F$4) * _xlfn.NORM.S.INV(RAND())</f>
        <v>-4.9714920278250826E-3</v>
      </c>
      <c r="U8929" s="59">
        <f ca="1">Dashboard!D$8* Dashboard!$F$4+Dashboard!D$10*SQRT(Dashboard!$F$4) * _xlfn.NORM.S.INV(RAND())</f>
        <v>2.0880390451645817E-2</v>
      </c>
    </row>
    <row r="8930" spans="18:21" x14ac:dyDescent="0.2">
      <c r="R8930" s="49">
        <v>8928</v>
      </c>
      <c r="S8930" s="59">
        <f ca="1">Dashboard!B$8* Dashboard!$F$4+Dashboard!B$10*SQRT(Dashboard!$F$4) * _xlfn.NORM.S.INV(RAND())</f>
        <v>-2.2533180509449732E-2</v>
      </c>
      <c r="T8930" s="59">
        <f ca="1">Dashboard!C$8* Dashboard!$F$4+Dashboard!C$10*SQRT(Dashboard!$F$4) * _xlfn.NORM.S.INV(RAND())</f>
        <v>-8.5498206540434059E-4</v>
      </c>
      <c r="U8930" s="59">
        <f ca="1">Dashboard!D$8* Dashboard!$F$4+Dashboard!D$10*SQRT(Dashboard!$F$4) * _xlfn.NORM.S.INV(RAND())</f>
        <v>-2.502162910183707E-2</v>
      </c>
    </row>
    <row r="8931" spans="18:21" x14ac:dyDescent="0.2">
      <c r="R8931" s="49">
        <v>8929</v>
      </c>
      <c r="S8931" s="59">
        <f ca="1">Dashboard!B$8* Dashboard!$F$4+Dashboard!B$10*SQRT(Dashboard!$F$4) * _xlfn.NORM.S.INV(RAND())</f>
        <v>2.702246542263894E-2</v>
      </c>
      <c r="T8931" s="59">
        <f ca="1">Dashboard!C$8* Dashboard!$F$4+Dashboard!C$10*SQRT(Dashboard!$F$4) * _xlfn.NORM.S.INV(RAND())</f>
        <v>4.6417962866332117E-2</v>
      </c>
      <c r="U8931" s="59">
        <f ca="1">Dashboard!D$8* Dashboard!$F$4+Dashboard!D$10*SQRT(Dashboard!$F$4) * _xlfn.NORM.S.INV(RAND())</f>
        <v>-4.2472695443607746E-2</v>
      </c>
    </row>
    <row r="8932" spans="18:21" x14ac:dyDescent="0.2">
      <c r="R8932" s="49">
        <v>8930</v>
      </c>
      <c r="S8932" s="59">
        <f ca="1">Dashboard!B$8* Dashboard!$F$4+Dashboard!B$10*SQRT(Dashboard!$F$4) * _xlfn.NORM.S.INV(RAND())</f>
        <v>-2.6388395057464998E-3</v>
      </c>
      <c r="T8932" s="59">
        <f ca="1">Dashboard!C$8* Dashboard!$F$4+Dashboard!C$10*SQRT(Dashboard!$F$4) * _xlfn.NORM.S.INV(RAND())</f>
        <v>-9.6834967050223181E-3</v>
      </c>
      <c r="U8932" s="59">
        <f ca="1">Dashboard!D$8* Dashboard!$F$4+Dashboard!D$10*SQRT(Dashboard!$F$4) * _xlfn.NORM.S.INV(RAND())</f>
        <v>2.4749733515404659E-2</v>
      </c>
    </row>
    <row r="8933" spans="18:21" x14ac:dyDescent="0.2">
      <c r="R8933" s="49">
        <v>8931</v>
      </c>
      <c r="S8933" s="59">
        <f ca="1">Dashboard!B$8* Dashboard!$F$4+Dashboard!B$10*SQRT(Dashboard!$F$4) * _xlfn.NORM.S.INV(RAND())</f>
        <v>8.5980979600706348E-3</v>
      </c>
      <c r="T8933" s="59">
        <f ca="1">Dashboard!C$8* Dashboard!$F$4+Dashboard!C$10*SQRT(Dashboard!$F$4) * _xlfn.NORM.S.INV(RAND())</f>
        <v>5.9155186945468652E-3</v>
      </c>
      <c r="U8933" s="59">
        <f ca="1">Dashboard!D$8* Dashboard!$F$4+Dashboard!D$10*SQRT(Dashboard!$F$4) * _xlfn.NORM.S.INV(RAND())</f>
        <v>9.5048775672999537E-3</v>
      </c>
    </row>
    <row r="8934" spans="18:21" x14ac:dyDescent="0.2">
      <c r="R8934" s="49">
        <v>8932</v>
      </c>
      <c r="S8934" s="59">
        <f ca="1">Dashboard!B$8* Dashboard!$F$4+Dashboard!B$10*SQRT(Dashboard!$F$4) * _xlfn.NORM.S.INV(RAND())</f>
        <v>1.2961199920960365E-2</v>
      </c>
      <c r="T8934" s="59">
        <f ca="1">Dashboard!C$8* Dashboard!$F$4+Dashboard!C$10*SQRT(Dashboard!$F$4) * _xlfn.NORM.S.INV(RAND())</f>
        <v>5.8793410071580083E-3</v>
      </c>
      <c r="U8934" s="59">
        <f ca="1">Dashboard!D$8* Dashboard!$F$4+Dashboard!D$10*SQRT(Dashboard!$F$4) * _xlfn.NORM.S.INV(RAND())</f>
        <v>-2.795762987118525E-2</v>
      </c>
    </row>
    <row r="8935" spans="18:21" x14ac:dyDescent="0.2">
      <c r="R8935" s="49">
        <v>8933</v>
      </c>
      <c r="S8935" s="59">
        <f ca="1">Dashboard!B$8* Dashboard!$F$4+Dashboard!B$10*SQRT(Dashboard!$F$4) * _xlfn.NORM.S.INV(RAND())</f>
        <v>3.4094333167972141E-2</v>
      </c>
      <c r="T8935" s="59">
        <f ca="1">Dashboard!C$8* Dashboard!$F$4+Dashboard!C$10*SQRT(Dashboard!$F$4) * _xlfn.NORM.S.INV(RAND())</f>
        <v>-3.0530969532395345E-2</v>
      </c>
      <c r="U8935" s="59">
        <f ca="1">Dashboard!D$8* Dashboard!$F$4+Dashboard!D$10*SQRT(Dashboard!$F$4) * _xlfn.NORM.S.INV(RAND())</f>
        <v>-9.4346620730842304E-4</v>
      </c>
    </row>
    <row r="8936" spans="18:21" x14ac:dyDescent="0.2">
      <c r="R8936" s="49">
        <v>8934</v>
      </c>
      <c r="S8936" s="59">
        <f ca="1">Dashboard!B$8* Dashboard!$F$4+Dashboard!B$10*SQRT(Dashboard!$F$4) * _xlfn.NORM.S.INV(RAND())</f>
        <v>-2.7902298634073362E-2</v>
      </c>
      <c r="T8936" s="59">
        <f ca="1">Dashboard!C$8* Dashboard!$F$4+Dashboard!C$10*SQRT(Dashboard!$F$4) * _xlfn.NORM.S.INV(RAND())</f>
        <v>-1.0999444956075421E-2</v>
      </c>
      <c r="U8936" s="59">
        <f ca="1">Dashboard!D$8* Dashboard!$F$4+Dashboard!D$10*SQRT(Dashboard!$F$4) * _xlfn.NORM.S.INV(RAND())</f>
        <v>3.7304898097087882E-2</v>
      </c>
    </row>
    <row r="8937" spans="18:21" x14ac:dyDescent="0.2">
      <c r="R8937" s="49">
        <v>8935</v>
      </c>
      <c r="S8937" s="59">
        <f ca="1">Dashboard!B$8* Dashboard!$F$4+Dashboard!B$10*SQRT(Dashboard!$F$4) * _xlfn.NORM.S.INV(RAND())</f>
        <v>-3.0734755759613076E-2</v>
      </c>
      <c r="T8937" s="59">
        <f ca="1">Dashboard!C$8* Dashboard!$F$4+Dashboard!C$10*SQRT(Dashboard!$F$4) * _xlfn.NORM.S.INV(RAND())</f>
        <v>1.6416874160527974E-2</v>
      </c>
      <c r="U8937" s="59">
        <f ca="1">Dashboard!D$8* Dashboard!$F$4+Dashboard!D$10*SQRT(Dashboard!$F$4) * _xlfn.NORM.S.INV(RAND())</f>
        <v>-9.8550590319787731E-3</v>
      </c>
    </row>
    <row r="8938" spans="18:21" x14ac:dyDescent="0.2">
      <c r="R8938" s="49">
        <v>8936</v>
      </c>
      <c r="S8938" s="59">
        <f ca="1">Dashboard!B$8* Dashboard!$F$4+Dashboard!B$10*SQRT(Dashboard!$F$4) * _xlfn.NORM.S.INV(RAND())</f>
        <v>-4.8236485597037033E-2</v>
      </c>
      <c r="T8938" s="59">
        <f ca="1">Dashboard!C$8* Dashboard!$F$4+Dashboard!C$10*SQRT(Dashboard!$F$4) * _xlfn.NORM.S.INV(RAND())</f>
        <v>1.3419570366075221E-2</v>
      </c>
      <c r="U8938" s="59">
        <f ca="1">Dashboard!D$8* Dashboard!$F$4+Dashboard!D$10*SQRT(Dashboard!$F$4) * _xlfn.NORM.S.INV(RAND())</f>
        <v>3.6487134788951964E-2</v>
      </c>
    </row>
    <row r="8939" spans="18:21" x14ac:dyDescent="0.2">
      <c r="R8939" s="49">
        <v>8937</v>
      </c>
      <c r="S8939" s="59">
        <f ca="1">Dashboard!B$8* Dashboard!$F$4+Dashboard!B$10*SQRT(Dashboard!$F$4) * _xlfn.NORM.S.INV(RAND())</f>
        <v>-5.805447319999691E-2</v>
      </c>
      <c r="T8939" s="59">
        <f ca="1">Dashboard!C$8* Dashboard!$F$4+Dashboard!C$10*SQRT(Dashboard!$F$4) * _xlfn.NORM.S.INV(RAND())</f>
        <v>-2.8000669931931916E-2</v>
      </c>
      <c r="U8939" s="59">
        <f ca="1">Dashboard!D$8* Dashboard!$F$4+Dashboard!D$10*SQRT(Dashboard!$F$4) * _xlfn.NORM.S.INV(RAND())</f>
        <v>-3.2636094960517378E-2</v>
      </c>
    </row>
    <row r="8940" spans="18:21" x14ac:dyDescent="0.2">
      <c r="R8940" s="49">
        <v>8938</v>
      </c>
      <c r="S8940" s="59">
        <f ca="1">Dashboard!B$8* Dashboard!$F$4+Dashboard!B$10*SQRT(Dashboard!$F$4) * _xlfn.NORM.S.INV(RAND())</f>
        <v>-4.0906015932952171E-2</v>
      </c>
      <c r="T8940" s="59">
        <f ca="1">Dashboard!C$8* Dashboard!$F$4+Dashboard!C$10*SQRT(Dashboard!$F$4) * _xlfn.NORM.S.INV(RAND())</f>
        <v>-6.5147935423123205E-3</v>
      </c>
      <c r="U8940" s="59">
        <f ca="1">Dashboard!D$8* Dashboard!$F$4+Dashboard!D$10*SQRT(Dashboard!$F$4) * _xlfn.NORM.S.INV(RAND())</f>
        <v>3.096073395105153E-3</v>
      </c>
    </row>
    <row r="8941" spans="18:21" x14ac:dyDescent="0.2">
      <c r="R8941" s="49">
        <v>8939</v>
      </c>
      <c r="S8941" s="59">
        <f ca="1">Dashboard!B$8* Dashboard!$F$4+Dashboard!B$10*SQRT(Dashboard!$F$4) * _xlfn.NORM.S.INV(RAND())</f>
        <v>5.9556807664183031E-2</v>
      </c>
      <c r="T8941" s="59">
        <f ca="1">Dashboard!C$8* Dashboard!$F$4+Dashboard!C$10*SQRT(Dashboard!$F$4) * _xlfn.NORM.S.INV(RAND())</f>
        <v>2.5172327401600317E-2</v>
      </c>
      <c r="U8941" s="59">
        <f ca="1">Dashboard!D$8* Dashboard!$F$4+Dashboard!D$10*SQRT(Dashboard!$F$4) * _xlfn.NORM.S.INV(RAND())</f>
        <v>-1.3875687252791818E-2</v>
      </c>
    </row>
    <row r="8942" spans="18:21" x14ac:dyDescent="0.2">
      <c r="R8942" s="49">
        <v>8940</v>
      </c>
      <c r="S8942" s="59">
        <f ca="1">Dashboard!B$8* Dashboard!$F$4+Dashboard!B$10*SQRT(Dashboard!$F$4) * _xlfn.NORM.S.INV(RAND())</f>
        <v>2.9923352924394866E-2</v>
      </c>
      <c r="T8942" s="59">
        <f ca="1">Dashboard!C$8* Dashboard!$F$4+Dashboard!C$10*SQRT(Dashboard!$F$4) * _xlfn.NORM.S.INV(RAND())</f>
        <v>2.3526357322832675E-2</v>
      </c>
      <c r="U8942" s="59">
        <f ca="1">Dashboard!D$8* Dashboard!$F$4+Dashboard!D$10*SQRT(Dashboard!$F$4) * _xlfn.NORM.S.INV(RAND())</f>
        <v>1.401446945721915E-2</v>
      </c>
    </row>
    <row r="8943" spans="18:21" x14ac:dyDescent="0.2">
      <c r="R8943" s="49">
        <v>8941</v>
      </c>
      <c r="S8943" s="59">
        <f ca="1">Dashboard!B$8* Dashboard!$F$4+Dashboard!B$10*SQRT(Dashboard!$F$4) * _xlfn.NORM.S.INV(RAND())</f>
        <v>5.8718162245044499E-3</v>
      </c>
      <c r="T8943" s="59">
        <f ca="1">Dashboard!C$8* Dashboard!$F$4+Dashboard!C$10*SQRT(Dashboard!$F$4) * _xlfn.NORM.S.INV(RAND())</f>
        <v>7.6394919144565174E-3</v>
      </c>
      <c r="U8943" s="59">
        <f ca="1">Dashboard!D$8* Dashboard!$F$4+Dashboard!D$10*SQRT(Dashboard!$F$4) * _xlfn.NORM.S.INV(RAND())</f>
        <v>-1.9009599566515115E-2</v>
      </c>
    </row>
    <row r="8944" spans="18:21" x14ac:dyDescent="0.2">
      <c r="R8944" s="49">
        <v>8942</v>
      </c>
      <c r="S8944" s="59">
        <f ca="1">Dashboard!B$8* Dashboard!$F$4+Dashboard!B$10*SQRT(Dashboard!$F$4) * _xlfn.NORM.S.INV(RAND())</f>
        <v>7.9574038659603538E-3</v>
      </c>
      <c r="T8944" s="59">
        <f ca="1">Dashboard!C$8* Dashboard!$F$4+Dashboard!C$10*SQRT(Dashboard!$F$4) * _xlfn.NORM.S.INV(RAND())</f>
        <v>-6.5961136569934145E-2</v>
      </c>
      <c r="U8944" s="59">
        <f ca="1">Dashboard!D$8* Dashboard!$F$4+Dashboard!D$10*SQRT(Dashboard!$F$4) * _xlfn.NORM.S.INV(RAND())</f>
        <v>-1.0042158017477794E-2</v>
      </c>
    </row>
    <row r="8945" spans="18:21" x14ac:dyDescent="0.2">
      <c r="R8945" s="49">
        <v>8943</v>
      </c>
      <c r="S8945" s="59">
        <f ca="1">Dashboard!B$8* Dashboard!$F$4+Dashboard!B$10*SQRT(Dashboard!$F$4) * _xlfn.NORM.S.INV(RAND())</f>
        <v>-2.3032143056368262E-2</v>
      </c>
      <c r="T8945" s="59">
        <f ca="1">Dashboard!C$8* Dashboard!$F$4+Dashboard!C$10*SQRT(Dashboard!$F$4) * _xlfn.NORM.S.INV(RAND())</f>
        <v>2.6310039152864076E-2</v>
      </c>
      <c r="U8945" s="59">
        <f ca="1">Dashboard!D$8* Dashboard!$F$4+Dashboard!D$10*SQRT(Dashboard!$F$4) * _xlfn.NORM.S.INV(RAND())</f>
        <v>2.4027417839402647E-2</v>
      </c>
    </row>
    <row r="8946" spans="18:21" x14ac:dyDescent="0.2">
      <c r="R8946" s="49">
        <v>8944</v>
      </c>
      <c r="S8946" s="59">
        <f ca="1">Dashboard!B$8* Dashboard!$F$4+Dashboard!B$10*SQRT(Dashboard!$F$4) * _xlfn.NORM.S.INV(RAND())</f>
        <v>7.9619035687814085E-3</v>
      </c>
      <c r="T8946" s="59">
        <f ca="1">Dashboard!C$8* Dashboard!$F$4+Dashboard!C$10*SQRT(Dashboard!$F$4) * _xlfn.NORM.S.INV(RAND())</f>
        <v>-2.0970056741317338E-2</v>
      </c>
      <c r="U8946" s="59">
        <f ca="1">Dashboard!D$8* Dashboard!$F$4+Dashboard!D$10*SQRT(Dashboard!$F$4) * _xlfn.NORM.S.INV(RAND())</f>
        <v>-2.8055888649340575E-2</v>
      </c>
    </row>
    <row r="8947" spans="18:21" x14ac:dyDescent="0.2">
      <c r="R8947" s="49">
        <v>8945</v>
      </c>
      <c r="S8947" s="59">
        <f ca="1">Dashboard!B$8* Dashboard!$F$4+Dashboard!B$10*SQRT(Dashboard!$F$4) * _xlfn.NORM.S.INV(RAND())</f>
        <v>-7.4458877202379283E-3</v>
      </c>
      <c r="T8947" s="59">
        <f ca="1">Dashboard!C$8* Dashboard!$F$4+Dashboard!C$10*SQRT(Dashboard!$F$4) * _xlfn.NORM.S.INV(RAND())</f>
        <v>-7.9716955645046106E-3</v>
      </c>
      <c r="U8947" s="59">
        <f ca="1">Dashboard!D$8* Dashboard!$F$4+Dashboard!D$10*SQRT(Dashboard!$F$4) * _xlfn.NORM.S.INV(RAND())</f>
        <v>-2.2820338877801764E-2</v>
      </c>
    </row>
    <row r="8948" spans="18:21" x14ac:dyDescent="0.2">
      <c r="R8948" s="49">
        <v>8946</v>
      </c>
      <c r="S8948" s="59">
        <f ca="1">Dashboard!B$8* Dashboard!$F$4+Dashboard!B$10*SQRT(Dashboard!$F$4) * _xlfn.NORM.S.INV(RAND())</f>
        <v>-1.5262508358814824E-2</v>
      </c>
      <c r="T8948" s="59">
        <f ca="1">Dashboard!C$8* Dashboard!$F$4+Dashboard!C$10*SQRT(Dashboard!$F$4) * _xlfn.NORM.S.INV(RAND())</f>
        <v>7.3918438855011181E-3</v>
      </c>
      <c r="U8948" s="59">
        <f ca="1">Dashboard!D$8* Dashboard!$F$4+Dashboard!D$10*SQRT(Dashboard!$F$4) * _xlfn.NORM.S.INV(RAND())</f>
        <v>-4.2737125908222443E-3</v>
      </c>
    </row>
    <row r="8949" spans="18:21" x14ac:dyDescent="0.2">
      <c r="R8949" s="49">
        <v>8947</v>
      </c>
      <c r="S8949" s="59">
        <f ca="1">Dashboard!B$8* Dashboard!$F$4+Dashboard!B$10*SQRT(Dashboard!$F$4) * _xlfn.NORM.S.INV(RAND())</f>
        <v>4.1094042231959838E-2</v>
      </c>
      <c r="T8949" s="59">
        <f ca="1">Dashboard!C$8* Dashboard!$F$4+Dashboard!C$10*SQRT(Dashboard!$F$4) * _xlfn.NORM.S.INV(RAND())</f>
        <v>-2.171220193713105E-2</v>
      </c>
      <c r="U8949" s="59">
        <f ca="1">Dashboard!D$8* Dashboard!$F$4+Dashboard!D$10*SQRT(Dashboard!$F$4) * _xlfn.NORM.S.INV(RAND())</f>
        <v>1.1998007018725595E-2</v>
      </c>
    </row>
    <row r="8950" spans="18:21" x14ac:dyDescent="0.2">
      <c r="R8950" s="49">
        <v>8948</v>
      </c>
      <c r="S8950" s="59">
        <f ca="1">Dashboard!B$8* Dashboard!$F$4+Dashboard!B$10*SQRT(Dashboard!$F$4) * _xlfn.NORM.S.INV(RAND())</f>
        <v>-6.0635608900568176E-2</v>
      </c>
      <c r="T8950" s="59">
        <f ca="1">Dashboard!C$8* Dashboard!$F$4+Dashboard!C$10*SQRT(Dashboard!$F$4) * _xlfn.NORM.S.INV(RAND())</f>
        <v>2.7476232253285309E-2</v>
      </c>
      <c r="U8950" s="59">
        <f ca="1">Dashboard!D$8* Dashboard!$F$4+Dashboard!D$10*SQRT(Dashboard!$F$4) * _xlfn.NORM.S.INV(RAND())</f>
        <v>-2.5292110297291039E-2</v>
      </c>
    </row>
    <row r="8951" spans="18:21" x14ac:dyDescent="0.2">
      <c r="R8951" s="49">
        <v>8949</v>
      </c>
      <c r="S8951" s="59">
        <f ca="1">Dashboard!B$8* Dashboard!$F$4+Dashboard!B$10*SQRT(Dashboard!$F$4) * _xlfn.NORM.S.INV(RAND())</f>
        <v>-1.6902455623622616E-2</v>
      </c>
      <c r="T8951" s="59">
        <f ca="1">Dashboard!C$8* Dashboard!$F$4+Dashboard!C$10*SQRT(Dashboard!$F$4) * _xlfn.NORM.S.INV(RAND())</f>
        <v>-9.7734821416464758E-3</v>
      </c>
      <c r="U8951" s="59">
        <f ca="1">Dashboard!D$8* Dashboard!$F$4+Dashboard!D$10*SQRT(Dashboard!$F$4) * _xlfn.NORM.S.INV(RAND())</f>
        <v>-2.010894322548535E-2</v>
      </c>
    </row>
    <row r="8952" spans="18:21" x14ac:dyDescent="0.2">
      <c r="R8952" s="49">
        <v>8950</v>
      </c>
      <c r="S8952" s="59">
        <f ca="1">Dashboard!B$8* Dashboard!$F$4+Dashboard!B$10*SQRT(Dashboard!$F$4) * _xlfn.NORM.S.INV(RAND())</f>
        <v>-5.6666909795494765E-3</v>
      </c>
      <c r="T8952" s="59">
        <f ca="1">Dashboard!C$8* Dashboard!$F$4+Dashboard!C$10*SQRT(Dashboard!$F$4) * _xlfn.NORM.S.INV(RAND())</f>
        <v>-3.3654243082779133E-3</v>
      </c>
      <c r="U8952" s="59">
        <f ca="1">Dashboard!D$8* Dashboard!$F$4+Dashboard!D$10*SQRT(Dashboard!$F$4) * _xlfn.NORM.S.INV(RAND())</f>
        <v>-5.2488628296027261E-2</v>
      </c>
    </row>
    <row r="8953" spans="18:21" x14ac:dyDescent="0.2">
      <c r="R8953" s="49">
        <v>8951</v>
      </c>
      <c r="S8953" s="59">
        <f ca="1">Dashboard!B$8* Dashboard!$F$4+Dashboard!B$10*SQRT(Dashboard!$F$4) * _xlfn.NORM.S.INV(RAND())</f>
        <v>1.019058115777572E-2</v>
      </c>
      <c r="T8953" s="59">
        <f ca="1">Dashboard!C$8* Dashboard!$F$4+Dashboard!C$10*SQRT(Dashboard!$F$4) * _xlfn.NORM.S.INV(RAND())</f>
        <v>3.9170734746206422E-2</v>
      </c>
      <c r="U8953" s="59">
        <f ca="1">Dashboard!D$8* Dashboard!$F$4+Dashboard!D$10*SQRT(Dashboard!$F$4) * _xlfn.NORM.S.INV(RAND())</f>
        <v>3.5752760931210496E-3</v>
      </c>
    </row>
    <row r="8954" spans="18:21" x14ac:dyDescent="0.2">
      <c r="R8954" s="49">
        <v>8952</v>
      </c>
      <c r="S8954" s="59">
        <f ca="1">Dashboard!B$8* Dashboard!$F$4+Dashboard!B$10*SQRT(Dashboard!$F$4) * _xlfn.NORM.S.INV(RAND())</f>
        <v>5.4531086299870919E-4</v>
      </c>
      <c r="T8954" s="59">
        <f ca="1">Dashboard!C$8* Dashboard!$F$4+Dashboard!C$10*SQRT(Dashboard!$F$4) * _xlfn.NORM.S.INV(RAND())</f>
        <v>5.9093624993833702E-3</v>
      </c>
      <c r="U8954" s="59">
        <f ca="1">Dashboard!D$8* Dashboard!$F$4+Dashboard!D$10*SQRT(Dashboard!$F$4) * _xlfn.NORM.S.INV(RAND())</f>
        <v>-3.805447905827204E-3</v>
      </c>
    </row>
    <row r="8955" spans="18:21" x14ac:dyDescent="0.2">
      <c r="R8955" s="49">
        <v>8953</v>
      </c>
      <c r="S8955" s="59">
        <f ca="1">Dashboard!B$8* Dashboard!$F$4+Dashboard!B$10*SQRT(Dashboard!$F$4) * _xlfn.NORM.S.INV(RAND())</f>
        <v>2.0747382641956913E-2</v>
      </c>
      <c r="T8955" s="59">
        <f ca="1">Dashboard!C$8* Dashboard!$F$4+Dashboard!C$10*SQRT(Dashboard!$F$4) * _xlfn.NORM.S.INV(RAND())</f>
        <v>3.0953954728026069E-2</v>
      </c>
      <c r="U8955" s="59">
        <f ca="1">Dashboard!D$8* Dashboard!$F$4+Dashboard!D$10*SQRT(Dashboard!$F$4) * _xlfn.NORM.S.INV(RAND())</f>
        <v>3.9404035278111406E-2</v>
      </c>
    </row>
    <row r="8956" spans="18:21" x14ac:dyDescent="0.2">
      <c r="R8956" s="49">
        <v>8954</v>
      </c>
      <c r="S8956" s="59">
        <f ca="1">Dashboard!B$8* Dashboard!$F$4+Dashboard!B$10*SQRT(Dashboard!$F$4) * _xlfn.NORM.S.INV(RAND())</f>
        <v>1.2160845081104632E-2</v>
      </c>
      <c r="T8956" s="59">
        <f ca="1">Dashboard!C$8* Dashboard!$F$4+Dashboard!C$10*SQRT(Dashboard!$F$4) * _xlfn.NORM.S.INV(RAND())</f>
        <v>-1.6066512774359314E-2</v>
      </c>
      <c r="U8956" s="59">
        <f ca="1">Dashboard!D$8* Dashboard!$F$4+Dashboard!D$10*SQRT(Dashboard!$F$4) * _xlfn.NORM.S.INV(RAND())</f>
        <v>3.5610653586752396E-2</v>
      </c>
    </row>
    <row r="8957" spans="18:21" x14ac:dyDescent="0.2">
      <c r="R8957" s="49">
        <v>8955</v>
      </c>
      <c r="S8957" s="59">
        <f ca="1">Dashboard!B$8* Dashboard!$F$4+Dashboard!B$10*SQRT(Dashboard!$F$4) * _xlfn.NORM.S.INV(RAND())</f>
        <v>-1.8440950500874881E-2</v>
      </c>
      <c r="T8957" s="59">
        <f ca="1">Dashboard!C$8* Dashboard!$F$4+Dashboard!C$10*SQRT(Dashboard!$F$4) * _xlfn.NORM.S.INV(RAND())</f>
        <v>6.6949034903675833E-2</v>
      </c>
      <c r="U8957" s="59">
        <f ca="1">Dashboard!D$8* Dashboard!$F$4+Dashboard!D$10*SQRT(Dashboard!$F$4) * _xlfn.NORM.S.INV(RAND())</f>
        <v>-1.8727290562304238E-3</v>
      </c>
    </row>
    <row r="8958" spans="18:21" x14ac:dyDescent="0.2">
      <c r="R8958" s="49">
        <v>8956</v>
      </c>
      <c r="S8958" s="59">
        <f ca="1">Dashboard!B$8* Dashboard!$F$4+Dashboard!B$10*SQRT(Dashboard!$F$4) * _xlfn.NORM.S.INV(RAND())</f>
        <v>-5.8167476622541639E-2</v>
      </c>
      <c r="T8958" s="59">
        <f ca="1">Dashboard!C$8* Dashboard!$F$4+Dashboard!C$10*SQRT(Dashboard!$F$4) * _xlfn.NORM.S.INV(RAND())</f>
        <v>2.264874925795634E-2</v>
      </c>
      <c r="U8958" s="59">
        <f ca="1">Dashboard!D$8* Dashboard!$F$4+Dashboard!D$10*SQRT(Dashboard!$F$4) * _xlfn.NORM.S.INV(RAND())</f>
        <v>5.3692173696336325E-2</v>
      </c>
    </row>
    <row r="8959" spans="18:21" x14ac:dyDescent="0.2">
      <c r="R8959" s="49">
        <v>8957</v>
      </c>
      <c r="S8959" s="59">
        <f ca="1">Dashboard!B$8* Dashboard!$F$4+Dashboard!B$10*SQRT(Dashboard!$F$4) * _xlfn.NORM.S.INV(RAND())</f>
        <v>6.1262760132044704E-3</v>
      </c>
      <c r="T8959" s="59">
        <f ca="1">Dashboard!C$8* Dashboard!$F$4+Dashboard!C$10*SQRT(Dashboard!$F$4) * _xlfn.NORM.S.INV(RAND())</f>
        <v>2.0840164816602353E-3</v>
      </c>
      <c r="U8959" s="59">
        <f ca="1">Dashboard!D$8* Dashboard!$F$4+Dashboard!D$10*SQRT(Dashboard!$F$4) * _xlfn.NORM.S.INV(RAND())</f>
        <v>1.3312783981769173E-2</v>
      </c>
    </row>
    <row r="8960" spans="18:21" x14ac:dyDescent="0.2">
      <c r="R8960" s="49">
        <v>8958</v>
      </c>
      <c r="S8960" s="59">
        <f ca="1">Dashboard!B$8* Dashboard!$F$4+Dashboard!B$10*SQRT(Dashboard!$F$4) * _xlfn.NORM.S.INV(RAND())</f>
        <v>-5.9534165800471391E-2</v>
      </c>
      <c r="T8960" s="59">
        <f ca="1">Dashboard!C$8* Dashboard!$F$4+Dashboard!C$10*SQRT(Dashboard!$F$4) * _xlfn.NORM.S.INV(RAND())</f>
        <v>2.1481648750283869E-2</v>
      </c>
      <c r="U8960" s="59">
        <f ca="1">Dashboard!D$8* Dashboard!$F$4+Dashboard!D$10*SQRT(Dashboard!$F$4) * _xlfn.NORM.S.INV(RAND())</f>
        <v>-2.6193234570193333E-2</v>
      </c>
    </row>
    <row r="8961" spans="18:21" x14ac:dyDescent="0.2">
      <c r="R8961" s="49">
        <v>8959</v>
      </c>
      <c r="S8961" s="59">
        <f ca="1">Dashboard!B$8* Dashboard!$F$4+Dashboard!B$10*SQRT(Dashboard!$F$4) * _xlfn.NORM.S.INV(RAND())</f>
        <v>-1.6555060552980609E-2</v>
      </c>
      <c r="T8961" s="59">
        <f ca="1">Dashboard!C$8* Dashboard!$F$4+Dashboard!C$10*SQRT(Dashboard!$F$4) * _xlfn.NORM.S.INV(RAND())</f>
        <v>1.1455122303044525E-2</v>
      </c>
      <c r="U8961" s="59">
        <f ca="1">Dashboard!D$8* Dashboard!$F$4+Dashboard!D$10*SQRT(Dashboard!$F$4) * _xlfn.NORM.S.INV(RAND())</f>
        <v>7.2232580697791458E-3</v>
      </c>
    </row>
    <row r="8962" spans="18:21" x14ac:dyDescent="0.2">
      <c r="R8962" s="49">
        <v>8960</v>
      </c>
      <c r="S8962" s="59">
        <f ca="1">Dashboard!B$8* Dashboard!$F$4+Dashboard!B$10*SQRT(Dashboard!$F$4) * _xlfn.NORM.S.INV(RAND())</f>
        <v>-6.1291437550976761E-2</v>
      </c>
      <c r="T8962" s="59">
        <f ca="1">Dashboard!C$8* Dashboard!$F$4+Dashboard!C$10*SQRT(Dashboard!$F$4) * _xlfn.NORM.S.INV(RAND())</f>
        <v>-4.4184149102535993E-2</v>
      </c>
      <c r="U8962" s="59">
        <f ca="1">Dashboard!D$8* Dashboard!$F$4+Dashboard!D$10*SQRT(Dashboard!$F$4) * _xlfn.NORM.S.INV(RAND())</f>
        <v>-7.2765859296483153E-3</v>
      </c>
    </row>
    <row r="8963" spans="18:21" x14ac:dyDescent="0.2">
      <c r="R8963" s="49">
        <v>8961</v>
      </c>
      <c r="S8963" s="59">
        <f ca="1">Dashboard!B$8* Dashboard!$F$4+Dashboard!B$10*SQRT(Dashboard!$F$4) * _xlfn.NORM.S.INV(RAND())</f>
        <v>-9.7850311101161089E-2</v>
      </c>
      <c r="T8963" s="59">
        <f ca="1">Dashboard!C$8* Dashboard!$F$4+Dashboard!C$10*SQRT(Dashboard!$F$4) * _xlfn.NORM.S.INV(RAND())</f>
        <v>-5.8963478079617854E-2</v>
      </c>
      <c r="U8963" s="59">
        <f ca="1">Dashboard!D$8* Dashboard!$F$4+Dashboard!D$10*SQRT(Dashboard!$F$4) * _xlfn.NORM.S.INV(RAND())</f>
        <v>3.7800711262991768E-2</v>
      </c>
    </row>
    <row r="8964" spans="18:21" x14ac:dyDescent="0.2">
      <c r="R8964" s="49">
        <v>8962</v>
      </c>
      <c r="S8964" s="59">
        <f ca="1">Dashboard!B$8* Dashboard!$F$4+Dashboard!B$10*SQRT(Dashboard!$F$4) * _xlfn.NORM.S.INV(RAND())</f>
        <v>-2.1402660946007263E-2</v>
      </c>
      <c r="T8964" s="59">
        <f ca="1">Dashboard!C$8* Dashboard!$F$4+Dashboard!C$10*SQRT(Dashboard!$F$4) * _xlfn.NORM.S.INV(RAND())</f>
        <v>3.9546389256890357E-3</v>
      </c>
      <c r="U8964" s="59">
        <f ca="1">Dashboard!D$8* Dashboard!$F$4+Dashboard!D$10*SQRT(Dashboard!$F$4) * _xlfn.NORM.S.INV(RAND())</f>
        <v>6.9733682388757143E-2</v>
      </c>
    </row>
    <row r="8965" spans="18:21" x14ac:dyDescent="0.2">
      <c r="R8965" s="49">
        <v>8963</v>
      </c>
      <c r="S8965" s="59">
        <f ca="1">Dashboard!B$8* Dashboard!$F$4+Dashboard!B$10*SQRT(Dashboard!$F$4) * _xlfn.NORM.S.INV(RAND())</f>
        <v>2.573260510063112E-2</v>
      </c>
      <c r="T8965" s="59">
        <f ca="1">Dashboard!C$8* Dashboard!$F$4+Dashboard!C$10*SQRT(Dashboard!$F$4) * _xlfn.NORM.S.INV(RAND())</f>
        <v>-2.0490805993386429E-2</v>
      </c>
      <c r="U8965" s="59">
        <f ca="1">Dashboard!D$8* Dashboard!$F$4+Dashboard!D$10*SQRT(Dashboard!$F$4) * _xlfn.NORM.S.INV(RAND())</f>
        <v>-3.5334736032007777E-2</v>
      </c>
    </row>
    <row r="8966" spans="18:21" x14ac:dyDescent="0.2">
      <c r="R8966" s="49">
        <v>8964</v>
      </c>
      <c r="S8966" s="59">
        <f ca="1">Dashboard!B$8* Dashboard!$F$4+Dashboard!B$10*SQRT(Dashboard!$F$4) * _xlfn.NORM.S.INV(RAND())</f>
        <v>-1.5040678869276763E-2</v>
      </c>
      <c r="T8966" s="59">
        <f ca="1">Dashboard!C$8* Dashboard!$F$4+Dashboard!C$10*SQRT(Dashboard!$F$4) * _xlfn.NORM.S.INV(RAND())</f>
        <v>-4.6632640886852254E-2</v>
      </c>
      <c r="U8966" s="59">
        <f ca="1">Dashboard!D$8* Dashboard!$F$4+Dashboard!D$10*SQRT(Dashboard!$F$4) * _xlfn.NORM.S.INV(RAND())</f>
        <v>5.1807163212419273E-2</v>
      </c>
    </row>
    <row r="8967" spans="18:21" x14ac:dyDescent="0.2">
      <c r="R8967" s="49">
        <v>8965</v>
      </c>
      <c r="S8967" s="59">
        <f ca="1">Dashboard!B$8* Dashboard!$F$4+Dashboard!B$10*SQRT(Dashboard!$F$4) * _xlfn.NORM.S.INV(RAND())</f>
        <v>-4.1305695123523056E-2</v>
      </c>
      <c r="T8967" s="59">
        <f ca="1">Dashboard!C$8* Dashboard!$F$4+Dashboard!C$10*SQRT(Dashboard!$F$4) * _xlfn.NORM.S.INV(RAND())</f>
        <v>1.1014083762750726E-3</v>
      </c>
      <c r="U8967" s="59">
        <f ca="1">Dashboard!D$8* Dashboard!$F$4+Dashboard!D$10*SQRT(Dashboard!$F$4) * _xlfn.NORM.S.INV(RAND())</f>
        <v>-2.1304804905436577E-2</v>
      </c>
    </row>
    <row r="8968" spans="18:21" x14ac:dyDescent="0.2">
      <c r="R8968" s="49">
        <v>8966</v>
      </c>
      <c r="S8968" s="59">
        <f ca="1">Dashboard!B$8* Dashboard!$F$4+Dashboard!B$10*SQRT(Dashboard!$F$4) * _xlfn.NORM.S.INV(RAND())</f>
        <v>-9.290103191039345E-3</v>
      </c>
      <c r="T8968" s="59">
        <f ca="1">Dashboard!C$8* Dashboard!$F$4+Dashboard!C$10*SQRT(Dashboard!$F$4) * _xlfn.NORM.S.INV(RAND())</f>
        <v>-1.5685162294703788E-2</v>
      </c>
      <c r="U8968" s="59">
        <f ca="1">Dashboard!D$8* Dashboard!$F$4+Dashboard!D$10*SQRT(Dashboard!$F$4) * _xlfn.NORM.S.INV(RAND())</f>
        <v>1.959666908612312E-2</v>
      </c>
    </row>
    <row r="8969" spans="18:21" x14ac:dyDescent="0.2">
      <c r="R8969" s="49">
        <v>8967</v>
      </c>
      <c r="S8969" s="59">
        <f ca="1">Dashboard!B$8* Dashboard!$F$4+Dashboard!B$10*SQRT(Dashboard!$F$4) * _xlfn.NORM.S.INV(RAND())</f>
        <v>5.3389709547604004E-2</v>
      </c>
      <c r="T8969" s="59">
        <f ca="1">Dashboard!C$8* Dashboard!$F$4+Dashboard!C$10*SQRT(Dashboard!$F$4) * _xlfn.NORM.S.INV(RAND())</f>
        <v>3.6066366563305474E-2</v>
      </c>
      <c r="U8969" s="59">
        <f ca="1">Dashboard!D$8* Dashboard!$F$4+Dashboard!D$10*SQRT(Dashboard!$F$4) * _xlfn.NORM.S.INV(RAND())</f>
        <v>8.8267577918234811E-3</v>
      </c>
    </row>
    <row r="8970" spans="18:21" x14ac:dyDescent="0.2">
      <c r="R8970" s="49">
        <v>8968</v>
      </c>
      <c r="S8970" s="59">
        <f ca="1">Dashboard!B$8* Dashboard!$F$4+Dashboard!B$10*SQRT(Dashboard!$F$4) * _xlfn.NORM.S.INV(RAND())</f>
        <v>8.9401764331815944E-2</v>
      </c>
      <c r="T8970" s="59">
        <f ca="1">Dashboard!C$8* Dashboard!$F$4+Dashboard!C$10*SQRT(Dashboard!$F$4) * _xlfn.NORM.S.INV(RAND())</f>
        <v>2.8567907800356982E-2</v>
      </c>
      <c r="U8970" s="59">
        <f ca="1">Dashboard!D$8* Dashboard!$F$4+Dashboard!D$10*SQRT(Dashboard!$F$4) * _xlfn.NORM.S.INV(RAND())</f>
        <v>4.2950474260062516E-2</v>
      </c>
    </row>
    <row r="8971" spans="18:21" x14ac:dyDescent="0.2">
      <c r="R8971" s="49">
        <v>8969</v>
      </c>
      <c r="S8971" s="59">
        <f ca="1">Dashboard!B$8* Dashboard!$F$4+Dashboard!B$10*SQRT(Dashboard!$F$4) * _xlfn.NORM.S.INV(RAND())</f>
        <v>7.8163868206424531E-3</v>
      </c>
      <c r="T8971" s="59">
        <f ca="1">Dashboard!C$8* Dashboard!$F$4+Dashboard!C$10*SQRT(Dashboard!$F$4) * _xlfn.NORM.S.INV(RAND())</f>
        <v>-6.4229821853898542E-2</v>
      </c>
      <c r="U8971" s="59">
        <f ca="1">Dashboard!D$8* Dashboard!$F$4+Dashboard!D$10*SQRT(Dashboard!$F$4) * _xlfn.NORM.S.INV(RAND())</f>
        <v>-2.162389068556537E-3</v>
      </c>
    </row>
    <row r="8972" spans="18:21" x14ac:dyDescent="0.2">
      <c r="R8972" s="49">
        <v>8970</v>
      </c>
      <c r="S8972" s="59">
        <f ca="1">Dashboard!B$8* Dashboard!$F$4+Dashboard!B$10*SQRT(Dashboard!$F$4) * _xlfn.NORM.S.INV(RAND())</f>
        <v>-1.8028761055200647E-2</v>
      </c>
      <c r="T8972" s="59">
        <f ca="1">Dashboard!C$8* Dashboard!$F$4+Dashboard!C$10*SQRT(Dashboard!$F$4) * _xlfn.NORM.S.INV(RAND())</f>
        <v>6.6202445550576389E-2</v>
      </c>
      <c r="U8972" s="59">
        <f ca="1">Dashboard!D$8* Dashboard!$F$4+Dashboard!D$10*SQRT(Dashboard!$F$4) * _xlfn.NORM.S.INV(RAND())</f>
        <v>3.7657258151270932E-2</v>
      </c>
    </row>
    <row r="8973" spans="18:21" x14ac:dyDescent="0.2">
      <c r="R8973" s="49">
        <v>8971</v>
      </c>
      <c r="S8973" s="59">
        <f ca="1">Dashboard!B$8* Dashboard!$F$4+Dashboard!B$10*SQRT(Dashboard!$F$4) * _xlfn.NORM.S.INV(RAND())</f>
        <v>6.1755722565778673E-2</v>
      </c>
      <c r="T8973" s="59">
        <f ca="1">Dashboard!C$8* Dashboard!$F$4+Dashboard!C$10*SQRT(Dashboard!$F$4) * _xlfn.NORM.S.INV(RAND())</f>
        <v>1.1692442373761328E-2</v>
      </c>
      <c r="U8973" s="59">
        <f ca="1">Dashboard!D$8* Dashboard!$F$4+Dashboard!D$10*SQRT(Dashboard!$F$4) * _xlfn.NORM.S.INV(RAND())</f>
        <v>-7.4428071173268558E-3</v>
      </c>
    </row>
    <row r="8974" spans="18:21" x14ac:dyDescent="0.2">
      <c r="R8974" s="49">
        <v>8972</v>
      </c>
      <c r="S8974" s="59">
        <f ca="1">Dashboard!B$8* Dashboard!$F$4+Dashboard!B$10*SQRT(Dashboard!$F$4) * _xlfn.NORM.S.INV(RAND())</f>
        <v>6.2274864676385606E-3</v>
      </c>
      <c r="T8974" s="59">
        <f ca="1">Dashboard!C$8* Dashboard!$F$4+Dashboard!C$10*SQRT(Dashboard!$F$4) * _xlfn.NORM.S.INV(RAND())</f>
        <v>9.0019166198291894E-2</v>
      </c>
      <c r="U8974" s="59">
        <f ca="1">Dashboard!D$8* Dashboard!$F$4+Dashboard!D$10*SQRT(Dashboard!$F$4) * _xlfn.NORM.S.INV(RAND())</f>
        <v>5.45974535769055E-2</v>
      </c>
    </row>
    <row r="8975" spans="18:21" x14ac:dyDescent="0.2">
      <c r="R8975" s="49">
        <v>8973</v>
      </c>
      <c r="S8975" s="59">
        <f ca="1">Dashboard!B$8* Dashboard!$F$4+Dashboard!B$10*SQRT(Dashboard!$F$4) * _xlfn.NORM.S.INV(RAND())</f>
        <v>-6.2653678465783152E-3</v>
      </c>
      <c r="T8975" s="59">
        <f ca="1">Dashboard!C$8* Dashboard!$F$4+Dashboard!C$10*SQRT(Dashboard!$F$4) * _xlfn.NORM.S.INV(RAND())</f>
        <v>3.9516637464703491E-2</v>
      </c>
      <c r="U8975" s="59">
        <f ca="1">Dashboard!D$8* Dashboard!$F$4+Dashboard!D$10*SQRT(Dashboard!$F$4) * _xlfn.NORM.S.INV(RAND())</f>
        <v>-3.3023736871442645E-2</v>
      </c>
    </row>
    <row r="8976" spans="18:21" x14ac:dyDescent="0.2">
      <c r="R8976" s="49">
        <v>8974</v>
      </c>
      <c r="S8976" s="59">
        <f ca="1">Dashboard!B$8* Dashboard!$F$4+Dashboard!B$10*SQRT(Dashboard!$F$4) * _xlfn.NORM.S.INV(RAND())</f>
        <v>-4.8454931788915051E-2</v>
      </c>
      <c r="T8976" s="59">
        <f ca="1">Dashboard!C$8* Dashboard!$F$4+Dashboard!C$10*SQRT(Dashboard!$F$4) * _xlfn.NORM.S.INV(RAND())</f>
        <v>1.9259820790235239E-2</v>
      </c>
      <c r="U8976" s="59">
        <f ca="1">Dashboard!D$8* Dashboard!$F$4+Dashboard!D$10*SQRT(Dashboard!$F$4) * _xlfn.NORM.S.INV(RAND())</f>
        <v>-8.427162707009498E-3</v>
      </c>
    </row>
    <row r="8977" spans="18:21" x14ac:dyDescent="0.2">
      <c r="R8977" s="49">
        <v>8975</v>
      </c>
      <c r="S8977" s="59">
        <f ca="1">Dashboard!B$8* Dashboard!$F$4+Dashboard!B$10*SQRT(Dashboard!$F$4) * _xlfn.NORM.S.INV(RAND())</f>
        <v>-4.434407665408284E-2</v>
      </c>
      <c r="T8977" s="59">
        <f ca="1">Dashboard!C$8* Dashboard!$F$4+Dashboard!C$10*SQRT(Dashboard!$F$4) * _xlfn.NORM.S.INV(RAND())</f>
        <v>-8.040617182965025E-3</v>
      </c>
      <c r="U8977" s="59">
        <f ca="1">Dashboard!D$8* Dashboard!$F$4+Dashboard!D$10*SQRT(Dashboard!$F$4) * _xlfn.NORM.S.INV(RAND())</f>
        <v>2.5860586067619561E-2</v>
      </c>
    </row>
    <row r="8978" spans="18:21" x14ac:dyDescent="0.2">
      <c r="R8978" s="49">
        <v>8976</v>
      </c>
      <c r="S8978" s="59">
        <f ca="1">Dashboard!B$8* Dashboard!$F$4+Dashboard!B$10*SQRT(Dashboard!$F$4) * _xlfn.NORM.S.INV(RAND())</f>
        <v>-8.349975806223843E-2</v>
      </c>
      <c r="T8978" s="59">
        <f ca="1">Dashboard!C$8* Dashboard!$F$4+Dashboard!C$10*SQRT(Dashboard!$F$4) * _xlfn.NORM.S.INV(RAND())</f>
        <v>8.7280788417993683E-3</v>
      </c>
      <c r="U8978" s="59">
        <f ca="1">Dashboard!D$8* Dashboard!$F$4+Dashboard!D$10*SQRT(Dashboard!$F$4) * _xlfn.NORM.S.INV(RAND())</f>
        <v>-8.8685022257561238E-2</v>
      </c>
    </row>
    <row r="8979" spans="18:21" x14ac:dyDescent="0.2">
      <c r="R8979" s="49">
        <v>8977</v>
      </c>
      <c r="S8979" s="59">
        <f ca="1">Dashboard!B$8* Dashboard!$F$4+Dashboard!B$10*SQRT(Dashboard!$F$4) * _xlfn.NORM.S.INV(RAND())</f>
        <v>1.553397117485864E-2</v>
      </c>
      <c r="T8979" s="59">
        <f ca="1">Dashboard!C$8* Dashboard!$F$4+Dashboard!C$10*SQRT(Dashboard!$F$4) * _xlfn.NORM.S.INV(RAND())</f>
        <v>3.0722234894646289E-2</v>
      </c>
      <c r="U8979" s="59">
        <f ca="1">Dashboard!D$8* Dashboard!$F$4+Dashboard!D$10*SQRT(Dashboard!$F$4) * _xlfn.NORM.S.INV(RAND())</f>
        <v>-4.3855252593983486E-3</v>
      </c>
    </row>
    <row r="8980" spans="18:21" x14ac:dyDescent="0.2">
      <c r="R8980" s="49">
        <v>8978</v>
      </c>
      <c r="S8980" s="59">
        <f ca="1">Dashboard!B$8* Dashboard!$F$4+Dashboard!B$10*SQRT(Dashboard!$F$4) * _xlfn.NORM.S.INV(RAND())</f>
        <v>3.8682552259611612E-2</v>
      </c>
      <c r="T8980" s="59">
        <f ca="1">Dashboard!C$8* Dashboard!$F$4+Dashboard!C$10*SQRT(Dashboard!$F$4) * _xlfn.NORM.S.INV(RAND())</f>
        <v>-3.0093157473598451E-2</v>
      </c>
      <c r="U8980" s="59">
        <f ca="1">Dashboard!D$8* Dashboard!$F$4+Dashboard!D$10*SQRT(Dashboard!$F$4) * _xlfn.NORM.S.INV(RAND())</f>
        <v>-2.5932861446220905E-2</v>
      </c>
    </row>
    <row r="8981" spans="18:21" x14ac:dyDescent="0.2">
      <c r="R8981" s="49">
        <v>8979</v>
      </c>
      <c r="S8981" s="59">
        <f ca="1">Dashboard!B$8* Dashboard!$F$4+Dashboard!B$10*SQRT(Dashboard!$F$4) * _xlfn.NORM.S.INV(RAND())</f>
        <v>2.3216747795531997E-2</v>
      </c>
      <c r="T8981" s="59">
        <f ca="1">Dashboard!C$8* Dashboard!$F$4+Dashboard!C$10*SQRT(Dashboard!$F$4) * _xlfn.NORM.S.INV(RAND())</f>
        <v>-3.1894993548691131E-2</v>
      </c>
      <c r="U8981" s="59">
        <f ca="1">Dashboard!D$8* Dashboard!$F$4+Dashboard!D$10*SQRT(Dashboard!$F$4) * _xlfn.NORM.S.INV(RAND())</f>
        <v>-4.0635870684279027E-2</v>
      </c>
    </row>
    <row r="8982" spans="18:21" x14ac:dyDescent="0.2">
      <c r="R8982" s="49">
        <v>8980</v>
      </c>
      <c r="S8982" s="59">
        <f ca="1">Dashboard!B$8* Dashboard!$F$4+Dashboard!B$10*SQRT(Dashboard!$F$4) * _xlfn.NORM.S.INV(RAND())</f>
        <v>4.6177888371999043E-3</v>
      </c>
      <c r="T8982" s="59">
        <f ca="1">Dashboard!C$8* Dashboard!$F$4+Dashboard!C$10*SQRT(Dashboard!$F$4) * _xlfn.NORM.S.INV(RAND())</f>
        <v>2.7795703023580066E-2</v>
      </c>
      <c r="U8982" s="59">
        <f ca="1">Dashboard!D$8* Dashboard!$F$4+Dashboard!D$10*SQRT(Dashboard!$F$4) * _xlfn.NORM.S.INV(RAND())</f>
        <v>5.117177156251479E-2</v>
      </c>
    </row>
    <row r="8983" spans="18:21" x14ac:dyDescent="0.2">
      <c r="R8983" s="49">
        <v>8981</v>
      </c>
      <c r="S8983" s="59">
        <f ca="1">Dashboard!B$8* Dashboard!$F$4+Dashboard!B$10*SQRT(Dashboard!$F$4) * _xlfn.NORM.S.INV(RAND())</f>
        <v>5.0649864397725376E-2</v>
      </c>
      <c r="T8983" s="59">
        <f ca="1">Dashboard!C$8* Dashboard!$F$4+Dashboard!C$10*SQRT(Dashboard!$F$4) * _xlfn.NORM.S.INV(RAND())</f>
        <v>3.2506806469013917E-2</v>
      </c>
      <c r="U8983" s="59">
        <f ca="1">Dashboard!D$8* Dashboard!$F$4+Dashboard!D$10*SQRT(Dashboard!$F$4) * _xlfn.NORM.S.INV(RAND())</f>
        <v>-3.1822853980679553E-3</v>
      </c>
    </row>
    <row r="8984" spans="18:21" x14ac:dyDescent="0.2">
      <c r="R8984" s="49">
        <v>8982</v>
      </c>
      <c r="S8984" s="59">
        <f ca="1">Dashboard!B$8* Dashboard!$F$4+Dashboard!B$10*SQRT(Dashboard!$F$4) * _xlfn.NORM.S.INV(RAND())</f>
        <v>2.7485150549881911E-2</v>
      </c>
      <c r="T8984" s="59">
        <f ca="1">Dashboard!C$8* Dashboard!$F$4+Dashboard!C$10*SQRT(Dashboard!$F$4) * _xlfn.NORM.S.INV(RAND())</f>
        <v>-3.0363080056268785E-2</v>
      </c>
      <c r="U8984" s="59">
        <f ca="1">Dashboard!D$8* Dashboard!$F$4+Dashboard!D$10*SQRT(Dashboard!$F$4) * _xlfn.NORM.S.INV(RAND())</f>
        <v>-4.5518222077188522E-3</v>
      </c>
    </row>
    <row r="8985" spans="18:21" x14ac:dyDescent="0.2">
      <c r="R8985" s="49">
        <v>8983</v>
      </c>
      <c r="S8985" s="59">
        <f ca="1">Dashboard!B$8* Dashboard!$F$4+Dashboard!B$10*SQRT(Dashboard!$F$4) * _xlfn.NORM.S.INV(RAND())</f>
        <v>-4.2649697516433681E-2</v>
      </c>
      <c r="T8985" s="59">
        <f ca="1">Dashboard!C$8* Dashboard!$F$4+Dashboard!C$10*SQRT(Dashboard!$F$4) * _xlfn.NORM.S.INV(RAND())</f>
        <v>-2.0769669077714225E-2</v>
      </c>
      <c r="U8985" s="59">
        <f ca="1">Dashboard!D$8* Dashboard!$F$4+Dashboard!D$10*SQRT(Dashboard!$F$4) * _xlfn.NORM.S.INV(RAND())</f>
        <v>6.8137851778195596E-3</v>
      </c>
    </row>
    <row r="8986" spans="18:21" x14ac:dyDescent="0.2">
      <c r="R8986" s="49">
        <v>8984</v>
      </c>
      <c r="S8986" s="59">
        <f ca="1">Dashboard!B$8* Dashboard!$F$4+Dashboard!B$10*SQRT(Dashboard!$F$4) * _xlfn.NORM.S.INV(RAND())</f>
        <v>-2.2227689708042057E-2</v>
      </c>
      <c r="T8986" s="59">
        <f ca="1">Dashboard!C$8* Dashboard!$F$4+Dashboard!C$10*SQRT(Dashboard!$F$4) * _xlfn.NORM.S.INV(RAND())</f>
        <v>-2.6261878812585814E-2</v>
      </c>
      <c r="U8986" s="59">
        <f ca="1">Dashboard!D$8* Dashboard!$F$4+Dashboard!D$10*SQRT(Dashboard!$F$4) * _xlfn.NORM.S.INV(RAND())</f>
        <v>-7.1023720504308227E-3</v>
      </c>
    </row>
    <row r="8987" spans="18:21" x14ac:dyDescent="0.2">
      <c r="R8987" s="49">
        <v>8985</v>
      </c>
      <c r="S8987" s="59">
        <f ca="1">Dashboard!B$8* Dashboard!$F$4+Dashboard!B$10*SQRT(Dashboard!$F$4) * _xlfn.NORM.S.INV(RAND())</f>
        <v>3.014909750355204E-2</v>
      </c>
      <c r="T8987" s="59">
        <f ca="1">Dashboard!C$8* Dashboard!$F$4+Dashboard!C$10*SQRT(Dashboard!$F$4) * _xlfn.NORM.S.INV(RAND())</f>
        <v>3.4101840532165958E-2</v>
      </c>
      <c r="U8987" s="59">
        <f ca="1">Dashboard!D$8* Dashboard!$F$4+Dashboard!D$10*SQRT(Dashboard!$F$4) * _xlfn.NORM.S.INV(RAND())</f>
        <v>5.9483405006387068E-2</v>
      </c>
    </row>
    <row r="8988" spans="18:21" x14ac:dyDescent="0.2">
      <c r="R8988" s="49">
        <v>8986</v>
      </c>
      <c r="S8988" s="59">
        <f ca="1">Dashboard!B$8* Dashboard!$F$4+Dashboard!B$10*SQRT(Dashboard!$F$4) * _xlfn.NORM.S.INV(RAND())</f>
        <v>8.7207257743524849E-2</v>
      </c>
      <c r="T8988" s="59">
        <f ca="1">Dashboard!C$8* Dashboard!$F$4+Dashboard!C$10*SQRT(Dashboard!$F$4) * _xlfn.NORM.S.INV(RAND())</f>
        <v>-1.1990278915401012E-2</v>
      </c>
      <c r="U8988" s="59">
        <f ca="1">Dashboard!D$8* Dashboard!$F$4+Dashboard!D$10*SQRT(Dashboard!$F$4) * _xlfn.NORM.S.INV(RAND())</f>
        <v>-9.034274830578308E-2</v>
      </c>
    </row>
    <row r="8989" spans="18:21" x14ac:dyDescent="0.2">
      <c r="R8989" s="49">
        <v>8987</v>
      </c>
      <c r="S8989" s="59">
        <f ca="1">Dashboard!B$8* Dashboard!$F$4+Dashboard!B$10*SQRT(Dashboard!$F$4) * _xlfn.NORM.S.INV(RAND())</f>
        <v>-1.2985517917376881E-2</v>
      </c>
      <c r="T8989" s="59">
        <f ca="1">Dashboard!C$8* Dashboard!$F$4+Dashboard!C$10*SQRT(Dashboard!$F$4) * _xlfn.NORM.S.INV(RAND())</f>
        <v>-7.0590999874178802E-3</v>
      </c>
      <c r="U8989" s="59">
        <f ca="1">Dashboard!D$8* Dashboard!$F$4+Dashboard!D$10*SQRT(Dashboard!$F$4) * _xlfn.NORM.S.INV(RAND())</f>
        <v>1.4221825198589376E-2</v>
      </c>
    </row>
    <row r="8990" spans="18:21" x14ac:dyDescent="0.2">
      <c r="R8990" s="49">
        <v>8988</v>
      </c>
      <c r="S8990" s="59">
        <f ca="1">Dashboard!B$8* Dashboard!$F$4+Dashboard!B$10*SQRT(Dashboard!$F$4) * _xlfn.NORM.S.INV(RAND())</f>
        <v>-1.0341685677107599E-2</v>
      </c>
      <c r="T8990" s="59">
        <f ca="1">Dashboard!C$8* Dashboard!$F$4+Dashboard!C$10*SQRT(Dashboard!$F$4) * _xlfn.NORM.S.INV(RAND())</f>
        <v>2.9262848192834083E-2</v>
      </c>
      <c r="U8990" s="59">
        <f ca="1">Dashboard!D$8* Dashboard!$F$4+Dashboard!D$10*SQRT(Dashboard!$F$4) * _xlfn.NORM.S.INV(RAND())</f>
        <v>-2.7986211513565191E-2</v>
      </c>
    </row>
    <row r="8991" spans="18:21" x14ac:dyDescent="0.2">
      <c r="R8991" s="49">
        <v>8989</v>
      </c>
      <c r="S8991" s="59">
        <f ca="1">Dashboard!B$8* Dashboard!$F$4+Dashboard!B$10*SQRT(Dashboard!$F$4) * _xlfn.NORM.S.INV(RAND())</f>
        <v>-1.6915054122744175E-2</v>
      </c>
      <c r="T8991" s="59">
        <f ca="1">Dashboard!C$8* Dashboard!$F$4+Dashboard!C$10*SQRT(Dashboard!$F$4) * _xlfn.NORM.S.INV(RAND())</f>
        <v>3.4346978073711745E-2</v>
      </c>
      <c r="U8991" s="59">
        <f ca="1">Dashboard!D$8* Dashboard!$F$4+Dashboard!D$10*SQRT(Dashboard!$F$4) * _xlfn.NORM.S.INV(RAND())</f>
        <v>5.3019029120801815E-2</v>
      </c>
    </row>
    <row r="8992" spans="18:21" x14ac:dyDescent="0.2">
      <c r="R8992" s="49">
        <v>8990</v>
      </c>
      <c r="S8992" s="59">
        <f ca="1">Dashboard!B$8* Dashboard!$F$4+Dashboard!B$10*SQRT(Dashboard!$F$4) * _xlfn.NORM.S.INV(RAND())</f>
        <v>-6.7365320827279335E-2</v>
      </c>
      <c r="T8992" s="59">
        <f ca="1">Dashboard!C$8* Dashboard!$F$4+Dashboard!C$10*SQRT(Dashboard!$F$4) * _xlfn.NORM.S.INV(RAND())</f>
        <v>7.2854991044991749E-4</v>
      </c>
      <c r="U8992" s="59">
        <f ca="1">Dashboard!D$8* Dashboard!$F$4+Dashboard!D$10*SQRT(Dashboard!$F$4) * _xlfn.NORM.S.INV(RAND())</f>
        <v>1.5966761971716138E-2</v>
      </c>
    </row>
    <row r="8993" spans="18:21" x14ac:dyDescent="0.2">
      <c r="R8993" s="49">
        <v>8991</v>
      </c>
      <c r="S8993" s="59">
        <f ca="1">Dashboard!B$8* Dashboard!$F$4+Dashboard!B$10*SQRT(Dashboard!$F$4) * _xlfn.NORM.S.INV(RAND())</f>
        <v>2.2886900894490032E-2</v>
      </c>
      <c r="T8993" s="59">
        <f ca="1">Dashboard!C$8* Dashboard!$F$4+Dashboard!C$10*SQRT(Dashboard!$F$4) * _xlfn.NORM.S.INV(RAND())</f>
        <v>4.2422896910805023E-2</v>
      </c>
      <c r="U8993" s="59">
        <f ca="1">Dashboard!D$8* Dashboard!$F$4+Dashboard!D$10*SQRT(Dashboard!$F$4) * _xlfn.NORM.S.INV(RAND())</f>
        <v>5.5409459237922482E-2</v>
      </c>
    </row>
    <row r="8994" spans="18:21" x14ac:dyDescent="0.2">
      <c r="R8994" s="49">
        <v>8992</v>
      </c>
      <c r="S8994" s="59">
        <f ca="1">Dashboard!B$8* Dashboard!$F$4+Dashboard!B$10*SQRT(Dashboard!$F$4) * _xlfn.NORM.S.INV(RAND())</f>
        <v>-1.2371171975599039E-2</v>
      </c>
      <c r="T8994" s="59">
        <f ca="1">Dashboard!C$8* Dashboard!$F$4+Dashboard!C$10*SQRT(Dashboard!$F$4) * _xlfn.NORM.S.INV(RAND())</f>
        <v>4.7073780995205268E-2</v>
      </c>
      <c r="U8994" s="59">
        <f ca="1">Dashboard!D$8* Dashboard!$F$4+Dashboard!D$10*SQRT(Dashboard!$F$4) * _xlfn.NORM.S.INV(RAND())</f>
        <v>4.612947142067654E-2</v>
      </c>
    </row>
    <row r="8995" spans="18:21" x14ac:dyDescent="0.2">
      <c r="R8995" s="49">
        <v>8993</v>
      </c>
      <c r="S8995" s="59">
        <f ca="1">Dashboard!B$8* Dashboard!$F$4+Dashboard!B$10*SQRT(Dashboard!$F$4) * _xlfn.NORM.S.INV(RAND())</f>
        <v>1.0641833202528142E-2</v>
      </c>
      <c r="T8995" s="59">
        <f ca="1">Dashboard!C$8* Dashboard!$F$4+Dashboard!C$10*SQRT(Dashboard!$F$4) * _xlfn.NORM.S.INV(RAND())</f>
        <v>6.1725287226288755E-2</v>
      </c>
      <c r="U8995" s="59">
        <f ca="1">Dashboard!D$8* Dashboard!$F$4+Dashboard!D$10*SQRT(Dashboard!$F$4) * _xlfn.NORM.S.INV(RAND())</f>
        <v>3.3472853628331571E-2</v>
      </c>
    </row>
    <row r="8996" spans="18:21" x14ac:dyDescent="0.2">
      <c r="R8996" s="49">
        <v>8994</v>
      </c>
      <c r="S8996" s="59">
        <f ca="1">Dashboard!B$8* Dashboard!$F$4+Dashboard!B$10*SQRT(Dashboard!$F$4) * _xlfn.NORM.S.INV(RAND())</f>
        <v>-2.8589754413917735E-2</v>
      </c>
      <c r="T8996" s="59">
        <f ca="1">Dashboard!C$8* Dashboard!$F$4+Dashboard!C$10*SQRT(Dashboard!$F$4) * _xlfn.NORM.S.INV(RAND())</f>
        <v>7.6219131512279738E-3</v>
      </c>
      <c r="U8996" s="59">
        <f ca="1">Dashboard!D$8* Dashboard!$F$4+Dashboard!D$10*SQRT(Dashboard!$F$4) * _xlfn.NORM.S.INV(RAND())</f>
        <v>7.6900251770805382E-3</v>
      </c>
    </row>
    <row r="8997" spans="18:21" x14ac:dyDescent="0.2">
      <c r="R8997" s="49">
        <v>8995</v>
      </c>
      <c r="S8997" s="59">
        <f ca="1">Dashboard!B$8* Dashboard!$F$4+Dashboard!B$10*SQRT(Dashboard!$F$4) * _xlfn.NORM.S.INV(RAND())</f>
        <v>-3.1014828263262684E-2</v>
      </c>
      <c r="T8997" s="59">
        <f ca="1">Dashboard!C$8* Dashboard!$F$4+Dashboard!C$10*SQRT(Dashboard!$F$4) * _xlfn.NORM.S.INV(RAND())</f>
        <v>-4.6896187089460048E-3</v>
      </c>
      <c r="U8997" s="59">
        <f ca="1">Dashboard!D$8* Dashboard!$F$4+Dashboard!D$10*SQRT(Dashboard!$F$4) * _xlfn.NORM.S.INV(RAND())</f>
        <v>-1.9857917290477315E-2</v>
      </c>
    </row>
    <row r="8998" spans="18:21" x14ac:dyDescent="0.2">
      <c r="R8998" s="49">
        <v>8996</v>
      </c>
      <c r="S8998" s="59">
        <f ca="1">Dashboard!B$8* Dashboard!$F$4+Dashboard!B$10*SQRT(Dashboard!$F$4) * _xlfn.NORM.S.INV(RAND())</f>
        <v>4.4004075474005068E-2</v>
      </c>
      <c r="T8998" s="59">
        <f ca="1">Dashboard!C$8* Dashboard!$F$4+Dashboard!C$10*SQRT(Dashboard!$F$4) * _xlfn.NORM.S.INV(RAND())</f>
        <v>-1.4770489931099789E-2</v>
      </c>
      <c r="U8998" s="59">
        <f ca="1">Dashboard!D$8* Dashboard!$F$4+Dashboard!D$10*SQRT(Dashboard!$F$4) * _xlfn.NORM.S.INV(RAND())</f>
        <v>2.4544954821806055E-2</v>
      </c>
    </row>
    <row r="8999" spans="18:21" x14ac:dyDescent="0.2">
      <c r="R8999" s="49">
        <v>8997</v>
      </c>
      <c r="S8999" s="59">
        <f ca="1">Dashboard!B$8* Dashboard!$F$4+Dashboard!B$10*SQRT(Dashboard!$F$4) * _xlfn.NORM.S.INV(RAND())</f>
        <v>-8.1464302607581925E-3</v>
      </c>
      <c r="T8999" s="59">
        <f ca="1">Dashboard!C$8* Dashboard!$F$4+Dashboard!C$10*SQRT(Dashboard!$F$4) * _xlfn.NORM.S.INV(RAND())</f>
        <v>4.8536167171112123E-2</v>
      </c>
      <c r="U8999" s="59">
        <f ca="1">Dashboard!D$8* Dashboard!$F$4+Dashboard!D$10*SQRT(Dashboard!$F$4) * _xlfn.NORM.S.INV(RAND())</f>
        <v>2.2197436805631389E-2</v>
      </c>
    </row>
    <row r="9000" spans="18:21" x14ac:dyDescent="0.2">
      <c r="R9000" s="49">
        <v>8998</v>
      </c>
      <c r="S9000" s="59">
        <f ca="1">Dashboard!B$8* Dashboard!$F$4+Dashboard!B$10*SQRT(Dashboard!$F$4) * _xlfn.NORM.S.INV(RAND())</f>
        <v>-2.3218199712378464E-2</v>
      </c>
      <c r="T9000" s="59">
        <f ca="1">Dashboard!C$8* Dashboard!$F$4+Dashboard!C$10*SQRT(Dashboard!$F$4) * _xlfn.NORM.S.INV(RAND())</f>
        <v>-1.2617166029576722E-2</v>
      </c>
      <c r="U9000" s="59">
        <f ca="1">Dashboard!D$8* Dashboard!$F$4+Dashboard!D$10*SQRT(Dashboard!$F$4) * _xlfn.NORM.S.INV(RAND())</f>
        <v>-6.0564160847114336E-2</v>
      </c>
    </row>
    <row r="9001" spans="18:21" x14ac:dyDescent="0.2">
      <c r="R9001" s="49">
        <v>8999</v>
      </c>
      <c r="S9001" s="59">
        <f ca="1">Dashboard!B$8* Dashboard!$F$4+Dashboard!B$10*SQRT(Dashboard!$F$4) * _xlfn.NORM.S.INV(RAND())</f>
        <v>-6.7231633184003103E-3</v>
      </c>
      <c r="T9001" s="59">
        <f ca="1">Dashboard!C$8* Dashboard!$F$4+Dashboard!C$10*SQRT(Dashboard!$F$4) * _xlfn.NORM.S.INV(RAND())</f>
        <v>4.1970328302155753E-2</v>
      </c>
      <c r="U9001" s="59">
        <f ca="1">Dashboard!D$8* Dashboard!$F$4+Dashboard!D$10*SQRT(Dashboard!$F$4) * _xlfn.NORM.S.INV(RAND())</f>
        <v>4.8311058612206026E-2</v>
      </c>
    </row>
    <row r="9002" spans="18:21" x14ac:dyDescent="0.2">
      <c r="R9002" s="49">
        <v>9000</v>
      </c>
      <c r="S9002" s="59">
        <f ca="1">Dashboard!B$8* Dashboard!$F$4+Dashboard!B$10*SQRT(Dashboard!$F$4) * _xlfn.NORM.S.INV(RAND())</f>
        <v>-3.2669577208396347E-2</v>
      </c>
      <c r="T9002" s="59">
        <f ca="1">Dashboard!C$8* Dashboard!$F$4+Dashboard!C$10*SQRT(Dashboard!$F$4) * _xlfn.NORM.S.INV(RAND())</f>
        <v>1.1422120032227583E-2</v>
      </c>
      <c r="U9002" s="59">
        <f ca="1">Dashboard!D$8* Dashboard!$F$4+Dashboard!D$10*SQRT(Dashboard!$F$4) * _xlfn.NORM.S.INV(RAND())</f>
        <v>2.3786521007904734E-2</v>
      </c>
    </row>
    <row r="9003" spans="18:21" x14ac:dyDescent="0.2">
      <c r="R9003" s="49">
        <v>9001</v>
      </c>
      <c r="S9003" s="59">
        <f ca="1">Dashboard!B$8* Dashboard!$F$4+Dashboard!B$10*SQRT(Dashboard!$F$4) * _xlfn.NORM.S.INV(RAND())</f>
        <v>9.4065038053236152E-3</v>
      </c>
      <c r="T9003" s="59">
        <f ca="1">Dashboard!C$8* Dashboard!$F$4+Dashboard!C$10*SQRT(Dashboard!$F$4) * _xlfn.NORM.S.INV(RAND())</f>
        <v>-4.8693249655384171E-2</v>
      </c>
      <c r="U9003" s="59">
        <f ca="1">Dashboard!D$8* Dashboard!$F$4+Dashboard!D$10*SQRT(Dashboard!$F$4) * _xlfn.NORM.S.INV(RAND())</f>
        <v>-2.2872571199336549E-2</v>
      </c>
    </row>
    <row r="9004" spans="18:21" x14ac:dyDescent="0.2">
      <c r="R9004" s="49">
        <v>9002</v>
      </c>
      <c r="S9004" s="59">
        <f ca="1">Dashboard!B$8* Dashboard!$F$4+Dashboard!B$10*SQRT(Dashboard!$F$4) * _xlfn.NORM.S.INV(RAND())</f>
        <v>-4.6139146588899407E-2</v>
      </c>
      <c r="T9004" s="59">
        <f ca="1">Dashboard!C$8* Dashboard!$F$4+Dashboard!C$10*SQRT(Dashboard!$F$4) * _xlfn.NORM.S.INV(RAND())</f>
        <v>-1.7028829536277986E-2</v>
      </c>
      <c r="U9004" s="59">
        <f ca="1">Dashboard!D$8* Dashboard!$F$4+Dashboard!D$10*SQRT(Dashboard!$F$4) * _xlfn.NORM.S.INV(RAND())</f>
        <v>1.182765629346026E-2</v>
      </c>
    </row>
    <row r="9005" spans="18:21" x14ac:dyDescent="0.2">
      <c r="R9005" s="49">
        <v>9003</v>
      </c>
      <c r="S9005" s="59">
        <f ca="1">Dashboard!B$8* Dashboard!$F$4+Dashboard!B$10*SQRT(Dashboard!$F$4) * _xlfn.NORM.S.INV(RAND())</f>
        <v>-3.1256933384286654E-3</v>
      </c>
      <c r="T9005" s="59">
        <f ca="1">Dashboard!C$8* Dashboard!$F$4+Dashboard!C$10*SQRT(Dashboard!$F$4) * _xlfn.NORM.S.INV(RAND())</f>
        <v>-3.3178534526453599E-2</v>
      </c>
      <c r="U9005" s="59">
        <f ca="1">Dashboard!D$8* Dashboard!$F$4+Dashboard!D$10*SQRT(Dashboard!$F$4) * _xlfn.NORM.S.INV(RAND())</f>
        <v>-1.2902377228333295E-2</v>
      </c>
    </row>
    <row r="9006" spans="18:21" x14ac:dyDescent="0.2">
      <c r="R9006" s="49">
        <v>9004</v>
      </c>
      <c r="S9006" s="59">
        <f ca="1">Dashboard!B$8* Dashboard!$F$4+Dashboard!B$10*SQRT(Dashboard!$F$4) * _xlfn.NORM.S.INV(RAND())</f>
        <v>3.3520424621777567E-2</v>
      </c>
      <c r="T9006" s="59">
        <f ca="1">Dashboard!C$8* Dashboard!$F$4+Dashboard!C$10*SQRT(Dashboard!$F$4) * _xlfn.NORM.S.INV(RAND())</f>
        <v>-3.617104809527473E-2</v>
      </c>
      <c r="U9006" s="59">
        <f ca="1">Dashboard!D$8* Dashboard!$F$4+Dashboard!D$10*SQRT(Dashboard!$F$4) * _xlfn.NORM.S.INV(RAND())</f>
        <v>-2.7065204192180958E-2</v>
      </c>
    </row>
    <row r="9007" spans="18:21" x14ac:dyDescent="0.2">
      <c r="R9007" s="49">
        <v>9005</v>
      </c>
      <c r="S9007" s="59">
        <f ca="1">Dashboard!B$8* Dashboard!$F$4+Dashboard!B$10*SQRT(Dashboard!$F$4) * _xlfn.NORM.S.INV(RAND())</f>
        <v>-4.9041606097640848E-2</v>
      </c>
      <c r="T9007" s="59">
        <f ca="1">Dashboard!C$8* Dashboard!$F$4+Dashboard!C$10*SQRT(Dashboard!$F$4) * _xlfn.NORM.S.INV(RAND())</f>
        <v>1.2855075616412234E-2</v>
      </c>
      <c r="U9007" s="59">
        <f ca="1">Dashboard!D$8* Dashboard!$F$4+Dashboard!D$10*SQRT(Dashboard!$F$4) * _xlfn.NORM.S.INV(RAND())</f>
        <v>3.8963712609741817E-2</v>
      </c>
    </row>
    <row r="9008" spans="18:21" x14ac:dyDescent="0.2">
      <c r="R9008" s="49">
        <v>9006</v>
      </c>
      <c r="S9008" s="59">
        <f ca="1">Dashboard!B$8* Dashboard!$F$4+Dashboard!B$10*SQRT(Dashboard!$F$4) * _xlfn.NORM.S.INV(RAND())</f>
        <v>-7.1130083294461993E-2</v>
      </c>
      <c r="T9008" s="59">
        <f ca="1">Dashboard!C$8* Dashboard!$F$4+Dashboard!C$10*SQRT(Dashboard!$F$4) * _xlfn.NORM.S.INV(RAND())</f>
        <v>-2.5013075983676889E-2</v>
      </c>
      <c r="U9008" s="59">
        <f ca="1">Dashboard!D$8* Dashboard!$F$4+Dashboard!D$10*SQRT(Dashboard!$F$4) * _xlfn.NORM.S.INV(RAND())</f>
        <v>-1.6992038915018399E-2</v>
      </c>
    </row>
    <row r="9009" spans="18:21" x14ac:dyDescent="0.2">
      <c r="R9009" s="49">
        <v>9007</v>
      </c>
      <c r="S9009" s="59">
        <f ca="1">Dashboard!B$8* Dashboard!$F$4+Dashboard!B$10*SQRT(Dashboard!$F$4) * _xlfn.NORM.S.INV(RAND())</f>
        <v>-4.9463229578410817E-2</v>
      </c>
      <c r="T9009" s="59">
        <f ca="1">Dashboard!C$8* Dashboard!$F$4+Dashboard!C$10*SQRT(Dashboard!$F$4) * _xlfn.NORM.S.INV(RAND())</f>
        <v>-6.4366970084317457E-3</v>
      </c>
      <c r="U9009" s="59">
        <f ca="1">Dashboard!D$8* Dashboard!$F$4+Dashboard!D$10*SQRT(Dashboard!$F$4) * _xlfn.NORM.S.INV(RAND())</f>
        <v>-1.9979136518920779E-2</v>
      </c>
    </row>
    <row r="9010" spans="18:21" x14ac:dyDescent="0.2">
      <c r="R9010" s="49">
        <v>9008</v>
      </c>
      <c r="S9010" s="59">
        <f ca="1">Dashboard!B$8* Dashboard!$F$4+Dashboard!B$10*SQRT(Dashboard!$F$4) * _xlfn.NORM.S.INV(RAND())</f>
        <v>1.3326233834079293E-2</v>
      </c>
      <c r="T9010" s="59">
        <f ca="1">Dashboard!C$8* Dashboard!$F$4+Dashboard!C$10*SQRT(Dashboard!$F$4) * _xlfn.NORM.S.INV(RAND())</f>
        <v>-2.0044330330630838E-2</v>
      </c>
      <c r="U9010" s="59">
        <f ca="1">Dashboard!D$8* Dashboard!$F$4+Dashboard!D$10*SQRT(Dashboard!$F$4) * _xlfn.NORM.S.INV(RAND())</f>
        <v>1.891912195368806E-2</v>
      </c>
    </row>
    <row r="9011" spans="18:21" x14ac:dyDescent="0.2">
      <c r="R9011" s="49">
        <v>9009</v>
      </c>
      <c r="S9011" s="59">
        <f ca="1">Dashboard!B$8* Dashboard!$F$4+Dashboard!B$10*SQRT(Dashboard!$F$4) * _xlfn.NORM.S.INV(RAND())</f>
        <v>-2.8075295373387529E-4</v>
      </c>
      <c r="T9011" s="59">
        <f ca="1">Dashboard!C$8* Dashboard!$F$4+Dashboard!C$10*SQRT(Dashboard!$F$4) * _xlfn.NORM.S.INV(RAND())</f>
        <v>4.3381146969910583E-3</v>
      </c>
      <c r="U9011" s="59">
        <f ca="1">Dashboard!D$8* Dashboard!$F$4+Dashboard!D$10*SQRT(Dashboard!$F$4) * _xlfn.NORM.S.INV(RAND())</f>
        <v>-9.1759848279891216E-3</v>
      </c>
    </row>
    <row r="9012" spans="18:21" x14ac:dyDescent="0.2">
      <c r="R9012" s="49">
        <v>9010</v>
      </c>
      <c r="S9012" s="59">
        <f ca="1">Dashboard!B$8* Dashboard!$F$4+Dashboard!B$10*SQRT(Dashboard!$F$4) * _xlfn.NORM.S.INV(RAND())</f>
        <v>4.5591501414273209E-3</v>
      </c>
      <c r="T9012" s="59">
        <f ca="1">Dashboard!C$8* Dashboard!$F$4+Dashboard!C$10*SQRT(Dashboard!$F$4) * _xlfn.NORM.S.INV(RAND())</f>
        <v>1.4611976145479561E-2</v>
      </c>
      <c r="U9012" s="59">
        <f ca="1">Dashboard!D$8* Dashboard!$F$4+Dashboard!D$10*SQRT(Dashboard!$F$4) * _xlfn.NORM.S.INV(RAND())</f>
        <v>3.7652589016654595E-2</v>
      </c>
    </row>
    <row r="9013" spans="18:21" x14ac:dyDescent="0.2">
      <c r="R9013" s="49">
        <v>9011</v>
      </c>
      <c r="S9013" s="59">
        <f ca="1">Dashboard!B$8* Dashboard!$F$4+Dashboard!B$10*SQRT(Dashboard!$F$4) * _xlfn.NORM.S.INV(RAND())</f>
        <v>2.3044579395103862E-2</v>
      </c>
      <c r="T9013" s="59">
        <f ca="1">Dashboard!C$8* Dashboard!$F$4+Dashboard!C$10*SQRT(Dashboard!$F$4) * _xlfn.NORM.S.INV(RAND())</f>
        <v>3.3887854312647465E-2</v>
      </c>
      <c r="U9013" s="59">
        <f ca="1">Dashboard!D$8* Dashboard!$F$4+Dashboard!D$10*SQRT(Dashboard!$F$4) * _xlfn.NORM.S.INV(RAND())</f>
        <v>-7.7377052948156928E-5</v>
      </c>
    </row>
    <row r="9014" spans="18:21" x14ac:dyDescent="0.2">
      <c r="R9014" s="49">
        <v>9012</v>
      </c>
      <c r="S9014" s="59">
        <f ca="1">Dashboard!B$8* Dashboard!$F$4+Dashboard!B$10*SQRT(Dashboard!$F$4) * _xlfn.NORM.S.INV(RAND())</f>
        <v>-1.2739514415418436E-2</v>
      </c>
      <c r="T9014" s="59">
        <f ca="1">Dashboard!C$8* Dashboard!$F$4+Dashboard!C$10*SQRT(Dashboard!$F$4) * _xlfn.NORM.S.INV(RAND())</f>
        <v>1.076561950005309E-2</v>
      </c>
      <c r="U9014" s="59">
        <f ca="1">Dashboard!D$8* Dashboard!$F$4+Dashboard!D$10*SQRT(Dashboard!$F$4) * _xlfn.NORM.S.INV(RAND())</f>
        <v>-1.5609021744463415E-2</v>
      </c>
    </row>
    <row r="9015" spans="18:21" x14ac:dyDescent="0.2">
      <c r="R9015" s="49">
        <v>9013</v>
      </c>
      <c r="S9015" s="59">
        <f ca="1">Dashboard!B$8* Dashboard!$F$4+Dashboard!B$10*SQRT(Dashboard!$F$4) * _xlfn.NORM.S.INV(RAND())</f>
        <v>-3.0920119900890983E-2</v>
      </c>
      <c r="T9015" s="59">
        <f ca="1">Dashboard!C$8* Dashboard!$F$4+Dashboard!C$10*SQRT(Dashboard!$F$4) * _xlfn.NORM.S.INV(RAND())</f>
        <v>-3.9827174449981323E-2</v>
      </c>
      <c r="U9015" s="59">
        <f ca="1">Dashboard!D$8* Dashboard!$F$4+Dashboard!D$10*SQRT(Dashboard!$F$4) * _xlfn.NORM.S.INV(RAND())</f>
        <v>-6.0099350872326769E-3</v>
      </c>
    </row>
    <row r="9016" spans="18:21" x14ac:dyDescent="0.2">
      <c r="R9016" s="49">
        <v>9014</v>
      </c>
      <c r="S9016" s="59">
        <f ca="1">Dashboard!B$8* Dashboard!$F$4+Dashboard!B$10*SQRT(Dashboard!$F$4) * _xlfn.NORM.S.INV(RAND())</f>
        <v>7.8459411569799242E-2</v>
      </c>
      <c r="T9016" s="59">
        <f ca="1">Dashboard!C$8* Dashboard!$F$4+Dashboard!C$10*SQRT(Dashboard!$F$4) * _xlfn.NORM.S.INV(RAND())</f>
        <v>-2.9141424998645468E-2</v>
      </c>
      <c r="U9016" s="59">
        <f ca="1">Dashboard!D$8* Dashboard!$F$4+Dashboard!D$10*SQRT(Dashboard!$F$4) * _xlfn.NORM.S.INV(RAND())</f>
        <v>3.5144222390733802E-2</v>
      </c>
    </row>
    <row r="9017" spans="18:21" x14ac:dyDescent="0.2">
      <c r="R9017" s="49">
        <v>9015</v>
      </c>
      <c r="S9017" s="59">
        <f ca="1">Dashboard!B$8* Dashboard!$F$4+Dashboard!B$10*SQRT(Dashboard!$F$4) * _xlfn.NORM.S.INV(RAND())</f>
        <v>3.6405167581325983E-2</v>
      </c>
      <c r="T9017" s="59">
        <f ca="1">Dashboard!C$8* Dashboard!$F$4+Dashboard!C$10*SQRT(Dashboard!$F$4) * _xlfn.NORM.S.INV(RAND())</f>
        <v>-5.4476962995161143E-3</v>
      </c>
      <c r="U9017" s="59">
        <f ca="1">Dashboard!D$8* Dashboard!$F$4+Dashboard!D$10*SQRT(Dashboard!$F$4) * _xlfn.NORM.S.INV(RAND())</f>
        <v>-3.9366161316540096E-2</v>
      </c>
    </row>
    <row r="9018" spans="18:21" x14ac:dyDescent="0.2">
      <c r="R9018" s="49">
        <v>9016</v>
      </c>
      <c r="S9018" s="59">
        <f ca="1">Dashboard!B$8* Dashboard!$F$4+Dashboard!B$10*SQRT(Dashboard!$F$4) * _xlfn.NORM.S.INV(RAND())</f>
        <v>-2.644468191916553E-3</v>
      </c>
      <c r="T9018" s="59">
        <f ca="1">Dashboard!C$8* Dashboard!$F$4+Dashboard!C$10*SQRT(Dashboard!$F$4) * _xlfn.NORM.S.INV(RAND())</f>
        <v>-1.3734730104224425E-3</v>
      </c>
      <c r="U9018" s="59">
        <f ca="1">Dashboard!D$8* Dashboard!$F$4+Dashboard!D$10*SQRT(Dashboard!$F$4) * _xlfn.NORM.S.INV(RAND())</f>
        <v>2.5165838702321384E-2</v>
      </c>
    </row>
    <row r="9019" spans="18:21" x14ac:dyDescent="0.2">
      <c r="R9019" s="49">
        <v>9017</v>
      </c>
      <c r="S9019" s="59">
        <f ca="1">Dashboard!B$8* Dashboard!$F$4+Dashboard!B$10*SQRT(Dashboard!$F$4) * _xlfn.NORM.S.INV(RAND())</f>
        <v>-2.8168196756730983E-2</v>
      </c>
      <c r="T9019" s="59">
        <f ca="1">Dashboard!C$8* Dashboard!$F$4+Dashboard!C$10*SQRT(Dashboard!$F$4) * _xlfn.NORM.S.INV(RAND())</f>
        <v>-9.0668630150788181E-3</v>
      </c>
      <c r="U9019" s="59">
        <f ca="1">Dashboard!D$8* Dashboard!$F$4+Dashboard!D$10*SQRT(Dashboard!$F$4) * _xlfn.NORM.S.INV(RAND())</f>
        <v>-2.3011061252139996E-2</v>
      </c>
    </row>
    <row r="9020" spans="18:21" x14ac:dyDescent="0.2">
      <c r="R9020" s="49">
        <v>9018</v>
      </c>
      <c r="S9020" s="59">
        <f ca="1">Dashboard!B$8* Dashboard!$F$4+Dashboard!B$10*SQRT(Dashboard!$F$4) * _xlfn.NORM.S.INV(RAND())</f>
        <v>1.9673143436096101E-2</v>
      </c>
      <c r="T9020" s="59">
        <f ca="1">Dashboard!C$8* Dashboard!$F$4+Dashboard!C$10*SQRT(Dashboard!$F$4) * _xlfn.NORM.S.INV(RAND())</f>
        <v>2.2130395127868633E-2</v>
      </c>
      <c r="U9020" s="59">
        <f ca="1">Dashboard!D$8* Dashboard!$F$4+Dashboard!D$10*SQRT(Dashboard!$F$4) * _xlfn.NORM.S.INV(RAND())</f>
        <v>-3.9060014161443557E-2</v>
      </c>
    </row>
    <row r="9021" spans="18:21" x14ac:dyDescent="0.2">
      <c r="R9021" s="49">
        <v>9019</v>
      </c>
      <c r="S9021" s="59">
        <f ca="1">Dashboard!B$8* Dashboard!$F$4+Dashboard!B$10*SQRT(Dashboard!$F$4) * _xlfn.NORM.S.INV(RAND())</f>
        <v>-4.7158998329772543E-2</v>
      </c>
      <c r="T9021" s="59">
        <f ca="1">Dashboard!C$8* Dashboard!$F$4+Dashboard!C$10*SQRT(Dashboard!$F$4) * _xlfn.NORM.S.INV(RAND())</f>
        <v>2.094264638059257E-2</v>
      </c>
      <c r="U9021" s="59">
        <f ca="1">Dashboard!D$8* Dashboard!$F$4+Dashboard!D$10*SQRT(Dashboard!$F$4) * _xlfn.NORM.S.INV(RAND())</f>
        <v>-3.0215373337051647E-2</v>
      </c>
    </row>
    <row r="9022" spans="18:21" x14ac:dyDescent="0.2">
      <c r="R9022" s="49">
        <v>9020</v>
      </c>
      <c r="S9022" s="59">
        <f ca="1">Dashboard!B$8* Dashboard!$F$4+Dashboard!B$10*SQRT(Dashboard!$F$4) * _xlfn.NORM.S.INV(RAND())</f>
        <v>6.7274178478052803E-3</v>
      </c>
      <c r="T9022" s="59">
        <f ca="1">Dashboard!C$8* Dashboard!$F$4+Dashboard!C$10*SQRT(Dashboard!$F$4) * _xlfn.NORM.S.INV(RAND())</f>
        <v>-1.5564210262722682E-2</v>
      </c>
      <c r="U9022" s="59">
        <f ca="1">Dashboard!D$8* Dashboard!$F$4+Dashboard!D$10*SQRT(Dashboard!$F$4) * _xlfn.NORM.S.INV(RAND())</f>
        <v>7.4268423897464825E-2</v>
      </c>
    </row>
    <row r="9023" spans="18:21" x14ac:dyDescent="0.2">
      <c r="R9023" s="49">
        <v>9021</v>
      </c>
      <c r="S9023" s="59">
        <f ca="1">Dashboard!B$8* Dashboard!$F$4+Dashboard!B$10*SQRT(Dashboard!$F$4) * _xlfn.NORM.S.INV(RAND())</f>
        <v>-3.7387537397333165E-2</v>
      </c>
      <c r="T9023" s="59">
        <f ca="1">Dashboard!C$8* Dashboard!$F$4+Dashboard!C$10*SQRT(Dashboard!$F$4) * _xlfn.NORM.S.INV(RAND())</f>
        <v>-2.3359067529351161E-2</v>
      </c>
      <c r="U9023" s="59">
        <f ca="1">Dashboard!D$8* Dashboard!$F$4+Dashboard!D$10*SQRT(Dashboard!$F$4) * _xlfn.NORM.S.INV(RAND())</f>
        <v>4.2434240463425442E-2</v>
      </c>
    </row>
    <row r="9024" spans="18:21" x14ac:dyDescent="0.2">
      <c r="R9024" s="49">
        <v>9022</v>
      </c>
      <c r="S9024" s="59">
        <f ca="1">Dashboard!B$8* Dashboard!$F$4+Dashboard!B$10*SQRT(Dashboard!$F$4) * _xlfn.NORM.S.INV(RAND())</f>
        <v>-4.5015119555918519E-3</v>
      </c>
      <c r="T9024" s="59">
        <f ca="1">Dashboard!C$8* Dashboard!$F$4+Dashboard!C$10*SQRT(Dashboard!$F$4) * _xlfn.NORM.S.INV(RAND())</f>
        <v>1.4174854059292669E-2</v>
      </c>
      <c r="U9024" s="59">
        <f ca="1">Dashboard!D$8* Dashboard!$F$4+Dashboard!D$10*SQRT(Dashboard!$F$4) * _xlfn.NORM.S.INV(RAND())</f>
        <v>1.8295168634316877E-2</v>
      </c>
    </row>
    <row r="9025" spans="18:21" x14ac:dyDescent="0.2">
      <c r="R9025" s="49">
        <v>9023</v>
      </c>
      <c r="S9025" s="59">
        <f ca="1">Dashboard!B$8* Dashboard!$F$4+Dashboard!B$10*SQRT(Dashboard!$F$4) * _xlfn.NORM.S.INV(RAND())</f>
        <v>-8.2398110996907995E-4</v>
      </c>
      <c r="T9025" s="59">
        <f ca="1">Dashboard!C$8* Dashboard!$F$4+Dashboard!C$10*SQRT(Dashboard!$F$4) * _xlfn.NORM.S.INV(RAND())</f>
        <v>2.9340253307973286E-3</v>
      </c>
      <c r="U9025" s="59">
        <f ca="1">Dashboard!D$8* Dashboard!$F$4+Dashboard!D$10*SQRT(Dashboard!$F$4) * _xlfn.NORM.S.INV(RAND())</f>
        <v>-1.5197919272758421E-2</v>
      </c>
    </row>
    <row r="9026" spans="18:21" x14ac:dyDescent="0.2">
      <c r="R9026" s="49">
        <v>9024</v>
      </c>
      <c r="S9026" s="59">
        <f ca="1">Dashboard!B$8* Dashboard!$F$4+Dashboard!B$10*SQRT(Dashboard!$F$4) * _xlfn.NORM.S.INV(RAND())</f>
        <v>5.1346161019146554E-2</v>
      </c>
      <c r="T9026" s="59">
        <f ca="1">Dashboard!C$8* Dashboard!$F$4+Dashboard!C$10*SQRT(Dashboard!$F$4) * _xlfn.NORM.S.INV(RAND())</f>
        <v>-7.0343951945592412E-2</v>
      </c>
      <c r="U9026" s="59">
        <f ca="1">Dashboard!D$8* Dashboard!$F$4+Dashboard!D$10*SQRT(Dashboard!$F$4) * _xlfn.NORM.S.INV(RAND())</f>
        <v>-8.4361090482591126E-3</v>
      </c>
    </row>
    <row r="9027" spans="18:21" x14ac:dyDescent="0.2">
      <c r="R9027" s="49">
        <v>9025</v>
      </c>
      <c r="S9027" s="59">
        <f ca="1">Dashboard!B$8* Dashboard!$F$4+Dashboard!B$10*SQRT(Dashboard!$F$4) * _xlfn.NORM.S.INV(RAND())</f>
        <v>-6.6904927358218652E-2</v>
      </c>
      <c r="T9027" s="59">
        <f ca="1">Dashboard!C$8* Dashboard!$F$4+Dashboard!C$10*SQRT(Dashboard!$F$4) * _xlfn.NORM.S.INV(RAND())</f>
        <v>2.961891894222006E-2</v>
      </c>
      <c r="U9027" s="59">
        <f ca="1">Dashboard!D$8* Dashboard!$F$4+Dashboard!D$10*SQRT(Dashboard!$F$4) * _xlfn.NORM.S.INV(RAND())</f>
        <v>6.8697613994623419E-3</v>
      </c>
    </row>
    <row r="9028" spans="18:21" x14ac:dyDescent="0.2">
      <c r="R9028" s="49">
        <v>9026</v>
      </c>
      <c r="S9028" s="59">
        <f ca="1">Dashboard!B$8* Dashboard!$F$4+Dashboard!B$10*SQRT(Dashboard!$F$4) * _xlfn.NORM.S.INV(RAND())</f>
        <v>4.2332443524460021E-2</v>
      </c>
      <c r="T9028" s="59">
        <f ca="1">Dashboard!C$8* Dashboard!$F$4+Dashboard!C$10*SQRT(Dashboard!$F$4) * _xlfn.NORM.S.INV(RAND())</f>
        <v>-3.2552547836925336E-3</v>
      </c>
      <c r="U9028" s="59">
        <f ca="1">Dashboard!D$8* Dashboard!$F$4+Dashboard!D$10*SQRT(Dashboard!$F$4) * _xlfn.NORM.S.INV(RAND())</f>
        <v>-7.8174135215566889E-3</v>
      </c>
    </row>
    <row r="9029" spans="18:21" x14ac:dyDescent="0.2">
      <c r="R9029" s="49">
        <v>9027</v>
      </c>
      <c r="S9029" s="59">
        <f ca="1">Dashboard!B$8* Dashboard!$F$4+Dashboard!B$10*SQRT(Dashboard!$F$4) * _xlfn.NORM.S.INV(RAND())</f>
        <v>-2.5238311412663833E-2</v>
      </c>
      <c r="T9029" s="59">
        <f ca="1">Dashboard!C$8* Dashboard!$F$4+Dashboard!C$10*SQRT(Dashboard!$F$4) * _xlfn.NORM.S.INV(RAND())</f>
        <v>-4.6060646649183974E-2</v>
      </c>
      <c r="U9029" s="59">
        <f ca="1">Dashboard!D$8* Dashboard!$F$4+Dashboard!D$10*SQRT(Dashboard!$F$4) * _xlfn.NORM.S.INV(RAND())</f>
        <v>8.3249127627944994E-2</v>
      </c>
    </row>
    <row r="9030" spans="18:21" x14ac:dyDescent="0.2">
      <c r="R9030" s="49">
        <v>9028</v>
      </c>
      <c r="S9030" s="59">
        <f ca="1">Dashboard!B$8* Dashboard!$F$4+Dashboard!B$10*SQRT(Dashboard!$F$4) * _xlfn.NORM.S.INV(RAND())</f>
        <v>-6.1501044090685793E-4</v>
      </c>
      <c r="T9030" s="59">
        <f ca="1">Dashboard!C$8* Dashboard!$F$4+Dashboard!C$10*SQRT(Dashboard!$F$4) * _xlfn.NORM.S.INV(RAND())</f>
        <v>4.1465914848520628E-2</v>
      </c>
      <c r="U9030" s="59">
        <f ca="1">Dashboard!D$8* Dashboard!$F$4+Dashboard!D$10*SQRT(Dashboard!$F$4) * _xlfn.NORM.S.INV(RAND())</f>
        <v>3.3201216327049476E-2</v>
      </c>
    </row>
    <row r="9031" spans="18:21" x14ac:dyDescent="0.2">
      <c r="R9031" s="49">
        <v>9029</v>
      </c>
      <c r="S9031" s="59">
        <f ca="1">Dashboard!B$8* Dashboard!$F$4+Dashboard!B$10*SQRT(Dashboard!$F$4) * _xlfn.NORM.S.INV(RAND())</f>
        <v>-4.6571631809701988E-2</v>
      </c>
      <c r="T9031" s="59">
        <f ca="1">Dashboard!C$8* Dashboard!$F$4+Dashboard!C$10*SQRT(Dashboard!$F$4) * _xlfn.NORM.S.INV(RAND())</f>
        <v>1.4190338733878736E-2</v>
      </c>
      <c r="U9031" s="59">
        <f ca="1">Dashboard!D$8* Dashboard!$F$4+Dashboard!D$10*SQRT(Dashboard!$F$4) * _xlfn.NORM.S.INV(RAND())</f>
        <v>7.4635311931978343E-3</v>
      </c>
    </row>
    <row r="9032" spans="18:21" x14ac:dyDescent="0.2">
      <c r="R9032" s="49">
        <v>9030</v>
      </c>
      <c r="S9032" s="59">
        <f ca="1">Dashboard!B$8* Dashboard!$F$4+Dashboard!B$10*SQRT(Dashboard!$F$4) * _xlfn.NORM.S.INV(RAND())</f>
        <v>2.1417703427243431E-2</v>
      </c>
      <c r="T9032" s="59">
        <f ca="1">Dashboard!C$8* Dashboard!$F$4+Dashboard!C$10*SQRT(Dashboard!$F$4) * _xlfn.NORM.S.INV(RAND())</f>
        <v>6.2635336705286454E-2</v>
      </c>
      <c r="U9032" s="59">
        <f ca="1">Dashboard!D$8* Dashboard!$F$4+Dashboard!D$10*SQRT(Dashboard!$F$4) * _xlfn.NORM.S.INV(RAND())</f>
        <v>1.8306507935650577E-2</v>
      </c>
    </row>
    <row r="9033" spans="18:21" x14ac:dyDescent="0.2">
      <c r="R9033" s="49">
        <v>9031</v>
      </c>
      <c r="S9033" s="59">
        <f ca="1">Dashboard!B$8* Dashboard!$F$4+Dashboard!B$10*SQRT(Dashboard!$F$4) * _xlfn.NORM.S.INV(RAND())</f>
        <v>1.3510195291663472E-3</v>
      </c>
      <c r="T9033" s="59">
        <f ca="1">Dashboard!C$8* Dashboard!$F$4+Dashboard!C$10*SQRT(Dashboard!$F$4) * _xlfn.NORM.S.INV(RAND())</f>
        <v>-6.025864236839408E-4</v>
      </c>
      <c r="U9033" s="59">
        <f ca="1">Dashboard!D$8* Dashboard!$F$4+Dashboard!D$10*SQRT(Dashboard!$F$4) * _xlfn.NORM.S.INV(RAND())</f>
        <v>2.9458009800067159E-2</v>
      </c>
    </row>
    <row r="9034" spans="18:21" x14ac:dyDescent="0.2">
      <c r="R9034" s="49">
        <v>9032</v>
      </c>
      <c r="S9034" s="59">
        <f ca="1">Dashboard!B$8* Dashboard!$F$4+Dashboard!B$10*SQRT(Dashboard!$F$4) * _xlfn.NORM.S.INV(RAND())</f>
        <v>-1.0387992763485142E-2</v>
      </c>
      <c r="T9034" s="59">
        <f ca="1">Dashboard!C$8* Dashboard!$F$4+Dashboard!C$10*SQRT(Dashboard!$F$4) * _xlfn.NORM.S.INV(RAND())</f>
        <v>1.5873028735335571E-2</v>
      </c>
      <c r="U9034" s="59">
        <f ca="1">Dashboard!D$8* Dashboard!$F$4+Dashboard!D$10*SQRT(Dashboard!$F$4) * _xlfn.NORM.S.INV(RAND())</f>
        <v>3.5669404154996281E-2</v>
      </c>
    </row>
    <row r="9035" spans="18:21" x14ac:dyDescent="0.2">
      <c r="R9035" s="49">
        <v>9033</v>
      </c>
      <c r="S9035" s="59">
        <f ca="1">Dashboard!B$8* Dashboard!$F$4+Dashboard!B$10*SQRT(Dashboard!$F$4) * _xlfn.NORM.S.INV(RAND())</f>
        <v>-9.0679907032591572E-3</v>
      </c>
      <c r="T9035" s="59">
        <f ca="1">Dashboard!C$8* Dashboard!$F$4+Dashboard!C$10*SQRT(Dashboard!$F$4) * _xlfn.NORM.S.INV(RAND())</f>
        <v>-1.5898267283261606E-2</v>
      </c>
      <c r="U9035" s="59">
        <f ca="1">Dashboard!D$8* Dashboard!$F$4+Dashboard!D$10*SQRT(Dashboard!$F$4) * _xlfn.NORM.S.INV(RAND())</f>
        <v>-1.4361675332999316E-2</v>
      </c>
    </row>
    <row r="9036" spans="18:21" x14ac:dyDescent="0.2">
      <c r="R9036" s="49">
        <v>9034</v>
      </c>
      <c r="S9036" s="59">
        <f ca="1">Dashboard!B$8* Dashboard!$F$4+Dashboard!B$10*SQRT(Dashboard!$F$4) * _xlfn.NORM.S.INV(RAND())</f>
        <v>-3.1514358312899858E-4</v>
      </c>
      <c r="T9036" s="59">
        <f ca="1">Dashboard!C$8* Dashboard!$F$4+Dashboard!C$10*SQRT(Dashboard!$F$4) * _xlfn.NORM.S.INV(RAND())</f>
        <v>-2.226502521546651E-2</v>
      </c>
      <c r="U9036" s="59">
        <f ca="1">Dashboard!D$8* Dashboard!$F$4+Dashboard!D$10*SQRT(Dashboard!$F$4) * _xlfn.NORM.S.INV(RAND())</f>
        <v>-5.9005156538451321E-2</v>
      </c>
    </row>
    <row r="9037" spans="18:21" x14ac:dyDescent="0.2">
      <c r="R9037" s="49">
        <v>9035</v>
      </c>
      <c r="S9037" s="59">
        <f ca="1">Dashboard!B$8* Dashboard!$F$4+Dashboard!B$10*SQRT(Dashboard!$F$4) * _xlfn.NORM.S.INV(RAND())</f>
        <v>5.3297315078072074E-2</v>
      </c>
      <c r="T9037" s="59">
        <f ca="1">Dashboard!C$8* Dashboard!$F$4+Dashboard!C$10*SQRT(Dashboard!$F$4) * _xlfn.NORM.S.INV(RAND())</f>
        <v>-6.2208226270299592E-3</v>
      </c>
      <c r="U9037" s="59">
        <f ca="1">Dashboard!D$8* Dashboard!$F$4+Dashboard!D$10*SQRT(Dashboard!$F$4) * _xlfn.NORM.S.INV(RAND())</f>
        <v>-1.5664826744304461E-3</v>
      </c>
    </row>
    <row r="9038" spans="18:21" x14ac:dyDescent="0.2">
      <c r="R9038" s="49">
        <v>9036</v>
      </c>
      <c r="S9038" s="59">
        <f ca="1">Dashboard!B$8* Dashboard!$F$4+Dashboard!B$10*SQRT(Dashboard!$F$4) * _xlfn.NORM.S.INV(RAND())</f>
        <v>-9.8520665621120284E-3</v>
      </c>
      <c r="T9038" s="59">
        <f ca="1">Dashboard!C$8* Dashboard!$F$4+Dashboard!C$10*SQRT(Dashboard!$F$4) * _xlfn.NORM.S.INV(RAND())</f>
        <v>7.6979105110854373E-2</v>
      </c>
      <c r="U9038" s="59">
        <f ca="1">Dashboard!D$8* Dashboard!$F$4+Dashboard!D$10*SQRT(Dashboard!$F$4) * _xlfn.NORM.S.INV(RAND())</f>
        <v>2.8028447622352487E-2</v>
      </c>
    </row>
    <row r="9039" spans="18:21" x14ac:dyDescent="0.2">
      <c r="R9039" s="49">
        <v>9037</v>
      </c>
      <c r="S9039" s="59">
        <f ca="1">Dashboard!B$8* Dashboard!$F$4+Dashboard!B$10*SQRT(Dashboard!$F$4) * _xlfn.NORM.S.INV(RAND())</f>
        <v>1.5282770198480015E-3</v>
      </c>
      <c r="T9039" s="59">
        <f ca="1">Dashboard!C$8* Dashboard!$F$4+Dashboard!C$10*SQRT(Dashboard!$F$4) * _xlfn.NORM.S.INV(RAND())</f>
        <v>-4.1922314026338788E-2</v>
      </c>
      <c r="U9039" s="59">
        <f ca="1">Dashboard!D$8* Dashboard!$F$4+Dashboard!D$10*SQRT(Dashboard!$F$4) * _xlfn.NORM.S.INV(RAND())</f>
        <v>-3.7763296407637953E-2</v>
      </c>
    </row>
    <row r="9040" spans="18:21" x14ac:dyDescent="0.2">
      <c r="R9040" s="49">
        <v>9038</v>
      </c>
      <c r="S9040" s="59">
        <f ca="1">Dashboard!B$8* Dashboard!$F$4+Dashboard!B$10*SQRT(Dashboard!$F$4) * _xlfn.NORM.S.INV(RAND())</f>
        <v>-4.0292249598249008E-2</v>
      </c>
      <c r="T9040" s="59">
        <f ca="1">Dashboard!C$8* Dashboard!$F$4+Dashboard!C$10*SQRT(Dashboard!$F$4) * _xlfn.NORM.S.INV(RAND())</f>
        <v>2.2045895694618543E-2</v>
      </c>
      <c r="U9040" s="59">
        <f ca="1">Dashboard!D$8* Dashboard!$F$4+Dashboard!D$10*SQRT(Dashboard!$F$4) * _xlfn.NORM.S.INV(RAND())</f>
        <v>3.7213689169903627E-2</v>
      </c>
    </row>
    <row r="9041" spans="18:21" x14ac:dyDescent="0.2">
      <c r="R9041" s="49">
        <v>9039</v>
      </c>
      <c r="S9041" s="59">
        <f ca="1">Dashboard!B$8* Dashboard!$F$4+Dashboard!B$10*SQRT(Dashboard!$F$4) * _xlfn.NORM.S.INV(RAND())</f>
        <v>3.1030454034123786E-2</v>
      </c>
      <c r="T9041" s="59">
        <f ca="1">Dashboard!C$8* Dashboard!$F$4+Dashboard!C$10*SQRT(Dashboard!$F$4) * _xlfn.NORM.S.INV(RAND())</f>
        <v>1.3055985735289932E-5</v>
      </c>
      <c r="U9041" s="59">
        <f ca="1">Dashboard!D$8* Dashboard!$F$4+Dashboard!D$10*SQRT(Dashboard!$F$4) * _xlfn.NORM.S.INV(RAND())</f>
        <v>6.4670403793598369E-2</v>
      </c>
    </row>
    <row r="9042" spans="18:21" x14ac:dyDescent="0.2">
      <c r="R9042" s="49">
        <v>9040</v>
      </c>
      <c r="S9042" s="59">
        <f ca="1">Dashboard!B$8* Dashboard!$F$4+Dashboard!B$10*SQRT(Dashboard!$F$4) * _xlfn.NORM.S.INV(RAND())</f>
        <v>4.9637559628884789E-2</v>
      </c>
      <c r="T9042" s="59">
        <f ca="1">Dashboard!C$8* Dashboard!$F$4+Dashboard!C$10*SQRT(Dashboard!$F$4) * _xlfn.NORM.S.INV(RAND())</f>
        <v>-1.4909515410980886E-2</v>
      </c>
      <c r="U9042" s="59">
        <f ca="1">Dashboard!D$8* Dashboard!$F$4+Dashboard!D$10*SQRT(Dashboard!$F$4) * _xlfn.NORM.S.INV(RAND())</f>
        <v>-6.0651171913520215E-2</v>
      </c>
    </row>
    <row r="9043" spans="18:21" x14ac:dyDescent="0.2">
      <c r="R9043" s="49">
        <v>9041</v>
      </c>
      <c r="S9043" s="59">
        <f ca="1">Dashboard!B$8* Dashboard!$F$4+Dashboard!B$10*SQRT(Dashboard!$F$4) * _xlfn.NORM.S.INV(RAND())</f>
        <v>2.4363476085832281E-2</v>
      </c>
      <c r="T9043" s="59">
        <f ca="1">Dashboard!C$8* Dashboard!$F$4+Dashboard!C$10*SQRT(Dashboard!$F$4) * _xlfn.NORM.S.INV(RAND())</f>
        <v>-1.3805203771582415E-2</v>
      </c>
      <c r="U9043" s="59">
        <f ca="1">Dashboard!D$8* Dashboard!$F$4+Dashboard!D$10*SQRT(Dashboard!$F$4) * _xlfn.NORM.S.INV(RAND())</f>
        <v>5.6628989095567316E-2</v>
      </c>
    </row>
    <row r="9044" spans="18:21" x14ac:dyDescent="0.2">
      <c r="R9044" s="49">
        <v>9042</v>
      </c>
      <c r="S9044" s="59">
        <f ca="1">Dashboard!B$8* Dashboard!$F$4+Dashboard!B$10*SQRT(Dashboard!$F$4) * _xlfn.NORM.S.INV(RAND())</f>
        <v>3.5159455565187681E-2</v>
      </c>
      <c r="T9044" s="59">
        <f ca="1">Dashboard!C$8* Dashboard!$F$4+Dashboard!C$10*SQRT(Dashboard!$F$4) * _xlfn.NORM.S.INV(RAND())</f>
        <v>3.3065945620991452E-2</v>
      </c>
      <c r="U9044" s="59">
        <f ca="1">Dashboard!D$8* Dashboard!$F$4+Dashboard!D$10*SQRT(Dashboard!$F$4) * _xlfn.NORM.S.INV(RAND())</f>
        <v>4.4420779997737414E-2</v>
      </c>
    </row>
    <row r="9045" spans="18:21" x14ac:dyDescent="0.2">
      <c r="R9045" s="49">
        <v>9043</v>
      </c>
      <c r="S9045" s="59">
        <f ca="1">Dashboard!B$8* Dashboard!$F$4+Dashboard!B$10*SQRT(Dashboard!$F$4) * _xlfn.NORM.S.INV(RAND())</f>
        <v>-3.1835771843138634E-2</v>
      </c>
      <c r="T9045" s="59">
        <f ca="1">Dashboard!C$8* Dashboard!$F$4+Dashboard!C$10*SQRT(Dashboard!$F$4) * _xlfn.NORM.S.INV(RAND())</f>
        <v>2.3004079670331894E-2</v>
      </c>
      <c r="U9045" s="59">
        <f ca="1">Dashboard!D$8* Dashboard!$F$4+Dashboard!D$10*SQRT(Dashboard!$F$4) * _xlfn.NORM.S.INV(RAND())</f>
        <v>-1.2245687868208732E-2</v>
      </c>
    </row>
    <row r="9046" spans="18:21" x14ac:dyDescent="0.2">
      <c r="R9046" s="49">
        <v>9044</v>
      </c>
      <c r="S9046" s="59">
        <f ca="1">Dashboard!B$8* Dashboard!$F$4+Dashboard!B$10*SQRT(Dashboard!$F$4) * _xlfn.NORM.S.INV(RAND())</f>
        <v>-3.7566140257955301E-2</v>
      </c>
      <c r="T9046" s="59">
        <f ca="1">Dashboard!C$8* Dashboard!$F$4+Dashboard!C$10*SQRT(Dashboard!$F$4) * _xlfn.NORM.S.INV(RAND())</f>
        <v>8.1237721560803652E-2</v>
      </c>
      <c r="U9046" s="59">
        <f ca="1">Dashboard!D$8* Dashboard!$F$4+Dashboard!D$10*SQRT(Dashboard!$F$4) * _xlfn.NORM.S.INV(RAND())</f>
        <v>2.5593563455039006E-2</v>
      </c>
    </row>
    <row r="9047" spans="18:21" x14ac:dyDescent="0.2">
      <c r="R9047" s="49">
        <v>9045</v>
      </c>
      <c r="S9047" s="59">
        <f ca="1">Dashboard!B$8* Dashboard!$F$4+Dashboard!B$10*SQRT(Dashboard!$F$4) * _xlfn.NORM.S.INV(RAND())</f>
        <v>-2.6770389128848784E-2</v>
      </c>
      <c r="T9047" s="59">
        <f ca="1">Dashboard!C$8* Dashboard!$F$4+Dashboard!C$10*SQRT(Dashboard!$F$4) * _xlfn.NORM.S.INV(RAND())</f>
        <v>-3.1481307431895464E-2</v>
      </c>
      <c r="U9047" s="59">
        <f ca="1">Dashboard!D$8* Dashboard!$F$4+Dashboard!D$10*SQRT(Dashboard!$F$4) * _xlfn.NORM.S.INV(RAND())</f>
        <v>-5.9675893636405974E-3</v>
      </c>
    </row>
    <row r="9048" spans="18:21" x14ac:dyDescent="0.2">
      <c r="R9048" s="49">
        <v>9046</v>
      </c>
      <c r="S9048" s="59">
        <f ca="1">Dashboard!B$8* Dashboard!$F$4+Dashboard!B$10*SQRT(Dashboard!$F$4) * _xlfn.NORM.S.INV(RAND())</f>
        <v>0.10500487197039507</v>
      </c>
      <c r="T9048" s="59">
        <f ca="1">Dashboard!C$8* Dashboard!$F$4+Dashboard!C$10*SQRT(Dashboard!$F$4) * _xlfn.NORM.S.INV(RAND())</f>
        <v>-2.0362845913329052E-2</v>
      </c>
      <c r="U9048" s="59">
        <f ca="1">Dashboard!D$8* Dashboard!$F$4+Dashboard!D$10*SQRT(Dashboard!$F$4) * _xlfn.NORM.S.INV(RAND())</f>
        <v>2.8596134536589587E-2</v>
      </c>
    </row>
    <row r="9049" spans="18:21" x14ac:dyDescent="0.2">
      <c r="R9049" s="49">
        <v>9047</v>
      </c>
      <c r="S9049" s="59">
        <f ca="1">Dashboard!B$8* Dashboard!$F$4+Dashboard!B$10*SQRT(Dashboard!$F$4) * _xlfn.NORM.S.INV(RAND())</f>
        <v>9.3213647183701242E-3</v>
      </c>
      <c r="T9049" s="59">
        <f ca="1">Dashboard!C$8* Dashboard!$F$4+Dashboard!C$10*SQRT(Dashboard!$F$4) * _xlfn.NORM.S.INV(RAND())</f>
        <v>-3.6014212812081607E-2</v>
      </c>
      <c r="U9049" s="59">
        <f ca="1">Dashboard!D$8* Dashboard!$F$4+Dashboard!D$10*SQRT(Dashboard!$F$4) * _xlfn.NORM.S.INV(RAND())</f>
        <v>-1.8806318936852179E-3</v>
      </c>
    </row>
    <row r="9050" spans="18:21" x14ac:dyDescent="0.2">
      <c r="R9050" s="49">
        <v>9048</v>
      </c>
      <c r="S9050" s="59">
        <f ca="1">Dashboard!B$8* Dashboard!$F$4+Dashboard!B$10*SQRT(Dashboard!$F$4) * _xlfn.NORM.S.INV(RAND())</f>
        <v>1.4758489372619312E-2</v>
      </c>
      <c r="T9050" s="59">
        <f ca="1">Dashboard!C$8* Dashboard!$F$4+Dashboard!C$10*SQRT(Dashboard!$F$4) * _xlfn.NORM.S.INV(RAND())</f>
        <v>-5.7094524941585225E-3</v>
      </c>
      <c r="U9050" s="59">
        <f ca="1">Dashboard!D$8* Dashboard!$F$4+Dashboard!D$10*SQRT(Dashboard!$F$4) * _xlfn.NORM.S.INV(RAND())</f>
        <v>1.8032613854032448E-2</v>
      </c>
    </row>
    <row r="9051" spans="18:21" x14ac:dyDescent="0.2">
      <c r="R9051" s="49">
        <v>9049</v>
      </c>
      <c r="S9051" s="59">
        <f ca="1">Dashboard!B$8* Dashboard!$F$4+Dashboard!B$10*SQRT(Dashboard!$F$4) * _xlfn.NORM.S.INV(RAND())</f>
        <v>-7.7284677993824241E-3</v>
      </c>
      <c r="T9051" s="59">
        <f ca="1">Dashboard!C$8* Dashboard!$F$4+Dashboard!C$10*SQRT(Dashboard!$F$4) * _xlfn.NORM.S.INV(RAND())</f>
        <v>-4.1215655987029705E-2</v>
      </c>
      <c r="U9051" s="59">
        <f ca="1">Dashboard!D$8* Dashboard!$F$4+Dashboard!D$10*SQRT(Dashboard!$F$4) * _xlfn.NORM.S.INV(RAND())</f>
        <v>-1.2223027515529825E-2</v>
      </c>
    </row>
    <row r="9052" spans="18:21" x14ac:dyDescent="0.2">
      <c r="R9052" s="49">
        <v>9050</v>
      </c>
      <c r="S9052" s="59">
        <f ca="1">Dashboard!B$8* Dashboard!$F$4+Dashboard!B$10*SQRT(Dashboard!$F$4) * _xlfn.NORM.S.INV(RAND())</f>
        <v>-5.5536380039978551E-2</v>
      </c>
      <c r="T9052" s="59">
        <f ca="1">Dashboard!C$8* Dashboard!$F$4+Dashboard!C$10*SQRT(Dashboard!$F$4) * _xlfn.NORM.S.INV(RAND())</f>
        <v>1.2501041908912124E-2</v>
      </c>
      <c r="U9052" s="59">
        <f ca="1">Dashboard!D$8* Dashboard!$F$4+Dashboard!D$10*SQRT(Dashboard!$F$4) * _xlfn.NORM.S.INV(RAND())</f>
        <v>7.1042653620183322E-3</v>
      </c>
    </row>
    <row r="9053" spans="18:21" x14ac:dyDescent="0.2">
      <c r="R9053" s="49">
        <v>9051</v>
      </c>
      <c r="S9053" s="59">
        <f ca="1">Dashboard!B$8* Dashboard!$F$4+Dashboard!B$10*SQRT(Dashboard!$F$4) * _xlfn.NORM.S.INV(RAND())</f>
        <v>2.5660728699323399E-2</v>
      </c>
      <c r="T9053" s="59">
        <f ca="1">Dashboard!C$8* Dashboard!$F$4+Dashboard!C$10*SQRT(Dashboard!$F$4) * _xlfn.NORM.S.INV(RAND())</f>
        <v>2.1318969109382045E-2</v>
      </c>
      <c r="U9053" s="59">
        <f ca="1">Dashboard!D$8* Dashboard!$F$4+Dashboard!D$10*SQRT(Dashboard!$F$4) * _xlfn.NORM.S.INV(RAND())</f>
        <v>-1.8424363537331189E-2</v>
      </c>
    </row>
    <row r="9054" spans="18:21" x14ac:dyDescent="0.2">
      <c r="R9054" s="49">
        <v>9052</v>
      </c>
      <c r="S9054" s="59">
        <f ca="1">Dashboard!B$8* Dashboard!$F$4+Dashboard!B$10*SQRT(Dashboard!$F$4) * _xlfn.NORM.S.INV(RAND())</f>
        <v>9.9411206402821688E-5</v>
      </c>
      <c r="T9054" s="59">
        <f ca="1">Dashboard!C$8* Dashboard!$F$4+Dashboard!C$10*SQRT(Dashboard!$F$4) * _xlfn.NORM.S.INV(RAND())</f>
        <v>4.789589622758101E-2</v>
      </c>
      <c r="U9054" s="59">
        <f ca="1">Dashboard!D$8* Dashboard!$F$4+Dashboard!D$10*SQRT(Dashboard!$F$4) * _xlfn.NORM.S.INV(RAND())</f>
        <v>-3.9060598378183858E-3</v>
      </c>
    </row>
    <row r="9055" spans="18:21" x14ac:dyDescent="0.2">
      <c r="R9055" s="49">
        <v>9053</v>
      </c>
      <c r="S9055" s="59">
        <f ca="1">Dashboard!B$8* Dashboard!$F$4+Dashboard!B$10*SQRT(Dashboard!$F$4) * _xlfn.NORM.S.INV(RAND())</f>
        <v>4.7971618698993447E-3</v>
      </c>
      <c r="T9055" s="59">
        <f ca="1">Dashboard!C$8* Dashboard!$F$4+Dashboard!C$10*SQRT(Dashboard!$F$4) * _xlfn.NORM.S.INV(RAND())</f>
        <v>-1.2901804371554991E-2</v>
      </c>
      <c r="U9055" s="59">
        <f ca="1">Dashboard!D$8* Dashboard!$F$4+Dashboard!D$10*SQRT(Dashboard!$F$4) * _xlfn.NORM.S.INV(RAND())</f>
        <v>-1.7216682735462868E-2</v>
      </c>
    </row>
    <row r="9056" spans="18:21" x14ac:dyDescent="0.2">
      <c r="R9056" s="49">
        <v>9054</v>
      </c>
      <c r="S9056" s="59">
        <f ca="1">Dashboard!B$8* Dashboard!$F$4+Dashboard!B$10*SQRT(Dashboard!$F$4) * _xlfn.NORM.S.INV(RAND())</f>
        <v>5.4686547811501111E-2</v>
      </c>
      <c r="T9056" s="59">
        <f ca="1">Dashboard!C$8* Dashboard!$F$4+Dashboard!C$10*SQRT(Dashboard!$F$4) * _xlfn.NORM.S.INV(RAND())</f>
        <v>-1.7593574842186415E-2</v>
      </c>
      <c r="U9056" s="59">
        <f ca="1">Dashboard!D$8* Dashboard!$F$4+Dashboard!D$10*SQRT(Dashboard!$F$4) * _xlfn.NORM.S.INV(RAND())</f>
        <v>1.9714271330508867E-3</v>
      </c>
    </row>
    <row r="9057" spans="18:21" x14ac:dyDescent="0.2">
      <c r="R9057" s="49">
        <v>9055</v>
      </c>
      <c r="S9057" s="59">
        <f ca="1">Dashboard!B$8* Dashboard!$F$4+Dashboard!B$10*SQRT(Dashboard!$F$4) * _xlfn.NORM.S.INV(RAND())</f>
        <v>-1.6013094807568753E-2</v>
      </c>
      <c r="T9057" s="59">
        <f ca="1">Dashboard!C$8* Dashboard!$F$4+Dashboard!C$10*SQRT(Dashboard!$F$4) * _xlfn.NORM.S.INV(RAND())</f>
        <v>-2.9962136445730151E-2</v>
      </c>
      <c r="U9057" s="59">
        <f ca="1">Dashboard!D$8* Dashboard!$F$4+Dashboard!D$10*SQRT(Dashboard!$F$4) * _xlfn.NORM.S.INV(RAND())</f>
        <v>6.3252425330798875E-2</v>
      </c>
    </row>
    <row r="9058" spans="18:21" x14ac:dyDescent="0.2">
      <c r="R9058" s="49">
        <v>9056</v>
      </c>
      <c r="S9058" s="59">
        <f ca="1">Dashboard!B$8* Dashboard!$F$4+Dashboard!B$10*SQRT(Dashboard!$F$4) * _xlfn.NORM.S.INV(RAND())</f>
        <v>-2.4602327312874483E-2</v>
      </c>
      <c r="T9058" s="59">
        <f ca="1">Dashboard!C$8* Dashboard!$F$4+Dashboard!C$10*SQRT(Dashboard!$F$4) * _xlfn.NORM.S.INV(RAND())</f>
        <v>-1.02941952333933E-2</v>
      </c>
      <c r="U9058" s="59">
        <f ca="1">Dashboard!D$8* Dashboard!$F$4+Dashboard!D$10*SQRT(Dashboard!$F$4) * _xlfn.NORM.S.INV(RAND())</f>
        <v>2.7162175668197397E-2</v>
      </c>
    </row>
    <row r="9059" spans="18:21" x14ac:dyDescent="0.2">
      <c r="R9059" s="49">
        <v>9057</v>
      </c>
      <c r="S9059" s="59">
        <f ca="1">Dashboard!B$8* Dashboard!$F$4+Dashboard!B$10*SQRT(Dashboard!$F$4) * _xlfn.NORM.S.INV(RAND())</f>
        <v>1.5145745289248192E-2</v>
      </c>
      <c r="T9059" s="59">
        <f ca="1">Dashboard!C$8* Dashboard!$F$4+Dashboard!C$10*SQRT(Dashboard!$F$4) * _xlfn.NORM.S.INV(RAND())</f>
        <v>1.570684707342259E-2</v>
      </c>
      <c r="U9059" s="59">
        <f ca="1">Dashboard!D$8* Dashboard!$F$4+Dashboard!D$10*SQRT(Dashboard!$F$4) * _xlfn.NORM.S.INV(RAND())</f>
        <v>4.0744875561472847E-2</v>
      </c>
    </row>
    <row r="9060" spans="18:21" x14ac:dyDescent="0.2">
      <c r="R9060" s="49">
        <v>9058</v>
      </c>
      <c r="S9060" s="59">
        <f ca="1">Dashboard!B$8* Dashboard!$F$4+Dashboard!B$10*SQRT(Dashboard!$F$4) * _xlfn.NORM.S.INV(RAND())</f>
        <v>5.3654410130383641E-3</v>
      </c>
      <c r="T9060" s="59">
        <f ca="1">Dashboard!C$8* Dashboard!$F$4+Dashboard!C$10*SQRT(Dashboard!$F$4) * _xlfn.NORM.S.INV(RAND())</f>
        <v>-6.0482891735458191E-2</v>
      </c>
      <c r="U9060" s="59">
        <f ca="1">Dashboard!D$8* Dashboard!$F$4+Dashboard!D$10*SQRT(Dashboard!$F$4) * _xlfn.NORM.S.INV(RAND())</f>
        <v>-1.7901301841796474E-2</v>
      </c>
    </row>
    <row r="9061" spans="18:21" x14ac:dyDescent="0.2">
      <c r="R9061" s="49">
        <v>9059</v>
      </c>
      <c r="S9061" s="59">
        <f ca="1">Dashboard!B$8* Dashboard!$F$4+Dashboard!B$10*SQRT(Dashboard!$F$4) * _xlfn.NORM.S.INV(RAND())</f>
        <v>2.8677703623662181E-3</v>
      </c>
      <c r="T9061" s="59">
        <f ca="1">Dashboard!C$8* Dashboard!$F$4+Dashboard!C$10*SQRT(Dashboard!$F$4) * _xlfn.NORM.S.INV(RAND())</f>
        <v>7.8174526585146759E-3</v>
      </c>
      <c r="U9061" s="59">
        <f ca="1">Dashboard!D$8* Dashboard!$F$4+Dashboard!D$10*SQRT(Dashboard!$F$4) * _xlfn.NORM.S.INV(RAND())</f>
        <v>-1.963045263262506E-2</v>
      </c>
    </row>
    <row r="9062" spans="18:21" x14ac:dyDescent="0.2">
      <c r="R9062" s="49">
        <v>9060</v>
      </c>
      <c r="S9062" s="59">
        <f ca="1">Dashboard!B$8* Dashboard!$F$4+Dashboard!B$10*SQRT(Dashboard!$F$4) * _xlfn.NORM.S.INV(RAND())</f>
        <v>-6.2471259154773966E-2</v>
      </c>
      <c r="T9062" s="59">
        <f ca="1">Dashboard!C$8* Dashboard!$F$4+Dashboard!C$10*SQRT(Dashboard!$F$4) * _xlfn.NORM.S.INV(RAND())</f>
        <v>2.3516181642892001E-2</v>
      </c>
      <c r="U9062" s="59">
        <f ca="1">Dashboard!D$8* Dashboard!$F$4+Dashboard!D$10*SQRT(Dashboard!$F$4) * _xlfn.NORM.S.INV(RAND())</f>
        <v>-3.2085066539088422E-2</v>
      </c>
    </row>
    <row r="9063" spans="18:21" x14ac:dyDescent="0.2">
      <c r="R9063" s="49">
        <v>9061</v>
      </c>
      <c r="S9063" s="59">
        <f ca="1">Dashboard!B$8* Dashboard!$F$4+Dashboard!B$10*SQRT(Dashboard!$F$4) * _xlfn.NORM.S.INV(RAND())</f>
        <v>-4.810295478603633E-2</v>
      </c>
      <c r="T9063" s="59">
        <f ca="1">Dashboard!C$8* Dashboard!$F$4+Dashboard!C$10*SQRT(Dashboard!$F$4) * _xlfn.NORM.S.INV(RAND())</f>
        <v>7.318560252581284E-3</v>
      </c>
      <c r="U9063" s="59">
        <f ca="1">Dashboard!D$8* Dashboard!$F$4+Dashboard!D$10*SQRT(Dashboard!$F$4) * _xlfn.NORM.S.INV(RAND())</f>
        <v>-1.0040380662162436E-2</v>
      </c>
    </row>
    <row r="9064" spans="18:21" x14ac:dyDescent="0.2">
      <c r="R9064" s="49">
        <v>9062</v>
      </c>
      <c r="S9064" s="59">
        <f ca="1">Dashboard!B$8* Dashboard!$F$4+Dashboard!B$10*SQRT(Dashboard!$F$4) * _xlfn.NORM.S.INV(RAND())</f>
        <v>-1.658241865898036E-3</v>
      </c>
      <c r="T9064" s="59">
        <f ca="1">Dashboard!C$8* Dashboard!$F$4+Dashboard!C$10*SQRT(Dashboard!$F$4) * _xlfn.NORM.S.INV(RAND())</f>
        <v>-2.5588125350658738E-2</v>
      </c>
      <c r="U9064" s="59">
        <f ca="1">Dashboard!D$8* Dashboard!$F$4+Dashboard!D$10*SQRT(Dashboard!$F$4) * _xlfn.NORM.S.INV(RAND())</f>
        <v>-9.2755238091833045E-3</v>
      </c>
    </row>
    <row r="9065" spans="18:21" x14ac:dyDescent="0.2">
      <c r="R9065" s="49">
        <v>9063</v>
      </c>
      <c r="S9065" s="59">
        <f ca="1">Dashboard!B$8* Dashboard!$F$4+Dashboard!B$10*SQRT(Dashboard!$F$4) * _xlfn.NORM.S.INV(RAND())</f>
        <v>1.551387524699324E-2</v>
      </c>
      <c r="T9065" s="59">
        <f ca="1">Dashboard!C$8* Dashboard!$F$4+Dashboard!C$10*SQRT(Dashboard!$F$4) * _xlfn.NORM.S.INV(RAND())</f>
        <v>1.1110852225431879E-2</v>
      </c>
      <c r="U9065" s="59">
        <f ca="1">Dashboard!D$8* Dashboard!$F$4+Dashboard!D$10*SQRT(Dashboard!$F$4) * _xlfn.NORM.S.INV(RAND())</f>
        <v>3.9176372661378357E-4</v>
      </c>
    </row>
    <row r="9066" spans="18:21" x14ac:dyDescent="0.2">
      <c r="R9066" s="49">
        <v>9064</v>
      </c>
      <c r="S9066" s="59">
        <f ca="1">Dashboard!B$8* Dashboard!$F$4+Dashboard!B$10*SQRT(Dashboard!$F$4) * _xlfn.NORM.S.INV(RAND())</f>
        <v>-3.8609563255856761E-3</v>
      </c>
      <c r="T9066" s="59">
        <f ca="1">Dashboard!C$8* Dashboard!$F$4+Dashboard!C$10*SQRT(Dashboard!$F$4) * _xlfn.NORM.S.INV(RAND())</f>
        <v>-1.8968687237868216E-2</v>
      </c>
      <c r="U9066" s="59">
        <f ca="1">Dashboard!D$8* Dashboard!$F$4+Dashboard!D$10*SQRT(Dashboard!$F$4) * _xlfn.NORM.S.INV(RAND())</f>
        <v>-1.8293837647526952E-2</v>
      </c>
    </row>
    <row r="9067" spans="18:21" x14ac:dyDescent="0.2">
      <c r="R9067" s="49">
        <v>9065</v>
      </c>
      <c r="S9067" s="59">
        <f ca="1">Dashboard!B$8* Dashboard!$F$4+Dashboard!B$10*SQRT(Dashboard!$F$4) * _xlfn.NORM.S.INV(RAND())</f>
        <v>-1.785125032411122E-2</v>
      </c>
      <c r="T9067" s="59">
        <f ca="1">Dashboard!C$8* Dashboard!$F$4+Dashboard!C$10*SQRT(Dashboard!$F$4) * _xlfn.NORM.S.INV(RAND())</f>
        <v>-5.1837152729483305E-2</v>
      </c>
      <c r="U9067" s="59">
        <f ca="1">Dashboard!D$8* Dashboard!$F$4+Dashboard!D$10*SQRT(Dashboard!$F$4) * _xlfn.NORM.S.INV(RAND())</f>
        <v>1.5648053978223917E-2</v>
      </c>
    </row>
    <row r="9068" spans="18:21" x14ac:dyDescent="0.2">
      <c r="R9068" s="49">
        <v>9066</v>
      </c>
      <c r="S9068" s="59">
        <f ca="1">Dashboard!B$8* Dashboard!$F$4+Dashboard!B$10*SQRT(Dashboard!$F$4) * _xlfn.NORM.S.INV(RAND())</f>
        <v>-5.0284051791881022E-2</v>
      </c>
      <c r="T9068" s="59">
        <f ca="1">Dashboard!C$8* Dashboard!$F$4+Dashboard!C$10*SQRT(Dashboard!$F$4) * _xlfn.NORM.S.INV(RAND())</f>
        <v>3.9976352725398893E-2</v>
      </c>
      <c r="U9068" s="59">
        <f ca="1">Dashboard!D$8* Dashboard!$F$4+Dashboard!D$10*SQRT(Dashboard!$F$4) * _xlfn.NORM.S.INV(RAND())</f>
        <v>3.5301051148891316E-3</v>
      </c>
    </row>
    <row r="9069" spans="18:21" x14ac:dyDescent="0.2">
      <c r="R9069" s="49">
        <v>9067</v>
      </c>
      <c r="S9069" s="59">
        <f ca="1">Dashboard!B$8* Dashboard!$F$4+Dashboard!B$10*SQRT(Dashboard!$F$4) * _xlfn.NORM.S.INV(RAND())</f>
        <v>-1.7820623411839234E-2</v>
      </c>
      <c r="T9069" s="59">
        <f ca="1">Dashboard!C$8* Dashboard!$F$4+Dashboard!C$10*SQRT(Dashboard!$F$4) * _xlfn.NORM.S.INV(RAND())</f>
        <v>8.5490639359227447E-3</v>
      </c>
      <c r="U9069" s="59">
        <f ca="1">Dashboard!D$8* Dashboard!$F$4+Dashboard!D$10*SQRT(Dashboard!$F$4) * _xlfn.NORM.S.INV(RAND())</f>
        <v>-1.0575342373612757E-2</v>
      </c>
    </row>
    <row r="9070" spans="18:21" x14ac:dyDescent="0.2">
      <c r="R9070" s="49">
        <v>9068</v>
      </c>
      <c r="S9070" s="59">
        <f ca="1">Dashboard!B$8* Dashboard!$F$4+Dashboard!B$10*SQRT(Dashboard!$F$4) * _xlfn.NORM.S.INV(RAND())</f>
        <v>-2.7715989269100835E-2</v>
      </c>
      <c r="T9070" s="59">
        <f ca="1">Dashboard!C$8* Dashboard!$F$4+Dashboard!C$10*SQRT(Dashboard!$F$4) * _xlfn.NORM.S.INV(RAND())</f>
        <v>-8.8153886149607216E-3</v>
      </c>
      <c r="U9070" s="59">
        <f ca="1">Dashboard!D$8* Dashboard!$F$4+Dashboard!D$10*SQRT(Dashboard!$F$4) * _xlfn.NORM.S.INV(RAND())</f>
        <v>2.7771955978686197E-3</v>
      </c>
    </row>
    <row r="9071" spans="18:21" x14ac:dyDescent="0.2">
      <c r="R9071" s="49">
        <v>9069</v>
      </c>
      <c r="S9071" s="59">
        <f ca="1">Dashboard!B$8* Dashboard!$F$4+Dashboard!B$10*SQRT(Dashboard!$F$4) * _xlfn.NORM.S.INV(RAND())</f>
        <v>-2.6468594903140935E-2</v>
      </c>
      <c r="T9071" s="59">
        <f ca="1">Dashboard!C$8* Dashboard!$F$4+Dashboard!C$10*SQRT(Dashboard!$F$4) * _xlfn.NORM.S.INV(RAND())</f>
        <v>-2.562849329831164E-3</v>
      </c>
      <c r="U9071" s="59">
        <f ca="1">Dashboard!D$8* Dashboard!$F$4+Dashboard!D$10*SQRT(Dashboard!$F$4) * _xlfn.NORM.S.INV(RAND())</f>
        <v>-8.7965783825400962E-3</v>
      </c>
    </row>
    <row r="9072" spans="18:21" x14ac:dyDescent="0.2">
      <c r="R9072" s="49">
        <v>9070</v>
      </c>
      <c r="S9072" s="59">
        <f ca="1">Dashboard!B$8* Dashboard!$F$4+Dashboard!B$10*SQRT(Dashboard!$F$4) * _xlfn.NORM.S.INV(RAND())</f>
        <v>9.6718130123191748E-2</v>
      </c>
      <c r="T9072" s="59">
        <f ca="1">Dashboard!C$8* Dashboard!$F$4+Dashboard!C$10*SQRT(Dashboard!$F$4) * _xlfn.NORM.S.INV(RAND())</f>
        <v>-3.6793677290090282E-2</v>
      </c>
      <c r="U9072" s="59">
        <f ca="1">Dashboard!D$8* Dashboard!$F$4+Dashboard!D$10*SQRT(Dashboard!$F$4) * _xlfn.NORM.S.INV(RAND())</f>
        <v>-3.763551814522359E-2</v>
      </c>
    </row>
    <row r="9073" spans="18:21" x14ac:dyDescent="0.2">
      <c r="R9073" s="49">
        <v>9071</v>
      </c>
      <c r="S9073" s="59">
        <f ca="1">Dashboard!B$8* Dashboard!$F$4+Dashboard!B$10*SQRT(Dashboard!$F$4) * _xlfn.NORM.S.INV(RAND())</f>
        <v>-1.5548831064481941E-2</v>
      </c>
      <c r="T9073" s="59">
        <f ca="1">Dashboard!C$8* Dashboard!$F$4+Dashboard!C$10*SQRT(Dashboard!$F$4) * _xlfn.NORM.S.INV(RAND())</f>
        <v>2.6779440326201779E-2</v>
      </c>
      <c r="U9073" s="59">
        <f ca="1">Dashboard!D$8* Dashboard!$F$4+Dashboard!D$10*SQRT(Dashboard!$F$4) * _xlfn.NORM.S.INV(RAND())</f>
        <v>1.3784256876930398E-2</v>
      </c>
    </row>
    <row r="9074" spans="18:21" x14ac:dyDescent="0.2">
      <c r="R9074" s="49">
        <v>9072</v>
      </c>
      <c r="S9074" s="59">
        <f ca="1">Dashboard!B$8* Dashboard!$F$4+Dashboard!B$10*SQRT(Dashboard!$F$4) * _xlfn.NORM.S.INV(RAND())</f>
        <v>-2.9035877150511723E-2</v>
      </c>
      <c r="T9074" s="59">
        <f ca="1">Dashboard!C$8* Dashboard!$F$4+Dashboard!C$10*SQRT(Dashboard!$F$4) * _xlfn.NORM.S.INV(RAND())</f>
        <v>3.0033264867565128E-2</v>
      </c>
      <c r="U9074" s="59">
        <f ca="1">Dashboard!D$8* Dashboard!$F$4+Dashboard!D$10*SQRT(Dashboard!$F$4) * _xlfn.NORM.S.INV(RAND())</f>
        <v>9.4705280219477949E-3</v>
      </c>
    </row>
    <row r="9075" spans="18:21" x14ac:dyDescent="0.2">
      <c r="R9075" s="49">
        <v>9073</v>
      </c>
      <c r="S9075" s="59">
        <f ca="1">Dashboard!B$8* Dashboard!$F$4+Dashboard!B$10*SQRT(Dashboard!$F$4) * _xlfn.NORM.S.INV(RAND())</f>
        <v>1.3245338734262009E-2</v>
      </c>
      <c r="T9075" s="59">
        <f ca="1">Dashboard!C$8* Dashboard!$F$4+Dashboard!C$10*SQRT(Dashboard!$F$4) * _xlfn.NORM.S.INV(RAND())</f>
        <v>6.0781909674251164E-2</v>
      </c>
      <c r="U9075" s="59">
        <f ca="1">Dashboard!D$8* Dashboard!$F$4+Dashboard!D$10*SQRT(Dashboard!$F$4) * _xlfn.NORM.S.INV(RAND())</f>
        <v>-2.2557506342974383E-2</v>
      </c>
    </row>
    <row r="9076" spans="18:21" x14ac:dyDescent="0.2">
      <c r="R9076" s="49">
        <v>9074</v>
      </c>
      <c r="S9076" s="59">
        <f ca="1">Dashboard!B$8* Dashboard!$F$4+Dashboard!B$10*SQRT(Dashboard!$F$4) * _xlfn.NORM.S.INV(RAND())</f>
        <v>-2.780518628381401E-2</v>
      </c>
      <c r="T9076" s="59">
        <f ca="1">Dashboard!C$8* Dashboard!$F$4+Dashboard!C$10*SQRT(Dashboard!$F$4) * _xlfn.NORM.S.INV(RAND())</f>
        <v>-2.9172684230344924E-2</v>
      </c>
      <c r="U9076" s="59">
        <f ca="1">Dashboard!D$8* Dashboard!$F$4+Dashboard!D$10*SQRT(Dashboard!$F$4) * _xlfn.NORM.S.INV(RAND())</f>
        <v>-1.7545991087559471E-3</v>
      </c>
    </row>
    <row r="9077" spans="18:21" x14ac:dyDescent="0.2">
      <c r="R9077" s="49">
        <v>9075</v>
      </c>
      <c r="S9077" s="59">
        <f ca="1">Dashboard!B$8* Dashboard!$F$4+Dashboard!B$10*SQRT(Dashboard!$F$4) * _xlfn.NORM.S.INV(RAND())</f>
        <v>-1.5255535176376843E-2</v>
      </c>
      <c r="T9077" s="59">
        <f ca="1">Dashboard!C$8* Dashboard!$F$4+Dashboard!C$10*SQRT(Dashboard!$F$4) * _xlfn.NORM.S.INV(RAND())</f>
        <v>3.5942283539471133E-2</v>
      </c>
      <c r="U9077" s="59">
        <f ca="1">Dashboard!D$8* Dashboard!$F$4+Dashboard!D$10*SQRT(Dashboard!$F$4) * _xlfn.NORM.S.INV(RAND())</f>
        <v>3.5748472988584447E-2</v>
      </c>
    </row>
    <row r="9078" spans="18:21" x14ac:dyDescent="0.2">
      <c r="R9078" s="49">
        <v>9076</v>
      </c>
      <c r="S9078" s="59">
        <f ca="1">Dashboard!B$8* Dashboard!$F$4+Dashboard!B$10*SQRT(Dashboard!$F$4) * _xlfn.NORM.S.INV(RAND())</f>
        <v>-8.757692497260456E-4</v>
      </c>
      <c r="T9078" s="59">
        <f ca="1">Dashboard!C$8* Dashboard!$F$4+Dashboard!C$10*SQRT(Dashboard!$F$4) * _xlfn.NORM.S.INV(RAND())</f>
        <v>1.5835891691042863E-2</v>
      </c>
      <c r="U9078" s="59">
        <f ca="1">Dashboard!D$8* Dashboard!$F$4+Dashboard!D$10*SQRT(Dashboard!$F$4) * _xlfn.NORM.S.INV(RAND())</f>
        <v>6.0315528546430706E-2</v>
      </c>
    </row>
    <row r="9079" spans="18:21" x14ac:dyDescent="0.2">
      <c r="R9079" s="49">
        <v>9077</v>
      </c>
      <c r="S9079" s="59">
        <f ca="1">Dashboard!B$8* Dashboard!$F$4+Dashboard!B$10*SQRT(Dashboard!$F$4) * _xlfn.NORM.S.INV(RAND())</f>
        <v>1.2568337870824462E-2</v>
      </c>
      <c r="T9079" s="59">
        <f ca="1">Dashboard!C$8* Dashboard!$F$4+Dashboard!C$10*SQRT(Dashboard!$F$4) * _xlfn.NORM.S.INV(RAND())</f>
        <v>-2.9606565360516857E-2</v>
      </c>
      <c r="U9079" s="59">
        <f ca="1">Dashboard!D$8* Dashboard!$F$4+Dashboard!D$10*SQRT(Dashboard!$F$4) * _xlfn.NORM.S.INV(RAND())</f>
        <v>3.2147291248319838E-2</v>
      </c>
    </row>
    <row r="9080" spans="18:21" x14ac:dyDescent="0.2">
      <c r="R9080" s="49">
        <v>9078</v>
      </c>
      <c r="S9080" s="59">
        <f ca="1">Dashboard!B$8* Dashboard!$F$4+Dashboard!B$10*SQRT(Dashboard!$F$4) * _xlfn.NORM.S.INV(RAND())</f>
        <v>-1.7194512216523891E-2</v>
      </c>
      <c r="T9080" s="59">
        <f ca="1">Dashboard!C$8* Dashboard!$F$4+Dashboard!C$10*SQRT(Dashboard!$F$4) * _xlfn.NORM.S.INV(RAND())</f>
        <v>6.0776577501976715E-2</v>
      </c>
      <c r="U9080" s="59">
        <f ca="1">Dashboard!D$8* Dashboard!$F$4+Dashboard!D$10*SQRT(Dashboard!$F$4) * _xlfn.NORM.S.INV(RAND())</f>
        <v>9.5089912307326826E-3</v>
      </c>
    </row>
    <row r="9081" spans="18:21" x14ac:dyDescent="0.2">
      <c r="R9081" s="49">
        <v>9079</v>
      </c>
      <c r="S9081" s="59">
        <f ca="1">Dashboard!B$8* Dashboard!$F$4+Dashboard!B$10*SQRT(Dashboard!$F$4) * _xlfn.NORM.S.INV(RAND())</f>
        <v>7.220731527097712E-3</v>
      </c>
      <c r="T9081" s="59">
        <f ca="1">Dashboard!C$8* Dashboard!$F$4+Dashboard!C$10*SQRT(Dashboard!$F$4) * _xlfn.NORM.S.INV(RAND())</f>
        <v>3.9489386620050488E-3</v>
      </c>
      <c r="U9081" s="59">
        <f ca="1">Dashboard!D$8* Dashboard!$F$4+Dashboard!D$10*SQRT(Dashboard!$F$4) * _xlfn.NORM.S.INV(RAND())</f>
        <v>-3.8829197764634546E-2</v>
      </c>
    </row>
    <row r="9082" spans="18:21" x14ac:dyDescent="0.2">
      <c r="R9082" s="49">
        <v>9080</v>
      </c>
      <c r="S9082" s="59">
        <f ca="1">Dashboard!B$8* Dashboard!$F$4+Dashboard!B$10*SQRT(Dashboard!$F$4) * _xlfn.NORM.S.INV(RAND())</f>
        <v>-2.7432842236366231E-2</v>
      </c>
      <c r="T9082" s="59">
        <f ca="1">Dashboard!C$8* Dashboard!$F$4+Dashboard!C$10*SQRT(Dashboard!$F$4) * _xlfn.NORM.S.INV(RAND())</f>
        <v>5.6161654153021504E-2</v>
      </c>
      <c r="U9082" s="59">
        <f ca="1">Dashboard!D$8* Dashboard!$F$4+Dashboard!D$10*SQRT(Dashboard!$F$4) * _xlfn.NORM.S.INV(RAND())</f>
        <v>2.3380820448714465E-2</v>
      </c>
    </row>
    <row r="9083" spans="18:21" x14ac:dyDescent="0.2">
      <c r="R9083" s="49">
        <v>9081</v>
      </c>
      <c r="S9083" s="59">
        <f ca="1">Dashboard!B$8* Dashboard!$F$4+Dashboard!B$10*SQRT(Dashboard!$F$4) * _xlfn.NORM.S.INV(RAND())</f>
        <v>-2.1469771490155165E-2</v>
      </c>
      <c r="T9083" s="59">
        <f ca="1">Dashboard!C$8* Dashboard!$F$4+Dashboard!C$10*SQRT(Dashboard!$F$4) * _xlfn.NORM.S.INV(RAND())</f>
        <v>-1.3868574057137324E-2</v>
      </c>
      <c r="U9083" s="59">
        <f ca="1">Dashboard!D$8* Dashboard!$F$4+Dashboard!D$10*SQRT(Dashboard!$F$4) * _xlfn.NORM.S.INV(RAND())</f>
        <v>2.0228606514427786E-3</v>
      </c>
    </row>
    <row r="9084" spans="18:21" x14ac:dyDescent="0.2">
      <c r="R9084" s="49">
        <v>9082</v>
      </c>
      <c r="S9084" s="59">
        <f ca="1">Dashboard!B$8* Dashboard!$F$4+Dashboard!B$10*SQRT(Dashboard!$F$4) * _xlfn.NORM.S.INV(RAND())</f>
        <v>5.4649074259663442E-2</v>
      </c>
      <c r="T9084" s="59">
        <f ca="1">Dashboard!C$8* Dashboard!$F$4+Dashboard!C$10*SQRT(Dashboard!$F$4) * _xlfn.NORM.S.INV(RAND())</f>
        <v>-2.4731364507438527E-3</v>
      </c>
      <c r="U9084" s="59">
        <f ca="1">Dashboard!D$8* Dashboard!$F$4+Dashboard!D$10*SQRT(Dashboard!$F$4) * _xlfn.NORM.S.INV(RAND())</f>
        <v>7.0944126282400056E-3</v>
      </c>
    </row>
    <row r="9085" spans="18:21" x14ac:dyDescent="0.2">
      <c r="R9085" s="49">
        <v>9083</v>
      </c>
      <c r="S9085" s="59">
        <f ca="1">Dashboard!B$8* Dashboard!$F$4+Dashboard!B$10*SQRT(Dashboard!$F$4) * _xlfn.NORM.S.INV(RAND())</f>
        <v>8.5689885912191878E-3</v>
      </c>
      <c r="T9085" s="59">
        <f ca="1">Dashboard!C$8* Dashboard!$F$4+Dashboard!C$10*SQRT(Dashboard!$F$4) * _xlfn.NORM.S.INV(RAND())</f>
        <v>1.3842437025500712E-2</v>
      </c>
      <c r="U9085" s="59">
        <f ca="1">Dashboard!D$8* Dashboard!$F$4+Dashboard!D$10*SQRT(Dashboard!$F$4) * _xlfn.NORM.S.INV(RAND())</f>
        <v>-2.9008033206181155E-2</v>
      </c>
    </row>
    <row r="9086" spans="18:21" x14ac:dyDescent="0.2">
      <c r="R9086" s="49">
        <v>9084</v>
      </c>
      <c r="S9086" s="59">
        <f ca="1">Dashboard!B$8* Dashboard!$F$4+Dashboard!B$10*SQRT(Dashboard!$F$4) * _xlfn.NORM.S.INV(RAND())</f>
        <v>1.2327260395134555E-2</v>
      </c>
      <c r="T9086" s="59">
        <f ca="1">Dashboard!C$8* Dashboard!$F$4+Dashboard!C$10*SQRT(Dashboard!$F$4) * _xlfn.NORM.S.INV(RAND())</f>
        <v>-1.4254557895402767E-2</v>
      </c>
      <c r="U9086" s="59">
        <f ca="1">Dashboard!D$8* Dashboard!$F$4+Dashboard!D$10*SQRT(Dashboard!$F$4) * _xlfn.NORM.S.INV(RAND())</f>
        <v>1.2751040155477491E-3</v>
      </c>
    </row>
    <row r="9087" spans="18:21" x14ac:dyDescent="0.2">
      <c r="R9087" s="49">
        <v>9085</v>
      </c>
      <c r="S9087" s="59">
        <f ca="1">Dashboard!B$8* Dashboard!$F$4+Dashboard!B$10*SQRT(Dashboard!$F$4) * _xlfn.NORM.S.INV(RAND())</f>
        <v>-1.5688228959873676E-2</v>
      </c>
      <c r="T9087" s="59">
        <f ca="1">Dashboard!C$8* Dashboard!$F$4+Dashboard!C$10*SQRT(Dashboard!$F$4) * _xlfn.NORM.S.INV(RAND())</f>
        <v>3.281543312812351E-2</v>
      </c>
      <c r="U9087" s="59">
        <f ca="1">Dashboard!D$8* Dashboard!$F$4+Dashboard!D$10*SQRT(Dashboard!$F$4) * _xlfn.NORM.S.INV(RAND())</f>
        <v>-2.8380536388631198E-2</v>
      </c>
    </row>
    <row r="9088" spans="18:21" x14ac:dyDescent="0.2">
      <c r="R9088" s="49">
        <v>9086</v>
      </c>
      <c r="S9088" s="59">
        <f ca="1">Dashboard!B$8* Dashboard!$F$4+Dashboard!B$10*SQRT(Dashboard!$F$4) * _xlfn.NORM.S.INV(RAND())</f>
        <v>-6.0016578840429409E-3</v>
      </c>
      <c r="T9088" s="59">
        <f ca="1">Dashboard!C$8* Dashboard!$F$4+Dashboard!C$10*SQRT(Dashboard!$F$4) * _xlfn.NORM.S.INV(RAND())</f>
        <v>-3.5668169119775398E-2</v>
      </c>
      <c r="U9088" s="59">
        <f ca="1">Dashboard!D$8* Dashboard!$F$4+Dashboard!D$10*SQRT(Dashboard!$F$4) * _xlfn.NORM.S.INV(RAND())</f>
        <v>1.734380159165461E-2</v>
      </c>
    </row>
    <row r="9089" spans="18:21" x14ac:dyDescent="0.2">
      <c r="R9089" s="49">
        <v>9087</v>
      </c>
      <c r="S9089" s="59">
        <f ca="1">Dashboard!B$8* Dashboard!$F$4+Dashboard!B$10*SQRT(Dashboard!$F$4) * _xlfn.NORM.S.INV(RAND())</f>
        <v>3.6693471606280184E-2</v>
      </c>
      <c r="T9089" s="59">
        <f ca="1">Dashboard!C$8* Dashboard!$F$4+Dashboard!C$10*SQRT(Dashboard!$F$4) * _xlfn.NORM.S.INV(RAND())</f>
        <v>2.2305412336043991E-2</v>
      </c>
      <c r="U9089" s="59">
        <f ca="1">Dashboard!D$8* Dashboard!$F$4+Dashboard!D$10*SQRT(Dashboard!$F$4) * _xlfn.NORM.S.INV(RAND())</f>
        <v>6.5069426077543902E-2</v>
      </c>
    </row>
    <row r="9090" spans="18:21" x14ac:dyDescent="0.2">
      <c r="R9090" s="49">
        <v>9088</v>
      </c>
      <c r="S9090" s="59">
        <f ca="1">Dashboard!B$8* Dashboard!$F$4+Dashboard!B$10*SQRT(Dashboard!$F$4) * _xlfn.NORM.S.INV(RAND())</f>
        <v>-4.7123103251590401E-2</v>
      </c>
      <c r="T9090" s="59">
        <f ca="1">Dashboard!C$8* Dashboard!$F$4+Dashboard!C$10*SQRT(Dashboard!$F$4) * _xlfn.NORM.S.INV(RAND())</f>
        <v>-4.4275537094566522E-4</v>
      </c>
      <c r="U9090" s="59">
        <f ca="1">Dashboard!D$8* Dashboard!$F$4+Dashboard!D$10*SQRT(Dashboard!$F$4) * _xlfn.NORM.S.INV(RAND())</f>
        <v>9.1331868952923084E-2</v>
      </c>
    </row>
    <row r="9091" spans="18:21" x14ac:dyDescent="0.2">
      <c r="R9091" s="49">
        <v>9089</v>
      </c>
      <c r="S9091" s="59">
        <f ca="1">Dashboard!B$8* Dashboard!$F$4+Dashboard!B$10*SQRT(Dashboard!$F$4) * _xlfn.NORM.S.INV(RAND())</f>
        <v>1.507515948614427E-2</v>
      </c>
      <c r="T9091" s="59">
        <f ca="1">Dashboard!C$8* Dashboard!$F$4+Dashboard!C$10*SQRT(Dashboard!$F$4) * _xlfn.NORM.S.INV(RAND())</f>
        <v>5.4505225251351611E-2</v>
      </c>
      <c r="U9091" s="59">
        <f ca="1">Dashboard!D$8* Dashboard!$F$4+Dashboard!D$10*SQRT(Dashboard!$F$4) * _xlfn.NORM.S.INV(RAND())</f>
        <v>8.5174432600804914E-3</v>
      </c>
    </row>
    <row r="9092" spans="18:21" x14ac:dyDescent="0.2">
      <c r="R9092" s="49">
        <v>9090</v>
      </c>
      <c r="S9092" s="59">
        <f ca="1">Dashboard!B$8* Dashboard!$F$4+Dashboard!B$10*SQRT(Dashboard!$F$4) * _xlfn.NORM.S.INV(RAND())</f>
        <v>-4.6631660322813816E-2</v>
      </c>
      <c r="T9092" s="59">
        <f ca="1">Dashboard!C$8* Dashboard!$F$4+Dashboard!C$10*SQRT(Dashboard!$F$4) * _xlfn.NORM.S.INV(RAND())</f>
        <v>2.9575393385076814E-3</v>
      </c>
      <c r="U9092" s="59">
        <f ca="1">Dashboard!D$8* Dashboard!$F$4+Dashboard!D$10*SQRT(Dashboard!$F$4) * _xlfn.NORM.S.INV(RAND())</f>
        <v>-3.1266999807284715E-2</v>
      </c>
    </row>
    <row r="9093" spans="18:21" x14ac:dyDescent="0.2">
      <c r="R9093" s="49">
        <v>9091</v>
      </c>
      <c r="S9093" s="59">
        <f ca="1">Dashboard!B$8* Dashboard!$F$4+Dashboard!B$10*SQRT(Dashboard!$F$4) * _xlfn.NORM.S.INV(RAND())</f>
        <v>-3.1895793677454307E-2</v>
      </c>
      <c r="T9093" s="59">
        <f ca="1">Dashboard!C$8* Dashboard!$F$4+Dashboard!C$10*SQRT(Dashboard!$F$4) * _xlfn.NORM.S.INV(RAND())</f>
        <v>4.3070679424882422E-2</v>
      </c>
      <c r="U9093" s="59">
        <f ca="1">Dashboard!D$8* Dashboard!$F$4+Dashboard!D$10*SQRT(Dashboard!$F$4) * _xlfn.NORM.S.INV(RAND())</f>
        <v>-2.4500237419331817E-2</v>
      </c>
    </row>
    <row r="9094" spans="18:21" x14ac:dyDescent="0.2">
      <c r="R9094" s="49">
        <v>9092</v>
      </c>
      <c r="S9094" s="59">
        <f ca="1">Dashboard!B$8* Dashboard!$F$4+Dashboard!B$10*SQRT(Dashboard!$F$4) * _xlfn.NORM.S.INV(RAND())</f>
        <v>-1.0208038351212791E-2</v>
      </c>
      <c r="T9094" s="59">
        <f ca="1">Dashboard!C$8* Dashboard!$F$4+Dashboard!C$10*SQRT(Dashboard!$F$4) * _xlfn.NORM.S.INV(RAND())</f>
        <v>3.1123115486033852E-2</v>
      </c>
      <c r="U9094" s="59">
        <f ca="1">Dashboard!D$8* Dashboard!$F$4+Dashboard!D$10*SQRT(Dashboard!$F$4) * _xlfn.NORM.S.INV(RAND())</f>
        <v>-3.4536786048316989E-2</v>
      </c>
    </row>
    <row r="9095" spans="18:21" x14ac:dyDescent="0.2">
      <c r="R9095" s="49">
        <v>9093</v>
      </c>
      <c r="S9095" s="59">
        <f ca="1">Dashboard!B$8* Dashboard!$F$4+Dashboard!B$10*SQRT(Dashboard!$F$4) * _xlfn.NORM.S.INV(RAND())</f>
        <v>-1.9309377618198807E-2</v>
      </c>
      <c r="T9095" s="59">
        <f ca="1">Dashboard!C$8* Dashboard!$F$4+Dashboard!C$10*SQRT(Dashboard!$F$4) * _xlfn.NORM.S.INV(RAND())</f>
        <v>-8.4019237879695945E-3</v>
      </c>
      <c r="U9095" s="59">
        <f ca="1">Dashboard!D$8* Dashboard!$F$4+Dashboard!D$10*SQRT(Dashboard!$F$4) * _xlfn.NORM.S.INV(RAND())</f>
        <v>2.295670254524998E-2</v>
      </c>
    </row>
    <row r="9096" spans="18:21" x14ac:dyDescent="0.2">
      <c r="R9096" s="49">
        <v>9094</v>
      </c>
      <c r="S9096" s="59">
        <f ca="1">Dashboard!B$8* Dashboard!$F$4+Dashboard!B$10*SQRT(Dashboard!$F$4) * _xlfn.NORM.S.INV(RAND())</f>
        <v>1.9768209575048407E-2</v>
      </c>
      <c r="T9096" s="59">
        <f ca="1">Dashboard!C$8* Dashboard!$F$4+Dashboard!C$10*SQRT(Dashboard!$F$4) * _xlfn.NORM.S.INV(RAND())</f>
        <v>-7.0741626522979285E-3</v>
      </c>
      <c r="U9096" s="59">
        <f ca="1">Dashboard!D$8* Dashboard!$F$4+Dashboard!D$10*SQRT(Dashboard!$F$4) * _xlfn.NORM.S.INV(RAND())</f>
        <v>5.0206035795663309E-2</v>
      </c>
    </row>
    <row r="9097" spans="18:21" x14ac:dyDescent="0.2">
      <c r="R9097" s="49">
        <v>9095</v>
      </c>
      <c r="S9097" s="59">
        <f ca="1">Dashboard!B$8* Dashboard!$F$4+Dashboard!B$10*SQRT(Dashboard!$F$4) * _xlfn.NORM.S.INV(RAND())</f>
        <v>-3.7326699177514959E-2</v>
      </c>
      <c r="T9097" s="59">
        <f ca="1">Dashboard!C$8* Dashboard!$F$4+Dashboard!C$10*SQRT(Dashboard!$F$4) * _xlfn.NORM.S.INV(RAND())</f>
        <v>-2.7421692913511136E-2</v>
      </c>
      <c r="U9097" s="59">
        <f ca="1">Dashboard!D$8* Dashboard!$F$4+Dashboard!D$10*SQRT(Dashboard!$F$4) * _xlfn.NORM.S.INV(RAND())</f>
        <v>1.9472925747667857E-2</v>
      </c>
    </row>
    <row r="9098" spans="18:21" x14ac:dyDescent="0.2">
      <c r="R9098" s="49">
        <v>9096</v>
      </c>
      <c r="S9098" s="59">
        <f ca="1">Dashboard!B$8* Dashboard!$F$4+Dashboard!B$10*SQRT(Dashboard!$F$4) * _xlfn.NORM.S.INV(RAND())</f>
        <v>1.4152177364984768E-2</v>
      </c>
      <c r="T9098" s="59">
        <f ca="1">Dashboard!C$8* Dashboard!$F$4+Dashboard!C$10*SQRT(Dashboard!$F$4) * _xlfn.NORM.S.INV(RAND())</f>
        <v>-9.1485887941015892E-3</v>
      </c>
      <c r="U9098" s="59">
        <f ca="1">Dashboard!D$8* Dashboard!$F$4+Dashboard!D$10*SQRT(Dashboard!$F$4) * _xlfn.NORM.S.INV(RAND())</f>
        <v>4.7098522360269575E-2</v>
      </c>
    </row>
    <row r="9099" spans="18:21" x14ac:dyDescent="0.2">
      <c r="R9099" s="49">
        <v>9097</v>
      </c>
      <c r="S9099" s="59">
        <f ca="1">Dashboard!B$8* Dashboard!$F$4+Dashboard!B$10*SQRT(Dashboard!$F$4) * _xlfn.NORM.S.INV(RAND())</f>
        <v>3.5877260372154891E-2</v>
      </c>
      <c r="T9099" s="59">
        <f ca="1">Dashboard!C$8* Dashboard!$F$4+Dashboard!C$10*SQRT(Dashboard!$F$4) * _xlfn.NORM.S.INV(RAND())</f>
        <v>3.0479933666229295E-2</v>
      </c>
      <c r="U9099" s="59">
        <f ca="1">Dashboard!D$8* Dashboard!$F$4+Dashboard!D$10*SQRT(Dashboard!$F$4) * _xlfn.NORM.S.INV(RAND())</f>
        <v>1.4813295590273275E-2</v>
      </c>
    </row>
    <row r="9100" spans="18:21" x14ac:dyDescent="0.2">
      <c r="R9100" s="49">
        <v>9098</v>
      </c>
      <c r="S9100" s="59">
        <f ca="1">Dashboard!B$8* Dashboard!$F$4+Dashboard!B$10*SQRT(Dashboard!$F$4) * _xlfn.NORM.S.INV(RAND())</f>
        <v>8.6143089324255996E-3</v>
      </c>
      <c r="T9100" s="59">
        <f ca="1">Dashboard!C$8* Dashboard!$F$4+Dashboard!C$10*SQRT(Dashboard!$F$4) * _xlfn.NORM.S.INV(RAND())</f>
        <v>-6.2090080887215265E-2</v>
      </c>
      <c r="U9100" s="59">
        <f ca="1">Dashboard!D$8* Dashboard!$F$4+Dashboard!D$10*SQRT(Dashboard!$F$4) * _xlfn.NORM.S.INV(RAND())</f>
        <v>-5.4921258491761514E-2</v>
      </c>
    </row>
    <row r="9101" spans="18:21" x14ac:dyDescent="0.2">
      <c r="R9101" s="49">
        <v>9099</v>
      </c>
      <c r="S9101" s="59">
        <f ca="1">Dashboard!B$8* Dashboard!$F$4+Dashboard!B$10*SQRT(Dashboard!$F$4) * _xlfn.NORM.S.INV(RAND())</f>
        <v>-5.3380457888993404E-3</v>
      </c>
      <c r="T9101" s="59">
        <f ca="1">Dashboard!C$8* Dashboard!$F$4+Dashboard!C$10*SQRT(Dashboard!$F$4) * _xlfn.NORM.S.INV(RAND())</f>
        <v>-4.1416992159562177E-3</v>
      </c>
      <c r="U9101" s="59">
        <f ca="1">Dashboard!D$8* Dashboard!$F$4+Dashboard!D$10*SQRT(Dashboard!$F$4) * _xlfn.NORM.S.INV(RAND())</f>
        <v>-2.1844273009404277E-2</v>
      </c>
    </row>
    <row r="9102" spans="18:21" x14ac:dyDescent="0.2">
      <c r="R9102" s="49">
        <v>9100</v>
      </c>
      <c r="S9102" s="59">
        <f ca="1">Dashboard!B$8* Dashboard!$F$4+Dashboard!B$10*SQRT(Dashboard!$F$4) * _xlfn.NORM.S.INV(RAND())</f>
        <v>-2.0316992445019756E-2</v>
      </c>
      <c r="T9102" s="59">
        <f ca="1">Dashboard!C$8* Dashboard!$F$4+Dashboard!C$10*SQRT(Dashboard!$F$4) * _xlfn.NORM.S.INV(RAND())</f>
        <v>1.8589040252486155E-2</v>
      </c>
      <c r="U9102" s="59">
        <f ca="1">Dashboard!D$8* Dashboard!$F$4+Dashboard!D$10*SQRT(Dashboard!$F$4) * _xlfn.NORM.S.INV(RAND())</f>
        <v>9.3154342899748922E-3</v>
      </c>
    </row>
    <row r="9103" spans="18:21" x14ac:dyDescent="0.2">
      <c r="R9103" s="49">
        <v>9101</v>
      </c>
      <c r="S9103" s="59">
        <f ca="1">Dashboard!B$8* Dashboard!$F$4+Dashboard!B$10*SQRT(Dashboard!$F$4) * _xlfn.NORM.S.INV(RAND())</f>
        <v>-2.0415340823921893E-2</v>
      </c>
      <c r="T9103" s="59">
        <f ca="1">Dashboard!C$8* Dashboard!$F$4+Dashboard!C$10*SQRT(Dashboard!$F$4) * _xlfn.NORM.S.INV(RAND())</f>
        <v>2.7122534500187007E-2</v>
      </c>
      <c r="U9103" s="59">
        <f ca="1">Dashboard!D$8* Dashboard!$F$4+Dashboard!D$10*SQRT(Dashboard!$F$4) * _xlfn.NORM.S.INV(RAND())</f>
        <v>3.253796266184974E-3</v>
      </c>
    </row>
    <row r="9104" spans="18:21" x14ac:dyDescent="0.2">
      <c r="R9104" s="49">
        <v>9102</v>
      </c>
      <c r="S9104" s="59">
        <f ca="1">Dashboard!B$8* Dashboard!$F$4+Dashboard!B$10*SQRT(Dashboard!$F$4) * _xlfn.NORM.S.INV(RAND())</f>
        <v>-6.2349561655713993E-3</v>
      </c>
      <c r="T9104" s="59">
        <f ca="1">Dashboard!C$8* Dashboard!$F$4+Dashboard!C$10*SQRT(Dashboard!$F$4) * _xlfn.NORM.S.INV(RAND())</f>
        <v>-4.8380681319130835E-2</v>
      </c>
      <c r="U9104" s="59">
        <f ca="1">Dashboard!D$8* Dashboard!$F$4+Dashboard!D$10*SQRT(Dashboard!$F$4) * _xlfn.NORM.S.INV(RAND())</f>
        <v>1.4925254409241901E-2</v>
      </c>
    </row>
    <row r="9105" spans="18:21" x14ac:dyDescent="0.2">
      <c r="R9105" s="49">
        <v>9103</v>
      </c>
      <c r="S9105" s="59">
        <f ca="1">Dashboard!B$8* Dashboard!$F$4+Dashboard!B$10*SQRT(Dashboard!$F$4) * _xlfn.NORM.S.INV(RAND())</f>
        <v>3.702202256791283E-2</v>
      </c>
      <c r="T9105" s="59">
        <f ca="1">Dashboard!C$8* Dashboard!$F$4+Dashboard!C$10*SQRT(Dashboard!$F$4) * _xlfn.NORM.S.INV(RAND())</f>
        <v>-4.0426017898620326E-2</v>
      </c>
      <c r="U9105" s="59">
        <f ca="1">Dashboard!D$8* Dashboard!$F$4+Dashboard!D$10*SQRT(Dashboard!$F$4) * _xlfn.NORM.S.INV(RAND())</f>
        <v>1.5207465796429275E-2</v>
      </c>
    </row>
    <row r="9106" spans="18:21" x14ac:dyDescent="0.2">
      <c r="R9106" s="49">
        <v>9104</v>
      </c>
      <c r="S9106" s="59">
        <f ca="1">Dashboard!B$8* Dashboard!$F$4+Dashboard!B$10*SQRT(Dashboard!$F$4) * _xlfn.NORM.S.INV(RAND())</f>
        <v>1.3632900861862798E-2</v>
      </c>
      <c r="T9106" s="59">
        <f ca="1">Dashboard!C$8* Dashboard!$F$4+Dashboard!C$10*SQRT(Dashboard!$F$4) * _xlfn.NORM.S.INV(RAND())</f>
        <v>-4.3913811520454413E-2</v>
      </c>
      <c r="U9106" s="59">
        <f ca="1">Dashboard!D$8* Dashboard!$F$4+Dashboard!D$10*SQRT(Dashboard!$F$4) * _xlfn.NORM.S.INV(RAND())</f>
        <v>7.2465811417987535E-3</v>
      </c>
    </row>
    <row r="9107" spans="18:21" x14ac:dyDescent="0.2">
      <c r="R9107" s="49">
        <v>9105</v>
      </c>
      <c r="S9107" s="59">
        <f ca="1">Dashboard!B$8* Dashboard!$F$4+Dashboard!B$10*SQRT(Dashboard!$F$4) * _xlfn.NORM.S.INV(RAND())</f>
        <v>-8.1085543100061497E-3</v>
      </c>
      <c r="T9107" s="59">
        <f ca="1">Dashboard!C$8* Dashboard!$F$4+Dashboard!C$10*SQRT(Dashboard!$F$4) * _xlfn.NORM.S.INV(RAND())</f>
        <v>-2.7295967011815202E-2</v>
      </c>
      <c r="U9107" s="59">
        <f ca="1">Dashboard!D$8* Dashboard!$F$4+Dashboard!D$10*SQRT(Dashboard!$F$4) * _xlfn.NORM.S.INV(RAND())</f>
        <v>1.7035482974367005E-2</v>
      </c>
    </row>
    <row r="9108" spans="18:21" x14ac:dyDescent="0.2">
      <c r="R9108" s="49">
        <v>9106</v>
      </c>
      <c r="S9108" s="59">
        <f ca="1">Dashboard!B$8* Dashboard!$F$4+Dashboard!B$10*SQRT(Dashboard!$F$4) * _xlfn.NORM.S.INV(RAND())</f>
        <v>4.0749210424916235E-2</v>
      </c>
      <c r="T9108" s="59">
        <f ca="1">Dashboard!C$8* Dashboard!$F$4+Dashboard!C$10*SQRT(Dashboard!$F$4) * _xlfn.NORM.S.INV(RAND())</f>
        <v>-2.225978200934646E-2</v>
      </c>
      <c r="U9108" s="59">
        <f ca="1">Dashboard!D$8* Dashboard!$F$4+Dashboard!D$10*SQRT(Dashboard!$F$4) * _xlfn.NORM.S.INV(RAND())</f>
        <v>-5.3516686034974302E-2</v>
      </c>
    </row>
    <row r="9109" spans="18:21" x14ac:dyDescent="0.2">
      <c r="R9109" s="49">
        <v>9107</v>
      </c>
      <c r="S9109" s="59">
        <f ca="1">Dashboard!B$8* Dashboard!$F$4+Dashboard!B$10*SQRT(Dashboard!$F$4) * _xlfn.NORM.S.INV(RAND())</f>
        <v>5.0877542825427686E-3</v>
      </c>
      <c r="T9109" s="59">
        <f ca="1">Dashboard!C$8* Dashboard!$F$4+Dashboard!C$10*SQRT(Dashboard!$F$4) * _xlfn.NORM.S.INV(RAND())</f>
        <v>3.508708213106658E-2</v>
      </c>
      <c r="U9109" s="59">
        <f ca="1">Dashboard!D$8* Dashboard!$F$4+Dashboard!D$10*SQRT(Dashboard!$F$4) * _xlfn.NORM.S.INV(RAND())</f>
        <v>-2.0641938957455086E-2</v>
      </c>
    </row>
    <row r="9110" spans="18:21" x14ac:dyDescent="0.2">
      <c r="R9110" s="49">
        <v>9108</v>
      </c>
      <c r="S9110" s="59">
        <f ca="1">Dashboard!B$8* Dashboard!$F$4+Dashboard!B$10*SQRT(Dashboard!$F$4) * _xlfn.NORM.S.INV(RAND())</f>
        <v>1.2580138753161196E-2</v>
      </c>
      <c r="T9110" s="59">
        <f ca="1">Dashboard!C$8* Dashboard!$F$4+Dashboard!C$10*SQRT(Dashboard!$F$4) * _xlfn.NORM.S.INV(RAND())</f>
        <v>1.4917194074603592E-2</v>
      </c>
      <c r="U9110" s="59">
        <f ca="1">Dashboard!D$8* Dashboard!$F$4+Dashboard!D$10*SQRT(Dashboard!$F$4) * _xlfn.NORM.S.INV(RAND())</f>
        <v>-1.0946518326245439E-2</v>
      </c>
    </row>
    <row r="9111" spans="18:21" x14ac:dyDescent="0.2">
      <c r="R9111" s="49">
        <v>9109</v>
      </c>
      <c r="S9111" s="59">
        <f ca="1">Dashboard!B$8* Dashboard!$F$4+Dashboard!B$10*SQRT(Dashboard!$F$4) * _xlfn.NORM.S.INV(RAND())</f>
        <v>4.0330928923656334E-2</v>
      </c>
      <c r="T9111" s="59">
        <f ca="1">Dashboard!C$8* Dashboard!$F$4+Dashboard!C$10*SQRT(Dashboard!$F$4) * _xlfn.NORM.S.INV(RAND())</f>
        <v>3.8030995425929533E-2</v>
      </c>
      <c r="U9111" s="59">
        <f ca="1">Dashboard!D$8* Dashboard!$F$4+Dashboard!D$10*SQRT(Dashboard!$F$4) * _xlfn.NORM.S.INV(RAND())</f>
        <v>-2.1100500550920408E-2</v>
      </c>
    </row>
    <row r="9112" spans="18:21" x14ac:dyDescent="0.2">
      <c r="R9112" s="49">
        <v>9110</v>
      </c>
      <c r="S9112" s="59">
        <f ca="1">Dashboard!B$8* Dashboard!$F$4+Dashboard!B$10*SQRT(Dashboard!$F$4) * _xlfn.NORM.S.INV(RAND())</f>
        <v>-1.8589248596389406E-2</v>
      </c>
      <c r="T9112" s="59">
        <f ca="1">Dashboard!C$8* Dashboard!$F$4+Dashboard!C$10*SQRT(Dashboard!$F$4) * _xlfn.NORM.S.INV(RAND())</f>
        <v>2.0543441257779512E-2</v>
      </c>
      <c r="U9112" s="59">
        <f ca="1">Dashboard!D$8* Dashboard!$F$4+Dashboard!D$10*SQRT(Dashboard!$F$4) * _xlfn.NORM.S.INV(RAND())</f>
        <v>3.6851176895047348E-2</v>
      </c>
    </row>
    <row r="9113" spans="18:21" x14ac:dyDescent="0.2">
      <c r="R9113" s="49">
        <v>9111</v>
      </c>
      <c r="S9113" s="59">
        <f ca="1">Dashboard!B$8* Dashboard!$F$4+Dashboard!B$10*SQRT(Dashboard!$F$4) * _xlfn.NORM.S.INV(RAND())</f>
        <v>2.4378755142154514E-3</v>
      </c>
      <c r="T9113" s="59">
        <f ca="1">Dashboard!C$8* Dashboard!$F$4+Dashboard!C$10*SQRT(Dashboard!$F$4) * _xlfn.NORM.S.INV(RAND())</f>
        <v>3.3539655155901058E-2</v>
      </c>
      <c r="U9113" s="59">
        <f ca="1">Dashboard!D$8* Dashboard!$F$4+Dashboard!D$10*SQRT(Dashboard!$F$4) * _xlfn.NORM.S.INV(RAND())</f>
        <v>9.6118537205226711E-3</v>
      </c>
    </row>
    <row r="9114" spans="18:21" x14ac:dyDescent="0.2">
      <c r="R9114" s="49">
        <v>9112</v>
      </c>
      <c r="S9114" s="59">
        <f ca="1">Dashboard!B$8* Dashboard!$F$4+Dashboard!B$10*SQRT(Dashboard!$F$4) * _xlfn.NORM.S.INV(RAND())</f>
        <v>-2.3993293522913885E-2</v>
      </c>
      <c r="T9114" s="59">
        <f ca="1">Dashboard!C$8* Dashboard!$F$4+Dashboard!C$10*SQRT(Dashboard!$F$4) * _xlfn.NORM.S.INV(RAND())</f>
        <v>-1.0637114887039972E-2</v>
      </c>
      <c r="U9114" s="59">
        <f ca="1">Dashboard!D$8* Dashboard!$F$4+Dashboard!D$10*SQRT(Dashboard!$F$4) * _xlfn.NORM.S.INV(RAND())</f>
        <v>7.4953048973680656E-3</v>
      </c>
    </row>
    <row r="9115" spans="18:21" x14ac:dyDescent="0.2">
      <c r="R9115" s="49">
        <v>9113</v>
      </c>
      <c r="S9115" s="59">
        <f ca="1">Dashboard!B$8* Dashboard!$F$4+Dashboard!B$10*SQRT(Dashboard!$F$4) * _xlfn.NORM.S.INV(RAND())</f>
        <v>-4.8470772523099344E-2</v>
      </c>
      <c r="T9115" s="59">
        <f ca="1">Dashboard!C$8* Dashboard!$F$4+Dashboard!C$10*SQRT(Dashboard!$F$4) * _xlfn.NORM.S.INV(RAND())</f>
        <v>-3.1610787918892817E-2</v>
      </c>
      <c r="U9115" s="59">
        <f ca="1">Dashboard!D$8* Dashboard!$F$4+Dashboard!D$10*SQRT(Dashboard!$F$4) * _xlfn.NORM.S.INV(RAND())</f>
        <v>-6.0067986820302392E-2</v>
      </c>
    </row>
    <row r="9116" spans="18:21" x14ac:dyDescent="0.2">
      <c r="R9116" s="49">
        <v>9114</v>
      </c>
      <c r="S9116" s="59">
        <f ca="1">Dashboard!B$8* Dashboard!$F$4+Dashboard!B$10*SQRT(Dashboard!$F$4) * _xlfn.NORM.S.INV(RAND())</f>
        <v>1.5359220058086808E-2</v>
      </c>
      <c r="T9116" s="59">
        <f ca="1">Dashboard!C$8* Dashboard!$F$4+Dashboard!C$10*SQRT(Dashboard!$F$4) * _xlfn.NORM.S.INV(RAND())</f>
        <v>1.902457015692045E-2</v>
      </c>
      <c r="U9116" s="59">
        <f ca="1">Dashboard!D$8* Dashboard!$F$4+Dashboard!D$10*SQRT(Dashboard!$F$4) * _xlfn.NORM.S.INV(RAND())</f>
        <v>-7.5837215349846221E-2</v>
      </c>
    </row>
    <row r="9117" spans="18:21" x14ac:dyDescent="0.2">
      <c r="R9117" s="49">
        <v>9115</v>
      </c>
      <c r="S9117" s="59">
        <f ca="1">Dashboard!B$8* Dashboard!$F$4+Dashboard!B$10*SQRT(Dashboard!$F$4) * _xlfn.NORM.S.INV(RAND())</f>
        <v>-2.103114700648747E-2</v>
      </c>
      <c r="T9117" s="59">
        <f ca="1">Dashboard!C$8* Dashboard!$F$4+Dashboard!C$10*SQRT(Dashboard!$F$4) * _xlfn.NORM.S.INV(RAND())</f>
        <v>6.179410725439987E-2</v>
      </c>
      <c r="U9117" s="59">
        <f ca="1">Dashboard!D$8* Dashboard!$F$4+Dashboard!D$10*SQRT(Dashboard!$F$4) * _xlfn.NORM.S.INV(RAND())</f>
        <v>-1.8844423608679654E-2</v>
      </c>
    </row>
    <row r="9118" spans="18:21" x14ac:dyDescent="0.2">
      <c r="R9118" s="49">
        <v>9116</v>
      </c>
      <c r="S9118" s="59">
        <f ca="1">Dashboard!B$8* Dashboard!$F$4+Dashboard!B$10*SQRT(Dashboard!$F$4) * _xlfn.NORM.S.INV(RAND())</f>
        <v>-3.310006504178677E-3</v>
      </c>
      <c r="T9118" s="59">
        <f ca="1">Dashboard!C$8* Dashboard!$F$4+Dashboard!C$10*SQRT(Dashboard!$F$4) * _xlfn.NORM.S.INV(RAND())</f>
        <v>2.2412400575837384E-2</v>
      </c>
      <c r="U9118" s="59">
        <f ca="1">Dashboard!D$8* Dashboard!$F$4+Dashboard!D$10*SQRT(Dashboard!$F$4) * _xlfn.NORM.S.INV(RAND())</f>
        <v>1.2955244458255865E-2</v>
      </c>
    </row>
    <row r="9119" spans="18:21" x14ac:dyDescent="0.2">
      <c r="R9119" s="49">
        <v>9117</v>
      </c>
      <c r="S9119" s="59">
        <f ca="1">Dashboard!B$8* Dashboard!$F$4+Dashboard!B$10*SQRT(Dashboard!$F$4) * _xlfn.NORM.S.INV(RAND())</f>
        <v>-1.4833070705541346E-2</v>
      </c>
      <c r="T9119" s="59">
        <f ca="1">Dashboard!C$8* Dashboard!$F$4+Dashboard!C$10*SQRT(Dashboard!$F$4) * _xlfn.NORM.S.INV(RAND())</f>
        <v>1.5023758867513833E-2</v>
      </c>
      <c r="U9119" s="59">
        <f ca="1">Dashboard!D$8* Dashboard!$F$4+Dashboard!D$10*SQRT(Dashboard!$F$4) * _xlfn.NORM.S.INV(RAND())</f>
        <v>1.2014602292782894E-3</v>
      </c>
    </row>
    <row r="9120" spans="18:21" x14ac:dyDescent="0.2">
      <c r="R9120" s="49">
        <v>9118</v>
      </c>
      <c r="S9120" s="59">
        <f ca="1">Dashboard!B$8* Dashboard!$F$4+Dashboard!B$10*SQRT(Dashboard!$F$4) * _xlfn.NORM.S.INV(RAND())</f>
        <v>1.0667302656583279E-3</v>
      </c>
      <c r="T9120" s="59">
        <f ca="1">Dashboard!C$8* Dashboard!$F$4+Dashboard!C$10*SQRT(Dashboard!$F$4) * _xlfn.NORM.S.INV(RAND())</f>
        <v>1.9626875132406092E-2</v>
      </c>
      <c r="U9120" s="59">
        <f ca="1">Dashboard!D$8* Dashboard!$F$4+Dashboard!D$10*SQRT(Dashboard!$F$4) * _xlfn.NORM.S.INV(RAND())</f>
        <v>9.6907854946105248E-3</v>
      </c>
    </row>
    <row r="9121" spans="18:21" x14ac:dyDescent="0.2">
      <c r="R9121" s="49">
        <v>9119</v>
      </c>
      <c r="S9121" s="59">
        <f ca="1">Dashboard!B$8* Dashboard!$F$4+Dashboard!B$10*SQRT(Dashboard!$F$4) * _xlfn.NORM.S.INV(RAND())</f>
        <v>-2.7491170195457506E-3</v>
      </c>
      <c r="T9121" s="59">
        <f ca="1">Dashboard!C$8* Dashboard!$F$4+Dashboard!C$10*SQRT(Dashboard!$F$4) * _xlfn.NORM.S.INV(RAND())</f>
        <v>3.4391869444229541E-2</v>
      </c>
      <c r="U9121" s="59">
        <f ca="1">Dashboard!D$8* Dashboard!$F$4+Dashboard!D$10*SQRT(Dashboard!$F$4) * _xlfn.NORM.S.INV(RAND())</f>
        <v>-3.064265186869734E-2</v>
      </c>
    </row>
    <row r="9122" spans="18:21" x14ac:dyDescent="0.2">
      <c r="R9122" s="49">
        <v>9120</v>
      </c>
      <c r="S9122" s="59">
        <f ca="1">Dashboard!B$8* Dashboard!$F$4+Dashboard!B$10*SQRT(Dashboard!$F$4) * _xlfn.NORM.S.INV(RAND())</f>
        <v>-3.0428294342184616E-2</v>
      </c>
      <c r="T9122" s="59">
        <f ca="1">Dashboard!C$8* Dashboard!$F$4+Dashboard!C$10*SQRT(Dashboard!$F$4) * _xlfn.NORM.S.INV(RAND())</f>
        <v>-1.4030241118683038E-4</v>
      </c>
      <c r="U9122" s="59">
        <f ca="1">Dashboard!D$8* Dashboard!$F$4+Dashboard!D$10*SQRT(Dashboard!$F$4) * _xlfn.NORM.S.INV(RAND())</f>
        <v>1.9694142196860848E-2</v>
      </c>
    </row>
    <row r="9123" spans="18:21" x14ac:dyDescent="0.2">
      <c r="R9123" s="49">
        <v>9121</v>
      </c>
      <c r="S9123" s="59">
        <f ca="1">Dashboard!B$8* Dashboard!$F$4+Dashboard!B$10*SQRT(Dashboard!$F$4) * _xlfn.NORM.S.INV(RAND())</f>
        <v>1.1764070875820107E-2</v>
      </c>
      <c r="T9123" s="59">
        <f ca="1">Dashboard!C$8* Dashboard!$F$4+Dashboard!C$10*SQRT(Dashboard!$F$4) * _xlfn.NORM.S.INV(RAND())</f>
        <v>2.5416908103632153E-2</v>
      </c>
      <c r="U9123" s="59">
        <f ca="1">Dashboard!D$8* Dashboard!$F$4+Dashboard!D$10*SQRT(Dashboard!$F$4) * _xlfn.NORM.S.INV(RAND())</f>
        <v>-8.9201753156505394E-3</v>
      </c>
    </row>
    <row r="9124" spans="18:21" x14ac:dyDescent="0.2">
      <c r="R9124" s="49">
        <v>9122</v>
      </c>
      <c r="S9124" s="59">
        <f ca="1">Dashboard!B$8* Dashboard!$F$4+Dashboard!B$10*SQRT(Dashboard!$F$4) * _xlfn.NORM.S.INV(RAND())</f>
        <v>-1.3249740039088857E-2</v>
      </c>
      <c r="T9124" s="59">
        <f ca="1">Dashboard!C$8* Dashboard!$F$4+Dashboard!C$10*SQRT(Dashboard!$F$4) * _xlfn.NORM.S.INV(RAND())</f>
        <v>-6.4380347597534819E-3</v>
      </c>
      <c r="U9124" s="59">
        <f ca="1">Dashboard!D$8* Dashboard!$F$4+Dashboard!D$10*SQRT(Dashboard!$F$4) * _xlfn.NORM.S.INV(RAND())</f>
        <v>3.4094175946443724E-5</v>
      </c>
    </row>
    <row r="9125" spans="18:21" x14ac:dyDescent="0.2">
      <c r="R9125" s="49">
        <v>9123</v>
      </c>
      <c r="S9125" s="59">
        <f ca="1">Dashboard!B$8* Dashboard!$F$4+Dashboard!B$10*SQRT(Dashboard!$F$4) * _xlfn.NORM.S.INV(RAND())</f>
        <v>1.7383366033484483E-2</v>
      </c>
      <c r="T9125" s="59">
        <f ca="1">Dashboard!C$8* Dashboard!$F$4+Dashboard!C$10*SQRT(Dashboard!$F$4) * _xlfn.NORM.S.INV(RAND())</f>
        <v>-2.723683679253951E-2</v>
      </c>
      <c r="U9125" s="59">
        <f ca="1">Dashboard!D$8* Dashboard!$F$4+Dashboard!D$10*SQRT(Dashboard!$F$4) * _xlfn.NORM.S.INV(RAND())</f>
        <v>1.4664888752227006E-2</v>
      </c>
    </row>
    <row r="9126" spans="18:21" x14ac:dyDescent="0.2">
      <c r="R9126" s="49">
        <v>9124</v>
      </c>
      <c r="S9126" s="59">
        <f ca="1">Dashboard!B$8* Dashboard!$F$4+Dashboard!B$10*SQRT(Dashboard!$F$4) * _xlfn.NORM.S.INV(RAND())</f>
        <v>1.4133015540924007E-2</v>
      </c>
      <c r="T9126" s="59">
        <f ca="1">Dashboard!C$8* Dashboard!$F$4+Dashboard!C$10*SQRT(Dashboard!$F$4) * _xlfn.NORM.S.INV(RAND())</f>
        <v>-3.0189967876421402E-3</v>
      </c>
      <c r="U9126" s="59">
        <f ca="1">Dashboard!D$8* Dashboard!$F$4+Dashboard!D$10*SQRT(Dashboard!$F$4) * _xlfn.NORM.S.INV(RAND())</f>
        <v>-3.0078820122865339E-2</v>
      </c>
    </row>
    <row r="9127" spans="18:21" x14ac:dyDescent="0.2">
      <c r="R9127" s="49">
        <v>9125</v>
      </c>
      <c r="S9127" s="59">
        <f ca="1">Dashboard!B$8* Dashboard!$F$4+Dashboard!B$10*SQRT(Dashboard!$F$4) * _xlfn.NORM.S.INV(RAND())</f>
        <v>-5.8042906273876732E-3</v>
      </c>
      <c r="T9127" s="59">
        <f ca="1">Dashboard!C$8* Dashboard!$F$4+Dashboard!C$10*SQRT(Dashboard!$F$4) * _xlfn.NORM.S.INV(RAND())</f>
        <v>-3.8639115189766739E-2</v>
      </c>
      <c r="U9127" s="59">
        <f ca="1">Dashboard!D$8* Dashboard!$F$4+Dashboard!D$10*SQRT(Dashboard!$F$4) * _xlfn.NORM.S.INV(RAND())</f>
        <v>2.2855495592358849E-2</v>
      </c>
    </row>
    <row r="9128" spans="18:21" x14ac:dyDescent="0.2">
      <c r="R9128" s="49">
        <v>9126</v>
      </c>
      <c r="S9128" s="59">
        <f ca="1">Dashboard!B$8* Dashboard!$F$4+Dashboard!B$10*SQRT(Dashboard!$F$4) * _xlfn.NORM.S.INV(RAND())</f>
        <v>-2.7321968482040904E-3</v>
      </c>
      <c r="T9128" s="59">
        <f ca="1">Dashboard!C$8* Dashboard!$F$4+Dashboard!C$10*SQRT(Dashboard!$F$4) * _xlfn.NORM.S.INV(RAND())</f>
        <v>-1.4238684472519508E-2</v>
      </c>
      <c r="U9128" s="59">
        <f ca="1">Dashboard!D$8* Dashboard!$F$4+Dashboard!D$10*SQRT(Dashboard!$F$4) * _xlfn.NORM.S.INV(RAND())</f>
        <v>3.8815910913607594E-2</v>
      </c>
    </row>
    <row r="9129" spans="18:21" x14ac:dyDescent="0.2">
      <c r="R9129" s="49">
        <v>9127</v>
      </c>
      <c r="S9129" s="59">
        <f ca="1">Dashboard!B$8* Dashboard!$F$4+Dashboard!B$10*SQRT(Dashboard!$F$4) * _xlfn.NORM.S.INV(RAND())</f>
        <v>4.3623769175838295E-2</v>
      </c>
      <c r="T9129" s="59">
        <f ca="1">Dashboard!C$8* Dashboard!$F$4+Dashboard!C$10*SQRT(Dashboard!$F$4) * _xlfn.NORM.S.INV(RAND())</f>
        <v>6.6354791346287287E-2</v>
      </c>
      <c r="U9129" s="59">
        <f ca="1">Dashboard!D$8* Dashboard!$F$4+Dashboard!D$10*SQRT(Dashboard!$F$4) * _xlfn.NORM.S.INV(RAND())</f>
        <v>3.3517017954915712E-2</v>
      </c>
    </row>
    <row r="9130" spans="18:21" x14ac:dyDescent="0.2">
      <c r="R9130" s="49">
        <v>9128</v>
      </c>
      <c r="S9130" s="59">
        <f ca="1">Dashboard!B$8* Dashboard!$F$4+Dashboard!B$10*SQRT(Dashboard!$F$4) * _xlfn.NORM.S.INV(RAND())</f>
        <v>-3.0089629377246879E-2</v>
      </c>
      <c r="T9130" s="59">
        <f ca="1">Dashboard!C$8* Dashboard!$F$4+Dashboard!C$10*SQRT(Dashboard!$F$4) * _xlfn.NORM.S.INV(RAND())</f>
        <v>-1.2321737550067208E-3</v>
      </c>
      <c r="U9130" s="59">
        <f ca="1">Dashboard!D$8* Dashboard!$F$4+Dashboard!D$10*SQRT(Dashboard!$F$4) * _xlfn.NORM.S.INV(RAND())</f>
        <v>8.3716568677567622E-3</v>
      </c>
    </row>
    <row r="9131" spans="18:21" x14ac:dyDescent="0.2">
      <c r="R9131" s="49">
        <v>9129</v>
      </c>
      <c r="S9131" s="59">
        <f ca="1">Dashboard!B$8* Dashboard!$F$4+Dashboard!B$10*SQRT(Dashboard!$F$4) * _xlfn.NORM.S.INV(RAND())</f>
        <v>1.8369048854595525E-2</v>
      </c>
      <c r="T9131" s="59">
        <f ca="1">Dashboard!C$8* Dashboard!$F$4+Dashboard!C$10*SQRT(Dashboard!$F$4) * _xlfn.NORM.S.INV(RAND())</f>
        <v>1.8935917556272129E-2</v>
      </c>
      <c r="U9131" s="59">
        <f ca="1">Dashboard!D$8* Dashboard!$F$4+Dashboard!D$10*SQRT(Dashboard!$F$4) * _xlfn.NORM.S.INV(RAND())</f>
        <v>-6.339297366511701E-3</v>
      </c>
    </row>
    <row r="9132" spans="18:21" x14ac:dyDescent="0.2">
      <c r="R9132" s="49">
        <v>9130</v>
      </c>
      <c r="S9132" s="59">
        <f ca="1">Dashboard!B$8* Dashboard!$F$4+Dashboard!B$10*SQRT(Dashboard!$F$4) * _xlfn.NORM.S.INV(RAND())</f>
        <v>2.1646636480074768E-2</v>
      </c>
      <c r="T9132" s="59">
        <f ca="1">Dashboard!C$8* Dashboard!$F$4+Dashboard!C$10*SQRT(Dashboard!$F$4) * _xlfn.NORM.S.INV(RAND())</f>
        <v>3.0940845028544457E-2</v>
      </c>
      <c r="U9132" s="59">
        <f ca="1">Dashboard!D$8* Dashboard!$F$4+Dashboard!D$10*SQRT(Dashboard!$F$4) * _xlfn.NORM.S.INV(RAND())</f>
        <v>5.5329215506469007E-2</v>
      </c>
    </row>
    <row r="9133" spans="18:21" x14ac:dyDescent="0.2">
      <c r="R9133" s="49">
        <v>9131</v>
      </c>
      <c r="S9133" s="59">
        <f ca="1">Dashboard!B$8* Dashboard!$F$4+Dashboard!B$10*SQRT(Dashboard!$F$4) * _xlfn.NORM.S.INV(RAND())</f>
        <v>-1.7388769992214295E-2</v>
      </c>
      <c r="T9133" s="59">
        <f ca="1">Dashboard!C$8* Dashboard!$F$4+Dashboard!C$10*SQRT(Dashboard!$F$4) * _xlfn.NORM.S.INV(RAND())</f>
        <v>2.5713885807185557E-2</v>
      </c>
      <c r="U9133" s="59">
        <f ca="1">Dashboard!D$8* Dashboard!$F$4+Dashboard!D$10*SQRT(Dashboard!$F$4) * _xlfn.NORM.S.INV(RAND())</f>
        <v>1.3293453787730969E-3</v>
      </c>
    </row>
    <row r="9134" spans="18:21" x14ac:dyDescent="0.2">
      <c r="R9134" s="49">
        <v>9132</v>
      </c>
      <c r="S9134" s="59">
        <f ca="1">Dashboard!B$8* Dashboard!$F$4+Dashboard!B$10*SQRT(Dashboard!$F$4) * _xlfn.NORM.S.INV(RAND())</f>
        <v>6.037144052168153E-2</v>
      </c>
      <c r="T9134" s="59">
        <f ca="1">Dashboard!C$8* Dashboard!$F$4+Dashboard!C$10*SQRT(Dashboard!$F$4) * _xlfn.NORM.S.INV(RAND())</f>
        <v>-2.2707490653094149E-2</v>
      </c>
      <c r="U9134" s="59">
        <f ca="1">Dashboard!D$8* Dashboard!$F$4+Dashboard!D$10*SQRT(Dashboard!$F$4) * _xlfn.NORM.S.INV(RAND())</f>
        <v>4.6566826391071917E-2</v>
      </c>
    </row>
    <row r="9135" spans="18:21" x14ac:dyDescent="0.2">
      <c r="R9135" s="49">
        <v>9133</v>
      </c>
      <c r="S9135" s="59">
        <f ca="1">Dashboard!B$8* Dashboard!$F$4+Dashboard!B$10*SQRT(Dashboard!$F$4) * _xlfn.NORM.S.INV(RAND())</f>
        <v>2.2320260332814097E-2</v>
      </c>
      <c r="T9135" s="59">
        <f ca="1">Dashboard!C$8* Dashboard!$F$4+Dashboard!C$10*SQRT(Dashboard!$F$4) * _xlfn.NORM.S.INV(RAND())</f>
        <v>-2.8404335506037288E-2</v>
      </c>
      <c r="U9135" s="59">
        <f ca="1">Dashboard!D$8* Dashboard!$F$4+Dashboard!D$10*SQRT(Dashboard!$F$4) * _xlfn.NORM.S.INV(RAND())</f>
        <v>6.5382673155884696E-2</v>
      </c>
    </row>
    <row r="9136" spans="18:21" x14ac:dyDescent="0.2">
      <c r="R9136" s="49">
        <v>9134</v>
      </c>
      <c r="S9136" s="59">
        <f ca="1">Dashboard!B$8* Dashboard!$F$4+Dashboard!B$10*SQRT(Dashboard!$F$4) * _xlfn.NORM.S.INV(RAND())</f>
        <v>2.1623821583956503E-2</v>
      </c>
      <c r="T9136" s="59">
        <f ca="1">Dashboard!C$8* Dashboard!$F$4+Dashboard!C$10*SQRT(Dashboard!$F$4) * _xlfn.NORM.S.INV(RAND())</f>
        <v>-3.1357351597428522E-2</v>
      </c>
      <c r="U9136" s="59">
        <f ca="1">Dashboard!D$8* Dashboard!$F$4+Dashboard!D$10*SQRT(Dashboard!$F$4) * _xlfn.NORM.S.INV(RAND())</f>
        <v>-9.8207031811424258E-3</v>
      </c>
    </row>
    <row r="9137" spans="18:21" x14ac:dyDescent="0.2">
      <c r="R9137" s="49">
        <v>9135</v>
      </c>
      <c r="S9137" s="59">
        <f ca="1">Dashboard!B$8* Dashboard!$F$4+Dashboard!B$10*SQRT(Dashboard!$F$4) * _xlfn.NORM.S.INV(RAND())</f>
        <v>-6.8493598457154373E-2</v>
      </c>
      <c r="T9137" s="59">
        <f ca="1">Dashboard!C$8* Dashboard!$F$4+Dashboard!C$10*SQRT(Dashboard!$F$4) * _xlfn.NORM.S.INV(RAND())</f>
        <v>1.6220731588498506E-2</v>
      </c>
      <c r="U9137" s="59">
        <f ca="1">Dashboard!D$8* Dashboard!$F$4+Dashboard!D$10*SQRT(Dashboard!$F$4) * _xlfn.NORM.S.INV(RAND())</f>
        <v>1.2092851848325715E-2</v>
      </c>
    </row>
    <row r="9138" spans="18:21" x14ac:dyDescent="0.2">
      <c r="R9138" s="49">
        <v>9136</v>
      </c>
      <c r="S9138" s="59">
        <f ca="1">Dashboard!B$8* Dashboard!$F$4+Dashboard!B$10*SQRT(Dashboard!$F$4) * _xlfn.NORM.S.INV(RAND())</f>
        <v>-5.0406030666246195E-2</v>
      </c>
      <c r="T9138" s="59">
        <f ca="1">Dashboard!C$8* Dashboard!$F$4+Dashboard!C$10*SQRT(Dashboard!$F$4) * _xlfn.NORM.S.INV(RAND())</f>
        <v>-1.2384522020055948E-2</v>
      </c>
      <c r="U9138" s="59">
        <f ca="1">Dashboard!D$8* Dashboard!$F$4+Dashboard!D$10*SQRT(Dashboard!$F$4) * _xlfn.NORM.S.INV(RAND())</f>
        <v>-3.9514722421580412E-2</v>
      </c>
    </row>
    <row r="9139" spans="18:21" x14ac:dyDescent="0.2">
      <c r="R9139" s="49">
        <v>9137</v>
      </c>
      <c r="S9139" s="59">
        <f ca="1">Dashboard!B$8* Dashboard!$F$4+Dashboard!B$10*SQRT(Dashboard!$F$4) * _xlfn.NORM.S.INV(RAND())</f>
        <v>2.0617211136713534E-3</v>
      </c>
      <c r="T9139" s="59">
        <f ca="1">Dashboard!C$8* Dashboard!$F$4+Dashboard!C$10*SQRT(Dashboard!$F$4) * _xlfn.NORM.S.INV(RAND())</f>
        <v>3.0082215372805168E-2</v>
      </c>
      <c r="U9139" s="59">
        <f ca="1">Dashboard!D$8* Dashboard!$F$4+Dashboard!D$10*SQRT(Dashboard!$F$4) * _xlfn.NORM.S.INV(RAND())</f>
        <v>2.0995740229360214E-2</v>
      </c>
    </row>
    <row r="9140" spans="18:21" x14ac:dyDescent="0.2">
      <c r="R9140" s="49">
        <v>9138</v>
      </c>
      <c r="S9140" s="59">
        <f ca="1">Dashboard!B$8* Dashboard!$F$4+Dashboard!B$10*SQRT(Dashboard!$F$4) * _xlfn.NORM.S.INV(RAND())</f>
        <v>-1.2250932960086391E-2</v>
      </c>
      <c r="T9140" s="59">
        <f ca="1">Dashboard!C$8* Dashboard!$F$4+Dashboard!C$10*SQRT(Dashboard!$F$4) * _xlfn.NORM.S.INV(RAND())</f>
        <v>1.801592622763605E-2</v>
      </c>
      <c r="U9140" s="59">
        <f ca="1">Dashboard!D$8* Dashboard!$F$4+Dashboard!D$10*SQRT(Dashboard!$F$4) * _xlfn.NORM.S.INV(RAND())</f>
        <v>4.0996490437209411E-2</v>
      </c>
    </row>
    <row r="9141" spans="18:21" x14ac:dyDescent="0.2">
      <c r="R9141" s="49">
        <v>9139</v>
      </c>
      <c r="S9141" s="59">
        <f ca="1">Dashboard!B$8* Dashboard!$F$4+Dashboard!B$10*SQRT(Dashboard!$F$4) * _xlfn.NORM.S.INV(RAND())</f>
        <v>-2.2814781692768932E-2</v>
      </c>
      <c r="T9141" s="59">
        <f ca="1">Dashboard!C$8* Dashboard!$F$4+Dashboard!C$10*SQRT(Dashboard!$F$4) * _xlfn.NORM.S.INV(RAND())</f>
        <v>3.6800345108250858E-2</v>
      </c>
      <c r="U9141" s="59">
        <f ca="1">Dashboard!D$8* Dashboard!$F$4+Dashboard!D$10*SQRT(Dashboard!$F$4) * _xlfn.NORM.S.INV(RAND())</f>
        <v>3.0913442699116132E-2</v>
      </c>
    </row>
    <row r="9142" spans="18:21" x14ac:dyDescent="0.2">
      <c r="R9142" s="49">
        <v>9140</v>
      </c>
      <c r="S9142" s="59">
        <f ca="1">Dashboard!B$8* Dashboard!$F$4+Dashboard!B$10*SQRT(Dashboard!$F$4) * _xlfn.NORM.S.INV(RAND())</f>
        <v>2.6773585780908944E-2</v>
      </c>
      <c r="T9142" s="59">
        <f ca="1">Dashboard!C$8* Dashboard!$F$4+Dashboard!C$10*SQRT(Dashboard!$F$4) * _xlfn.NORM.S.INV(RAND())</f>
        <v>3.3605321483995615E-2</v>
      </c>
      <c r="U9142" s="59">
        <f ca="1">Dashboard!D$8* Dashboard!$F$4+Dashboard!D$10*SQRT(Dashboard!$F$4) * _xlfn.NORM.S.INV(RAND())</f>
        <v>-2.3113000456232869E-3</v>
      </c>
    </row>
    <row r="9143" spans="18:21" x14ac:dyDescent="0.2">
      <c r="R9143" s="49">
        <v>9141</v>
      </c>
      <c r="S9143" s="59">
        <f ca="1">Dashboard!B$8* Dashboard!$F$4+Dashboard!B$10*SQRT(Dashboard!$F$4) * _xlfn.NORM.S.INV(RAND())</f>
        <v>-2.8408104274624691E-3</v>
      </c>
      <c r="T9143" s="59">
        <f ca="1">Dashboard!C$8* Dashboard!$F$4+Dashboard!C$10*SQRT(Dashboard!$F$4) * _xlfn.NORM.S.INV(RAND())</f>
        <v>2.0223474789651807E-2</v>
      </c>
      <c r="U9143" s="59">
        <f ca="1">Dashboard!D$8* Dashboard!$F$4+Dashboard!D$10*SQRT(Dashboard!$F$4) * _xlfn.NORM.S.INV(RAND())</f>
        <v>-1.6648583954063306E-2</v>
      </c>
    </row>
    <row r="9144" spans="18:21" x14ac:dyDescent="0.2">
      <c r="R9144" s="49">
        <v>9142</v>
      </c>
      <c r="S9144" s="59">
        <f ca="1">Dashboard!B$8* Dashboard!$F$4+Dashboard!B$10*SQRT(Dashboard!$F$4) * _xlfn.NORM.S.INV(RAND())</f>
        <v>-3.5597891911456042E-2</v>
      </c>
      <c r="T9144" s="59">
        <f ca="1">Dashboard!C$8* Dashboard!$F$4+Dashboard!C$10*SQRT(Dashboard!$F$4) * _xlfn.NORM.S.INV(RAND())</f>
        <v>6.3435000847337376E-3</v>
      </c>
      <c r="U9144" s="59">
        <f ca="1">Dashboard!D$8* Dashboard!$F$4+Dashboard!D$10*SQRT(Dashboard!$F$4) * _xlfn.NORM.S.INV(RAND())</f>
        <v>4.4162248529628453E-2</v>
      </c>
    </row>
    <row r="9145" spans="18:21" x14ac:dyDescent="0.2">
      <c r="R9145" s="49">
        <v>9143</v>
      </c>
      <c r="S9145" s="59">
        <f ca="1">Dashboard!B$8* Dashboard!$F$4+Dashboard!B$10*SQRT(Dashboard!$F$4) * _xlfn.NORM.S.INV(RAND())</f>
        <v>1.1506035522437829E-3</v>
      </c>
      <c r="T9145" s="59">
        <f ca="1">Dashboard!C$8* Dashboard!$F$4+Dashboard!C$10*SQRT(Dashboard!$F$4) * _xlfn.NORM.S.INV(RAND())</f>
        <v>1.0758721829118665E-3</v>
      </c>
      <c r="U9145" s="59">
        <f ca="1">Dashboard!D$8* Dashboard!$F$4+Dashboard!D$10*SQRT(Dashboard!$F$4) * _xlfn.NORM.S.INV(RAND())</f>
        <v>3.7602504216814693E-2</v>
      </c>
    </row>
    <row r="9146" spans="18:21" x14ac:dyDescent="0.2">
      <c r="R9146" s="49">
        <v>9144</v>
      </c>
      <c r="S9146" s="59">
        <f ca="1">Dashboard!B$8* Dashboard!$F$4+Dashboard!B$10*SQRT(Dashboard!$F$4) * _xlfn.NORM.S.INV(RAND())</f>
        <v>3.9239490828889799E-2</v>
      </c>
      <c r="T9146" s="59">
        <f ca="1">Dashboard!C$8* Dashboard!$F$4+Dashboard!C$10*SQRT(Dashboard!$F$4) * _xlfn.NORM.S.INV(RAND())</f>
        <v>-6.670927191940447E-2</v>
      </c>
      <c r="U9146" s="59">
        <f ca="1">Dashboard!D$8* Dashboard!$F$4+Dashboard!D$10*SQRT(Dashboard!$F$4) * _xlfn.NORM.S.INV(RAND())</f>
        <v>-5.086827244986547E-2</v>
      </c>
    </row>
    <row r="9147" spans="18:21" x14ac:dyDescent="0.2">
      <c r="R9147" s="49">
        <v>9145</v>
      </c>
      <c r="S9147" s="59">
        <f ca="1">Dashboard!B$8* Dashboard!$F$4+Dashboard!B$10*SQRT(Dashboard!$F$4) * _xlfn.NORM.S.INV(RAND())</f>
        <v>9.6257597433634171E-3</v>
      </c>
      <c r="T9147" s="59">
        <f ca="1">Dashboard!C$8* Dashboard!$F$4+Dashboard!C$10*SQRT(Dashboard!$F$4) * _xlfn.NORM.S.INV(RAND())</f>
        <v>4.2744333777416585E-2</v>
      </c>
      <c r="U9147" s="59">
        <f ca="1">Dashboard!D$8* Dashboard!$F$4+Dashboard!D$10*SQRT(Dashboard!$F$4) * _xlfn.NORM.S.INV(RAND())</f>
        <v>-6.4040863940981255E-3</v>
      </c>
    </row>
    <row r="9148" spans="18:21" x14ac:dyDescent="0.2">
      <c r="R9148" s="49">
        <v>9146</v>
      </c>
      <c r="S9148" s="59">
        <f ca="1">Dashboard!B$8* Dashboard!$F$4+Dashboard!B$10*SQRT(Dashboard!$F$4) * _xlfn.NORM.S.INV(RAND())</f>
        <v>2.112165853290647E-2</v>
      </c>
      <c r="T9148" s="59">
        <f ca="1">Dashboard!C$8* Dashboard!$F$4+Dashboard!C$10*SQRT(Dashboard!$F$4) * _xlfn.NORM.S.INV(RAND())</f>
        <v>1.3920623569998857E-2</v>
      </c>
      <c r="U9148" s="59">
        <f ca="1">Dashboard!D$8* Dashboard!$F$4+Dashboard!D$10*SQRT(Dashboard!$F$4) * _xlfn.NORM.S.INV(RAND())</f>
        <v>4.582377312368191E-2</v>
      </c>
    </row>
    <row r="9149" spans="18:21" x14ac:dyDescent="0.2">
      <c r="R9149" s="49">
        <v>9147</v>
      </c>
      <c r="S9149" s="59">
        <f ca="1">Dashboard!B$8* Dashboard!$F$4+Dashboard!B$10*SQRT(Dashboard!$F$4) * _xlfn.NORM.S.INV(RAND())</f>
        <v>-3.0589963078154675E-2</v>
      </c>
      <c r="T9149" s="59">
        <f ca="1">Dashboard!C$8* Dashboard!$F$4+Dashboard!C$10*SQRT(Dashboard!$F$4) * _xlfn.NORM.S.INV(RAND())</f>
        <v>7.2923464912185487E-2</v>
      </c>
      <c r="U9149" s="59">
        <f ca="1">Dashboard!D$8* Dashboard!$F$4+Dashboard!D$10*SQRT(Dashboard!$F$4) * _xlfn.NORM.S.INV(RAND())</f>
        <v>4.659091197432199E-2</v>
      </c>
    </row>
    <row r="9150" spans="18:21" x14ac:dyDescent="0.2">
      <c r="R9150" s="49">
        <v>9148</v>
      </c>
      <c r="S9150" s="59">
        <f ca="1">Dashboard!B$8* Dashboard!$F$4+Dashboard!B$10*SQRT(Dashboard!$F$4) * _xlfn.NORM.S.INV(RAND())</f>
        <v>-1.6993267249083843E-2</v>
      </c>
      <c r="T9150" s="59">
        <f ca="1">Dashboard!C$8* Dashboard!$F$4+Dashboard!C$10*SQRT(Dashboard!$F$4) * _xlfn.NORM.S.INV(RAND())</f>
        <v>2.2337131934630247E-3</v>
      </c>
      <c r="U9150" s="59">
        <f ca="1">Dashboard!D$8* Dashboard!$F$4+Dashboard!D$10*SQRT(Dashboard!$F$4) * _xlfn.NORM.S.INV(RAND())</f>
        <v>3.6313241160998135E-2</v>
      </c>
    </row>
    <row r="9151" spans="18:21" x14ac:dyDescent="0.2">
      <c r="R9151" s="49">
        <v>9149</v>
      </c>
      <c r="S9151" s="59">
        <f ca="1">Dashboard!B$8* Dashboard!$F$4+Dashboard!B$10*SQRT(Dashboard!$F$4) * _xlfn.NORM.S.INV(RAND())</f>
        <v>-4.5519440645391311E-2</v>
      </c>
      <c r="T9151" s="59">
        <f ca="1">Dashboard!C$8* Dashboard!$F$4+Dashboard!C$10*SQRT(Dashboard!$F$4) * _xlfn.NORM.S.INV(RAND())</f>
        <v>-1.2449630820889887E-2</v>
      </c>
      <c r="U9151" s="59">
        <f ca="1">Dashboard!D$8* Dashboard!$F$4+Dashboard!D$10*SQRT(Dashboard!$F$4) * _xlfn.NORM.S.INV(RAND())</f>
        <v>-1.2526795391052848E-2</v>
      </c>
    </row>
    <row r="9152" spans="18:21" x14ac:dyDescent="0.2">
      <c r="R9152" s="49">
        <v>9150</v>
      </c>
      <c r="S9152" s="59">
        <f ca="1">Dashboard!B$8* Dashboard!$F$4+Dashboard!B$10*SQRT(Dashboard!$F$4) * _xlfn.NORM.S.INV(RAND())</f>
        <v>1.6863266978500553E-2</v>
      </c>
      <c r="T9152" s="59">
        <f ca="1">Dashboard!C$8* Dashboard!$F$4+Dashboard!C$10*SQRT(Dashboard!$F$4) * _xlfn.NORM.S.INV(RAND())</f>
        <v>-8.1539190236609785E-3</v>
      </c>
      <c r="U9152" s="59">
        <f ca="1">Dashboard!D$8* Dashboard!$F$4+Dashboard!D$10*SQRT(Dashboard!$F$4) * _xlfn.NORM.S.INV(RAND())</f>
        <v>2.096020085613352E-2</v>
      </c>
    </row>
    <row r="9153" spans="18:21" x14ac:dyDescent="0.2">
      <c r="R9153" s="49">
        <v>9151</v>
      </c>
      <c r="S9153" s="59">
        <f ca="1">Dashboard!B$8* Dashboard!$F$4+Dashboard!B$10*SQRT(Dashboard!$F$4) * _xlfn.NORM.S.INV(RAND())</f>
        <v>-8.2990012271801847E-2</v>
      </c>
      <c r="T9153" s="59">
        <f ca="1">Dashboard!C$8* Dashboard!$F$4+Dashboard!C$10*SQRT(Dashboard!$F$4) * _xlfn.NORM.S.INV(RAND())</f>
        <v>3.0896680707788522E-2</v>
      </c>
      <c r="U9153" s="59">
        <f ca="1">Dashboard!D$8* Dashboard!$F$4+Dashboard!D$10*SQRT(Dashboard!$F$4) * _xlfn.NORM.S.INV(RAND())</f>
        <v>2.1034958016501231E-4</v>
      </c>
    </row>
    <row r="9154" spans="18:21" x14ac:dyDescent="0.2">
      <c r="R9154" s="49">
        <v>9152</v>
      </c>
      <c r="S9154" s="59">
        <f ca="1">Dashboard!B$8* Dashboard!$F$4+Dashboard!B$10*SQRT(Dashboard!$F$4) * _xlfn.NORM.S.INV(RAND())</f>
        <v>6.1020294825668703E-2</v>
      </c>
      <c r="T9154" s="59">
        <f ca="1">Dashboard!C$8* Dashboard!$F$4+Dashboard!C$10*SQRT(Dashboard!$F$4) * _xlfn.NORM.S.INV(RAND())</f>
        <v>6.3877979489511807E-2</v>
      </c>
      <c r="U9154" s="59">
        <f ca="1">Dashboard!D$8* Dashboard!$F$4+Dashboard!D$10*SQRT(Dashboard!$F$4) * _xlfn.NORM.S.INV(RAND())</f>
        <v>3.0505935329191002E-2</v>
      </c>
    </row>
    <row r="9155" spans="18:21" x14ac:dyDescent="0.2">
      <c r="R9155" s="49">
        <v>9153</v>
      </c>
      <c r="S9155" s="59">
        <f ca="1">Dashboard!B$8* Dashboard!$F$4+Dashboard!B$10*SQRT(Dashboard!$F$4) * _xlfn.NORM.S.INV(RAND())</f>
        <v>1.003331941121279E-2</v>
      </c>
      <c r="T9155" s="59">
        <f ca="1">Dashboard!C$8* Dashboard!$F$4+Dashboard!C$10*SQRT(Dashboard!$F$4) * _xlfn.NORM.S.INV(RAND())</f>
        <v>-6.9807012858608547E-2</v>
      </c>
      <c r="U9155" s="59">
        <f ca="1">Dashboard!D$8* Dashboard!$F$4+Dashboard!D$10*SQRT(Dashboard!$F$4) * _xlfn.NORM.S.INV(RAND())</f>
        <v>-6.9937544117143216E-2</v>
      </c>
    </row>
    <row r="9156" spans="18:21" x14ac:dyDescent="0.2">
      <c r="R9156" s="49">
        <v>9154</v>
      </c>
      <c r="S9156" s="59">
        <f ca="1">Dashboard!B$8* Dashboard!$F$4+Dashboard!B$10*SQRT(Dashboard!$F$4) * _xlfn.NORM.S.INV(RAND())</f>
        <v>-4.6854256448724117E-2</v>
      </c>
      <c r="T9156" s="59">
        <f ca="1">Dashboard!C$8* Dashboard!$F$4+Dashboard!C$10*SQRT(Dashboard!$F$4) * _xlfn.NORM.S.INV(RAND())</f>
        <v>1.4503489310482391E-2</v>
      </c>
      <c r="U9156" s="59">
        <f ca="1">Dashboard!D$8* Dashboard!$F$4+Dashboard!D$10*SQRT(Dashboard!$F$4) * _xlfn.NORM.S.INV(RAND())</f>
        <v>5.7820903879987673E-2</v>
      </c>
    </row>
    <row r="9157" spans="18:21" x14ac:dyDescent="0.2">
      <c r="R9157" s="49">
        <v>9155</v>
      </c>
      <c r="S9157" s="59">
        <f ca="1">Dashboard!B$8* Dashboard!$F$4+Dashboard!B$10*SQRT(Dashboard!$F$4) * _xlfn.NORM.S.INV(RAND())</f>
        <v>-2.067961013023166E-2</v>
      </c>
      <c r="T9157" s="59">
        <f ca="1">Dashboard!C$8* Dashboard!$F$4+Dashboard!C$10*SQRT(Dashboard!$F$4) * _xlfn.NORM.S.INV(RAND())</f>
        <v>-4.3662452346142071E-2</v>
      </c>
      <c r="U9157" s="59">
        <f ca="1">Dashboard!D$8* Dashboard!$F$4+Dashboard!D$10*SQRT(Dashboard!$F$4) * _xlfn.NORM.S.INV(RAND())</f>
        <v>4.4819226735453917E-2</v>
      </c>
    </row>
    <row r="9158" spans="18:21" x14ac:dyDescent="0.2">
      <c r="R9158" s="49">
        <v>9156</v>
      </c>
      <c r="S9158" s="59">
        <f ca="1">Dashboard!B$8* Dashboard!$F$4+Dashboard!B$10*SQRT(Dashboard!$F$4) * _xlfn.NORM.S.INV(RAND())</f>
        <v>-3.2145731082474116E-3</v>
      </c>
      <c r="T9158" s="59">
        <f ca="1">Dashboard!C$8* Dashboard!$F$4+Dashboard!C$10*SQRT(Dashboard!$F$4) * _xlfn.NORM.S.INV(RAND())</f>
        <v>-1.3836013097810705E-2</v>
      </c>
      <c r="U9158" s="59">
        <f ca="1">Dashboard!D$8* Dashboard!$F$4+Dashboard!D$10*SQRT(Dashboard!$F$4) * _xlfn.NORM.S.INV(RAND())</f>
        <v>1.6165345238318283E-2</v>
      </c>
    </row>
    <row r="9159" spans="18:21" x14ac:dyDescent="0.2">
      <c r="R9159" s="49">
        <v>9157</v>
      </c>
      <c r="S9159" s="59">
        <f ca="1">Dashboard!B$8* Dashboard!$F$4+Dashboard!B$10*SQRT(Dashboard!$F$4) * _xlfn.NORM.S.INV(RAND())</f>
        <v>-2.4484266934171592E-2</v>
      </c>
      <c r="T9159" s="59">
        <f ca="1">Dashboard!C$8* Dashboard!$F$4+Dashboard!C$10*SQRT(Dashboard!$F$4) * _xlfn.NORM.S.INV(RAND())</f>
        <v>9.8046410150173235E-3</v>
      </c>
      <c r="U9159" s="59">
        <f ca="1">Dashboard!D$8* Dashboard!$F$4+Dashboard!D$10*SQRT(Dashboard!$F$4) * _xlfn.NORM.S.INV(RAND())</f>
        <v>4.4904097012950027E-2</v>
      </c>
    </row>
    <row r="9160" spans="18:21" x14ac:dyDescent="0.2">
      <c r="R9160" s="49">
        <v>9158</v>
      </c>
      <c r="S9160" s="59">
        <f ca="1">Dashboard!B$8* Dashboard!$F$4+Dashboard!B$10*SQRT(Dashboard!$F$4) * _xlfn.NORM.S.INV(RAND())</f>
        <v>-2.509654619235116E-2</v>
      </c>
      <c r="T9160" s="59">
        <f ca="1">Dashboard!C$8* Dashboard!$F$4+Dashboard!C$10*SQRT(Dashboard!$F$4) * _xlfn.NORM.S.INV(RAND())</f>
        <v>5.1325285881998872E-3</v>
      </c>
      <c r="U9160" s="59">
        <f ca="1">Dashboard!D$8* Dashboard!$F$4+Dashboard!D$10*SQRT(Dashboard!$F$4) * _xlfn.NORM.S.INV(RAND())</f>
        <v>-6.9802115163447595E-3</v>
      </c>
    </row>
    <row r="9161" spans="18:21" x14ac:dyDescent="0.2">
      <c r="R9161" s="49">
        <v>9159</v>
      </c>
      <c r="S9161" s="59">
        <f ca="1">Dashboard!B$8* Dashboard!$F$4+Dashboard!B$10*SQRT(Dashboard!$F$4) * _xlfn.NORM.S.INV(RAND())</f>
        <v>4.7808295343965169E-3</v>
      </c>
      <c r="T9161" s="59">
        <f ca="1">Dashboard!C$8* Dashboard!$F$4+Dashboard!C$10*SQRT(Dashboard!$F$4) * _xlfn.NORM.S.INV(RAND())</f>
        <v>1.6038894016004973E-2</v>
      </c>
      <c r="U9161" s="59">
        <f ca="1">Dashboard!D$8* Dashboard!$F$4+Dashboard!D$10*SQRT(Dashboard!$F$4) * _xlfn.NORM.S.INV(RAND())</f>
        <v>-2.6095409934778394E-2</v>
      </c>
    </row>
    <row r="9162" spans="18:21" x14ac:dyDescent="0.2">
      <c r="R9162" s="49">
        <v>9160</v>
      </c>
      <c r="S9162" s="59">
        <f ca="1">Dashboard!B$8* Dashboard!$F$4+Dashboard!B$10*SQRT(Dashboard!$F$4) * _xlfn.NORM.S.INV(RAND())</f>
        <v>3.6373965456181837E-2</v>
      </c>
      <c r="T9162" s="59">
        <f ca="1">Dashboard!C$8* Dashboard!$F$4+Dashboard!C$10*SQRT(Dashboard!$F$4) * _xlfn.NORM.S.INV(RAND())</f>
        <v>-3.7831875633289797E-2</v>
      </c>
      <c r="U9162" s="59">
        <f ca="1">Dashboard!D$8* Dashboard!$F$4+Dashboard!D$10*SQRT(Dashboard!$F$4) * _xlfn.NORM.S.INV(RAND())</f>
        <v>-1.4385702562662821E-2</v>
      </c>
    </row>
    <row r="9163" spans="18:21" x14ac:dyDescent="0.2">
      <c r="R9163" s="49">
        <v>9161</v>
      </c>
      <c r="S9163" s="59">
        <f ca="1">Dashboard!B$8* Dashboard!$F$4+Dashboard!B$10*SQRT(Dashboard!$F$4) * _xlfn.NORM.S.INV(RAND())</f>
        <v>-6.2379249944587135E-2</v>
      </c>
      <c r="T9163" s="59">
        <f ca="1">Dashboard!C$8* Dashboard!$F$4+Dashboard!C$10*SQRT(Dashboard!$F$4) * _xlfn.NORM.S.INV(RAND())</f>
        <v>4.2460012946927202E-2</v>
      </c>
      <c r="U9163" s="59">
        <f ca="1">Dashboard!D$8* Dashboard!$F$4+Dashboard!D$10*SQRT(Dashboard!$F$4) * _xlfn.NORM.S.INV(RAND())</f>
        <v>-1.9693459018409295E-2</v>
      </c>
    </row>
    <row r="9164" spans="18:21" x14ac:dyDescent="0.2">
      <c r="R9164" s="49">
        <v>9162</v>
      </c>
      <c r="S9164" s="59">
        <f ca="1">Dashboard!B$8* Dashboard!$F$4+Dashboard!B$10*SQRT(Dashboard!$F$4) * _xlfn.NORM.S.INV(RAND())</f>
        <v>-1.8880778839998148E-2</v>
      </c>
      <c r="T9164" s="59">
        <f ca="1">Dashboard!C$8* Dashboard!$F$4+Dashboard!C$10*SQRT(Dashboard!$F$4) * _xlfn.NORM.S.INV(RAND())</f>
        <v>-5.1446830480025851E-4</v>
      </c>
      <c r="U9164" s="59">
        <f ca="1">Dashboard!D$8* Dashboard!$F$4+Dashboard!D$10*SQRT(Dashboard!$F$4) * _xlfn.NORM.S.INV(RAND())</f>
        <v>-1.9674491299533768E-2</v>
      </c>
    </row>
    <row r="9165" spans="18:21" x14ac:dyDescent="0.2">
      <c r="R9165" s="49">
        <v>9163</v>
      </c>
      <c r="S9165" s="59">
        <f ca="1">Dashboard!B$8* Dashboard!$F$4+Dashboard!B$10*SQRT(Dashboard!$F$4) * _xlfn.NORM.S.INV(RAND())</f>
        <v>2.5771996802497789E-2</v>
      </c>
      <c r="T9165" s="59">
        <f ca="1">Dashboard!C$8* Dashboard!$F$4+Dashboard!C$10*SQRT(Dashboard!$F$4) * _xlfn.NORM.S.INV(RAND())</f>
        <v>-5.3822748022333895E-2</v>
      </c>
      <c r="U9165" s="59">
        <f ca="1">Dashboard!D$8* Dashboard!$F$4+Dashboard!D$10*SQRT(Dashboard!$F$4) * _xlfn.NORM.S.INV(RAND())</f>
        <v>-2.4798931643190386E-2</v>
      </c>
    </row>
    <row r="9166" spans="18:21" x14ac:dyDescent="0.2">
      <c r="R9166" s="49">
        <v>9164</v>
      </c>
      <c r="S9166" s="59">
        <f ca="1">Dashboard!B$8* Dashboard!$F$4+Dashboard!B$10*SQRT(Dashboard!$F$4) * _xlfn.NORM.S.INV(RAND())</f>
        <v>3.000695784760566E-2</v>
      </c>
      <c r="T9166" s="59">
        <f ca="1">Dashboard!C$8* Dashboard!$F$4+Dashboard!C$10*SQRT(Dashboard!$F$4) * _xlfn.NORM.S.INV(RAND())</f>
        <v>-2.7482277601821221E-2</v>
      </c>
      <c r="U9166" s="59">
        <f ca="1">Dashboard!D$8* Dashboard!$F$4+Dashboard!D$10*SQRT(Dashboard!$F$4) * _xlfn.NORM.S.INV(RAND())</f>
        <v>1.0268188110997322E-2</v>
      </c>
    </row>
    <row r="9167" spans="18:21" x14ac:dyDescent="0.2">
      <c r="R9167" s="49">
        <v>9165</v>
      </c>
      <c r="S9167" s="59">
        <f ca="1">Dashboard!B$8* Dashboard!$F$4+Dashboard!B$10*SQRT(Dashboard!$F$4) * _xlfn.NORM.S.INV(RAND())</f>
        <v>-7.1182658932077867E-3</v>
      </c>
      <c r="T9167" s="59">
        <f ca="1">Dashboard!C$8* Dashboard!$F$4+Dashboard!C$10*SQRT(Dashboard!$F$4) * _xlfn.NORM.S.INV(RAND())</f>
        <v>-5.485633826001441E-2</v>
      </c>
      <c r="U9167" s="59">
        <f ca="1">Dashboard!D$8* Dashboard!$F$4+Dashboard!D$10*SQRT(Dashboard!$F$4) * _xlfn.NORM.S.INV(RAND())</f>
        <v>-2.2691823787137393E-2</v>
      </c>
    </row>
    <row r="9168" spans="18:21" x14ac:dyDescent="0.2">
      <c r="R9168" s="49">
        <v>9166</v>
      </c>
      <c r="S9168" s="59">
        <f ca="1">Dashboard!B$8* Dashboard!$F$4+Dashboard!B$10*SQRT(Dashboard!$F$4) * _xlfn.NORM.S.INV(RAND())</f>
        <v>2.6756737008313033E-2</v>
      </c>
      <c r="T9168" s="59">
        <f ca="1">Dashboard!C$8* Dashboard!$F$4+Dashboard!C$10*SQRT(Dashboard!$F$4) * _xlfn.NORM.S.INV(RAND())</f>
        <v>-4.2040364621249618E-2</v>
      </c>
      <c r="U9168" s="59">
        <f ca="1">Dashboard!D$8* Dashboard!$F$4+Dashboard!D$10*SQRT(Dashboard!$F$4) * _xlfn.NORM.S.INV(RAND())</f>
        <v>-5.1598447899367919E-2</v>
      </c>
    </row>
    <row r="9169" spans="18:21" x14ac:dyDescent="0.2">
      <c r="R9169" s="49">
        <v>9167</v>
      </c>
      <c r="S9169" s="59">
        <f ca="1">Dashboard!B$8* Dashboard!$F$4+Dashboard!B$10*SQRT(Dashboard!$F$4) * _xlfn.NORM.S.INV(RAND())</f>
        <v>9.4600834981978313E-3</v>
      </c>
      <c r="T9169" s="59">
        <f ca="1">Dashboard!C$8* Dashboard!$F$4+Dashboard!C$10*SQRT(Dashboard!$F$4) * _xlfn.NORM.S.INV(RAND())</f>
        <v>-8.8922426357741884E-3</v>
      </c>
      <c r="U9169" s="59">
        <f ca="1">Dashboard!D$8* Dashboard!$F$4+Dashboard!D$10*SQRT(Dashboard!$F$4) * _xlfn.NORM.S.INV(RAND())</f>
        <v>9.771819344109714E-2</v>
      </c>
    </row>
    <row r="9170" spans="18:21" x14ac:dyDescent="0.2">
      <c r="R9170" s="49">
        <v>9168</v>
      </c>
      <c r="S9170" s="59">
        <f ca="1">Dashboard!B$8* Dashboard!$F$4+Dashboard!B$10*SQRT(Dashboard!$F$4) * _xlfn.NORM.S.INV(RAND())</f>
        <v>-2.8830608109824886E-2</v>
      </c>
      <c r="T9170" s="59">
        <f ca="1">Dashboard!C$8* Dashboard!$F$4+Dashboard!C$10*SQRT(Dashboard!$F$4) * _xlfn.NORM.S.INV(RAND())</f>
        <v>2.3005566257392678E-2</v>
      </c>
      <c r="U9170" s="59">
        <f ca="1">Dashboard!D$8* Dashboard!$F$4+Dashboard!D$10*SQRT(Dashboard!$F$4) * _xlfn.NORM.S.INV(RAND())</f>
        <v>3.2845781713146852E-2</v>
      </c>
    </row>
    <row r="9171" spans="18:21" x14ac:dyDescent="0.2">
      <c r="R9171" s="49">
        <v>9169</v>
      </c>
      <c r="S9171" s="59">
        <f ca="1">Dashboard!B$8* Dashboard!$F$4+Dashboard!B$10*SQRT(Dashboard!$F$4) * _xlfn.NORM.S.INV(RAND())</f>
        <v>3.9070795764520945E-2</v>
      </c>
      <c r="T9171" s="59">
        <f ca="1">Dashboard!C$8* Dashboard!$F$4+Dashboard!C$10*SQRT(Dashboard!$F$4) * _xlfn.NORM.S.INV(RAND())</f>
        <v>-5.443667134870056E-2</v>
      </c>
      <c r="U9171" s="59">
        <f ca="1">Dashboard!D$8* Dashboard!$F$4+Dashboard!D$10*SQRT(Dashboard!$F$4) * _xlfn.NORM.S.INV(RAND())</f>
        <v>2.930978005581835E-2</v>
      </c>
    </row>
    <row r="9172" spans="18:21" x14ac:dyDescent="0.2">
      <c r="R9172" s="49">
        <v>9170</v>
      </c>
      <c r="S9172" s="59">
        <f ca="1">Dashboard!B$8* Dashboard!$F$4+Dashboard!B$10*SQRT(Dashboard!$F$4) * _xlfn.NORM.S.INV(RAND())</f>
        <v>3.8125086815993171E-2</v>
      </c>
      <c r="T9172" s="59">
        <f ca="1">Dashboard!C$8* Dashboard!$F$4+Dashboard!C$10*SQRT(Dashboard!$F$4) * _xlfn.NORM.S.INV(RAND())</f>
        <v>9.6063716553685397E-3</v>
      </c>
      <c r="U9172" s="59">
        <f ca="1">Dashboard!D$8* Dashboard!$F$4+Dashboard!D$10*SQRT(Dashboard!$F$4) * _xlfn.NORM.S.INV(RAND())</f>
        <v>-3.9441798394671927E-3</v>
      </c>
    </row>
    <row r="9173" spans="18:21" x14ac:dyDescent="0.2">
      <c r="R9173" s="49">
        <v>9171</v>
      </c>
      <c r="S9173" s="59">
        <f ca="1">Dashboard!B$8* Dashboard!$F$4+Dashboard!B$10*SQRT(Dashboard!$F$4) * _xlfn.NORM.S.INV(RAND())</f>
        <v>7.1572574243611038E-3</v>
      </c>
      <c r="T9173" s="59">
        <f ca="1">Dashboard!C$8* Dashboard!$F$4+Dashboard!C$10*SQRT(Dashboard!$F$4) * _xlfn.NORM.S.INV(RAND())</f>
        <v>3.8713062166904753E-2</v>
      </c>
      <c r="U9173" s="59">
        <f ca="1">Dashboard!D$8* Dashboard!$F$4+Dashboard!D$10*SQRT(Dashboard!$F$4) * _xlfn.NORM.S.INV(RAND())</f>
        <v>1.1894108536202973E-2</v>
      </c>
    </row>
    <row r="9174" spans="18:21" x14ac:dyDescent="0.2">
      <c r="R9174" s="49">
        <v>9172</v>
      </c>
      <c r="S9174" s="59">
        <f ca="1">Dashboard!B$8* Dashboard!$F$4+Dashboard!B$10*SQRT(Dashboard!$F$4) * _xlfn.NORM.S.INV(RAND())</f>
        <v>5.1622946710391839E-2</v>
      </c>
      <c r="T9174" s="59">
        <f ca="1">Dashboard!C$8* Dashboard!$F$4+Dashboard!C$10*SQRT(Dashboard!$F$4) * _xlfn.NORM.S.INV(RAND())</f>
        <v>-5.2727453828012978E-2</v>
      </c>
      <c r="U9174" s="59">
        <f ca="1">Dashboard!D$8* Dashboard!$F$4+Dashboard!D$10*SQRT(Dashboard!$F$4) * _xlfn.NORM.S.INV(RAND())</f>
        <v>2.2796433609459276E-2</v>
      </c>
    </row>
    <row r="9175" spans="18:21" x14ac:dyDescent="0.2">
      <c r="R9175" s="49">
        <v>9173</v>
      </c>
      <c r="S9175" s="59">
        <f ca="1">Dashboard!B$8* Dashboard!$F$4+Dashboard!B$10*SQRT(Dashboard!$F$4) * _xlfn.NORM.S.INV(RAND())</f>
        <v>-6.858273323426381E-2</v>
      </c>
      <c r="T9175" s="59">
        <f ca="1">Dashboard!C$8* Dashboard!$F$4+Dashboard!C$10*SQRT(Dashboard!$F$4) * _xlfn.NORM.S.INV(RAND())</f>
        <v>-2.8115342782928102E-2</v>
      </c>
      <c r="U9175" s="59">
        <f ca="1">Dashboard!D$8* Dashboard!$F$4+Dashboard!D$10*SQRT(Dashboard!$F$4) * _xlfn.NORM.S.INV(RAND())</f>
        <v>1.1978111643687492E-2</v>
      </c>
    </row>
    <row r="9176" spans="18:21" x14ac:dyDescent="0.2">
      <c r="R9176" s="49">
        <v>9174</v>
      </c>
      <c r="S9176" s="59">
        <f ca="1">Dashboard!B$8* Dashboard!$F$4+Dashboard!B$10*SQRT(Dashboard!$F$4) * _xlfn.NORM.S.INV(RAND())</f>
        <v>1.618214188252985E-3</v>
      </c>
      <c r="T9176" s="59">
        <f ca="1">Dashboard!C$8* Dashboard!$F$4+Dashboard!C$10*SQRT(Dashboard!$F$4) * _xlfn.NORM.S.INV(RAND())</f>
        <v>-1.0036564490117153E-2</v>
      </c>
      <c r="U9176" s="59">
        <f ca="1">Dashboard!D$8* Dashboard!$F$4+Dashboard!D$10*SQRT(Dashboard!$F$4) * _xlfn.NORM.S.INV(RAND())</f>
        <v>5.3036312709356874E-2</v>
      </c>
    </row>
    <row r="9177" spans="18:21" x14ac:dyDescent="0.2">
      <c r="R9177" s="49">
        <v>9175</v>
      </c>
      <c r="S9177" s="59">
        <f ca="1">Dashboard!B$8* Dashboard!$F$4+Dashboard!B$10*SQRT(Dashboard!$F$4) * _xlfn.NORM.S.INV(RAND())</f>
        <v>-3.1208128775884587E-2</v>
      </c>
      <c r="T9177" s="59">
        <f ca="1">Dashboard!C$8* Dashboard!$F$4+Dashboard!C$10*SQRT(Dashboard!$F$4) * _xlfn.NORM.S.INV(RAND())</f>
        <v>1.4077161330090592E-2</v>
      </c>
      <c r="U9177" s="59">
        <f ca="1">Dashboard!D$8* Dashboard!$F$4+Dashboard!D$10*SQRT(Dashboard!$F$4) * _xlfn.NORM.S.INV(RAND())</f>
        <v>-5.8172085636644649E-3</v>
      </c>
    </row>
    <row r="9178" spans="18:21" x14ac:dyDescent="0.2">
      <c r="R9178" s="49">
        <v>9176</v>
      </c>
      <c r="S9178" s="59">
        <f ca="1">Dashboard!B$8* Dashboard!$F$4+Dashboard!B$10*SQRT(Dashboard!$F$4) * _xlfn.NORM.S.INV(RAND())</f>
        <v>-1.4434651863509285E-2</v>
      </c>
      <c r="T9178" s="59">
        <f ca="1">Dashboard!C$8* Dashboard!$F$4+Dashboard!C$10*SQRT(Dashboard!$F$4) * _xlfn.NORM.S.INV(RAND())</f>
        <v>-3.4371305491245598E-2</v>
      </c>
      <c r="U9178" s="59">
        <f ca="1">Dashboard!D$8* Dashboard!$F$4+Dashboard!D$10*SQRT(Dashboard!$F$4) * _xlfn.NORM.S.INV(RAND())</f>
        <v>-3.5446362007393126E-3</v>
      </c>
    </row>
    <row r="9179" spans="18:21" x14ac:dyDescent="0.2">
      <c r="R9179" s="49">
        <v>9177</v>
      </c>
      <c r="S9179" s="59">
        <f ca="1">Dashboard!B$8* Dashboard!$F$4+Dashboard!B$10*SQRT(Dashboard!$F$4) * _xlfn.NORM.S.INV(RAND())</f>
        <v>4.86336045872411E-2</v>
      </c>
      <c r="T9179" s="59">
        <f ca="1">Dashboard!C$8* Dashboard!$F$4+Dashboard!C$10*SQRT(Dashboard!$F$4) * _xlfn.NORM.S.INV(RAND())</f>
        <v>2.6894623956810651E-2</v>
      </c>
      <c r="U9179" s="59">
        <f ca="1">Dashboard!D$8* Dashboard!$F$4+Dashboard!D$10*SQRT(Dashboard!$F$4) * _xlfn.NORM.S.INV(RAND())</f>
        <v>4.0099918990185821E-2</v>
      </c>
    </row>
    <row r="9180" spans="18:21" x14ac:dyDescent="0.2">
      <c r="R9180" s="49">
        <v>9178</v>
      </c>
      <c r="S9180" s="59">
        <f ca="1">Dashboard!B$8* Dashboard!$F$4+Dashboard!B$10*SQRT(Dashboard!$F$4) * _xlfn.NORM.S.INV(RAND())</f>
        <v>3.3786069034521235E-2</v>
      </c>
      <c r="T9180" s="59">
        <f ca="1">Dashboard!C$8* Dashboard!$F$4+Dashboard!C$10*SQRT(Dashboard!$F$4) * _xlfn.NORM.S.INV(RAND())</f>
        <v>-4.1299079356278629E-3</v>
      </c>
      <c r="U9180" s="59">
        <f ca="1">Dashboard!D$8* Dashboard!$F$4+Dashboard!D$10*SQRT(Dashboard!$F$4) * _xlfn.NORM.S.INV(RAND())</f>
        <v>2.4610984271041646E-2</v>
      </c>
    </row>
    <row r="9181" spans="18:21" x14ac:dyDescent="0.2">
      <c r="R9181" s="49">
        <v>9179</v>
      </c>
      <c r="S9181" s="59">
        <f ca="1">Dashboard!B$8* Dashboard!$F$4+Dashboard!B$10*SQRT(Dashboard!$F$4) * _xlfn.NORM.S.INV(RAND())</f>
        <v>2.3858389104260559E-2</v>
      </c>
      <c r="T9181" s="59">
        <f ca="1">Dashboard!C$8* Dashboard!$F$4+Dashboard!C$10*SQRT(Dashboard!$F$4) * _xlfn.NORM.S.INV(RAND())</f>
        <v>-2.609692718413292E-2</v>
      </c>
      <c r="U9181" s="59">
        <f ca="1">Dashboard!D$8* Dashboard!$F$4+Dashboard!D$10*SQRT(Dashboard!$F$4) * _xlfn.NORM.S.INV(RAND())</f>
        <v>-1.2427971045492562E-2</v>
      </c>
    </row>
    <row r="9182" spans="18:21" x14ac:dyDescent="0.2">
      <c r="R9182" s="49">
        <v>9180</v>
      </c>
      <c r="S9182" s="59">
        <f ca="1">Dashboard!B$8* Dashboard!$F$4+Dashboard!B$10*SQRT(Dashboard!$F$4) * _xlfn.NORM.S.INV(RAND())</f>
        <v>3.5601986107314859E-3</v>
      </c>
      <c r="T9182" s="59">
        <f ca="1">Dashboard!C$8* Dashboard!$F$4+Dashboard!C$10*SQRT(Dashboard!$F$4) * _xlfn.NORM.S.INV(RAND())</f>
        <v>1.9771366033688065E-2</v>
      </c>
      <c r="U9182" s="59">
        <f ca="1">Dashboard!D$8* Dashboard!$F$4+Dashboard!D$10*SQRT(Dashboard!$F$4) * _xlfn.NORM.S.INV(RAND())</f>
        <v>3.275272205949277E-2</v>
      </c>
    </row>
    <row r="9183" spans="18:21" x14ac:dyDescent="0.2">
      <c r="R9183" s="49">
        <v>9181</v>
      </c>
      <c r="S9183" s="59">
        <f ca="1">Dashboard!B$8* Dashboard!$F$4+Dashboard!B$10*SQRT(Dashboard!$F$4) * _xlfn.NORM.S.INV(RAND())</f>
        <v>1.0942370535630512E-3</v>
      </c>
      <c r="T9183" s="59">
        <f ca="1">Dashboard!C$8* Dashboard!$F$4+Dashboard!C$10*SQRT(Dashboard!$F$4) * _xlfn.NORM.S.INV(RAND())</f>
        <v>6.7744289485289988E-2</v>
      </c>
      <c r="U9183" s="59">
        <f ca="1">Dashboard!D$8* Dashboard!$F$4+Dashboard!D$10*SQRT(Dashboard!$F$4) * _xlfn.NORM.S.INV(RAND())</f>
        <v>-2.3947133206658481E-2</v>
      </c>
    </row>
    <row r="9184" spans="18:21" x14ac:dyDescent="0.2">
      <c r="R9184" s="49">
        <v>9182</v>
      </c>
      <c r="S9184" s="59">
        <f ca="1">Dashboard!B$8* Dashboard!$F$4+Dashboard!B$10*SQRT(Dashboard!$F$4) * _xlfn.NORM.S.INV(RAND())</f>
        <v>-1.8747961218764445E-2</v>
      </c>
      <c r="T9184" s="59">
        <f ca="1">Dashboard!C$8* Dashboard!$F$4+Dashboard!C$10*SQRT(Dashboard!$F$4) * _xlfn.NORM.S.INV(RAND())</f>
        <v>4.3576891377338986E-3</v>
      </c>
      <c r="U9184" s="59">
        <f ca="1">Dashboard!D$8* Dashboard!$F$4+Dashboard!D$10*SQRT(Dashboard!$F$4) * _xlfn.NORM.S.INV(RAND())</f>
        <v>3.4039652184306782E-3</v>
      </c>
    </row>
    <row r="9185" spans="18:21" x14ac:dyDescent="0.2">
      <c r="R9185" s="49">
        <v>9183</v>
      </c>
      <c r="S9185" s="59">
        <f ca="1">Dashboard!B$8* Dashboard!$F$4+Dashboard!B$10*SQRT(Dashboard!$F$4) * _xlfn.NORM.S.INV(RAND())</f>
        <v>-2.4008675098634795E-2</v>
      </c>
      <c r="T9185" s="59">
        <f ca="1">Dashboard!C$8* Dashboard!$F$4+Dashboard!C$10*SQRT(Dashboard!$F$4) * _xlfn.NORM.S.INV(RAND())</f>
        <v>2.4800406693176794E-2</v>
      </c>
      <c r="U9185" s="59">
        <f ca="1">Dashboard!D$8* Dashboard!$F$4+Dashboard!D$10*SQRT(Dashboard!$F$4) * _xlfn.NORM.S.INV(RAND())</f>
        <v>-2.1842989630934548E-2</v>
      </c>
    </row>
    <row r="9186" spans="18:21" x14ac:dyDescent="0.2">
      <c r="R9186" s="49">
        <v>9184</v>
      </c>
      <c r="S9186" s="59">
        <f ca="1">Dashboard!B$8* Dashboard!$F$4+Dashboard!B$10*SQRT(Dashboard!$F$4) * _xlfn.NORM.S.INV(RAND())</f>
        <v>3.5806454415123534E-2</v>
      </c>
      <c r="T9186" s="59">
        <f ca="1">Dashboard!C$8* Dashboard!$F$4+Dashboard!C$10*SQRT(Dashboard!$F$4) * _xlfn.NORM.S.INV(RAND())</f>
        <v>7.3908011979903918E-2</v>
      </c>
      <c r="U9186" s="59">
        <f ca="1">Dashboard!D$8* Dashboard!$F$4+Dashboard!D$10*SQRT(Dashboard!$F$4) * _xlfn.NORM.S.INV(RAND())</f>
        <v>-9.1787059199451137E-3</v>
      </c>
    </row>
    <row r="9187" spans="18:21" x14ac:dyDescent="0.2">
      <c r="R9187" s="49">
        <v>9185</v>
      </c>
      <c r="S9187" s="59">
        <f ca="1">Dashboard!B$8* Dashboard!$F$4+Dashboard!B$10*SQRT(Dashboard!$F$4) * _xlfn.NORM.S.INV(RAND())</f>
        <v>4.0270623783191732E-2</v>
      </c>
      <c r="T9187" s="59">
        <f ca="1">Dashboard!C$8* Dashboard!$F$4+Dashboard!C$10*SQRT(Dashboard!$F$4) * _xlfn.NORM.S.INV(RAND())</f>
        <v>5.4417587979315438E-2</v>
      </c>
      <c r="U9187" s="59">
        <f ca="1">Dashboard!D$8* Dashboard!$F$4+Dashboard!D$10*SQRT(Dashboard!$F$4) * _xlfn.NORM.S.INV(RAND())</f>
        <v>2.739404070049371E-2</v>
      </c>
    </row>
    <row r="9188" spans="18:21" x14ac:dyDescent="0.2">
      <c r="R9188" s="49">
        <v>9186</v>
      </c>
      <c r="S9188" s="59">
        <f ca="1">Dashboard!B$8* Dashboard!$F$4+Dashboard!B$10*SQRT(Dashboard!$F$4) * _xlfn.NORM.S.INV(RAND())</f>
        <v>-2.6152191602271745E-2</v>
      </c>
      <c r="T9188" s="59">
        <f ca="1">Dashboard!C$8* Dashboard!$F$4+Dashboard!C$10*SQRT(Dashboard!$F$4) * _xlfn.NORM.S.INV(RAND())</f>
        <v>-4.5923216352093114E-2</v>
      </c>
      <c r="U9188" s="59">
        <f ca="1">Dashboard!D$8* Dashboard!$F$4+Dashboard!D$10*SQRT(Dashboard!$F$4) * _xlfn.NORM.S.INV(RAND())</f>
        <v>4.4493703006144901E-3</v>
      </c>
    </row>
    <row r="9189" spans="18:21" x14ac:dyDescent="0.2">
      <c r="R9189" s="49">
        <v>9187</v>
      </c>
      <c r="S9189" s="59">
        <f ca="1">Dashboard!B$8* Dashboard!$F$4+Dashboard!B$10*SQRT(Dashboard!$F$4) * _xlfn.NORM.S.INV(RAND())</f>
        <v>-1.2610757508498318E-2</v>
      </c>
      <c r="T9189" s="59">
        <f ca="1">Dashboard!C$8* Dashboard!$F$4+Dashboard!C$10*SQRT(Dashboard!$F$4) * _xlfn.NORM.S.INV(RAND())</f>
        <v>1.2852327444915608E-2</v>
      </c>
      <c r="U9189" s="59">
        <f ca="1">Dashboard!D$8* Dashboard!$F$4+Dashboard!D$10*SQRT(Dashboard!$F$4) * _xlfn.NORM.S.INV(RAND())</f>
        <v>1.1253975599475247E-2</v>
      </c>
    </row>
    <row r="9190" spans="18:21" x14ac:dyDescent="0.2">
      <c r="R9190" s="49">
        <v>9188</v>
      </c>
      <c r="S9190" s="59">
        <f ca="1">Dashboard!B$8* Dashboard!$F$4+Dashboard!B$10*SQRT(Dashboard!$F$4) * _xlfn.NORM.S.INV(RAND())</f>
        <v>-2.6411296087183588E-2</v>
      </c>
      <c r="T9190" s="59">
        <f ca="1">Dashboard!C$8* Dashboard!$F$4+Dashboard!C$10*SQRT(Dashboard!$F$4) * _xlfn.NORM.S.INV(RAND())</f>
        <v>5.6097974655133021E-3</v>
      </c>
      <c r="U9190" s="59">
        <f ca="1">Dashboard!D$8* Dashboard!$F$4+Dashboard!D$10*SQRT(Dashboard!$F$4) * _xlfn.NORM.S.INV(RAND())</f>
        <v>-4.08725344222748E-2</v>
      </c>
    </row>
    <row r="9191" spans="18:21" x14ac:dyDescent="0.2">
      <c r="R9191" s="49">
        <v>9189</v>
      </c>
      <c r="S9191" s="59">
        <f ca="1">Dashboard!B$8* Dashboard!$F$4+Dashboard!B$10*SQRT(Dashboard!$F$4) * _xlfn.NORM.S.INV(RAND())</f>
        <v>1.2997628781280858E-2</v>
      </c>
      <c r="T9191" s="59">
        <f ca="1">Dashboard!C$8* Dashboard!$F$4+Dashboard!C$10*SQRT(Dashboard!$F$4) * _xlfn.NORM.S.INV(RAND())</f>
        <v>-5.9405449595205948E-3</v>
      </c>
      <c r="U9191" s="59">
        <f ca="1">Dashboard!D$8* Dashboard!$F$4+Dashboard!D$10*SQRT(Dashboard!$F$4) * _xlfn.NORM.S.INV(RAND())</f>
        <v>8.1378736626293476E-3</v>
      </c>
    </row>
    <row r="9192" spans="18:21" x14ac:dyDescent="0.2">
      <c r="R9192" s="49">
        <v>9190</v>
      </c>
      <c r="S9192" s="59">
        <f ca="1">Dashboard!B$8* Dashboard!$F$4+Dashboard!B$10*SQRT(Dashboard!$F$4) * _xlfn.NORM.S.INV(RAND())</f>
        <v>-2.4197704288585628E-2</v>
      </c>
      <c r="T9192" s="59">
        <f ca="1">Dashboard!C$8* Dashboard!$F$4+Dashboard!C$10*SQRT(Dashboard!$F$4) * _xlfn.NORM.S.INV(RAND())</f>
        <v>-2.6455436627305904E-2</v>
      </c>
      <c r="U9192" s="59">
        <f ca="1">Dashboard!D$8* Dashboard!$F$4+Dashboard!D$10*SQRT(Dashboard!$F$4) * _xlfn.NORM.S.INV(RAND())</f>
        <v>4.0418975329664045E-3</v>
      </c>
    </row>
    <row r="9193" spans="18:21" x14ac:dyDescent="0.2">
      <c r="R9193" s="49">
        <v>9191</v>
      </c>
      <c r="S9193" s="59">
        <f ca="1">Dashboard!B$8* Dashboard!$F$4+Dashboard!B$10*SQRT(Dashboard!$F$4) * _xlfn.NORM.S.INV(RAND())</f>
        <v>-3.3129818813987542E-2</v>
      </c>
      <c r="T9193" s="59">
        <f ca="1">Dashboard!C$8* Dashboard!$F$4+Dashboard!C$10*SQRT(Dashboard!$F$4) * _xlfn.NORM.S.INV(RAND())</f>
        <v>-8.1604594459645206E-3</v>
      </c>
      <c r="U9193" s="59">
        <f ca="1">Dashboard!D$8* Dashboard!$F$4+Dashboard!D$10*SQRT(Dashboard!$F$4) * _xlfn.NORM.S.INV(RAND())</f>
        <v>1.4922416648314604E-2</v>
      </c>
    </row>
    <row r="9194" spans="18:21" x14ac:dyDescent="0.2">
      <c r="R9194" s="49">
        <v>9192</v>
      </c>
      <c r="S9194" s="59">
        <f ca="1">Dashboard!B$8* Dashboard!$F$4+Dashboard!B$10*SQRT(Dashboard!$F$4) * _xlfn.NORM.S.INV(RAND())</f>
        <v>-3.8773231673175097E-2</v>
      </c>
      <c r="T9194" s="59">
        <f ca="1">Dashboard!C$8* Dashboard!$F$4+Dashboard!C$10*SQRT(Dashboard!$F$4) * _xlfn.NORM.S.INV(RAND())</f>
        <v>6.4791734792322767E-2</v>
      </c>
      <c r="U9194" s="59">
        <f ca="1">Dashboard!D$8* Dashboard!$F$4+Dashboard!D$10*SQRT(Dashboard!$F$4) * _xlfn.NORM.S.INV(RAND())</f>
        <v>-5.4251205149023457E-2</v>
      </c>
    </row>
    <row r="9195" spans="18:21" x14ac:dyDescent="0.2">
      <c r="R9195" s="49">
        <v>9193</v>
      </c>
      <c r="S9195" s="59">
        <f ca="1">Dashboard!B$8* Dashboard!$F$4+Dashboard!B$10*SQRT(Dashboard!$F$4) * _xlfn.NORM.S.INV(RAND())</f>
        <v>-4.9690036019973301E-2</v>
      </c>
      <c r="T9195" s="59">
        <f ca="1">Dashboard!C$8* Dashboard!$F$4+Dashboard!C$10*SQRT(Dashboard!$F$4) * _xlfn.NORM.S.INV(RAND())</f>
        <v>5.2069984316825942E-3</v>
      </c>
      <c r="U9195" s="59">
        <f ca="1">Dashboard!D$8* Dashboard!$F$4+Dashboard!D$10*SQRT(Dashboard!$F$4) * _xlfn.NORM.S.INV(RAND())</f>
        <v>3.453369295273229E-3</v>
      </c>
    </row>
    <row r="9196" spans="18:21" x14ac:dyDescent="0.2">
      <c r="R9196" s="49">
        <v>9194</v>
      </c>
      <c r="S9196" s="59">
        <f ca="1">Dashboard!B$8* Dashboard!$F$4+Dashboard!B$10*SQRT(Dashboard!$F$4) * _xlfn.NORM.S.INV(RAND())</f>
        <v>4.0546041522882478E-2</v>
      </c>
      <c r="T9196" s="59">
        <f ca="1">Dashboard!C$8* Dashboard!$F$4+Dashboard!C$10*SQRT(Dashboard!$F$4) * _xlfn.NORM.S.INV(RAND())</f>
        <v>4.9745685961608929E-2</v>
      </c>
      <c r="U9196" s="59">
        <f ca="1">Dashboard!D$8* Dashboard!$F$4+Dashboard!D$10*SQRT(Dashboard!$F$4) * _xlfn.NORM.S.INV(RAND())</f>
        <v>3.1911468246581505E-3</v>
      </c>
    </row>
    <row r="9197" spans="18:21" x14ac:dyDescent="0.2">
      <c r="R9197" s="49">
        <v>9195</v>
      </c>
      <c r="S9197" s="59">
        <f ca="1">Dashboard!B$8* Dashboard!$F$4+Dashboard!B$10*SQRT(Dashboard!$F$4) * _xlfn.NORM.S.INV(RAND())</f>
        <v>3.9392186471987105E-2</v>
      </c>
      <c r="T9197" s="59">
        <f ca="1">Dashboard!C$8* Dashboard!$F$4+Dashboard!C$10*SQRT(Dashboard!$F$4) * _xlfn.NORM.S.INV(RAND())</f>
        <v>-2.2785462111192634E-2</v>
      </c>
      <c r="U9197" s="59">
        <f ca="1">Dashboard!D$8* Dashboard!$F$4+Dashboard!D$10*SQRT(Dashboard!$F$4) * _xlfn.NORM.S.INV(RAND())</f>
        <v>-1.2656560514729834E-2</v>
      </c>
    </row>
    <row r="9198" spans="18:21" x14ac:dyDescent="0.2">
      <c r="R9198" s="49">
        <v>9196</v>
      </c>
      <c r="S9198" s="59">
        <f ca="1">Dashboard!B$8* Dashboard!$F$4+Dashboard!B$10*SQRT(Dashboard!$F$4) * _xlfn.NORM.S.INV(RAND())</f>
        <v>-2.041368439955378E-2</v>
      </c>
      <c r="T9198" s="59">
        <f ca="1">Dashboard!C$8* Dashboard!$F$4+Dashboard!C$10*SQRT(Dashboard!$F$4) * _xlfn.NORM.S.INV(RAND())</f>
        <v>7.3934184894667966E-3</v>
      </c>
      <c r="U9198" s="59">
        <f ca="1">Dashboard!D$8* Dashboard!$F$4+Dashboard!D$10*SQRT(Dashboard!$F$4) * _xlfn.NORM.S.INV(RAND())</f>
        <v>2.2717037019915173E-2</v>
      </c>
    </row>
    <row r="9199" spans="18:21" x14ac:dyDescent="0.2">
      <c r="R9199" s="49">
        <v>9197</v>
      </c>
      <c r="S9199" s="59">
        <f ca="1">Dashboard!B$8* Dashboard!$F$4+Dashboard!B$10*SQRT(Dashboard!$F$4) * _xlfn.NORM.S.INV(RAND())</f>
        <v>-5.5842103047358219E-2</v>
      </c>
      <c r="T9199" s="59">
        <f ca="1">Dashboard!C$8* Dashboard!$F$4+Dashboard!C$10*SQRT(Dashboard!$F$4) * _xlfn.NORM.S.INV(RAND())</f>
        <v>-3.1185954428115326E-2</v>
      </c>
      <c r="U9199" s="59">
        <f ca="1">Dashboard!D$8* Dashboard!$F$4+Dashboard!D$10*SQRT(Dashboard!$F$4) * _xlfn.NORM.S.INV(RAND())</f>
        <v>-9.9498692703903421E-3</v>
      </c>
    </row>
    <row r="9200" spans="18:21" x14ac:dyDescent="0.2">
      <c r="R9200" s="49">
        <v>9198</v>
      </c>
      <c r="S9200" s="59">
        <f ca="1">Dashboard!B$8* Dashboard!$F$4+Dashboard!B$10*SQRT(Dashboard!$F$4) * _xlfn.NORM.S.INV(RAND())</f>
        <v>-1.4288136954346869E-2</v>
      </c>
      <c r="T9200" s="59">
        <f ca="1">Dashboard!C$8* Dashboard!$F$4+Dashboard!C$10*SQRT(Dashboard!$F$4) * _xlfn.NORM.S.INV(RAND())</f>
        <v>-5.514427112630769E-3</v>
      </c>
      <c r="U9200" s="59">
        <f ca="1">Dashboard!D$8* Dashboard!$F$4+Dashboard!D$10*SQRT(Dashboard!$F$4) * _xlfn.NORM.S.INV(RAND())</f>
        <v>-2.0109489192837518E-2</v>
      </c>
    </row>
    <row r="9201" spans="18:21" x14ac:dyDescent="0.2">
      <c r="R9201" s="49">
        <v>9199</v>
      </c>
      <c r="S9201" s="59">
        <f ca="1">Dashboard!B$8* Dashboard!$F$4+Dashboard!B$10*SQRT(Dashboard!$F$4) * _xlfn.NORM.S.INV(RAND())</f>
        <v>-1.4016932190223966E-2</v>
      </c>
      <c r="T9201" s="59">
        <f ca="1">Dashboard!C$8* Dashboard!$F$4+Dashboard!C$10*SQRT(Dashboard!$F$4) * _xlfn.NORM.S.INV(RAND())</f>
        <v>4.1957037164953019E-2</v>
      </c>
      <c r="U9201" s="59">
        <f ca="1">Dashboard!D$8* Dashboard!$F$4+Dashboard!D$10*SQRT(Dashboard!$F$4) * _xlfn.NORM.S.INV(RAND())</f>
        <v>2.6762718167798506E-2</v>
      </c>
    </row>
    <row r="9202" spans="18:21" x14ac:dyDescent="0.2">
      <c r="R9202" s="49">
        <v>9200</v>
      </c>
      <c r="S9202" s="59">
        <f ca="1">Dashboard!B$8* Dashboard!$F$4+Dashboard!B$10*SQRT(Dashboard!$F$4) * _xlfn.NORM.S.INV(RAND())</f>
        <v>-9.406784566765107E-2</v>
      </c>
      <c r="T9202" s="59">
        <f ca="1">Dashboard!C$8* Dashboard!$F$4+Dashboard!C$10*SQRT(Dashboard!$F$4) * _xlfn.NORM.S.INV(RAND())</f>
        <v>-7.9694742699735269E-3</v>
      </c>
      <c r="U9202" s="59">
        <f ca="1">Dashboard!D$8* Dashboard!$F$4+Dashboard!D$10*SQRT(Dashboard!$F$4) * _xlfn.NORM.S.INV(RAND())</f>
        <v>-1.42953918725745E-2</v>
      </c>
    </row>
    <row r="9203" spans="18:21" x14ac:dyDescent="0.2">
      <c r="R9203" s="49">
        <v>9201</v>
      </c>
      <c r="S9203" s="59">
        <f ca="1">Dashboard!B$8* Dashboard!$F$4+Dashboard!B$10*SQRT(Dashboard!$F$4) * _xlfn.NORM.S.INV(RAND())</f>
        <v>1.9977376885447672E-2</v>
      </c>
      <c r="T9203" s="59">
        <f ca="1">Dashboard!C$8* Dashboard!$F$4+Dashboard!C$10*SQRT(Dashboard!$F$4) * _xlfn.NORM.S.INV(RAND())</f>
        <v>2.0432353658255402E-2</v>
      </c>
      <c r="U9203" s="59">
        <f ca="1">Dashboard!D$8* Dashboard!$F$4+Dashboard!D$10*SQRT(Dashboard!$F$4) * _xlfn.NORM.S.INV(RAND())</f>
        <v>1.0126531296525128E-2</v>
      </c>
    </row>
    <row r="9204" spans="18:21" x14ac:dyDescent="0.2">
      <c r="R9204" s="49">
        <v>9202</v>
      </c>
      <c r="S9204" s="59">
        <f ca="1">Dashboard!B$8* Dashboard!$F$4+Dashboard!B$10*SQRT(Dashboard!$F$4) * _xlfn.NORM.S.INV(RAND())</f>
        <v>-7.128264638497612E-3</v>
      </c>
      <c r="T9204" s="59">
        <f ca="1">Dashboard!C$8* Dashboard!$F$4+Dashboard!C$10*SQRT(Dashboard!$F$4) * _xlfn.NORM.S.INV(RAND())</f>
        <v>2.7440861259929229E-3</v>
      </c>
      <c r="U9204" s="59">
        <f ca="1">Dashboard!D$8* Dashboard!$F$4+Dashboard!D$10*SQRT(Dashboard!$F$4) * _xlfn.NORM.S.INV(RAND())</f>
        <v>-5.3311450020254031E-3</v>
      </c>
    </row>
    <row r="9205" spans="18:21" x14ac:dyDescent="0.2">
      <c r="R9205" s="49">
        <v>9203</v>
      </c>
      <c r="S9205" s="59">
        <f ca="1">Dashboard!B$8* Dashboard!$F$4+Dashboard!B$10*SQRT(Dashboard!$F$4) * _xlfn.NORM.S.INV(RAND())</f>
        <v>-1.0667501881702252E-2</v>
      </c>
      <c r="T9205" s="59">
        <f ca="1">Dashboard!C$8* Dashboard!$F$4+Dashboard!C$10*SQRT(Dashboard!$F$4) * _xlfn.NORM.S.INV(RAND())</f>
        <v>3.0580286825910841E-2</v>
      </c>
      <c r="U9205" s="59">
        <f ca="1">Dashboard!D$8* Dashboard!$F$4+Dashboard!D$10*SQRT(Dashboard!$F$4) * _xlfn.NORM.S.INV(RAND())</f>
        <v>2.9527189756926885E-2</v>
      </c>
    </row>
    <row r="9206" spans="18:21" x14ac:dyDescent="0.2">
      <c r="R9206" s="49">
        <v>9204</v>
      </c>
      <c r="S9206" s="59">
        <f ca="1">Dashboard!B$8* Dashboard!$F$4+Dashboard!B$10*SQRT(Dashboard!$F$4) * _xlfn.NORM.S.INV(RAND())</f>
        <v>6.6564116791167249E-2</v>
      </c>
      <c r="T9206" s="59">
        <f ca="1">Dashboard!C$8* Dashboard!$F$4+Dashboard!C$10*SQRT(Dashboard!$F$4) * _xlfn.NORM.S.INV(RAND())</f>
        <v>-1.1869423729943176E-3</v>
      </c>
      <c r="U9206" s="59">
        <f ca="1">Dashboard!D$8* Dashboard!$F$4+Dashboard!D$10*SQRT(Dashboard!$F$4) * _xlfn.NORM.S.INV(RAND())</f>
        <v>-4.163814094144562E-2</v>
      </c>
    </row>
    <row r="9207" spans="18:21" x14ac:dyDescent="0.2">
      <c r="R9207" s="49">
        <v>9205</v>
      </c>
      <c r="S9207" s="59">
        <f ca="1">Dashboard!B$8* Dashboard!$F$4+Dashboard!B$10*SQRT(Dashboard!$F$4) * _xlfn.NORM.S.INV(RAND())</f>
        <v>2.5934006333806339E-2</v>
      </c>
      <c r="T9207" s="59">
        <f ca="1">Dashboard!C$8* Dashboard!$F$4+Dashboard!C$10*SQRT(Dashboard!$F$4) * _xlfn.NORM.S.INV(RAND())</f>
        <v>-2.8710297023529615E-2</v>
      </c>
      <c r="U9207" s="59">
        <f ca="1">Dashboard!D$8* Dashboard!$F$4+Dashboard!D$10*SQRT(Dashboard!$F$4) * _xlfn.NORM.S.INV(RAND())</f>
        <v>-8.5171940048204914E-2</v>
      </c>
    </row>
    <row r="9208" spans="18:21" x14ac:dyDescent="0.2">
      <c r="R9208" s="49">
        <v>9206</v>
      </c>
      <c r="S9208" s="59">
        <f ca="1">Dashboard!B$8* Dashboard!$F$4+Dashboard!B$10*SQRT(Dashboard!$F$4) * _xlfn.NORM.S.INV(RAND())</f>
        <v>-4.285905520022637E-2</v>
      </c>
      <c r="T9208" s="59">
        <f ca="1">Dashboard!C$8* Dashboard!$F$4+Dashboard!C$10*SQRT(Dashboard!$F$4) * _xlfn.NORM.S.INV(RAND())</f>
        <v>3.599601787259285E-2</v>
      </c>
      <c r="U9208" s="59">
        <f ca="1">Dashboard!D$8* Dashboard!$F$4+Dashboard!D$10*SQRT(Dashboard!$F$4) * _xlfn.NORM.S.INV(RAND())</f>
        <v>4.5619237151149933E-2</v>
      </c>
    </row>
    <row r="9209" spans="18:21" x14ac:dyDescent="0.2">
      <c r="R9209" s="49">
        <v>9207</v>
      </c>
      <c r="S9209" s="59">
        <f ca="1">Dashboard!B$8* Dashboard!$F$4+Dashboard!B$10*SQRT(Dashboard!$F$4) * _xlfn.NORM.S.INV(RAND())</f>
        <v>1.0854540672077063E-2</v>
      </c>
      <c r="T9209" s="59">
        <f ca="1">Dashboard!C$8* Dashboard!$F$4+Dashboard!C$10*SQRT(Dashboard!$F$4) * _xlfn.NORM.S.INV(RAND())</f>
        <v>-2.6207813440070737E-4</v>
      </c>
      <c r="U9209" s="59">
        <f ca="1">Dashboard!D$8* Dashboard!$F$4+Dashboard!D$10*SQRT(Dashboard!$F$4) * _xlfn.NORM.S.INV(RAND())</f>
        <v>-2.7084605572758724E-2</v>
      </c>
    </row>
    <row r="9210" spans="18:21" x14ac:dyDescent="0.2">
      <c r="R9210" s="49">
        <v>9208</v>
      </c>
      <c r="S9210" s="59">
        <f ca="1">Dashboard!B$8* Dashboard!$F$4+Dashboard!B$10*SQRT(Dashboard!$F$4) * _xlfn.NORM.S.INV(RAND())</f>
        <v>9.4124987670549821E-3</v>
      </c>
      <c r="T9210" s="59">
        <f ca="1">Dashboard!C$8* Dashboard!$F$4+Dashboard!C$10*SQRT(Dashboard!$F$4) * _xlfn.NORM.S.INV(RAND())</f>
        <v>7.721402139452601E-4</v>
      </c>
      <c r="U9210" s="59">
        <f ca="1">Dashboard!D$8* Dashboard!$F$4+Dashboard!D$10*SQRT(Dashboard!$F$4) * _xlfn.NORM.S.INV(RAND())</f>
        <v>3.1104899134359251E-3</v>
      </c>
    </row>
    <row r="9211" spans="18:21" x14ac:dyDescent="0.2">
      <c r="R9211" s="49">
        <v>9209</v>
      </c>
      <c r="S9211" s="59">
        <f ca="1">Dashboard!B$8* Dashboard!$F$4+Dashboard!B$10*SQRT(Dashboard!$F$4) * _xlfn.NORM.S.INV(RAND())</f>
        <v>2.1223539177813999E-2</v>
      </c>
      <c r="T9211" s="59">
        <f ca="1">Dashboard!C$8* Dashboard!$F$4+Dashboard!C$10*SQRT(Dashboard!$F$4) * _xlfn.NORM.S.INV(RAND())</f>
        <v>-4.3791488739269892E-2</v>
      </c>
      <c r="U9211" s="59">
        <f ca="1">Dashboard!D$8* Dashboard!$F$4+Dashboard!D$10*SQRT(Dashboard!$F$4) * _xlfn.NORM.S.INV(RAND())</f>
        <v>-6.6772442714901278E-3</v>
      </c>
    </row>
    <row r="9212" spans="18:21" x14ac:dyDescent="0.2">
      <c r="R9212" s="49">
        <v>9210</v>
      </c>
      <c r="S9212" s="59">
        <f ca="1">Dashboard!B$8* Dashboard!$F$4+Dashboard!B$10*SQRT(Dashboard!$F$4) * _xlfn.NORM.S.INV(RAND())</f>
        <v>3.9351488916196022E-3</v>
      </c>
      <c r="T9212" s="59">
        <f ca="1">Dashboard!C$8* Dashboard!$F$4+Dashboard!C$10*SQRT(Dashboard!$F$4) * _xlfn.NORM.S.INV(RAND())</f>
        <v>-1.1844378732639091E-2</v>
      </c>
      <c r="U9212" s="59">
        <f ca="1">Dashboard!D$8* Dashboard!$F$4+Dashboard!D$10*SQRT(Dashboard!$F$4) * _xlfn.NORM.S.INV(RAND())</f>
        <v>3.5840547294581575E-2</v>
      </c>
    </row>
    <row r="9213" spans="18:21" x14ac:dyDescent="0.2">
      <c r="R9213" s="49">
        <v>9211</v>
      </c>
      <c r="S9213" s="59">
        <f ca="1">Dashboard!B$8* Dashboard!$F$4+Dashboard!B$10*SQRT(Dashboard!$F$4) * _xlfn.NORM.S.INV(RAND())</f>
        <v>3.7782122572806123E-2</v>
      </c>
      <c r="T9213" s="59">
        <f ca="1">Dashboard!C$8* Dashboard!$F$4+Dashboard!C$10*SQRT(Dashboard!$F$4) * _xlfn.NORM.S.INV(RAND())</f>
        <v>-1.5423810603008405E-3</v>
      </c>
      <c r="U9213" s="59">
        <f ca="1">Dashboard!D$8* Dashboard!$F$4+Dashboard!D$10*SQRT(Dashboard!$F$4) * _xlfn.NORM.S.INV(RAND())</f>
        <v>2.0932547950829862E-2</v>
      </c>
    </row>
    <row r="9214" spans="18:21" x14ac:dyDescent="0.2">
      <c r="R9214" s="49">
        <v>9212</v>
      </c>
      <c r="S9214" s="59">
        <f ca="1">Dashboard!B$8* Dashboard!$F$4+Dashboard!B$10*SQRT(Dashboard!$F$4) * _xlfn.NORM.S.INV(RAND())</f>
        <v>2.0005260815981127E-2</v>
      </c>
      <c r="T9214" s="59">
        <f ca="1">Dashboard!C$8* Dashboard!$F$4+Dashboard!C$10*SQRT(Dashboard!$F$4) * _xlfn.NORM.S.INV(RAND())</f>
        <v>2.0505981946784182E-3</v>
      </c>
      <c r="U9214" s="59">
        <f ca="1">Dashboard!D$8* Dashboard!$F$4+Dashboard!D$10*SQRT(Dashboard!$F$4) * _xlfn.NORM.S.INV(RAND())</f>
        <v>4.031422932190231E-2</v>
      </c>
    </row>
    <row r="9215" spans="18:21" x14ac:dyDescent="0.2">
      <c r="R9215" s="49">
        <v>9213</v>
      </c>
      <c r="S9215" s="59">
        <f ca="1">Dashboard!B$8* Dashboard!$F$4+Dashboard!B$10*SQRT(Dashboard!$F$4) * _xlfn.NORM.S.INV(RAND())</f>
        <v>-1.3284161782003426E-2</v>
      </c>
      <c r="T9215" s="59">
        <f ca="1">Dashboard!C$8* Dashboard!$F$4+Dashboard!C$10*SQRT(Dashboard!$F$4) * _xlfn.NORM.S.INV(RAND())</f>
        <v>6.1302197030998665E-2</v>
      </c>
      <c r="U9215" s="59">
        <f ca="1">Dashboard!D$8* Dashboard!$F$4+Dashboard!D$10*SQRT(Dashboard!$F$4) * _xlfn.NORM.S.INV(RAND())</f>
        <v>3.2544012165439437E-2</v>
      </c>
    </row>
    <row r="9216" spans="18:21" x14ac:dyDescent="0.2">
      <c r="R9216" s="49">
        <v>9214</v>
      </c>
      <c r="S9216" s="59">
        <f ca="1">Dashboard!B$8* Dashboard!$F$4+Dashboard!B$10*SQRT(Dashboard!$F$4) * _xlfn.NORM.S.INV(RAND())</f>
        <v>2.2950773420934545E-2</v>
      </c>
      <c r="T9216" s="59">
        <f ca="1">Dashboard!C$8* Dashboard!$F$4+Dashboard!C$10*SQRT(Dashboard!$F$4) * _xlfn.NORM.S.INV(RAND())</f>
        <v>3.3118558525878708E-2</v>
      </c>
      <c r="U9216" s="59">
        <f ca="1">Dashboard!D$8* Dashboard!$F$4+Dashboard!D$10*SQRT(Dashboard!$F$4) * _xlfn.NORM.S.INV(RAND())</f>
        <v>6.8839800825328612E-3</v>
      </c>
    </row>
    <row r="9217" spans="18:21" x14ac:dyDescent="0.2">
      <c r="R9217" s="49">
        <v>9215</v>
      </c>
      <c r="S9217" s="59">
        <f ca="1">Dashboard!B$8* Dashboard!$F$4+Dashboard!B$10*SQRT(Dashboard!$F$4) * _xlfn.NORM.S.INV(RAND())</f>
        <v>3.0478362560225895E-2</v>
      </c>
      <c r="T9217" s="59">
        <f ca="1">Dashboard!C$8* Dashboard!$F$4+Dashboard!C$10*SQRT(Dashboard!$F$4) * _xlfn.NORM.S.INV(RAND())</f>
        <v>-3.100069541014586E-2</v>
      </c>
      <c r="U9217" s="59">
        <f ca="1">Dashboard!D$8* Dashboard!$F$4+Dashboard!D$10*SQRT(Dashboard!$F$4) * _xlfn.NORM.S.INV(RAND())</f>
        <v>-3.9966946868659654E-2</v>
      </c>
    </row>
    <row r="9218" spans="18:21" x14ac:dyDescent="0.2">
      <c r="R9218" s="49">
        <v>9216</v>
      </c>
      <c r="S9218" s="59">
        <f ca="1">Dashboard!B$8* Dashboard!$F$4+Dashboard!B$10*SQRT(Dashboard!$F$4) * _xlfn.NORM.S.INV(RAND())</f>
        <v>1.9491457154963449E-2</v>
      </c>
      <c r="T9218" s="59">
        <f ca="1">Dashboard!C$8* Dashboard!$F$4+Dashboard!C$10*SQRT(Dashboard!$F$4) * _xlfn.NORM.S.INV(RAND())</f>
        <v>7.4355901575537519E-3</v>
      </c>
      <c r="U9218" s="59">
        <f ca="1">Dashboard!D$8* Dashboard!$F$4+Dashboard!D$10*SQRT(Dashboard!$F$4) * _xlfn.NORM.S.INV(RAND())</f>
        <v>6.5969082281406646E-2</v>
      </c>
    </row>
    <row r="9219" spans="18:21" x14ac:dyDescent="0.2">
      <c r="R9219" s="49">
        <v>9217</v>
      </c>
      <c r="S9219" s="59">
        <f ca="1">Dashboard!B$8* Dashboard!$F$4+Dashboard!B$10*SQRT(Dashboard!$F$4) * _xlfn.NORM.S.INV(RAND())</f>
        <v>4.6516556321940343E-2</v>
      </c>
      <c r="T9219" s="59">
        <f ca="1">Dashboard!C$8* Dashboard!$F$4+Dashboard!C$10*SQRT(Dashboard!$F$4) * _xlfn.NORM.S.INV(RAND())</f>
        <v>2.8378984327485E-2</v>
      </c>
      <c r="U9219" s="59">
        <f ca="1">Dashboard!D$8* Dashboard!$F$4+Dashboard!D$10*SQRT(Dashboard!$F$4) * _xlfn.NORM.S.INV(RAND())</f>
        <v>-2.5286153353930634E-2</v>
      </c>
    </row>
    <row r="9220" spans="18:21" x14ac:dyDescent="0.2">
      <c r="R9220" s="49">
        <v>9218</v>
      </c>
      <c r="S9220" s="59">
        <f ca="1">Dashboard!B$8* Dashboard!$F$4+Dashboard!B$10*SQRT(Dashboard!$F$4) * _xlfn.NORM.S.INV(RAND())</f>
        <v>5.8275895031870868E-2</v>
      </c>
      <c r="T9220" s="59">
        <f ca="1">Dashboard!C$8* Dashboard!$F$4+Dashboard!C$10*SQRT(Dashboard!$F$4) * _xlfn.NORM.S.INV(RAND())</f>
        <v>1.4581273012471269E-2</v>
      </c>
      <c r="U9220" s="59">
        <f ca="1">Dashboard!D$8* Dashboard!$F$4+Dashboard!D$10*SQRT(Dashboard!$F$4) * _xlfn.NORM.S.INV(RAND())</f>
        <v>5.6040375449211068E-2</v>
      </c>
    </row>
    <row r="9221" spans="18:21" x14ac:dyDescent="0.2">
      <c r="R9221" s="49">
        <v>9219</v>
      </c>
      <c r="S9221" s="59">
        <f ca="1">Dashboard!B$8* Dashboard!$F$4+Dashboard!B$10*SQRT(Dashboard!$F$4) * _xlfn.NORM.S.INV(RAND())</f>
        <v>6.2406830626670108E-3</v>
      </c>
      <c r="T9221" s="59">
        <f ca="1">Dashboard!C$8* Dashboard!$F$4+Dashboard!C$10*SQRT(Dashboard!$F$4) * _xlfn.NORM.S.INV(RAND())</f>
        <v>3.0512145048418541E-2</v>
      </c>
      <c r="U9221" s="59">
        <f ca="1">Dashboard!D$8* Dashboard!$F$4+Dashboard!D$10*SQRT(Dashboard!$F$4) * _xlfn.NORM.S.INV(RAND())</f>
        <v>-1.9719652595439677E-2</v>
      </c>
    </row>
    <row r="9222" spans="18:21" x14ac:dyDescent="0.2">
      <c r="R9222" s="49">
        <v>9220</v>
      </c>
      <c r="S9222" s="59">
        <f ca="1">Dashboard!B$8* Dashboard!$F$4+Dashboard!B$10*SQRT(Dashboard!$F$4) * _xlfn.NORM.S.INV(RAND())</f>
        <v>-1.2284983824626238E-2</v>
      </c>
      <c r="T9222" s="59">
        <f ca="1">Dashboard!C$8* Dashboard!$F$4+Dashboard!C$10*SQRT(Dashboard!$F$4) * _xlfn.NORM.S.INV(RAND())</f>
        <v>3.7878203066555468E-3</v>
      </c>
      <c r="U9222" s="59">
        <f ca="1">Dashboard!D$8* Dashboard!$F$4+Dashboard!D$10*SQRT(Dashboard!$F$4) * _xlfn.NORM.S.INV(RAND())</f>
        <v>2.1560637062686086E-2</v>
      </c>
    </row>
    <row r="9223" spans="18:21" x14ac:dyDescent="0.2">
      <c r="R9223" s="49">
        <v>9221</v>
      </c>
      <c r="S9223" s="59">
        <f ca="1">Dashboard!B$8* Dashboard!$F$4+Dashboard!B$10*SQRT(Dashboard!$F$4) * _xlfn.NORM.S.INV(RAND())</f>
        <v>1.5686820316978344E-2</v>
      </c>
      <c r="T9223" s="59">
        <f ca="1">Dashboard!C$8* Dashboard!$F$4+Dashboard!C$10*SQRT(Dashboard!$F$4) * _xlfn.NORM.S.INV(RAND())</f>
        <v>-6.1514003044869425E-2</v>
      </c>
      <c r="U9223" s="59">
        <f ca="1">Dashboard!D$8* Dashboard!$F$4+Dashboard!D$10*SQRT(Dashboard!$F$4) * _xlfn.NORM.S.INV(RAND())</f>
        <v>-5.8745027882626102E-2</v>
      </c>
    </row>
    <row r="9224" spans="18:21" x14ac:dyDescent="0.2">
      <c r="R9224" s="49">
        <v>9222</v>
      </c>
      <c r="S9224" s="59">
        <f ca="1">Dashboard!B$8* Dashboard!$F$4+Dashboard!B$10*SQRT(Dashboard!$F$4) * _xlfn.NORM.S.INV(RAND())</f>
        <v>-4.4770099992675914E-2</v>
      </c>
      <c r="T9224" s="59">
        <f ca="1">Dashboard!C$8* Dashboard!$F$4+Dashboard!C$10*SQRT(Dashboard!$F$4) * _xlfn.NORM.S.INV(RAND())</f>
        <v>-2.434990861701436E-2</v>
      </c>
      <c r="U9224" s="59">
        <f ca="1">Dashboard!D$8* Dashboard!$F$4+Dashboard!D$10*SQRT(Dashboard!$F$4) * _xlfn.NORM.S.INV(RAND())</f>
        <v>-5.3072343998794451E-2</v>
      </c>
    </row>
    <row r="9225" spans="18:21" x14ac:dyDescent="0.2">
      <c r="R9225" s="49">
        <v>9223</v>
      </c>
      <c r="S9225" s="59">
        <f ca="1">Dashboard!B$8* Dashboard!$F$4+Dashboard!B$10*SQRT(Dashboard!$F$4) * _xlfn.NORM.S.INV(RAND())</f>
        <v>-1.9473447950980535E-2</v>
      </c>
      <c r="T9225" s="59">
        <f ca="1">Dashboard!C$8* Dashboard!$F$4+Dashboard!C$10*SQRT(Dashboard!$F$4) * _xlfn.NORM.S.INV(RAND())</f>
        <v>3.441801802980142E-2</v>
      </c>
      <c r="U9225" s="59">
        <f ca="1">Dashboard!D$8* Dashboard!$F$4+Dashboard!D$10*SQRT(Dashboard!$F$4) * _xlfn.NORM.S.INV(RAND())</f>
        <v>6.7022663042070316E-2</v>
      </c>
    </row>
    <row r="9226" spans="18:21" x14ac:dyDescent="0.2">
      <c r="R9226" s="49">
        <v>9224</v>
      </c>
      <c r="S9226" s="59">
        <f ca="1">Dashboard!B$8* Dashboard!$F$4+Dashboard!B$10*SQRT(Dashboard!$F$4) * _xlfn.NORM.S.INV(RAND())</f>
        <v>1.4291929256003236E-2</v>
      </c>
      <c r="T9226" s="59">
        <f ca="1">Dashboard!C$8* Dashboard!$F$4+Dashboard!C$10*SQRT(Dashboard!$F$4) * _xlfn.NORM.S.INV(RAND())</f>
        <v>3.1765465043786297E-3</v>
      </c>
      <c r="U9226" s="59">
        <f ca="1">Dashboard!D$8* Dashboard!$F$4+Dashboard!D$10*SQRT(Dashboard!$F$4) * _xlfn.NORM.S.INV(RAND())</f>
        <v>-4.1462429252121215E-2</v>
      </c>
    </row>
    <row r="9227" spans="18:21" x14ac:dyDescent="0.2">
      <c r="R9227" s="49">
        <v>9225</v>
      </c>
      <c r="S9227" s="59">
        <f ca="1">Dashboard!B$8* Dashboard!$F$4+Dashboard!B$10*SQRT(Dashboard!$F$4) * _xlfn.NORM.S.INV(RAND())</f>
        <v>-1.8660594898527467E-2</v>
      </c>
      <c r="T9227" s="59">
        <f ca="1">Dashboard!C$8* Dashboard!$F$4+Dashboard!C$10*SQRT(Dashboard!$F$4) * _xlfn.NORM.S.INV(RAND())</f>
        <v>4.7247303376038823E-2</v>
      </c>
      <c r="U9227" s="59">
        <f ca="1">Dashboard!D$8* Dashboard!$F$4+Dashboard!D$10*SQRT(Dashboard!$F$4) * _xlfn.NORM.S.INV(RAND())</f>
        <v>3.5729694591074258E-2</v>
      </c>
    </row>
    <row r="9228" spans="18:21" x14ac:dyDescent="0.2">
      <c r="R9228" s="49">
        <v>9226</v>
      </c>
      <c r="S9228" s="59">
        <f ca="1">Dashboard!B$8* Dashboard!$F$4+Dashboard!B$10*SQRT(Dashboard!$F$4) * _xlfn.NORM.S.INV(RAND())</f>
        <v>-2.4113140599605745E-2</v>
      </c>
      <c r="T9228" s="59">
        <f ca="1">Dashboard!C$8* Dashboard!$F$4+Dashboard!C$10*SQRT(Dashboard!$F$4) * _xlfn.NORM.S.INV(RAND())</f>
        <v>2.7651185154524166E-2</v>
      </c>
      <c r="U9228" s="59">
        <f ca="1">Dashboard!D$8* Dashboard!$F$4+Dashboard!D$10*SQRT(Dashboard!$F$4) * _xlfn.NORM.S.INV(RAND())</f>
        <v>4.7392190128763114E-3</v>
      </c>
    </row>
    <row r="9229" spans="18:21" x14ac:dyDescent="0.2">
      <c r="R9229" s="49">
        <v>9227</v>
      </c>
      <c r="S9229" s="59">
        <f ca="1">Dashboard!B$8* Dashboard!$F$4+Dashboard!B$10*SQRT(Dashboard!$F$4) * _xlfn.NORM.S.INV(RAND())</f>
        <v>3.899061115818973E-3</v>
      </c>
      <c r="T9229" s="59">
        <f ca="1">Dashboard!C$8* Dashboard!$F$4+Dashboard!C$10*SQRT(Dashboard!$F$4) * _xlfn.NORM.S.INV(RAND())</f>
        <v>3.6573715239438594E-2</v>
      </c>
      <c r="U9229" s="59">
        <f ca="1">Dashboard!D$8* Dashboard!$F$4+Dashboard!D$10*SQRT(Dashboard!$F$4) * _xlfn.NORM.S.INV(RAND())</f>
        <v>4.7972065840080234E-3</v>
      </c>
    </row>
    <row r="9230" spans="18:21" x14ac:dyDescent="0.2">
      <c r="R9230" s="49">
        <v>9228</v>
      </c>
      <c r="S9230" s="59">
        <f ca="1">Dashboard!B$8* Dashboard!$F$4+Dashboard!B$10*SQRT(Dashboard!$F$4) * _xlfn.NORM.S.INV(RAND())</f>
        <v>-3.9121855841373565E-2</v>
      </c>
      <c r="T9230" s="59">
        <f ca="1">Dashboard!C$8* Dashboard!$F$4+Dashboard!C$10*SQRT(Dashboard!$F$4) * _xlfn.NORM.S.INV(RAND())</f>
        <v>2.9023346789133379E-2</v>
      </c>
      <c r="U9230" s="59">
        <f ca="1">Dashboard!D$8* Dashboard!$F$4+Dashboard!D$10*SQRT(Dashboard!$F$4) * _xlfn.NORM.S.INV(RAND())</f>
        <v>-4.448148958359896E-2</v>
      </c>
    </row>
    <row r="9231" spans="18:21" x14ac:dyDescent="0.2">
      <c r="R9231" s="49">
        <v>9229</v>
      </c>
      <c r="S9231" s="59">
        <f ca="1">Dashboard!B$8* Dashboard!$F$4+Dashboard!B$10*SQRT(Dashboard!$F$4) * _xlfn.NORM.S.INV(RAND())</f>
        <v>-5.7800077154909812E-2</v>
      </c>
      <c r="T9231" s="59">
        <f ca="1">Dashboard!C$8* Dashboard!$F$4+Dashboard!C$10*SQRT(Dashboard!$F$4) * _xlfn.NORM.S.INV(RAND())</f>
        <v>-2.8028671617594394E-2</v>
      </c>
      <c r="U9231" s="59">
        <f ca="1">Dashboard!D$8* Dashboard!$F$4+Dashboard!D$10*SQRT(Dashboard!$F$4) * _xlfn.NORM.S.INV(RAND())</f>
        <v>-6.0798577201493231E-3</v>
      </c>
    </row>
    <row r="9232" spans="18:21" x14ac:dyDescent="0.2">
      <c r="R9232" s="49">
        <v>9230</v>
      </c>
      <c r="S9232" s="59">
        <f ca="1">Dashboard!B$8* Dashboard!$F$4+Dashboard!B$10*SQRT(Dashboard!$F$4) * _xlfn.NORM.S.INV(RAND())</f>
        <v>1.4091046722155802E-2</v>
      </c>
      <c r="T9232" s="59">
        <f ca="1">Dashboard!C$8* Dashboard!$F$4+Dashboard!C$10*SQRT(Dashboard!$F$4) * _xlfn.NORM.S.INV(RAND())</f>
        <v>1.0880623321316903E-2</v>
      </c>
      <c r="U9232" s="59">
        <f ca="1">Dashboard!D$8* Dashboard!$F$4+Dashboard!D$10*SQRT(Dashboard!$F$4) * _xlfn.NORM.S.INV(RAND())</f>
        <v>-4.4543176644899728E-2</v>
      </c>
    </row>
    <row r="9233" spans="18:21" x14ac:dyDescent="0.2">
      <c r="R9233" s="49">
        <v>9231</v>
      </c>
      <c r="S9233" s="59">
        <f ca="1">Dashboard!B$8* Dashboard!$F$4+Dashboard!B$10*SQRT(Dashboard!$F$4) * _xlfn.NORM.S.INV(RAND())</f>
        <v>-8.7512973007007541E-3</v>
      </c>
      <c r="T9233" s="59">
        <f ca="1">Dashboard!C$8* Dashboard!$F$4+Dashboard!C$10*SQRT(Dashboard!$F$4) * _xlfn.NORM.S.INV(RAND())</f>
        <v>1.7529821752586421E-2</v>
      </c>
      <c r="U9233" s="59">
        <f ca="1">Dashboard!D$8* Dashboard!$F$4+Dashboard!D$10*SQRT(Dashboard!$F$4) * _xlfn.NORM.S.INV(RAND())</f>
        <v>-8.8122843851463802E-3</v>
      </c>
    </row>
    <row r="9234" spans="18:21" x14ac:dyDescent="0.2">
      <c r="R9234" s="49">
        <v>9232</v>
      </c>
      <c r="S9234" s="59">
        <f ca="1">Dashboard!B$8* Dashboard!$F$4+Dashboard!B$10*SQRT(Dashboard!$F$4) * _xlfn.NORM.S.INV(RAND())</f>
        <v>-2.6452476904326987E-3</v>
      </c>
      <c r="T9234" s="59">
        <f ca="1">Dashboard!C$8* Dashboard!$F$4+Dashboard!C$10*SQRT(Dashboard!$F$4) * _xlfn.NORM.S.INV(RAND())</f>
        <v>-4.4301831037273079E-3</v>
      </c>
      <c r="U9234" s="59">
        <f ca="1">Dashboard!D$8* Dashboard!$F$4+Dashboard!D$10*SQRT(Dashboard!$F$4) * _xlfn.NORM.S.INV(RAND())</f>
        <v>-5.8546124617567096E-3</v>
      </c>
    </row>
    <row r="9235" spans="18:21" x14ac:dyDescent="0.2">
      <c r="R9235" s="49">
        <v>9233</v>
      </c>
      <c r="S9235" s="59">
        <f ca="1">Dashboard!B$8* Dashboard!$F$4+Dashboard!B$10*SQRT(Dashboard!$F$4) * _xlfn.NORM.S.INV(RAND())</f>
        <v>1.487629881340846E-2</v>
      </c>
      <c r="T9235" s="59">
        <f ca="1">Dashboard!C$8* Dashboard!$F$4+Dashboard!C$10*SQRT(Dashboard!$F$4) * _xlfn.NORM.S.INV(RAND())</f>
        <v>-2.8153611353534148E-4</v>
      </c>
      <c r="U9235" s="59">
        <f ca="1">Dashboard!D$8* Dashboard!$F$4+Dashboard!D$10*SQRT(Dashboard!$F$4) * _xlfn.NORM.S.INV(RAND())</f>
        <v>9.6848696484619102E-5</v>
      </c>
    </row>
    <row r="9236" spans="18:21" x14ac:dyDescent="0.2">
      <c r="R9236" s="49">
        <v>9234</v>
      </c>
      <c r="S9236" s="59">
        <f ca="1">Dashboard!B$8* Dashboard!$F$4+Dashboard!B$10*SQRT(Dashboard!$F$4) * _xlfn.NORM.S.INV(RAND())</f>
        <v>1.9015318863299699E-2</v>
      </c>
      <c r="T9236" s="59">
        <f ca="1">Dashboard!C$8* Dashboard!$F$4+Dashboard!C$10*SQRT(Dashboard!$F$4) * _xlfn.NORM.S.INV(RAND())</f>
        <v>-8.8535942100419658E-3</v>
      </c>
      <c r="U9236" s="59">
        <f ca="1">Dashboard!D$8* Dashboard!$F$4+Dashboard!D$10*SQRT(Dashboard!$F$4) * _xlfn.NORM.S.INV(RAND())</f>
        <v>3.3064832677493022E-2</v>
      </c>
    </row>
    <row r="9237" spans="18:21" x14ac:dyDescent="0.2">
      <c r="R9237" s="49">
        <v>9235</v>
      </c>
      <c r="S9237" s="59">
        <f ca="1">Dashboard!B$8* Dashboard!$F$4+Dashboard!B$10*SQRT(Dashboard!$F$4) * _xlfn.NORM.S.INV(RAND())</f>
        <v>-4.7691702177032058E-3</v>
      </c>
      <c r="T9237" s="59">
        <f ca="1">Dashboard!C$8* Dashboard!$F$4+Dashboard!C$10*SQRT(Dashboard!$F$4) * _xlfn.NORM.S.INV(RAND())</f>
        <v>1.454554380168659E-4</v>
      </c>
      <c r="U9237" s="59">
        <f ca="1">Dashboard!D$8* Dashboard!$F$4+Dashboard!D$10*SQRT(Dashboard!$F$4) * _xlfn.NORM.S.INV(RAND())</f>
        <v>-1.2757820490849066E-2</v>
      </c>
    </row>
    <row r="9238" spans="18:21" x14ac:dyDescent="0.2">
      <c r="R9238" s="49">
        <v>9236</v>
      </c>
      <c r="S9238" s="59">
        <f ca="1">Dashboard!B$8* Dashboard!$F$4+Dashboard!B$10*SQRT(Dashboard!$F$4) * _xlfn.NORM.S.INV(RAND())</f>
        <v>2.1807502517631951E-2</v>
      </c>
      <c r="T9238" s="59">
        <f ca="1">Dashboard!C$8* Dashboard!$F$4+Dashboard!C$10*SQRT(Dashboard!$F$4) * _xlfn.NORM.S.INV(RAND())</f>
        <v>8.0606097257571912E-4</v>
      </c>
      <c r="U9238" s="59">
        <f ca="1">Dashboard!D$8* Dashboard!$F$4+Dashboard!D$10*SQRT(Dashboard!$F$4) * _xlfn.NORM.S.INV(RAND())</f>
        <v>7.8499715561221508E-3</v>
      </c>
    </row>
    <row r="9239" spans="18:21" x14ac:dyDescent="0.2">
      <c r="R9239" s="49">
        <v>9237</v>
      </c>
      <c r="S9239" s="59">
        <f ca="1">Dashboard!B$8* Dashboard!$F$4+Dashboard!B$10*SQRT(Dashboard!$F$4) * _xlfn.NORM.S.INV(RAND())</f>
        <v>-2.3123931279524876E-2</v>
      </c>
      <c r="T9239" s="59">
        <f ca="1">Dashboard!C$8* Dashboard!$F$4+Dashboard!C$10*SQRT(Dashboard!$F$4) * _xlfn.NORM.S.INV(RAND())</f>
        <v>4.9636579302404553E-2</v>
      </c>
      <c r="U9239" s="59">
        <f ca="1">Dashboard!D$8* Dashboard!$F$4+Dashboard!D$10*SQRT(Dashboard!$F$4) * _xlfn.NORM.S.INV(RAND())</f>
        <v>3.7273780615371035E-4</v>
      </c>
    </row>
    <row r="9240" spans="18:21" x14ac:dyDescent="0.2">
      <c r="R9240" s="49">
        <v>9238</v>
      </c>
      <c r="S9240" s="59">
        <f ca="1">Dashboard!B$8* Dashboard!$F$4+Dashboard!B$10*SQRT(Dashboard!$F$4) * _xlfn.NORM.S.INV(RAND())</f>
        <v>-1.4376895908458535E-2</v>
      </c>
      <c r="T9240" s="59">
        <f ca="1">Dashboard!C$8* Dashboard!$F$4+Dashboard!C$10*SQRT(Dashboard!$F$4) * _xlfn.NORM.S.INV(RAND())</f>
        <v>2.3576381748026596E-2</v>
      </c>
      <c r="U9240" s="59">
        <f ca="1">Dashboard!D$8* Dashboard!$F$4+Dashboard!D$10*SQRT(Dashboard!$F$4) * _xlfn.NORM.S.INV(RAND())</f>
        <v>-5.1752456028808964E-3</v>
      </c>
    </row>
    <row r="9241" spans="18:21" x14ac:dyDescent="0.2">
      <c r="R9241" s="49">
        <v>9239</v>
      </c>
      <c r="S9241" s="59">
        <f ca="1">Dashboard!B$8* Dashboard!$F$4+Dashboard!B$10*SQRT(Dashboard!$F$4) * _xlfn.NORM.S.INV(RAND())</f>
        <v>-4.449160953750448E-2</v>
      </c>
      <c r="T9241" s="59">
        <f ca="1">Dashboard!C$8* Dashboard!$F$4+Dashboard!C$10*SQRT(Dashboard!$F$4) * _xlfn.NORM.S.INV(RAND())</f>
        <v>-3.6005395104922984E-3</v>
      </c>
      <c r="U9241" s="59">
        <f ca="1">Dashboard!D$8* Dashboard!$F$4+Dashboard!D$10*SQRT(Dashboard!$F$4) * _xlfn.NORM.S.INV(RAND())</f>
        <v>-2.7922463226235763E-3</v>
      </c>
    </row>
    <row r="9242" spans="18:21" x14ac:dyDescent="0.2">
      <c r="R9242" s="49">
        <v>9240</v>
      </c>
      <c r="S9242" s="59">
        <f ca="1">Dashboard!B$8* Dashboard!$F$4+Dashboard!B$10*SQRT(Dashboard!$F$4) * _xlfn.NORM.S.INV(RAND())</f>
        <v>-3.288021827350171E-2</v>
      </c>
      <c r="T9242" s="59">
        <f ca="1">Dashboard!C$8* Dashboard!$F$4+Dashboard!C$10*SQRT(Dashboard!$F$4) * _xlfn.NORM.S.INV(RAND())</f>
        <v>1.2849129219267064E-2</v>
      </c>
      <c r="U9242" s="59">
        <f ca="1">Dashboard!D$8* Dashboard!$F$4+Dashboard!D$10*SQRT(Dashboard!$F$4) * _xlfn.NORM.S.INV(RAND())</f>
        <v>1.3557166716304792E-2</v>
      </c>
    </row>
    <row r="9243" spans="18:21" x14ac:dyDescent="0.2">
      <c r="R9243" s="49">
        <v>9241</v>
      </c>
      <c r="S9243" s="59">
        <f ca="1">Dashboard!B$8* Dashboard!$F$4+Dashboard!B$10*SQRT(Dashboard!$F$4) * _xlfn.NORM.S.INV(RAND())</f>
        <v>1.0946500515227747E-5</v>
      </c>
      <c r="T9243" s="59">
        <f ca="1">Dashboard!C$8* Dashboard!$F$4+Dashboard!C$10*SQRT(Dashboard!$F$4) * _xlfn.NORM.S.INV(RAND())</f>
        <v>-2.9389749440540337E-2</v>
      </c>
      <c r="U9243" s="59">
        <f ca="1">Dashboard!D$8* Dashboard!$F$4+Dashboard!D$10*SQRT(Dashboard!$F$4) * _xlfn.NORM.S.INV(RAND())</f>
        <v>-4.7168661739914693E-2</v>
      </c>
    </row>
    <row r="9244" spans="18:21" x14ac:dyDescent="0.2">
      <c r="R9244" s="49">
        <v>9242</v>
      </c>
      <c r="S9244" s="59">
        <f ca="1">Dashboard!B$8* Dashboard!$F$4+Dashboard!B$10*SQRT(Dashboard!$F$4) * _xlfn.NORM.S.INV(RAND())</f>
        <v>-5.1112326326930177E-2</v>
      </c>
      <c r="T9244" s="59">
        <f ca="1">Dashboard!C$8* Dashboard!$F$4+Dashboard!C$10*SQRT(Dashboard!$F$4) * _xlfn.NORM.S.INV(RAND())</f>
        <v>4.844781277816048E-2</v>
      </c>
      <c r="U9244" s="59">
        <f ca="1">Dashboard!D$8* Dashboard!$F$4+Dashboard!D$10*SQRT(Dashboard!$F$4) * _xlfn.NORM.S.INV(RAND())</f>
        <v>2.0514406601759905E-2</v>
      </c>
    </row>
    <row r="9245" spans="18:21" x14ac:dyDescent="0.2">
      <c r="R9245" s="49">
        <v>9243</v>
      </c>
      <c r="S9245" s="59">
        <f ca="1">Dashboard!B$8* Dashboard!$F$4+Dashboard!B$10*SQRT(Dashboard!$F$4) * _xlfn.NORM.S.INV(RAND())</f>
        <v>-1.9808847164160655E-2</v>
      </c>
      <c r="T9245" s="59">
        <f ca="1">Dashboard!C$8* Dashboard!$F$4+Dashboard!C$10*SQRT(Dashboard!$F$4) * _xlfn.NORM.S.INV(RAND())</f>
        <v>2.6061645594186767E-2</v>
      </c>
      <c r="U9245" s="59">
        <f ca="1">Dashboard!D$8* Dashboard!$F$4+Dashboard!D$10*SQRT(Dashboard!$F$4) * _xlfn.NORM.S.INV(RAND())</f>
        <v>-6.5690123736846231E-3</v>
      </c>
    </row>
    <row r="9246" spans="18:21" x14ac:dyDescent="0.2">
      <c r="R9246" s="49">
        <v>9244</v>
      </c>
      <c r="S9246" s="59">
        <f ca="1">Dashboard!B$8* Dashboard!$F$4+Dashboard!B$10*SQRT(Dashboard!$F$4) * _xlfn.NORM.S.INV(RAND())</f>
        <v>8.6282718716208118E-3</v>
      </c>
      <c r="T9246" s="59">
        <f ca="1">Dashboard!C$8* Dashboard!$F$4+Dashboard!C$10*SQRT(Dashboard!$F$4) * _xlfn.NORM.S.INV(RAND())</f>
        <v>1.784346915287351E-2</v>
      </c>
      <c r="U9246" s="59">
        <f ca="1">Dashboard!D$8* Dashboard!$F$4+Dashboard!D$10*SQRT(Dashboard!$F$4) * _xlfn.NORM.S.INV(RAND())</f>
        <v>-1.7450016788630318E-4</v>
      </c>
    </row>
    <row r="9247" spans="18:21" x14ac:dyDescent="0.2">
      <c r="R9247" s="49">
        <v>9245</v>
      </c>
      <c r="S9247" s="59">
        <f ca="1">Dashboard!B$8* Dashboard!$F$4+Dashboard!B$10*SQRT(Dashboard!$F$4) * _xlfn.NORM.S.INV(RAND())</f>
        <v>-2.6827173268858953E-3</v>
      </c>
      <c r="T9247" s="59">
        <f ca="1">Dashboard!C$8* Dashboard!$F$4+Dashboard!C$10*SQRT(Dashboard!$F$4) * _xlfn.NORM.S.INV(RAND())</f>
        <v>2.6832386611989403E-2</v>
      </c>
      <c r="U9247" s="59">
        <f ca="1">Dashboard!D$8* Dashboard!$F$4+Dashboard!D$10*SQRT(Dashboard!$F$4) * _xlfn.NORM.S.INV(RAND())</f>
        <v>4.8858628218572016E-3</v>
      </c>
    </row>
    <row r="9248" spans="18:21" x14ac:dyDescent="0.2">
      <c r="R9248" s="49">
        <v>9246</v>
      </c>
      <c r="S9248" s="59">
        <f ca="1">Dashboard!B$8* Dashboard!$F$4+Dashboard!B$10*SQRT(Dashboard!$F$4) * _xlfn.NORM.S.INV(RAND())</f>
        <v>4.4622926773813E-3</v>
      </c>
      <c r="T9248" s="59">
        <f ca="1">Dashboard!C$8* Dashboard!$F$4+Dashboard!C$10*SQRT(Dashboard!$F$4) * _xlfn.NORM.S.INV(RAND())</f>
        <v>-4.7030481833989987E-2</v>
      </c>
      <c r="U9248" s="59">
        <f ca="1">Dashboard!D$8* Dashboard!$F$4+Dashboard!D$10*SQRT(Dashboard!$F$4) * _xlfn.NORM.S.INV(RAND())</f>
        <v>-3.4531463113689979E-2</v>
      </c>
    </row>
    <row r="9249" spans="18:21" x14ac:dyDescent="0.2">
      <c r="R9249" s="49">
        <v>9247</v>
      </c>
      <c r="S9249" s="59">
        <f ca="1">Dashboard!B$8* Dashboard!$F$4+Dashboard!B$10*SQRT(Dashboard!$F$4) * _xlfn.NORM.S.INV(RAND())</f>
        <v>3.7359820796537664E-2</v>
      </c>
      <c r="T9249" s="59">
        <f ca="1">Dashboard!C$8* Dashboard!$F$4+Dashboard!C$10*SQRT(Dashboard!$F$4) * _xlfn.NORM.S.INV(RAND())</f>
        <v>2.0144712975777711E-2</v>
      </c>
      <c r="U9249" s="59">
        <f ca="1">Dashboard!D$8* Dashboard!$F$4+Dashboard!D$10*SQRT(Dashboard!$F$4) * _xlfn.NORM.S.INV(RAND())</f>
        <v>5.01566518689903E-2</v>
      </c>
    </row>
    <row r="9250" spans="18:21" x14ac:dyDescent="0.2">
      <c r="R9250" s="49">
        <v>9248</v>
      </c>
      <c r="S9250" s="59">
        <f ca="1">Dashboard!B$8* Dashboard!$F$4+Dashboard!B$10*SQRT(Dashboard!$F$4) * _xlfn.NORM.S.INV(RAND())</f>
        <v>-1.62146559494789E-2</v>
      </c>
      <c r="T9250" s="59">
        <f ca="1">Dashboard!C$8* Dashboard!$F$4+Dashboard!C$10*SQRT(Dashboard!$F$4) * _xlfn.NORM.S.INV(RAND())</f>
        <v>-1.4373441995237969E-2</v>
      </c>
      <c r="U9250" s="59">
        <f ca="1">Dashboard!D$8* Dashboard!$F$4+Dashboard!D$10*SQRT(Dashboard!$F$4) * _xlfn.NORM.S.INV(RAND())</f>
        <v>5.8353891383071808E-2</v>
      </c>
    </row>
    <row r="9251" spans="18:21" x14ac:dyDescent="0.2">
      <c r="R9251" s="49">
        <v>9249</v>
      </c>
      <c r="S9251" s="59">
        <f ca="1">Dashboard!B$8* Dashboard!$F$4+Dashboard!B$10*SQRT(Dashboard!$F$4) * _xlfn.NORM.S.INV(RAND())</f>
        <v>-5.4377992909824396E-4</v>
      </c>
      <c r="T9251" s="59">
        <f ca="1">Dashboard!C$8* Dashboard!$F$4+Dashboard!C$10*SQRT(Dashboard!$F$4) * _xlfn.NORM.S.INV(RAND())</f>
        <v>6.7550371093947528E-2</v>
      </c>
      <c r="U9251" s="59">
        <f ca="1">Dashboard!D$8* Dashboard!$F$4+Dashboard!D$10*SQRT(Dashboard!$F$4) * _xlfn.NORM.S.INV(RAND())</f>
        <v>-2.0737524088902008E-2</v>
      </c>
    </row>
    <row r="9252" spans="18:21" x14ac:dyDescent="0.2">
      <c r="R9252" s="49">
        <v>9250</v>
      </c>
      <c r="S9252" s="59">
        <f ca="1">Dashboard!B$8* Dashboard!$F$4+Dashboard!B$10*SQRT(Dashboard!$F$4) * _xlfn.NORM.S.INV(RAND())</f>
        <v>-4.9347526853892168E-2</v>
      </c>
      <c r="T9252" s="59">
        <f ca="1">Dashboard!C$8* Dashboard!$F$4+Dashboard!C$10*SQRT(Dashboard!$F$4) * _xlfn.NORM.S.INV(RAND())</f>
        <v>-3.8501421615338679E-3</v>
      </c>
      <c r="U9252" s="59">
        <f ca="1">Dashboard!D$8* Dashboard!$F$4+Dashboard!D$10*SQRT(Dashboard!$F$4) * _xlfn.NORM.S.INV(RAND())</f>
        <v>-5.9576185090588457E-2</v>
      </c>
    </row>
    <row r="9253" spans="18:21" x14ac:dyDescent="0.2">
      <c r="R9253" s="49">
        <v>9251</v>
      </c>
      <c r="S9253" s="59">
        <f ca="1">Dashboard!B$8* Dashboard!$F$4+Dashboard!B$10*SQRT(Dashboard!$F$4) * _xlfn.NORM.S.INV(RAND())</f>
        <v>-4.5110093956285721E-2</v>
      </c>
      <c r="T9253" s="59">
        <f ca="1">Dashboard!C$8* Dashboard!$F$4+Dashboard!C$10*SQRT(Dashboard!$F$4) * _xlfn.NORM.S.INV(RAND())</f>
        <v>5.8521309193167604E-4</v>
      </c>
      <c r="U9253" s="59">
        <f ca="1">Dashboard!D$8* Dashboard!$F$4+Dashboard!D$10*SQRT(Dashboard!$F$4) * _xlfn.NORM.S.INV(RAND())</f>
        <v>-4.3455614548980434E-2</v>
      </c>
    </row>
    <row r="9254" spans="18:21" x14ac:dyDescent="0.2">
      <c r="R9254" s="49">
        <v>9252</v>
      </c>
      <c r="S9254" s="59">
        <f ca="1">Dashboard!B$8* Dashboard!$F$4+Dashboard!B$10*SQRT(Dashboard!$F$4) * _xlfn.NORM.S.INV(RAND())</f>
        <v>-2.8731452843243382E-2</v>
      </c>
      <c r="T9254" s="59">
        <f ca="1">Dashboard!C$8* Dashboard!$F$4+Dashboard!C$10*SQRT(Dashboard!$F$4) * _xlfn.NORM.S.INV(RAND())</f>
        <v>6.2688784963695454E-2</v>
      </c>
      <c r="U9254" s="59">
        <f ca="1">Dashboard!D$8* Dashboard!$F$4+Dashboard!D$10*SQRT(Dashboard!$F$4) * _xlfn.NORM.S.INV(RAND())</f>
        <v>-2.4977401038575261E-2</v>
      </c>
    </row>
    <row r="9255" spans="18:21" x14ac:dyDescent="0.2">
      <c r="R9255" s="49">
        <v>9253</v>
      </c>
      <c r="S9255" s="59">
        <f ca="1">Dashboard!B$8* Dashboard!$F$4+Dashboard!B$10*SQRT(Dashboard!$F$4) * _xlfn.NORM.S.INV(RAND())</f>
        <v>-1.7610712507065189E-2</v>
      </c>
      <c r="T9255" s="59">
        <f ca="1">Dashboard!C$8* Dashboard!$F$4+Dashboard!C$10*SQRT(Dashboard!$F$4) * _xlfn.NORM.S.INV(RAND())</f>
        <v>-3.8028720404047471E-2</v>
      </c>
      <c r="U9255" s="59">
        <f ca="1">Dashboard!D$8* Dashboard!$F$4+Dashboard!D$10*SQRT(Dashboard!$F$4) * _xlfn.NORM.S.INV(RAND())</f>
        <v>4.0672755473284534E-2</v>
      </c>
    </row>
    <row r="9256" spans="18:21" x14ac:dyDescent="0.2">
      <c r="R9256" s="49">
        <v>9254</v>
      </c>
      <c r="S9256" s="59">
        <f ca="1">Dashboard!B$8* Dashboard!$F$4+Dashboard!B$10*SQRT(Dashboard!$F$4) * _xlfn.NORM.S.INV(RAND())</f>
        <v>-3.8580066996576699E-2</v>
      </c>
      <c r="T9256" s="59">
        <f ca="1">Dashboard!C$8* Dashboard!$F$4+Dashboard!C$10*SQRT(Dashboard!$F$4) * _xlfn.NORM.S.INV(RAND())</f>
        <v>3.0382137583792639E-2</v>
      </c>
      <c r="U9256" s="59">
        <f ca="1">Dashboard!D$8* Dashboard!$F$4+Dashboard!D$10*SQRT(Dashboard!$F$4) * _xlfn.NORM.S.INV(RAND())</f>
        <v>5.3730382005629504E-2</v>
      </c>
    </row>
    <row r="9257" spans="18:21" x14ac:dyDescent="0.2">
      <c r="R9257" s="49">
        <v>9255</v>
      </c>
      <c r="S9257" s="59">
        <f ca="1">Dashboard!B$8* Dashboard!$F$4+Dashboard!B$10*SQRT(Dashboard!$F$4) * _xlfn.NORM.S.INV(RAND())</f>
        <v>7.714918053624651E-3</v>
      </c>
      <c r="T9257" s="59">
        <f ca="1">Dashboard!C$8* Dashboard!$F$4+Dashboard!C$10*SQRT(Dashboard!$F$4) * _xlfn.NORM.S.INV(RAND())</f>
        <v>-2.0538467192567451E-3</v>
      </c>
      <c r="U9257" s="59">
        <f ca="1">Dashboard!D$8* Dashboard!$F$4+Dashboard!D$10*SQRT(Dashboard!$F$4) * _xlfn.NORM.S.INV(RAND())</f>
        <v>-1.6958128709291243E-2</v>
      </c>
    </row>
    <row r="9258" spans="18:21" x14ac:dyDescent="0.2">
      <c r="R9258" s="49">
        <v>9256</v>
      </c>
      <c r="S9258" s="59">
        <f ca="1">Dashboard!B$8* Dashboard!$F$4+Dashboard!B$10*SQRT(Dashboard!$F$4) * _xlfn.NORM.S.INV(RAND())</f>
        <v>7.3518577152546449E-2</v>
      </c>
      <c r="T9258" s="59">
        <f ca="1">Dashboard!C$8* Dashboard!$F$4+Dashboard!C$10*SQRT(Dashboard!$F$4) * _xlfn.NORM.S.INV(RAND())</f>
        <v>2.2359063062176152E-2</v>
      </c>
      <c r="U9258" s="59">
        <f ca="1">Dashboard!D$8* Dashboard!$F$4+Dashboard!D$10*SQRT(Dashboard!$F$4) * _xlfn.NORM.S.INV(RAND())</f>
        <v>-2.6295625562096948E-2</v>
      </c>
    </row>
    <row r="9259" spans="18:21" x14ac:dyDescent="0.2">
      <c r="R9259" s="49">
        <v>9257</v>
      </c>
      <c r="S9259" s="59">
        <f ca="1">Dashboard!B$8* Dashboard!$F$4+Dashboard!B$10*SQRT(Dashboard!$F$4) * _xlfn.NORM.S.INV(RAND())</f>
        <v>-3.0120223488808114E-2</v>
      </c>
      <c r="T9259" s="59">
        <f ca="1">Dashboard!C$8* Dashboard!$F$4+Dashboard!C$10*SQRT(Dashboard!$F$4) * _xlfn.NORM.S.INV(RAND())</f>
        <v>-9.6772076498391202E-3</v>
      </c>
      <c r="U9259" s="59">
        <f ca="1">Dashboard!D$8* Dashboard!$F$4+Dashboard!D$10*SQRT(Dashboard!$F$4) * _xlfn.NORM.S.INV(RAND())</f>
        <v>1.654904337723901E-2</v>
      </c>
    </row>
    <row r="9260" spans="18:21" x14ac:dyDescent="0.2">
      <c r="R9260" s="49">
        <v>9258</v>
      </c>
      <c r="S9260" s="59">
        <f ca="1">Dashboard!B$8* Dashboard!$F$4+Dashboard!B$10*SQRT(Dashboard!$F$4) * _xlfn.NORM.S.INV(RAND())</f>
        <v>-2.8120938659380594E-3</v>
      </c>
      <c r="T9260" s="59">
        <f ca="1">Dashboard!C$8* Dashboard!$F$4+Dashboard!C$10*SQRT(Dashboard!$F$4) * _xlfn.NORM.S.INV(RAND())</f>
        <v>1.415899742219549E-2</v>
      </c>
      <c r="U9260" s="59">
        <f ca="1">Dashboard!D$8* Dashboard!$F$4+Dashboard!D$10*SQRT(Dashboard!$F$4) * _xlfn.NORM.S.INV(RAND())</f>
        <v>1.7977738795117576E-2</v>
      </c>
    </row>
    <row r="9261" spans="18:21" x14ac:dyDescent="0.2">
      <c r="R9261" s="49">
        <v>9259</v>
      </c>
      <c r="S9261" s="59">
        <f ca="1">Dashboard!B$8* Dashboard!$F$4+Dashboard!B$10*SQRT(Dashboard!$F$4) * _xlfn.NORM.S.INV(RAND())</f>
        <v>1.5709903892436261E-2</v>
      </c>
      <c r="T9261" s="59">
        <f ca="1">Dashboard!C$8* Dashboard!$F$4+Dashboard!C$10*SQRT(Dashboard!$F$4) * _xlfn.NORM.S.INV(RAND())</f>
        <v>-4.4756912526360713E-3</v>
      </c>
      <c r="U9261" s="59">
        <f ca="1">Dashboard!D$8* Dashboard!$F$4+Dashboard!D$10*SQRT(Dashboard!$F$4) * _xlfn.NORM.S.INV(RAND())</f>
        <v>-5.2634308334418914E-3</v>
      </c>
    </row>
    <row r="9262" spans="18:21" x14ac:dyDescent="0.2">
      <c r="R9262" s="49">
        <v>9260</v>
      </c>
      <c r="S9262" s="59">
        <f ca="1">Dashboard!B$8* Dashboard!$F$4+Dashboard!B$10*SQRT(Dashboard!$F$4) * _xlfn.NORM.S.INV(RAND())</f>
        <v>3.601233406872887E-2</v>
      </c>
      <c r="T9262" s="59">
        <f ca="1">Dashboard!C$8* Dashboard!$F$4+Dashboard!C$10*SQRT(Dashboard!$F$4) * _xlfn.NORM.S.INV(RAND())</f>
        <v>6.4362715823533076E-2</v>
      </c>
      <c r="U9262" s="59">
        <f ca="1">Dashboard!D$8* Dashboard!$F$4+Dashboard!D$10*SQRT(Dashboard!$F$4) * _xlfn.NORM.S.INV(RAND())</f>
        <v>1.4681255539799338E-2</v>
      </c>
    </row>
    <row r="9263" spans="18:21" x14ac:dyDescent="0.2">
      <c r="R9263" s="49">
        <v>9261</v>
      </c>
      <c r="S9263" s="59">
        <f ca="1">Dashboard!B$8* Dashboard!$F$4+Dashboard!B$10*SQRT(Dashboard!$F$4) * _xlfn.NORM.S.INV(RAND())</f>
        <v>-3.0912645579606664E-2</v>
      </c>
      <c r="T9263" s="59">
        <f ca="1">Dashboard!C$8* Dashboard!$F$4+Dashboard!C$10*SQRT(Dashboard!$F$4) * _xlfn.NORM.S.INV(RAND())</f>
        <v>3.5599203249127818E-2</v>
      </c>
      <c r="U9263" s="59">
        <f ca="1">Dashboard!D$8* Dashboard!$F$4+Dashboard!D$10*SQRT(Dashboard!$F$4) * _xlfn.NORM.S.INV(RAND())</f>
        <v>2.2378879237648912E-2</v>
      </c>
    </row>
    <row r="9264" spans="18:21" x14ac:dyDescent="0.2">
      <c r="R9264" s="49">
        <v>9262</v>
      </c>
      <c r="S9264" s="59">
        <f ca="1">Dashboard!B$8* Dashboard!$F$4+Dashboard!B$10*SQRT(Dashboard!$F$4) * _xlfn.NORM.S.INV(RAND())</f>
        <v>-4.4419839592805599E-2</v>
      </c>
      <c r="T9264" s="59">
        <f ca="1">Dashboard!C$8* Dashboard!$F$4+Dashboard!C$10*SQRT(Dashboard!$F$4) * _xlfn.NORM.S.INV(RAND())</f>
        <v>-6.5116080252665262E-3</v>
      </c>
      <c r="U9264" s="59">
        <f ca="1">Dashboard!D$8* Dashboard!$F$4+Dashboard!D$10*SQRT(Dashboard!$F$4) * _xlfn.NORM.S.INV(RAND())</f>
        <v>-3.3892304201371307E-2</v>
      </c>
    </row>
    <row r="9265" spans="18:21" x14ac:dyDescent="0.2">
      <c r="R9265" s="49">
        <v>9263</v>
      </c>
      <c r="S9265" s="59">
        <f ca="1">Dashboard!B$8* Dashboard!$F$4+Dashboard!B$10*SQRT(Dashboard!$F$4) * _xlfn.NORM.S.INV(RAND())</f>
        <v>2.7719770291468479E-2</v>
      </c>
      <c r="T9265" s="59">
        <f ca="1">Dashboard!C$8* Dashboard!$F$4+Dashboard!C$10*SQRT(Dashboard!$F$4) * _xlfn.NORM.S.INV(RAND())</f>
        <v>1.5980861010305342E-2</v>
      </c>
      <c r="U9265" s="59">
        <f ca="1">Dashboard!D$8* Dashboard!$F$4+Dashboard!D$10*SQRT(Dashboard!$F$4) * _xlfn.NORM.S.INV(RAND())</f>
        <v>-4.0394643647168544E-3</v>
      </c>
    </row>
    <row r="9266" spans="18:21" x14ac:dyDescent="0.2">
      <c r="R9266" s="49">
        <v>9264</v>
      </c>
      <c r="S9266" s="59">
        <f ca="1">Dashboard!B$8* Dashboard!$F$4+Dashboard!B$10*SQRT(Dashboard!$F$4) * _xlfn.NORM.S.INV(RAND())</f>
        <v>7.3139219147386678E-3</v>
      </c>
      <c r="T9266" s="59">
        <f ca="1">Dashboard!C$8* Dashboard!$F$4+Dashboard!C$10*SQRT(Dashboard!$F$4) * _xlfn.NORM.S.INV(RAND())</f>
        <v>-2.355395275067014E-2</v>
      </c>
      <c r="U9266" s="59">
        <f ca="1">Dashboard!D$8* Dashboard!$F$4+Dashboard!D$10*SQRT(Dashboard!$F$4) * _xlfn.NORM.S.INV(RAND())</f>
        <v>-3.4184337106668149E-2</v>
      </c>
    </row>
    <row r="9267" spans="18:21" x14ac:dyDescent="0.2">
      <c r="R9267" s="49">
        <v>9265</v>
      </c>
      <c r="S9267" s="59">
        <f ca="1">Dashboard!B$8* Dashboard!$F$4+Dashboard!B$10*SQRT(Dashboard!$F$4) * _xlfn.NORM.S.INV(RAND())</f>
        <v>-2.5605052175776195E-2</v>
      </c>
      <c r="T9267" s="59">
        <f ca="1">Dashboard!C$8* Dashboard!$F$4+Dashboard!C$10*SQRT(Dashboard!$F$4) * _xlfn.NORM.S.INV(RAND())</f>
        <v>-3.2453468157757131E-3</v>
      </c>
      <c r="U9267" s="59">
        <f ca="1">Dashboard!D$8* Dashboard!$F$4+Dashboard!D$10*SQRT(Dashboard!$F$4) * _xlfn.NORM.S.INV(RAND())</f>
        <v>-7.6612268401373427E-3</v>
      </c>
    </row>
    <row r="9268" spans="18:21" x14ac:dyDescent="0.2">
      <c r="R9268" s="49">
        <v>9266</v>
      </c>
      <c r="S9268" s="59">
        <f ca="1">Dashboard!B$8* Dashboard!$F$4+Dashboard!B$10*SQRT(Dashboard!$F$4) * _xlfn.NORM.S.INV(RAND())</f>
        <v>2.0046265656391844E-2</v>
      </c>
      <c r="T9268" s="59">
        <f ca="1">Dashboard!C$8* Dashboard!$F$4+Dashboard!C$10*SQRT(Dashboard!$F$4) * _xlfn.NORM.S.INV(RAND())</f>
        <v>1.4714388476072236E-2</v>
      </c>
      <c r="U9268" s="59">
        <f ca="1">Dashboard!D$8* Dashboard!$F$4+Dashboard!D$10*SQRT(Dashboard!$F$4) * _xlfn.NORM.S.INV(RAND())</f>
        <v>1.177579564477527E-2</v>
      </c>
    </row>
    <row r="9269" spans="18:21" x14ac:dyDescent="0.2">
      <c r="R9269" s="49">
        <v>9267</v>
      </c>
      <c r="S9269" s="59">
        <f ca="1">Dashboard!B$8* Dashboard!$F$4+Dashboard!B$10*SQRT(Dashboard!$F$4) * _xlfn.NORM.S.INV(RAND())</f>
        <v>1.8690125619406243E-2</v>
      </c>
      <c r="T9269" s="59">
        <f ca="1">Dashboard!C$8* Dashboard!$F$4+Dashboard!C$10*SQRT(Dashboard!$F$4) * _xlfn.NORM.S.INV(RAND())</f>
        <v>4.0677493046195386E-3</v>
      </c>
      <c r="U9269" s="59">
        <f ca="1">Dashboard!D$8* Dashboard!$F$4+Dashboard!D$10*SQRT(Dashboard!$F$4) * _xlfn.NORM.S.INV(RAND())</f>
        <v>4.3537756497613747E-3</v>
      </c>
    </row>
    <row r="9270" spans="18:21" x14ac:dyDescent="0.2">
      <c r="R9270" s="49">
        <v>9268</v>
      </c>
      <c r="S9270" s="59">
        <f ca="1">Dashboard!B$8* Dashboard!$F$4+Dashboard!B$10*SQRT(Dashboard!$F$4) * _xlfn.NORM.S.INV(RAND())</f>
        <v>-4.4605844562833646E-2</v>
      </c>
      <c r="T9270" s="59">
        <f ca="1">Dashboard!C$8* Dashboard!$F$4+Dashboard!C$10*SQRT(Dashboard!$F$4) * _xlfn.NORM.S.INV(RAND())</f>
        <v>-3.9419081438364844E-3</v>
      </c>
      <c r="U9270" s="59">
        <f ca="1">Dashboard!D$8* Dashboard!$F$4+Dashboard!D$10*SQRT(Dashboard!$F$4) * _xlfn.NORM.S.INV(RAND())</f>
        <v>1.9917388663779494E-2</v>
      </c>
    </row>
    <row r="9271" spans="18:21" x14ac:dyDescent="0.2">
      <c r="R9271" s="49">
        <v>9269</v>
      </c>
      <c r="S9271" s="59">
        <f ca="1">Dashboard!B$8* Dashboard!$F$4+Dashboard!B$10*SQRT(Dashboard!$F$4) * _xlfn.NORM.S.INV(RAND())</f>
        <v>-2.7103999514292751E-2</v>
      </c>
      <c r="T9271" s="59">
        <f ca="1">Dashboard!C$8* Dashboard!$F$4+Dashboard!C$10*SQRT(Dashboard!$F$4) * _xlfn.NORM.S.INV(RAND())</f>
        <v>-1.2511407288652684E-2</v>
      </c>
      <c r="U9271" s="59">
        <f ca="1">Dashboard!D$8* Dashboard!$F$4+Dashboard!D$10*SQRT(Dashboard!$F$4) * _xlfn.NORM.S.INV(RAND())</f>
        <v>4.7381770507720196E-2</v>
      </c>
    </row>
    <row r="9272" spans="18:21" x14ac:dyDescent="0.2">
      <c r="R9272" s="49">
        <v>9270</v>
      </c>
      <c r="S9272" s="59">
        <f ca="1">Dashboard!B$8* Dashboard!$F$4+Dashboard!B$10*SQRT(Dashboard!$F$4) * _xlfn.NORM.S.INV(RAND())</f>
        <v>-1.2694404547526308E-2</v>
      </c>
      <c r="T9272" s="59">
        <f ca="1">Dashboard!C$8* Dashboard!$F$4+Dashboard!C$10*SQRT(Dashboard!$F$4) * _xlfn.NORM.S.INV(RAND())</f>
        <v>-2.2184405315344123E-2</v>
      </c>
      <c r="U9272" s="59">
        <f ca="1">Dashboard!D$8* Dashboard!$F$4+Dashboard!D$10*SQRT(Dashboard!$F$4) * _xlfn.NORM.S.INV(RAND())</f>
        <v>1.3217404023369515E-2</v>
      </c>
    </row>
    <row r="9273" spans="18:21" x14ac:dyDescent="0.2">
      <c r="R9273" s="49">
        <v>9271</v>
      </c>
      <c r="S9273" s="59">
        <f ca="1">Dashboard!B$8* Dashboard!$F$4+Dashboard!B$10*SQRT(Dashboard!$F$4) * _xlfn.NORM.S.INV(RAND())</f>
        <v>-2.5563292560621138E-3</v>
      </c>
      <c r="T9273" s="59">
        <f ca="1">Dashboard!C$8* Dashboard!$F$4+Dashboard!C$10*SQRT(Dashboard!$F$4) * _xlfn.NORM.S.INV(RAND())</f>
        <v>2.6809281022483016E-2</v>
      </c>
      <c r="U9273" s="59">
        <f ca="1">Dashboard!D$8* Dashboard!$F$4+Dashboard!D$10*SQRT(Dashboard!$F$4) * _xlfn.NORM.S.INV(RAND())</f>
        <v>-3.4986725283883816E-2</v>
      </c>
    </row>
    <row r="9274" spans="18:21" x14ac:dyDescent="0.2">
      <c r="R9274" s="49">
        <v>9272</v>
      </c>
      <c r="S9274" s="59">
        <f ca="1">Dashboard!B$8* Dashboard!$F$4+Dashboard!B$10*SQRT(Dashboard!$F$4) * _xlfn.NORM.S.INV(RAND())</f>
        <v>-1.9631814591058221E-2</v>
      </c>
      <c r="T9274" s="59">
        <f ca="1">Dashboard!C$8* Dashboard!$F$4+Dashboard!C$10*SQRT(Dashboard!$F$4) * _xlfn.NORM.S.INV(RAND())</f>
        <v>-6.3914708290455036E-2</v>
      </c>
      <c r="U9274" s="59">
        <f ca="1">Dashboard!D$8* Dashboard!$F$4+Dashboard!D$10*SQRT(Dashboard!$F$4) * _xlfn.NORM.S.INV(RAND())</f>
        <v>-4.2430700937041033E-3</v>
      </c>
    </row>
    <row r="9275" spans="18:21" x14ac:dyDescent="0.2">
      <c r="R9275" s="49">
        <v>9273</v>
      </c>
      <c r="S9275" s="59">
        <f ca="1">Dashboard!B$8* Dashboard!$F$4+Dashboard!B$10*SQRT(Dashboard!$F$4) * _xlfn.NORM.S.INV(RAND())</f>
        <v>2.5853644611862014E-2</v>
      </c>
      <c r="T9275" s="59">
        <f ca="1">Dashboard!C$8* Dashboard!$F$4+Dashboard!C$10*SQRT(Dashboard!$F$4) * _xlfn.NORM.S.INV(RAND())</f>
        <v>4.5071572324970756E-2</v>
      </c>
      <c r="U9275" s="59">
        <f ca="1">Dashboard!D$8* Dashboard!$F$4+Dashboard!D$10*SQRT(Dashboard!$F$4) * _xlfn.NORM.S.INV(RAND())</f>
        <v>1.9386559003853585E-2</v>
      </c>
    </row>
    <row r="9276" spans="18:21" x14ac:dyDescent="0.2">
      <c r="R9276" s="49">
        <v>9274</v>
      </c>
      <c r="S9276" s="59">
        <f ca="1">Dashboard!B$8* Dashboard!$F$4+Dashboard!B$10*SQRT(Dashboard!$F$4) * _xlfn.NORM.S.INV(RAND())</f>
        <v>5.5169992117457128E-2</v>
      </c>
      <c r="T9276" s="59">
        <f ca="1">Dashboard!C$8* Dashboard!$F$4+Dashboard!C$10*SQRT(Dashboard!$F$4) * _xlfn.NORM.S.INV(RAND())</f>
        <v>-4.0648162724553114E-2</v>
      </c>
      <c r="U9276" s="59">
        <f ca="1">Dashboard!D$8* Dashboard!$F$4+Dashboard!D$10*SQRT(Dashboard!$F$4) * _xlfn.NORM.S.INV(RAND())</f>
        <v>-4.4858851832249816E-2</v>
      </c>
    </row>
    <row r="9277" spans="18:21" x14ac:dyDescent="0.2">
      <c r="R9277" s="49">
        <v>9275</v>
      </c>
      <c r="S9277" s="59">
        <f ca="1">Dashboard!B$8* Dashboard!$F$4+Dashboard!B$10*SQRT(Dashboard!$F$4) * _xlfn.NORM.S.INV(RAND())</f>
        <v>-3.2990080723077124E-2</v>
      </c>
      <c r="T9277" s="59">
        <f ca="1">Dashboard!C$8* Dashboard!$F$4+Dashboard!C$10*SQRT(Dashboard!$F$4) * _xlfn.NORM.S.INV(RAND())</f>
        <v>-3.3137683194846786E-2</v>
      </c>
      <c r="U9277" s="59">
        <f ca="1">Dashboard!D$8* Dashboard!$F$4+Dashboard!D$10*SQRT(Dashboard!$F$4) * _xlfn.NORM.S.INV(RAND())</f>
        <v>-4.6532782556361722E-2</v>
      </c>
    </row>
    <row r="9278" spans="18:21" x14ac:dyDescent="0.2">
      <c r="R9278" s="49">
        <v>9276</v>
      </c>
      <c r="S9278" s="59">
        <f ca="1">Dashboard!B$8* Dashboard!$F$4+Dashboard!B$10*SQRT(Dashboard!$F$4) * _xlfn.NORM.S.INV(RAND())</f>
        <v>4.3059400050805711E-2</v>
      </c>
      <c r="T9278" s="59">
        <f ca="1">Dashboard!C$8* Dashboard!$F$4+Dashboard!C$10*SQRT(Dashboard!$F$4) * _xlfn.NORM.S.INV(RAND())</f>
        <v>-3.2855629275210262E-2</v>
      </c>
      <c r="U9278" s="59">
        <f ca="1">Dashboard!D$8* Dashboard!$F$4+Dashboard!D$10*SQRT(Dashboard!$F$4) * _xlfn.NORM.S.INV(RAND())</f>
        <v>4.009907081778067E-2</v>
      </c>
    </row>
    <row r="9279" spans="18:21" x14ac:dyDescent="0.2">
      <c r="R9279" s="49">
        <v>9277</v>
      </c>
      <c r="S9279" s="59">
        <f ca="1">Dashboard!B$8* Dashboard!$F$4+Dashboard!B$10*SQRT(Dashboard!$F$4) * _xlfn.NORM.S.INV(RAND())</f>
        <v>-3.4648338238247256E-2</v>
      </c>
      <c r="T9279" s="59">
        <f ca="1">Dashboard!C$8* Dashboard!$F$4+Dashboard!C$10*SQRT(Dashboard!$F$4) * _xlfn.NORM.S.INV(RAND())</f>
        <v>5.2577459205426034E-4</v>
      </c>
      <c r="U9279" s="59">
        <f ca="1">Dashboard!D$8* Dashboard!$F$4+Dashboard!D$10*SQRT(Dashboard!$F$4) * _xlfn.NORM.S.INV(RAND())</f>
        <v>7.1712532328089456E-3</v>
      </c>
    </row>
    <row r="9280" spans="18:21" x14ac:dyDescent="0.2">
      <c r="R9280" s="49">
        <v>9278</v>
      </c>
      <c r="S9280" s="59">
        <f ca="1">Dashboard!B$8* Dashboard!$F$4+Dashboard!B$10*SQRT(Dashboard!$F$4) * _xlfn.NORM.S.INV(RAND())</f>
        <v>-3.7628135265129446E-2</v>
      </c>
      <c r="T9280" s="59">
        <f ca="1">Dashboard!C$8* Dashboard!$F$4+Dashboard!C$10*SQRT(Dashboard!$F$4) * _xlfn.NORM.S.INV(RAND())</f>
        <v>-1.7312664337764813E-3</v>
      </c>
      <c r="U9280" s="59">
        <f ca="1">Dashboard!D$8* Dashboard!$F$4+Dashboard!D$10*SQRT(Dashboard!$F$4) * _xlfn.NORM.S.INV(RAND())</f>
        <v>-2.8651106478771924E-2</v>
      </c>
    </row>
    <row r="9281" spans="18:21" x14ac:dyDescent="0.2">
      <c r="R9281" s="49">
        <v>9279</v>
      </c>
      <c r="S9281" s="59">
        <f ca="1">Dashboard!B$8* Dashboard!$F$4+Dashboard!B$10*SQRT(Dashboard!$F$4) * _xlfn.NORM.S.INV(RAND())</f>
        <v>3.3745562557071188E-2</v>
      </c>
      <c r="T9281" s="59">
        <f ca="1">Dashboard!C$8* Dashboard!$F$4+Dashboard!C$10*SQRT(Dashboard!$F$4) * _xlfn.NORM.S.INV(RAND())</f>
        <v>-2.205236946877407E-2</v>
      </c>
      <c r="U9281" s="59">
        <f ca="1">Dashboard!D$8* Dashboard!$F$4+Dashboard!D$10*SQRT(Dashboard!$F$4) * _xlfn.NORM.S.INV(RAND())</f>
        <v>4.1480216904589244E-3</v>
      </c>
    </row>
    <row r="9282" spans="18:21" x14ac:dyDescent="0.2">
      <c r="R9282" s="49">
        <v>9280</v>
      </c>
      <c r="S9282" s="59">
        <f ca="1">Dashboard!B$8* Dashboard!$F$4+Dashboard!B$10*SQRT(Dashboard!$F$4) * _xlfn.NORM.S.INV(RAND())</f>
        <v>-3.7561743449780693E-2</v>
      </c>
      <c r="T9282" s="59">
        <f ca="1">Dashboard!C$8* Dashboard!$F$4+Dashboard!C$10*SQRT(Dashboard!$F$4) * _xlfn.NORM.S.INV(RAND())</f>
        <v>-6.273706669525228E-2</v>
      </c>
      <c r="U9282" s="59">
        <f ca="1">Dashboard!D$8* Dashboard!$F$4+Dashboard!D$10*SQRT(Dashboard!$F$4) * _xlfn.NORM.S.INV(RAND())</f>
        <v>1.684029326578528E-3</v>
      </c>
    </row>
    <row r="9283" spans="18:21" x14ac:dyDescent="0.2">
      <c r="R9283" s="49">
        <v>9281</v>
      </c>
      <c r="S9283" s="59">
        <f ca="1">Dashboard!B$8* Dashboard!$F$4+Dashboard!B$10*SQRT(Dashboard!$F$4) * _xlfn.NORM.S.INV(RAND())</f>
        <v>3.1085921116680536E-2</v>
      </c>
      <c r="T9283" s="59">
        <f ca="1">Dashboard!C$8* Dashboard!$F$4+Dashboard!C$10*SQRT(Dashboard!$F$4) * _xlfn.NORM.S.INV(RAND())</f>
        <v>-5.9343990743754771E-3</v>
      </c>
      <c r="U9283" s="59">
        <f ca="1">Dashboard!D$8* Dashboard!$F$4+Dashboard!D$10*SQRT(Dashboard!$F$4) * _xlfn.NORM.S.INV(RAND())</f>
        <v>7.5748788590349172E-3</v>
      </c>
    </row>
    <row r="9284" spans="18:21" x14ac:dyDescent="0.2">
      <c r="R9284" s="49">
        <v>9282</v>
      </c>
      <c r="S9284" s="59">
        <f ca="1">Dashboard!B$8* Dashboard!$F$4+Dashboard!B$10*SQRT(Dashboard!$F$4) * _xlfn.NORM.S.INV(RAND())</f>
        <v>2.0785936355367712E-2</v>
      </c>
      <c r="T9284" s="59">
        <f ca="1">Dashboard!C$8* Dashboard!$F$4+Dashboard!C$10*SQRT(Dashboard!$F$4) * _xlfn.NORM.S.INV(RAND())</f>
        <v>1.3024126820506438E-2</v>
      </c>
      <c r="U9284" s="59">
        <f ca="1">Dashboard!D$8* Dashboard!$F$4+Dashboard!D$10*SQRT(Dashboard!$F$4) * _xlfn.NORM.S.INV(RAND())</f>
        <v>4.1727970356812472E-2</v>
      </c>
    </row>
    <row r="9285" spans="18:21" x14ac:dyDescent="0.2">
      <c r="R9285" s="49">
        <v>9283</v>
      </c>
      <c r="S9285" s="59">
        <f ca="1">Dashboard!B$8* Dashboard!$F$4+Dashboard!B$10*SQRT(Dashboard!$F$4) * _xlfn.NORM.S.INV(RAND())</f>
        <v>-1.4157807901499639E-2</v>
      </c>
      <c r="T9285" s="59">
        <f ca="1">Dashboard!C$8* Dashboard!$F$4+Dashboard!C$10*SQRT(Dashboard!$F$4) * _xlfn.NORM.S.INV(RAND())</f>
        <v>-1.425392232384564E-2</v>
      </c>
      <c r="U9285" s="59">
        <f ca="1">Dashboard!D$8* Dashboard!$F$4+Dashboard!D$10*SQRT(Dashboard!$F$4) * _xlfn.NORM.S.INV(RAND())</f>
        <v>-7.8596272001038289E-2</v>
      </c>
    </row>
    <row r="9286" spans="18:21" x14ac:dyDescent="0.2">
      <c r="R9286" s="49">
        <v>9284</v>
      </c>
      <c r="S9286" s="59">
        <f ca="1">Dashboard!B$8* Dashboard!$F$4+Dashboard!B$10*SQRT(Dashboard!$F$4) * _xlfn.NORM.S.INV(RAND())</f>
        <v>7.6741978527286855E-2</v>
      </c>
      <c r="T9286" s="59">
        <f ca="1">Dashboard!C$8* Dashboard!$F$4+Dashboard!C$10*SQRT(Dashboard!$F$4) * _xlfn.NORM.S.INV(RAND())</f>
        <v>6.5820445998807056E-2</v>
      </c>
      <c r="U9286" s="59">
        <f ca="1">Dashboard!D$8* Dashboard!$F$4+Dashboard!D$10*SQRT(Dashboard!$F$4) * _xlfn.NORM.S.INV(RAND())</f>
        <v>-1.3634762034413333E-2</v>
      </c>
    </row>
    <row r="9287" spans="18:21" x14ac:dyDescent="0.2">
      <c r="R9287" s="49">
        <v>9285</v>
      </c>
      <c r="S9287" s="59">
        <f ca="1">Dashboard!B$8* Dashboard!$F$4+Dashboard!B$10*SQRT(Dashboard!$F$4) * _xlfn.NORM.S.INV(RAND())</f>
        <v>-7.5758531728109549E-2</v>
      </c>
      <c r="T9287" s="59">
        <f ca="1">Dashboard!C$8* Dashboard!$F$4+Dashboard!C$10*SQRT(Dashboard!$F$4) * _xlfn.NORM.S.INV(RAND())</f>
        <v>-4.2660765987078672E-2</v>
      </c>
      <c r="U9287" s="59">
        <f ca="1">Dashboard!D$8* Dashboard!$F$4+Dashboard!D$10*SQRT(Dashboard!$F$4) * _xlfn.NORM.S.INV(RAND())</f>
        <v>1.457945094013626E-2</v>
      </c>
    </row>
    <row r="9288" spans="18:21" x14ac:dyDescent="0.2">
      <c r="R9288" s="49">
        <v>9286</v>
      </c>
      <c r="S9288" s="59">
        <f ca="1">Dashboard!B$8* Dashboard!$F$4+Dashboard!B$10*SQRT(Dashboard!$F$4) * _xlfn.NORM.S.INV(RAND())</f>
        <v>-1.9723469172696045E-2</v>
      </c>
      <c r="T9288" s="59">
        <f ca="1">Dashboard!C$8* Dashboard!$F$4+Dashboard!C$10*SQRT(Dashboard!$F$4) * _xlfn.NORM.S.INV(RAND())</f>
        <v>8.481378595851418E-3</v>
      </c>
      <c r="U9288" s="59">
        <f ca="1">Dashboard!D$8* Dashboard!$F$4+Dashboard!D$10*SQRT(Dashboard!$F$4) * _xlfn.NORM.S.INV(RAND())</f>
        <v>-3.3032977111413515E-2</v>
      </c>
    </row>
    <row r="9289" spans="18:21" x14ac:dyDescent="0.2">
      <c r="R9289" s="49">
        <v>9287</v>
      </c>
      <c r="S9289" s="59">
        <f ca="1">Dashboard!B$8* Dashboard!$F$4+Dashboard!B$10*SQRT(Dashboard!$F$4) * _xlfn.NORM.S.INV(RAND())</f>
        <v>3.7023781306326411E-3</v>
      </c>
      <c r="T9289" s="59">
        <f ca="1">Dashboard!C$8* Dashboard!$F$4+Dashboard!C$10*SQRT(Dashboard!$F$4) * _xlfn.NORM.S.INV(RAND())</f>
        <v>-2.3291541446603743E-2</v>
      </c>
      <c r="U9289" s="59">
        <f ca="1">Dashboard!D$8* Dashboard!$F$4+Dashboard!D$10*SQRT(Dashboard!$F$4) * _xlfn.NORM.S.INV(RAND())</f>
        <v>4.4191910897162553E-2</v>
      </c>
    </row>
    <row r="9290" spans="18:21" x14ac:dyDescent="0.2">
      <c r="R9290" s="49">
        <v>9288</v>
      </c>
      <c r="S9290" s="59">
        <f ca="1">Dashboard!B$8* Dashboard!$F$4+Dashboard!B$10*SQRT(Dashboard!$F$4) * _xlfn.NORM.S.INV(RAND())</f>
        <v>-4.4219613636059512E-3</v>
      </c>
      <c r="T9290" s="59">
        <f ca="1">Dashboard!C$8* Dashboard!$F$4+Dashboard!C$10*SQRT(Dashboard!$F$4) * _xlfn.NORM.S.INV(RAND())</f>
        <v>5.9314790834109156E-2</v>
      </c>
      <c r="U9290" s="59">
        <f ca="1">Dashboard!D$8* Dashboard!$F$4+Dashboard!D$10*SQRT(Dashboard!$F$4) * _xlfn.NORM.S.INV(RAND())</f>
        <v>3.5938575970368468E-3</v>
      </c>
    </row>
    <row r="9291" spans="18:21" x14ac:dyDescent="0.2">
      <c r="R9291" s="49">
        <v>9289</v>
      </c>
      <c r="S9291" s="59">
        <f ca="1">Dashboard!B$8* Dashboard!$F$4+Dashboard!B$10*SQRT(Dashboard!$F$4) * _xlfn.NORM.S.INV(RAND())</f>
        <v>9.6519800311887487E-3</v>
      </c>
      <c r="T9291" s="59">
        <f ca="1">Dashboard!C$8* Dashboard!$F$4+Dashboard!C$10*SQRT(Dashboard!$F$4) * _xlfn.NORM.S.INV(RAND())</f>
        <v>-1.0246175882222049E-2</v>
      </c>
      <c r="U9291" s="59">
        <f ca="1">Dashboard!D$8* Dashboard!$F$4+Dashboard!D$10*SQRT(Dashboard!$F$4) * _xlfn.NORM.S.INV(RAND())</f>
        <v>6.1276008938681688E-2</v>
      </c>
    </row>
    <row r="9292" spans="18:21" x14ac:dyDescent="0.2">
      <c r="R9292" s="49">
        <v>9290</v>
      </c>
      <c r="S9292" s="59">
        <f ca="1">Dashboard!B$8* Dashboard!$F$4+Dashboard!B$10*SQRT(Dashboard!$F$4) * _xlfn.NORM.S.INV(RAND())</f>
        <v>-2.4457978110210082E-2</v>
      </c>
      <c r="T9292" s="59">
        <f ca="1">Dashboard!C$8* Dashboard!$F$4+Dashboard!C$10*SQRT(Dashboard!$F$4) * _xlfn.NORM.S.INV(RAND())</f>
        <v>-3.1918733222667202E-2</v>
      </c>
      <c r="U9292" s="59">
        <f ca="1">Dashboard!D$8* Dashboard!$F$4+Dashboard!D$10*SQRT(Dashboard!$F$4) * _xlfn.NORM.S.INV(RAND())</f>
        <v>2.8448244989535409E-2</v>
      </c>
    </row>
    <row r="9293" spans="18:21" x14ac:dyDescent="0.2">
      <c r="R9293" s="49">
        <v>9291</v>
      </c>
      <c r="S9293" s="59">
        <f ca="1">Dashboard!B$8* Dashboard!$F$4+Dashboard!B$10*SQRT(Dashboard!$F$4) * _xlfn.NORM.S.INV(RAND())</f>
        <v>-3.3394706145510371E-2</v>
      </c>
      <c r="T9293" s="59">
        <f ca="1">Dashboard!C$8* Dashboard!$F$4+Dashboard!C$10*SQRT(Dashboard!$F$4) * _xlfn.NORM.S.INV(RAND())</f>
        <v>-6.2236102201540635E-3</v>
      </c>
      <c r="U9293" s="59">
        <f ca="1">Dashboard!D$8* Dashboard!$F$4+Dashboard!D$10*SQRT(Dashboard!$F$4) * _xlfn.NORM.S.INV(RAND())</f>
        <v>8.9104579698356615E-3</v>
      </c>
    </row>
    <row r="9294" spans="18:21" x14ac:dyDescent="0.2">
      <c r="R9294" s="49">
        <v>9292</v>
      </c>
      <c r="S9294" s="59">
        <f ca="1">Dashboard!B$8* Dashboard!$F$4+Dashboard!B$10*SQRT(Dashboard!$F$4) * _xlfn.NORM.S.INV(RAND())</f>
        <v>3.3658591559835435E-3</v>
      </c>
      <c r="T9294" s="59">
        <f ca="1">Dashboard!C$8* Dashboard!$F$4+Dashboard!C$10*SQRT(Dashboard!$F$4) * _xlfn.NORM.S.INV(RAND())</f>
        <v>-4.7830183125082477E-2</v>
      </c>
      <c r="U9294" s="59">
        <f ca="1">Dashboard!D$8* Dashboard!$F$4+Dashboard!D$10*SQRT(Dashboard!$F$4) * _xlfn.NORM.S.INV(RAND())</f>
        <v>3.4042763904267762E-2</v>
      </c>
    </row>
    <row r="9295" spans="18:21" x14ac:dyDescent="0.2">
      <c r="R9295" s="49">
        <v>9293</v>
      </c>
      <c r="S9295" s="59">
        <f ca="1">Dashboard!B$8* Dashboard!$F$4+Dashboard!B$10*SQRT(Dashboard!$F$4) * _xlfn.NORM.S.INV(RAND())</f>
        <v>-1.848732149708656E-2</v>
      </c>
      <c r="T9295" s="59">
        <f ca="1">Dashboard!C$8* Dashboard!$F$4+Dashboard!C$10*SQRT(Dashboard!$F$4) * _xlfn.NORM.S.INV(RAND())</f>
        <v>-1.1708985916718945E-2</v>
      </c>
      <c r="U9295" s="59">
        <f ca="1">Dashboard!D$8* Dashboard!$F$4+Dashboard!D$10*SQRT(Dashboard!$F$4) * _xlfn.NORM.S.INV(RAND())</f>
        <v>-2.5758674847372414E-2</v>
      </c>
    </row>
    <row r="9296" spans="18:21" x14ac:dyDescent="0.2">
      <c r="R9296" s="49">
        <v>9294</v>
      </c>
      <c r="S9296" s="59">
        <f ca="1">Dashboard!B$8* Dashboard!$F$4+Dashboard!B$10*SQRT(Dashboard!$F$4) * _xlfn.NORM.S.INV(RAND())</f>
        <v>-2.1387035398816312E-2</v>
      </c>
      <c r="T9296" s="59">
        <f ca="1">Dashboard!C$8* Dashboard!$F$4+Dashboard!C$10*SQRT(Dashboard!$F$4) * _xlfn.NORM.S.INV(RAND())</f>
        <v>3.9925423810230315E-2</v>
      </c>
      <c r="U9296" s="59">
        <f ca="1">Dashboard!D$8* Dashboard!$F$4+Dashboard!D$10*SQRT(Dashboard!$F$4) * _xlfn.NORM.S.INV(RAND())</f>
        <v>-7.5049555804700355E-3</v>
      </c>
    </row>
    <row r="9297" spans="18:21" x14ac:dyDescent="0.2">
      <c r="R9297" s="49">
        <v>9295</v>
      </c>
      <c r="S9297" s="59">
        <f ca="1">Dashboard!B$8* Dashboard!$F$4+Dashboard!B$10*SQRT(Dashboard!$F$4) * _xlfn.NORM.S.INV(RAND())</f>
        <v>-1.218800232141601E-2</v>
      </c>
      <c r="T9297" s="59">
        <f ca="1">Dashboard!C$8* Dashboard!$F$4+Dashboard!C$10*SQRT(Dashboard!$F$4) * _xlfn.NORM.S.INV(RAND())</f>
        <v>-3.9342453910737749E-2</v>
      </c>
      <c r="U9297" s="59">
        <f ca="1">Dashboard!D$8* Dashboard!$F$4+Dashboard!D$10*SQRT(Dashboard!$F$4) * _xlfn.NORM.S.INV(RAND())</f>
        <v>-7.9675396917311177E-3</v>
      </c>
    </row>
    <row r="9298" spans="18:21" x14ac:dyDescent="0.2">
      <c r="R9298" s="49">
        <v>9296</v>
      </c>
      <c r="S9298" s="59">
        <f ca="1">Dashboard!B$8* Dashboard!$F$4+Dashboard!B$10*SQRT(Dashboard!$F$4) * _xlfn.NORM.S.INV(RAND())</f>
        <v>1.328909855518289E-2</v>
      </c>
      <c r="T9298" s="59">
        <f ca="1">Dashboard!C$8* Dashboard!$F$4+Dashboard!C$10*SQRT(Dashboard!$F$4) * _xlfn.NORM.S.INV(RAND())</f>
        <v>-4.904785492176037E-3</v>
      </c>
      <c r="U9298" s="59">
        <f ca="1">Dashboard!D$8* Dashboard!$F$4+Dashboard!D$10*SQRT(Dashboard!$F$4) * _xlfn.NORM.S.INV(RAND())</f>
        <v>3.5471612838450847E-3</v>
      </c>
    </row>
    <row r="9299" spans="18:21" x14ac:dyDescent="0.2">
      <c r="R9299" s="49">
        <v>9297</v>
      </c>
      <c r="S9299" s="59">
        <f ca="1">Dashboard!B$8* Dashboard!$F$4+Dashboard!B$10*SQRT(Dashboard!$F$4) * _xlfn.NORM.S.INV(RAND())</f>
        <v>1.6590755822065446E-3</v>
      </c>
      <c r="T9299" s="59">
        <f ca="1">Dashboard!C$8* Dashboard!$F$4+Dashboard!C$10*SQRT(Dashboard!$F$4) * _xlfn.NORM.S.INV(RAND())</f>
        <v>6.5331709324735393E-2</v>
      </c>
      <c r="U9299" s="59">
        <f ca="1">Dashboard!D$8* Dashboard!$F$4+Dashboard!D$10*SQRT(Dashboard!$F$4) * _xlfn.NORM.S.INV(RAND())</f>
        <v>-7.330457195508687E-2</v>
      </c>
    </row>
    <row r="9300" spans="18:21" x14ac:dyDescent="0.2">
      <c r="R9300" s="49">
        <v>9298</v>
      </c>
      <c r="S9300" s="59">
        <f ca="1">Dashboard!B$8* Dashboard!$F$4+Dashboard!B$10*SQRT(Dashboard!$F$4) * _xlfn.NORM.S.INV(RAND())</f>
        <v>4.250713699284097E-2</v>
      </c>
      <c r="T9300" s="59">
        <f ca="1">Dashboard!C$8* Dashboard!$F$4+Dashboard!C$10*SQRT(Dashboard!$F$4) * _xlfn.NORM.S.INV(RAND())</f>
        <v>-3.3062726104943303E-3</v>
      </c>
      <c r="U9300" s="59">
        <f ca="1">Dashboard!D$8* Dashboard!$F$4+Dashboard!D$10*SQRT(Dashboard!$F$4) * _xlfn.NORM.S.INV(RAND())</f>
        <v>2.5472128852906485E-2</v>
      </c>
    </row>
    <row r="9301" spans="18:21" x14ac:dyDescent="0.2">
      <c r="R9301" s="49">
        <v>9299</v>
      </c>
      <c r="S9301" s="59">
        <f ca="1">Dashboard!B$8* Dashboard!$F$4+Dashboard!B$10*SQRT(Dashboard!$F$4) * _xlfn.NORM.S.INV(RAND())</f>
        <v>1.1740247376543724E-2</v>
      </c>
      <c r="T9301" s="59">
        <f ca="1">Dashboard!C$8* Dashboard!$F$4+Dashboard!C$10*SQRT(Dashboard!$F$4) * _xlfn.NORM.S.INV(RAND())</f>
        <v>1.1704809376323617E-3</v>
      </c>
      <c r="U9301" s="59">
        <f ca="1">Dashboard!D$8* Dashboard!$F$4+Dashboard!D$10*SQRT(Dashboard!$F$4) * _xlfn.NORM.S.INV(RAND())</f>
        <v>-4.5813923413367888E-2</v>
      </c>
    </row>
    <row r="9302" spans="18:21" x14ac:dyDescent="0.2">
      <c r="R9302" s="49">
        <v>9300</v>
      </c>
      <c r="S9302" s="59">
        <f ca="1">Dashboard!B$8* Dashboard!$F$4+Dashboard!B$10*SQRT(Dashboard!$F$4) * _xlfn.NORM.S.INV(RAND())</f>
        <v>-1.3369929684613218E-2</v>
      </c>
      <c r="T9302" s="59">
        <f ca="1">Dashboard!C$8* Dashboard!$F$4+Dashboard!C$10*SQRT(Dashboard!$F$4) * _xlfn.NORM.S.INV(RAND())</f>
        <v>-6.4587465504891639E-2</v>
      </c>
      <c r="U9302" s="59">
        <f ca="1">Dashboard!D$8* Dashboard!$F$4+Dashboard!D$10*SQRT(Dashboard!$F$4) * _xlfn.NORM.S.INV(RAND())</f>
        <v>-1.8472030202493198E-3</v>
      </c>
    </row>
    <row r="9303" spans="18:21" x14ac:dyDescent="0.2">
      <c r="R9303" s="49">
        <v>9301</v>
      </c>
      <c r="S9303" s="59">
        <f ca="1">Dashboard!B$8* Dashboard!$F$4+Dashboard!B$10*SQRT(Dashboard!$F$4) * _xlfn.NORM.S.INV(RAND())</f>
        <v>1.2892808529408382E-2</v>
      </c>
      <c r="T9303" s="59">
        <f ca="1">Dashboard!C$8* Dashboard!$F$4+Dashboard!C$10*SQRT(Dashboard!$F$4) * _xlfn.NORM.S.INV(RAND())</f>
        <v>-1.9060674200837482E-3</v>
      </c>
      <c r="U9303" s="59">
        <f ca="1">Dashboard!D$8* Dashboard!$F$4+Dashboard!D$10*SQRT(Dashboard!$F$4) * _xlfn.NORM.S.INV(RAND())</f>
        <v>-1.2006615000933777E-2</v>
      </c>
    </row>
    <row r="9304" spans="18:21" x14ac:dyDescent="0.2">
      <c r="R9304" s="49">
        <v>9302</v>
      </c>
      <c r="S9304" s="59">
        <f ca="1">Dashboard!B$8* Dashboard!$F$4+Dashboard!B$10*SQRT(Dashboard!$F$4) * _xlfn.NORM.S.INV(RAND())</f>
        <v>-5.3921395534464796E-2</v>
      </c>
      <c r="T9304" s="59">
        <f ca="1">Dashboard!C$8* Dashboard!$F$4+Dashboard!C$10*SQRT(Dashboard!$F$4) * _xlfn.NORM.S.INV(RAND())</f>
        <v>6.5558796125718244E-2</v>
      </c>
      <c r="U9304" s="59">
        <f ca="1">Dashboard!D$8* Dashboard!$F$4+Dashboard!D$10*SQRT(Dashboard!$F$4) * _xlfn.NORM.S.INV(RAND())</f>
        <v>-4.3815757044501072E-3</v>
      </c>
    </row>
    <row r="9305" spans="18:21" x14ac:dyDescent="0.2">
      <c r="R9305" s="49">
        <v>9303</v>
      </c>
      <c r="S9305" s="59">
        <f ca="1">Dashboard!B$8* Dashboard!$F$4+Dashboard!B$10*SQRT(Dashboard!$F$4) * _xlfn.NORM.S.INV(RAND())</f>
        <v>-3.2904648213955036E-2</v>
      </c>
      <c r="T9305" s="59">
        <f ca="1">Dashboard!C$8* Dashboard!$F$4+Dashboard!C$10*SQRT(Dashboard!$F$4) * _xlfn.NORM.S.INV(RAND())</f>
        <v>-2.2265573279952391E-2</v>
      </c>
      <c r="U9305" s="59">
        <f ca="1">Dashboard!D$8* Dashboard!$F$4+Dashboard!D$10*SQRT(Dashboard!$F$4) * _xlfn.NORM.S.INV(RAND())</f>
        <v>-3.6154835577476285E-2</v>
      </c>
    </row>
    <row r="9306" spans="18:21" x14ac:dyDescent="0.2">
      <c r="R9306" s="49">
        <v>9304</v>
      </c>
      <c r="S9306" s="59">
        <f ca="1">Dashboard!B$8* Dashboard!$F$4+Dashboard!B$10*SQRT(Dashboard!$F$4) * _xlfn.NORM.S.INV(RAND())</f>
        <v>2.8753508483526188E-2</v>
      </c>
      <c r="T9306" s="59">
        <f ca="1">Dashboard!C$8* Dashboard!$F$4+Dashboard!C$10*SQRT(Dashboard!$F$4) * _xlfn.NORM.S.INV(RAND())</f>
        <v>-1.7293048624262564E-3</v>
      </c>
      <c r="U9306" s="59">
        <f ca="1">Dashboard!D$8* Dashboard!$F$4+Dashboard!D$10*SQRT(Dashboard!$F$4) * _xlfn.NORM.S.INV(RAND())</f>
        <v>-1.9235818465094621E-2</v>
      </c>
    </row>
    <row r="9307" spans="18:21" x14ac:dyDescent="0.2">
      <c r="R9307" s="49">
        <v>9305</v>
      </c>
      <c r="S9307" s="59">
        <f ca="1">Dashboard!B$8* Dashboard!$F$4+Dashboard!B$10*SQRT(Dashboard!$F$4) * _xlfn.NORM.S.INV(RAND())</f>
        <v>2.0286051660360738E-2</v>
      </c>
      <c r="T9307" s="59">
        <f ca="1">Dashboard!C$8* Dashboard!$F$4+Dashboard!C$10*SQRT(Dashboard!$F$4) * _xlfn.NORM.S.INV(RAND())</f>
        <v>-1.7687928802469787E-2</v>
      </c>
      <c r="U9307" s="59">
        <f ca="1">Dashboard!D$8* Dashboard!$F$4+Dashboard!D$10*SQRT(Dashboard!$F$4) * _xlfn.NORM.S.INV(RAND())</f>
        <v>-2.0700249903440836E-2</v>
      </c>
    </row>
    <row r="9308" spans="18:21" x14ac:dyDescent="0.2">
      <c r="R9308" s="49">
        <v>9306</v>
      </c>
      <c r="S9308" s="59">
        <f ca="1">Dashboard!B$8* Dashboard!$F$4+Dashboard!B$10*SQRT(Dashboard!$F$4) * _xlfn.NORM.S.INV(RAND())</f>
        <v>5.9418383236646971E-3</v>
      </c>
      <c r="T9308" s="59">
        <f ca="1">Dashboard!C$8* Dashboard!$F$4+Dashboard!C$10*SQRT(Dashboard!$F$4) * _xlfn.NORM.S.INV(RAND())</f>
        <v>-1.0183441996412752E-2</v>
      </c>
      <c r="U9308" s="59">
        <f ca="1">Dashboard!D$8* Dashboard!$F$4+Dashboard!D$10*SQRT(Dashboard!$F$4) * _xlfn.NORM.S.INV(RAND())</f>
        <v>-1.5787161582839687E-2</v>
      </c>
    </row>
    <row r="9309" spans="18:21" x14ac:dyDescent="0.2">
      <c r="R9309" s="49">
        <v>9307</v>
      </c>
      <c r="S9309" s="59">
        <f ca="1">Dashboard!B$8* Dashboard!$F$4+Dashboard!B$10*SQRT(Dashboard!$F$4) * _xlfn.NORM.S.INV(RAND())</f>
        <v>-6.0333483954800472E-3</v>
      </c>
      <c r="T9309" s="59">
        <f ca="1">Dashboard!C$8* Dashboard!$F$4+Dashboard!C$10*SQRT(Dashboard!$F$4) * _xlfn.NORM.S.INV(RAND())</f>
        <v>3.7892688321250634E-3</v>
      </c>
      <c r="U9309" s="59">
        <f ca="1">Dashboard!D$8* Dashboard!$F$4+Dashboard!D$10*SQRT(Dashboard!$F$4) * _xlfn.NORM.S.INV(RAND())</f>
        <v>3.6714635934547137E-2</v>
      </c>
    </row>
    <row r="9310" spans="18:21" x14ac:dyDescent="0.2">
      <c r="R9310" s="49">
        <v>9308</v>
      </c>
      <c r="S9310" s="59">
        <f ca="1">Dashboard!B$8* Dashboard!$F$4+Dashboard!B$10*SQRT(Dashboard!$F$4) * _xlfn.NORM.S.INV(RAND())</f>
        <v>3.9494383685756411E-2</v>
      </c>
      <c r="T9310" s="59">
        <f ca="1">Dashboard!C$8* Dashboard!$F$4+Dashboard!C$10*SQRT(Dashboard!$F$4) * _xlfn.NORM.S.INV(RAND())</f>
        <v>-4.0410712870941482E-3</v>
      </c>
      <c r="U9310" s="59">
        <f ca="1">Dashboard!D$8* Dashboard!$F$4+Dashboard!D$10*SQRT(Dashboard!$F$4) * _xlfn.NORM.S.INV(RAND())</f>
        <v>2.0134989199254973E-2</v>
      </c>
    </row>
    <row r="9311" spans="18:21" x14ac:dyDescent="0.2">
      <c r="R9311" s="49">
        <v>9309</v>
      </c>
      <c r="S9311" s="59">
        <f ca="1">Dashboard!B$8* Dashboard!$F$4+Dashboard!B$10*SQRT(Dashboard!$F$4) * _xlfn.NORM.S.INV(RAND())</f>
        <v>-7.4172587409761237E-4</v>
      </c>
      <c r="T9311" s="59">
        <f ca="1">Dashboard!C$8* Dashboard!$F$4+Dashboard!C$10*SQRT(Dashboard!$F$4) * _xlfn.NORM.S.INV(RAND())</f>
        <v>3.0250728325954469E-2</v>
      </c>
      <c r="U9311" s="59">
        <f ca="1">Dashboard!D$8* Dashboard!$F$4+Dashboard!D$10*SQRT(Dashboard!$F$4) * _xlfn.NORM.S.INV(RAND())</f>
        <v>4.93684904318001E-4</v>
      </c>
    </row>
    <row r="9312" spans="18:21" x14ac:dyDescent="0.2">
      <c r="R9312" s="49">
        <v>9310</v>
      </c>
      <c r="S9312" s="59">
        <f ca="1">Dashboard!B$8* Dashboard!$F$4+Dashboard!B$10*SQRT(Dashboard!$F$4) * _xlfn.NORM.S.INV(RAND())</f>
        <v>-9.3358982804802489E-3</v>
      </c>
      <c r="T9312" s="59">
        <f ca="1">Dashboard!C$8* Dashboard!$F$4+Dashboard!C$10*SQRT(Dashboard!$F$4) * _xlfn.NORM.S.INV(RAND())</f>
        <v>-2.7543176000345598E-2</v>
      </c>
      <c r="U9312" s="59">
        <f ca="1">Dashboard!D$8* Dashboard!$F$4+Dashboard!D$10*SQRT(Dashboard!$F$4) * _xlfn.NORM.S.INV(RAND())</f>
        <v>-3.8218837133673987E-2</v>
      </c>
    </row>
    <row r="9313" spans="18:21" x14ac:dyDescent="0.2">
      <c r="R9313" s="49">
        <v>9311</v>
      </c>
      <c r="S9313" s="59">
        <f ca="1">Dashboard!B$8* Dashboard!$F$4+Dashboard!B$10*SQRT(Dashboard!$F$4) * _xlfn.NORM.S.INV(RAND())</f>
        <v>-1.8639817374706422E-2</v>
      </c>
      <c r="T9313" s="59">
        <f ca="1">Dashboard!C$8* Dashboard!$F$4+Dashboard!C$10*SQRT(Dashboard!$F$4) * _xlfn.NORM.S.INV(RAND())</f>
        <v>3.0781989970724025E-2</v>
      </c>
      <c r="U9313" s="59">
        <f ca="1">Dashboard!D$8* Dashboard!$F$4+Dashboard!D$10*SQRT(Dashboard!$F$4) * _xlfn.NORM.S.INV(RAND())</f>
        <v>5.4310079864748461E-3</v>
      </c>
    </row>
    <row r="9314" spans="18:21" x14ac:dyDescent="0.2">
      <c r="R9314" s="49">
        <v>9312</v>
      </c>
      <c r="S9314" s="59">
        <f ca="1">Dashboard!B$8* Dashboard!$F$4+Dashboard!B$10*SQRT(Dashboard!$F$4) * _xlfn.NORM.S.INV(RAND())</f>
        <v>-1.6160194760314661E-2</v>
      </c>
      <c r="T9314" s="59">
        <f ca="1">Dashboard!C$8* Dashboard!$F$4+Dashboard!C$10*SQRT(Dashboard!$F$4) * _xlfn.NORM.S.INV(RAND())</f>
        <v>-4.7225505568069051E-2</v>
      </c>
      <c r="U9314" s="59">
        <f ca="1">Dashboard!D$8* Dashboard!$F$4+Dashboard!D$10*SQRT(Dashboard!$F$4) * _xlfn.NORM.S.INV(RAND())</f>
        <v>2.4487954824920697E-2</v>
      </c>
    </row>
    <row r="9315" spans="18:21" x14ac:dyDescent="0.2">
      <c r="R9315" s="49">
        <v>9313</v>
      </c>
      <c r="S9315" s="59">
        <f ca="1">Dashboard!B$8* Dashboard!$F$4+Dashboard!B$10*SQRT(Dashboard!$F$4) * _xlfn.NORM.S.INV(RAND())</f>
        <v>1.6820489072664993E-2</v>
      </c>
      <c r="T9315" s="59">
        <f ca="1">Dashboard!C$8* Dashboard!$F$4+Dashboard!C$10*SQRT(Dashboard!$F$4) * _xlfn.NORM.S.INV(RAND())</f>
        <v>2.8000548176117426E-2</v>
      </c>
      <c r="U9315" s="59">
        <f ca="1">Dashboard!D$8* Dashboard!$F$4+Dashboard!D$10*SQRT(Dashboard!$F$4) * _xlfn.NORM.S.INV(RAND())</f>
        <v>-3.905424233441309E-2</v>
      </c>
    </row>
    <row r="9316" spans="18:21" x14ac:dyDescent="0.2">
      <c r="R9316" s="49">
        <v>9314</v>
      </c>
      <c r="S9316" s="59">
        <f ca="1">Dashboard!B$8* Dashboard!$F$4+Dashboard!B$10*SQRT(Dashboard!$F$4) * _xlfn.NORM.S.INV(RAND())</f>
        <v>-1.9791212547045758E-2</v>
      </c>
      <c r="T9316" s="59">
        <f ca="1">Dashboard!C$8* Dashboard!$F$4+Dashboard!C$10*SQRT(Dashboard!$F$4) * _xlfn.NORM.S.INV(RAND())</f>
        <v>-4.0485163743076473E-2</v>
      </c>
      <c r="U9316" s="59">
        <f ca="1">Dashboard!D$8* Dashboard!$F$4+Dashboard!D$10*SQRT(Dashboard!$F$4) * _xlfn.NORM.S.INV(RAND())</f>
        <v>4.7614386893489631E-2</v>
      </c>
    </row>
    <row r="9317" spans="18:21" x14ac:dyDescent="0.2">
      <c r="R9317" s="49">
        <v>9315</v>
      </c>
      <c r="S9317" s="59">
        <f ca="1">Dashboard!B$8* Dashboard!$F$4+Dashboard!B$10*SQRT(Dashboard!$F$4) * _xlfn.NORM.S.INV(RAND())</f>
        <v>-3.035098064722698E-2</v>
      </c>
      <c r="T9317" s="59">
        <f ca="1">Dashboard!C$8* Dashboard!$F$4+Dashboard!C$10*SQRT(Dashboard!$F$4) * _xlfn.NORM.S.INV(RAND())</f>
        <v>1.591220101946221E-2</v>
      </c>
      <c r="U9317" s="59">
        <f ca="1">Dashboard!D$8* Dashboard!$F$4+Dashboard!D$10*SQRT(Dashboard!$F$4) * _xlfn.NORM.S.INV(RAND())</f>
        <v>-1.1337252551566711E-2</v>
      </c>
    </row>
    <row r="9318" spans="18:21" x14ac:dyDescent="0.2">
      <c r="R9318" s="49">
        <v>9316</v>
      </c>
      <c r="S9318" s="59">
        <f ca="1">Dashboard!B$8* Dashboard!$F$4+Dashboard!B$10*SQRT(Dashboard!$F$4) * _xlfn.NORM.S.INV(RAND())</f>
        <v>2.379275946643853E-2</v>
      </c>
      <c r="T9318" s="59">
        <f ca="1">Dashboard!C$8* Dashboard!$F$4+Dashboard!C$10*SQRT(Dashboard!$F$4) * _xlfn.NORM.S.INV(RAND())</f>
        <v>-6.945037481117973E-2</v>
      </c>
      <c r="U9318" s="59">
        <f ca="1">Dashboard!D$8* Dashboard!$F$4+Dashboard!D$10*SQRT(Dashboard!$F$4) * _xlfn.NORM.S.INV(RAND())</f>
        <v>-9.7724475641260047E-3</v>
      </c>
    </row>
    <row r="9319" spans="18:21" x14ac:dyDescent="0.2">
      <c r="R9319" s="49">
        <v>9317</v>
      </c>
      <c r="S9319" s="59">
        <f ca="1">Dashboard!B$8* Dashboard!$F$4+Dashboard!B$10*SQRT(Dashboard!$F$4) * _xlfn.NORM.S.INV(RAND())</f>
        <v>2.2838432946954996E-3</v>
      </c>
      <c r="T9319" s="59">
        <f ca="1">Dashboard!C$8* Dashboard!$F$4+Dashboard!C$10*SQRT(Dashboard!$F$4) * _xlfn.NORM.S.INV(RAND())</f>
        <v>-2.946636614909898E-2</v>
      </c>
      <c r="U9319" s="59">
        <f ca="1">Dashboard!D$8* Dashboard!$F$4+Dashboard!D$10*SQRT(Dashboard!$F$4) * _xlfn.NORM.S.INV(RAND())</f>
        <v>5.9396968786178624E-2</v>
      </c>
    </row>
    <row r="9320" spans="18:21" x14ac:dyDescent="0.2">
      <c r="R9320" s="49">
        <v>9318</v>
      </c>
      <c r="S9320" s="59">
        <f ca="1">Dashboard!B$8* Dashboard!$F$4+Dashboard!B$10*SQRT(Dashboard!$F$4) * _xlfn.NORM.S.INV(RAND())</f>
        <v>-6.8724317930641085E-2</v>
      </c>
      <c r="T9320" s="59">
        <f ca="1">Dashboard!C$8* Dashboard!$F$4+Dashboard!C$10*SQRT(Dashboard!$F$4) * _xlfn.NORM.S.INV(RAND())</f>
        <v>-1.2176724814582866E-2</v>
      </c>
      <c r="U9320" s="59">
        <f ca="1">Dashboard!D$8* Dashboard!$F$4+Dashboard!D$10*SQRT(Dashboard!$F$4) * _xlfn.NORM.S.INV(RAND())</f>
        <v>-1.1769777988372457E-2</v>
      </c>
    </row>
    <row r="9321" spans="18:21" x14ac:dyDescent="0.2">
      <c r="R9321" s="49">
        <v>9319</v>
      </c>
      <c r="S9321" s="59">
        <f ca="1">Dashboard!B$8* Dashboard!$F$4+Dashboard!B$10*SQRT(Dashboard!$F$4) * _xlfn.NORM.S.INV(RAND())</f>
        <v>-5.0095951875802361E-2</v>
      </c>
      <c r="T9321" s="59">
        <f ca="1">Dashboard!C$8* Dashboard!$F$4+Dashboard!C$10*SQRT(Dashboard!$F$4) * _xlfn.NORM.S.INV(RAND())</f>
        <v>2.9386501157703891E-3</v>
      </c>
      <c r="U9321" s="59">
        <f ca="1">Dashboard!D$8* Dashboard!$F$4+Dashboard!D$10*SQRT(Dashboard!$F$4) * _xlfn.NORM.S.INV(RAND())</f>
        <v>3.5061948667457758E-2</v>
      </c>
    </row>
    <row r="9322" spans="18:21" x14ac:dyDescent="0.2">
      <c r="R9322" s="49">
        <v>9320</v>
      </c>
      <c r="S9322" s="59">
        <f ca="1">Dashboard!B$8* Dashboard!$F$4+Dashboard!B$10*SQRT(Dashboard!$F$4) * _xlfn.NORM.S.INV(RAND())</f>
        <v>2.0771363856346821E-2</v>
      </c>
      <c r="T9322" s="59">
        <f ca="1">Dashboard!C$8* Dashboard!$F$4+Dashboard!C$10*SQRT(Dashboard!$F$4) * _xlfn.NORM.S.INV(RAND())</f>
        <v>-4.1804013020106797E-3</v>
      </c>
      <c r="U9322" s="59">
        <f ca="1">Dashboard!D$8* Dashboard!$F$4+Dashboard!D$10*SQRT(Dashboard!$F$4) * _xlfn.NORM.S.INV(RAND())</f>
        <v>-1.9329084435456483E-2</v>
      </c>
    </row>
    <row r="9323" spans="18:21" x14ac:dyDescent="0.2">
      <c r="R9323" s="49">
        <v>9321</v>
      </c>
      <c r="S9323" s="59">
        <f ca="1">Dashboard!B$8* Dashboard!$F$4+Dashboard!B$10*SQRT(Dashboard!$F$4) * _xlfn.NORM.S.INV(RAND())</f>
        <v>6.8351059679098061E-2</v>
      </c>
      <c r="T9323" s="59">
        <f ca="1">Dashboard!C$8* Dashboard!$F$4+Dashboard!C$10*SQRT(Dashboard!$F$4) * _xlfn.NORM.S.INV(RAND())</f>
        <v>-9.7744609778275607E-3</v>
      </c>
      <c r="U9323" s="59">
        <f ca="1">Dashboard!D$8* Dashboard!$F$4+Dashboard!D$10*SQRT(Dashboard!$F$4) * _xlfn.NORM.S.INV(RAND())</f>
        <v>-1.6589292864427979E-2</v>
      </c>
    </row>
    <row r="9324" spans="18:21" x14ac:dyDescent="0.2">
      <c r="R9324" s="49">
        <v>9322</v>
      </c>
      <c r="S9324" s="59">
        <f ca="1">Dashboard!B$8* Dashboard!$F$4+Dashboard!B$10*SQRT(Dashboard!$F$4) * _xlfn.NORM.S.INV(RAND())</f>
        <v>-3.8447259394590046E-2</v>
      </c>
      <c r="T9324" s="59">
        <f ca="1">Dashboard!C$8* Dashboard!$F$4+Dashboard!C$10*SQRT(Dashboard!$F$4) * _xlfn.NORM.S.INV(RAND())</f>
        <v>4.5035494386665847E-2</v>
      </c>
      <c r="U9324" s="59">
        <f ca="1">Dashboard!D$8* Dashboard!$F$4+Dashboard!D$10*SQRT(Dashboard!$F$4) * _xlfn.NORM.S.INV(RAND())</f>
        <v>6.0865991289107108E-2</v>
      </c>
    </row>
    <row r="9325" spans="18:21" x14ac:dyDescent="0.2">
      <c r="R9325" s="49">
        <v>9323</v>
      </c>
      <c r="S9325" s="59">
        <f ca="1">Dashboard!B$8* Dashboard!$F$4+Dashboard!B$10*SQRT(Dashboard!$F$4) * _xlfn.NORM.S.INV(RAND())</f>
        <v>-3.9776141758734139E-2</v>
      </c>
      <c r="T9325" s="59">
        <f ca="1">Dashboard!C$8* Dashboard!$F$4+Dashboard!C$10*SQRT(Dashboard!$F$4) * _xlfn.NORM.S.INV(RAND())</f>
        <v>2.2444362016923658E-3</v>
      </c>
      <c r="U9325" s="59">
        <f ca="1">Dashboard!D$8* Dashboard!$F$4+Dashboard!D$10*SQRT(Dashboard!$F$4) * _xlfn.NORM.S.INV(RAND())</f>
        <v>2.3419796050448444E-2</v>
      </c>
    </row>
    <row r="9326" spans="18:21" x14ac:dyDescent="0.2">
      <c r="R9326" s="49">
        <v>9324</v>
      </c>
      <c r="S9326" s="59">
        <f ca="1">Dashboard!B$8* Dashboard!$F$4+Dashboard!B$10*SQRT(Dashboard!$F$4) * _xlfn.NORM.S.INV(RAND())</f>
        <v>2.0183332947466388E-2</v>
      </c>
      <c r="T9326" s="59">
        <f ca="1">Dashboard!C$8* Dashboard!$F$4+Dashboard!C$10*SQRT(Dashboard!$F$4) * _xlfn.NORM.S.INV(RAND())</f>
        <v>1.026230468069976E-2</v>
      </c>
      <c r="U9326" s="59">
        <f ca="1">Dashboard!D$8* Dashboard!$F$4+Dashboard!D$10*SQRT(Dashboard!$F$4) * _xlfn.NORM.S.INV(RAND())</f>
        <v>-1.167436156359361E-2</v>
      </c>
    </row>
    <row r="9327" spans="18:21" x14ac:dyDescent="0.2">
      <c r="R9327" s="49">
        <v>9325</v>
      </c>
      <c r="S9327" s="59">
        <f ca="1">Dashboard!B$8* Dashboard!$F$4+Dashboard!B$10*SQRT(Dashboard!$F$4) * _xlfn.NORM.S.INV(RAND())</f>
        <v>-3.7201583707128527E-3</v>
      </c>
      <c r="T9327" s="59">
        <f ca="1">Dashboard!C$8* Dashboard!$F$4+Dashboard!C$10*SQRT(Dashboard!$F$4) * _xlfn.NORM.S.INV(RAND())</f>
        <v>5.8984686007528833E-2</v>
      </c>
      <c r="U9327" s="59">
        <f ca="1">Dashboard!D$8* Dashboard!$F$4+Dashboard!D$10*SQRT(Dashboard!$F$4) * _xlfn.NORM.S.INV(RAND())</f>
        <v>-6.9524123876457608E-2</v>
      </c>
    </row>
    <row r="9328" spans="18:21" x14ac:dyDescent="0.2">
      <c r="R9328" s="49">
        <v>9326</v>
      </c>
      <c r="S9328" s="59">
        <f ca="1">Dashboard!B$8* Dashboard!$F$4+Dashboard!B$10*SQRT(Dashboard!$F$4) * _xlfn.NORM.S.INV(RAND())</f>
        <v>7.8150918159371075E-3</v>
      </c>
      <c r="T9328" s="59">
        <f ca="1">Dashboard!C$8* Dashboard!$F$4+Dashboard!C$10*SQRT(Dashboard!$F$4) * _xlfn.NORM.S.INV(RAND())</f>
        <v>1.6671877271875683E-2</v>
      </c>
      <c r="U9328" s="59">
        <f ca="1">Dashboard!D$8* Dashboard!$F$4+Dashboard!D$10*SQRT(Dashboard!$F$4) * _xlfn.NORM.S.INV(RAND())</f>
        <v>-1.4500066664414917E-4</v>
      </c>
    </row>
    <row r="9329" spans="18:21" x14ac:dyDescent="0.2">
      <c r="R9329" s="49">
        <v>9327</v>
      </c>
      <c r="S9329" s="59">
        <f ca="1">Dashboard!B$8* Dashboard!$F$4+Dashboard!B$10*SQRT(Dashboard!$F$4) * _xlfn.NORM.S.INV(RAND())</f>
        <v>6.7767024648799582E-4</v>
      </c>
      <c r="T9329" s="59">
        <f ca="1">Dashboard!C$8* Dashboard!$F$4+Dashboard!C$10*SQRT(Dashboard!$F$4) * _xlfn.NORM.S.INV(RAND())</f>
        <v>7.3083303360219768E-3</v>
      </c>
      <c r="U9329" s="59">
        <f ca="1">Dashboard!D$8* Dashboard!$F$4+Dashboard!D$10*SQRT(Dashboard!$F$4) * _xlfn.NORM.S.INV(RAND())</f>
        <v>1.1695673201340843E-2</v>
      </c>
    </row>
    <row r="9330" spans="18:21" x14ac:dyDescent="0.2">
      <c r="R9330" s="49">
        <v>9328</v>
      </c>
      <c r="S9330" s="59">
        <f ca="1">Dashboard!B$8* Dashboard!$F$4+Dashboard!B$10*SQRT(Dashboard!$F$4) * _xlfn.NORM.S.INV(RAND())</f>
        <v>8.9734725255480596E-3</v>
      </c>
      <c r="T9330" s="59">
        <f ca="1">Dashboard!C$8* Dashboard!$F$4+Dashboard!C$10*SQRT(Dashboard!$F$4) * _xlfn.NORM.S.INV(RAND())</f>
        <v>5.7137622394954121E-3</v>
      </c>
      <c r="U9330" s="59">
        <f ca="1">Dashboard!D$8* Dashboard!$F$4+Dashboard!D$10*SQRT(Dashboard!$F$4) * _xlfn.NORM.S.INV(RAND())</f>
        <v>-4.8783655292461717E-2</v>
      </c>
    </row>
    <row r="9331" spans="18:21" x14ac:dyDescent="0.2">
      <c r="R9331" s="49">
        <v>9329</v>
      </c>
      <c r="S9331" s="59">
        <f ca="1">Dashboard!B$8* Dashboard!$F$4+Dashboard!B$10*SQRT(Dashboard!$F$4) * _xlfn.NORM.S.INV(RAND())</f>
        <v>5.3229295828741557E-2</v>
      </c>
      <c r="T9331" s="59">
        <f ca="1">Dashboard!C$8* Dashboard!$F$4+Dashboard!C$10*SQRT(Dashboard!$F$4) * _xlfn.NORM.S.INV(RAND())</f>
        <v>1.0448757279720691E-2</v>
      </c>
      <c r="U9331" s="59">
        <f ca="1">Dashboard!D$8* Dashboard!$F$4+Dashboard!D$10*SQRT(Dashboard!$F$4) * _xlfn.NORM.S.INV(RAND())</f>
        <v>4.8066397571133415E-2</v>
      </c>
    </row>
    <row r="9332" spans="18:21" x14ac:dyDescent="0.2">
      <c r="R9332" s="49">
        <v>9330</v>
      </c>
      <c r="S9332" s="59">
        <f ca="1">Dashboard!B$8* Dashboard!$F$4+Dashboard!B$10*SQRT(Dashboard!$F$4) * _xlfn.NORM.S.INV(RAND())</f>
        <v>-2.2396983871720871E-2</v>
      </c>
      <c r="T9332" s="59">
        <f ca="1">Dashboard!C$8* Dashboard!$F$4+Dashboard!C$10*SQRT(Dashboard!$F$4) * _xlfn.NORM.S.INV(RAND())</f>
        <v>-3.8545281937891106E-2</v>
      </c>
      <c r="U9332" s="59">
        <f ca="1">Dashboard!D$8* Dashboard!$F$4+Dashboard!D$10*SQRT(Dashboard!$F$4) * _xlfn.NORM.S.INV(RAND())</f>
        <v>-2.5821668567371461E-2</v>
      </c>
    </row>
    <row r="9333" spans="18:21" x14ac:dyDescent="0.2">
      <c r="R9333" s="49">
        <v>9331</v>
      </c>
      <c r="S9333" s="59">
        <f ca="1">Dashboard!B$8* Dashboard!$F$4+Dashboard!B$10*SQRT(Dashboard!$F$4) * _xlfn.NORM.S.INV(RAND())</f>
        <v>-4.0042810292759745E-2</v>
      </c>
      <c r="T9333" s="59">
        <f ca="1">Dashboard!C$8* Dashboard!$F$4+Dashboard!C$10*SQRT(Dashboard!$F$4) * _xlfn.NORM.S.INV(RAND())</f>
        <v>-4.9910380479726646E-3</v>
      </c>
      <c r="U9333" s="59">
        <f ca="1">Dashboard!D$8* Dashboard!$F$4+Dashboard!D$10*SQRT(Dashboard!$F$4) * _xlfn.NORM.S.INV(RAND())</f>
        <v>-8.6386528594596286E-3</v>
      </c>
    </row>
    <row r="9334" spans="18:21" x14ac:dyDescent="0.2">
      <c r="R9334" s="49">
        <v>9332</v>
      </c>
      <c r="S9334" s="59">
        <f ca="1">Dashboard!B$8* Dashboard!$F$4+Dashboard!B$10*SQRT(Dashboard!$F$4) * _xlfn.NORM.S.INV(RAND())</f>
        <v>6.9039324788864286E-3</v>
      </c>
      <c r="T9334" s="59">
        <f ca="1">Dashboard!C$8* Dashboard!$F$4+Dashboard!C$10*SQRT(Dashboard!$F$4) * _xlfn.NORM.S.INV(RAND())</f>
        <v>2.0434240633792015E-3</v>
      </c>
      <c r="U9334" s="59">
        <f ca="1">Dashboard!D$8* Dashboard!$F$4+Dashboard!D$10*SQRT(Dashboard!$F$4) * _xlfn.NORM.S.INV(RAND())</f>
        <v>-6.8812750661154234E-2</v>
      </c>
    </row>
    <row r="9335" spans="18:21" x14ac:dyDescent="0.2">
      <c r="R9335" s="49">
        <v>9333</v>
      </c>
      <c r="S9335" s="59">
        <f ca="1">Dashboard!B$8* Dashboard!$F$4+Dashboard!B$10*SQRT(Dashboard!$F$4) * _xlfn.NORM.S.INV(RAND())</f>
        <v>4.6650222054005468E-4</v>
      </c>
      <c r="T9335" s="59">
        <f ca="1">Dashboard!C$8* Dashboard!$F$4+Dashboard!C$10*SQRT(Dashboard!$F$4) * _xlfn.NORM.S.INV(RAND())</f>
        <v>-8.5260059539756752E-2</v>
      </c>
      <c r="U9335" s="59">
        <f ca="1">Dashboard!D$8* Dashboard!$F$4+Dashboard!D$10*SQRT(Dashboard!$F$4) * _xlfn.NORM.S.INV(RAND())</f>
        <v>5.68756678450201E-3</v>
      </c>
    </row>
    <row r="9336" spans="18:21" x14ac:dyDescent="0.2">
      <c r="R9336" s="49">
        <v>9334</v>
      </c>
      <c r="S9336" s="59">
        <f ca="1">Dashboard!B$8* Dashboard!$F$4+Dashboard!B$10*SQRT(Dashboard!$F$4) * _xlfn.NORM.S.INV(RAND())</f>
        <v>-2.7829890613438941E-2</v>
      </c>
      <c r="T9336" s="59">
        <f ca="1">Dashboard!C$8* Dashboard!$F$4+Dashboard!C$10*SQRT(Dashboard!$F$4) * _xlfn.NORM.S.INV(RAND())</f>
        <v>-3.4760159604332139E-2</v>
      </c>
      <c r="U9336" s="59">
        <f ca="1">Dashboard!D$8* Dashboard!$F$4+Dashboard!D$10*SQRT(Dashboard!$F$4) * _xlfn.NORM.S.INV(RAND())</f>
        <v>2.9248389333863336E-2</v>
      </c>
    </row>
    <row r="9337" spans="18:21" x14ac:dyDescent="0.2">
      <c r="R9337" s="49">
        <v>9335</v>
      </c>
      <c r="S9337" s="59">
        <f ca="1">Dashboard!B$8* Dashboard!$F$4+Dashboard!B$10*SQRT(Dashboard!$F$4) * _xlfn.NORM.S.INV(RAND())</f>
        <v>6.1852140340378614E-2</v>
      </c>
      <c r="T9337" s="59">
        <f ca="1">Dashboard!C$8* Dashboard!$F$4+Dashboard!C$10*SQRT(Dashboard!$F$4) * _xlfn.NORM.S.INV(RAND())</f>
        <v>-1.2356548677424788E-2</v>
      </c>
      <c r="U9337" s="59">
        <f ca="1">Dashboard!D$8* Dashboard!$F$4+Dashboard!D$10*SQRT(Dashboard!$F$4) * _xlfn.NORM.S.INV(RAND())</f>
        <v>-4.0176276154548572E-2</v>
      </c>
    </row>
    <row r="9338" spans="18:21" x14ac:dyDescent="0.2">
      <c r="R9338" s="49">
        <v>9336</v>
      </c>
      <c r="S9338" s="59">
        <f ca="1">Dashboard!B$8* Dashboard!$F$4+Dashboard!B$10*SQRT(Dashboard!$F$4) * _xlfn.NORM.S.INV(RAND())</f>
        <v>2.4155979415451403E-2</v>
      </c>
      <c r="T9338" s="59">
        <f ca="1">Dashboard!C$8* Dashboard!$F$4+Dashboard!C$10*SQRT(Dashboard!$F$4) * _xlfn.NORM.S.INV(RAND())</f>
        <v>2.0496264911253604E-2</v>
      </c>
      <c r="U9338" s="59">
        <f ca="1">Dashboard!D$8* Dashboard!$F$4+Dashboard!D$10*SQRT(Dashboard!$F$4) * _xlfn.NORM.S.INV(RAND())</f>
        <v>-1.5782823688072659E-2</v>
      </c>
    </row>
    <row r="9339" spans="18:21" x14ac:dyDescent="0.2">
      <c r="R9339" s="49">
        <v>9337</v>
      </c>
      <c r="S9339" s="59">
        <f ca="1">Dashboard!B$8* Dashboard!$F$4+Dashboard!B$10*SQRT(Dashboard!$F$4) * _xlfn.NORM.S.INV(RAND())</f>
        <v>4.4038351648412667E-2</v>
      </c>
      <c r="T9339" s="59">
        <f ca="1">Dashboard!C$8* Dashboard!$F$4+Dashboard!C$10*SQRT(Dashboard!$F$4) * _xlfn.NORM.S.INV(RAND())</f>
        <v>2.1996669448553597E-2</v>
      </c>
      <c r="U9339" s="59">
        <f ca="1">Dashboard!D$8* Dashboard!$F$4+Dashboard!D$10*SQRT(Dashboard!$F$4) * _xlfn.NORM.S.INV(RAND())</f>
        <v>9.2322401181326348E-3</v>
      </c>
    </row>
    <row r="9340" spans="18:21" x14ac:dyDescent="0.2">
      <c r="R9340" s="49">
        <v>9338</v>
      </c>
      <c r="S9340" s="59">
        <f ca="1">Dashboard!B$8* Dashboard!$F$4+Dashboard!B$10*SQRT(Dashboard!$F$4) * _xlfn.NORM.S.INV(RAND())</f>
        <v>4.1550615045514473E-2</v>
      </c>
      <c r="T9340" s="59">
        <f ca="1">Dashboard!C$8* Dashboard!$F$4+Dashboard!C$10*SQRT(Dashboard!$F$4) * _xlfn.NORM.S.INV(RAND())</f>
        <v>1.8546187188407448E-2</v>
      </c>
      <c r="U9340" s="59">
        <f ca="1">Dashboard!D$8* Dashboard!$F$4+Dashboard!D$10*SQRT(Dashboard!$F$4) * _xlfn.NORM.S.INV(RAND())</f>
        <v>-2.1282418413690534E-2</v>
      </c>
    </row>
    <row r="9341" spans="18:21" x14ac:dyDescent="0.2">
      <c r="R9341" s="49">
        <v>9339</v>
      </c>
      <c r="S9341" s="59">
        <f ca="1">Dashboard!B$8* Dashboard!$F$4+Dashboard!B$10*SQRT(Dashboard!$F$4) * _xlfn.NORM.S.INV(RAND())</f>
        <v>2.6054240310841428E-2</v>
      </c>
      <c r="T9341" s="59">
        <f ca="1">Dashboard!C$8* Dashboard!$F$4+Dashboard!C$10*SQRT(Dashboard!$F$4) * _xlfn.NORM.S.INV(RAND())</f>
        <v>-5.2095409191700243E-3</v>
      </c>
      <c r="U9341" s="59">
        <f ca="1">Dashboard!D$8* Dashboard!$F$4+Dashboard!D$10*SQRT(Dashboard!$F$4) * _xlfn.NORM.S.INV(RAND())</f>
        <v>-8.7526431203674027E-3</v>
      </c>
    </row>
    <row r="9342" spans="18:21" x14ac:dyDescent="0.2">
      <c r="R9342" s="49">
        <v>9340</v>
      </c>
      <c r="S9342" s="59">
        <f ca="1">Dashboard!B$8* Dashboard!$F$4+Dashboard!B$10*SQRT(Dashboard!$F$4) * _xlfn.NORM.S.INV(RAND())</f>
        <v>-2.4722194857483948E-2</v>
      </c>
      <c r="T9342" s="59">
        <f ca="1">Dashboard!C$8* Dashboard!$F$4+Dashboard!C$10*SQRT(Dashboard!$F$4) * _xlfn.NORM.S.INV(RAND())</f>
        <v>-4.2881419286580728E-2</v>
      </c>
      <c r="U9342" s="59">
        <f ca="1">Dashboard!D$8* Dashboard!$F$4+Dashboard!D$10*SQRT(Dashboard!$F$4) * _xlfn.NORM.S.INV(RAND())</f>
        <v>-7.8554477751917335E-3</v>
      </c>
    </row>
    <row r="9343" spans="18:21" x14ac:dyDescent="0.2">
      <c r="R9343" s="49">
        <v>9341</v>
      </c>
      <c r="S9343" s="59">
        <f ca="1">Dashboard!B$8* Dashboard!$F$4+Dashboard!B$10*SQRT(Dashboard!$F$4) * _xlfn.NORM.S.INV(RAND())</f>
        <v>1.5504561627309866E-2</v>
      </c>
      <c r="T9343" s="59">
        <f ca="1">Dashboard!C$8* Dashboard!$F$4+Dashboard!C$10*SQRT(Dashboard!$F$4) * _xlfn.NORM.S.INV(RAND())</f>
        <v>2.1066629452139312E-2</v>
      </c>
      <c r="U9343" s="59">
        <f ca="1">Dashboard!D$8* Dashboard!$F$4+Dashboard!D$10*SQRT(Dashboard!$F$4) * _xlfn.NORM.S.INV(RAND())</f>
        <v>-3.1547896704209426E-2</v>
      </c>
    </row>
    <row r="9344" spans="18:21" x14ac:dyDescent="0.2">
      <c r="R9344" s="49">
        <v>9342</v>
      </c>
      <c r="S9344" s="59">
        <f ca="1">Dashboard!B$8* Dashboard!$F$4+Dashboard!B$10*SQRT(Dashboard!$F$4) * _xlfn.NORM.S.INV(RAND())</f>
        <v>-1.5170387947210134E-2</v>
      </c>
      <c r="T9344" s="59">
        <f ca="1">Dashboard!C$8* Dashboard!$F$4+Dashboard!C$10*SQRT(Dashboard!$F$4) * _xlfn.NORM.S.INV(RAND())</f>
        <v>8.5475831006908299E-3</v>
      </c>
      <c r="U9344" s="59">
        <f ca="1">Dashboard!D$8* Dashboard!$F$4+Dashboard!D$10*SQRT(Dashboard!$F$4) * _xlfn.NORM.S.INV(RAND())</f>
        <v>3.166685908694418E-2</v>
      </c>
    </row>
    <row r="9345" spans="18:21" x14ac:dyDescent="0.2">
      <c r="R9345" s="49">
        <v>9343</v>
      </c>
      <c r="S9345" s="59">
        <f ca="1">Dashboard!B$8* Dashboard!$F$4+Dashboard!B$10*SQRT(Dashboard!$F$4) * _xlfn.NORM.S.INV(RAND())</f>
        <v>2.488242064024395E-2</v>
      </c>
      <c r="T9345" s="59">
        <f ca="1">Dashboard!C$8* Dashboard!$F$4+Dashboard!C$10*SQRT(Dashboard!$F$4) * _xlfn.NORM.S.INV(RAND())</f>
        <v>-4.0841937004608706E-3</v>
      </c>
      <c r="U9345" s="59">
        <f ca="1">Dashboard!D$8* Dashboard!$F$4+Dashboard!D$10*SQRT(Dashboard!$F$4) * _xlfn.NORM.S.INV(RAND())</f>
        <v>-1.6753624075744572E-2</v>
      </c>
    </row>
    <row r="9346" spans="18:21" x14ac:dyDescent="0.2">
      <c r="R9346" s="49">
        <v>9344</v>
      </c>
      <c r="S9346" s="59">
        <f ca="1">Dashboard!B$8* Dashboard!$F$4+Dashboard!B$10*SQRT(Dashboard!$F$4) * _xlfn.NORM.S.INV(RAND())</f>
        <v>-2.0882698510069048E-2</v>
      </c>
      <c r="T9346" s="59">
        <f ca="1">Dashboard!C$8* Dashboard!$F$4+Dashboard!C$10*SQRT(Dashboard!$F$4) * _xlfn.NORM.S.INV(RAND())</f>
        <v>-1.7088540346602975E-2</v>
      </c>
      <c r="U9346" s="59">
        <f ca="1">Dashboard!D$8* Dashboard!$F$4+Dashboard!D$10*SQRT(Dashboard!$F$4) * _xlfn.NORM.S.INV(RAND())</f>
        <v>1.2604275509448083E-2</v>
      </c>
    </row>
    <row r="9347" spans="18:21" x14ac:dyDescent="0.2">
      <c r="R9347" s="49">
        <v>9345</v>
      </c>
      <c r="S9347" s="59">
        <f ca="1">Dashboard!B$8* Dashboard!$F$4+Dashboard!B$10*SQRT(Dashboard!$F$4) * _xlfn.NORM.S.INV(RAND())</f>
        <v>0.12472127157462658</v>
      </c>
      <c r="T9347" s="59">
        <f ca="1">Dashboard!C$8* Dashboard!$F$4+Dashboard!C$10*SQRT(Dashboard!$F$4) * _xlfn.NORM.S.INV(RAND())</f>
        <v>4.7744296036866037E-2</v>
      </c>
      <c r="U9347" s="59">
        <f ca="1">Dashboard!D$8* Dashboard!$F$4+Dashboard!D$10*SQRT(Dashboard!$F$4) * _xlfn.NORM.S.INV(RAND())</f>
        <v>8.6007283141510769E-3</v>
      </c>
    </row>
    <row r="9348" spans="18:21" x14ac:dyDescent="0.2">
      <c r="R9348" s="49">
        <v>9346</v>
      </c>
      <c r="S9348" s="59">
        <f ca="1">Dashboard!B$8* Dashboard!$F$4+Dashboard!B$10*SQRT(Dashboard!$F$4) * _xlfn.NORM.S.INV(RAND())</f>
        <v>-4.0883507668360811E-2</v>
      </c>
      <c r="T9348" s="59">
        <f ca="1">Dashboard!C$8* Dashboard!$F$4+Dashboard!C$10*SQRT(Dashboard!$F$4) * _xlfn.NORM.S.INV(RAND())</f>
        <v>-1.5235297785787243E-2</v>
      </c>
      <c r="U9348" s="59">
        <f ca="1">Dashboard!D$8* Dashboard!$F$4+Dashboard!D$10*SQRT(Dashboard!$F$4) * _xlfn.NORM.S.INV(RAND())</f>
        <v>-3.2727060564186911E-3</v>
      </c>
    </row>
    <row r="9349" spans="18:21" x14ac:dyDescent="0.2">
      <c r="R9349" s="49">
        <v>9347</v>
      </c>
      <c r="S9349" s="59">
        <f ca="1">Dashboard!B$8* Dashboard!$F$4+Dashboard!B$10*SQRT(Dashboard!$F$4) * _xlfn.NORM.S.INV(RAND())</f>
        <v>2.7230183554515862E-2</v>
      </c>
      <c r="T9349" s="59">
        <f ca="1">Dashboard!C$8* Dashboard!$F$4+Dashboard!C$10*SQRT(Dashboard!$F$4) * _xlfn.NORM.S.INV(RAND())</f>
        <v>-6.8302402045614219E-2</v>
      </c>
      <c r="U9349" s="59">
        <f ca="1">Dashboard!D$8* Dashboard!$F$4+Dashboard!D$10*SQRT(Dashboard!$F$4) * _xlfn.NORM.S.INV(RAND())</f>
        <v>1.6049533783015942E-2</v>
      </c>
    </row>
    <row r="9350" spans="18:21" x14ac:dyDescent="0.2">
      <c r="R9350" s="49">
        <v>9348</v>
      </c>
      <c r="S9350" s="59">
        <f ca="1">Dashboard!B$8* Dashboard!$F$4+Dashboard!B$10*SQRT(Dashboard!$F$4) * _xlfn.NORM.S.INV(RAND())</f>
        <v>-1.2329628777902104E-2</v>
      </c>
      <c r="T9350" s="59">
        <f ca="1">Dashboard!C$8* Dashboard!$F$4+Dashboard!C$10*SQRT(Dashboard!$F$4) * _xlfn.NORM.S.INV(RAND())</f>
        <v>-1.1000368416218941E-2</v>
      </c>
      <c r="U9350" s="59">
        <f ca="1">Dashboard!D$8* Dashboard!$F$4+Dashboard!D$10*SQRT(Dashboard!$F$4) * _xlfn.NORM.S.INV(RAND())</f>
        <v>4.0804988525961032E-2</v>
      </c>
    </row>
    <row r="9351" spans="18:21" x14ac:dyDescent="0.2">
      <c r="R9351" s="49">
        <v>9349</v>
      </c>
      <c r="S9351" s="59">
        <f ca="1">Dashboard!B$8* Dashboard!$F$4+Dashboard!B$10*SQRT(Dashboard!$F$4) * _xlfn.NORM.S.INV(RAND())</f>
        <v>2.6210071855125257E-2</v>
      </c>
      <c r="T9351" s="59">
        <f ca="1">Dashboard!C$8* Dashboard!$F$4+Dashboard!C$10*SQRT(Dashboard!$F$4) * _xlfn.NORM.S.INV(RAND())</f>
        <v>1.9526716167906417E-2</v>
      </c>
      <c r="U9351" s="59">
        <f ca="1">Dashboard!D$8* Dashboard!$F$4+Dashboard!D$10*SQRT(Dashboard!$F$4) * _xlfn.NORM.S.INV(RAND())</f>
        <v>-9.9871371258503233E-3</v>
      </c>
    </row>
    <row r="9352" spans="18:21" x14ac:dyDescent="0.2">
      <c r="R9352" s="49">
        <v>9350</v>
      </c>
      <c r="S9352" s="59">
        <f ca="1">Dashboard!B$8* Dashboard!$F$4+Dashboard!B$10*SQRT(Dashboard!$F$4) * _xlfn.NORM.S.INV(RAND())</f>
        <v>-5.8058559392815345E-2</v>
      </c>
      <c r="T9352" s="59">
        <f ca="1">Dashboard!C$8* Dashboard!$F$4+Dashboard!C$10*SQRT(Dashboard!$F$4) * _xlfn.NORM.S.INV(RAND())</f>
        <v>-1.011402219864831E-2</v>
      </c>
      <c r="U9352" s="59">
        <f ca="1">Dashboard!D$8* Dashboard!$F$4+Dashboard!D$10*SQRT(Dashboard!$F$4) * _xlfn.NORM.S.INV(RAND())</f>
        <v>5.9783587049320443E-2</v>
      </c>
    </row>
    <row r="9353" spans="18:21" x14ac:dyDescent="0.2">
      <c r="R9353" s="49">
        <v>9351</v>
      </c>
      <c r="S9353" s="59">
        <f ca="1">Dashboard!B$8* Dashboard!$F$4+Dashboard!B$10*SQRT(Dashboard!$F$4) * _xlfn.NORM.S.INV(RAND())</f>
        <v>-6.8213403275007037E-2</v>
      </c>
      <c r="T9353" s="59">
        <f ca="1">Dashboard!C$8* Dashboard!$F$4+Dashboard!C$10*SQRT(Dashboard!$F$4) * _xlfn.NORM.S.INV(RAND())</f>
        <v>-3.196540744232166E-2</v>
      </c>
      <c r="U9353" s="59">
        <f ca="1">Dashboard!D$8* Dashboard!$F$4+Dashboard!D$10*SQRT(Dashboard!$F$4) * _xlfn.NORM.S.INV(RAND())</f>
        <v>-7.5190915517624343E-2</v>
      </c>
    </row>
    <row r="9354" spans="18:21" x14ac:dyDescent="0.2">
      <c r="R9354" s="49">
        <v>9352</v>
      </c>
      <c r="S9354" s="59">
        <f ca="1">Dashboard!B$8* Dashboard!$F$4+Dashboard!B$10*SQRT(Dashboard!$F$4) * _xlfn.NORM.S.INV(RAND())</f>
        <v>-1.7162171715394775E-2</v>
      </c>
      <c r="T9354" s="59">
        <f ca="1">Dashboard!C$8* Dashboard!$F$4+Dashboard!C$10*SQRT(Dashboard!$F$4) * _xlfn.NORM.S.INV(RAND())</f>
        <v>7.2625460338199398E-3</v>
      </c>
      <c r="U9354" s="59">
        <f ca="1">Dashboard!D$8* Dashboard!$F$4+Dashboard!D$10*SQRT(Dashboard!$F$4) * _xlfn.NORM.S.INV(RAND())</f>
        <v>5.658416394294576E-4</v>
      </c>
    </row>
    <row r="9355" spans="18:21" x14ac:dyDescent="0.2">
      <c r="R9355" s="49">
        <v>9353</v>
      </c>
      <c r="S9355" s="59">
        <f ca="1">Dashboard!B$8* Dashboard!$F$4+Dashboard!B$10*SQRT(Dashboard!$F$4) * _xlfn.NORM.S.INV(RAND())</f>
        <v>-4.3604118308702968E-3</v>
      </c>
      <c r="T9355" s="59">
        <f ca="1">Dashboard!C$8* Dashboard!$F$4+Dashboard!C$10*SQRT(Dashboard!$F$4) * _xlfn.NORM.S.INV(RAND())</f>
        <v>-5.0599534899471105E-3</v>
      </c>
      <c r="U9355" s="59">
        <f ca="1">Dashboard!D$8* Dashboard!$F$4+Dashboard!D$10*SQRT(Dashboard!$F$4) * _xlfn.NORM.S.INV(RAND())</f>
        <v>-7.9811152810330167E-3</v>
      </c>
    </row>
    <row r="9356" spans="18:21" x14ac:dyDescent="0.2">
      <c r="R9356" s="49">
        <v>9354</v>
      </c>
      <c r="S9356" s="59">
        <f ca="1">Dashboard!B$8* Dashboard!$F$4+Dashboard!B$10*SQRT(Dashboard!$F$4) * _xlfn.NORM.S.INV(RAND())</f>
        <v>-2.2222675834161258E-2</v>
      </c>
      <c r="T9356" s="59">
        <f ca="1">Dashboard!C$8* Dashboard!$F$4+Dashboard!C$10*SQRT(Dashboard!$F$4) * _xlfn.NORM.S.INV(RAND())</f>
        <v>3.103377171056057E-3</v>
      </c>
      <c r="U9356" s="59">
        <f ca="1">Dashboard!D$8* Dashboard!$F$4+Dashboard!D$10*SQRT(Dashboard!$F$4) * _xlfn.NORM.S.INV(RAND())</f>
        <v>1.8987283950956214E-2</v>
      </c>
    </row>
    <row r="9357" spans="18:21" x14ac:dyDescent="0.2">
      <c r="R9357" s="49">
        <v>9355</v>
      </c>
      <c r="S9357" s="59">
        <f ca="1">Dashboard!B$8* Dashboard!$F$4+Dashboard!B$10*SQRT(Dashboard!$F$4) * _xlfn.NORM.S.INV(RAND())</f>
        <v>-5.0804170866110651E-2</v>
      </c>
      <c r="T9357" s="59">
        <f ca="1">Dashboard!C$8* Dashboard!$F$4+Dashboard!C$10*SQRT(Dashboard!$F$4) * _xlfn.NORM.S.INV(RAND())</f>
        <v>-2.7113194425476616E-2</v>
      </c>
      <c r="U9357" s="59">
        <f ca="1">Dashboard!D$8* Dashboard!$F$4+Dashboard!D$10*SQRT(Dashboard!$F$4) * _xlfn.NORM.S.INV(RAND())</f>
        <v>-5.9094977480059291E-2</v>
      </c>
    </row>
    <row r="9358" spans="18:21" x14ac:dyDescent="0.2">
      <c r="R9358" s="49">
        <v>9356</v>
      </c>
      <c r="S9358" s="59">
        <f ca="1">Dashboard!B$8* Dashboard!$F$4+Dashboard!B$10*SQRT(Dashboard!$F$4) * _xlfn.NORM.S.INV(RAND())</f>
        <v>-6.8466588791408919E-2</v>
      </c>
      <c r="T9358" s="59">
        <f ca="1">Dashboard!C$8* Dashboard!$F$4+Dashboard!C$10*SQRT(Dashboard!$F$4) * _xlfn.NORM.S.INV(RAND())</f>
        <v>-1.5389057271746324E-2</v>
      </c>
      <c r="U9358" s="59">
        <f ca="1">Dashboard!D$8* Dashboard!$F$4+Dashboard!D$10*SQRT(Dashboard!$F$4) * _xlfn.NORM.S.INV(RAND())</f>
        <v>1.4840719081175634E-2</v>
      </c>
    </row>
    <row r="9359" spans="18:21" x14ac:dyDescent="0.2">
      <c r="R9359" s="49">
        <v>9357</v>
      </c>
      <c r="S9359" s="59">
        <f ca="1">Dashboard!B$8* Dashboard!$F$4+Dashboard!B$10*SQRT(Dashboard!$F$4) * _xlfn.NORM.S.INV(RAND())</f>
        <v>-5.672288661560837E-2</v>
      </c>
      <c r="T9359" s="59">
        <f ca="1">Dashboard!C$8* Dashboard!$F$4+Dashboard!C$10*SQRT(Dashboard!$F$4) * _xlfn.NORM.S.INV(RAND())</f>
        <v>-2.2194450387940538E-2</v>
      </c>
      <c r="U9359" s="59">
        <f ca="1">Dashboard!D$8* Dashboard!$F$4+Dashboard!D$10*SQRT(Dashboard!$F$4) * _xlfn.NORM.S.INV(RAND())</f>
        <v>-2.6523679693078794E-2</v>
      </c>
    </row>
    <row r="9360" spans="18:21" x14ac:dyDescent="0.2">
      <c r="R9360" s="49">
        <v>9358</v>
      </c>
      <c r="S9360" s="59">
        <f ca="1">Dashboard!B$8* Dashboard!$F$4+Dashboard!B$10*SQRT(Dashboard!$F$4) * _xlfn.NORM.S.INV(RAND())</f>
        <v>-6.847772380529453E-2</v>
      </c>
      <c r="T9360" s="59">
        <f ca="1">Dashboard!C$8* Dashboard!$F$4+Dashboard!C$10*SQRT(Dashboard!$F$4) * _xlfn.NORM.S.INV(RAND())</f>
        <v>1.7912587904807954E-3</v>
      </c>
      <c r="U9360" s="59">
        <f ca="1">Dashboard!D$8* Dashboard!$F$4+Dashboard!D$10*SQRT(Dashboard!$F$4) * _xlfn.NORM.S.INV(RAND())</f>
        <v>-2.0805882601543937E-2</v>
      </c>
    </row>
    <row r="9361" spans="18:21" x14ac:dyDescent="0.2">
      <c r="R9361" s="49">
        <v>9359</v>
      </c>
      <c r="S9361" s="59">
        <f ca="1">Dashboard!B$8* Dashboard!$F$4+Dashboard!B$10*SQRT(Dashboard!$F$4) * _xlfn.NORM.S.INV(RAND())</f>
        <v>4.5991979851107034E-2</v>
      </c>
      <c r="T9361" s="59">
        <f ca="1">Dashboard!C$8* Dashboard!$F$4+Dashboard!C$10*SQRT(Dashboard!$F$4) * _xlfn.NORM.S.INV(RAND())</f>
        <v>-2.3679801593300829E-2</v>
      </c>
      <c r="U9361" s="59">
        <f ca="1">Dashboard!D$8* Dashboard!$F$4+Dashboard!D$10*SQRT(Dashboard!$F$4) * _xlfn.NORM.S.INV(RAND())</f>
        <v>-8.736350239580172E-4</v>
      </c>
    </row>
    <row r="9362" spans="18:21" x14ac:dyDescent="0.2">
      <c r="R9362" s="49">
        <v>9360</v>
      </c>
      <c r="S9362" s="59">
        <f ca="1">Dashboard!B$8* Dashboard!$F$4+Dashboard!B$10*SQRT(Dashboard!$F$4) * _xlfn.NORM.S.INV(RAND())</f>
        <v>3.4776763636212911E-2</v>
      </c>
      <c r="T9362" s="59">
        <f ca="1">Dashboard!C$8* Dashboard!$F$4+Dashboard!C$10*SQRT(Dashboard!$F$4) * _xlfn.NORM.S.INV(RAND())</f>
        <v>-4.537254519811279E-2</v>
      </c>
      <c r="U9362" s="59">
        <f ca="1">Dashboard!D$8* Dashboard!$F$4+Dashboard!D$10*SQRT(Dashboard!$F$4) * _xlfn.NORM.S.INV(RAND())</f>
        <v>7.9354541756404221E-3</v>
      </c>
    </row>
    <row r="9363" spans="18:21" x14ac:dyDescent="0.2">
      <c r="R9363" s="49">
        <v>9361</v>
      </c>
      <c r="S9363" s="59">
        <f ca="1">Dashboard!B$8* Dashboard!$F$4+Dashboard!B$10*SQRT(Dashboard!$F$4) * _xlfn.NORM.S.INV(RAND())</f>
        <v>3.4788990176650644E-2</v>
      </c>
      <c r="T9363" s="59">
        <f ca="1">Dashboard!C$8* Dashboard!$F$4+Dashboard!C$10*SQRT(Dashboard!$F$4) * _xlfn.NORM.S.INV(RAND())</f>
        <v>-2.0502442080023133E-2</v>
      </c>
      <c r="U9363" s="59">
        <f ca="1">Dashboard!D$8* Dashboard!$F$4+Dashboard!D$10*SQRT(Dashboard!$F$4) * _xlfn.NORM.S.INV(RAND())</f>
        <v>7.1251865032274861E-2</v>
      </c>
    </row>
    <row r="9364" spans="18:21" x14ac:dyDescent="0.2">
      <c r="R9364" s="49">
        <v>9362</v>
      </c>
      <c r="S9364" s="59">
        <f ca="1">Dashboard!B$8* Dashboard!$F$4+Dashboard!B$10*SQRT(Dashboard!$F$4) * _xlfn.NORM.S.INV(RAND())</f>
        <v>-4.0389827867361838E-2</v>
      </c>
      <c r="T9364" s="59">
        <f ca="1">Dashboard!C$8* Dashboard!$F$4+Dashboard!C$10*SQRT(Dashboard!$F$4) * _xlfn.NORM.S.INV(RAND())</f>
        <v>-1.0074559369711918E-2</v>
      </c>
      <c r="U9364" s="59">
        <f ca="1">Dashboard!D$8* Dashboard!$F$4+Dashboard!D$10*SQRT(Dashboard!$F$4) * _xlfn.NORM.S.INV(RAND())</f>
        <v>8.4202310605284349E-3</v>
      </c>
    </row>
    <row r="9365" spans="18:21" x14ac:dyDescent="0.2">
      <c r="R9365" s="49">
        <v>9363</v>
      </c>
      <c r="S9365" s="59">
        <f ca="1">Dashboard!B$8* Dashboard!$F$4+Dashboard!B$10*SQRT(Dashboard!$F$4) * _xlfn.NORM.S.INV(RAND())</f>
        <v>-6.0224528603843299E-3</v>
      </c>
      <c r="T9365" s="59">
        <f ca="1">Dashboard!C$8* Dashboard!$F$4+Dashboard!C$10*SQRT(Dashboard!$F$4) * _xlfn.NORM.S.INV(RAND())</f>
        <v>-4.7269572707680771E-2</v>
      </c>
      <c r="U9365" s="59">
        <f ca="1">Dashboard!D$8* Dashboard!$F$4+Dashboard!D$10*SQRT(Dashboard!$F$4) * _xlfn.NORM.S.INV(RAND())</f>
        <v>-4.9052771714119266E-2</v>
      </c>
    </row>
    <row r="9366" spans="18:21" x14ac:dyDescent="0.2">
      <c r="R9366" s="49">
        <v>9364</v>
      </c>
      <c r="S9366" s="59">
        <f ca="1">Dashboard!B$8* Dashboard!$F$4+Dashboard!B$10*SQRT(Dashboard!$F$4) * _xlfn.NORM.S.INV(RAND())</f>
        <v>-1.0887042459335205E-2</v>
      </c>
      <c r="T9366" s="59">
        <f ca="1">Dashboard!C$8* Dashboard!$F$4+Dashboard!C$10*SQRT(Dashboard!$F$4) * _xlfn.NORM.S.INV(RAND())</f>
        <v>2.2551609701498875E-3</v>
      </c>
      <c r="U9366" s="59">
        <f ca="1">Dashboard!D$8* Dashboard!$F$4+Dashboard!D$10*SQRT(Dashboard!$F$4) * _xlfn.NORM.S.INV(RAND())</f>
        <v>2.7834324143306095E-3</v>
      </c>
    </row>
    <row r="9367" spans="18:21" x14ac:dyDescent="0.2">
      <c r="R9367" s="49">
        <v>9365</v>
      </c>
      <c r="S9367" s="59">
        <f ca="1">Dashboard!B$8* Dashboard!$F$4+Dashboard!B$10*SQRT(Dashboard!$F$4) * _xlfn.NORM.S.INV(RAND())</f>
        <v>1.3430630634338083E-2</v>
      </c>
      <c r="T9367" s="59">
        <f ca="1">Dashboard!C$8* Dashboard!$F$4+Dashboard!C$10*SQRT(Dashboard!$F$4) * _xlfn.NORM.S.INV(RAND())</f>
        <v>6.519869545048235E-3</v>
      </c>
      <c r="U9367" s="59">
        <f ca="1">Dashboard!D$8* Dashboard!$F$4+Dashboard!D$10*SQRT(Dashboard!$F$4) * _xlfn.NORM.S.INV(RAND())</f>
        <v>-3.0834511640547072E-2</v>
      </c>
    </row>
    <row r="9368" spans="18:21" x14ac:dyDescent="0.2">
      <c r="R9368" s="49">
        <v>9366</v>
      </c>
      <c r="S9368" s="59">
        <f ca="1">Dashboard!B$8* Dashboard!$F$4+Dashboard!B$10*SQRT(Dashboard!$F$4) * _xlfn.NORM.S.INV(RAND())</f>
        <v>-7.1491915120367551E-3</v>
      </c>
      <c r="T9368" s="59">
        <f ca="1">Dashboard!C$8* Dashboard!$F$4+Dashboard!C$10*SQRT(Dashboard!$F$4) * _xlfn.NORM.S.INV(RAND())</f>
        <v>3.8398571106354994E-4</v>
      </c>
      <c r="U9368" s="59">
        <f ca="1">Dashboard!D$8* Dashboard!$F$4+Dashboard!D$10*SQRT(Dashboard!$F$4) * _xlfn.NORM.S.INV(RAND())</f>
        <v>8.7045215672627906E-4</v>
      </c>
    </row>
    <row r="9369" spans="18:21" x14ac:dyDescent="0.2">
      <c r="R9369" s="49">
        <v>9367</v>
      </c>
      <c r="S9369" s="59">
        <f ca="1">Dashboard!B$8* Dashboard!$F$4+Dashboard!B$10*SQRT(Dashboard!$F$4) * _xlfn.NORM.S.INV(RAND())</f>
        <v>6.0331215871665123E-3</v>
      </c>
      <c r="T9369" s="59">
        <f ca="1">Dashboard!C$8* Dashboard!$F$4+Dashboard!C$10*SQRT(Dashboard!$F$4) * _xlfn.NORM.S.INV(RAND())</f>
        <v>-6.7505701811610114E-2</v>
      </c>
      <c r="U9369" s="59">
        <f ca="1">Dashboard!D$8* Dashboard!$F$4+Dashboard!D$10*SQRT(Dashboard!$F$4) * _xlfn.NORM.S.INV(RAND())</f>
        <v>-3.5613077347342705E-3</v>
      </c>
    </row>
    <row r="9370" spans="18:21" x14ac:dyDescent="0.2">
      <c r="R9370" s="49">
        <v>9368</v>
      </c>
      <c r="S9370" s="59">
        <f ca="1">Dashboard!B$8* Dashboard!$F$4+Dashboard!B$10*SQRT(Dashboard!$F$4) * _xlfn.NORM.S.INV(RAND())</f>
        <v>-1.2358809256137217E-2</v>
      </c>
      <c r="T9370" s="59">
        <f ca="1">Dashboard!C$8* Dashboard!$F$4+Dashboard!C$10*SQRT(Dashboard!$F$4) * _xlfn.NORM.S.INV(RAND())</f>
        <v>6.0764630630327221E-2</v>
      </c>
      <c r="U9370" s="59">
        <f ca="1">Dashboard!D$8* Dashboard!$F$4+Dashboard!D$10*SQRT(Dashboard!$F$4) * _xlfn.NORM.S.INV(RAND())</f>
        <v>1.6679015769239715E-2</v>
      </c>
    </row>
    <row r="9371" spans="18:21" x14ac:dyDescent="0.2">
      <c r="R9371" s="49">
        <v>9369</v>
      </c>
      <c r="S9371" s="59">
        <f ca="1">Dashboard!B$8* Dashboard!$F$4+Dashboard!B$10*SQRT(Dashboard!$F$4) * _xlfn.NORM.S.INV(RAND())</f>
        <v>-6.3842967631982064E-2</v>
      </c>
      <c r="T9371" s="59">
        <f ca="1">Dashboard!C$8* Dashboard!$F$4+Dashboard!C$10*SQRT(Dashboard!$F$4) * _xlfn.NORM.S.INV(RAND())</f>
        <v>-9.793953360914185E-3</v>
      </c>
      <c r="U9371" s="59">
        <f ca="1">Dashboard!D$8* Dashboard!$F$4+Dashboard!D$10*SQRT(Dashboard!$F$4) * _xlfn.NORM.S.INV(RAND())</f>
        <v>1.6712987797826762E-2</v>
      </c>
    </row>
    <row r="9372" spans="18:21" x14ac:dyDescent="0.2">
      <c r="R9372" s="49">
        <v>9370</v>
      </c>
      <c r="S9372" s="59">
        <f ca="1">Dashboard!B$8* Dashboard!$F$4+Dashboard!B$10*SQRT(Dashboard!$F$4) * _xlfn.NORM.S.INV(RAND())</f>
        <v>-1.0002774428783712E-2</v>
      </c>
      <c r="T9372" s="59">
        <f ca="1">Dashboard!C$8* Dashboard!$F$4+Dashboard!C$10*SQRT(Dashboard!$F$4) * _xlfn.NORM.S.INV(RAND())</f>
        <v>2.4993398614554348E-2</v>
      </c>
      <c r="U9372" s="59">
        <f ca="1">Dashboard!D$8* Dashboard!$F$4+Dashboard!D$10*SQRT(Dashboard!$F$4) * _xlfn.NORM.S.INV(RAND())</f>
        <v>1.3008541380040418E-2</v>
      </c>
    </row>
    <row r="9373" spans="18:21" x14ac:dyDescent="0.2">
      <c r="R9373" s="49">
        <v>9371</v>
      </c>
      <c r="S9373" s="59">
        <f ca="1">Dashboard!B$8* Dashboard!$F$4+Dashboard!B$10*SQRT(Dashboard!$F$4) * _xlfn.NORM.S.INV(RAND())</f>
        <v>3.4056032830773804E-2</v>
      </c>
      <c r="T9373" s="59">
        <f ca="1">Dashboard!C$8* Dashboard!$F$4+Dashboard!C$10*SQRT(Dashboard!$F$4) * _xlfn.NORM.S.INV(RAND())</f>
        <v>2.1320175625469652E-2</v>
      </c>
      <c r="U9373" s="59">
        <f ca="1">Dashboard!D$8* Dashboard!$F$4+Dashboard!D$10*SQRT(Dashboard!$F$4) * _xlfn.NORM.S.INV(RAND())</f>
        <v>-4.4056539693375267E-3</v>
      </c>
    </row>
    <row r="9374" spans="18:21" x14ac:dyDescent="0.2">
      <c r="R9374" s="49">
        <v>9372</v>
      </c>
      <c r="S9374" s="59">
        <f ca="1">Dashboard!B$8* Dashboard!$F$4+Dashboard!B$10*SQRT(Dashboard!$F$4) * _xlfn.NORM.S.INV(RAND())</f>
        <v>1.080526213510666E-2</v>
      </c>
      <c r="T9374" s="59">
        <f ca="1">Dashboard!C$8* Dashboard!$F$4+Dashboard!C$10*SQRT(Dashboard!$F$4) * _xlfn.NORM.S.INV(RAND())</f>
        <v>4.6819303556415989E-2</v>
      </c>
      <c r="U9374" s="59">
        <f ca="1">Dashboard!D$8* Dashboard!$F$4+Dashboard!D$10*SQRT(Dashboard!$F$4) * _xlfn.NORM.S.INV(RAND())</f>
        <v>-1.8577627458462944E-3</v>
      </c>
    </row>
    <row r="9375" spans="18:21" x14ac:dyDescent="0.2">
      <c r="R9375" s="49">
        <v>9373</v>
      </c>
      <c r="S9375" s="59">
        <f ca="1">Dashboard!B$8* Dashboard!$F$4+Dashboard!B$10*SQRT(Dashboard!$F$4) * _xlfn.NORM.S.INV(RAND())</f>
        <v>-7.769153968469146E-3</v>
      </c>
      <c r="T9375" s="59">
        <f ca="1">Dashboard!C$8* Dashboard!$F$4+Dashboard!C$10*SQRT(Dashboard!$F$4) * _xlfn.NORM.S.INV(RAND())</f>
        <v>1.4634105829853042E-5</v>
      </c>
      <c r="U9375" s="59">
        <f ca="1">Dashboard!D$8* Dashboard!$F$4+Dashboard!D$10*SQRT(Dashboard!$F$4) * _xlfn.NORM.S.INV(RAND())</f>
        <v>4.414740984830022E-2</v>
      </c>
    </row>
    <row r="9376" spans="18:21" x14ac:dyDescent="0.2">
      <c r="R9376" s="49">
        <v>9374</v>
      </c>
      <c r="S9376" s="59">
        <f ca="1">Dashboard!B$8* Dashboard!$F$4+Dashboard!B$10*SQRT(Dashboard!$F$4) * _xlfn.NORM.S.INV(RAND())</f>
        <v>-2.2814692960529043E-2</v>
      </c>
      <c r="T9376" s="59">
        <f ca="1">Dashboard!C$8* Dashboard!$F$4+Dashboard!C$10*SQRT(Dashboard!$F$4) * _xlfn.NORM.S.INV(RAND())</f>
        <v>2.1668622857597665E-2</v>
      </c>
      <c r="U9376" s="59">
        <f ca="1">Dashboard!D$8* Dashboard!$F$4+Dashboard!D$10*SQRT(Dashboard!$F$4) * _xlfn.NORM.S.INV(RAND())</f>
        <v>4.8740969852306235E-2</v>
      </c>
    </row>
    <row r="9377" spans="18:21" x14ac:dyDescent="0.2">
      <c r="R9377" s="49">
        <v>9375</v>
      </c>
      <c r="S9377" s="59">
        <f ca="1">Dashboard!B$8* Dashboard!$F$4+Dashboard!B$10*SQRT(Dashboard!$F$4) * _xlfn.NORM.S.INV(RAND())</f>
        <v>6.3835349486801793E-3</v>
      </c>
      <c r="T9377" s="59">
        <f ca="1">Dashboard!C$8* Dashboard!$F$4+Dashboard!C$10*SQRT(Dashboard!$F$4) * _xlfn.NORM.S.INV(RAND())</f>
        <v>9.4372728282163896E-3</v>
      </c>
      <c r="U9377" s="59">
        <f ca="1">Dashboard!D$8* Dashboard!$F$4+Dashboard!D$10*SQRT(Dashboard!$F$4) * _xlfn.NORM.S.INV(RAND())</f>
        <v>-8.0998451054798026E-2</v>
      </c>
    </row>
    <row r="9378" spans="18:21" x14ac:dyDescent="0.2">
      <c r="R9378" s="49">
        <v>9376</v>
      </c>
      <c r="S9378" s="59">
        <f ca="1">Dashboard!B$8* Dashboard!$F$4+Dashboard!B$10*SQRT(Dashboard!$F$4) * _xlfn.NORM.S.INV(RAND())</f>
        <v>-3.0967535211649813E-2</v>
      </c>
      <c r="T9378" s="59">
        <f ca="1">Dashboard!C$8* Dashboard!$F$4+Dashboard!C$10*SQRT(Dashboard!$F$4) * _xlfn.NORM.S.INV(RAND())</f>
        <v>-2.8003090041114887E-2</v>
      </c>
      <c r="U9378" s="59">
        <f ca="1">Dashboard!D$8* Dashboard!$F$4+Dashboard!D$10*SQRT(Dashboard!$F$4) * _xlfn.NORM.S.INV(RAND())</f>
        <v>-2.8127289514782366E-2</v>
      </c>
    </row>
    <row r="9379" spans="18:21" x14ac:dyDescent="0.2">
      <c r="R9379" s="49">
        <v>9377</v>
      </c>
      <c r="S9379" s="59">
        <f ca="1">Dashboard!B$8* Dashboard!$F$4+Dashboard!B$10*SQRT(Dashboard!$F$4) * _xlfn.NORM.S.INV(RAND())</f>
        <v>5.7670489333134352E-2</v>
      </c>
      <c r="T9379" s="59">
        <f ca="1">Dashboard!C$8* Dashboard!$F$4+Dashboard!C$10*SQRT(Dashboard!$F$4) * _xlfn.NORM.S.INV(RAND())</f>
        <v>-4.0890374747070295E-2</v>
      </c>
      <c r="U9379" s="59">
        <f ca="1">Dashboard!D$8* Dashboard!$F$4+Dashboard!D$10*SQRT(Dashboard!$F$4) * _xlfn.NORM.S.INV(RAND())</f>
        <v>1.3169111938355111E-2</v>
      </c>
    </row>
    <row r="9380" spans="18:21" x14ac:dyDescent="0.2">
      <c r="R9380" s="49">
        <v>9378</v>
      </c>
      <c r="S9380" s="59">
        <f ca="1">Dashboard!B$8* Dashboard!$F$4+Dashboard!B$10*SQRT(Dashboard!$F$4) * _xlfn.NORM.S.INV(RAND())</f>
        <v>-9.7752810186996497E-3</v>
      </c>
      <c r="T9380" s="59">
        <f ca="1">Dashboard!C$8* Dashboard!$F$4+Dashboard!C$10*SQRT(Dashboard!$F$4) * _xlfn.NORM.S.INV(RAND())</f>
        <v>-3.0084968434190087E-2</v>
      </c>
      <c r="U9380" s="59">
        <f ca="1">Dashboard!D$8* Dashboard!$F$4+Dashboard!D$10*SQRT(Dashboard!$F$4) * _xlfn.NORM.S.INV(RAND())</f>
        <v>4.4026365561146592E-2</v>
      </c>
    </row>
    <row r="9381" spans="18:21" x14ac:dyDescent="0.2">
      <c r="R9381" s="49">
        <v>9379</v>
      </c>
      <c r="S9381" s="59">
        <f ca="1">Dashboard!B$8* Dashboard!$F$4+Dashboard!B$10*SQRT(Dashboard!$F$4) * _xlfn.NORM.S.INV(RAND())</f>
        <v>9.1488915923025257E-4</v>
      </c>
      <c r="T9381" s="59">
        <f ca="1">Dashboard!C$8* Dashboard!$F$4+Dashboard!C$10*SQRT(Dashboard!$F$4) * _xlfn.NORM.S.INV(RAND())</f>
        <v>-1.1874162511328334E-2</v>
      </c>
      <c r="U9381" s="59">
        <f ca="1">Dashboard!D$8* Dashboard!$F$4+Dashboard!D$10*SQRT(Dashboard!$F$4) * _xlfn.NORM.S.INV(RAND())</f>
        <v>7.9629397851118944E-3</v>
      </c>
    </row>
    <row r="9382" spans="18:21" x14ac:dyDescent="0.2">
      <c r="R9382" s="49">
        <v>9380</v>
      </c>
      <c r="S9382" s="59">
        <f ca="1">Dashboard!B$8* Dashboard!$F$4+Dashboard!B$10*SQRT(Dashboard!$F$4) * _xlfn.NORM.S.INV(RAND())</f>
        <v>-6.7691908730807123E-3</v>
      </c>
      <c r="T9382" s="59">
        <f ca="1">Dashboard!C$8* Dashboard!$F$4+Dashboard!C$10*SQRT(Dashboard!$F$4) * _xlfn.NORM.S.INV(RAND())</f>
        <v>2.2852396095125109E-3</v>
      </c>
      <c r="U9382" s="59">
        <f ca="1">Dashboard!D$8* Dashboard!$F$4+Dashboard!D$10*SQRT(Dashboard!$F$4) * _xlfn.NORM.S.INV(RAND())</f>
        <v>-6.9320785312175677E-3</v>
      </c>
    </row>
    <row r="9383" spans="18:21" x14ac:dyDescent="0.2">
      <c r="R9383" s="49">
        <v>9381</v>
      </c>
      <c r="S9383" s="59">
        <f ca="1">Dashboard!B$8* Dashboard!$F$4+Dashboard!B$10*SQRT(Dashboard!$F$4) * _xlfn.NORM.S.INV(RAND())</f>
        <v>1.210182574662969E-2</v>
      </c>
      <c r="T9383" s="59">
        <f ca="1">Dashboard!C$8* Dashboard!$F$4+Dashboard!C$10*SQRT(Dashboard!$F$4) * _xlfn.NORM.S.INV(RAND())</f>
        <v>3.8568363488513682E-2</v>
      </c>
      <c r="U9383" s="59">
        <f ca="1">Dashboard!D$8* Dashboard!$F$4+Dashboard!D$10*SQRT(Dashboard!$F$4) * _xlfn.NORM.S.INV(RAND())</f>
        <v>8.5454735280639463E-3</v>
      </c>
    </row>
    <row r="9384" spans="18:21" x14ac:dyDescent="0.2">
      <c r="R9384" s="49">
        <v>9382</v>
      </c>
      <c r="S9384" s="59">
        <f ca="1">Dashboard!B$8* Dashboard!$F$4+Dashboard!B$10*SQRT(Dashboard!$F$4) * _xlfn.NORM.S.INV(RAND())</f>
        <v>2.287255847213965E-3</v>
      </c>
      <c r="T9384" s="59">
        <f ca="1">Dashboard!C$8* Dashboard!$F$4+Dashboard!C$10*SQRT(Dashboard!$F$4) * _xlfn.NORM.S.INV(RAND())</f>
        <v>-6.366276586888161E-3</v>
      </c>
      <c r="U9384" s="59">
        <f ca="1">Dashboard!D$8* Dashboard!$F$4+Dashboard!D$10*SQRT(Dashboard!$F$4) * _xlfn.NORM.S.INV(RAND())</f>
        <v>-3.5256031398722708E-2</v>
      </c>
    </row>
    <row r="9385" spans="18:21" x14ac:dyDescent="0.2">
      <c r="R9385" s="49">
        <v>9383</v>
      </c>
      <c r="S9385" s="59">
        <f ca="1">Dashboard!B$8* Dashboard!$F$4+Dashboard!B$10*SQRT(Dashboard!$F$4) * _xlfn.NORM.S.INV(RAND())</f>
        <v>-4.8587259825539693E-2</v>
      </c>
      <c r="T9385" s="59">
        <f ca="1">Dashboard!C$8* Dashboard!$F$4+Dashboard!C$10*SQRT(Dashboard!$F$4) * _xlfn.NORM.S.INV(RAND())</f>
        <v>9.9048195497806225E-3</v>
      </c>
      <c r="U9385" s="59">
        <f ca="1">Dashboard!D$8* Dashboard!$F$4+Dashboard!D$10*SQRT(Dashboard!$F$4) * _xlfn.NORM.S.INV(RAND())</f>
        <v>-1.5249119125383242E-2</v>
      </c>
    </row>
    <row r="9386" spans="18:21" x14ac:dyDescent="0.2">
      <c r="R9386" s="49">
        <v>9384</v>
      </c>
      <c r="S9386" s="59">
        <f ca="1">Dashboard!B$8* Dashboard!$F$4+Dashboard!B$10*SQRT(Dashboard!$F$4) * _xlfn.NORM.S.INV(RAND())</f>
        <v>1.7459487293310563E-3</v>
      </c>
      <c r="T9386" s="59">
        <f ca="1">Dashboard!C$8* Dashboard!$F$4+Dashboard!C$10*SQRT(Dashboard!$F$4) * _xlfn.NORM.S.INV(RAND())</f>
        <v>-7.0788339777702039E-3</v>
      </c>
      <c r="U9386" s="59">
        <f ca="1">Dashboard!D$8* Dashboard!$F$4+Dashboard!D$10*SQRT(Dashboard!$F$4) * _xlfn.NORM.S.INV(RAND())</f>
        <v>3.8538287304907125E-2</v>
      </c>
    </row>
    <row r="9387" spans="18:21" x14ac:dyDescent="0.2">
      <c r="R9387" s="49">
        <v>9385</v>
      </c>
      <c r="S9387" s="59">
        <f ca="1">Dashboard!B$8* Dashboard!$F$4+Dashboard!B$10*SQRT(Dashboard!$F$4) * _xlfn.NORM.S.INV(RAND())</f>
        <v>-2.1464071514440191E-3</v>
      </c>
      <c r="T9387" s="59">
        <f ca="1">Dashboard!C$8* Dashboard!$F$4+Dashboard!C$10*SQRT(Dashboard!$F$4) * _xlfn.NORM.S.INV(RAND())</f>
        <v>9.1355213438057102E-3</v>
      </c>
      <c r="U9387" s="59">
        <f ca="1">Dashboard!D$8* Dashboard!$F$4+Dashboard!D$10*SQRT(Dashboard!$F$4) * _xlfn.NORM.S.INV(RAND())</f>
        <v>1.1642609987258315E-2</v>
      </c>
    </row>
    <row r="9388" spans="18:21" x14ac:dyDescent="0.2">
      <c r="R9388" s="49">
        <v>9386</v>
      </c>
      <c r="S9388" s="59">
        <f ca="1">Dashboard!B$8* Dashboard!$F$4+Dashboard!B$10*SQRT(Dashboard!$F$4) * _xlfn.NORM.S.INV(RAND())</f>
        <v>-3.4036772435940783E-2</v>
      </c>
      <c r="T9388" s="59">
        <f ca="1">Dashboard!C$8* Dashboard!$F$4+Dashboard!C$10*SQRT(Dashboard!$F$4) * _xlfn.NORM.S.INV(RAND())</f>
        <v>-3.6846141114172002E-3</v>
      </c>
      <c r="U9388" s="59">
        <f ca="1">Dashboard!D$8* Dashboard!$F$4+Dashboard!D$10*SQRT(Dashboard!$F$4) * _xlfn.NORM.S.INV(RAND())</f>
        <v>-1.5958587695676263E-2</v>
      </c>
    </row>
    <row r="9389" spans="18:21" x14ac:dyDescent="0.2">
      <c r="R9389" s="49">
        <v>9387</v>
      </c>
      <c r="S9389" s="59">
        <f ca="1">Dashboard!B$8* Dashboard!$F$4+Dashboard!B$10*SQRT(Dashboard!$F$4) * _xlfn.NORM.S.INV(RAND())</f>
        <v>2.9806176523631489E-2</v>
      </c>
      <c r="T9389" s="59">
        <f ca="1">Dashboard!C$8* Dashboard!$F$4+Dashboard!C$10*SQRT(Dashboard!$F$4) * _xlfn.NORM.S.INV(RAND())</f>
        <v>8.915835087597768E-3</v>
      </c>
      <c r="U9389" s="59">
        <f ca="1">Dashboard!D$8* Dashboard!$F$4+Dashboard!D$10*SQRT(Dashboard!$F$4) * _xlfn.NORM.S.INV(RAND())</f>
        <v>4.1869617012520059E-2</v>
      </c>
    </row>
    <row r="9390" spans="18:21" x14ac:dyDescent="0.2">
      <c r="R9390" s="49">
        <v>9388</v>
      </c>
      <c r="S9390" s="59">
        <f ca="1">Dashboard!B$8* Dashboard!$F$4+Dashboard!B$10*SQRT(Dashboard!$F$4) * _xlfn.NORM.S.INV(RAND())</f>
        <v>2.5854368598986502E-2</v>
      </c>
      <c r="T9390" s="59">
        <f ca="1">Dashboard!C$8* Dashboard!$F$4+Dashboard!C$10*SQRT(Dashboard!$F$4) * _xlfn.NORM.S.INV(RAND())</f>
        <v>-2.0593502575864064E-2</v>
      </c>
      <c r="U9390" s="59">
        <f ca="1">Dashboard!D$8* Dashboard!$F$4+Dashboard!D$10*SQRT(Dashboard!$F$4) * _xlfn.NORM.S.INV(RAND())</f>
        <v>1.8265530346354615E-3</v>
      </c>
    </row>
    <row r="9391" spans="18:21" x14ac:dyDescent="0.2">
      <c r="R9391" s="49">
        <v>9389</v>
      </c>
      <c r="S9391" s="59">
        <f ca="1">Dashboard!B$8* Dashboard!$F$4+Dashboard!B$10*SQRT(Dashboard!$F$4) * _xlfn.NORM.S.INV(RAND())</f>
        <v>-1.6617407560463471E-2</v>
      </c>
      <c r="T9391" s="59">
        <f ca="1">Dashboard!C$8* Dashboard!$F$4+Dashboard!C$10*SQRT(Dashboard!$F$4) * _xlfn.NORM.S.INV(RAND())</f>
        <v>-1.1661709491407476E-2</v>
      </c>
      <c r="U9391" s="59">
        <f ca="1">Dashboard!D$8* Dashboard!$F$4+Dashboard!D$10*SQRT(Dashboard!$F$4) * _xlfn.NORM.S.INV(RAND())</f>
        <v>2.1666518324691348E-3</v>
      </c>
    </row>
    <row r="9392" spans="18:21" x14ac:dyDescent="0.2">
      <c r="R9392" s="49">
        <v>9390</v>
      </c>
      <c r="S9392" s="59">
        <f ca="1">Dashboard!B$8* Dashboard!$F$4+Dashboard!B$10*SQRT(Dashboard!$F$4) * _xlfn.NORM.S.INV(RAND())</f>
        <v>-4.7878132418869759E-3</v>
      </c>
      <c r="T9392" s="59">
        <f ca="1">Dashboard!C$8* Dashboard!$F$4+Dashboard!C$10*SQRT(Dashboard!$F$4) * _xlfn.NORM.S.INV(RAND())</f>
        <v>3.7671610283117017E-2</v>
      </c>
      <c r="U9392" s="59">
        <f ca="1">Dashboard!D$8* Dashboard!$F$4+Dashboard!D$10*SQRT(Dashboard!$F$4) * _xlfn.NORM.S.INV(RAND())</f>
        <v>1.9961369088848657E-2</v>
      </c>
    </row>
    <row r="9393" spans="18:21" x14ac:dyDescent="0.2">
      <c r="R9393" s="49">
        <v>9391</v>
      </c>
      <c r="S9393" s="59">
        <f ca="1">Dashboard!B$8* Dashboard!$F$4+Dashboard!B$10*SQRT(Dashboard!$F$4) * _xlfn.NORM.S.INV(RAND())</f>
        <v>-3.8884213397819695E-3</v>
      </c>
      <c r="T9393" s="59">
        <f ca="1">Dashboard!C$8* Dashboard!$F$4+Dashboard!C$10*SQRT(Dashboard!$F$4) * _xlfn.NORM.S.INV(RAND())</f>
        <v>-1.006005220808124E-2</v>
      </c>
      <c r="U9393" s="59">
        <f ca="1">Dashboard!D$8* Dashboard!$F$4+Dashboard!D$10*SQRT(Dashboard!$F$4) * _xlfn.NORM.S.INV(RAND())</f>
        <v>-3.6967363769495262E-2</v>
      </c>
    </row>
    <row r="9394" spans="18:21" x14ac:dyDescent="0.2">
      <c r="R9394" s="49">
        <v>9392</v>
      </c>
      <c r="S9394" s="59">
        <f ca="1">Dashboard!B$8* Dashboard!$F$4+Dashboard!B$10*SQRT(Dashboard!$F$4) * _xlfn.NORM.S.INV(RAND())</f>
        <v>2.7213574029124861E-3</v>
      </c>
      <c r="T9394" s="59">
        <f ca="1">Dashboard!C$8* Dashboard!$F$4+Dashboard!C$10*SQRT(Dashboard!$F$4) * _xlfn.NORM.S.INV(RAND())</f>
        <v>-3.1733602503783501E-2</v>
      </c>
      <c r="U9394" s="59">
        <f ca="1">Dashboard!D$8* Dashboard!$F$4+Dashboard!D$10*SQRT(Dashboard!$F$4) * _xlfn.NORM.S.INV(RAND())</f>
        <v>5.7854221162820553E-2</v>
      </c>
    </row>
    <row r="9395" spans="18:21" x14ac:dyDescent="0.2">
      <c r="R9395" s="49">
        <v>9393</v>
      </c>
      <c r="S9395" s="59">
        <f ca="1">Dashboard!B$8* Dashboard!$F$4+Dashboard!B$10*SQRT(Dashboard!$F$4) * _xlfn.NORM.S.INV(RAND())</f>
        <v>2.9280998728052912E-2</v>
      </c>
      <c r="T9395" s="59">
        <f ca="1">Dashboard!C$8* Dashboard!$F$4+Dashboard!C$10*SQRT(Dashboard!$F$4) * _xlfn.NORM.S.INV(RAND())</f>
        <v>2.9643911526245001E-2</v>
      </c>
      <c r="U9395" s="59">
        <f ca="1">Dashboard!D$8* Dashboard!$F$4+Dashboard!D$10*SQRT(Dashboard!$F$4) * _xlfn.NORM.S.INV(RAND())</f>
        <v>-2.8345372086706334E-2</v>
      </c>
    </row>
    <row r="9396" spans="18:21" x14ac:dyDescent="0.2">
      <c r="R9396" s="49">
        <v>9394</v>
      </c>
      <c r="S9396" s="59">
        <f ca="1">Dashboard!B$8* Dashboard!$F$4+Dashboard!B$10*SQRT(Dashboard!$F$4) * _xlfn.NORM.S.INV(RAND())</f>
        <v>-1.7961401030085053E-3</v>
      </c>
      <c r="T9396" s="59">
        <f ca="1">Dashboard!C$8* Dashboard!$F$4+Dashboard!C$10*SQRT(Dashboard!$F$4) * _xlfn.NORM.S.INV(RAND())</f>
        <v>-3.3398038586820904E-3</v>
      </c>
      <c r="U9396" s="59">
        <f ca="1">Dashboard!D$8* Dashboard!$F$4+Dashboard!D$10*SQRT(Dashboard!$F$4) * _xlfn.NORM.S.INV(RAND())</f>
        <v>-2.4169572484777198E-2</v>
      </c>
    </row>
    <row r="9397" spans="18:21" x14ac:dyDescent="0.2">
      <c r="R9397" s="49">
        <v>9395</v>
      </c>
      <c r="S9397" s="59">
        <f ca="1">Dashboard!B$8* Dashboard!$F$4+Dashboard!B$10*SQRT(Dashboard!$F$4) * _xlfn.NORM.S.INV(RAND())</f>
        <v>-7.0514576372817548E-3</v>
      </c>
      <c r="T9397" s="59">
        <f ca="1">Dashboard!C$8* Dashboard!$F$4+Dashboard!C$10*SQRT(Dashboard!$F$4) * _xlfn.NORM.S.INV(RAND())</f>
        <v>1.9148132185584966E-2</v>
      </c>
      <c r="U9397" s="59">
        <f ca="1">Dashboard!D$8* Dashboard!$F$4+Dashboard!D$10*SQRT(Dashboard!$F$4) * _xlfn.NORM.S.INV(RAND())</f>
        <v>-3.1842323458793056E-3</v>
      </c>
    </row>
    <row r="9398" spans="18:21" x14ac:dyDescent="0.2">
      <c r="R9398" s="49">
        <v>9396</v>
      </c>
      <c r="S9398" s="59">
        <f ca="1">Dashboard!B$8* Dashboard!$F$4+Dashboard!B$10*SQRT(Dashboard!$F$4) * _xlfn.NORM.S.INV(RAND())</f>
        <v>-7.4000032739735974E-2</v>
      </c>
      <c r="T9398" s="59">
        <f ca="1">Dashboard!C$8* Dashboard!$F$4+Dashboard!C$10*SQRT(Dashboard!$F$4) * _xlfn.NORM.S.INV(RAND())</f>
        <v>-3.027258807340753E-4</v>
      </c>
      <c r="U9398" s="59">
        <f ca="1">Dashboard!D$8* Dashboard!$F$4+Dashboard!D$10*SQRT(Dashboard!$F$4) * _xlfn.NORM.S.INV(RAND())</f>
        <v>-4.1862963630860721E-2</v>
      </c>
    </row>
    <row r="9399" spans="18:21" x14ac:dyDescent="0.2">
      <c r="R9399" s="49">
        <v>9397</v>
      </c>
      <c r="S9399" s="59">
        <f ca="1">Dashboard!B$8* Dashboard!$F$4+Dashboard!B$10*SQRT(Dashboard!$F$4) * _xlfn.NORM.S.INV(RAND())</f>
        <v>3.7775502792457137E-2</v>
      </c>
      <c r="T9399" s="59">
        <f ca="1">Dashboard!C$8* Dashboard!$F$4+Dashboard!C$10*SQRT(Dashboard!$F$4) * _xlfn.NORM.S.INV(RAND())</f>
        <v>8.0535238288857836E-2</v>
      </c>
      <c r="U9399" s="59">
        <f ca="1">Dashboard!D$8* Dashboard!$F$4+Dashboard!D$10*SQRT(Dashboard!$F$4) * _xlfn.NORM.S.INV(RAND())</f>
        <v>2.8678971249667798E-2</v>
      </c>
    </row>
    <row r="9400" spans="18:21" x14ac:dyDescent="0.2">
      <c r="R9400" s="49">
        <v>9398</v>
      </c>
      <c r="S9400" s="59">
        <f ca="1">Dashboard!B$8* Dashboard!$F$4+Dashboard!B$10*SQRT(Dashboard!$F$4) * _xlfn.NORM.S.INV(RAND())</f>
        <v>1.0410211680195935E-3</v>
      </c>
      <c r="T9400" s="59">
        <f ca="1">Dashboard!C$8* Dashboard!$F$4+Dashboard!C$10*SQRT(Dashboard!$F$4) * _xlfn.NORM.S.INV(RAND())</f>
        <v>6.6401102247614446E-2</v>
      </c>
      <c r="U9400" s="59">
        <f ca="1">Dashboard!D$8* Dashboard!$F$4+Dashboard!D$10*SQRT(Dashboard!$F$4) * _xlfn.NORM.S.INV(RAND())</f>
        <v>-3.8382990074719125E-2</v>
      </c>
    </row>
    <row r="9401" spans="18:21" x14ac:dyDescent="0.2">
      <c r="R9401" s="49">
        <v>9399</v>
      </c>
      <c r="S9401" s="59">
        <f ca="1">Dashboard!B$8* Dashboard!$F$4+Dashboard!B$10*SQRT(Dashboard!$F$4) * _xlfn.NORM.S.INV(RAND())</f>
        <v>-3.5054430324969479E-2</v>
      </c>
      <c r="T9401" s="59">
        <f ca="1">Dashboard!C$8* Dashboard!$F$4+Dashboard!C$10*SQRT(Dashboard!$F$4) * _xlfn.NORM.S.INV(RAND())</f>
        <v>-3.6197077318532674E-2</v>
      </c>
      <c r="U9401" s="59">
        <f ca="1">Dashboard!D$8* Dashboard!$F$4+Dashboard!D$10*SQRT(Dashboard!$F$4) * _xlfn.NORM.S.INV(RAND())</f>
        <v>-5.9214472919452265E-3</v>
      </c>
    </row>
    <row r="9402" spans="18:21" x14ac:dyDescent="0.2">
      <c r="R9402" s="49">
        <v>9400</v>
      </c>
      <c r="S9402" s="59">
        <f ca="1">Dashboard!B$8* Dashboard!$F$4+Dashboard!B$10*SQRT(Dashboard!$F$4) * _xlfn.NORM.S.INV(RAND())</f>
        <v>3.0443076238852876E-3</v>
      </c>
      <c r="T9402" s="59">
        <f ca="1">Dashboard!C$8* Dashboard!$F$4+Dashboard!C$10*SQRT(Dashboard!$F$4) * _xlfn.NORM.S.INV(RAND())</f>
        <v>2.1639779677385937E-2</v>
      </c>
      <c r="U9402" s="59">
        <f ca="1">Dashboard!D$8* Dashboard!$F$4+Dashboard!D$10*SQRT(Dashboard!$F$4) * _xlfn.NORM.S.INV(RAND())</f>
        <v>2.296365404053978E-2</v>
      </c>
    </row>
    <row r="9403" spans="18:21" x14ac:dyDescent="0.2">
      <c r="R9403" s="49">
        <v>9401</v>
      </c>
      <c r="S9403" s="59">
        <f ca="1">Dashboard!B$8* Dashboard!$F$4+Dashboard!B$10*SQRT(Dashboard!$F$4) * _xlfn.NORM.S.INV(RAND())</f>
        <v>-2.6003563875458463E-2</v>
      </c>
      <c r="T9403" s="59">
        <f ca="1">Dashboard!C$8* Dashboard!$F$4+Dashboard!C$10*SQRT(Dashboard!$F$4) * _xlfn.NORM.S.INV(RAND())</f>
        <v>5.7417683231316102E-2</v>
      </c>
      <c r="U9403" s="59">
        <f ca="1">Dashboard!D$8* Dashboard!$F$4+Dashboard!D$10*SQRT(Dashboard!$F$4) * _xlfn.NORM.S.INV(RAND())</f>
        <v>-5.4738681042410642E-2</v>
      </c>
    </row>
    <row r="9404" spans="18:21" x14ac:dyDescent="0.2">
      <c r="R9404" s="49">
        <v>9402</v>
      </c>
      <c r="S9404" s="59">
        <f ca="1">Dashboard!B$8* Dashboard!$F$4+Dashboard!B$10*SQRT(Dashboard!$F$4) * _xlfn.NORM.S.INV(RAND())</f>
        <v>3.2396083767676033E-2</v>
      </c>
      <c r="T9404" s="59">
        <f ca="1">Dashboard!C$8* Dashboard!$F$4+Dashboard!C$10*SQRT(Dashboard!$F$4) * _xlfn.NORM.S.INV(RAND())</f>
        <v>2.8341506609434304E-2</v>
      </c>
      <c r="U9404" s="59">
        <f ca="1">Dashboard!D$8* Dashboard!$F$4+Dashboard!D$10*SQRT(Dashboard!$F$4) * _xlfn.NORM.S.INV(RAND())</f>
        <v>1.3064356489960781E-2</v>
      </c>
    </row>
    <row r="9405" spans="18:21" x14ac:dyDescent="0.2">
      <c r="R9405" s="49">
        <v>9403</v>
      </c>
      <c r="S9405" s="59">
        <f ca="1">Dashboard!B$8* Dashboard!$F$4+Dashboard!B$10*SQRT(Dashboard!$F$4) * _xlfn.NORM.S.INV(RAND())</f>
        <v>-3.8481648662393411E-2</v>
      </c>
      <c r="T9405" s="59">
        <f ca="1">Dashboard!C$8* Dashboard!$F$4+Dashboard!C$10*SQRT(Dashboard!$F$4) * _xlfn.NORM.S.INV(RAND())</f>
        <v>2.9682049767047119E-2</v>
      </c>
      <c r="U9405" s="59">
        <f ca="1">Dashboard!D$8* Dashboard!$F$4+Dashboard!D$10*SQRT(Dashboard!$F$4) * _xlfn.NORM.S.INV(RAND())</f>
        <v>-1.3747025690346946E-2</v>
      </c>
    </row>
    <row r="9406" spans="18:21" x14ac:dyDescent="0.2">
      <c r="R9406" s="49">
        <v>9404</v>
      </c>
      <c r="S9406" s="59">
        <f ca="1">Dashboard!B$8* Dashboard!$F$4+Dashboard!B$10*SQRT(Dashboard!$F$4) * _xlfn.NORM.S.INV(RAND())</f>
        <v>3.5375833164318082E-2</v>
      </c>
      <c r="T9406" s="59">
        <f ca="1">Dashboard!C$8* Dashboard!$F$4+Dashboard!C$10*SQRT(Dashboard!$F$4) * _xlfn.NORM.S.INV(RAND())</f>
        <v>-4.0094753822946918E-3</v>
      </c>
      <c r="U9406" s="59">
        <f ca="1">Dashboard!D$8* Dashboard!$F$4+Dashboard!D$10*SQRT(Dashboard!$F$4) * _xlfn.NORM.S.INV(RAND())</f>
        <v>2.3205331012434643E-2</v>
      </c>
    </row>
    <row r="9407" spans="18:21" x14ac:dyDescent="0.2">
      <c r="R9407" s="49">
        <v>9405</v>
      </c>
      <c r="S9407" s="59">
        <f ca="1">Dashboard!B$8* Dashboard!$F$4+Dashboard!B$10*SQRT(Dashboard!$F$4) * _xlfn.NORM.S.INV(RAND())</f>
        <v>-4.6527421411502456E-2</v>
      </c>
      <c r="T9407" s="59">
        <f ca="1">Dashboard!C$8* Dashboard!$F$4+Dashboard!C$10*SQRT(Dashboard!$F$4) * _xlfn.NORM.S.INV(RAND())</f>
        <v>4.5347340248948508E-2</v>
      </c>
      <c r="U9407" s="59">
        <f ca="1">Dashboard!D$8* Dashboard!$F$4+Dashboard!D$10*SQRT(Dashboard!$F$4) * _xlfn.NORM.S.INV(RAND())</f>
        <v>-1.8080871226762399E-2</v>
      </c>
    </row>
    <row r="9408" spans="18:21" x14ac:dyDescent="0.2">
      <c r="R9408" s="49">
        <v>9406</v>
      </c>
      <c r="S9408" s="59">
        <f ca="1">Dashboard!B$8* Dashboard!$F$4+Dashboard!B$10*SQRT(Dashboard!$F$4) * _xlfn.NORM.S.INV(RAND())</f>
        <v>-1.402232996417129E-2</v>
      </c>
      <c r="T9408" s="59">
        <f ca="1">Dashboard!C$8* Dashboard!$F$4+Dashboard!C$10*SQRT(Dashboard!$F$4) * _xlfn.NORM.S.INV(RAND())</f>
        <v>-2.4715640670302311E-3</v>
      </c>
      <c r="U9408" s="59">
        <f ca="1">Dashboard!D$8* Dashboard!$F$4+Dashboard!D$10*SQRT(Dashboard!$F$4) * _xlfn.NORM.S.INV(RAND())</f>
        <v>1.2167543912602002E-2</v>
      </c>
    </row>
    <row r="9409" spans="18:21" x14ac:dyDescent="0.2">
      <c r="R9409" s="49">
        <v>9407</v>
      </c>
      <c r="S9409" s="59">
        <f ca="1">Dashboard!B$8* Dashboard!$F$4+Dashboard!B$10*SQRT(Dashboard!$F$4) * _xlfn.NORM.S.INV(RAND())</f>
        <v>-1.0030598434978777E-2</v>
      </c>
      <c r="T9409" s="59">
        <f ca="1">Dashboard!C$8* Dashboard!$F$4+Dashboard!C$10*SQRT(Dashboard!$F$4) * _xlfn.NORM.S.INV(RAND())</f>
        <v>-3.7450280696760721E-2</v>
      </c>
      <c r="U9409" s="59">
        <f ca="1">Dashboard!D$8* Dashboard!$F$4+Dashboard!D$10*SQRT(Dashboard!$F$4) * _xlfn.NORM.S.INV(RAND())</f>
        <v>1.0402787466411774E-2</v>
      </c>
    </row>
    <row r="9410" spans="18:21" x14ac:dyDescent="0.2">
      <c r="R9410" s="49">
        <v>9408</v>
      </c>
      <c r="S9410" s="59">
        <f ca="1">Dashboard!B$8* Dashboard!$F$4+Dashboard!B$10*SQRT(Dashboard!$F$4) * _xlfn.NORM.S.INV(RAND())</f>
        <v>-6.9105994640624807E-2</v>
      </c>
      <c r="T9410" s="59">
        <f ca="1">Dashboard!C$8* Dashboard!$F$4+Dashboard!C$10*SQRT(Dashboard!$F$4) * _xlfn.NORM.S.INV(RAND())</f>
        <v>3.4236649600202534E-2</v>
      </c>
      <c r="U9410" s="59">
        <f ca="1">Dashboard!D$8* Dashboard!$F$4+Dashboard!D$10*SQRT(Dashboard!$F$4) * _xlfn.NORM.S.INV(RAND())</f>
        <v>2.2196226809371021E-2</v>
      </c>
    </row>
    <row r="9411" spans="18:21" x14ac:dyDescent="0.2">
      <c r="R9411" s="49">
        <v>9409</v>
      </c>
      <c r="S9411" s="59">
        <f ca="1">Dashboard!B$8* Dashboard!$F$4+Dashboard!B$10*SQRT(Dashboard!$F$4) * _xlfn.NORM.S.INV(RAND())</f>
        <v>2.852374736397828E-2</v>
      </c>
      <c r="T9411" s="59">
        <f ca="1">Dashboard!C$8* Dashboard!$F$4+Dashboard!C$10*SQRT(Dashboard!$F$4) * _xlfn.NORM.S.INV(RAND())</f>
        <v>-8.4523087502193478E-2</v>
      </c>
      <c r="U9411" s="59">
        <f ca="1">Dashboard!D$8* Dashboard!$F$4+Dashboard!D$10*SQRT(Dashboard!$F$4) * _xlfn.NORM.S.INV(RAND())</f>
        <v>-4.0572225936860822E-2</v>
      </c>
    </row>
    <row r="9412" spans="18:21" x14ac:dyDescent="0.2">
      <c r="R9412" s="49">
        <v>9410</v>
      </c>
      <c r="S9412" s="59">
        <f ca="1">Dashboard!B$8* Dashboard!$F$4+Dashboard!B$10*SQRT(Dashboard!$F$4) * _xlfn.NORM.S.INV(RAND())</f>
        <v>5.1900401009851854E-3</v>
      </c>
      <c r="T9412" s="59">
        <f ca="1">Dashboard!C$8* Dashboard!$F$4+Dashboard!C$10*SQRT(Dashboard!$F$4) * _xlfn.NORM.S.INV(RAND())</f>
        <v>-4.7314651323463906E-3</v>
      </c>
      <c r="U9412" s="59">
        <f ca="1">Dashboard!D$8* Dashboard!$F$4+Dashboard!D$10*SQRT(Dashboard!$F$4) * _xlfn.NORM.S.INV(RAND())</f>
        <v>1.9200635109556864E-2</v>
      </c>
    </row>
    <row r="9413" spans="18:21" x14ac:dyDescent="0.2">
      <c r="R9413" s="49">
        <v>9411</v>
      </c>
      <c r="S9413" s="59">
        <f ca="1">Dashboard!B$8* Dashboard!$F$4+Dashboard!B$10*SQRT(Dashboard!$F$4) * _xlfn.NORM.S.INV(RAND())</f>
        <v>-6.5761620276707136E-2</v>
      </c>
      <c r="T9413" s="59">
        <f ca="1">Dashboard!C$8* Dashboard!$F$4+Dashboard!C$10*SQRT(Dashboard!$F$4) * _xlfn.NORM.S.INV(RAND())</f>
        <v>-3.8217083209542042E-2</v>
      </c>
      <c r="U9413" s="59">
        <f ca="1">Dashboard!D$8* Dashboard!$F$4+Dashboard!D$10*SQRT(Dashboard!$F$4) * _xlfn.NORM.S.INV(RAND())</f>
        <v>-1.6895288764343205E-2</v>
      </c>
    </row>
    <row r="9414" spans="18:21" x14ac:dyDescent="0.2">
      <c r="R9414" s="49">
        <v>9412</v>
      </c>
      <c r="S9414" s="59">
        <f ca="1">Dashboard!B$8* Dashboard!$F$4+Dashboard!B$10*SQRT(Dashboard!$F$4) * _xlfn.NORM.S.INV(RAND())</f>
        <v>6.0013065572354612E-2</v>
      </c>
      <c r="T9414" s="59">
        <f ca="1">Dashboard!C$8* Dashboard!$F$4+Dashboard!C$10*SQRT(Dashboard!$F$4) * _xlfn.NORM.S.INV(RAND())</f>
        <v>4.4034505186620901E-2</v>
      </c>
      <c r="U9414" s="59">
        <f ca="1">Dashboard!D$8* Dashboard!$F$4+Dashboard!D$10*SQRT(Dashboard!$F$4) * _xlfn.NORM.S.INV(RAND())</f>
        <v>1.228299039800604E-2</v>
      </c>
    </row>
    <row r="9415" spans="18:21" x14ac:dyDescent="0.2">
      <c r="R9415" s="49">
        <v>9413</v>
      </c>
      <c r="S9415" s="59">
        <f ca="1">Dashboard!B$8* Dashboard!$F$4+Dashboard!B$10*SQRT(Dashboard!$F$4) * _xlfn.NORM.S.INV(RAND())</f>
        <v>-1.2020449168393083E-2</v>
      </c>
      <c r="T9415" s="59">
        <f ca="1">Dashboard!C$8* Dashboard!$F$4+Dashboard!C$10*SQRT(Dashboard!$F$4) * _xlfn.NORM.S.INV(RAND())</f>
        <v>-1.25515338161421E-3</v>
      </c>
      <c r="U9415" s="59">
        <f ca="1">Dashboard!D$8* Dashboard!$F$4+Dashboard!D$10*SQRT(Dashboard!$F$4) * _xlfn.NORM.S.INV(RAND())</f>
        <v>1.9099590491321546E-2</v>
      </c>
    </row>
    <row r="9416" spans="18:21" x14ac:dyDescent="0.2">
      <c r="R9416" s="49">
        <v>9414</v>
      </c>
      <c r="S9416" s="59">
        <f ca="1">Dashboard!B$8* Dashboard!$F$4+Dashboard!B$10*SQRT(Dashboard!$F$4) * _xlfn.NORM.S.INV(RAND())</f>
        <v>-7.8447181866924138E-3</v>
      </c>
      <c r="T9416" s="59">
        <f ca="1">Dashboard!C$8* Dashboard!$F$4+Dashboard!C$10*SQRT(Dashboard!$F$4) * _xlfn.NORM.S.INV(RAND())</f>
        <v>1.1928805198249619E-2</v>
      </c>
      <c r="U9416" s="59">
        <f ca="1">Dashboard!D$8* Dashboard!$F$4+Dashboard!D$10*SQRT(Dashboard!$F$4) * _xlfn.NORM.S.INV(RAND())</f>
        <v>2.1928183587298426E-2</v>
      </c>
    </row>
    <row r="9417" spans="18:21" x14ac:dyDescent="0.2">
      <c r="R9417" s="49">
        <v>9415</v>
      </c>
      <c r="S9417" s="59">
        <f ca="1">Dashboard!B$8* Dashboard!$F$4+Dashboard!B$10*SQRT(Dashboard!$F$4) * _xlfn.NORM.S.INV(RAND())</f>
        <v>-1.0069606479238404E-2</v>
      </c>
      <c r="T9417" s="59">
        <f ca="1">Dashboard!C$8* Dashboard!$F$4+Dashboard!C$10*SQRT(Dashboard!$F$4) * _xlfn.NORM.S.INV(RAND())</f>
        <v>-8.0909319325787564E-3</v>
      </c>
      <c r="U9417" s="59">
        <f ca="1">Dashboard!D$8* Dashboard!$F$4+Dashboard!D$10*SQRT(Dashboard!$F$4) * _xlfn.NORM.S.INV(RAND())</f>
        <v>1.183537175830421E-2</v>
      </c>
    </row>
    <row r="9418" spans="18:21" x14ac:dyDescent="0.2">
      <c r="R9418" s="49">
        <v>9416</v>
      </c>
      <c r="S9418" s="59">
        <f ca="1">Dashboard!B$8* Dashboard!$F$4+Dashboard!B$10*SQRT(Dashboard!$F$4) * _xlfn.NORM.S.INV(RAND())</f>
        <v>-1.2914782709687286E-2</v>
      </c>
      <c r="T9418" s="59">
        <f ca="1">Dashboard!C$8* Dashboard!$F$4+Dashboard!C$10*SQRT(Dashboard!$F$4) * _xlfn.NORM.S.INV(RAND())</f>
        <v>7.8274412560110432E-2</v>
      </c>
      <c r="U9418" s="59">
        <f ca="1">Dashboard!D$8* Dashboard!$F$4+Dashboard!D$10*SQRT(Dashboard!$F$4) * _xlfn.NORM.S.INV(RAND())</f>
        <v>-1.4920090289140039E-2</v>
      </c>
    </row>
    <row r="9419" spans="18:21" x14ac:dyDescent="0.2">
      <c r="R9419" s="49">
        <v>9417</v>
      </c>
      <c r="S9419" s="59">
        <f ca="1">Dashboard!B$8* Dashboard!$F$4+Dashboard!B$10*SQRT(Dashboard!$F$4) * _xlfn.NORM.S.INV(RAND())</f>
        <v>3.7133942225468848E-2</v>
      </c>
      <c r="T9419" s="59">
        <f ca="1">Dashboard!C$8* Dashboard!$F$4+Dashboard!C$10*SQRT(Dashboard!$F$4) * _xlfn.NORM.S.INV(RAND())</f>
        <v>-1.7470129405209457E-2</v>
      </c>
      <c r="U9419" s="59">
        <f ca="1">Dashboard!D$8* Dashboard!$F$4+Dashboard!D$10*SQRT(Dashboard!$F$4) * _xlfn.NORM.S.INV(RAND())</f>
        <v>-3.7994806655290148E-2</v>
      </c>
    </row>
    <row r="9420" spans="18:21" x14ac:dyDescent="0.2">
      <c r="R9420" s="49">
        <v>9418</v>
      </c>
      <c r="S9420" s="59">
        <f ca="1">Dashboard!B$8* Dashboard!$F$4+Dashboard!B$10*SQRT(Dashboard!$F$4) * _xlfn.NORM.S.INV(RAND())</f>
        <v>-8.5376551903606906E-3</v>
      </c>
      <c r="T9420" s="59">
        <f ca="1">Dashboard!C$8* Dashboard!$F$4+Dashboard!C$10*SQRT(Dashboard!$F$4) * _xlfn.NORM.S.INV(RAND())</f>
        <v>2.9130134905016102E-2</v>
      </c>
      <c r="U9420" s="59">
        <f ca="1">Dashboard!D$8* Dashboard!$F$4+Dashboard!D$10*SQRT(Dashboard!$F$4) * _xlfn.NORM.S.INV(RAND())</f>
        <v>-3.5523239894141953E-2</v>
      </c>
    </row>
    <row r="9421" spans="18:21" x14ac:dyDescent="0.2">
      <c r="R9421" s="49">
        <v>9419</v>
      </c>
      <c r="S9421" s="59">
        <f ca="1">Dashboard!B$8* Dashboard!$F$4+Dashboard!B$10*SQRT(Dashboard!$F$4) * _xlfn.NORM.S.INV(RAND())</f>
        <v>-5.2839661888599201E-3</v>
      </c>
      <c r="T9421" s="59">
        <f ca="1">Dashboard!C$8* Dashboard!$F$4+Dashboard!C$10*SQRT(Dashboard!$F$4) * _xlfn.NORM.S.INV(RAND())</f>
        <v>6.6644204666974211E-2</v>
      </c>
      <c r="U9421" s="59">
        <f ca="1">Dashboard!D$8* Dashboard!$F$4+Dashboard!D$10*SQRT(Dashboard!$F$4) * _xlfn.NORM.S.INV(RAND())</f>
        <v>2.7939629327890403E-2</v>
      </c>
    </row>
    <row r="9422" spans="18:21" x14ac:dyDescent="0.2">
      <c r="R9422" s="49">
        <v>9420</v>
      </c>
      <c r="S9422" s="59">
        <f ca="1">Dashboard!B$8* Dashboard!$F$4+Dashboard!B$10*SQRT(Dashboard!$F$4) * _xlfn.NORM.S.INV(RAND())</f>
        <v>-1.0843047305556601E-2</v>
      </c>
      <c r="T9422" s="59">
        <f ca="1">Dashboard!C$8* Dashboard!$F$4+Dashboard!C$10*SQRT(Dashboard!$F$4) * _xlfn.NORM.S.INV(RAND())</f>
        <v>1.3510287862098673E-2</v>
      </c>
      <c r="U9422" s="59">
        <f ca="1">Dashboard!D$8* Dashboard!$F$4+Dashboard!D$10*SQRT(Dashboard!$F$4) * _xlfn.NORM.S.INV(RAND())</f>
        <v>2.6134033405347132E-2</v>
      </c>
    </row>
    <row r="9423" spans="18:21" x14ac:dyDescent="0.2">
      <c r="R9423" s="49">
        <v>9421</v>
      </c>
      <c r="S9423" s="59">
        <f ca="1">Dashboard!B$8* Dashboard!$F$4+Dashboard!B$10*SQRT(Dashboard!$F$4) * _xlfn.NORM.S.INV(RAND())</f>
        <v>-7.4745916807036211E-2</v>
      </c>
      <c r="T9423" s="59">
        <f ca="1">Dashboard!C$8* Dashboard!$F$4+Dashboard!C$10*SQRT(Dashboard!$F$4) * _xlfn.NORM.S.INV(RAND())</f>
        <v>-1.4326963508409628E-2</v>
      </c>
      <c r="U9423" s="59">
        <f ca="1">Dashboard!D$8* Dashboard!$F$4+Dashboard!D$10*SQRT(Dashboard!$F$4) * _xlfn.NORM.S.INV(RAND())</f>
        <v>-4.4045867193278174E-2</v>
      </c>
    </row>
    <row r="9424" spans="18:21" x14ac:dyDescent="0.2">
      <c r="R9424" s="49">
        <v>9422</v>
      </c>
      <c r="S9424" s="59">
        <f ca="1">Dashboard!B$8* Dashboard!$F$4+Dashboard!B$10*SQRT(Dashboard!$F$4) * _xlfn.NORM.S.INV(RAND())</f>
        <v>-4.1682770793739873E-2</v>
      </c>
      <c r="T9424" s="59">
        <f ca="1">Dashboard!C$8* Dashboard!$F$4+Dashboard!C$10*SQRT(Dashboard!$F$4) * _xlfn.NORM.S.INV(RAND())</f>
        <v>-4.1464038995007606E-2</v>
      </c>
      <c r="U9424" s="59">
        <f ca="1">Dashboard!D$8* Dashboard!$F$4+Dashboard!D$10*SQRT(Dashboard!$F$4) * _xlfn.NORM.S.INV(RAND())</f>
        <v>-5.3902550783342662E-2</v>
      </c>
    </row>
    <row r="9425" spans="18:21" x14ac:dyDescent="0.2">
      <c r="R9425" s="49">
        <v>9423</v>
      </c>
      <c r="S9425" s="59">
        <f ca="1">Dashboard!B$8* Dashboard!$F$4+Dashboard!B$10*SQRT(Dashboard!$F$4) * _xlfn.NORM.S.INV(RAND())</f>
        <v>2.2549200475819618E-2</v>
      </c>
      <c r="T9425" s="59">
        <f ca="1">Dashboard!C$8* Dashboard!$F$4+Dashboard!C$10*SQRT(Dashboard!$F$4) * _xlfn.NORM.S.INV(RAND())</f>
        <v>-8.7567668598233658E-2</v>
      </c>
      <c r="U9425" s="59">
        <f ca="1">Dashboard!D$8* Dashboard!$F$4+Dashboard!D$10*SQRT(Dashboard!$F$4) * _xlfn.NORM.S.INV(RAND())</f>
        <v>7.782446619657056E-2</v>
      </c>
    </row>
    <row r="9426" spans="18:21" x14ac:dyDescent="0.2">
      <c r="R9426" s="49">
        <v>9424</v>
      </c>
      <c r="S9426" s="59">
        <f ca="1">Dashboard!B$8* Dashboard!$F$4+Dashboard!B$10*SQRT(Dashboard!$F$4) * _xlfn.NORM.S.INV(RAND())</f>
        <v>-5.8825881640683607E-3</v>
      </c>
      <c r="T9426" s="59">
        <f ca="1">Dashboard!C$8* Dashboard!$F$4+Dashboard!C$10*SQRT(Dashboard!$F$4) * _xlfn.NORM.S.INV(RAND())</f>
        <v>3.1997516229432706E-2</v>
      </c>
      <c r="U9426" s="59">
        <f ca="1">Dashboard!D$8* Dashboard!$F$4+Dashboard!D$10*SQRT(Dashboard!$F$4) * _xlfn.NORM.S.INV(RAND())</f>
        <v>5.0761463543660457E-2</v>
      </c>
    </row>
    <row r="9427" spans="18:21" x14ac:dyDescent="0.2">
      <c r="R9427" s="49">
        <v>9425</v>
      </c>
      <c r="S9427" s="59">
        <f ca="1">Dashboard!B$8* Dashboard!$F$4+Dashboard!B$10*SQRT(Dashboard!$F$4) * _xlfn.NORM.S.INV(RAND())</f>
        <v>-5.9783806058779129E-2</v>
      </c>
      <c r="T9427" s="59">
        <f ca="1">Dashboard!C$8* Dashboard!$F$4+Dashboard!C$10*SQRT(Dashboard!$F$4) * _xlfn.NORM.S.INV(RAND())</f>
        <v>-6.1576039975403049E-2</v>
      </c>
      <c r="U9427" s="59">
        <f ca="1">Dashboard!D$8* Dashboard!$F$4+Dashboard!D$10*SQRT(Dashboard!$F$4) * _xlfn.NORM.S.INV(RAND())</f>
        <v>-5.6856247493522839E-2</v>
      </c>
    </row>
    <row r="9428" spans="18:21" x14ac:dyDescent="0.2">
      <c r="R9428" s="49">
        <v>9426</v>
      </c>
      <c r="S9428" s="59">
        <f ca="1">Dashboard!B$8* Dashboard!$F$4+Dashboard!B$10*SQRT(Dashboard!$F$4) * _xlfn.NORM.S.INV(RAND())</f>
        <v>3.9520251040154903E-4</v>
      </c>
      <c r="T9428" s="59">
        <f ca="1">Dashboard!C$8* Dashboard!$F$4+Dashboard!C$10*SQRT(Dashboard!$F$4) * _xlfn.NORM.S.INV(RAND())</f>
        <v>2.1598814054953473E-2</v>
      </c>
      <c r="U9428" s="59">
        <f ca="1">Dashboard!D$8* Dashboard!$F$4+Dashboard!D$10*SQRT(Dashboard!$F$4) * _xlfn.NORM.S.INV(RAND())</f>
        <v>3.6621593418888647E-2</v>
      </c>
    </row>
    <row r="9429" spans="18:21" x14ac:dyDescent="0.2">
      <c r="R9429" s="49">
        <v>9427</v>
      </c>
      <c r="S9429" s="59">
        <f ca="1">Dashboard!B$8* Dashboard!$F$4+Dashboard!B$10*SQRT(Dashboard!$F$4) * _xlfn.NORM.S.INV(RAND())</f>
        <v>-1.9242394848732691E-2</v>
      </c>
      <c r="T9429" s="59">
        <f ca="1">Dashboard!C$8* Dashboard!$F$4+Dashboard!C$10*SQRT(Dashboard!$F$4) * _xlfn.NORM.S.INV(RAND())</f>
        <v>-2.0409935134316652E-2</v>
      </c>
      <c r="U9429" s="59">
        <f ca="1">Dashboard!D$8* Dashboard!$F$4+Dashboard!D$10*SQRT(Dashboard!$F$4) * _xlfn.NORM.S.INV(RAND())</f>
        <v>1.3747009019319596E-2</v>
      </c>
    </row>
    <row r="9430" spans="18:21" x14ac:dyDescent="0.2">
      <c r="R9430" s="49">
        <v>9428</v>
      </c>
      <c r="S9430" s="59">
        <f ca="1">Dashboard!B$8* Dashboard!$F$4+Dashboard!B$10*SQRT(Dashboard!$F$4) * _xlfn.NORM.S.INV(RAND())</f>
        <v>-3.8054932406603813E-2</v>
      </c>
      <c r="T9430" s="59">
        <f ca="1">Dashboard!C$8* Dashboard!$F$4+Dashboard!C$10*SQRT(Dashboard!$F$4) * _xlfn.NORM.S.INV(RAND())</f>
        <v>-1.931991322072692E-2</v>
      </c>
      <c r="U9430" s="59">
        <f ca="1">Dashboard!D$8* Dashboard!$F$4+Dashboard!D$10*SQRT(Dashboard!$F$4) * _xlfn.NORM.S.INV(RAND())</f>
        <v>2.3830650320905616E-2</v>
      </c>
    </row>
    <row r="9431" spans="18:21" x14ac:dyDescent="0.2">
      <c r="R9431" s="49">
        <v>9429</v>
      </c>
      <c r="S9431" s="59">
        <f ca="1">Dashboard!B$8* Dashboard!$F$4+Dashboard!B$10*SQRT(Dashboard!$F$4) * _xlfn.NORM.S.INV(RAND())</f>
        <v>-1.0945935067578804E-2</v>
      </c>
      <c r="T9431" s="59">
        <f ca="1">Dashboard!C$8* Dashboard!$F$4+Dashboard!C$10*SQRT(Dashboard!$F$4) * _xlfn.NORM.S.INV(RAND())</f>
        <v>6.3012798654299819E-3</v>
      </c>
      <c r="U9431" s="59">
        <f ca="1">Dashboard!D$8* Dashboard!$F$4+Dashboard!D$10*SQRT(Dashboard!$F$4) * _xlfn.NORM.S.INV(RAND())</f>
        <v>1.9978933420936131E-2</v>
      </c>
    </row>
    <row r="9432" spans="18:21" x14ac:dyDescent="0.2">
      <c r="R9432" s="49">
        <v>9430</v>
      </c>
      <c r="S9432" s="59">
        <f ca="1">Dashboard!B$8* Dashboard!$F$4+Dashboard!B$10*SQRT(Dashboard!$F$4) * _xlfn.NORM.S.INV(RAND())</f>
        <v>5.1332184070143533E-2</v>
      </c>
      <c r="T9432" s="59">
        <f ca="1">Dashboard!C$8* Dashboard!$F$4+Dashboard!C$10*SQRT(Dashboard!$F$4) * _xlfn.NORM.S.INV(RAND())</f>
        <v>-1.2694663717352169E-2</v>
      </c>
      <c r="U9432" s="59">
        <f ca="1">Dashboard!D$8* Dashboard!$F$4+Dashboard!D$10*SQRT(Dashboard!$F$4) * _xlfn.NORM.S.INV(RAND())</f>
        <v>-4.3386901425055191E-2</v>
      </c>
    </row>
    <row r="9433" spans="18:21" x14ac:dyDescent="0.2">
      <c r="R9433" s="49">
        <v>9431</v>
      </c>
      <c r="S9433" s="59">
        <f ca="1">Dashboard!B$8* Dashboard!$F$4+Dashboard!B$10*SQRT(Dashboard!$F$4) * _xlfn.NORM.S.INV(RAND())</f>
        <v>-4.3652295146212848E-2</v>
      </c>
      <c r="T9433" s="59">
        <f ca="1">Dashboard!C$8* Dashboard!$F$4+Dashboard!C$10*SQRT(Dashboard!$F$4) * _xlfn.NORM.S.INV(RAND())</f>
        <v>-1.9276144122675636E-2</v>
      </c>
      <c r="U9433" s="59">
        <f ca="1">Dashboard!D$8* Dashboard!$F$4+Dashboard!D$10*SQRT(Dashboard!$F$4) * _xlfn.NORM.S.INV(RAND())</f>
        <v>-3.5956533634342008E-2</v>
      </c>
    </row>
    <row r="9434" spans="18:21" x14ac:dyDescent="0.2">
      <c r="R9434" s="49">
        <v>9432</v>
      </c>
      <c r="S9434" s="59">
        <f ca="1">Dashboard!B$8* Dashboard!$F$4+Dashboard!B$10*SQRT(Dashboard!$F$4) * _xlfn.NORM.S.INV(RAND())</f>
        <v>-3.2508709534266489E-2</v>
      </c>
      <c r="T9434" s="59">
        <f ca="1">Dashboard!C$8* Dashboard!$F$4+Dashboard!C$10*SQRT(Dashboard!$F$4) * _xlfn.NORM.S.INV(RAND())</f>
        <v>-3.5799143969113961E-2</v>
      </c>
      <c r="U9434" s="59">
        <f ca="1">Dashboard!D$8* Dashboard!$F$4+Dashboard!D$10*SQRT(Dashboard!$F$4) * _xlfn.NORM.S.INV(RAND())</f>
        <v>8.9541245406099326E-2</v>
      </c>
    </row>
    <row r="9435" spans="18:21" x14ac:dyDescent="0.2">
      <c r="R9435" s="49">
        <v>9433</v>
      </c>
      <c r="S9435" s="59">
        <f ca="1">Dashboard!B$8* Dashboard!$F$4+Dashboard!B$10*SQRT(Dashboard!$F$4) * _xlfn.NORM.S.INV(RAND())</f>
        <v>3.8416586849674181E-2</v>
      </c>
      <c r="T9435" s="59">
        <f ca="1">Dashboard!C$8* Dashboard!$F$4+Dashboard!C$10*SQRT(Dashboard!$F$4) * _xlfn.NORM.S.INV(RAND())</f>
        <v>7.0408191739721557E-2</v>
      </c>
      <c r="U9435" s="59">
        <f ca="1">Dashboard!D$8* Dashboard!$F$4+Dashboard!D$10*SQRT(Dashboard!$F$4) * _xlfn.NORM.S.INV(RAND())</f>
        <v>1.5663221134431003E-2</v>
      </c>
    </row>
    <row r="9436" spans="18:21" x14ac:dyDescent="0.2">
      <c r="R9436" s="49">
        <v>9434</v>
      </c>
      <c r="S9436" s="59">
        <f ca="1">Dashboard!B$8* Dashboard!$F$4+Dashboard!B$10*SQRT(Dashboard!$F$4) * _xlfn.NORM.S.INV(RAND())</f>
        <v>6.0115693656883004E-2</v>
      </c>
      <c r="T9436" s="59">
        <f ca="1">Dashboard!C$8* Dashboard!$F$4+Dashboard!C$10*SQRT(Dashboard!$F$4) * _xlfn.NORM.S.INV(RAND())</f>
        <v>-1.4963680481619245E-2</v>
      </c>
      <c r="U9436" s="59">
        <f ca="1">Dashboard!D$8* Dashboard!$F$4+Dashboard!D$10*SQRT(Dashboard!$F$4) * _xlfn.NORM.S.INV(RAND())</f>
        <v>1.9377490714295943E-2</v>
      </c>
    </row>
    <row r="9437" spans="18:21" x14ac:dyDescent="0.2">
      <c r="R9437" s="49">
        <v>9435</v>
      </c>
      <c r="S9437" s="59">
        <f ca="1">Dashboard!B$8* Dashboard!$F$4+Dashboard!B$10*SQRT(Dashboard!$F$4) * _xlfn.NORM.S.INV(RAND())</f>
        <v>4.6445898741486712E-3</v>
      </c>
      <c r="T9437" s="59">
        <f ca="1">Dashboard!C$8* Dashboard!$F$4+Dashboard!C$10*SQRT(Dashboard!$F$4) * _xlfn.NORM.S.INV(RAND())</f>
        <v>-6.8102987447556648E-2</v>
      </c>
      <c r="U9437" s="59">
        <f ca="1">Dashboard!D$8* Dashboard!$F$4+Dashboard!D$10*SQRT(Dashboard!$F$4) * _xlfn.NORM.S.INV(RAND())</f>
        <v>-5.867310520813367E-3</v>
      </c>
    </row>
    <row r="9438" spans="18:21" x14ac:dyDescent="0.2">
      <c r="R9438" s="49">
        <v>9436</v>
      </c>
      <c r="S9438" s="59">
        <f ca="1">Dashboard!B$8* Dashboard!$F$4+Dashboard!B$10*SQRT(Dashboard!$F$4) * _xlfn.NORM.S.INV(RAND())</f>
        <v>-9.2749900541642602E-3</v>
      </c>
      <c r="T9438" s="59">
        <f ca="1">Dashboard!C$8* Dashboard!$F$4+Dashboard!C$10*SQRT(Dashboard!$F$4) * _xlfn.NORM.S.INV(RAND())</f>
        <v>-6.4463331954449699E-2</v>
      </c>
      <c r="U9438" s="59">
        <f ca="1">Dashboard!D$8* Dashboard!$F$4+Dashboard!D$10*SQRT(Dashboard!$F$4) * _xlfn.NORM.S.INV(RAND())</f>
        <v>-5.9037886001276048E-3</v>
      </c>
    </row>
    <row r="9439" spans="18:21" x14ac:dyDescent="0.2">
      <c r="R9439" s="49">
        <v>9437</v>
      </c>
      <c r="S9439" s="59">
        <f ca="1">Dashboard!B$8* Dashboard!$F$4+Dashboard!B$10*SQRT(Dashboard!$F$4) * _xlfn.NORM.S.INV(RAND())</f>
        <v>3.1483665317230923E-3</v>
      </c>
      <c r="T9439" s="59">
        <f ca="1">Dashboard!C$8* Dashboard!$F$4+Dashboard!C$10*SQRT(Dashboard!$F$4) * _xlfn.NORM.S.INV(RAND())</f>
        <v>5.6648069265391602E-3</v>
      </c>
      <c r="U9439" s="59">
        <f ca="1">Dashboard!D$8* Dashboard!$F$4+Dashboard!D$10*SQRT(Dashboard!$F$4) * _xlfn.NORM.S.INV(RAND())</f>
        <v>-1.5857269720726951E-2</v>
      </c>
    </row>
    <row r="9440" spans="18:21" x14ac:dyDescent="0.2">
      <c r="R9440" s="49">
        <v>9438</v>
      </c>
      <c r="S9440" s="59">
        <f ca="1">Dashboard!B$8* Dashboard!$F$4+Dashboard!B$10*SQRT(Dashboard!$F$4) * _xlfn.NORM.S.INV(RAND())</f>
        <v>-3.6332197578642408E-2</v>
      </c>
      <c r="T9440" s="59">
        <f ca="1">Dashboard!C$8* Dashboard!$F$4+Dashboard!C$10*SQRT(Dashboard!$F$4) * _xlfn.NORM.S.INV(RAND())</f>
        <v>-1.5001299688813873E-2</v>
      </c>
      <c r="U9440" s="59">
        <f ca="1">Dashboard!D$8* Dashboard!$F$4+Dashboard!D$10*SQRT(Dashboard!$F$4) * _xlfn.NORM.S.INV(RAND())</f>
        <v>-2.8778891815074235E-2</v>
      </c>
    </row>
    <row r="9441" spans="18:21" x14ac:dyDescent="0.2">
      <c r="R9441" s="49">
        <v>9439</v>
      </c>
      <c r="S9441" s="59">
        <f ca="1">Dashboard!B$8* Dashboard!$F$4+Dashboard!B$10*SQRT(Dashboard!$F$4) * _xlfn.NORM.S.INV(RAND())</f>
        <v>-6.50530244480758E-2</v>
      </c>
      <c r="T9441" s="59">
        <f ca="1">Dashboard!C$8* Dashboard!$F$4+Dashboard!C$10*SQRT(Dashboard!$F$4) * _xlfn.NORM.S.INV(RAND())</f>
        <v>4.5499383327817972E-2</v>
      </c>
      <c r="U9441" s="59">
        <f ca="1">Dashboard!D$8* Dashboard!$F$4+Dashboard!D$10*SQRT(Dashboard!$F$4) * _xlfn.NORM.S.INV(RAND())</f>
        <v>-6.1324228523813577E-2</v>
      </c>
    </row>
    <row r="9442" spans="18:21" x14ac:dyDescent="0.2">
      <c r="R9442" s="49">
        <v>9440</v>
      </c>
      <c r="S9442" s="59">
        <f ca="1">Dashboard!B$8* Dashboard!$F$4+Dashboard!B$10*SQRT(Dashboard!$F$4) * _xlfn.NORM.S.INV(RAND())</f>
        <v>-2.5893079698585727E-3</v>
      </c>
      <c r="T9442" s="59">
        <f ca="1">Dashboard!C$8* Dashboard!$F$4+Dashboard!C$10*SQRT(Dashboard!$F$4) * _xlfn.NORM.S.INV(RAND())</f>
        <v>1.2738085332307181E-2</v>
      </c>
      <c r="U9442" s="59">
        <f ca="1">Dashboard!D$8* Dashboard!$F$4+Dashboard!D$10*SQRT(Dashboard!$F$4) * _xlfn.NORM.S.INV(RAND())</f>
        <v>1.631150886021307E-2</v>
      </c>
    </row>
    <row r="9443" spans="18:21" x14ac:dyDescent="0.2">
      <c r="R9443" s="49">
        <v>9441</v>
      </c>
      <c r="S9443" s="59">
        <f ca="1">Dashboard!B$8* Dashboard!$F$4+Dashboard!B$10*SQRT(Dashboard!$F$4) * _xlfn.NORM.S.INV(RAND())</f>
        <v>-1.7941234818549846E-2</v>
      </c>
      <c r="T9443" s="59">
        <f ca="1">Dashboard!C$8* Dashboard!$F$4+Dashboard!C$10*SQRT(Dashboard!$F$4) * _xlfn.NORM.S.INV(RAND())</f>
        <v>5.0080563764717687E-2</v>
      </c>
      <c r="U9443" s="59">
        <f ca="1">Dashboard!D$8* Dashboard!$F$4+Dashboard!D$10*SQRT(Dashboard!$F$4) * _xlfn.NORM.S.INV(RAND())</f>
        <v>2.5074275793209713E-2</v>
      </c>
    </row>
    <row r="9444" spans="18:21" x14ac:dyDescent="0.2">
      <c r="R9444" s="49">
        <v>9442</v>
      </c>
      <c r="S9444" s="59">
        <f ca="1">Dashboard!B$8* Dashboard!$F$4+Dashboard!B$10*SQRT(Dashboard!$F$4) * _xlfn.NORM.S.INV(RAND())</f>
        <v>-6.9560952865108105E-3</v>
      </c>
      <c r="T9444" s="59">
        <f ca="1">Dashboard!C$8* Dashboard!$F$4+Dashboard!C$10*SQRT(Dashboard!$F$4) * _xlfn.NORM.S.INV(RAND())</f>
        <v>-1.374269473643774E-2</v>
      </c>
      <c r="U9444" s="59">
        <f ca="1">Dashboard!D$8* Dashboard!$F$4+Dashboard!D$10*SQRT(Dashboard!$F$4) * _xlfn.NORM.S.INV(RAND())</f>
        <v>-1.2932766897432071E-2</v>
      </c>
    </row>
    <row r="9445" spans="18:21" x14ac:dyDescent="0.2">
      <c r="R9445" s="49">
        <v>9443</v>
      </c>
      <c r="S9445" s="59">
        <f ca="1">Dashboard!B$8* Dashboard!$F$4+Dashboard!B$10*SQRT(Dashboard!$F$4) * _xlfn.NORM.S.INV(RAND())</f>
        <v>-8.3875358032851101E-3</v>
      </c>
      <c r="T9445" s="59">
        <f ca="1">Dashboard!C$8* Dashboard!$F$4+Dashboard!C$10*SQRT(Dashboard!$F$4) * _xlfn.NORM.S.INV(RAND())</f>
        <v>3.383771273251996E-2</v>
      </c>
      <c r="U9445" s="59">
        <f ca="1">Dashboard!D$8* Dashboard!$F$4+Dashboard!D$10*SQRT(Dashboard!$F$4) * _xlfn.NORM.S.INV(RAND())</f>
        <v>-1.4246983546499798E-2</v>
      </c>
    </row>
    <row r="9446" spans="18:21" x14ac:dyDescent="0.2">
      <c r="R9446" s="49">
        <v>9444</v>
      </c>
      <c r="S9446" s="59">
        <f ca="1">Dashboard!B$8* Dashboard!$F$4+Dashboard!B$10*SQRT(Dashboard!$F$4) * _xlfn.NORM.S.INV(RAND())</f>
        <v>-3.2865472036272866E-2</v>
      </c>
      <c r="T9446" s="59">
        <f ca="1">Dashboard!C$8* Dashboard!$F$4+Dashboard!C$10*SQRT(Dashboard!$F$4) * _xlfn.NORM.S.INV(RAND())</f>
        <v>3.9997242182700295E-2</v>
      </c>
      <c r="U9446" s="59">
        <f ca="1">Dashboard!D$8* Dashboard!$F$4+Dashboard!D$10*SQRT(Dashboard!$F$4) * _xlfn.NORM.S.INV(RAND())</f>
        <v>-6.0264303459944971E-3</v>
      </c>
    </row>
    <row r="9447" spans="18:21" x14ac:dyDescent="0.2">
      <c r="R9447" s="49">
        <v>9445</v>
      </c>
      <c r="S9447" s="59">
        <f ca="1">Dashboard!B$8* Dashboard!$F$4+Dashboard!B$10*SQRT(Dashboard!$F$4) * _xlfn.NORM.S.INV(RAND())</f>
        <v>-1.9685317811376078E-2</v>
      </c>
      <c r="T9447" s="59">
        <f ca="1">Dashboard!C$8* Dashboard!$F$4+Dashboard!C$10*SQRT(Dashboard!$F$4) * _xlfn.NORM.S.INV(RAND())</f>
        <v>-4.0794882658509293E-2</v>
      </c>
      <c r="U9447" s="59">
        <f ca="1">Dashboard!D$8* Dashboard!$F$4+Dashboard!D$10*SQRT(Dashboard!$F$4) * _xlfn.NORM.S.INV(RAND())</f>
        <v>-4.7537376862552411E-3</v>
      </c>
    </row>
    <row r="9448" spans="18:21" x14ac:dyDescent="0.2">
      <c r="R9448" s="49">
        <v>9446</v>
      </c>
      <c r="S9448" s="59">
        <f ca="1">Dashboard!B$8* Dashboard!$F$4+Dashboard!B$10*SQRT(Dashboard!$F$4) * _xlfn.NORM.S.INV(RAND())</f>
        <v>-2.9832184945301272E-2</v>
      </c>
      <c r="T9448" s="59">
        <f ca="1">Dashboard!C$8* Dashboard!$F$4+Dashboard!C$10*SQRT(Dashboard!$F$4) * _xlfn.NORM.S.INV(RAND())</f>
        <v>-4.1641969027029366E-2</v>
      </c>
      <c r="U9448" s="59">
        <f ca="1">Dashboard!D$8* Dashboard!$F$4+Dashboard!D$10*SQRT(Dashboard!$F$4) * _xlfn.NORM.S.INV(RAND())</f>
        <v>-4.7645633268185897E-2</v>
      </c>
    </row>
    <row r="9449" spans="18:21" x14ac:dyDescent="0.2">
      <c r="R9449" s="49">
        <v>9447</v>
      </c>
      <c r="S9449" s="59">
        <f ca="1">Dashboard!B$8* Dashboard!$F$4+Dashboard!B$10*SQRT(Dashboard!$F$4) * _xlfn.NORM.S.INV(RAND())</f>
        <v>-8.0369097208740879E-3</v>
      </c>
      <c r="T9449" s="59">
        <f ca="1">Dashboard!C$8* Dashboard!$F$4+Dashboard!C$10*SQRT(Dashboard!$F$4) * _xlfn.NORM.S.INV(RAND())</f>
        <v>-7.4117169674356269E-4</v>
      </c>
      <c r="U9449" s="59">
        <f ca="1">Dashboard!D$8* Dashboard!$F$4+Dashboard!D$10*SQRT(Dashboard!$F$4) * _xlfn.NORM.S.INV(RAND())</f>
        <v>-1.466672588958625E-2</v>
      </c>
    </row>
    <row r="9450" spans="18:21" x14ac:dyDescent="0.2">
      <c r="R9450" s="49">
        <v>9448</v>
      </c>
      <c r="S9450" s="59">
        <f ca="1">Dashboard!B$8* Dashboard!$F$4+Dashboard!B$10*SQRT(Dashboard!$F$4) * _xlfn.NORM.S.INV(RAND())</f>
        <v>-1.2556782521680042E-2</v>
      </c>
      <c r="T9450" s="59">
        <f ca="1">Dashboard!C$8* Dashboard!$F$4+Dashboard!C$10*SQRT(Dashboard!$F$4) * _xlfn.NORM.S.INV(RAND())</f>
        <v>-9.6890140981095635E-2</v>
      </c>
      <c r="U9450" s="59">
        <f ca="1">Dashboard!D$8* Dashboard!$F$4+Dashboard!D$10*SQRT(Dashboard!$F$4) * _xlfn.NORM.S.INV(RAND())</f>
        <v>9.4373447438559493E-3</v>
      </c>
    </row>
    <row r="9451" spans="18:21" x14ac:dyDescent="0.2">
      <c r="R9451" s="49">
        <v>9449</v>
      </c>
      <c r="S9451" s="59">
        <f ca="1">Dashboard!B$8* Dashboard!$F$4+Dashboard!B$10*SQRT(Dashboard!$F$4) * _xlfn.NORM.S.INV(RAND())</f>
        <v>-2.0178597268299174E-2</v>
      </c>
      <c r="T9451" s="59">
        <f ca="1">Dashboard!C$8* Dashboard!$F$4+Dashboard!C$10*SQRT(Dashboard!$F$4) * _xlfn.NORM.S.INV(RAND())</f>
        <v>1.5199265892176053E-3</v>
      </c>
      <c r="U9451" s="59">
        <f ca="1">Dashboard!D$8* Dashboard!$F$4+Dashboard!D$10*SQRT(Dashboard!$F$4) * _xlfn.NORM.S.INV(RAND())</f>
        <v>2.2048331356532306E-3</v>
      </c>
    </row>
    <row r="9452" spans="18:21" x14ac:dyDescent="0.2">
      <c r="R9452" s="49">
        <v>9450</v>
      </c>
      <c r="S9452" s="59">
        <f ca="1">Dashboard!B$8* Dashboard!$F$4+Dashboard!B$10*SQRT(Dashboard!$F$4) * _xlfn.NORM.S.INV(RAND())</f>
        <v>-2.5681422642765137E-3</v>
      </c>
      <c r="T9452" s="59">
        <f ca="1">Dashboard!C$8* Dashboard!$F$4+Dashboard!C$10*SQRT(Dashboard!$F$4) * _xlfn.NORM.S.INV(RAND())</f>
        <v>2.4897112638046275E-2</v>
      </c>
      <c r="U9452" s="59">
        <f ca="1">Dashboard!D$8* Dashboard!$F$4+Dashboard!D$10*SQRT(Dashboard!$F$4) * _xlfn.NORM.S.INV(RAND())</f>
        <v>-7.0415820774734766E-3</v>
      </c>
    </row>
    <row r="9453" spans="18:21" x14ac:dyDescent="0.2">
      <c r="R9453" s="49">
        <v>9451</v>
      </c>
      <c r="S9453" s="59">
        <f ca="1">Dashboard!B$8* Dashboard!$F$4+Dashboard!B$10*SQRT(Dashboard!$F$4) * _xlfn.NORM.S.INV(RAND())</f>
        <v>-6.3074244338409496E-2</v>
      </c>
      <c r="T9453" s="59">
        <f ca="1">Dashboard!C$8* Dashboard!$F$4+Dashboard!C$10*SQRT(Dashboard!$F$4) * _xlfn.NORM.S.INV(RAND())</f>
        <v>1.5958139419777521E-2</v>
      </c>
      <c r="U9453" s="59">
        <f ca="1">Dashboard!D$8* Dashboard!$F$4+Dashboard!D$10*SQRT(Dashboard!$F$4) * _xlfn.NORM.S.INV(RAND())</f>
        <v>-4.2492902677220758E-2</v>
      </c>
    </row>
    <row r="9454" spans="18:21" x14ac:dyDescent="0.2">
      <c r="R9454" s="49">
        <v>9452</v>
      </c>
      <c r="S9454" s="59">
        <f ca="1">Dashboard!B$8* Dashboard!$F$4+Dashboard!B$10*SQRT(Dashboard!$F$4) * _xlfn.NORM.S.INV(RAND())</f>
        <v>2.557798708245284E-2</v>
      </c>
      <c r="T9454" s="59">
        <f ca="1">Dashboard!C$8* Dashboard!$F$4+Dashboard!C$10*SQRT(Dashboard!$F$4) * _xlfn.NORM.S.INV(RAND())</f>
        <v>-3.5103691188174017E-2</v>
      </c>
      <c r="U9454" s="59">
        <f ca="1">Dashboard!D$8* Dashboard!$F$4+Dashboard!D$10*SQRT(Dashboard!$F$4) * _xlfn.NORM.S.INV(RAND())</f>
        <v>-2.2753802261315972E-2</v>
      </c>
    </row>
    <row r="9455" spans="18:21" x14ac:dyDescent="0.2">
      <c r="R9455" s="49">
        <v>9453</v>
      </c>
      <c r="S9455" s="59">
        <f ca="1">Dashboard!B$8* Dashboard!$F$4+Dashboard!B$10*SQRT(Dashboard!$F$4) * _xlfn.NORM.S.INV(RAND())</f>
        <v>-1.4342585805886904E-2</v>
      </c>
      <c r="T9455" s="59">
        <f ca="1">Dashboard!C$8* Dashboard!$F$4+Dashboard!C$10*SQRT(Dashboard!$F$4) * _xlfn.NORM.S.INV(RAND())</f>
        <v>-3.6755721410123898E-2</v>
      </c>
      <c r="U9455" s="59">
        <f ca="1">Dashboard!D$8* Dashboard!$F$4+Dashboard!D$10*SQRT(Dashboard!$F$4) * _xlfn.NORM.S.INV(RAND())</f>
        <v>4.9981197240029931E-2</v>
      </c>
    </row>
    <row r="9456" spans="18:21" x14ac:dyDescent="0.2">
      <c r="R9456" s="49">
        <v>9454</v>
      </c>
      <c r="S9456" s="59">
        <f ca="1">Dashboard!B$8* Dashboard!$F$4+Dashboard!B$10*SQRT(Dashboard!$F$4) * _xlfn.NORM.S.INV(RAND())</f>
        <v>-2.0366518990410601E-2</v>
      </c>
      <c r="T9456" s="59">
        <f ca="1">Dashboard!C$8* Dashboard!$F$4+Dashboard!C$10*SQRT(Dashboard!$F$4) * _xlfn.NORM.S.INV(RAND())</f>
        <v>-1.13568386995909E-2</v>
      </c>
      <c r="U9456" s="59">
        <f ca="1">Dashboard!D$8* Dashboard!$F$4+Dashboard!D$10*SQRT(Dashboard!$F$4) * _xlfn.NORM.S.INV(RAND())</f>
        <v>-2.0199658568165441E-2</v>
      </c>
    </row>
    <row r="9457" spans="18:21" x14ac:dyDescent="0.2">
      <c r="R9457" s="49">
        <v>9455</v>
      </c>
      <c r="S9457" s="59">
        <f ca="1">Dashboard!B$8* Dashboard!$F$4+Dashboard!B$10*SQRT(Dashboard!$F$4) * _xlfn.NORM.S.INV(RAND())</f>
        <v>3.6792716565802581E-2</v>
      </c>
      <c r="T9457" s="59">
        <f ca="1">Dashboard!C$8* Dashboard!$F$4+Dashboard!C$10*SQRT(Dashboard!$F$4) * _xlfn.NORM.S.INV(RAND())</f>
        <v>7.5096517523593033E-3</v>
      </c>
      <c r="U9457" s="59">
        <f ca="1">Dashboard!D$8* Dashboard!$F$4+Dashboard!D$10*SQRT(Dashboard!$F$4) * _xlfn.NORM.S.INV(RAND())</f>
        <v>-2.2458539387466867E-2</v>
      </c>
    </row>
    <row r="9458" spans="18:21" x14ac:dyDescent="0.2">
      <c r="R9458" s="49">
        <v>9456</v>
      </c>
      <c r="S9458" s="59">
        <f ca="1">Dashboard!B$8* Dashboard!$F$4+Dashboard!B$10*SQRT(Dashboard!$F$4) * _xlfn.NORM.S.INV(RAND())</f>
        <v>3.1396303331411114E-2</v>
      </c>
      <c r="T9458" s="59">
        <f ca="1">Dashboard!C$8* Dashboard!$F$4+Dashboard!C$10*SQRT(Dashboard!$F$4) * _xlfn.NORM.S.INV(RAND())</f>
        <v>-4.9240578559703034E-2</v>
      </c>
      <c r="U9458" s="59">
        <f ca="1">Dashboard!D$8* Dashboard!$F$4+Dashboard!D$10*SQRT(Dashboard!$F$4) * _xlfn.NORM.S.INV(RAND())</f>
        <v>-4.4061742303593526E-2</v>
      </c>
    </row>
    <row r="9459" spans="18:21" x14ac:dyDescent="0.2">
      <c r="R9459" s="49">
        <v>9457</v>
      </c>
      <c r="S9459" s="59">
        <f ca="1">Dashboard!B$8* Dashboard!$F$4+Dashboard!B$10*SQRT(Dashboard!$F$4) * _xlfn.NORM.S.INV(RAND())</f>
        <v>2.2874440698328412E-2</v>
      </c>
      <c r="T9459" s="59">
        <f ca="1">Dashboard!C$8* Dashboard!$F$4+Dashboard!C$10*SQRT(Dashboard!$F$4) * _xlfn.NORM.S.INV(RAND())</f>
        <v>-6.376307448324312E-3</v>
      </c>
      <c r="U9459" s="59">
        <f ca="1">Dashboard!D$8* Dashboard!$F$4+Dashboard!D$10*SQRT(Dashboard!$F$4) * _xlfn.NORM.S.INV(RAND())</f>
        <v>-7.2071508271939087E-3</v>
      </c>
    </row>
    <row r="9460" spans="18:21" x14ac:dyDescent="0.2">
      <c r="R9460" s="49">
        <v>9458</v>
      </c>
      <c r="S9460" s="59">
        <f ca="1">Dashboard!B$8* Dashboard!$F$4+Dashboard!B$10*SQRT(Dashboard!$F$4) * _xlfn.NORM.S.INV(RAND())</f>
        <v>4.508053739262937E-3</v>
      </c>
      <c r="T9460" s="59">
        <f ca="1">Dashboard!C$8* Dashboard!$F$4+Dashboard!C$10*SQRT(Dashboard!$F$4) * _xlfn.NORM.S.INV(RAND())</f>
        <v>-5.5102346596411826E-2</v>
      </c>
      <c r="U9460" s="59">
        <f ca="1">Dashboard!D$8* Dashboard!$F$4+Dashboard!D$10*SQRT(Dashboard!$F$4) * _xlfn.NORM.S.INV(RAND())</f>
        <v>3.6803018255382076E-2</v>
      </c>
    </row>
    <row r="9461" spans="18:21" x14ac:dyDescent="0.2">
      <c r="R9461" s="49">
        <v>9459</v>
      </c>
      <c r="S9461" s="59">
        <f ca="1">Dashboard!B$8* Dashboard!$F$4+Dashboard!B$10*SQRT(Dashboard!$F$4) * _xlfn.NORM.S.INV(RAND())</f>
        <v>3.2242896542262409E-2</v>
      </c>
      <c r="T9461" s="59">
        <f ca="1">Dashboard!C$8* Dashboard!$F$4+Dashboard!C$10*SQRT(Dashboard!$F$4) * _xlfn.NORM.S.INV(RAND())</f>
        <v>2.2371704981574127E-2</v>
      </c>
      <c r="U9461" s="59">
        <f ca="1">Dashboard!D$8* Dashboard!$F$4+Dashboard!D$10*SQRT(Dashboard!$F$4) * _xlfn.NORM.S.INV(RAND())</f>
        <v>-1.0359433738461956E-2</v>
      </c>
    </row>
    <row r="9462" spans="18:21" x14ac:dyDescent="0.2">
      <c r="R9462" s="49">
        <v>9460</v>
      </c>
      <c r="S9462" s="59">
        <f ca="1">Dashboard!B$8* Dashboard!$F$4+Dashboard!B$10*SQRT(Dashboard!$F$4) * _xlfn.NORM.S.INV(RAND())</f>
        <v>-8.0426549446578552E-2</v>
      </c>
      <c r="T9462" s="59">
        <f ca="1">Dashboard!C$8* Dashboard!$F$4+Dashboard!C$10*SQRT(Dashboard!$F$4) * _xlfn.NORM.S.INV(RAND())</f>
        <v>1.1752496834856511E-2</v>
      </c>
      <c r="U9462" s="59">
        <f ca="1">Dashboard!D$8* Dashboard!$F$4+Dashboard!D$10*SQRT(Dashboard!$F$4) * _xlfn.NORM.S.INV(RAND())</f>
        <v>-4.0426724122487687E-3</v>
      </c>
    </row>
    <row r="9463" spans="18:21" x14ac:dyDescent="0.2">
      <c r="R9463" s="49">
        <v>9461</v>
      </c>
      <c r="S9463" s="59">
        <f ca="1">Dashboard!B$8* Dashboard!$F$4+Dashboard!B$10*SQRT(Dashboard!$F$4) * _xlfn.NORM.S.INV(RAND())</f>
        <v>2.3915469375704303E-2</v>
      </c>
      <c r="T9463" s="59">
        <f ca="1">Dashboard!C$8* Dashboard!$F$4+Dashboard!C$10*SQRT(Dashboard!$F$4) * _xlfn.NORM.S.INV(RAND())</f>
        <v>-2.8210160914264228E-2</v>
      </c>
      <c r="U9463" s="59">
        <f ca="1">Dashboard!D$8* Dashboard!$F$4+Dashboard!D$10*SQRT(Dashboard!$F$4) * _xlfn.NORM.S.INV(RAND())</f>
        <v>1.5661518848586284E-2</v>
      </c>
    </row>
    <row r="9464" spans="18:21" x14ac:dyDescent="0.2">
      <c r="R9464" s="49">
        <v>9462</v>
      </c>
      <c r="S9464" s="59">
        <f ca="1">Dashboard!B$8* Dashboard!$F$4+Dashboard!B$10*SQRT(Dashboard!$F$4) * _xlfn.NORM.S.INV(RAND())</f>
        <v>2.6095659180956778E-2</v>
      </c>
      <c r="T9464" s="59">
        <f ca="1">Dashboard!C$8* Dashboard!$F$4+Dashboard!C$10*SQRT(Dashboard!$F$4) * _xlfn.NORM.S.INV(RAND())</f>
        <v>-3.2738736279825384E-3</v>
      </c>
      <c r="U9464" s="59">
        <f ca="1">Dashboard!D$8* Dashboard!$F$4+Dashboard!D$10*SQRT(Dashboard!$F$4) * _xlfn.NORM.S.INV(RAND())</f>
        <v>2.7390721557707245E-2</v>
      </c>
    </row>
    <row r="9465" spans="18:21" x14ac:dyDescent="0.2">
      <c r="R9465" s="49">
        <v>9463</v>
      </c>
      <c r="S9465" s="59">
        <f ca="1">Dashboard!B$8* Dashboard!$F$4+Dashboard!B$10*SQRT(Dashboard!$F$4) * _xlfn.NORM.S.INV(RAND())</f>
        <v>-7.2156307496498928E-2</v>
      </c>
      <c r="T9465" s="59">
        <f ca="1">Dashboard!C$8* Dashboard!$F$4+Dashboard!C$10*SQRT(Dashboard!$F$4) * _xlfn.NORM.S.INV(RAND())</f>
        <v>-4.2885868293643575E-2</v>
      </c>
      <c r="U9465" s="59">
        <f ca="1">Dashboard!D$8* Dashboard!$F$4+Dashboard!D$10*SQRT(Dashboard!$F$4) * _xlfn.NORM.S.INV(RAND())</f>
        <v>-1.5718357702865123E-2</v>
      </c>
    </row>
    <row r="9466" spans="18:21" x14ac:dyDescent="0.2">
      <c r="R9466" s="49">
        <v>9464</v>
      </c>
      <c r="S9466" s="59">
        <f ca="1">Dashboard!B$8* Dashboard!$F$4+Dashboard!B$10*SQRT(Dashboard!$F$4) * _xlfn.NORM.S.INV(RAND())</f>
        <v>-2.3948653286672429E-2</v>
      </c>
      <c r="T9466" s="59">
        <f ca="1">Dashboard!C$8* Dashboard!$F$4+Dashboard!C$10*SQRT(Dashboard!$F$4) * _xlfn.NORM.S.INV(RAND())</f>
        <v>2.7981778670129697E-2</v>
      </c>
      <c r="U9466" s="59">
        <f ca="1">Dashboard!D$8* Dashboard!$F$4+Dashboard!D$10*SQRT(Dashboard!$F$4) * _xlfn.NORM.S.INV(RAND())</f>
        <v>1.727368325721634E-2</v>
      </c>
    </row>
    <row r="9467" spans="18:21" x14ac:dyDescent="0.2">
      <c r="R9467" s="49">
        <v>9465</v>
      </c>
      <c r="S9467" s="59">
        <f ca="1">Dashboard!B$8* Dashboard!$F$4+Dashboard!B$10*SQRT(Dashboard!$F$4) * _xlfn.NORM.S.INV(RAND())</f>
        <v>3.1346895277902201E-2</v>
      </c>
      <c r="T9467" s="59">
        <f ca="1">Dashboard!C$8* Dashboard!$F$4+Dashboard!C$10*SQRT(Dashboard!$F$4) * _xlfn.NORM.S.INV(RAND())</f>
        <v>-3.0251616430204933E-2</v>
      </c>
      <c r="U9467" s="59">
        <f ca="1">Dashboard!D$8* Dashboard!$F$4+Dashboard!D$10*SQRT(Dashboard!$F$4) * _xlfn.NORM.S.INV(RAND())</f>
        <v>-2.3377676079069726E-2</v>
      </c>
    </row>
    <row r="9468" spans="18:21" x14ac:dyDescent="0.2">
      <c r="R9468" s="49">
        <v>9466</v>
      </c>
      <c r="S9468" s="59">
        <f ca="1">Dashboard!B$8* Dashboard!$F$4+Dashboard!B$10*SQRT(Dashboard!$F$4) * _xlfn.NORM.S.INV(RAND())</f>
        <v>2.0007619565244862E-2</v>
      </c>
      <c r="T9468" s="59">
        <f ca="1">Dashboard!C$8* Dashboard!$F$4+Dashboard!C$10*SQRT(Dashboard!$F$4) * _xlfn.NORM.S.INV(RAND())</f>
        <v>-6.5349927186178214E-2</v>
      </c>
      <c r="U9468" s="59">
        <f ca="1">Dashboard!D$8* Dashboard!$F$4+Dashboard!D$10*SQRT(Dashboard!$F$4) * _xlfn.NORM.S.INV(RAND())</f>
        <v>-3.2322426669701039E-2</v>
      </c>
    </row>
    <row r="9469" spans="18:21" x14ac:dyDescent="0.2">
      <c r="R9469" s="49">
        <v>9467</v>
      </c>
      <c r="S9469" s="59">
        <f ca="1">Dashboard!B$8* Dashboard!$F$4+Dashboard!B$10*SQRT(Dashboard!$F$4) * _xlfn.NORM.S.INV(RAND())</f>
        <v>5.1141627827000588E-2</v>
      </c>
      <c r="T9469" s="59">
        <f ca="1">Dashboard!C$8* Dashboard!$F$4+Dashboard!C$10*SQRT(Dashboard!$F$4) * _xlfn.NORM.S.INV(RAND())</f>
        <v>3.3336958332050394E-2</v>
      </c>
      <c r="U9469" s="59">
        <f ca="1">Dashboard!D$8* Dashboard!$F$4+Dashboard!D$10*SQRT(Dashboard!$F$4) * _xlfn.NORM.S.INV(RAND())</f>
        <v>-3.0461867146850383E-2</v>
      </c>
    </row>
    <row r="9470" spans="18:21" x14ac:dyDescent="0.2">
      <c r="R9470" s="49">
        <v>9468</v>
      </c>
      <c r="S9470" s="59">
        <f ca="1">Dashboard!B$8* Dashboard!$F$4+Dashboard!B$10*SQRT(Dashboard!$F$4) * _xlfn.NORM.S.INV(RAND())</f>
        <v>1.3827316893306419E-2</v>
      </c>
      <c r="T9470" s="59">
        <f ca="1">Dashboard!C$8* Dashboard!$F$4+Dashboard!C$10*SQRT(Dashboard!$F$4) * _xlfn.NORM.S.INV(RAND())</f>
        <v>-3.9687808950987077E-3</v>
      </c>
      <c r="U9470" s="59">
        <f ca="1">Dashboard!D$8* Dashboard!$F$4+Dashboard!D$10*SQRT(Dashboard!$F$4) * _xlfn.NORM.S.INV(RAND())</f>
        <v>4.4708554037104616E-2</v>
      </c>
    </row>
    <row r="9471" spans="18:21" x14ac:dyDescent="0.2">
      <c r="R9471" s="49">
        <v>9469</v>
      </c>
      <c r="S9471" s="59">
        <f ca="1">Dashboard!B$8* Dashboard!$F$4+Dashboard!B$10*SQRT(Dashboard!$F$4) * _xlfn.NORM.S.INV(RAND())</f>
        <v>-5.2360702724661146E-2</v>
      </c>
      <c r="T9471" s="59">
        <f ca="1">Dashboard!C$8* Dashboard!$F$4+Dashboard!C$10*SQRT(Dashboard!$F$4) * _xlfn.NORM.S.INV(RAND())</f>
        <v>5.1025634571663113E-2</v>
      </c>
      <c r="U9471" s="59">
        <f ca="1">Dashboard!D$8* Dashboard!$F$4+Dashboard!D$10*SQRT(Dashboard!$F$4) * _xlfn.NORM.S.INV(RAND())</f>
        <v>-1.9620715184680603E-3</v>
      </c>
    </row>
    <row r="9472" spans="18:21" x14ac:dyDescent="0.2">
      <c r="R9472" s="49">
        <v>9470</v>
      </c>
      <c r="S9472" s="59">
        <f ca="1">Dashboard!B$8* Dashboard!$F$4+Dashboard!B$10*SQRT(Dashboard!$F$4) * _xlfn.NORM.S.INV(RAND())</f>
        <v>1.353717387656595E-2</v>
      </c>
      <c r="T9472" s="59">
        <f ca="1">Dashboard!C$8* Dashboard!$F$4+Dashboard!C$10*SQRT(Dashboard!$F$4) * _xlfn.NORM.S.INV(RAND())</f>
        <v>2.3744582971865692E-2</v>
      </c>
      <c r="U9472" s="59">
        <f ca="1">Dashboard!D$8* Dashboard!$F$4+Dashboard!D$10*SQRT(Dashboard!$F$4) * _xlfn.NORM.S.INV(RAND())</f>
        <v>1.2175782890750985E-3</v>
      </c>
    </row>
    <row r="9473" spans="18:21" x14ac:dyDescent="0.2">
      <c r="R9473" s="49">
        <v>9471</v>
      </c>
      <c r="S9473" s="59">
        <f ca="1">Dashboard!B$8* Dashboard!$F$4+Dashboard!B$10*SQRT(Dashboard!$F$4) * _xlfn.NORM.S.INV(RAND())</f>
        <v>1.9406002604918857E-2</v>
      </c>
      <c r="T9473" s="59">
        <f ca="1">Dashboard!C$8* Dashboard!$F$4+Dashboard!C$10*SQRT(Dashboard!$F$4) * _xlfn.NORM.S.INV(RAND())</f>
        <v>-7.3093736712118107E-2</v>
      </c>
      <c r="U9473" s="59">
        <f ca="1">Dashboard!D$8* Dashboard!$F$4+Dashboard!D$10*SQRT(Dashboard!$F$4) * _xlfn.NORM.S.INV(RAND())</f>
        <v>-4.0456025739735543E-2</v>
      </c>
    </row>
    <row r="9474" spans="18:21" x14ac:dyDescent="0.2">
      <c r="R9474" s="49">
        <v>9472</v>
      </c>
      <c r="S9474" s="59">
        <f ca="1">Dashboard!B$8* Dashboard!$F$4+Dashboard!B$10*SQRT(Dashboard!$F$4) * _xlfn.NORM.S.INV(RAND())</f>
        <v>-9.4314937892836619E-3</v>
      </c>
      <c r="T9474" s="59">
        <f ca="1">Dashboard!C$8* Dashboard!$F$4+Dashboard!C$10*SQRT(Dashboard!$F$4) * _xlfn.NORM.S.INV(RAND())</f>
        <v>2.0169824657104971E-2</v>
      </c>
      <c r="U9474" s="59">
        <f ca="1">Dashboard!D$8* Dashboard!$F$4+Dashboard!D$10*SQRT(Dashboard!$F$4) * _xlfn.NORM.S.INV(RAND())</f>
        <v>-3.2871414326418269E-2</v>
      </c>
    </row>
    <row r="9475" spans="18:21" x14ac:dyDescent="0.2">
      <c r="R9475" s="49">
        <v>9473</v>
      </c>
      <c r="S9475" s="59">
        <f ca="1">Dashboard!B$8* Dashboard!$F$4+Dashboard!B$10*SQRT(Dashboard!$F$4) * _xlfn.NORM.S.INV(RAND())</f>
        <v>6.4244486601955295E-3</v>
      </c>
      <c r="T9475" s="59">
        <f ca="1">Dashboard!C$8* Dashboard!$F$4+Dashboard!C$10*SQRT(Dashboard!$F$4) * _xlfn.NORM.S.INV(RAND())</f>
        <v>-1.0319712236539092E-3</v>
      </c>
      <c r="U9475" s="59">
        <f ca="1">Dashboard!D$8* Dashboard!$F$4+Dashboard!D$10*SQRT(Dashboard!$F$4) * _xlfn.NORM.S.INV(RAND())</f>
        <v>-1.4834473319796987E-2</v>
      </c>
    </row>
    <row r="9476" spans="18:21" x14ac:dyDescent="0.2">
      <c r="R9476" s="49">
        <v>9474</v>
      </c>
      <c r="S9476" s="59">
        <f ca="1">Dashboard!B$8* Dashboard!$F$4+Dashboard!B$10*SQRT(Dashboard!$F$4) * _xlfn.NORM.S.INV(RAND())</f>
        <v>4.8364559145928451E-2</v>
      </c>
      <c r="T9476" s="59">
        <f ca="1">Dashboard!C$8* Dashboard!$F$4+Dashboard!C$10*SQRT(Dashboard!$F$4) * _xlfn.NORM.S.INV(RAND())</f>
        <v>-5.2610569410511407E-3</v>
      </c>
      <c r="U9476" s="59">
        <f ca="1">Dashboard!D$8* Dashboard!$F$4+Dashboard!D$10*SQRT(Dashboard!$F$4) * _xlfn.NORM.S.INV(RAND())</f>
        <v>3.7831156337439248E-2</v>
      </c>
    </row>
    <row r="9477" spans="18:21" x14ac:dyDescent="0.2">
      <c r="R9477" s="49">
        <v>9475</v>
      </c>
      <c r="S9477" s="59">
        <f ca="1">Dashboard!B$8* Dashboard!$F$4+Dashboard!B$10*SQRT(Dashboard!$F$4) * _xlfn.NORM.S.INV(RAND())</f>
        <v>1.6059854950351046E-2</v>
      </c>
      <c r="T9477" s="59">
        <f ca="1">Dashboard!C$8* Dashboard!$F$4+Dashboard!C$10*SQRT(Dashboard!$F$4) * _xlfn.NORM.S.INV(RAND())</f>
        <v>2.3845054389164219E-2</v>
      </c>
      <c r="U9477" s="59">
        <f ca="1">Dashboard!D$8* Dashboard!$F$4+Dashboard!D$10*SQRT(Dashboard!$F$4) * _xlfn.NORM.S.INV(RAND())</f>
        <v>-3.3293254683501916E-2</v>
      </c>
    </row>
    <row r="9478" spans="18:21" x14ac:dyDescent="0.2">
      <c r="R9478" s="49">
        <v>9476</v>
      </c>
      <c r="S9478" s="59">
        <f ca="1">Dashboard!B$8* Dashboard!$F$4+Dashboard!B$10*SQRT(Dashboard!$F$4) * _xlfn.NORM.S.INV(RAND())</f>
        <v>4.9084611183178632E-2</v>
      </c>
      <c r="T9478" s="59">
        <f ca="1">Dashboard!C$8* Dashboard!$F$4+Dashboard!C$10*SQRT(Dashboard!$F$4) * _xlfn.NORM.S.INV(RAND())</f>
        <v>-2.3271608236813618E-3</v>
      </c>
      <c r="U9478" s="59">
        <f ca="1">Dashboard!D$8* Dashboard!$F$4+Dashboard!D$10*SQRT(Dashboard!$F$4) * _xlfn.NORM.S.INV(RAND())</f>
        <v>6.45884433296408E-3</v>
      </c>
    </row>
    <row r="9479" spans="18:21" x14ac:dyDescent="0.2">
      <c r="R9479" s="49">
        <v>9477</v>
      </c>
      <c r="S9479" s="59">
        <f ca="1">Dashboard!B$8* Dashboard!$F$4+Dashboard!B$10*SQRT(Dashboard!$F$4) * _xlfn.NORM.S.INV(RAND())</f>
        <v>2.1969050221680789E-3</v>
      </c>
      <c r="T9479" s="59">
        <f ca="1">Dashboard!C$8* Dashboard!$F$4+Dashboard!C$10*SQRT(Dashboard!$F$4) * _xlfn.NORM.S.INV(RAND())</f>
        <v>9.2564934868391013E-3</v>
      </c>
      <c r="U9479" s="59">
        <f ca="1">Dashboard!D$8* Dashboard!$F$4+Dashboard!D$10*SQRT(Dashboard!$F$4) * _xlfn.NORM.S.INV(RAND())</f>
        <v>-4.2845703019055603E-2</v>
      </c>
    </row>
    <row r="9480" spans="18:21" x14ac:dyDescent="0.2">
      <c r="R9480" s="49">
        <v>9478</v>
      </c>
      <c r="S9480" s="59">
        <f ca="1">Dashboard!B$8* Dashboard!$F$4+Dashboard!B$10*SQRT(Dashboard!$F$4) * _xlfn.NORM.S.INV(RAND())</f>
        <v>3.0923158275848409E-3</v>
      </c>
      <c r="T9480" s="59">
        <f ca="1">Dashboard!C$8* Dashboard!$F$4+Dashboard!C$10*SQRT(Dashboard!$F$4) * _xlfn.NORM.S.INV(RAND())</f>
        <v>-4.9359801170890581E-2</v>
      </c>
      <c r="U9480" s="59">
        <f ca="1">Dashboard!D$8* Dashboard!$F$4+Dashboard!D$10*SQRT(Dashboard!$F$4) * _xlfn.NORM.S.INV(RAND())</f>
        <v>-2.567368393726804E-2</v>
      </c>
    </row>
    <row r="9481" spans="18:21" x14ac:dyDescent="0.2">
      <c r="R9481" s="49">
        <v>9479</v>
      </c>
      <c r="S9481" s="59">
        <f ca="1">Dashboard!B$8* Dashboard!$F$4+Dashboard!B$10*SQRT(Dashboard!$F$4) * _xlfn.NORM.S.INV(RAND())</f>
        <v>3.3059201300927314E-2</v>
      </c>
      <c r="T9481" s="59">
        <f ca="1">Dashboard!C$8* Dashboard!$F$4+Dashboard!C$10*SQRT(Dashboard!$F$4) * _xlfn.NORM.S.INV(RAND())</f>
        <v>1.3830045072195655E-2</v>
      </c>
      <c r="U9481" s="59">
        <f ca="1">Dashboard!D$8* Dashboard!$F$4+Dashboard!D$10*SQRT(Dashboard!$F$4) * _xlfn.NORM.S.INV(RAND())</f>
        <v>8.9746420136525892E-3</v>
      </c>
    </row>
    <row r="9482" spans="18:21" x14ac:dyDescent="0.2">
      <c r="R9482" s="49">
        <v>9480</v>
      </c>
      <c r="S9482" s="59">
        <f ca="1">Dashboard!B$8* Dashboard!$F$4+Dashboard!B$10*SQRT(Dashboard!$F$4) * _xlfn.NORM.S.INV(RAND())</f>
        <v>-3.4143960550113393E-2</v>
      </c>
      <c r="T9482" s="59">
        <f ca="1">Dashboard!C$8* Dashboard!$F$4+Dashboard!C$10*SQRT(Dashboard!$F$4) * _xlfn.NORM.S.INV(RAND())</f>
        <v>-2.4204750158910524E-2</v>
      </c>
      <c r="U9482" s="59">
        <f ca="1">Dashboard!D$8* Dashboard!$F$4+Dashboard!D$10*SQRT(Dashboard!$F$4) * _xlfn.NORM.S.INV(RAND())</f>
        <v>-1.9826856872025601E-2</v>
      </c>
    </row>
    <row r="9483" spans="18:21" x14ac:dyDescent="0.2">
      <c r="R9483" s="49">
        <v>9481</v>
      </c>
      <c r="S9483" s="59">
        <f ca="1">Dashboard!B$8* Dashboard!$F$4+Dashboard!B$10*SQRT(Dashboard!$F$4) * _xlfn.NORM.S.INV(RAND())</f>
        <v>4.2764512536871621E-4</v>
      </c>
      <c r="T9483" s="59">
        <f ca="1">Dashboard!C$8* Dashboard!$F$4+Dashboard!C$10*SQRT(Dashboard!$F$4) * _xlfn.NORM.S.INV(RAND())</f>
        <v>-3.0156987596943506E-3</v>
      </c>
      <c r="U9483" s="59">
        <f ca="1">Dashboard!D$8* Dashboard!$F$4+Dashboard!D$10*SQRT(Dashboard!$F$4) * _xlfn.NORM.S.INV(RAND())</f>
        <v>4.5555652911953189E-2</v>
      </c>
    </row>
    <row r="9484" spans="18:21" x14ac:dyDescent="0.2">
      <c r="R9484" s="49">
        <v>9482</v>
      </c>
      <c r="S9484" s="59">
        <f ca="1">Dashboard!B$8* Dashboard!$F$4+Dashboard!B$10*SQRT(Dashboard!$F$4) * _xlfn.NORM.S.INV(RAND())</f>
        <v>7.7289077889630395E-2</v>
      </c>
      <c r="T9484" s="59">
        <f ca="1">Dashboard!C$8* Dashboard!$F$4+Dashboard!C$10*SQRT(Dashboard!$F$4) * _xlfn.NORM.S.INV(RAND())</f>
        <v>-1.1882763414844774E-2</v>
      </c>
      <c r="U9484" s="59">
        <f ca="1">Dashboard!D$8* Dashboard!$F$4+Dashboard!D$10*SQRT(Dashboard!$F$4) * _xlfn.NORM.S.INV(RAND())</f>
        <v>1.0177357504781289E-3</v>
      </c>
    </row>
    <row r="9485" spans="18:21" x14ac:dyDescent="0.2">
      <c r="R9485" s="49">
        <v>9483</v>
      </c>
      <c r="S9485" s="59">
        <f ca="1">Dashboard!B$8* Dashboard!$F$4+Dashboard!B$10*SQRT(Dashboard!$F$4) * _xlfn.NORM.S.INV(RAND())</f>
        <v>1.3018063321466039E-2</v>
      </c>
      <c r="T9485" s="59">
        <f ca="1">Dashboard!C$8* Dashboard!$F$4+Dashboard!C$10*SQRT(Dashboard!$F$4) * _xlfn.NORM.S.INV(RAND())</f>
        <v>5.2914785097707374E-3</v>
      </c>
      <c r="U9485" s="59">
        <f ca="1">Dashboard!D$8* Dashboard!$F$4+Dashboard!D$10*SQRT(Dashboard!$F$4) * _xlfn.NORM.S.INV(RAND())</f>
        <v>-2.0184011468236736E-2</v>
      </c>
    </row>
    <row r="9486" spans="18:21" x14ac:dyDescent="0.2">
      <c r="R9486" s="49">
        <v>9484</v>
      </c>
      <c r="S9486" s="59">
        <f ca="1">Dashboard!B$8* Dashboard!$F$4+Dashboard!B$10*SQRT(Dashboard!$F$4) * _xlfn.NORM.S.INV(RAND())</f>
        <v>-3.2935876334348975E-2</v>
      </c>
      <c r="T9486" s="59">
        <f ca="1">Dashboard!C$8* Dashboard!$F$4+Dashboard!C$10*SQRT(Dashboard!$F$4) * _xlfn.NORM.S.INV(RAND())</f>
        <v>1.3279576713257937E-2</v>
      </c>
      <c r="U9486" s="59">
        <f ca="1">Dashboard!D$8* Dashboard!$F$4+Dashboard!D$10*SQRT(Dashboard!$F$4) * _xlfn.NORM.S.INV(RAND())</f>
        <v>-1.0050957315624141E-2</v>
      </c>
    </row>
    <row r="9487" spans="18:21" x14ac:dyDescent="0.2">
      <c r="R9487" s="49">
        <v>9485</v>
      </c>
      <c r="S9487" s="59">
        <f ca="1">Dashboard!B$8* Dashboard!$F$4+Dashboard!B$10*SQRT(Dashboard!$F$4) * _xlfn.NORM.S.INV(RAND())</f>
        <v>6.1330157674536048E-2</v>
      </c>
      <c r="T9487" s="59">
        <f ca="1">Dashboard!C$8* Dashboard!$F$4+Dashboard!C$10*SQRT(Dashboard!$F$4) * _xlfn.NORM.S.INV(RAND())</f>
        <v>2.6996046815468046E-2</v>
      </c>
      <c r="U9487" s="59">
        <f ca="1">Dashboard!D$8* Dashboard!$F$4+Dashboard!D$10*SQRT(Dashboard!$F$4) * _xlfn.NORM.S.INV(RAND())</f>
        <v>2.2843002176688937E-3</v>
      </c>
    </row>
    <row r="9488" spans="18:21" x14ac:dyDescent="0.2">
      <c r="R9488" s="49">
        <v>9486</v>
      </c>
      <c r="S9488" s="59">
        <f ca="1">Dashboard!B$8* Dashboard!$F$4+Dashboard!B$10*SQRT(Dashboard!$F$4) * _xlfn.NORM.S.INV(RAND())</f>
        <v>2.0907018575968897E-3</v>
      </c>
      <c r="T9488" s="59">
        <f ca="1">Dashboard!C$8* Dashboard!$F$4+Dashboard!C$10*SQRT(Dashboard!$F$4) * _xlfn.NORM.S.INV(RAND())</f>
        <v>2.0165620366000916E-2</v>
      </c>
      <c r="U9488" s="59">
        <f ca="1">Dashboard!D$8* Dashboard!$F$4+Dashboard!D$10*SQRT(Dashboard!$F$4) * _xlfn.NORM.S.INV(RAND())</f>
        <v>1.1929091037393739E-3</v>
      </c>
    </row>
    <row r="9489" spans="18:21" x14ac:dyDescent="0.2">
      <c r="R9489" s="49">
        <v>9487</v>
      </c>
      <c r="S9489" s="59">
        <f ca="1">Dashboard!B$8* Dashboard!$F$4+Dashboard!B$10*SQRT(Dashboard!$F$4) * _xlfn.NORM.S.INV(RAND())</f>
        <v>2.208763977392738E-2</v>
      </c>
      <c r="T9489" s="59">
        <f ca="1">Dashboard!C$8* Dashboard!$F$4+Dashboard!C$10*SQRT(Dashboard!$F$4) * _xlfn.NORM.S.INV(RAND())</f>
        <v>-3.3091436612893217E-2</v>
      </c>
      <c r="U9489" s="59">
        <f ca="1">Dashboard!D$8* Dashboard!$F$4+Dashboard!D$10*SQRT(Dashboard!$F$4) * _xlfn.NORM.S.INV(RAND())</f>
        <v>3.2467931015894264E-2</v>
      </c>
    </row>
    <row r="9490" spans="18:21" x14ac:dyDescent="0.2">
      <c r="R9490" s="49">
        <v>9488</v>
      </c>
      <c r="S9490" s="59">
        <f ca="1">Dashboard!B$8* Dashboard!$F$4+Dashboard!B$10*SQRT(Dashboard!$F$4) * _xlfn.NORM.S.INV(RAND())</f>
        <v>3.9751795301975375E-2</v>
      </c>
      <c r="T9490" s="59">
        <f ca="1">Dashboard!C$8* Dashboard!$F$4+Dashboard!C$10*SQRT(Dashboard!$F$4) * _xlfn.NORM.S.INV(RAND())</f>
        <v>-1.0742640648828395E-2</v>
      </c>
      <c r="U9490" s="59">
        <f ca="1">Dashboard!D$8* Dashboard!$F$4+Dashboard!D$10*SQRT(Dashboard!$F$4) * _xlfn.NORM.S.INV(RAND())</f>
        <v>2.9041507274252573E-2</v>
      </c>
    </row>
    <row r="9491" spans="18:21" x14ac:dyDescent="0.2">
      <c r="R9491" s="49">
        <v>9489</v>
      </c>
      <c r="S9491" s="59">
        <f ca="1">Dashboard!B$8* Dashboard!$F$4+Dashboard!B$10*SQRT(Dashboard!$F$4) * _xlfn.NORM.S.INV(RAND())</f>
        <v>-1.7216231008927219E-2</v>
      </c>
      <c r="T9491" s="59">
        <f ca="1">Dashboard!C$8* Dashboard!$F$4+Dashboard!C$10*SQRT(Dashboard!$F$4) * _xlfn.NORM.S.INV(RAND())</f>
        <v>-4.937638245620839E-4</v>
      </c>
      <c r="U9491" s="59">
        <f ca="1">Dashboard!D$8* Dashboard!$F$4+Dashboard!D$10*SQRT(Dashboard!$F$4) * _xlfn.NORM.S.INV(RAND())</f>
        <v>-2.534589040499028E-2</v>
      </c>
    </row>
    <row r="9492" spans="18:21" x14ac:dyDescent="0.2">
      <c r="R9492" s="49">
        <v>9490</v>
      </c>
      <c r="S9492" s="59">
        <f ca="1">Dashboard!B$8* Dashboard!$F$4+Dashboard!B$10*SQRT(Dashboard!$F$4) * _xlfn.NORM.S.INV(RAND())</f>
        <v>1.0147455413162641E-2</v>
      </c>
      <c r="T9492" s="59">
        <f ca="1">Dashboard!C$8* Dashboard!$F$4+Dashboard!C$10*SQRT(Dashboard!$F$4) * _xlfn.NORM.S.INV(RAND())</f>
        <v>-5.6333543655048439E-2</v>
      </c>
      <c r="U9492" s="59">
        <f ca="1">Dashboard!D$8* Dashboard!$F$4+Dashboard!D$10*SQRT(Dashboard!$F$4) * _xlfn.NORM.S.INV(RAND())</f>
        <v>-1.9381999861717323E-2</v>
      </c>
    </row>
    <row r="9493" spans="18:21" x14ac:dyDescent="0.2">
      <c r="R9493" s="49">
        <v>9491</v>
      </c>
      <c r="S9493" s="59">
        <f ca="1">Dashboard!B$8* Dashboard!$F$4+Dashboard!B$10*SQRT(Dashboard!$F$4) * _xlfn.NORM.S.INV(RAND())</f>
        <v>1.2428126183484373E-2</v>
      </c>
      <c r="T9493" s="59">
        <f ca="1">Dashboard!C$8* Dashboard!$F$4+Dashboard!C$10*SQRT(Dashboard!$F$4) * _xlfn.NORM.S.INV(RAND())</f>
        <v>5.1907274035782582E-2</v>
      </c>
      <c r="U9493" s="59">
        <f ca="1">Dashboard!D$8* Dashboard!$F$4+Dashboard!D$10*SQRT(Dashboard!$F$4) * _xlfn.NORM.S.INV(RAND())</f>
        <v>-8.1828576133810664E-3</v>
      </c>
    </row>
    <row r="9494" spans="18:21" x14ac:dyDescent="0.2">
      <c r="R9494" s="49">
        <v>9492</v>
      </c>
      <c r="S9494" s="59">
        <f ca="1">Dashboard!B$8* Dashboard!$F$4+Dashboard!B$10*SQRT(Dashboard!$F$4) * _xlfn.NORM.S.INV(RAND())</f>
        <v>-1.8657099422575833E-3</v>
      </c>
      <c r="T9494" s="59">
        <f ca="1">Dashboard!C$8* Dashboard!$F$4+Dashboard!C$10*SQRT(Dashboard!$F$4) * _xlfn.NORM.S.INV(RAND())</f>
        <v>2.2518557099400892E-2</v>
      </c>
      <c r="U9494" s="59">
        <f ca="1">Dashboard!D$8* Dashboard!$F$4+Dashboard!D$10*SQRT(Dashboard!$F$4) * _xlfn.NORM.S.INV(RAND())</f>
        <v>-2.2340230107715214E-2</v>
      </c>
    </row>
    <row r="9495" spans="18:21" x14ac:dyDescent="0.2">
      <c r="R9495" s="49">
        <v>9493</v>
      </c>
      <c r="S9495" s="59">
        <f ca="1">Dashboard!B$8* Dashboard!$F$4+Dashboard!B$10*SQRT(Dashboard!$F$4) * _xlfn.NORM.S.INV(RAND())</f>
        <v>2.2545555655461846E-2</v>
      </c>
      <c r="T9495" s="59">
        <f ca="1">Dashboard!C$8* Dashboard!$F$4+Dashboard!C$10*SQRT(Dashboard!$F$4) * _xlfn.NORM.S.INV(RAND())</f>
        <v>6.4047278349839462E-2</v>
      </c>
      <c r="U9495" s="59">
        <f ca="1">Dashboard!D$8* Dashboard!$F$4+Dashboard!D$10*SQRT(Dashboard!$F$4) * _xlfn.NORM.S.INV(RAND())</f>
        <v>1.6389265086121464E-2</v>
      </c>
    </row>
    <row r="9496" spans="18:21" x14ac:dyDescent="0.2">
      <c r="R9496" s="49">
        <v>9494</v>
      </c>
      <c r="S9496" s="59">
        <f ca="1">Dashboard!B$8* Dashboard!$F$4+Dashboard!B$10*SQRT(Dashboard!$F$4) * _xlfn.NORM.S.INV(RAND())</f>
        <v>-9.393771688304884E-3</v>
      </c>
      <c r="T9496" s="59">
        <f ca="1">Dashboard!C$8* Dashboard!$F$4+Dashboard!C$10*SQRT(Dashboard!$F$4) * _xlfn.NORM.S.INV(RAND())</f>
        <v>-1.5445352142539882E-2</v>
      </c>
      <c r="U9496" s="59">
        <f ca="1">Dashboard!D$8* Dashboard!$F$4+Dashboard!D$10*SQRT(Dashboard!$F$4) * _xlfn.NORM.S.INV(RAND())</f>
        <v>4.408230687196555E-2</v>
      </c>
    </row>
    <row r="9497" spans="18:21" x14ac:dyDescent="0.2">
      <c r="R9497" s="49">
        <v>9495</v>
      </c>
      <c r="S9497" s="59">
        <f ca="1">Dashboard!B$8* Dashboard!$F$4+Dashboard!B$10*SQRT(Dashboard!$F$4) * _xlfn.NORM.S.INV(RAND())</f>
        <v>-2.2488364463393362E-2</v>
      </c>
      <c r="T9497" s="59">
        <f ca="1">Dashboard!C$8* Dashboard!$F$4+Dashboard!C$10*SQRT(Dashboard!$F$4) * _xlfn.NORM.S.INV(RAND())</f>
        <v>6.4156377530747086E-2</v>
      </c>
      <c r="U9497" s="59">
        <f ca="1">Dashboard!D$8* Dashboard!$F$4+Dashboard!D$10*SQRT(Dashboard!$F$4) * _xlfn.NORM.S.INV(RAND())</f>
        <v>5.0682527795968595E-2</v>
      </c>
    </row>
    <row r="9498" spans="18:21" x14ac:dyDescent="0.2">
      <c r="R9498" s="49">
        <v>9496</v>
      </c>
      <c r="S9498" s="59">
        <f ca="1">Dashboard!B$8* Dashboard!$F$4+Dashboard!B$10*SQRT(Dashboard!$F$4) * _xlfn.NORM.S.INV(RAND())</f>
        <v>-7.3586868267250222E-2</v>
      </c>
      <c r="T9498" s="59">
        <f ca="1">Dashboard!C$8* Dashboard!$F$4+Dashboard!C$10*SQRT(Dashboard!$F$4) * _xlfn.NORM.S.INV(RAND())</f>
        <v>1.8662342431854995E-2</v>
      </c>
      <c r="U9498" s="59">
        <f ca="1">Dashboard!D$8* Dashboard!$F$4+Dashboard!D$10*SQRT(Dashboard!$F$4) * _xlfn.NORM.S.INV(RAND())</f>
        <v>-2.5408731314057412E-2</v>
      </c>
    </row>
    <row r="9499" spans="18:21" x14ac:dyDescent="0.2">
      <c r="R9499" s="49">
        <v>9497</v>
      </c>
      <c r="S9499" s="59">
        <f ca="1">Dashboard!B$8* Dashboard!$F$4+Dashboard!B$10*SQRT(Dashboard!$F$4) * _xlfn.NORM.S.INV(RAND())</f>
        <v>3.2981331854373457E-2</v>
      </c>
      <c r="T9499" s="59">
        <f ca="1">Dashboard!C$8* Dashboard!$F$4+Dashboard!C$10*SQRT(Dashboard!$F$4) * _xlfn.NORM.S.INV(RAND())</f>
        <v>-1.3267339562008158E-2</v>
      </c>
      <c r="U9499" s="59">
        <f ca="1">Dashboard!D$8* Dashboard!$F$4+Dashboard!D$10*SQRT(Dashboard!$F$4) * _xlfn.NORM.S.INV(RAND())</f>
        <v>-6.8474584846345398E-3</v>
      </c>
    </row>
    <row r="9500" spans="18:21" x14ac:dyDescent="0.2">
      <c r="R9500" s="49">
        <v>9498</v>
      </c>
      <c r="S9500" s="59">
        <f ca="1">Dashboard!B$8* Dashboard!$F$4+Dashboard!B$10*SQRT(Dashboard!$F$4) * _xlfn.NORM.S.INV(RAND())</f>
        <v>2.185283292099581E-2</v>
      </c>
      <c r="T9500" s="59">
        <f ca="1">Dashboard!C$8* Dashboard!$F$4+Dashboard!C$10*SQRT(Dashboard!$F$4) * _xlfn.NORM.S.INV(RAND())</f>
        <v>-8.1054482470401083E-3</v>
      </c>
      <c r="U9500" s="59">
        <f ca="1">Dashboard!D$8* Dashboard!$F$4+Dashboard!D$10*SQRT(Dashboard!$F$4) * _xlfn.NORM.S.INV(RAND())</f>
        <v>-2.5224175040857517E-2</v>
      </c>
    </row>
    <row r="9501" spans="18:21" x14ac:dyDescent="0.2">
      <c r="R9501" s="49">
        <v>9499</v>
      </c>
      <c r="S9501" s="59">
        <f ca="1">Dashboard!B$8* Dashboard!$F$4+Dashboard!B$10*SQRT(Dashboard!$F$4) * _xlfn.NORM.S.INV(RAND())</f>
        <v>-6.5762175719976945E-3</v>
      </c>
      <c r="T9501" s="59">
        <f ca="1">Dashboard!C$8* Dashboard!$F$4+Dashboard!C$10*SQRT(Dashboard!$F$4) * _xlfn.NORM.S.INV(RAND())</f>
        <v>2.3971116448254344E-2</v>
      </c>
      <c r="U9501" s="59">
        <f ca="1">Dashboard!D$8* Dashboard!$F$4+Dashboard!D$10*SQRT(Dashboard!$F$4) * _xlfn.NORM.S.INV(RAND())</f>
        <v>3.0631733276847022E-2</v>
      </c>
    </row>
    <row r="9502" spans="18:21" x14ac:dyDescent="0.2">
      <c r="R9502" s="49">
        <v>9500</v>
      </c>
      <c r="S9502" s="59">
        <f ca="1">Dashboard!B$8* Dashboard!$F$4+Dashboard!B$10*SQRT(Dashboard!$F$4) * _xlfn.NORM.S.INV(RAND())</f>
        <v>-1.6496538116206317E-2</v>
      </c>
      <c r="T9502" s="59">
        <f ca="1">Dashboard!C$8* Dashboard!$F$4+Dashboard!C$10*SQRT(Dashboard!$F$4) * _xlfn.NORM.S.INV(RAND())</f>
        <v>-3.3749636300605658E-2</v>
      </c>
      <c r="U9502" s="59">
        <f ca="1">Dashboard!D$8* Dashboard!$F$4+Dashboard!D$10*SQRT(Dashboard!$F$4) * _xlfn.NORM.S.INV(RAND())</f>
        <v>5.0272548915179134E-2</v>
      </c>
    </row>
    <row r="9503" spans="18:21" x14ac:dyDescent="0.2">
      <c r="R9503" s="49">
        <v>9501</v>
      </c>
      <c r="S9503" s="59">
        <f ca="1">Dashboard!B$8* Dashboard!$F$4+Dashboard!B$10*SQRT(Dashboard!$F$4) * _xlfn.NORM.S.INV(RAND())</f>
        <v>-2.8832150768281245E-2</v>
      </c>
      <c r="T9503" s="59">
        <f ca="1">Dashboard!C$8* Dashboard!$F$4+Dashboard!C$10*SQRT(Dashboard!$F$4) * _xlfn.NORM.S.INV(RAND())</f>
        <v>-1.6449642882181929E-3</v>
      </c>
      <c r="U9503" s="59">
        <f ca="1">Dashboard!D$8* Dashboard!$F$4+Dashboard!D$10*SQRT(Dashboard!$F$4) * _xlfn.NORM.S.INV(RAND())</f>
        <v>-1.7185158083040199E-2</v>
      </c>
    </row>
    <row r="9504" spans="18:21" x14ac:dyDescent="0.2">
      <c r="R9504" s="49">
        <v>9502</v>
      </c>
      <c r="S9504" s="59">
        <f ca="1">Dashboard!B$8* Dashboard!$F$4+Dashboard!B$10*SQRT(Dashboard!$F$4) * _xlfn.NORM.S.INV(RAND())</f>
        <v>-3.0627105178857396E-2</v>
      </c>
      <c r="T9504" s="59">
        <f ca="1">Dashboard!C$8* Dashboard!$F$4+Dashboard!C$10*SQRT(Dashboard!$F$4) * _xlfn.NORM.S.INV(RAND())</f>
        <v>5.3325277594171508E-6</v>
      </c>
      <c r="U9504" s="59">
        <f ca="1">Dashboard!D$8* Dashboard!$F$4+Dashboard!D$10*SQRT(Dashboard!$F$4) * _xlfn.NORM.S.INV(RAND())</f>
        <v>1.4269302916726337E-2</v>
      </c>
    </row>
    <row r="9505" spans="18:21" x14ac:dyDescent="0.2">
      <c r="R9505" s="49">
        <v>9503</v>
      </c>
      <c r="S9505" s="59">
        <f ca="1">Dashboard!B$8* Dashboard!$F$4+Dashboard!B$10*SQRT(Dashboard!$F$4) * _xlfn.NORM.S.INV(RAND())</f>
        <v>6.409643575416861E-2</v>
      </c>
      <c r="T9505" s="59">
        <f ca="1">Dashboard!C$8* Dashboard!$F$4+Dashboard!C$10*SQRT(Dashboard!$F$4) * _xlfn.NORM.S.INV(RAND())</f>
        <v>4.2154189391708466E-2</v>
      </c>
      <c r="U9505" s="59">
        <f ca="1">Dashboard!D$8* Dashboard!$F$4+Dashboard!D$10*SQRT(Dashboard!$F$4) * _xlfn.NORM.S.INV(RAND())</f>
        <v>1.2517588293451606E-2</v>
      </c>
    </row>
    <row r="9506" spans="18:21" x14ac:dyDescent="0.2">
      <c r="R9506" s="49">
        <v>9504</v>
      </c>
      <c r="S9506" s="59">
        <f ca="1">Dashboard!B$8* Dashboard!$F$4+Dashboard!B$10*SQRT(Dashboard!$F$4) * _xlfn.NORM.S.INV(RAND())</f>
        <v>-4.2227771151034245E-2</v>
      </c>
      <c r="T9506" s="59">
        <f ca="1">Dashboard!C$8* Dashboard!$F$4+Dashboard!C$10*SQRT(Dashboard!$F$4) * _xlfn.NORM.S.INV(RAND())</f>
        <v>-1.5691018435988229E-2</v>
      </c>
      <c r="U9506" s="59">
        <f ca="1">Dashboard!D$8* Dashboard!$F$4+Dashboard!D$10*SQRT(Dashboard!$F$4) * _xlfn.NORM.S.INV(RAND())</f>
        <v>-8.3260881591523551E-3</v>
      </c>
    </row>
    <row r="9507" spans="18:21" x14ac:dyDescent="0.2">
      <c r="R9507" s="49">
        <v>9505</v>
      </c>
      <c r="S9507" s="59">
        <f ca="1">Dashboard!B$8* Dashboard!$F$4+Dashboard!B$10*SQRT(Dashboard!$F$4) * _xlfn.NORM.S.INV(RAND())</f>
        <v>1.7798507536634221E-2</v>
      </c>
      <c r="T9507" s="59">
        <f ca="1">Dashboard!C$8* Dashboard!$F$4+Dashboard!C$10*SQRT(Dashboard!$F$4) * _xlfn.NORM.S.INV(RAND())</f>
        <v>8.5473659062001821E-3</v>
      </c>
      <c r="U9507" s="59">
        <f ca="1">Dashboard!D$8* Dashboard!$F$4+Dashboard!D$10*SQRT(Dashboard!$F$4) * _xlfn.NORM.S.INV(RAND())</f>
        <v>2.0037659958545003E-2</v>
      </c>
    </row>
    <row r="9508" spans="18:21" x14ac:dyDescent="0.2">
      <c r="R9508" s="49">
        <v>9506</v>
      </c>
      <c r="S9508" s="59">
        <f ca="1">Dashboard!B$8* Dashboard!$F$4+Dashboard!B$10*SQRT(Dashboard!$F$4) * _xlfn.NORM.S.INV(RAND())</f>
        <v>4.3080940746423387E-2</v>
      </c>
      <c r="T9508" s="59">
        <f ca="1">Dashboard!C$8* Dashboard!$F$4+Dashboard!C$10*SQRT(Dashboard!$F$4) * _xlfn.NORM.S.INV(RAND())</f>
        <v>-2.6317760273673486E-2</v>
      </c>
      <c r="U9508" s="59">
        <f ca="1">Dashboard!D$8* Dashboard!$F$4+Dashboard!D$10*SQRT(Dashboard!$F$4) * _xlfn.NORM.S.INV(RAND())</f>
        <v>7.5911205373062045E-3</v>
      </c>
    </row>
    <row r="9509" spans="18:21" x14ac:dyDescent="0.2">
      <c r="R9509" s="49">
        <v>9507</v>
      </c>
      <c r="S9509" s="59">
        <f ca="1">Dashboard!B$8* Dashboard!$F$4+Dashboard!B$10*SQRT(Dashboard!$F$4) * _xlfn.NORM.S.INV(RAND())</f>
        <v>-5.0101916859235658E-2</v>
      </c>
      <c r="T9509" s="59">
        <f ca="1">Dashboard!C$8* Dashboard!$F$4+Dashboard!C$10*SQRT(Dashboard!$F$4) * _xlfn.NORM.S.INV(RAND())</f>
        <v>2.4789913146769371E-2</v>
      </c>
      <c r="U9509" s="59">
        <f ca="1">Dashboard!D$8* Dashboard!$F$4+Dashboard!D$10*SQRT(Dashboard!$F$4) * _xlfn.NORM.S.INV(RAND())</f>
        <v>1.9949770160938449E-2</v>
      </c>
    </row>
    <row r="9510" spans="18:21" x14ac:dyDescent="0.2">
      <c r="R9510" s="49">
        <v>9508</v>
      </c>
      <c r="S9510" s="59">
        <f ca="1">Dashboard!B$8* Dashboard!$F$4+Dashboard!B$10*SQRT(Dashboard!$F$4) * _xlfn.NORM.S.INV(RAND())</f>
        <v>2.1468505219894136E-2</v>
      </c>
      <c r="T9510" s="59">
        <f ca="1">Dashboard!C$8* Dashboard!$F$4+Dashboard!C$10*SQRT(Dashboard!$F$4) * _xlfn.NORM.S.INV(RAND())</f>
        <v>5.5957135912440066E-2</v>
      </c>
      <c r="U9510" s="59">
        <f ca="1">Dashboard!D$8* Dashboard!$F$4+Dashboard!D$10*SQRT(Dashboard!$F$4) * _xlfn.NORM.S.INV(RAND())</f>
        <v>6.0110915429157068E-3</v>
      </c>
    </row>
    <row r="9511" spans="18:21" x14ac:dyDescent="0.2">
      <c r="R9511" s="49">
        <v>9509</v>
      </c>
      <c r="S9511" s="59">
        <f ca="1">Dashboard!B$8* Dashboard!$F$4+Dashboard!B$10*SQRT(Dashboard!$F$4) * _xlfn.NORM.S.INV(RAND())</f>
        <v>-1.1485481660124329E-2</v>
      </c>
      <c r="T9511" s="59">
        <f ca="1">Dashboard!C$8* Dashboard!$F$4+Dashboard!C$10*SQRT(Dashboard!$F$4) * _xlfn.NORM.S.INV(RAND())</f>
        <v>1.0099284979176042E-2</v>
      </c>
      <c r="U9511" s="59">
        <f ca="1">Dashboard!D$8* Dashboard!$F$4+Dashboard!D$10*SQRT(Dashboard!$F$4) * _xlfn.NORM.S.INV(RAND())</f>
        <v>1.7521039177162669E-2</v>
      </c>
    </row>
    <row r="9512" spans="18:21" x14ac:dyDescent="0.2">
      <c r="R9512" s="49">
        <v>9510</v>
      </c>
      <c r="S9512" s="59">
        <f ca="1">Dashboard!B$8* Dashboard!$F$4+Dashboard!B$10*SQRT(Dashboard!$F$4) * _xlfn.NORM.S.INV(RAND())</f>
        <v>-3.4094316138645775E-2</v>
      </c>
      <c r="T9512" s="59">
        <f ca="1">Dashboard!C$8* Dashboard!$F$4+Dashboard!C$10*SQRT(Dashboard!$F$4) * _xlfn.NORM.S.INV(RAND())</f>
        <v>-1.8044113183196302E-2</v>
      </c>
      <c r="U9512" s="59">
        <f ca="1">Dashboard!D$8* Dashboard!$F$4+Dashboard!D$10*SQRT(Dashboard!$F$4) * _xlfn.NORM.S.INV(RAND())</f>
        <v>-2.1082778927451393E-2</v>
      </c>
    </row>
    <row r="9513" spans="18:21" x14ac:dyDescent="0.2">
      <c r="R9513" s="49">
        <v>9511</v>
      </c>
      <c r="S9513" s="59">
        <f ca="1">Dashboard!B$8* Dashboard!$F$4+Dashboard!B$10*SQRT(Dashboard!$F$4) * _xlfn.NORM.S.INV(RAND())</f>
        <v>-4.804310087363748E-2</v>
      </c>
      <c r="T9513" s="59">
        <f ca="1">Dashboard!C$8* Dashboard!$F$4+Dashboard!C$10*SQRT(Dashboard!$F$4) * _xlfn.NORM.S.INV(RAND())</f>
        <v>5.828501405074845E-2</v>
      </c>
      <c r="U9513" s="59">
        <f ca="1">Dashboard!D$8* Dashboard!$F$4+Dashboard!D$10*SQRT(Dashboard!$F$4) * _xlfn.NORM.S.INV(RAND())</f>
        <v>-3.6369057541053532E-2</v>
      </c>
    </row>
    <row r="9514" spans="18:21" x14ac:dyDescent="0.2">
      <c r="R9514" s="49">
        <v>9512</v>
      </c>
      <c r="S9514" s="59">
        <f ca="1">Dashboard!B$8* Dashboard!$F$4+Dashboard!B$10*SQRT(Dashboard!$F$4) * _xlfn.NORM.S.INV(RAND())</f>
        <v>1.828597521353139E-2</v>
      </c>
      <c r="T9514" s="59">
        <f ca="1">Dashboard!C$8* Dashboard!$F$4+Dashboard!C$10*SQRT(Dashboard!$F$4) * _xlfn.NORM.S.INV(RAND())</f>
        <v>2.5382584704842961E-2</v>
      </c>
      <c r="U9514" s="59">
        <f ca="1">Dashboard!D$8* Dashboard!$F$4+Dashboard!D$10*SQRT(Dashboard!$F$4) * _xlfn.NORM.S.INV(RAND())</f>
        <v>4.9283787971340426E-3</v>
      </c>
    </row>
    <row r="9515" spans="18:21" x14ac:dyDescent="0.2">
      <c r="R9515" s="49">
        <v>9513</v>
      </c>
      <c r="S9515" s="59">
        <f ca="1">Dashboard!B$8* Dashboard!$F$4+Dashboard!B$10*SQRT(Dashboard!$F$4) * _xlfn.NORM.S.INV(RAND())</f>
        <v>-4.4608923592544446E-2</v>
      </c>
      <c r="T9515" s="59">
        <f ca="1">Dashboard!C$8* Dashboard!$F$4+Dashboard!C$10*SQRT(Dashboard!$F$4) * _xlfn.NORM.S.INV(RAND())</f>
        <v>1.0266119454003072E-2</v>
      </c>
      <c r="U9515" s="59">
        <f ca="1">Dashboard!D$8* Dashboard!$F$4+Dashboard!D$10*SQRT(Dashboard!$F$4) * _xlfn.NORM.S.INV(RAND())</f>
        <v>4.8698169555564733E-2</v>
      </c>
    </row>
    <row r="9516" spans="18:21" x14ac:dyDescent="0.2">
      <c r="R9516" s="49">
        <v>9514</v>
      </c>
      <c r="S9516" s="59">
        <f ca="1">Dashboard!B$8* Dashboard!$F$4+Dashboard!B$10*SQRT(Dashboard!$F$4) * _xlfn.NORM.S.INV(RAND())</f>
        <v>1.3336652214288805E-2</v>
      </c>
      <c r="T9516" s="59">
        <f ca="1">Dashboard!C$8* Dashboard!$F$4+Dashboard!C$10*SQRT(Dashboard!$F$4) * _xlfn.NORM.S.INV(RAND())</f>
        <v>-2.4908190488188365E-2</v>
      </c>
      <c r="U9516" s="59">
        <f ca="1">Dashboard!D$8* Dashboard!$F$4+Dashboard!D$10*SQRT(Dashboard!$F$4) * _xlfn.NORM.S.INV(RAND())</f>
        <v>4.580939721355827E-2</v>
      </c>
    </row>
    <row r="9517" spans="18:21" x14ac:dyDescent="0.2">
      <c r="R9517" s="49">
        <v>9515</v>
      </c>
      <c r="S9517" s="59">
        <f ca="1">Dashboard!B$8* Dashboard!$F$4+Dashboard!B$10*SQRT(Dashboard!$F$4) * _xlfn.NORM.S.INV(RAND())</f>
        <v>-3.0048950307458256E-4</v>
      </c>
      <c r="T9517" s="59">
        <f ca="1">Dashboard!C$8* Dashboard!$F$4+Dashboard!C$10*SQRT(Dashboard!$F$4) * _xlfn.NORM.S.INV(RAND())</f>
        <v>7.3137729022917132E-3</v>
      </c>
      <c r="U9517" s="59">
        <f ca="1">Dashboard!D$8* Dashboard!$F$4+Dashboard!D$10*SQRT(Dashboard!$F$4) * _xlfn.NORM.S.INV(RAND())</f>
        <v>4.5362371872064491E-4</v>
      </c>
    </row>
    <row r="9518" spans="18:21" x14ac:dyDescent="0.2">
      <c r="R9518" s="49">
        <v>9516</v>
      </c>
      <c r="S9518" s="59">
        <f ca="1">Dashboard!B$8* Dashboard!$F$4+Dashboard!B$10*SQRT(Dashboard!$F$4) * _xlfn.NORM.S.INV(RAND())</f>
        <v>-2.0963273436894837E-2</v>
      </c>
      <c r="T9518" s="59">
        <f ca="1">Dashboard!C$8* Dashboard!$F$4+Dashboard!C$10*SQRT(Dashboard!$F$4) * _xlfn.NORM.S.INV(RAND())</f>
        <v>5.5899527081845035E-2</v>
      </c>
      <c r="U9518" s="59">
        <f ca="1">Dashboard!D$8* Dashboard!$F$4+Dashboard!D$10*SQRT(Dashboard!$F$4) * _xlfn.NORM.S.INV(RAND())</f>
        <v>5.4661835422924903E-4</v>
      </c>
    </row>
    <row r="9519" spans="18:21" x14ac:dyDescent="0.2">
      <c r="R9519" s="49">
        <v>9517</v>
      </c>
      <c r="S9519" s="59">
        <f ca="1">Dashboard!B$8* Dashboard!$F$4+Dashboard!B$10*SQRT(Dashboard!$F$4) * _xlfn.NORM.S.INV(RAND())</f>
        <v>4.0547502293339005E-2</v>
      </c>
      <c r="T9519" s="59">
        <f ca="1">Dashboard!C$8* Dashboard!$F$4+Dashboard!C$10*SQRT(Dashboard!$F$4) * _xlfn.NORM.S.INV(RAND())</f>
        <v>4.3408466875858392E-2</v>
      </c>
      <c r="U9519" s="59">
        <f ca="1">Dashboard!D$8* Dashboard!$F$4+Dashboard!D$10*SQRT(Dashboard!$F$4) * _xlfn.NORM.S.INV(RAND())</f>
        <v>6.4608090277873302E-3</v>
      </c>
    </row>
    <row r="9520" spans="18:21" x14ac:dyDescent="0.2">
      <c r="R9520" s="49">
        <v>9518</v>
      </c>
      <c r="S9520" s="59">
        <f ca="1">Dashboard!B$8* Dashboard!$F$4+Dashboard!B$10*SQRT(Dashboard!$F$4) * _xlfn.NORM.S.INV(RAND())</f>
        <v>-4.7207952423872698E-2</v>
      </c>
      <c r="T9520" s="59">
        <f ca="1">Dashboard!C$8* Dashboard!$F$4+Dashboard!C$10*SQRT(Dashboard!$F$4) * _xlfn.NORM.S.INV(RAND())</f>
        <v>1.3608380521733285E-2</v>
      </c>
      <c r="U9520" s="59">
        <f ca="1">Dashboard!D$8* Dashboard!$F$4+Dashboard!D$10*SQRT(Dashboard!$F$4) * _xlfn.NORM.S.INV(RAND())</f>
        <v>1.0992178695995681E-2</v>
      </c>
    </row>
    <row r="9521" spans="18:21" x14ac:dyDescent="0.2">
      <c r="R9521" s="49">
        <v>9519</v>
      </c>
      <c r="S9521" s="59">
        <f ca="1">Dashboard!B$8* Dashboard!$F$4+Dashboard!B$10*SQRT(Dashboard!$F$4) * _xlfn.NORM.S.INV(RAND())</f>
        <v>4.4634337678611836E-3</v>
      </c>
      <c r="T9521" s="59">
        <f ca="1">Dashboard!C$8* Dashboard!$F$4+Dashboard!C$10*SQRT(Dashboard!$F$4) * _xlfn.NORM.S.INV(RAND())</f>
        <v>2.5285658839746157E-2</v>
      </c>
      <c r="U9521" s="59">
        <f ca="1">Dashboard!D$8* Dashboard!$F$4+Dashboard!D$10*SQRT(Dashboard!$F$4) * _xlfn.NORM.S.INV(RAND())</f>
        <v>-3.0974967111762636E-3</v>
      </c>
    </row>
    <row r="9522" spans="18:21" x14ac:dyDescent="0.2">
      <c r="R9522" s="49">
        <v>9520</v>
      </c>
      <c r="S9522" s="59">
        <f ca="1">Dashboard!B$8* Dashboard!$F$4+Dashboard!B$10*SQRT(Dashboard!$F$4) * _xlfn.NORM.S.INV(RAND())</f>
        <v>-7.9876882535564707E-3</v>
      </c>
      <c r="T9522" s="59">
        <f ca="1">Dashboard!C$8* Dashboard!$F$4+Dashboard!C$10*SQRT(Dashboard!$F$4) * _xlfn.NORM.S.INV(RAND())</f>
        <v>6.1297003828772213E-3</v>
      </c>
      <c r="U9522" s="59">
        <f ca="1">Dashboard!D$8* Dashboard!$F$4+Dashboard!D$10*SQRT(Dashboard!$F$4) * _xlfn.NORM.S.INV(RAND())</f>
        <v>2.7810529336239637E-2</v>
      </c>
    </row>
    <row r="9523" spans="18:21" x14ac:dyDescent="0.2">
      <c r="R9523" s="49">
        <v>9521</v>
      </c>
      <c r="S9523" s="59">
        <f ca="1">Dashboard!B$8* Dashboard!$F$4+Dashboard!B$10*SQRT(Dashboard!$F$4) * _xlfn.NORM.S.INV(RAND())</f>
        <v>-2.2020846633715133E-2</v>
      </c>
      <c r="T9523" s="59">
        <f ca="1">Dashboard!C$8* Dashboard!$F$4+Dashboard!C$10*SQRT(Dashboard!$F$4) * _xlfn.NORM.S.INV(RAND())</f>
        <v>-9.5306744646086045E-2</v>
      </c>
      <c r="U9523" s="59">
        <f ca="1">Dashboard!D$8* Dashboard!$F$4+Dashboard!D$10*SQRT(Dashboard!$F$4) * _xlfn.NORM.S.INV(RAND())</f>
        <v>-1.5939243355762155E-2</v>
      </c>
    </row>
    <row r="9524" spans="18:21" x14ac:dyDescent="0.2">
      <c r="R9524" s="49">
        <v>9522</v>
      </c>
      <c r="S9524" s="59">
        <f ca="1">Dashboard!B$8* Dashboard!$F$4+Dashboard!B$10*SQRT(Dashboard!$F$4) * _xlfn.NORM.S.INV(RAND())</f>
        <v>-7.249719988405858E-3</v>
      </c>
      <c r="T9524" s="59">
        <f ca="1">Dashboard!C$8* Dashboard!$F$4+Dashboard!C$10*SQRT(Dashboard!$F$4) * _xlfn.NORM.S.INV(RAND())</f>
        <v>7.644112763166469E-2</v>
      </c>
      <c r="U9524" s="59">
        <f ca="1">Dashboard!D$8* Dashboard!$F$4+Dashboard!D$10*SQRT(Dashboard!$F$4) * _xlfn.NORM.S.INV(RAND())</f>
        <v>-1.1180859171759861E-2</v>
      </c>
    </row>
    <row r="9525" spans="18:21" x14ac:dyDescent="0.2">
      <c r="R9525" s="49">
        <v>9523</v>
      </c>
      <c r="S9525" s="59">
        <f ca="1">Dashboard!B$8* Dashboard!$F$4+Dashboard!B$10*SQRT(Dashboard!$F$4) * _xlfn.NORM.S.INV(RAND())</f>
        <v>-6.1642895015291486E-2</v>
      </c>
      <c r="T9525" s="59">
        <f ca="1">Dashboard!C$8* Dashboard!$F$4+Dashboard!C$10*SQRT(Dashboard!$F$4) * _xlfn.NORM.S.INV(RAND())</f>
        <v>-1.1746970332971833E-2</v>
      </c>
      <c r="U9525" s="59">
        <f ca="1">Dashboard!D$8* Dashboard!$F$4+Dashboard!D$10*SQRT(Dashboard!$F$4) * _xlfn.NORM.S.INV(RAND())</f>
        <v>1.6519410173740617E-2</v>
      </c>
    </row>
    <row r="9526" spans="18:21" x14ac:dyDescent="0.2">
      <c r="R9526" s="49">
        <v>9524</v>
      </c>
      <c r="S9526" s="59">
        <f ca="1">Dashboard!B$8* Dashboard!$F$4+Dashboard!B$10*SQRT(Dashboard!$F$4) * _xlfn.NORM.S.INV(RAND())</f>
        <v>-4.3484830243107203E-2</v>
      </c>
      <c r="T9526" s="59">
        <f ca="1">Dashboard!C$8* Dashboard!$F$4+Dashboard!C$10*SQRT(Dashboard!$F$4) * _xlfn.NORM.S.INV(RAND())</f>
        <v>-3.5865381659248616E-2</v>
      </c>
      <c r="U9526" s="59">
        <f ca="1">Dashboard!D$8* Dashboard!$F$4+Dashboard!D$10*SQRT(Dashboard!$F$4) * _xlfn.NORM.S.INV(RAND())</f>
        <v>4.2797719385877869E-2</v>
      </c>
    </row>
    <row r="9527" spans="18:21" x14ac:dyDescent="0.2">
      <c r="R9527" s="49">
        <v>9525</v>
      </c>
      <c r="S9527" s="59">
        <f ca="1">Dashboard!B$8* Dashboard!$F$4+Dashboard!B$10*SQRT(Dashboard!$F$4) * _xlfn.NORM.S.INV(RAND())</f>
        <v>-9.5463222265734435E-3</v>
      </c>
      <c r="T9527" s="59">
        <f ca="1">Dashboard!C$8* Dashboard!$F$4+Dashboard!C$10*SQRT(Dashboard!$F$4) * _xlfn.NORM.S.INV(RAND())</f>
        <v>1.6653185903302652E-2</v>
      </c>
      <c r="U9527" s="59">
        <f ca="1">Dashboard!D$8* Dashboard!$F$4+Dashboard!D$10*SQRT(Dashboard!$F$4) * _xlfn.NORM.S.INV(RAND())</f>
        <v>1.6752237870732399E-2</v>
      </c>
    </row>
    <row r="9528" spans="18:21" x14ac:dyDescent="0.2">
      <c r="R9528" s="49">
        <v>9526</v>
      </c>
      <c r="S9528" s="59">
        <f ca="1">Dashboard!B$8* Dashboard!$F$4+Dashboard!B$10*SQRT(Dashboard!$F$4) * _xlfn.NORM.S.INV(RAND())</f>
        <v>-4.7797175621390006E-2</v>
      </c>
      <c r="T9528" s="59">
        <f ca="1">Dashboard!C$8* Dashboard!$F$4+Dashboard!C$10*SQRT(Dashboard!$F$4) * _xlfn.NORM.S.INV(RAND())</f>
        <v>-1.3035148770379056E-2</v>
      </c>
      <c r="U9528" s="59">
        <f ca="1">Dashboard!D$8* Dashboard!$F$4+Dashboard!D$10*SQRT(Dashboard!$F$4) * _xlfn.NORM.S.INV(RAND())</f>
        <v>-7.4456089903500618E-3</v>
      </c>
    </row>
    <row r="9529" spans="18:21" x14ac:dyDescent="0.2">
      <c r="R9529" s="49">
        <v>9527</v>
      </c>
      <c r="S9529" s="59">
        <f ca="1">Dashboard!B$8* Dashboard!$F$4+Dashboard!B$10*SQRT(Dashboard!$F$4) * _xlfn.NORM.S.INV(RAND())</f>
        <v>-5.2295197183389729E-2</v>
      </c>
      <c r="T9529" s="59">
        <f ca="1">Dashboard!C$8* Dashboard!$F$4+Dashboard!C$10*SQRT(Dashboard!$F$4) * _xlfn.NORM.S.INV(RAND())</f>
        <v>-1.6062899403704357E-2</v>
      </c>
      <c r="U9529" s="59">
        <f ca="1">Dashboard!D$8* Dashboard!$F$4+Dashboard!D$10*SQRT(Dashboard!$F$4) * _xlfn.NORM.S.INV(RAND())</f>
        <v>-2.1177913606781333E-2</v>
      </c>
    </row>
    <row r="9530" spans="18:21" x14ac:dyDescent="0.2">
      <c r="R9530" s="49">
        <v>9528</v>
      </c>
      <c r="S9530" s="59">
        <f ca="1">Dashboard!B$8* Dashboard!$F$4+Dashboard!B$10*SQRT(Dashboard!$F$4) * _xlfn.NORM.S.INV(RAND())</f>
        <v>1.5900749744931816E-2</v>
      </c>
      <c r="T9530" s="59">
        <f ca="1">Dashboard!C$8* Dashboard!$F$4+Dashboard!C$10*SQRT(Dashboard!$F$4) * _xlfn.NORM.S.INV(RAND())</f>
        <v>-3.846586693782289E-2</v>
      </c>
      <c r="U9530" s="59">
        <f ca="1">Dashboard!D$8* Dashboard!$F$4+Dashboard!D$10*SQRT(Dashboard!$F$4) * _xlfn.NORM.S.INV(RAND())</f>
        <v>-3.1026389495037797E-2</v>
      </c>
    </row>
    <row r="9531" spans="18:21" x14ac:dyDescent="0.2">
      <c r="R9531" s="49">
        <v>9529</v>
      </c>
      <c r="S9531" s="59">
        <f ca="1">Dashboard!B$8* Dashboard!$F$4+Dashboard!B$10*SQRT(Dashboard!$F$4) * _xlfn.NORM.S.INV(RAND())</f>
        <v>8.236068749204048E-2</v>
      </c>
      <c r="T9531" s="59">
        <f ca="1">Dashboard!C$8* Dashboard!$F$4+Dashboard!C$10*SQRT(Dashboard!$F$4) * _xlfn.NORM.S.INV(RAND())</f>
        <v>7.1619700159641086E-2</v>
      </c>
      <c r="U9531" s="59">
        <f ca="1">Dashboard!D$8* Dashboard!$F$4+Dashboard!D$10*SQRT(Dashboard!$F$4) * _xlfn.NORM.S.INV(RAND())</f>
        <v>-2.0384945847070502E-2</v>
      </c>
    </row>
    <row r="9532" spans="18:21" x14ac:dyDescent="0.2">
      <c r="R9532" s="49">
        <v>9530</v>
      </c>
      <c r="S9532" s="59">
        <f ca="1">Dashboard!B$8* Dashboard!$F$4+Dashboard!B$10*SQRT(Dashboard!$F$4) * _xlfn.NORM.S.INV(RAND())</f>
        <v>2.2632673419622482E-2</v>
      </c>
      <c r="T9532" s="59">
        <f ca="1">Dashboard!C$8* Dashboard!$F$4+Dashboard!C$10*SQRT(Dashboard!$F$4) * _xlfn.NORM.S.INV(RAND())</f>
        <v>1.1287449695233804E-2</v>
      </c>
      <c r="U9532" s="59">
        <f ca="1">Dashboard!D$8* Dashboard!$F$4+Dashboard!D$10*SQRT(Dashboard!$F$4) * _xlfn.NORM.S.INV(RAND())</f>
        <v>1.3420209338931531E-2</v>
      </c>
    </row>
    <row r="9533" spans="18:21" x14ac:dyDescent="0.2">
      <c r="R9533" s="49">
        <v>9531</v>
      </c>
      <c r="S9533" s="59">
        <f ca="1">Dashboard!B$8* Dashboard!$F$4+Dashboard!B$10*SQRT(Dashboard!$F$4) * _xlfn.NORM.S.INV(RAND())</f>
        <v>-5.7107505300714413E-4</v>
      </c>
      <c r="T9533" s="59">
        <f ca="1">Dashboard!C$8* Dashboard!$F$4+Dashboard!C$10*SQRT(Dashboard!$F$4) * _xlfn.NORM.S.INV(RAND())</f>
        <v>4.3065834738235647E-3</v>
      </c>
      <c r="U9533" s="59">
        <f ca="1">Dashboard!D$8* Dashboard!$F$4+Dashboard!D$10*SQRT(Dashboard!$F$4) * _xlfn.NORM.S.INV(RAND())</f>
        <v>3.7271402880941648E-2</v>
      </c>
    </row>
    <row r="9534" spans="18:21" x14ac:dyDescent="0.2">
      <c r="R9534" s="49">
        <v>9532</v>
      </c>
      <c r="S9534" s="59">
        <f ca="1">Dashboard!B$8* Dashboard!$F$4+Dashboard!B$10*SQRT(Dashboard!$F$4) * _xlfn.NORM.S.INV(RAND())</f>
        <v>-2.9003408091587961E-2</v>
      </c>
      <c r="T9534" s="59">
        <f ca="1">Dashboard!C$8* Dashboard!$F$4+Dashboard!C$10*SQRT(Dashboard!$F$4) * _xlfn.NORM.S.INV(RAND())</f>
        <v>4.6693084734753039E-2</v>
      </c>
      <c r="U9534" s="59">
        <f ca="1">Dashboard!D$8* Dashboard!$F$4+Dashboard!D$10*SQRT(Dashboard!$F$4) * _xlfn.NORM.S.INV(RAND())</f>
        <v>4.3457637939405989E-3</v>
      </c>
    </row>
    <row r="9535" spans="18:21" x14ac:dyDescent="0.2">
      <c r="R9535" s="49">
        <v>9533</v>
      </c>
      <c r="S9535" s="59">
        <f ca="1">Dashboard!B$8* Dashboard!$F$4+Dashboard!B$10*SQRT(Dashboard!$F$4) * _xlfn.NORM.S.INV(RAND())</f>
        <v>-1.5778975227005187E-3</v>
      </c>
      <c r="T9535" s="59">
        <f ca="1">Dashboard!C$8* Dashboard!$F$4+Dashboard!C$10*SQRT(Dashboard!$F$4) * _xlfn.NORM.S.INV(RAND())</f>
        <v>-1.6587094545050991E-2</v>
      </c>
      <c r="U9535" s="59">
        <f ca="1">Dashboard!D$8* Dashboard!$F$4+Dashboard!D$10*SQRT(Dashboard!$F$4) * _xlfn.NORM.S.INV(RAND())</f>
        <v>-1.2436408034563529E-2</v>
      </c>
    </row>
    <row r="9536" spans="18:21" x14ac:dyDescent="0.2">
      <c r="R9536" s="49">
        <v>9534</v>
      </c>
      <c r="S9536" s="59">
        <f ca="1">Dashboard!B$8* Dashboard!$F$4+Dashboard!B$10*SQRT(Dashboard!$F$4) * _xlfn.NORM.S.INV(RAND())</f>
        <v>-8.2942171164310047E-2</v>
      </c>
      <c r="T9536" s="59">
        <f ca="1">Dashboard!C$8* Dashboard!$F$4+Dashboard!C$10*SQRT(Dashboard!$F$4) * _xlfn.NORM.S.INV(RAND())</f>
        <v>-3.1430792227060605E-2</v>
      </c>
      <c r="U9536" s="59">
        <f ca="1">Dashboard!D$8* Dashboard!$F$4+Dashboard!D$10*SQRT(Dashboard!$F$4) * _xlfn.NORM.S.INV(RAND())</f>
        <v>-4.6056023104010184E-2</v>
      </c>
    </row>
    <row r="9537" spans="18:21" x14ac:dyDescent="0.2">
      <c r="R9537" s="49">
        <v>9535</v>
      </c>
      <c r="S9537" s="59">
        <f ca="1">Dashboard!B$8* Dashboard!$F$4+Dashboard!B$10*SQRT(Dashboard!$F$4) * _xlfn.NORM.S.INV(RAND())</f>
        <v>4.0197928468878694E-2</v>
      </c>
      <c r="T9537" s="59">
        <f ca="1">Dashboard!C$8* Dashboard!$F$4+Dashboard!C$10*SQRT(Dashboard!$F$4) * _xlfn.NORM.S.INV(RAND())</f>
        <v>1.2094962650758483E-2</v>
      </c>
      <c r="U9537" s="59">
        <f ca="1">Dashboard!D$8* Dashboard!$F$4+Dashboard!D$10*SQRT(Dashboard!$F$4) * _xlfn.NORM.S.INV(RAND())</f>
        <v>-3.8800591415984282E-3</v>
      </c>
    </row>
    <row r="9538" spans="18:21" x14ac:dyDescent="0.2">
      <c r="R9538" s="49">
        <v>9536</v>
      </c>
      <c r="S9538" s="59">
        <f ca="1">Dashboard!B$8* Dashboard!$F$4+Dashboard!B$10*SQRT(Dashboard!$F$4) * _xlfn.NORM.S.INV(RAND())</f>
        <v>3.6538126827817333E-2</v>
      </c>
      <c r="T9538" s="59">
        <f ca="1">Dashboard!C$8* Dashboard!$F$4+Dashboard!C$10*SQRT(Dashboard!$F$4) * _xlfn.NORM.S.INV(RAND())</f>
        <v>-5.1636277758538053E-2</v>
      </c>
      <c r="U9538" s="59">
        <f ca="1">Dashboard!D$8* Dashboard!$F$4+Dashboard!D$10*SQRT(Dashboard!$F$4) * _xlfn.NORM.S.INV(RAND())</f>
        <v>-1.8626108421274533E-3</v>
      </c>
    </row>
    <row r="9539" spans="18:21" x14ac:dyDescent="0.2">
      <c r="R9539" s="49">
        <v>9537</v>
      </c>
      <c r="S9539" s="59">
        <f ca="1">Dashboard!B$8* Dashboard!$F$4+Dashboard!B$10*SQRT(Dashboard!$F$4) * _xlfn.NORM.S.INV(RAND())</f>
        <v>1.1429445158304382E-2</v>
      </c>
      <c r="T9539" s="59">
        <f ca="1">Dashboard!C$8* Dashboard!$F$4+Dashboard!C$10*SQRT(Dashboard!$F$4) * _xlfn.NORM.S.INV(RAND())</f>
        <v>3.2060954839410891E-2</v>
      </c>
      <c r="U9539" s="59">
        <f ca="1">Dashboard!D$8* Dashboard!$F$4+Dashboard!D$10*SQRT(Dashboard!$F$4) * _xlfn.NORM.S.INV(RAND())</f>
        <v>-7.9100001999727176E-3</v>
      </c>
    </row>
    <row r="9540" spans="18:21" x14ac:dyDescent="0.2">
      <c r="R9540" s="49">
        <v>9538</v>
      </c>
      <c r="S9540" s="59">
        <f ca="1">Dashboard!B$8* Dashboard!$F$4+Dashboard!B$10*SQRT(Dashboard!$F$4) * _xlfn.NORM.S.INV(RAND())</f>
        <v>-2.8397317978472357E-2</v>
      </c>
      <c r="T9540" s="59">
        <f ca="1">Dashboard!C$8* Dashboard!$F$4+Dashboard!C$10*SQRT(Dashboard!$F$4) * _xlfn.NORM.S.INV(RAND())</f>
        <v>3.7150887169838206E-2</v>
      </c>
      <c r="U9540" s="59">
        <f ca="1">Dashboard!D$8* Dashboard!$F$4+Dashboard!D$10*SQRT(Dashboard!$F$4) * _xlfn.NORM.S.INV(RAND())</f>
        <v>-3.4109383020083213E-2</v>
      </c>
    </row>
    <row r="9541" spans="18:21" x14ac:dyDescent="0.2">
      <c r="R9541" s="49">
        <v>9539</v>
      </c>
      <c r="S9541" s="59">
        <f ca="1">Dashboard!B$8* Dashboard!$F$4+Dashboard!B$10*SQRT(Dashboard!$F$4) * _xlfn.NORM.S.INV(RAND())</f>
        <v>4.4766849191174279E-3</v>
      </c>
      <c r="T9541" s="59">
        <f ca="1">Dashboard!C$8* Dashboard!$F$4+Dashboard!C$10*SQRT(Dashboard!$F$4) * _xlfn.NORM.S.INV(RAND())</f>
        <v>3.0931859919207449E-2</v>
      </c>
      <c r="U9541" s="59">
        <f ca="1">Dashboard!D$8* Dashboard!$F$4+Dashboard!D$10*SQRT(Dashboard!$F$4) * _xlfn.NORM.S.INV(RAND())</f>
        <v>-2.7198894773363905E-2</v>
      </c>
    </row>
    <row r="9542" spans="18:21" x14ac:dyDescent="0.2">
      <c r="R9542" s="49">
        <v>9540</v>
      </c>
      <c r="S9542" s="59">
        <f ca="1">Dashboard!B$8* Dashboard!$F$4+Dashboard!B$10*SQRT(Dashboard!$F$4) * _xlfn.NORM.S.INV(RAND())</f>
        <v>4.0729160346471022E-3</v>
      </c>
      <c r="T9542" s="59">
        <f ca="1">Dashboard!C$8* Dashboard!$F$4+Dashboard!C$10*SQRT(Dashboard!$F$4) * _xlfn.NORM.S.INV(RAND())</f>
        <v>-2.7521524730211022E-3</v>
      </c>
      <c r="U9542" s="59">
        <f ca="1">Dashboard!D$8* Dashboard!$F$4+Dashboard!D$10*SQRT(Dashboard!$F$4) * _xlfn.NORM.S.INV(RAND())</f>
        <v>4.2616676232506798E-2</v>
      </c>
    </row>
    <row r="9543" spans="18:21" x14ac:dyDescent="0.2">
      <c r="R9543" s="49">
        <v>9541</v>
      </c>
      <c r="S9543" s="59">
        <f ca="1">Dashboard!B$8* Dashboard!$F$4+Dashboard!B$10*SQRT(Dashboard!$F$4) * _xlfn.NORM.S.INV(RAND())</f>
        <v>-5.5688979611038351E-2</v>
      </c>
      <c r="T9543" s="59">
        <f ca="1">Dashboard!C$8* Dashboard!$F$4+Dashboard!C$10*SQRT(Dashboard!$F$4) * _xlfn.NORM.S.INV(RAND())</f>
        <v>3.4943843433202358E-2</v>
      </c>
      <c r="U9543" s="59">
        <f ca="1">Dashboard!D$8* Dashboard!$F$4+Dashboard!D$10*SQRT(Dashboard!$F$4) * _xlfn.NORM.S.INV(RAND())</f>
        <v>-6.1495679531824304E-3</v>
      </c>
    </row>
    <row r="9544" spans="18:21" x14ac:dyDescent="0.2">
      <c r="R9544" s="49">
        <v>9542</v>
      </c>
      <c r="S9544" s="59">
        <f ca="1">Dashboard!B$8* Dashboard!$F$4+Dashboard!B$10*SQRT(Dashboard!$F$4) * _xlfn.NORM.S.INV(RAND())</f>
        <v>-9.6632302803394202E-3</v>
      </c>
      <c r="T9544" s="59">
        <f ca="1">Dashboard!C$8* Dashboard!$F$4+Dashboard!C$10*SQRT(Dashboard!$F$4) * _xlfn.NORM.S.INV(RAND())</f>
        <v>3.3725330893123552E-2</v>
      </c>
      <c r="U9544" s="59">
        <f ca="1">Dashboard!D$8* Dashboard!$F$4+Dashboard!D$10*SQRT(Dashboard!$F$4) * _xlfn.NORM.S.INV(RAND())</f>
        <v>6.1931384797496479E-3</v>
      </c>
    </row>
    <row r="9545" spans="18:21" x14ac:dyDescent="0.2">
      <c r="R9545" s="49">
        <v>9543</v>
      </c>
      <c r="S9545" s="59">
        <f ca="1">Dashboard!B$8* Dashboard!$F$4+Dashboard!B$10*SQRT(Dashboard!$F$4) * _xlfn.NORM.S.INV(RAND())</f>
        <v>-5.7548109969789152E-4</v>
      </c>
      <c r="T9545" s="59">
        <f ca="1">Dashboard!C$8* Dashboard!$F$4+Dashboard!C$10*SQRT(Dashboard!$F$4) * _xlfn.NORM.S.INV(RAND())</f>
        <v>4.339602409597678E-2</v>
      </c>
      <c r="U9545" s="59">
        <f ca="1">Dashboard!D$8* Dashboard!$F$4+Dashboard!D$10*SQRT(Dashboard!$F$4) * _xlfn.NORM.S.INV(RAND())</f>
        <v>5.818122444951496E-3</v>
      </c>
    </row>
    <row r="9546" spans="18:21" x14ac:dyDescent="0.2">
      <c r="R9546" s="49">
        <v>9544</v>
      </c>
      <c r="S9546" s="59">
        <f ca="1">Dashboard!B$8* Dashboard!$F$4+Dashboard!B$10*SQRT(Dashboard!$F$4) * _xlfn.NORM.S.INV(RAND())</f>
        <v>2.1938710021133193E-2</v>
      </c>
      <c r="T9546" s="59">
        <f ca="1">Dashboard!C$8* Dashboard!$F$4+Dashboard!C$10*SQRT(Dashboard!$F$4) * _xlfn.NORM.S.INV(RAND())</f>
        <v>-1.6151645719689592E-2</v>
      </c>
      <c r="U9546" s="59">
        <f ca="1">Dashboard!D$8* Dashboard!$F$4+Dashboard!D$10*SQRT(Dashboard!$F$4) * _xlfn.NORM.S.INV(RAND())</f>
        <v>2.6125519958318306E-2</v>
      </c>
    </row>
    <row r="9547" spans="18:21" x14ac:dyDescent="0.2">
      <c r="R9547" s="49">
        <v>9545</v>
      </c>
      <c r="S9547" s="59">
        <f ca="1">Dashboard!B$8* Dashboard!$F$4+Dashboard!B$10*SQRT(Dashboard!$F$4) * _xlfn.NORM.S.INV(RAND())</f>
        <v>-5.7133025056555643E-3</v>
      </c>
      <c r="T9547" s="59">
        <f ca="1">Dashboard!C$8* Dashboard!$F$4+Dashboard!C$10*SQRT(Dashboard!$F$4) * _xlfn.NORM.S.INV(RAND())</f>
        <v>4.1212217968954017E-4</v>
      </c>
      <c r="U9547" s="59">
        <f ca="1">Dashboard!D$8* Dashboard!$F$4+Dashboard!D$10*SQRT(Dashboard!$F$4) * _xlfn.NORM.S.INV(RAND())</f>
        <v>-4.152567140748597E-3</v>
      </c>
    </row>
    <row r="9548" spans="18:21" x14ac:dyDescent="0.2">
      <c r="R9548" s="49">
        <v>9546</v>
      </c>
      <c r="S9548" s="59">
        <f ca="1">Dashboard!B$8* Dashboard!$F$4+Dashboard!B$10*SQRT(Dashboard!$F$4) * _xlfn.NORM.S.INV(RAND())</f>
        <v>7.974644352986629E-4</v>
      </c>
      <c r="T9548" s="59">
        <f ca="1">Dashboard!C$8* Dashboard!$F$4+Dashboard!C$10*SQRT(Dashboard!$F$4) * _xlfn.NORM.S.INV(RAND())</f>
        <v>3.9099597888277673E-2</v>
      </c>
      <c r="U9548" s="59">
        <f ca="1">Dashboard!D$8* Dashboard!$F$4+Dashboard!D$10*SQRT(Dashboard!$F$4) * _xlfn.NORM.S.INV(RAND())</f>
        <v>-5.1059473330842559E-3</v>
      </c>
    </row>
    <row r="9549" spans="18:21" x14ac:dyDescent="0.2">
      <c r="R9549" s="49">
        <v>9547</v>
      </c>
      <c r="S9549" s="59">
        <f ca="1">Dashboard!B$8* Dashboard!$F$4+Dashboard!B$10*SQRT(Dashboard!$F$4) * _xlfn.NORM.S.INV(RAND())</f>
        <v>-2.6435964074137577E-2</v>
      </c>
      <c r="T9549" s="59">
        <f ca="1">Dashboard!C$8* Dashboard!$F$4+Dashboard!C$10*SQRT(Dashboard!$F$4) * _xlfn.NORM.S.INV(RAND())</f>
        <v>-2.0018037853007344E-2</v>
      </c>
      <c r="U9549" s="59">
        <f ca="1">Dashboard!D$8* Dashboard!$F$4+Dashboard!D$10*SQRT(Dashboard!$F$4) * _xlfn.NORM.S.INV(RAND())</f>
        <v>-1.5525582750553688E-2</v>
      </c>
    </row>
    <row r="9550" spans="18:21" x14ac:dyDescent="0.2">
      <c r="R9550" s="49">
        <v>9548</v>
      </c>
      <c r="S9550" s="59">
        <f ca="1">Dashboard!B$8* Dashboard!$F$4+Dashboard!B$10*SQRT(Dashboard!$F$4) * _xlfn.NORM.S.INV(RAND())</f>
        <v>4.8685670789068488E-3</v>
      </c>
      <c r="T9550" s="59">
        <f ca="1">Dashboard!C$8* Dashboard!$F$4+Dashboard!C$10*SQRT(Dashboard!$F$4) * _xlfn.NORM.S.INV(RAND())</f>
        <v>-3.837579282289133E-2</v>
      </c>
      <c r="U9550" s="59">
        <f ca="1">Dashboard!D$8* Dashboard!$F$4+Dashboard!D$10*SQRT(Dashboard!$F$4) * _xlfn.NORM.S.INV(RAND())</f>
        <v>-1.7001895087226968E-2</v>
      </c>
    </row>
    <row r="9551" spans="18:21" x14ac:dyDescent="0.2">
      <c r="R9551" s="49">
        <v>9549</v>
      </c>
      <c r="S9551" s="59">
        <f ca="1">Dashboard!B$8* Dashboard!$F$4+Dashboard!B$10*SQRT(Dashboard!$F$4) * _xlfn.NORM.S.INV(RAND())</f>
        <v>-2.0784622452926893E-2</v>
      </c>
      <c r="T9551" s="59">
        <f ca="1">Dashboard!C$8* Dashboard!$F$4+Dashboard!C$10*SQRT(Dashboard!$F$4) * _xlfn.NORM.S.INV(RAND())</f>
        <v>4.4788230307710696E-2</v>
      </c>
      <c r="U9551" s="59">
        <f ca="1">Dashboard!D$8* Dashboard!$F$4+Dashboard!D$10*SQRT(Dashboard!$F$4) * _xlfn.NORM.S.INV(RAND())</f>
        <v>2.0004443169300778E-2</v>
      </c>
    </row>
    <row r="9552" spans="18:21" x14ac:dyDescent="0.2">
      <c r="R9552" s="49">
        <v>9550</v>
      </c>
      <c r="S9552" s="59">
        <f ca="1">Dashboard!B$8* Dashboard!$F$4+Dashboard!B$10*SQRT(Dashboard!$F$4) * _xlfn.NORM.S.INV(RAND())</f>
        <v>3.5271111465810141E-2</v>
      </c>
      <c r="T9552" s="59">
        <f ca="1">Dashboard!C$8* Dashboard!$F$4+Dashboard!C$10*SQRT(Dashboard!$F$4) * _xlfn.NORM.S.INV(RAND())</f>
        <v>9.2975190403717014E-3</v>
      </c>
      <c r="U9552" s="59">
        <f ca="1">Dashboard!D$8* Dashboard!$F$4+Dashboard!D$10*SQRT(Dashboard!$F$4) * _xlfn.NORM.S.INV(RAND())</f>
        <v>-1.6262383073619144E-2</v>
      </c>
    </row>
    <row r="9553" spans="18:21" x14ac:dyDescent="0.2">
      <c r="R9553" s="49">
        <v>9551</v>
      </c>
      <c r="S9553" s="59">
        <f ca="1">Dashboard!B$8* Dashboard!$F$4+Dashboard!B$10*SQRT(Dashboard!$F$4) * _xlfn.NORM.S.INV(RAND())</f>
        <v>-1.5717412124223756E-2</v>
      </c>
      <c r="T9553" s="59">
        <f ca="1">Dashboard!C$8* Dashboard!$F$4+Dashboard!C$10*SQRT(Dashboard!$F$4) * _xlfn.NORM.S.INV(RAND())</f>
        <v>1.8060509832436566E-2</v>
      </c>
      <c r="U9553" s="59">
        <f ca="1">Dashboard!D$8* Dashboard!$F$4+Dashboard!D$10*SQRT(Dashboard!$F$4) * _xlfn.NORM.S.INV(RAND())</f>
        <v>9.8181270420757642E-3</v>
      </c>
    </row>
    <row r="9554" spans="18:21" x14ac:dyDescent="0.2">
      <c r="R9554" s="49">
        <v>9552</v>
      </c>
      <c r="S9554" s="59">
        <f ca="1">Dashboard!B$8* Dashboard!$F$4+Dashboard!B$10*SQRT(Dashboard!$F$4) * _xlfn.NORM.S.INV(RAND())</f>
        <v>-5.1118482833643966E-2</v>
      </c>
      <c r="T9554" s="59">
        <f ca="1">Dashboard!C$8* Dashboard!$F$4+Dashboard!C$10*SQRT(Dashboard!$F$4) * _xlfn.NORM.S.INV(RAND())</f>
        <v>-1.8312294837103716E-2</v>
      </c>
      <c r="U9554" s="59">
        <f ca="1">Dashboard!D$8* Dashboard!$F$4+Dashboard!D$10*SQRT(Dashboard!$F$4) * _xlfn.NORM.S.INV(RAND())</f>
        <v>3.4739236107364041E-2</v>
      </c>
    </row>
    <row r="9555" spans="18:21" x14ac:dyDescent="0.2">
      <c r="R9555" s="49">
        <v>9553</v>
      </c>
      <c r="S9555" s="59">
        <f ca="1">Dashboard!B$8* Dashboard!$F$4+Dashboard!B$10*SQRT(Dashboard!$F$4) * _xlfn.NORM.S.INV(RAND())</f>
        <v>1.780900101290183E-2</v>
      </c>
      <c r="T9555" s="59">
        <f ca="1">Dashboard!C$8* Dashboard!$F$4+Dashboard!C$10*SQRT(Dashboard!$F$4) * _xlfn.NORM.S.INV(RAND())</f>
        <v>-7.4687976312495007E-3</v>
      </c>
      <c r="U9555" s="59">
        <f ca="1">Dashboard!D$8* Dashboard!$F$4+Dashboard!D$10*SQRT(Dashboard!$F$4) * _xlfn.NORM.S.INV(RAND())</f>
        <v>1.0447950286501851E-2</v>
      </c>
    </row>
    <row r="9556" spans="18:21" x14ac:dyDescent="0.2">
      <c r="R9556" s="49">
        <v>9554</v>
      </c>
      <c r="S9556" s="59">
        <f ca="1">Dashboard!B$8* Dashboard!$F$4+Dashboard!B$10*SQRT(Dashboard!$F$4) * _xlfn.NORM.S.INV(RAND())</f>
        <v>-2.2974529747027114E-2</v>
      </c>
      <c r="T9556" s="59">
        <f ca="1">Dashboard!C$8* Dashboard!$F$4+Dashboard!C$10*SQRT(Dashboard!$F$4) * _xlfn.NORM.S.INV(RAND())</f>
        <v>-1.9876751330422871E-2</v>
      </c>
      <c r="U9556" s="59">
        <f ca="1">Dashboard!D$8* Dashboard!$F$4+Dashboard!D$10*SQRT(Dashboard!$F$4) * _xlfn.NORM.S.INV(RAND())</f>
        <v>-1.8173413912763479E-2</v>
      </c>
    </row>
    <row r="9557" spans="18:21" x14ac:dyDescent="0.2">
      <c r="R9557" s="49">
        <v>9555</v>
      </c>
      <c r="S9557" s="59">
        <f ca="1">Dashboard!B$8* Dashboard!$F$4+Dashboard!B$10*SQRT(Dashboard!$F$4) * _xlfn.NORM.S.INV(RAND())</f>
        <v>-5.7990086150027598E-2</v>
      </c>
      <c r="T9557" s="59">
        <f ca="1">Dashboard!C$8* Dashboard!$F$4+Dashboard!C$10*SQRT(Dashboard!$F$4) * _xlfn.NORM.S.INV(RAND())</f>
        <v>4.4110108020101475E-3</v>
      </c>
      <c r="U9557" s="59">
        <f ca="1">Dashboard!D$8* Dashboard!$F$4+Dashboard!D$10*SQRT(Dashboard!$F$4) * _xlfn.NORM.S.INV(RAND())</f>
        <v>3.2144905197507671E-2</v>
      </c>
    </row>
    <row r="9558" spans="18:21" x14ac:dyDescent="0.2">
      <c r="R9558" s="49">
        <v>9556</v>
      </c>
      <c r="S9558" s="59">
        <f ca="1">Dashboard!B$8* Dashboard!$F$4+Dashboard!B$10*SQRT(Dashboard!$F$4) * _xlfn.NORM.S.INV(RAND())</f>
        <v>-6.1495809112600006E-4</v>
      </c>
      <c r="T9558" s="59">
        <f ca="1">Dashboard!C$8* Dashboard!$F$4+Dashboard!C$10*SQRT(Dashboard!$F$4) * _xlfn.NORM.S.INV(RAND())</f>
        <v>1.7002283551078759E-2</v>
      </c>
      <c r="U9558" s="59">
        <f ca="1">Dashboard!D$8* Dashboard!$F$4+Dashboard!D$10*SQRT(Dashboard!$F$4) * _xlfn.NORM.S.INV(RAND())</f>
        <v>4.1926764605392366E-2</v>
      </c>
    </row>
    <row r="9559" spans="18:21" x14ac:dyDescent="0.2">
      <c r="R9559" s="49">
        <v>9557</v>
      </c>
      <c r="S9559" s="59">
        <f ca="1">Dashboard!B$8* Dashboard!$F$4+Dashboard!B$10*SQRT(Dashboard!$F$4) * _xlfn.NORM.S.INV(RAND())</f>
        <v>-6.3613083087989811E-2</v>
      </c>
      <c r="T9559" s="59">
        <f ca="1">Dashboard!C$8* Dashboard!$F$4+Dashboard!C$10*SQRT(Dashboard!$F$4) * _xlfn.NORM.S.INV(RAND())</f>
        <v>4.4806362342219345E-2</v>
      </c>
      <c r="U9559" s="59">
        <f ca="1">Dashboard!D$8* Dashboard!$F$4+Dashboard!D$10*SQRT(Dashboard!$F$4) * _xlfn.NORM.S.INV(RAND())</f>
        <v>3.4201903540685856E-2</v>
      </c>
    </row>
    <row r="9560" spans="18:21" x14ac:dyDescent="0.2">
      <c r="R9560" s="49">
        <v>9558</v>
      </c>
      <c r="S9560" s="59">
        <f ca="1">Dashboard!B$8* Dashboard!$F$4+Dashboard!B$10*SQRT(Dashboard!$F$4) * _xlfn.NORM.S.INV(RAND())</f>
        <v>4.5501827659817154E-2</v>
      </c>
      <c r="T9560" s="59">
        <f ca="1">Dashboard!C$8* Dashboard!$F$4+Dashboard!C$10*SQRT(Dashboard!$F$4) * _xlfn.NORM.S.INV(RAND())</f>
        <v>-5.4151794537842156E-2</v>
      </c>
      <c r="U9560" s="59">
        <f ca="1">Dashboard!D$8* Dashboard!$F$4+Dashboard!D$10*SQRT(Dashboard!$F$4) * _xlfn.NORM.S.INV(RAND())</f>
        <v>1.7581393778386956E-2</v>
      </c>
    </row>
    <row r="9561" spans="18:21" x14ac:dyDescent="0.2">
      <c r="R9561" s="49">
        <v>9559</v>
      </c>
      <c r="S9561" s="59">
        <f ca="1">Dashboard!B$8* Dashboard!$F$4+Dashboard!B$10*SQRT(Dashboard!$F$4) * _xlfn.NORM.S.INV(RAND())</f>
        <v>4.3749383984959415E-2</v>
      </c>
      <c r="T9561" s="59">
        <f ca="1">Dashboard!C$8* Dashboard!$F$4+Dashboard!C$10*SQRT(Dashboard!$F$4) * _xlfn.NORM.S.INV(RAND())</f>
        <v>3.178365665133779E-2</v>
      </c>
      <c r="U9561" s="59">
        <f ca="1">Dashboard!D$8* Dashboard!$F$4+Dashboard!D$10*SQRT(Dashboard!$F$4) * _xlfn.NORM.S.INV(RAND())</f>
        <v>-2.4485301120218943E-2</v>
      </c>
    </row>
    <row r="9562" spans="18:21" x14ac:dyDescent="0.2">
      <c r="R9562" s="49">
        <v>9560</v>
      </c>
      <c r="S9562" s="59">
        <f ca="1">Dashboard!B$8* Dashboard!$F$4+Dashboard!B$10*SQRT(Dashboard!$F$4) * _xlfn.NORM.S.INV(RAND())</f>
        <v>-3.6432616805041625E-2</v>
      </c>
      <c r="T9562" s="59">
        <f ca="1">Dashboard!C$8* Dashboard!$F$4+Dashboard!C$10*SQRT(Dashboard!$F$4) * _xlfn.NORM.S.INV(RAND())</f>
        <v>-4.6406030183762631E-2</v>
      </c>
      <c r="U9562" s="59">
        <f ca="1">Dashboard!D$8* Dashboard!$F$4+Dashboard!D$10*SQRT(Dashboard!$F$4) * _xlfn.NORM.S.INV(RAND())</f>
        <v>4.3143017329558553E-3</v>
      </c>
    </row>
    <row r="9563" spans="18:21" x14ac:dyDescent="0.2">
      <c r="R9563" s="49">
        <v>9561</v>
      </c>
      <c r="S9563" s="59">
        <f ca="1">Dashboard!B$8* Dashboard!$F$4+Dashboard!B$10*SQRT(Dashboard!$F$4) * _xlfn.NORM.S.INV(RAND())</f>
        <v>-5.9185324932320782E-3</v>
      </c>
      <c r="T9563" s="59">
        <f ca="1">Dashboard!C$8* Dashboard!$F$4+Dashboard!C$10*SQRT(Dashboard!$F$4) * _xlfn.NORM.S.INV(RAND())</f>
        <v>-2.4846840914194823E-2</v>
      </c>
      <c r="U9563" s="59">
        <f ca="1">Dashboard!D$8* Dashboard!$F$4+Dashboard!D$10*SQRT(Dashboard!$F$4) * _xlfn.NORM.S.INV(RAND())</f>
        <v>-1.7814650428250232E-2</v>
      </c>
    </row>
    <row r="9564" spans="18:21" x14ac:dyDescent="0.2">
      <c r="R9564" s="49">
        <v>9562</v>
      </c>
      <c r="S9564" s="59">
        <f ca="1">Dashboard!B$8* Dashboard!$F$4+Dashboard!B$10*SQRT(Dashboard!$F$4) * _xlfn.NORM.S.INV(RAND())</f>
        <v>-3.8411740499155834E-2</v>
      </c>
      <c r="T9564" s="59">
        <f ca="1">Dashboard!C$8* Dashboard!$F$4+Dashboard!C$10*SQRT(Dashboard!$F$4) * _xlfn.NORM.S.INV(RAND())</f>
        <v>2.4329164227271813E-2</v>
      </c>
      <c r="U9564" s="59">
        <f ca="1">Dashboard!D$8* Dashboard!$F$4+Dashboard!D$10*SQRT(Dashboard!$F$4) * _xlfn.NORM.S.INV(RAND())</f>
        <v>-6.7424824155160462E-3</v>
      </c>
    </row>
    <row r="9565" spans="18:21" x14ac:dyDescent="0.2">
      <c r="R9565" s="49">
        <v>9563</v>
      </c>
      <c r="S9565" s="59">
        <f ca="1">Dashboard!B$8* Dashboard!$F$4+Dashboard!B$10*SQRT(Dashboard!$F$4) * _xlfn.NORM.S.INV(RAND())</f>
        <v>-1.7264509951872484E-2</v>
      </c>
      <c r="T9565" s="59">
        <f ca="1">Dashboard!C$8* Dashboard!$F$4+Dashboard!C$10*SQRT(Dashboard!$F$4) * _xlfn.NORM.S.INV(RAND())</f>
        <v>4.4350707958533978E-2</v>
      </c>
      <c r="U9565" s="59">
        <f ca="1">Dashboard!D$8* Dashboard!$F$4+Dashboard!D$10*SQRT(Dashboard!$F$4) * _xlfn.NORM.S.INV(RAND())</f>
        <v>2.5438418125382594E-2</v>
      </c>
    </row>
    <row r="9566" spans="18:21" x14ac:dyDescent="0.2">
      <c r="R9566" s="49">
        <v>9564</v>
      </c>
      <c r="S9566" s="59">
        <f ca="1">Dashboard!B$8* Dashboard!$F$4+Dashboard!B$10*SQRT(Dashboard!$F$4) * _xlfn.NORM.S.INV(RAND())</f>
        <v>-4.09650513004634E-2</v>
      </c>
      <c r="T9566" s="59">
        <f ca="1">Dashboard!C$8* Dashboard!$F$4+Dashboard!C$10*SQRT(Dashboard!$F$4) * _xlfn.NORM.S.INV(RAND())</f>
        <v>5.2605095979958265E-2</v>
      </c>
      <c r="U9566" s="59">
        <f ca="1">Dashboard!D$8* Dashboard!$F$4+Dashboard!D$10*SQRT(Dashboard!$F$4) * _xlfn.NORM.S.INV(RAND())</f>
        <v>2.1700218482762105E-2</v>
      </c>
    </row>
    <row r="9567" spans="18:21" x14ac:dyDescent="0.2">
      <c r="R9567" s="49">
        <v>9565</v>
      </c>
      <c r="S9567" s="59">
        <f ca="1">Dashboard!B$8* Dashboard!$F$4+Dashboard!B$10*SQRT(Dashboard!$F$4) * _xlfn.NORM.S.INV(RAND())</f>
        <v>-2.6804192610432792E-2</v>
      </c>
      <c r="T9567" s="59">
        <f ca="1">Dashboard!C$8* Dashboard!$F$4+Dashboard!C$10*SQRT(Dashboard!$F$4) * _xlfn.NORM.S.INV(RAND())</f>
        <v>-5.3219769605073889E-3</v>
      </c>
      <c r="U9567" s="59">
        <f ca="1">Dashboard!D$8* Dashboard!$F$4+Dashboard!D$10*SQRT(Dashboard!$F$4) * _xlfn.NORM.S.INV(RAND())</f>
        <v>-5.4796377764757133E-2</v>
      </c>
    </row>
    <row r="9568" spans="18:21" x14ac:dyDescent="0.2">
      <c r="R9568" s="49">
        <v>9566</v>
      </c>
      <c r="S9568" s="59">
        <f ca="1">Dashboard!B$8* Dashboard!$F$4+Dashboard!B$10*SQRT(Dashboard!$F$4) * _xlfn.NORM.S.INV(RAND())</f>
        <v>7.20368700473734E-2</v>
      </c>
      <c r="T9568" s="59">
        <f ca="1">Dashboard!C$8* Dashboard!$F$4+Dashboard!C$10*SQRT(Dashboard!$F$4) * _xlfn.NORM.S.INV(RAND())</f>
        <v>-1.1865060232188692E-2</v>
      </c>
      <c r="U9568" s="59">
        <f ca="1">Dashboard!D$8* Dashboard!$F$4+Dashboard!D$10*SQRT(Dashboard!$F$4) * _xlfn.NORM.S.INV(RAND())</f>
        <v>-3.231281747395652E-2</v>
      </c>
    </row>
    <row r="9569" spans="18:21" x14ac:dyDescent="0.2">
      <c r="R9569" s="49">
        <v>9567</v>
      </c>
      <c r="S9569" s="59">
        <f ca="1">Dashboard!B$8* Dashboard!$F$4+Dashboard!B$10*SQRT(Dashboard!$F$4) * _xlfn.NORM.S.INV(RAND())</f>
        <v>-5.484352874457115E-2</v>
      </c>
      <c r="T9569" s="59">
        <f ca="1">Dashboard!C$8* Dashboard!$F$4+Dashboard!C$10*SQRT(Dashboard!$F$4) * _xlfn.NORM.S.INV(RAND())</f>
        <v>-7.7579192775313307E-3</v>
      </c>
      <c r="U9569" s="59">
        <f ca="1">Dashboard!D$8* Dashboard!$F$4+Dashboard!D$10*SQRT(Dashboard!$F$4) * _xlfn.NORM.S.INV(RAND())</f>
        <v>-2.1879101389840481E-2</v>
      </c>
    </row>
    <row r="9570" spans="18:21" x14ac:dyDescent="0.2">
      <c r="R9570" s="49">
        <v>9568</v>
      </c>
      <c r="S9570" s="59">
        <f ca="1">Dashboard!B$8* Dashboard!$F$4+Dashboard!B$10*SQRT(Dashboard!$F$4) * _xlfn.NORM.S.INV(RAND())</f>
        <v>3.4649928009159024E-2</v>
      </c>
      <c r="T9570" s="59">
        <f ca="1">Dashboard!C$8* Dashboard!$F$4+Dashboard!C$10*SQRT(Dashboard!$F$4) * _xlfn.NORM.S.INV(RAND())</f>
        <v>4.2623083156157579E-2</v>
      </c>
      <c r="U9570" s="59">
        <f ca="1">Dashboard!D$8* Dashboard!$F$4+Dashboard!D$10*SQRT(Dashboard!$F$4) * _xlfn.NORM.S.INV(RAND())</f>
        <v>-1.2208191181248882E-2</v>
      </c>
    </row>
    <row r="9571" spans="18:21" x14ac:dyDescent="0.2">
      <c r="R9571" s="49">
        <v>9569</v>
      </c>
      <c r="S9571" s="59">
        <f ca="1">Dashboard!B$8* Dashboard!$F$4+Dashboard!B$10*SQRT(Dashboard!$F$4) * _xlfn.NORM.S.INV(RAND())</f>
        <v>2.0775073816722014E-2</v>
      </c>
      <c r="T9571" s="59">
        <f ca="1">Dashboard!C$8* Dashboard!$F$4+Dashboard!C$10*SQRT(Dashboard!$F$4) * _xlfn.NORM.S.INV(RAND())</f>
        <v>-4.3902720301468391E-2</v>
      </c>
      <c r="U9571" s="59">
        <f ca="1">Dashboard!D$8* Dashboard!$F$4+Dashboard!D$10*SQRT(Dashboard!$F$4) * _xlfn.NORM.S.INV(RAND())</f>
        <v>5.4817992543832799E-3</v>
      </c>
    </row>
    <row r="9572" spans="18:21" x14ac:dyDescent="0.2">
      <c r="R9572" s="49">
        <v>9570</v>
      </c>
      <c r="S9572" s="59">
        <f ca="1">Dashboard!B$8* Dashboard!$F$4+Dashboard!B$10*SQRT(Dashboard!$F$4) * _xlfn.NORM.S.INV(RAND())</f>
        <v>-2.7555760431909569E-4</v>
      </c>
      <c r="T9572" s="59">
        <f ca="1">Dashboard!C$8* Dashboard!$F$4+Dashboard!C$10*SQRT(Dashboard!$F$4) * _xlfn.NORM.S.INV(RAND())</f>
        <v>-5.532769273750119E-2</v>
      </c>
      <c r="U9572" s="59">
        <f ca="1">Dashboard!D$8* Dashboard!$F$4+Dashboard!D$10*SQRT(Dashboard!$F$4) * _xlfn.NORM.S.INV(RAND())</f>
        <v>-1.3981906480719274E-2</v>
      </c>
    </row>
    <row r="9573" spans="18:21" x14ac:dyDescent="0.2">
      <c r="R9573" s="49">
        <v>9571</v>
      </c>
      <c r="S9573" s="59">
        <f ca="1">Dashboard!B$8* Dashboard!$F$4+Dashboard!B$10*SQRT(Dashboard!$F$4) * _xlfn.NORM.S.INV(RAND())</f>
        <v>5.2035281335879605E-2</v>
      </c>
      <c r="T9573" s="59">
        <f ca="1">Dashboard!C$8* Dashboard!$F$4+Dashboard!C$10*SQRT(Dashboard!$F$4) * _xlfn.NORM.S.INV(RAND())</f>
        <v>2.8318125884775194E-2</v>
      </c>
      <c r="U9573" s="59">
        <f ca="1">Dashboard!D$8* Dashboard!$F$4+Dashboard!D$10*SQRT(Dashboard!$F$4) * _xlfn.NORM.S.INV(RAND())</f>
        <v>2.9035933223780057E-2</v>
      </c>
    </row>
    <row r="9574" spans="18:21" x14ac:dyDescent="0.2">
      <c r="R9574" s="49">
        <v>9572</v>
      </c>
      <c r="S9574" s="59">
        <f ca="1">Dashboard!B$8* Dashboard!$F$4+Dashboard!B$10*SQRT(Dashboard!$F$4) * _xlfn.NORM.S.INV(RAND())</f>
        <v>-4.2834680490622884E-3</v>
      </c>
      <c r="T9574" s="59">
        <f ca="1">Dashboard!C$8* Dashboard!$F$4+Dashboard!C$10*SQRT(Dashboard!$F$4) * _xlfn.NORM.S.INV(RAND())</f>
        <v>2.179400861890874E-2</v>
      </c>
      <c r="U9574" s="59">
        <f ca="1">Dashboard!D$8* Dashboard!$F$4+Dashboard!D$10*SQRT(Dashboard!$F$4) * _xlfn.NORM.S.INV(RAND())</f>
        <v>6.264921477957772E-3</v>
      </c>
    </row>
    <row r="9575" spans="18:21" x14ac:dyDescent="0.2">
      <c r="R9575" s="49">
        <v>9573</v>
      </c>
      <c r="S9575" s="59">
        <f ca="1">Dashboard!B$8* Dashboard!$F$4+Dashboard!B$10*SQRT(Dashboard!$F$4) * _xlfn.NORM.S.INV(RAND())</f>
        <v>-5.3903136125713541E-2</v>
      </c>
      <c r="T9575" s="59">
        <f ca="1">Dashboard!C$8* Dashboard!$F$4+Dashboard!C$10*SQRT(Dashboard!$F$4) * _xlfn.NORM.S.INV(RAND())</f>
        <v>-4.6726188667005182E-2</v>
      </c>
      <c r="U9575" s="59">
        <f ca="1">Dashboard!D$8* Dashboard!$F$4+Dashboard!D$10*SQRT(Dashboard!$F$4) * _xlfn.NORM.S.INV(RAND())</f>
        <v>1.7594521396912814E-4</v>
      </c>
    </row>
    <row r="9576" spans="18:21" x14ac:dyDescent="0.2">
      <c r="R9576" s="49">
        <v>9574</v>
      </c>
      <c r="S9576" s="59">
        <f ca="1">Dashboard!B$8* Dashboard!$F$4+Dashboard!B$10*SQRT(Dashboard!$F$4) * _xlfn.NORM.S.INV(RAND())</f>
        <v>4.5440338195267611E-2</v>
      </c>
      <c r="T9576" s="59">
        <f ca="1">Dashboard!C$8* Dashboard!$F$4+Dashboard!C$10*SQRT(Dashboard!$F$4) * _xlfn.NORM.S.INV(RAND())</f>
        <v>-6.6699034450922193E-2</v>
      </c>
      <c r="U9576" s="59">
        <f ca="1">Dashboard!D$8* Dashboard!$F$4+Dashboard!D$10*SQRT(Dashboard!$F$4) * _xlfn.NORM.S.INV(RAND())</f>
        <v>-9.7858909185702322E-2</v>
      </c>
    </row>
    <row r="9577" spans="18:21" x14ac:dyDescent="0.2">
      <c r="R9577" s="49">
        <v>9575</v>
      </c>
      <c r="S9577" s="59">
        <f ca="1">Dashboard!B$8* Dashboard!$F$4+Dashboard!B$10*SQRT(Dashboard!$F$4) * _xlfn.NORM.S.INV(RAND())</f>
        <v>-2.855960826601097E-2</v>
      </c>
      <c r="T9577" s="59">
        <f ca="1">Dashboard!C$8* Dashboard!$F$4+Dashboard!C$10*SQRT(Dashboard!$F$4) * _xlfn.NORM.S.INV(RAND())</f>
        <v>-5.6416873773476685E-2</v>
      </c>
      <c r="U9577" s="59">
        <f ca="1">Dashboard!D$8* Dashboard!$F$4+Dashboard!D$10*SQRT(Dashboard!$F$4) * _xlfn.NORM.S.INV(RAND())</f>
        <v>-3.4421593869201121E-2</v>
      </c>
    </row>
    <row r="9578" spans="18:21" x14ac:dyDescent="0.2">
      <c r="R9578" s="49">
        <v>9576</v>
      </c>
      <c r="S9578" s="59">
        <f ca="1">Dashboard!B$8* Dashboard!$F$4+Dashboard!B$10*SQRT(Dashboard!$F$4) * _xlfn.NORM.S.INV(RAND())</f>
        <v>1.6121858532447278E-3</v>
      </c>
      <c r="T9578" s="59">
        <f ca="1">Dashboard!C$8* Dashboard!$F$4+Dashboard!C$10*SQRT(Dashboard!$F$4) * _xlfn.NORM.S.INV(RAND())</f>
        <v>7.294858906270363E-4</v>
      </c>
      <c r="U9578" s="59">
        <f ca="1">Dashboard!D$8* Dashboard!$F$4+Dashboard!D$10*SQRT(Dashboard!$F$4) * _xlfn.NORM.S.INV(RAND())</f>
        <v>1.4746579177319249E-2</v>
      </c>
    </row>
    <row r="9579" spans="18:21" x14ac:dyDescent="0.2">
      <c r="R9579" s="49">
        <v>9577</v>
      </c>
      <c r="S9579" s="59">
        <f ca="1">Dashboard!B$8* Dashboard!$F$4+Dashboard!B$10*SQRT(Dashboard!$F$4) * _xlfn.NORM.S.INV(RAND())</f>
        <v>-2.4507568524226968E-2</v>
      </c>
      <c r="T9579" s="59">
        <f ca="1">Dashboard!C$8* Dashboard!$F$4+Dashboard!C$10*SQRT(Dashboard!$F$4) * _xlfn.NORM.S.INV(RAND())</f>
        <v>8.0525614858286715E-2</v>
      </c>
      <c r="U9579" s="59">
        <f ca="1">Dashboard!D$8* Dashboard!$F$4+Dashboard!D$10*SQRT(Dashboard!$F$4) * _xlfn.NORM.S.INV(RAND())</f>
        <v>5.8685476657845695E-2</v>
      </c>
    </row>
    <row r="9580" spans="18:21" x14ac:dyDescent="0.2">
      <c r="R9580" s="49">
        <v>9578</v>
      </c>
      <c r="S9580" s="59">
        <f ca="1">Dashboard!B$8* Dashboard!$F$4+Dashboard!B$10*SQRT(Dashboard!$F$4) * _xlfn.NORM.S.INV(RAND())</f>
        <v>-6.7526733675229933E-2</v>
      </c>
      <c r="T9580" s="59">
        <f ca="1">Dashboard!C$8* Dashboard!$F$4+Dashboard!C$10*SQRT(Dashboard!$F$4) * _xlfn.NORM.S.INV(RAND())</f>
        <v>-4.8418047302901758E-2</v>
      </c>
      <c r="U9580" s="59">
        <f ca="1">Dashboard!D$8* Dashboard!$F$4+Dashboard!D$10*SQRT(Dashboard!$F$4) * _xlfn.NORM.S.INV(RAND())</f>
        <v>5.3553562492653839E-3</v>
      </c>
    </row>
    <row r="9581" spans="18:21" x14ac:dyDescent="0.2">
      <c r="R9581" s="49">
        <v>9579</v>
      </c>
      <c r="S9581" s="59">
        <f ca="1">Dashboard!B$8* Dashboard!$F$4+Dashboard!B$10*SQRT(Dashboard!$F$4) * _xlfn.NORM.S.INV(RAND())</f>
        <v>2.085643994014582E-2</v>
      </c>
      <c r="T9581" s="59">
        <f ca="1">Dashboard!C$8* Dashboard!$F$4+Dashboard!C$10*SQRT(Dashboard!$F$4) * _xlfn.NORM.S.INV(RAND())</f>
        <v>-1.4894594885581959E-2</v>
      </c>
      <c r="U9581" s="59">
        <f ca="1">Dashboard!D$8* Dashboard!$F$4+Dashboard!D$10*SQRT(Dashboard!$F$4) * _xlfn.NORM.S.INV(RAND())</f>
        <v>9.7083769667708677E-3</v>
      </c>
    </row>
    <row r="9582" spans="18:21" x14ac:dyDescent="0.2">
      <c r="R9582" s="49">
        <v>9580</v>
      </c>
      <c r="S9582" s="59">
        <f ca="1">Dashboard!B$8* Dashboard!$F$4+Dashboard!B$10*SQRT(Dashboard!$F$4) * _xlfn.NORM.S.INV(RAND())</f>
        <v>5.5575611082931672E-2</v>
      </c>
      <c r="T9582" s="59">
        <f ca="1">Dashboard!C$8* Dashboard!$F$4+Dashboard!C$10*SQRT(Dashboard!$F$4) * _xlfn.NORM.S.INV(RAND())</f>
        <v>1.6378769802584143E-2</v>
      </c>
      <c r="U9582" s="59">
        <f ca="1">Dashboard!D$8* Dashboard!$F$4+Dashboard!D$10*SQRT(Dashboard!$F$4) * _xlfn.NORM.S.INV(RAND())</f>
        <v>-2.2399207480344021E-3</v>
      </c>
    </row>
    <row r="9583" spans="18:21" x14ac:dyDescent="0.2">
      <c r="R9583" s="49">
        <v>9581</v>
      </c>
      <c r="S9583" s="59">
        <f ca="1">Dashboard!B$8* Dashboard!$F$4+Dashboard!B$10*SQRT(Dashboard!$F$4) * _xlfn.NORM.S.INV(RAND())</f>
        <v>-1.2272271476751568E-2</v>
      </c>
      <c r="T9583" s="59">
        <f ca="1">Dashboard!C$8* Dashboard!$F$4+Dashboard!C$10*SQRT(Dashboard!$F$4) * _xlfn.NORM.S.INV(RAND())</f>
        <v>2.2389489859830747E-2</v>
      </c>
      <c r="U9583" s="59">
        <f ca="1">Dashboard!D$8* Dashboard!$F$4+Dashboard!D$10*SQRT(Dashboard!$F$4) * _xlfn.NORM.S.INV(RAND())</f>
        <v>1.1086620890434605E-2</v>
      </c>
    </row>
    <row r="9584" spans="18:21" x14ac:dyDescent="0.2">
      <c r="R9584" s="49">
        <v>9582</v>
      </c>
      <c r="S9584" s="59">
        <f ca="1">Dashboard!B$8* Dashboard!$F$4+Dashboard!B$10*SQRT(Dashboard!$F$4) * _xlfn.NORM.S.INV(RAND())</f>
        <v>1.386968062854165E-2</v>
      </c>
      <c r="T9584" s="59">
        <f ca="1">Dashboard!C$8* Dashboard!$F$4+Dashboard!C$10*SQRT(Dashboard!$F$4) * _xlfn.NORM.S.INV(RAND())</f>
        <v>1.2638618249100824E-2</v>
      </c>
      <c r="U9584" s="59">
        <f ca="1">Dashboard!D$8* Dashboard!$F$4+Dashboard!D$10*SQRT(Dashboard!$F$4) * _xlfn.NORM.S.INV(RAND())</f>
        <v>-2.5786219002223928E-2</v>
      </c>
    </row>
    <row r="9585" spans="18:21" x14ac:dyDescent="0.2">
      <c r="R9585" s="49">
        <v>9583</v>
      </c>
      <c r="S9585" s="59">
        <f ca="1">Dashboard!B$8* Dashboard!$F$4+Dashboard!B$10*SQRT(Dashboard!$F$4) * _xlfn.NORM.S.INV(RAND())</f>
        <v>1.8155266242811351E-2</v>
      </c>
      <c r="T9585" s="59">
        <f ca="1">Dashboard!C$8* Dashboard!$F$4+Dashboard!C$10*SQRT(Dashboard!$F$4) * _xlfn.NORM.S.INV(RAND())</f>
        <v>9.6177528316693708E-3</v>
      </c>
      <c r="U9585" s="59">
        <f ca="1">Dashboard!D$8* Dashboard!$F$4+Dashboard!D$10*SQRT(Dashboard!$F$4) * _xlfn.NORM.S.INV(RAND())</f>
        <v>2.4991048621929315E-2</v>
      </c>
    </row>
    <row r="9586" spans="18:21" x14ac:dyDescent="0.2">
      <c r="R9586" s="49">
        <v>9584</v>
      </c>
      <c r="S9586" s="59">
        <f ca="1">Dashboard!B$8* Dashboard!$F$4+Dashboard!B$10*SQRT(Dashboard!$F$4) * _xlfn.NORM.S.INV(RAND())</f>
        <v>5.7803719157951523E-2</v>
      </c>
      <c r="T9586" s="59">
        <f ca="1">Dashboard!C$8* Dashboard!$F$4+Dashboard!C$10*SQRT(Dashboard!$F$4) * _xlfn.NORM.S.INV(RAND())</f>
        <v>-5.0417974747643821E-3</v>
      </c>
      <c r="U9586" s="59">
        <f ca="1">Dashboard!D$8* Dashboard!$F$4+Dashboard!D$10*SQRT(Dashboard!$F$4) * _xlfn.NORM.S.INV(RAND())</f>
        <v>-2.1651526510037194E-2</v>
      </c>
    </row>
    <row r="9587" spans="18:21" x14ac:dyDescent="0.2">
      <c r="R9587" s="49">
        <v>9585</v>
      </c>
      <c r="S9587" s="59">
        <f ca="1">Dashboard!B$8* Dashboard!$F$4+Dashboard!B$10*SQRT(Dashboard!$F$4) * _xlfn.NORM.S.INV(RAND())</f>
        <v>-2.9687553362985543E-2</v>
      </c>
      <c r="T9587" s="59">
        <f ca="1">Dashboard!C$8* Dashboard!$F$4+Dashboard!C$10*SQRT(Dashboard!$F$4) * _xlfn.NORM.S.INV(RAND())</f>
        <v>-1.4835969537754391E-3</v>
      </c>
      <c r="U9587" s="59">
        <f ca="1">Dashboard!D$8* Dashboard!$F$4+Dashboard!D$10*SQRT(Dashboard!$F$4) * _xlfn.NORM.S.INV(RAND())</f>
        <v>1.0566121464736971E-2</v>
      </c>
    </row>
    <row r="9588" spans="18:21" x14ac:dyDescent="0.2">
      <c r="R9588" s="49">
        <v>9586</v>
      </c>
      <c r="S9588" s="59">
        <f ca="1">Dashboard!B$8* Dashboard!$F$4+Dashboard!B$10*SQRT(Dashboard!$F$4) * _xlfn.NORM.S.INV(RAND())</f>
        <v>2.6451170579540169E-2</v>
      </c>
      <c r="T9588" s="59">
        <f ca="1">Dashboard!C$8* Dashboard!$F$4+Dashboard!C$10*SQRT(Dashboard!$F$4) * _xlfn.NORM.S.INV(RAND())</f>
        <v>-7.9845197087549669E-3</v>
      </c>
      <c r="U9588" s="59">
        <f ca="1">Dashboard!D$8* Dashboard!$F$4+Dashboard!D$10*SQRT(Dashboard!$F$4) * _xlfn.NORM.S.INV(RAND())</f>
        <v>-3.9171360535509799E-2</v>
      </c>
    </row>
    <row r="9589" spans="18:21" x14ac:dyDescent="0.2">
      <c r="R9589" s="49">
        <v>9587</v>
      </c>
      <c r="S9589" s="59">
        <f ca="1">Dashboard!B$8* Dashboard!$F$4+Dashboard!B$10*SQRT(Dashboard!$F$4) * _xlfn.NORM.S.INV(RAND())</f>
        <v>-4.6105268693516646E-3</v>
      </c>
      <c r="T9589" s="59">
        <f ca="1">Dashboard!C$8* Dashboard!$F$4+Dashboard!C$10*SQRT(Dashboard!$F$4) * _xlfn.NORM.S.INV(RAND())</f>
        <v>-2.8271049492478027E-2</v>
      </c>
      <c r="U9589" s="59">
        <f ca="1">Dashboard!D$8* Dashboard!$F$4+Dashboard!D$10*SQRT(Dashboard!$F$4) * _xlfn.NORM.S.INV(RAND())</f>
        <v>-1.0276368746108539E-2</v>
      </c>
    </row>
    <row r="9590" spans="18:21" x14ac:dyDescent="0.2">
      <c r="R9590" s="49">
        <v>9588</v>
      </c>
      <c r="S9590" s="59">
        <f ca="1">Dashboard!B$8* Dashboard!$F$4+Dashboard!B$10*SQRT(Dashboard!$F$4) * _xlfn.NORM.S.INV(RAND())</f>
        <v>-1.4153947209916102E-2</v>
      </c>
      <c r="T9590" s="59">
        <f ca="1">Dashboard!C$8* Dashboard!$F$4+Dashboard!C$10*SQRT(Dashboard!$F$4) * _xlfn.NORM.S.INV(RAND())</f>
        <v>-1.0546813190877451E-2</v>
      </c>
      <c r="U9590" s="59">
        <f ca="1">Dashboard!D$8* Dashboard!$F$4+Dashboard!D$10*SQRT(Dashboard!$F$4) * _xlfn.NORM.S.INV(RAND())</f>
        <v>-4.4514176195362562E-2</v>
      </c>
    </row>
    <row r="9591" spans="18:21" x14ac:dyDescent="0.2">
      <c r="R9591" s="49">
        <v>9589</v>
      </c>
      <c r="S9591" s="59">
        <f ca="1">Dashboard!B$8* Dashboard!$F$4+Dashboard!B$10*SQRT(Dashboard!$F$4) * _xlfn.NORM.S.INV(RAND())</f>
        <v>-4.718641762035871E-3</v>
      </c>
      <c r="T9591" s="59">
        <f ca="1">Dashboard!C$8* Dashboard!$F$4+Dashboard!C$10*SQRT(Dashboard!$F$4) * _xlfn.NORM.S.INV(RAND())</f>
        <v>3.7192256087142689E-2</v>
      </c>
      <c r="U9591" s="59">
        <f ca="1">Dashboard!D$8* Dashboard!$F$4+Dashboard!D$10*SQRT(Dashboard!$F$4) * _xlfn.NORM.S.INV(RAND())</f>
        <v>-2.5023381285707309E-2</v>
      </c>
    </row>
    <row r="9592" spans="18:21" x14ac:dyDescent="0.2">
      <c r="R9592" s="49">
        <v>9590</v>
      </c>
      <c r="S9592" s="59">
        <f ca="1">Dashboard!B$8* Dashboard!$F$4+Dashboard!B$10*SQRT(Dashboard!$F$4) * _xlfn.NORM.S.INV(RAND())</f>
        <v>3.4648168600451773E-3</v>
      </c>
      <c r="T9592" s="59">
        <f ca="1">Dashboard!C$8* Dashboard!$F$4+Dashboard!C$10*SQRT(Dashboard!$F$4) * _xlfn.NORM.S.INV(RAND())</f>
        <v>-2.4907455017765878E-2</v>
      </c>
      <c r="U9592" s="59">
        <f ca="1">Dashboard!D$8* Dashboard!$F$4+Dashboard!D$10*SQRT(Dashboard!$F$4) * _xlfn.NORM.S.INV(RAND())</f>
        <v>-1.8942390355511412E-2</v>
      </c>
    </row>
    <row r="9593" spans="18:21" x14ac:dyDescent="0.2">
      <c r="R9593" s="49">
        <v>9591</v>
      </c>
      <c r="S9593" s="59">
        <f ca="1">Dashboard!B$8* Dashboard!$F$4+Dashboard!B$10*SQRT(Dashboard!$F$4) * _xlfn.NORM.S.INV(RAND())</f>
        <v>1.0412859433674877E-2</v>
      </c>
      <c r="T9593" s="59">
        <f ca="1">Dashboard!C$8* Dashboard!$F$4+Dashboard!C$10*SQRT(Dashboard!$F$4) * _xlfn.NORM.S.INV(RAND())</f>
        <v>8.1134340968630897E-3</v>
      </c>
      <c r="U9593" s="59">
        <f ca="1">Dashboard!D$8* Dashboard!$F$4+Dashboard!D$10*SQRT(Dashboard!$F$4) * _xlfn.NORM.S.INV(RAND())</f>
        <v>2.8582188219420943E-3</v>
      </c>
    </row>
    <row r="9594" spans="18:21" x14ac:dyDescent="0.2">
      <c r="R9594" s="49">
        <v>9592</v>
      </c>
      <c r="S9594" s="59">
        <f ca="1">Dashboard!B$8* Dashboard!$F$4+Dashboard!B$10*SQRT(Dashboard!$F$4) * _xlfn.NORM.S.INV(RAND())</f>
        <v>6.3004315479936422E-3</v>
      </c>
      <c r="T9594" s="59">
        <f ca="1">Dashboard!C$8* Dashboard!$F$4+Dashboard!C$10*SQRT(Dashboard!$F$4) * _xlfn.NORM.S.INV(RAND())</f>
        <v>-2.9400368560706828E-2</v>
      </c>
      <c r="U9594" s="59">
        <f ca="1">Dashboard!D$8* Dashboard!$F$4+Dashboard!D$10*SQRT(Dashboard!$F$4) * _xlfn.NORM.S.INV(RAND())</f>
        <v>-2.1213364341645183E-2</v>
      </c>
    </row>
    <row r="9595" spans="18:21" x14ac:dyDescent="0.2">
      <c r="R9595" s="49">
        <v>9593</v>
      </c>
      <c r="S9595" s="59">
        <f ca="1">Dashboard!B$8* Dashboard!$F$4+Dashboard!B$10*SQRT(Dashboard!$F$4) * _xlfn.NORM.S.INV(RAND())</f>
        <v>3.5382380846771137E-2</v>
      </c>
      <c r="T9595" s="59">
        <f ca="1">Dashboard!C$8* Dashboard!$F$4+Dashboard!C$10*SQRT(Dashboard!$F$4) * _xlfn.NORM.S.INV(RAND())</f>
        <v>8.6973837557391583E-3</v>
      </c>
      <c r="U9595" s="59">
        <f ca="1">Dashboard!D$8* Dashboard!$F$4+Dashboard!D$10*SQRT(Dashboard!$F$4) * _xlfn.NORM.S.INV(RAND())</f>
        <v>-4.711093153930597E-3</v>
      </c>
    </row>
    <row r="9596" spans="18:21" x14ac:dyDescent="0.2">
      <c r="R9596" s="49">
        <v>9594</v>
      </c>
      <c r="S9596" s="59">
        <f ca="1">Dashboard!B$8* Dashboard!$F$4+Dashboard!B$10*SQRT(Dashboard!$F$4) * _xlfn.NORM.S.INV(RAND())</f>
        <v>-3.9909791929174543E-2</v>
      </c>
      <c r="T9596" s="59">
        <f ca="1">Dashboard!C$8* Dashboard!$F$4+Dashboard!C$10*SQRT(Dashboard!$F$4) * _xlfn.NORM.S.INV(RAND())</f>
        <v>7.6179706802942435E-2</v>
      </c>
      <c r="U9596" s="59">
        <f ca="1">Dashboard!D$8* Dashboard!$F$4+Dashboard!D$10*SQRT(Dashboard!$F$4) * _xlfn.NORM.S.INV(RAND())</f>
        <v>-3.0796302186546658E-2</v>
      </c>
    </row>
    <row r="9597" spans="18:21" x14ac:dyDescent="0.2">
      <c r="R9597" s="49">
        <v>9595</v>
      </c>
      <c r="S9597" s="59">
        <f ca="1">Dashboard!B$8* Dashboard!$F$4+Dashboard!B$10*SQRT(Dashboard!$F$4) * _xlfn.NORM.S.INV(RAND())</f>
        <v>4.6509868784778474E-2</v>
      </c>
      <c r="T9597" s="59">
        <f ca="1">Dashboard!C$8* Dashboard!$F$4+Dashboard!C$10*SQRT(Dashboard!$F$4) * _xlfn.NORM.S.INV(RAND())</f>
        <v>6.1772132733980661E-2</v>
      </c>
      <c r="U9597" s="59">
        <f ca="1">Dashboard!D$8* Dashboard!$F$4+Dashboard!D$10*SQRT(Dashboard!$F$4) * _xlfn.NORM.S.INV(RAND())</f>
        <v>-7.9171750470478114E-2</v>
      </c>
    </row>
    <row r="9598" spans="18:21" x14ac:dyDescent="0.2">
      <c r="R9598" s="49">
        <v>9596</v>
      </c>
      <c r="S9598" s="59">
        <f ca="1">Dashboard!B$8* Dashboard!$F$4+Dashboard!B$10*SQRT(Dashboard!$F$4) * _xlfn.NORM.S.INV(RAND())</f>
        <v>-3.1736327712002188E-2</v>
      </c>
      <c r="T9598" s="59">
        <f ca="1">Dashboard!C$8* Dashboard!$F$4+Dashboard!C$10*SQRT(Dashboard!$F$4) * _xlfn.NORM.S.INV(RAND())</f>
        <v>1.0782183308686123E-2</v>
      </c>
      <c r="U9598" s="59">
        <f ca="1">Dashboard!D$8* Dashboard!$F$4+Dashboard!D$10*SQRT(Dashboard!$F$4) * _xlfn.NORM.S.INV(RAND())</f>
        <v>4.6984428509004569E-2</v>
      </c>
    </row>
    <row r="9599" spans="18:21" x14ac:dyDescent="0.2">
      <c r="R9599" s="49">
        <v>9597</v>
      </c>
      <c r="S9599" s="59">
        <f ca="1">Dashboard!B$8* Dashboard!$F$4+Dashboard!B$10*SQRT(Dashboard!$F$4) * _xlfn.NORM.S.INV(RAND())</f>
        <v>-1.6106404181877889E-2</v>
      </c>
      <c r="T9599" s="59">
        <f ca="1">Dashboard!C$8* Dashboard!$F$4+Dashboard!C$10*SQRT(Dashboard!$F$4) * _xlfn.NORM.S.INV(RAND())</f>
        <v>8.5922512138587696E-3</v>
      </c>
      <c r="U9599" s="59">
        <f ca="1">Dashboard!D$8* Dashboard!$F$4+Dashboard!D$10*SQRT(Dashboard!$F$4) * _xlfn.NORM.S.INV(RAND())</f>
        <v>2.9946434447536769E-2</v>
      </c>
    </row>
    <row r="9600" spans="18:21" x14ac:dyDescent="0.2">
      <c r="R9600" s="49">
        <v>9598</v>
      </c>
      <c r="S9600" s="59">
        <f ca="1">Dashboard!B$8* Dashboard!$F$4+Dashboard!B$10*SQRT(Dashboard!$F$4) * _xlfn.NORM.S.INV(RAND())</f>
        <v>9.8206023334030581E-3</v>
      </c>
      <c r="T9600" s="59">
        <f ca="1">Dashboard!C$8* Dashboard!$F$4+Dashboard!C$10*SQRT(Dashboard!$F$4) * _xlfn.NORM.S.INV(RAND())</f>
        <v>-1.7898769379272785E-2</v>
      </c>
      <c r="U9600" s="59">
        <f ca="1">Dashboard!D$8* Dashboard!$F$4+Dashboard!D$10*SQRT(Dashboard!$F$4) * _xlfn.NORM.S.INV(RAND())</f>
        <v>3.3562923987109161E-3</v>
      </c>
    </row>
    <row r="9601" spans="18:21" x14ac:dyDescent="0.2">
      <c r="R9601" s="49">
        <v>9599</v>
      </c>
      <c r="S9601" s="59">
        <f ca="1">Dashboard!B$8* Dashboard!$F$4+Dashboard!B$10*SQRT(Dashboard!$F$4) * _xlfn.NORM.S.INV(RAND())</f>
        <v>2.2154686904261806E-3</v>
      </c>
      <c r="T9601" s="59">
        <f ca="1">Dashboard!C$8* Dashboard!$F$4+Dashboard!C$10*SQRT(Dashboard!$F$4) * _xlfn.NORM.S.INV(RAND())</f>
        <v>-2.18609265029681E-3</v>
      </c>
      <c r="U9601" s="59">
        <f ca="1">Dashboard!D$8* Dashboard!$F$4+Dashboard!D$10*SQRT(Dashboard!$F$4) * _xlfn.NORM.S.INV(RAND())</f>
        <v>-1.5543140119468359E-2</v>
      </c>
    </row>
    <row r="9602" spans="18:21" x14ac:dyDescent="0.2">
      <c r="R9602" s="49">
        <v>9600</v>
      </c>
      <c r="S9602" s="59">
        <f ca="1">Dashboard!B$8* Dashboard!$F$4+Dashboard!B$10*SQRT(Dashboard!$F$4) * _xlfn.NORM.S.INV(RAND())</f>
        <v>-3.9162975449302299E-2</v>
      </c>
      <c r="T9602" s="59">
        <f ca="1">Dashboard!C$8* Dashboard!$F$4+Dashboard!C$10*SQRT(Dashboard!$F$4) * _xlfn.NORM.S.INV(RAND())</f>
        <v>-2.283587005166984E-2</v>
      </c>
      <c r="U9602" s="59">
        <f ca="1">Dashboard!D$8* Dashboard!$F$4+Dashboard!D$10*SQRT(Dashboard!$F$4) * _xlfn.NORM.S.INV(RAND())</f>
        <v>3.5108296458838006E-2</v>
      </c>
    </row>
    <row r="9603" spans="18:21" x14ac:dyDescent="0.2">
      <c r="R9603" s="49">
        <v>9601</v>
      </c>
      <c r="S9603" s="59">
        <f ca="1">Dashboard!B$8* Dashboard!$F$4+Dashboard!B$10*SQRT(Dashboard!$F$4) * _xlfn.NORM.S.INV(RAND())</f>
        <v>6.4225658632993798E-3</v>
      </c>
      <c r="T9603" s="59">
        <f ca="1">Dashboard!C$8* Dashboard!$F$4+Dashboard!C$10*SQRT(Dashboard!$F$4) * _xlfn.NORM.S.INV(RAND())</f>
        <v>-4.4286894068885356E-2</v>
      </c>
      <c r="U9603" s="59">
        <f ca="1">Dashboard!D$8* Dashboard!$F$4+Dashboard!D$10*SQRT(Dashboard!$F$4) * _xlfn.NORM.S.INV(RAND())</f>
        <v>-4.8550895783615877E-2</v>
      </c>
    </row>
    <row r="9604" spans="18:21" x14ac:dyDescent="0.2">
      <c r="R9604" s="49">
        <v>9602</v>
      </c>
      <c r="S9604" s="59">
        <f ca="1">Dashboard!B$8* Dashboard!$F$4+Dashboard!B$10*SQRT(Dashboard!$F$4) * _xlfn.NORM.S.INV(RAND())</f>
        <v>9.0212797712510839E-3</v>
      </c>
      <c r="T9604" s="59">
        <f ca="1">Dashboard!C$8* Dashboard!$F$4+Dashboard!C$10*SQRT(Dashboard!$F$4) * _xlfn.NORM.S.INV(RAND())</f>
        <v>5.3596419279865228E-2</v>
      </c>
      <c r="U9604" s="59">
        <f ca="1">Dashboard!D$8* Dashboard!$F$4+Dashboard!D$10*SQRT(Dashboard!$F$4) * _xlfn.NORM.S.INV(RAND())</f>
        <v>1.8598062655034837E-2</v>
      </c>
    </row>
    <row r="9605" spans="18:21" x14ac:dyDescent="0.2">
      <c r="R9605" s="49">
        <v>9603</v>
      </c>
      <c r="S9605" s="59">
        <f ca="1">Dashboard!B$8* Dashboard!$F$4+Dashboard!B$10*SQRT(Dashboard!$F$4) * _xlfn.NORM.S.INV(RAND())</f>
        <v>2.2668763920012151E-2</v>
      </c>
      <c r="T9605" s="59">
        <f ca="1">Dashboard!C$8* Dashboard!$F$4+Dashboard!C$10*SQRT(Dashboard!$F$4) * _xlfn.NORM.S.INV(RAND())</f>
        <v>-4.4669230799681922E-2</v>
      </c>
      <c r="U9605" s="59">
        <f ca="1">Dashboard!D$8* Dashboard!$F$4+Dashboard!D$10*SQRT(Dashboard!$F$4) * _xlfn.NORM.S.INV(RAND())</f>
        <v>-2.5300710058985803E-3</v>
      </c>
    </row>
    <row r="9606" spans="18:21" x14ac:dyDescent="0.2">
      <c r="R9606" s="49">
        <v>9604</v>
      </c>
      <c r="S9606" s="59">
        <f ca="1">Dashboard!B$8* Dashboard!$F$4+Dashboard!B$10*SQRT(Dashboard!$F$4) * _xlfn.NORM.S.INV(RAND())</f>
        <v>-2.2056411050176569E-2</v>
      </c>
      <c r="T9606" s="59">
        <f ca="1">Dashboard!C$8* Dashboard!$F$4+Dashboard!C$10*SQRT(Dashboard!$F$4) * _xlfn.NORM.S.INV(RAND())</f>
        <v>-1.3081100044679883E-2</v>
      </c>
      <c r="U9606" s="59">
        <f ca="1">Dashboard!D$8* Dashboard!$F$4+Dashboard!D$10*SQRT(Dashboard!$F$4) * _xlfn.NORM.S.INV(RAND())</f>
        <v>1.5752360220305437E-2</v>
      </c>
    </row>
    <row r="9607" spans="18:21" x14ac:dyDescent="0.2">
      <c r="R9607" s="49">
        <v>9605</v>
      </c>
      <c r="S9607" s="59">
        <f ca="1">Dashboard!B$8* Dashboard!$F$4+Dashboard!B$10*SQRT(Dashboard!$F$4) * _xlfn.NORM.S.INV(RAND())</f>
        <v>2.5844771123168804E-2</v>
      </c>
      <c r="T9607" s="59">
        <f ca="1">Dashboard!C$8* Dashboard!$F$4+Dashboard!C$10*SQRT(Dashboard!$F$4) * _xlfn.NORM.S.INV(RAND())</f>
        <v>-6.7809663737553412E-3</v>
      </c>
      <c r="U9607" s="59">
        <f ca="1">Dashboard!D$8* Dashboard!$F$4+Dashboard!D$10*SQRT(Dashboard!$F$4) * _xlfn.NORM.S.INV(RAND())</f>
        <v>1.3202972355109322E-2</v>
      </c>
    </row>
    <row r="9608" spans="18:21" x14ac:dyDescent="0.2">
      <c r="R9608" s="49">
        <v>9606</v>
      </c>
      <c r="S9608" s="59">
        <f ca="1">Dashboard!B$8* Dashboard!$F$4+Dashboard!B$10*SQRT(Dashboard!$F$4) * _xlfn.NORM.S.INV(RAND())</f>
        <v>-1.5571915728353748E-2</v>
      </c>
      <c r="T9608" s="59">
        <f ca="1">Dashboard!C$8* Dashboard!$F$4+Dashboard!C$10*SQRT(Dashboard!$F$4) * _xlfn.NORM.S.INV(RAND())</f>
        <v>3.3847340024122249E-2</v>
      </c>
      <c r="U9608" s="59">
        <f ca="1">Dashboard!D$8* Dashboard!$F$4+Dashboard!D$10*SQRT(Dashboard!$F$4) * _xlfn.NORM.S.INV(RAND())</f>
        <v>4.934476077166388E-3</v>
      </c>
    </row>
    <row r="9609" spans="18:21" x14ac:dyDescent="0.2">
      <c r="R9609" s="49">
        <v>9607</v>
      </c>
      <c r="S9609" s="59">
        <f ca="1">Dashboard!B$8* Dashboard!$F$4+Dashboard!B$10*SQRT(Dashboard!$F$4) * _xlfn.NORM.S.INV(RAND())</f>
        <v>-4.3755681398290391E-2</v>
      </c>
      <c r="T9609" s="59">
        <f ca="1">Dashboard!C$8* Dashboard!$F$4+Dashboard!C$10*SQRT(Dashboard!$F$4) * _xlfn.NORM.S.INV(RAND())</f>
        <v>-3.473803776990006E-2</v>
      </c>
      <c r="U9609" s="59">
        <f ca="1">Dashboard!D$8* Dashboard!$F$4+Dashboard!D$10*SQRT(Dashboard!$F$4) * _xlfn.NORM.S.INV(RAND())</f>
        <v>-2.9053036722018963E-3</v>
      </c>
    </row>
    <row r="9610" spans="18:21" x14ac:dyDescent="0.2">
      <c r="R9610" s="49">
        <v>9608</v>
      </c>
      <c r="S9610" s="59">
        <f ca="1">Dashboard!B$8* Dashboard!$F$4+Dashboard!B$10*SQRT(Dashboard!$F$4) * _xlfn.NORM.S.INV(RAND())</f>
        <v>-9.0488039627974436E-3</v>
      </c>
      <c r="T9610" s="59">
        <f ca="1">Dashboard!C$8* Dashboard!$F$4+Dashboard!C$10*SQRT(Dashboard!$F$4) * _xlfn.NORM.S.INV(RAND())</f>
        <v>1.109053510442257E-2</v>
      </c>
      <c r="U9610" s="59">
        <f ca="1">Dashboard!D$8* Dashboard!$F$4+Dashboard!D$10*SQRT(Dashboard!$F$4) * _xlfn.NORM.S.INV(RAND())</f>
        <v>-2.4504650216096154E-2</v>
      </c>
    </row>
    <row r="9611" spans="18:21" x14ac:dyDescent="0.2">
      <c r="R9611" s="49">
        <v>9609</v>
      </c>
      <c r="S9611" s="59">
        <f ca="1">Dashboard!B$8* Dashboard!$F$4+Dashboard!B$10*SQRT(Dashboard!$F$4) * _xlfn.NORM.S.INV(RAND())</f>
        <v>-6.8062599973259547E-3</v>
      </c>
      <c r="T9611" s="59">
        <f ca="1">Dashboard!C$8* Dashboard!$F$4+Dashboard!C$10*SQRT(Dashboard!$F$4) * _xlfn.NORM.S.INV(RAND())</f>
        <v>-2.1908368452395098E-2</v>
      </c>
      <c r="U9611" s="59">
        <f ca="1">Dashboard!D$8* Dashboard!$F$4+Dashboard!D$10*SQRT(Dashboard!$F$4) * _xlfn.NORM.S.INV(RAND())</f>
        <v>-3.0918079777166527E-2</v>
      </c>
    </row>
    <row r="9612" spans="18:21" x14ac:dyDescent="0.2">
      <c r="R9612" s="49">
        <v>9610</v>
      </c>
      <c r="S9612" s="59">
        <f ca="1">Dashboard!B$8* Dashboard!$F$4+Dashboard!B$10*SQRT(Dashboard!$F$4) * _xlfn.NORM.S.INV(RAND())</f>
        <v>-0.11714369828211277</v>
      </c>
      <c r="T9612" s="59">
        <f ca="1">Dashboard!C$8* Dashboard!$F$4+Dashboard!C$10*SQRT(Dashboard!$F$4) * _xlfn.NORM.S.INV(RAND())</f>
        <v>1.7208199232133951E-2</v>
      </c>
      <c r="U9612" s="59">
        <f ca="1">Dashboard!D$8* Dashboard!$F$4+Dashboard!D$10*SQRT(Dashboard!$F$4) * _xlfn.NORM.S.INV(RAND())</f>
        <v>-3.5138668701023022E-2</v>
      </c>
    </row>
    <row r="9613" spans="18:21" x14ac:dyDescent="0.2">
      <c r="R9613" s="49">
        <v>9611</v>
      </c>
      <c r="S9613" s="59">
        <f ca="1">Dashboard!B$8* Dashboard!$F$4+Dashboard!B$10*SQRT(Dashboard!$F$4) * _xlfn.NORM.S.INV(RAND())</f>
        <v>-4.9508265546163175E-3</v>
      </c>
      <c r="T9613" s="59">
        <f ca="1">Dashboard!C$8* Dashboard!$F$4+Dashboard!C$10*SQRT(Dashboard!$F$4) * _xlfn.NORM.S.INV(RAND())</f>
        <v>7.0448045069202323E-3</v>
      </c>
      <c r="U9613" s="59">
        <f ca="1">Dashboard!D$8* Dashboard!$F$4+Dashboard!D$10*SQRT(Dashboard!$F$4) * _xlfn.NORM.S.INV(RAND())</f>
        <v>-3.6263870294446957E-2</v>
      </c>
    </row>
    <row r="9614" spans="18:21" x14ac:dyDescent="0.2">
      <c r="R9614" s="49">
        <v>9612</v>
      </c>
      <c r="S9614" s="59">
        <f ca="1">Dashboard!B$8* Dashboard!$F$4+Dashboard!B$10*SQRT(Dashboard!$F$4) * _xlfn.NORM.S.INV(RAND())</f>
        <v>-1.9179826734440044E-2</v>
      </c>
      <c r="T9614" s="59">
        <f ca="1">Dashboard!C$8* Dashboard!$F$4+Dashboard!C$10*SQRT(Dashboard!$F$4) * _xlfn.NORM.S.INV(RAND())</f>
        <v>-5.8921644886948772E-3</v>
      </c>
      <c r="U9614" s="59">
        <f ca="1">Dashboard!D$8* Dashboard!$F$4+Dashboard!D$10*SQRT(Dashboard!$F$4) * _xlfn.NORM.S.INV(RAND())</f>
        <v>1.1889933791271481E-2</v>
      </c>
    </row>
    <row r="9615" spans="18:21" x14ac:dyDescent="0.2">
      <c r="R9615" s="49">
        <v>9613</v>
      </c>
      <c r="S9615" s="59">
        <f ca="1">Dashboard!B$8* Dashboard!$F$4+Dashboard!B$10*SQRT(Dashboard!$F$4) * _xlfn.NORM.S.INV(RAND())</f>
        <v>-2.2700676591072375E-2</v>
      </c>
      <c r="T9615" s="59">
        <f ca="1">Dashboard!C$8* Dashboard!$F$4+Dashboard!C$10*SQRT(Dashboard!$F$4) * _xlfn.NORM.S.INV(RAND())</f>
        <v>-2.6691132880185656E-2</v>
      </c>
      <c r="U9615" s="59">
        <f ca="1">Dashboard!D$8* Dashboard!$F$4+Dashboard!D$10*SQRT(Dashboard!$F$4) * _xlfn.NORM.S.INV(RAND())</f>
        <v>8.4610799375393047E-3</v>
      </c>
    </row>
    <row r="9616" spans="18:21" x14ac:dyDescent="0.2">
      <c r="R9616" s="49">
        <v>9614</v>
      </c>
      <c r="S9616" s="59">
        <f ca="1">Dashboard!B$8* Dashboard!$F$4+Dashboard!B$10*SQRT(Dashboard!$F$4) * _xlfn.NORM.S.INV(RAND())</f>
        <v>-5.2845595887592398E-2</v>
      </c>
      <c r="T9616" s="59">
        <f ca="1">Dashboard!C$8* Dashboard!$F$4+Dashboard!C$10*SQRT(Dashboard!$F$4) * _xlfn.NORM.S.INV(RAND())</f>
        <v>3.3981502852030963E-2</v>
      </c>
      <c r="U9616" s="59">
        <f ca="1">Dashboard!D$8* Dashboard!$F$4+Dashboard!D$10*SQRT(Dashboard!$F$4) * _xlfn.NORM.S.INV(RAND())</f>
        <v>-5.1275941776751394E-3</v>
      </c>
    </row>
    <row r="9617" spans="18:21" x14ac:dyDescent="0.2">
      <c r="R9617" s="49">
        <v>9615</v>
      </c>
      <c r="S9617" s="59">
        <f ca="1">Dashboard!B$8* Dashboard!$F$4+Dashboard!B$10*SQRT(Dashboard!$F$4) * _xlfn.NORM.S.INV(RAND())</f>
        <v>1.3122551478029891E-2</v>
      </c>
      <c r="T9617" s="59">
        <f ca="1">Dashboard!C$8* Dashboard!$F$4+Dashboard!C$10*SQRT(Dashboard!$F$4) * _xlfn.NORM.S.INV(RAND())</f>
        <v>6.3091095731932029E-2</v>
      </c>
      <c r="U9617" s="59">
        <f ca="1">Dashboard!D$8* Dashboard!$F$4+Dashboard!D$10*SQRT(Dashboard!$F$4) * _xlfn.NORM.S.INV(RAND())</f>
        <v>-4.0507299430159273E-2</v>
      </c>
    </row>
    <row r="9618" spans="18:21" x14ac:dyDescent="0.2">
      <c r="R9618" s="49">
        <v>9616</v>
      </c>
      <c r="S9618" s="59">
        <f ca="1">Dashboard!B$8* Dashboard!$F$4+Dashboard!B$10*SQRT(Dashboard!$F$4) * _xlfn.NORM.S.INV(RAND())</f>
        <v>-4.6341836837476544E-2</v>
      </c>
      <c r="T9618" s="59">
        <f ca="1">Dashboard!C$8* Dashboard!$F$4+Dashboard!C$10*SQRT(Dashboard!$F$4) * _xlfn.NORM.S.INV(RAND())</f>
        <v>-4.8421153659708805E-3</v>
      </c>
      <c r="U9618" s="59">
        <f ca="1">Dashboard!D$8* Dashboard!$F$4+Dashboard!D$10*SQRT(Dashboard!$F$4) * _xlfn.NORM.S.INV(RAND())</f>
        <v>2.9311806823081557E-2</v>
      </c>
    </row>
    <row r="9619" spans="18:21" x14ac:dyDescent="0.2">
      <c r="R9619" s="49">
        <v>9617</v>
      </c>
      <c r="S9619" s="59">
        <f ca="1">Dashboard!B$8* Dashboard!$F$4+Dashboard!B$10*SQRT(Dashboard!$F$4) * _xlfn.NORM.S.INV(RAND())</f>
        <v>-3.5976582662280314E-2</v>
      </c>
      <c r="T9619" s="59">
        <f ca="1">Dashboard!C$8* Dashboard!$F$4+Dashboard!C$10*SQRT(Dashboard!$F$4) * _xlfn.NORM.S.INV(RAND())</f>
        <v>5.451248226454123E-2</v>
      </c>
      <c r="U9619" s="59">
        <f ca="1">Dashboard!D$8* Dashboard!$F$4+Dashboard!D$10*SQRT(Dashboard!$F$4) * _xlfn.NORM.S.INV(RAND())</f>
        <v>2.0807194311935322E-3</v>
      </c>
    </row>
    <row r="9620" spans="18:21" x14ac:dyDescent="0.2">
      <c r="R9620" s="49">
        <v>9618</v>
      </c>
      <c r="S9620" s="59">
        <f ca="1">Dashboard!B$8* Dashboard!$F$4+Dashboard!B$10*SQRT(Dashboard!$F$4) * _xlfn.NORM.S.INV(RAND())</f>
        <v>3.8554755583561348E-2</v>
      </c>
      <c r="T9620" s="59">
        <f ca="1">Dashboard!C$8* Dashboard!$F$4+Dashboard!C$10*SQRT(Dashboard!$F$4) * _xlfn.NORM.S.INV(RAND())</f>
        <v>-1.060946654084614E-2</v>
      </c>
      <c r="U9620" s="59">
        <f ca="1">Dashboard!D$8* Dashboard!$F$4+Dashboard!D$10*SQRT(Dashboard!$F$4) * _xlfn.NORM.S.INV(RAND())</f>
        <v>-7.4344403461005709E-2</v>
      </c>
    </row>
    <row r="9621" spans="18:21" x14ac:dyDescent="0.2">
      <c r="R9621" s="49">
        <v>9619</v>
      </c>
      <c r="S9621" s="59">
        <f ca="1">Dashboard!B$8* Dashboard!$F$4+Dashboard!B$10*SQRT(Dashboard!$F$4) * _xlfn.NORM.S.INV(RAND())</f>
        <v>-2.7257317459424509E-2</v>
      </c>
      <c r="T9621" s="59">
        <f ca="1">Dashboard!C$8* Dashboard!$F$4+Dashboard!C$10*SQRT(Dashboard!$F$4) * _xlfn.NORM.S.INV(RAND())</f>
        <v>1.3111181895080828E-2</v>
      </c>
      <c r="U9621" s="59">
        <f ca="1">Dashboard!D$8* Dashboard!$F$4+Dashboard!D$10*SQRT(Dashboard!$F$4) * _xlfn.NORM.S.INV(RAND())</f>
        <v>-4.372622020963178E-2</v>
      </c>
    </row>
    <row r="9622" spans="18:21" x14ac:dyDescent="0.2">
      <c r="R9622" s="49">
        <v>9620</v>
      </c>
      <c r="S9622" s="59">
        <f ca="1">Dashboard!B$8* Dashboard!$F$4+Dashboard!B$10*SQRT(Dashboard!$F$4) * _xlfn.NORM.S.INV(RAND())</f>
        <v>-2.4343572775949666E-2</v>
      </c>
      <c r="T9622" s="59">
        <f ca="1">Dashboard!C$8* Dashboard!$F$4+Dashboard!C$10*SQRT(Dashboard!$F$4) * _xlfn.NORM.S.INV(RAND())</f>
        <v>-1.5275588752790063E-2</v>
      </c>
      <c r="U9622" s="59">
        <f ca="1">Dashboard!D$8* Dashboard!$F$4+Dashboard!D$10*SQRT(Dashboard!$F$4) * _xlfn.NORM.S.INV(RAND())</f>
        <v>1.4703132925568864E-2</v>
      </c>
    </row>
    <row r="9623" spans="18:21" x14ac:dyDescent="0.2">
      <c r="R9623" s="49">
        <v>9621</v>
      </c>
      <c r="S9623" s="59">
        <f ca="1">Dashboard!B$8* Dashboard!$F$4+Dashboard!B$10*SQRT(Dashboard!$F$4) * _xlfn.NORM.S.INV(RAND())</f>
        <v>6.1509148615369852E-2</v>
      </c>
      <c r="T9623" s="59">
        <f ca="1">Dashboard!C$8* Dashboard!$F$4+Dashboard!C$10*SQRT(Dashboard!$F$4) * _xlfn.NORM.S.INV(RAND())</f>
        <v>-3.0683861861420376E-2</v>
      </c>
      <c r="U9623" s="59">
        <f ca="1">Dashboard!D$8* Dashboard!$F$4+Dashboard!D$10*SQRT(Dashboard!$F$4) * _xlfn.NORM.S.INV(RAND())</f>
        <v>-1.1863682175047815E-2</v>
      </c>
    </row>
    <row r="9624" spans="18:21" x14ac:dyDescent="0.2">
      <c r="R9624" s="49">
        <v>9622</v>
      </c>
      <c r="S9624" s="59">
        <f ca="1">Dashboard!B$8* Dashboard!$F$4+Dashboard!B$10*SQRT(Dashboard!$F$4) * _xlfn.NORM.S.INV(RAND())</f>
        <v>-1.2670257197885712E-2</v>
      </c>
      <c r="T9624" s="59">
        <f ca="1">Dashboard!C$8* Dashboard!$F$4+Dashboard!C$10*SQRT(Dashboard!$F$4) * _xlfn.NORM.S.INV(RAND())</f>
        <v>-3.7085398600368628E-2</v>
      </c>
      <c r="U9624" s="59">
        <f ca="1">Dashboard!D$8* Dashboard!$F$4+Dashboard!D$10*SQRT(Dashboard!$F$4) * _xlfn.NORM.S.INV(RAND())</f>
        <v>-2.2371389178159E-2</v>
      </c>
    </row>
    <row r="9625" spans="18:21" x14ac:dyDescent="0.2">
      <c r="R9625" s="49">
        <v>9623</v>
      </c>
      <c r="S9625" s="59">
        <f ca="1">Dashboard!B$8* Dashboard!$F$4+Dashboard!B$10*SQRT(Dashboard!$F$4) * _xlfn.NORM.S.INV(RAND())</f>
        <v>-3.8647165466858174E-2</v>
      </c>
      <c r="T9625" s="59">
        <f ca="1">Dashboard!C$8* Dashboard!$F$4+Dashboard!C$10*SQRT(Dashboard!$F$4) * _xlfn.NORM.S.INV(RAND())</f>
        <v>-2.1396313736477934E-2</v>
      </c>
      <c r="U9625" s="59">
        <f ca="1">Dashboard!D$8* Dashboard!$F$4+Dashboard!D$10*SQRT(Dashboard!$F$4) * _xlfn.NORM.S.INV(RAND())</f>
        <v>-6.5928180830148262E-3</v>
      </c>
    </row>
    <row r="9626" spans="18:21" x14ac:dyDescent="0.2">
      <c r="R9626" s="49">
        <v>9624</v>
      </c>
      <c r="S9626" s="59">
        <f ca="1">Dashboard!B$8* Dashboard!$F$4+Dashboard!B$10*SQRT(Dashboard!$F$4) * _xlfn.NORM.S.INV(RAND())</f>
        <v>-6.31391121205244E-3</v>
      </c>
      <c r="T9626" s="59">
        <f ca="1">Dashboard!C$8* Dashboard!$F$4+Dashboard!C$10*SQRT(Dashboard!$F$4) * _xlfn.NORM.S.INV(RAND())</f>
        <v>8.5075902836017486E-3</v>
      </c>
      <c r="U9626" s="59">
        <f ca="1">Dashboard!D$8* Dashboard!$F$4+Dashboard!D$10*SQRT(Dashboard!$F$4) * _xlfn.NORM.S.INV(RAND())</f>
        <v>-2.2725624510365989E-2</v>
      </c>
    </row>
    <row r="9627" spans="18:21" x14ac:dyDescent="0.2">
      <c r="R9627" s="49">
        <v>9625</v>
      </c>
      <c r="S9627" s="59">
        <f ca="1">Dashboard!B$8* Dashboard!$F$4+Dashboard!B$10*SQRT(Dashboard!$F$4) * _xlfn.NORM.S.INV(RAND())</f>
        <v>1.6908806335875486E-2</v>
      </c>
      <c r="T9627" s="59">
        <f ca="1">Dashboard!C$8* Dashboard!$F$4+Dashboard!C$10*SQRT(Dashboard!$F$4) * _xlfn.NORM.S.INV(RAND())</f>
        <v>3.2436716325016886E-2</v>
      </c>
      <c r="U9627" s="59">
        <f ca="1">Dashboard!D$8* Dashboard!$F$4+Dashboard!D$10*SQRT(Dashboard!$F$4) * _xlfn.NORM.S.INV(RAND())</f>
        <v>-9.447507034188419E-4</v>
      </c>
    </row>
    <row r="9628" spans="18:21" x14ac:dyDescent="0.2">
      <c r="R9628" s="49">
        <v>9626</v>
      </c>
      <c r="S9628" s="59">
        <f ca="1">Dashboard!B$8* Dashboard!$F$4+Dashboard!B$10*SQRT(Dashboard!$F$4) * _xlfn.NORM.S.INV(RAND())</f>
        <v>3.8127893140347188E-2</v>
      </c>
      <c r="T9628" s="59">
        <f ca="1">Dashboard!C$8* Dashboard!$F$4+Dashboard!C$10*SQRT(Dashboard!$F$4) * _xlfn.NORM.S.INV(RAND())</f>
        <v>-5.1597666023393128E-2</v>
      </c>
      <c r="U9628" s="59">
        <f ca="1">Dashboard!D$8* Dashboard!$F$4+Dashboard!D$10*SQRT(Dashboard!$F$4) * _xlfn.NORM.S.INV(RAND())</f>
        <v>1.0119275868363243E-2</v>
      </c>
    </row>
    <row r="9629" spans="18:21" x14ac:dyDescent="0.2">
      <c r="R9629" s="49">
        <v>9627</v>
      </c>
      <c r="S9629" s="59">
        <f ca="1">Dashboard!B$8* Dashboard!$F$4+Dashboard!B$10*SQRT(Dashboard!$F$4) * _xlfn.NORM.S.INV(RAND())</f>
        <v>-2.7373125772651059E-2</v>
      </c>
      <c r="T9629" s="59">
        <f ca="1">Dashboard!C$8* Dashboard!$F$4+Dashboard!C$10*SQRT(Dashboard!$F$4) * _xlfn.NORM.S.INV(RAND())</f>
        <v>2.9464531564309053E-2</v>
      </c>
      <c r="U9629" s="59">
        <f ca="1">Dashboard!D$8* Dashboard!$F$4+Dashboard!D$10*SQRT(Dashboard!$F$4) * _xlfn.NORM.S.INV(RAND())</f>
        <v>-4.6070119917635419E-2</v>
      </c>
    </row>
    <row r="9630" spans="18:21" x14ac:dyDescent="0.2">
      <c r="R9630" s="49">
        <v>9628</v>
      </c>
      <c r="S9630" s="59">
        <f ca="1">Dashboard!B$8* Dashboard!$F$4+Dashboard!B$10*SQRT(Dashboard!$F$4) * _xlfn.NORM.S.INV(RAND())</f>
        <v>6.7339926920574628E-3</v>
      </c>
      <c r="T9630" s="59">
        <f ca="1">Dashboard!C$8* Dashboard!$F$4+Dashboard!C$10*SQRT(Dashboard!$F$4) * _xlfn.NORM.S.INV(RAND())</f>
        <v>-1.5434472119949381E-2</v>
      </c>
      <c r="U9630" s="59">
        <f ca="1">Dashboard!D$8* Dashboard!$F$4+Dashboard!D$10*SQRT(Dashboard!$F$4) * _xlfn.NORM.S.INV(RAND())</f>
        <v>-7.2013964916422335E-3</v>
      </c>
    </row>
    <row r="9631" spans="18:21" x14ac:dyDescent="0.2">
      <c r="R9631" s="49">
        <v>9629</v>
      </c>
      <c r="S9631" s="59">
        <f ca="1">Dashboard!B$8* Dashboard!$F$4+Dashboard!B$10*SQRT(Dashboard!$F$4) * _xlfn.NORM.S.INV(RAND())</f>
        <v>1.328939926171579E-2</v>
      </c>
      <c r="T9631" s="59">
        <f ca="1">Dashboard!C$8* Dashboard!$F$4+Dashboard!C$10*SQRT(Dashboard!$F$4) * _xlfn.NORM.S.INV(RAND())</f>
        <v>7.8614596453604017E-3</v>
      </c>
      <c r="U9631" s="59">
        <f ca="1">Dashboard!D$8* Dashboard!$F$4+Dashboard!D$10*SQRT(Dashboard!$F$4) * _xlfn.NORM.S.INV(RAND())</f>
        <v>4.1678316849574418E-2</v>
      </c>
    </row>
    <row r="9632" spans="18:21" x14ac:dyDescent="0.2">
      <c r="R9632" s="49">
        <v>9630</v>
      </c>
      <c r="S9632" s="59">
        <f ca="1">Dashboard!B$8* Dashboard!$F$4+Dashboard!B$10*SQRT(Dashboard!$F$4) * _xlfn.NORM.S.INV(RAND())</f>
        <v>-3.40676224409742E-2</v>
      </c>
      <c r="T9632" s="59">
        <f ca="1">Dashboard!C$8* Dashboard!$F$4+Dashboard!C$10*SQRT(Dashboard!$F$4) * _xlfn.NORM.S.INV(RAND())</f>
        <v>-3.176966759023752E-2</v>
      </c>
      <c r="U9632" s="59">
        <f ca="1">Dashboard!D$8* Dashboard!$F$4+Dashboard!D$10*SQRT(Dashboard!$F$4) * _xlfn.NORM.S.INV(RAND())</f>
        <v>-2.9339010859776787E-2</v>
      </c>
    </row>
    <row r="9633" spans="18:21" x14ac:dyDescent="0.2">
      <c r="R9633" s="49">
        <v>9631</v>
      </c>
      <c r="S9633" s="59">
        <f ca="1">Dashboard!B$8* Dashboard!$F$4+Dashboard!B$10*SQRT(Dashboard!$F$4) * _xlfn.NORM.S.INV(RAND())</f>
        <v>-4.5337138827242371E-2</v>
      </c>
      <c r="T9633" s="59">
        <f ca="1">Dashboard!C$8* Dashboard!$F$4+Dashboard!C$10*SQRT(Dashboard!$F$4) * _xlfn.NORM.S.INV(RAND())</f>
        <v>-1.090290716551862E-2</v>
      </c>
      <c r="U9633" s="59">
        <f ca="1">Dashboard!D$8* Dashboard!$F$4+Dashboard!D$10*SQRT(Dashboard!$F$4) * _xlfn.NORM.S.INV(RAND())</f>
        <v>4.6048326782755528E-2</v>
      </c>
    </row>
    <row r="9634" spans="18:21" x14ac:dyDescent="0.2">
      <c r="R9634" s="49">
        <v>9632</v>
      </c>
      <c r="S9634" s="59">
        <f ca="1">Dashboard!B$8* Dashboard!$F$4+Dashboard!B$10*SQRT(Dashboard!$F$4) * _xlfn.NORM.S.INV(RAND())</f>
        <v>4.0285804285612119E-2</v>
      </c>
      <c r="T9634" s="59">
        <f ca="1">Dashboard!C$8* Dashboard!$F$4+Dashboard!C$10*SQRT(Dashboard!$F$4) * _xlfn.NORM.S.INV(RAND())</f>
        <v>5.0713233637882122E-3</v>
      </c>
      <c r="U9634" s="59">
        <f ca="1">Dashboard!D$8* Dashboard!$F$4+Dashboard!D$10*SQRT(Dashboard!$F$4) * _xlfn.NORM.S.INV(RAND())</f>
        <v>2.9883041752758733E-2</v>
      </c>
    </row>
    <row r="9635" spans="18:21" x14ac:dyDescent="0.2">
      <c r="R9635" s="49">
        <v>9633</v>
      </c>
      <c r="S9635" s="59">
        <f ca="1">Dashboard!B$8* Dashboard!$F$4+Dashboard!B$10*SQRT(Dashboard!$F$4) * _xlfn.NORM.S.INV(RAND())</f>
        <v>-2.5265628060900672E-2</v>
      </c>
      <c r="T9635" s="59">
        <f ca="1">Dashboard!C$8* Dashboard!$F$4+Dashboard!C$10*SQRT(Dashboard!$F$4) * _xlfn.NORM.S.INV(RAND())</f>
        <v>-1.5253257533914835E-2</v>
      </c>
      <c r="U9635" s="59">
        <f ca="1">Dashboard!D$8* Dashboard!$F$4+Dashboard!D$10*SQRT(Dashboard!$F$4) * _xlfn.NORM.S.INV(RAND())</f>
        <v>5.844591582476774E-3</v>
      </c>
    </row>
    <row r="9636" spans="18:21" x14ac:dyDescent="0.2">
      <c r="R9636" s="49">
        <v>9634</v>
      </c>
      <c r="S9636" s="59">
        <f ca="1">Dashboard!B$8* Dashboard!$F$4+Dashboard!B$10*SQRT(Dashboard!$F$4) * _xlfn.NORM.S.INV(RAND())</f>
        <v>-4.3157514530567154E-2</v>
      </c>
      <c r="T9636" s="59">
        <f ca="1">Dashboard!C$8* Dashboard!$F$4+Dashboard!C$10*SQRT(Dashboard!$F$4) * _xlfn.NORM.S.INV(RAND())</f>
        <v>4.2556182439177005E-2</v>
      </c>
      <c r="U9636" s="59">
        <f ca="1">Dashboard!D$8* Dashboard!$F$4+Dashboard!D$10*SQRT(Dashboard!$F$4) * _xlfn.NORM.S.INV(RAND())</f>
        <v>2.7143429030646697E-2</v>
      </c>
    </row>
    <row r="9637" spans="18:21" x14ac:dyDescent="0.2">
      <c r="R9637" s="49">
        <v>9635</v>
      </c>
      <c r="S9637" s="59">
        <f ca="1">Dashboard!B$8* Dashboard!$F$4+Dashboard!B$10*SQRT(Dashboard!$F$4) * _xlfn.NORM.S.INV(RAND())</f>
        <v>2.8538371760239649E-2</v>
      </c>
      <c r="T9637" s="59">
        <f ca="1">Dashboard!C$8* Dashboard!$F$4+Dashboard!C$10*SQRT(Dashboard!$F$4) * _xlfn.NORM.S.INV(RAND())</f>
        <v>2.2319766547964182E-2</v>
      </c>
      <c r="U9637" s="59">
        <f ca="1">Dashboard!D$8* Dashboard!$F$4+Dashboard!D$10*SQRT(Dashboard!$F$4) * _xlfn.NORM.S.INV(RAND())</f>
        <v>2.7585655985882845E-2</v>
      </c>
    </row>
    <row r="9638" spans="18:21" x14ac:dyDescent="0.2">
      <c r="R9638" s="49">
        <v>9636</v>
      </c>
      <c r="S9638" s="59">
        <f ca="1">Dashboard!B$8* Dashboard!$F$4+Dashboard!B$10*SQRT(Dashboard!$F$4) * _xlfn.NORM.S.INV(RAND())</f>
        <v>-1.7822281175635838E-2</v>
      </c>
      <c r="T9638" s="59">
        <f ca="1">Dashboard!C$8* Dashboard!$F$4+Dashboard!C$10*SQRT(Dashboard!$F$4) * _xlfn.NORM.S.INV(RAND())</f>
        <v>-1.3609727942208705E-2</v>
      </c>
      <c r="U9638" s="59">
        <f ca="1">Dashboard!D$8* Dashboard!$F$4+Dashboard!D$10*SQRT(Dashboard!$F$4) * _xlfn.NORM.S.INV(RAND())</f>
        <v>-3.2131716842732035E-2</v>
      </c>
    </row>
    <row r="9639" spans="18:21" x14ac:dyDescent="0.2">
      <c r="R9639" s="49">
        <v>9637</v>
      </c>
      <c r="S9639" s="59">
        <f ca="1">Dashboard!B$8* Dashboard!$F$4+Dashboard!B$10*SQRT(Dashboard!$F$4) * _xlfn.NORM.S.INV(RAND())</f>
        <v>-1.5486988898944386E-2</v>
      </c>
      <c r="T9639" s="59">
        <f ca="1">Dashboard!C$8* Dashboard!$F$4+Dashboard!C$10*SQRT(Dashboard!$F$4) * _xlfn.NORM.S.INV(RAND())</f>
        <v>-9.4416102925685107E-3</v>
      </c>
      <c r="U9639" s="59">
        <f ca="1">Dashboard!D$8* Dashboard!$F$4+Dashboard!D$10*SQRT(Dashboard!$F$4) * _xlfn.NORM.S.INV(RAND())</f>
        <v>-2.1506299685887305E-2</v>
      </c>
    </row>
    <row r="9640" spans="18:21" x14ac:dyDescent="0.2">
      <c r="R9640" s="49">
        <v>9638</v>
      </c>
      <c r="S9640" s="59">
        <f ca="1">Dashboard!B$8* Dashboard!$F$4+Dashboard!B$10*SQRT(Dashboard!$F$4) * _xlfn.NORM.S.INV(RAND())</f>
        <v>4.1639966973985081E-2</v>
      </c>
      <c r="T9640" s="59">
        <f ca="1">Dashboard!C$8* Dashboard!$F$4+Dashboard!C$10*SQRT(Dashboard!$F$4) * _xlfn.NORM.S.INV(RAND())</f>
        <v>4.2482432313246707E-2</v>
      </c>
      <c r="U9640" s="59">
        <f ca="1">Dashboard!D$8* Dashboard!$F$4+Dashboard!D$10*SQRT(Dashboard!$F$4) * _xlfn.NORM.S.INV(RAND())</f>
        <v>1.0651406733949251E-2</v>
      </c>
    </row>
    <row r="9641" spans="18:21" x14ac:dyDescent="0.2">
      <c r="R9641" s="49">
        <v>9639</v>
      </c>
      <c r="S9641" s="59">
        <f ca="1">Dashboard!B$8* Dashboard!$F$4+Dashboard!B$10*SQRT(Dashboard!$F$4) * _xlfn.NORM.S.INV(RAND())</f>
        <v>-8.4983931393238926E-3</v>
      </c>
      <c r="T9641" s="59">
        <f ca="1">Dashboard!C$8* Dashboard!$F$4+Dashboard!C$10*SQRT(Dashboard!$F$4) * _xlfn.NORM.S.INV(RAND())</f>
        <v>4.3159116776517834E-2</v>
      </c>
      <c r="U9641" s="59">
        <f ca="1">Dashboard!D$8* Dashboard!$F$4+Dashboard!D$10*SQRT(Dashboard!$F$4) * _xlfn.NORM.S.INV(RAND())</f>
        <v>5.4553252796815166E-2</v>
      </c>
    </row>
    <row r="9642" spans="18:21" x14ac:dyDescent="0.2">
      <c r="R9642" s="49">
        <v>9640</v>
      </c>
      <c r="S9642" s="59">
        <f ca="1">Dashboard!B$8* Dashboard!$F$4+Dashboard!B$10*SQRT(Dashboard!$F$4) * _xlfn.NORM.S.INV(RAND())</f>
        <v>2.307471737764364E-2</v>
      </c>
      <c r="T9642" s="59">
        <f ca="1">Dashboard!C$8* Dashboard!$F$4+Dashboard!C$10*SQRT(Dashboard!$F$4) * _xlfn.NORM.S.INV(RAND())</f>
        <v>-6.3361918343178203E-3</v>
      </c>
      <c r="U9642" s="59">
        <f ca="1">Dashboard!D$8* Dashboard!$F$4+Dashboard!D$10*SQRT(Dashboard!$F$4) * _xlfn.NORM.S.INV(RAND())</f>
        <v>-2.7498873788062077E-2</v>
      </c>
    </row>
    <row r="9643" spans="18:21" x14ac:dyDescent="0.2">
      <c r="R9643" s="49">
        <v>9641</v>
      </c>
      <c r="S9643" s="59">
        <f ca="1">Dashboard!B$8* Dashboard!$F$4+Dashboard!B$10*SQRT(Dashboard!$F$4) * _xlfn.NORM.S.INV(RAND())</f>
        <v>-5.0504253427397904E-3</v>
      </c>
      <c r="T9643" s="59">
        <f ca="1">Dashboard!C$8* Dashboard!$F$4+Dashboard!C$10*SQRT(Dashboard!$F$4) * _xlfn.NORM.S.INV(RAND())</f>
        <v>5.8557362058097749E-3</v>
      </c>
      <c r="U9643" s="59">
        <f ca="1">Dashboard!D$8* Dashboard!$F$4+Dashboard!D$10*SQRT(Dashboard!$F$4) * _xlfn.NORM.S.INV(RAND())</f>
        <v>-5.0327726466286842E-3</v>
      </c>
    </row>
    <row r="9644" spans="18:21" x14ac:dyDescent="0.2">
      <c r="R9644" s="49">
        <v>9642</v>
      </c>
      <c r="S9644" s="59">
        <f ca="1">Dashboard!B$8* Dashboard!$F$4+Dashboard!B$10*SQRT(Dashboard!$F$4) * _xlfn.NORM.S.INV(RAND())</f>
        <v>-4.3105978825958716E-3</v>
      </c>
      <c r="T9644" s="59">
        <f ca="1">Dashboard!C$8* Dashboard!$F$4+Dashboard!C$10*SQRT(Dashboard!$F$4) * _xlfn.NORM.S.INV(RAND())</f>
        <v>5.6011435512439743E-3</v>
      </c>
      <c r="U9644" s="59">
        <f ca="1">Dashboard!D$8* Dashboard!$F$4+Dashboard!D$10*SQRT(Dashboard!$F$4) * _xlfn.NORM.S.INV(RAND())</f>
        <v>3.8764661154185427E-2</v>
      </c>
    </row>
    <row r="9645" spans="18:21" x14ac:dyDescent="0.2">
      <c r="R9645" s="49">
        <v>9643</v>
      </c>
      <c r="S9645" s="59">
        <f ca="1">Dashboard!B$8* Dashboard!$F$4+Dashboard!B$10*SQRT(Dashboard!$F$4) * _xlfn.NORM.S.INV(RAND())</f>
        <v>1.3273544993189142E-2</v>
      </c>
      <c r="T9645" s="59">
        <f ca="1">Dashboard!C$8* Dashboard!$F$4+Dashboard!C$10*SQRT(Dashboard!$F$4) * _xlfn.NORM.S.INV(RAND())</f>
        <v>1.5517780430185479E-2</v>
      </c>
      <c r="U9645" s="59">
        <f ca="1">Dashboard!D$8* Dashboard!$F$4+Dashboard!D$10*SQRT(Dashboard!$F$4) * _xlfn.NORM.S.INV(RAND())</f>
        <v>-4.1072550738201291E-2</v>
      </c>
    </row>
    <row r="9646" spans="18:21" x14ac:dyDescent="0.2">
      <c r="R9646" s="49">
        <v>9644</v>
      </c>
      <c r="S9646" s="59">
        <f ca="1">Dashboard!B$8* Dashboard!$F$4+Dashboard!B$10*SQRT(Dashboard!$F$4) * _xlfn.NORM.S.INV(RAND())</f>
        <v>2.4185158788051983E-2</v>
      </c>
      <c r="T9646" s="59">
        <f ca="1">Dashboard!C$8* Dashboard!$F$4+Dashboard!C$10*SQRT(Dashboard!$F$4) * _xlfn.NORM.S.INV(RAND())</f>
        <v>8.3132118279085152E-3</v>
      </c>
      <c r="U9646" s="59">
        <f ca="1">Dashboard!D$8* Dashboard!$F$4+Dashboard!D$10*SQRT(Dashboard!$F$4) * _xlfn.NORM.S.INV(RAND())</f>
        <v>-6.3200082808928276E-2</v>
      </c>
    </row>
    <row r="9647" spans="18:21" x14ac:dyDescent="0.2">
      <c r="R9647" s="49">
        <v>9645</v>
      </c>
      <c r="S9647" s="59">
        <f ca="1">Dashboard!B$8* Dashboard!$F$4+Dashboard!B$10*SQRT(Dashboard!$F$4) * _xlfn.NORM.S.INV(RAND())</f>
        <v>-4.4388261963010725E-2</v>
      </c>
      <c r="T9647" s="59">
        <f ca="1">Dashboard!C$8* Dashboard!$F$4+Dashboard!C$10*SQRT(Dashboard!$F$4) * _xlfn.NORM.S.INV(RAND())</f>
        <v>-3.4247832536845896E-4</v>
      </c>
      <c r="U9647" s="59">
        <f ca="1">Dashboard!D$8* Dashboard!$F$4+Dashboard!D$10*SQRT(Dashboard!$F$4) * _xlfn.NORM.S.INV(RAND())</f>
        <v>-4.6481344295263974E-2</v>
      </c>
    </row>
    <row r="9648" spans="18:21" x14ac:dyDescent="0.2">
      <c r="R9648" s="49">
        <v>9646</v>
      </c>
      <c r="S9648" s="59">
        <f ca="1">Dashboard!B$8* Dashboard!$F$4+Dashboard!B$10*SQRT(Dashboard!$F$4) * _xlfn.NORM.S.INV(RAND())</f>
        <v>1.907366327626088E-2</v>
      </c>
      <c r="T9648" s="59">
        <f ca="1">Dashboard!C$8* Dashboard!$F$4+Dashboard!C$10*SQRT(Dashboard!$F$4) * _xlfn.NORM.S.INV(RAND())</f>
        <v>2.1235009644196182E-2</v>
      </c>
      <c r="U9648" s="59">
        <f ca="1">Dashboard!D$8* Dashboard!$F$4+Dashboard!D$10*SQRT(Dashboard!$F$4) * _xlfn.NORM.S.INV(RAND())</f>
        <v>-1.919825484794278E-2</v>
      </c>
    </row>
    <row r="9649" spans="18:21" x14ac:dyDescent="0.2">
      <c r="R9649" s="49">
        <v>9647</v>
      </c>
      <c r="S9649" s="59">
        <f ca="1">Dashboard!B$8* Dashboard!$F$4+Dashboard!B$10*SQRT(Dashboard!$F$4) * _xlfn.NORM.S.INV(RAND())</f>
        <v>3.3899546237827977E-3</v>
      </c>
      <c r="T9649" s="59">
        <f ca="1">Dashboard!C$8* Dashboard!$F$4+Dashboard!C$10*SQRT(Dashboard!$F$4) * _xlfn.NORM.S.INV(RAND())</f>
        <v>-1.4238110683387102E-2</v>
      </c>
      <c r="U9649" s="59">
        <f ca="1">Dashboard!D$8* Dashboard!$F$4+Dashboard!D$10*SQRT(Dashboard!$F$4) * _xlfn.NORM.S.INV(RAND())</f>
        <v>-1.3725801511103431E-2</v>
      </c>
    </row>
    <row r="9650" spans="18:21" x14ac:dyDescent="0.2">
      <c r="R9650" s="49">
        <v>9648</v>
      </c>
      <c r="S9650" s="59">
        <f ca="1">Dashboard!B$8* Dashboard!$F$4+Dashboard!B$10*SQRT(Dashboard!$F$4) * _xlfn.NORM.S.INV(RAND())</f>
        <v>1.3805921642068656E-2</v>
      </c>
      <c r="T9650" s="59">
        <f ca="1">Dashboard!C$8* Dashboard!$F$4+Dashboard!C$10*SQRT(Dashboard!$F$4) * _xlfn.NORM.S.INV(RAND())</f>
        <v>5.7291454367141018E-2</v>
      </c>
      <c r="U9650" s="59">
        <f ca="1">Dashboard!D$8* Dashboard!$F$4+Dashboard!D$10*SQRT(Dashboard!$F$4) * _xlfn.NORM.S.INV(RAND())</f>
        <v>1.3678980247442265E-2</v>
      </c>
    </row>
    <row r="9651" spans="18:21" x14ac:dyDescent="0.2">
      <c r="R9651" s="49">
        <v>9649</v>
      </c>
      <c r="S9651" s="59">
        <f ca="1">Dashboard!B$8* Dashboard!$F$4+Dashboard!B$10*SQRT(Dashboard!$F$4) * _xlfn.NORM.S.INV(RAND())</f>
        <v>1.8383092412744786E-2</v>
      </c>
      <c r="T9651" s="59">
        <f ca="1">Dashboard!C$8* Dashboard!$F$4+Dashboard!C$10*SQRT(Dashboard!$F$4) * _xlfn.NORM.S.INV(RAND())</f>
        <v>-5.63270078393937E-3</v>
      </c>
      <c r="U9651" s="59">
        <f ca="1">Dashboard!D$8* Dashboard!$F$4+Dashboard!D$10*SQRT(Dashboard!$F$4) * _xlfn.NORM.S.INV(RAND())</f>
        <v>-5.1427978344419041E-2</v>
      </c>
    </row>
    <row r="9652" spans="18:21" x14ac:dyDescent="0.2">
      <c r="R9652" s="49">
        <v>9650</v>
      </c>
      <c r="S9652" s="59">
        <f ca="1">Dashboard!B$8* Dashboard!$F$4+Dashboard!B$10*SQRT(Dashboard!$F$4) * _xlfn.NORM.S.INV(RAND())</f>
        <v>6.6884437517841823E-3</v>
      </c>
      <c r="T9652" s="59">
        <f ca="1">Dashboard!C$8* Dashboard!$F$4+Dashboard!C$10*SQRT(Dashboard!$F$4) * _xlfn.NORM.S.INV(RAND())</f>
        <v>3.058603138387724E-3</v>
      </c>
      <c r="U9652" s="59">
        <f ca="1">Dashboard!D$8* Dashboard!$F$4+Dashboard!D$10*SQRT(Dashboard!$F$4) * _xlfn.NORM.S.INV(RAND())</f>
        <v>2.8402445178811317E-3</v>
      </c>
    </row>
    <row r="9653" spans="18:21" x14ac:dyDescent="0.2">
      <c r="R9653" s="49">
        <v>9651</v>
      </c>
      <c r="S9653" s="59">
        <f ca="1">Dashboard!B$8* Dashboard!$F$4+Dashboard!B$10*SQRT(Dashboard!$F$4) * _xlfn.NORM.S.INV(RAND())</f>
        <v>5.0771422840768021E-2</v>
      </c>
      <c r="T9653" s="59">
        <f ca="1">Dashboard!C$8* Dashboard!$F$4+Dashboard!C$10*SQRT(Dashboard!$F$4) * _xlfn.NORM.S.INV(RAND())</f>
        <v>4.5018439851641411E-2</v>
      </c>
      <c r="U9653" s="59">
        <f ca="1">Dashboard!D$8* Dashboard!$F$4+Dashboard!D$10*SQRT(Dashboard!$F$4) * _xlfn.NORM.S.INV(RAND())</f>
        <v>-4.9570411898945212E-2</v>
      </c>
    </row>
    <row r="9654" spans="18:21" x14ac:dyDescent="0.2">
      <c r="R9654" s="49">
        <v>9652</v>
      </c>
      <c r="S9654" s="59">
        <f ca="1">Dashboard!B$8* Dashboard!$F$4+Dashboard!B$10*SQRT(Dashboard!$F$4) * _xlfn.NORM.S.INV(RAND())</f>
        <v>-2.397917280507398E-2</v>
      </c>
      <c r="T9654" s="59">
        <f ca="1">Dashboard!C$8* Dashboard!$F$4+Dashboard!C$10*SQRT(Dashboard!$F$4) * _xlfn.NORM.S.INV(RAND())</f>
        <v>1.850231336156416E-2</v>
      </c>
      <c r="U9654" s="59">
        <f ca="1">Dashboard!D$8* Dashboard!$F$4+Dashboard!D$10*SQRT(Dashboard!$F$4) * _xlfn.NORM.S.INV(RAND())</f>
        <v>1.0134458980869428E-2</v>
      </c>
    </row>
    <row r="9655" spans="18:21" x14ac:dyDescent="0.2">
      <c r="R9655" s="49">
        <v>9653</v>
      </c>
      <c r="S9655" s="59">
        <f ca="1">Dashboard!B$8* Dashboard!$F$4+Dashboard!B$10*SQRT(Dashboard!$F$4) * _xlfn.NORM.S.INV(RAND())</f>
        <v>1.5558268068150095E-2</v>
      </c>
      <c r="T9655" s="59">
        <f ca="1">Dashboard!C$8* Dashboard!$F$4+Dashboard!C$10*SQRT(Dashboard!$F$4) * _xlfn.NORM.S.INV(RAND())</f>
        <v>4.0727152247121232E-3</v>
      </c>
      <c r="U9655" s="59">
        <f ca="1">Dashboard!D$8* Dashboard!$F$4+Dashboard!D$10*SQRT(Dashboard!$F$4) * _xlfn.NORM.S.INV(RAND())</f>
        <v>-6.0840663639989322E-2</v>
      </c>
    </row>
    <row r="9656" spans="18:21" x14ac:dyDescent="0.2">
      <c r="R9656" s="49">
        <v>9654</v>
      </c>
      <c r="S9656" s="59">
        <f ca="1">Dashboard!B$8* Dashboard!$F$4+Dashboard!B$10*SQRT(Dashboard!$F$4) * _xlfn.NORM.S.INV(RAND())</f>
        <v>-2.7238581265456946E-2</v>
      </c>
      <c r="T9656" s="59">
        <f ca="1">Dashboard!C$8* Dashboard!$F$4+Dashboard!C$10*SQRT(Dashboard!$F$4) * _xlfn.NORM.S.INV(RAND())</f>
        <v>-2.3569716895261092E-2</v>
      </c>
      <c r="U9656" s="59">
        <f ca="1">Dashboard!D$8* Dashboard!$F$4+Dashboard!D$10*SQRT(Dashboard!$F$4) * _xlfn.NORM.S.INV(RAND())</f>
        <v>5.3384739029669247E-2</v>
      </c>
    </row>
    <row r="9657" spans="18:21" x14ac:dyDescent="0.2">
      <c r="R9657" s="49">
        <v>9655</v>
      </c>
      <c r="S9657" s="59">
        <f ca="1">Dashboard!B$8* Dashboard!$F$4+Dashboard!B$10*SQRT(Dashboard!$F$4) * _xlfn.NORM.S.INV(RAND())</f>
        <v>-3.0484878806786929E-2</v>
      </c>
      <c r="T9657" s="59">
        <f ca="1">Dashboard!C$8* Dashboard!$F$4+Dashboard!C$10*SQRT(Dashboard!$F$4) * _xlfn.NORM.S.INV(RAND())</f>
        <v>-1.1863594578166228E-2</v>
      </c>
      <c r="U9657" s="59">
        <f ca="1">Dashboard!D$8* Dashboard!$F$4+Dashboard!D$10*SQRT(Dashboard!$F$4) * _xlfn.NORM.S.INV(RAND())</f>
        <v>2.1575227685464764E-2</v>
      </c>
    </row>
    <row r="9658" spans="18:21" x14ac:dyDescent="0.2">
      <c r="R9658" s="49">
        <v>9656</v>
      </c>
      <c r="S9658" s="59">
        <f ca="1">Dashboard!B$8* Dashboard!$F$4+Dashboard!B$10*SQRT(Dashboard!$F$4) * _xlfn.NORM.S.INV(RAND())</f>
        <v>-5.0617444428311488E-2</v>
      </c>
      <c r="T9658" s="59">
        <f ca="1">Dashboard!C$8* Dashboard!$F$4+Dashboard!C$10*SQRT(Dashboard!$F$4) * _xlfn.NORM.S.INV(RAND())</f>
        <v>1.6150835836636814E-2</v>
      </c>
      <c r="U9658" s="59">
        <f ca="1">Dashboard!D$8* Dashboard!$F$4+Dashboard!D$10*SQRT(Dashboard!$F$4) * _xlfn.NORM.S.INV(RAND())</f>
        <v>2.8988471550598104E-2</v>
      </c>
    </row>
    <row r="9659" spans="18:21" x14ac:dyDescent="0.2">
      <c r="R9659" s="49">
        <v>9657</v>
      </c>
      <c r="S9659" s="59">
        <f ca="1">Dashboard!B$8* Dashboard!$F$4+Dashboard!B$10*SQRT(Dashboard!$F$4) * _xlfn.NORM.S.INV(RAND())</f>
        <v>-5.5821364554282236E-2</v>
      </c>
      <c r="T9659" s="59">
        <f ca="1">Dashboard!C$8* Dashboard!$F$4+Dashboard!C$10*SQRT(Dashboard!$F$4) * _xlfn.NORM.S.INV(RAND())</f>
        <v>-2.6797008017934863E-2</v>
      </c>
      <c r="U9659" s="59">
        <f ca="1">Dashboard!D$8* Dashboard!$F$4+Dashboard!D$10*SQRT(Dashboard!$F$4) * _xlfn.NORM.S.INV(RAND())</f>
        <v>1.2161631029650845E-2</v>
      </c>
    </row>
    <row r="9660" spans="18:21" x14ac:dyDescent="0.2">
      <c r="R9660" s="49">
        <v>9658</v>
      </c>
      <c r="S9660" s="59">
        <f ca="1">Dashboard!B$8* Dashboard!$F$4+Dashboard!B$10*SQRT(Dashboard!$F$4) * _xlfn.NORM.S.INV(RAND())</f>
        <v>-4.9209519956500553E-2</v>
      </c>
      <c r="T9660" s="59">
        <f ca="1">Dashboard!C$8* Dashboard!$F$4+Dashboard!C$10*SQRT(Dashboard!$F$4) * _xlfn.NORM.S.INV(RAND())</f>
        <v>1.1394713835706911E-2</v>
      </c>
      <c r="U9660" s="59">
        <f ca="1">Dashboard!D$8* Dashboard!$F$4+Dashboard!D$10*SQRT(Dashboard!$F$4) * _xlfn.NORM.S.INV(RAND())</f>
        <v>-1.4121419647547094E-2</v>
      </c>
    </row>
    <row r="9661" spans="18:21" x14ac:dyDescent="0.2">
      <c r="R9661" s="49">
        <v>9659</v>
      </c>
      <c r="S9661" s="59">
        <f ca="1">Dashboard!B$8* Dashboard!$F$4+Dashboard!B$10*SQRT(Dashboard!$F$4) * _xlfn.NORM.S.INV(RAND())</f>
        <v>-5.4308001774934611E-2</v>
      </c>
      <c r="T9661" s="59">
        <f ca="1">Dashboard!C$8* Dashboard!$F$4+Dashboard!C$10*SQRT(Dashboard!$F$4) * _xlfn.NORM.S.INV(RAND())</f>
        <v>-4.0974827243347674E-2</v>
      </c>
      <c r="U9661" s="59">
        <f ca="1">Dashboard!D$8* Dashboard!$F$4+Dashboard!D$10*SQRT(Dashboard!$F$4) * _xlfn.NORM.S.INV(RAND())</f>
        <v>-2.1730292751434097E-3</v>
      </c>
    </row>
    <row r="9662" spans="18:21" x14ac:dyDescent="0.2">
      <c r="R9662" s="49">
        <v>9660</v>
      </c>
      <c r="S9662" s="59">
        <f ca="1">Dashboard!B$8* Dashboard!$F$4+Dashboard!B$10*SQRT(Dashboard!$F$4) * _xlfn.NORM.S.INV(RAND())</f>
        <v>5.8749761988190121E-3</v>
      </c>
      <c r="T9662" s="59">
        <f ca="1">Dashboard!C$8* Dashboard!$F$4+Dashboard!C$10*SQRT(Dashboard!$F$4) * _xlfn.NORM.S.INV(RAND())</f>
        <v>1.8657345852699507E-2</v>
      </c>
      <c r="U9662" s="59">
        <f ca="1">Dashboard!D$8* Dashboard!$F$4+Dashboard!D$10*SQRT(Dashboard!$F$4) * _xlfn.NORM.S.INV(RAND())</f>
        <v>-1.8366609082084682E-2</v>
      </c>
    </row>
    <row r="9663" spans="18:21" x14ac:dyDescent="0.2">
      <c r="R9663" s="49">
        <v>9661</v>
      </c>
      <c r="S9663" s="59">
        <f ca="1">Dashboard!B$8* Dashboard!$F$4+Dashboard!B$10*SQRT(Dashboard!$F$4) * _xlfn.NORM.S.INV(RAND())</f>
        <v>9.3025376401241495E-3</v>
      </c>
      <c r="T9663" s="59">
        <f ca="1">Dashboard!C$8* Dashboard!$F$4+Dashboard!C$10*SQRT(Dashboard!$F$4) * _xlfn.NORM.S.INV(RAND())</f>
        <v>3.530209525137992E-3</v>
      </c>
      <c r="U9663" s="59">
        <f ca="1">Dashboard!D$8* Dashboard!$F$4+Dashboard!D$10*SQRT(Dashboard!$F$4) * _xlfn.NORM.S.INV(RAND())</f>
        <v>4.3943721791979466E-2</v>
      </c>
    </row>
    <row r="9664" spans="18:21" x14ac:dyDescent="0.2">
      <c r="R9664" s="49">
        <v>9662</v>
      </c>
      <c r="S9664" s="59">
        <f ca="1">Dashboard!B$8* Dashboard!$F$4+Dashboard!B$10*SQRT(Dashboard!$F$4) * _xlfn.NORM.S.INV(RAND())</f>
        <v>-6.3209431717769049E-2</v>
      </c>
      <c r="T9664" s="59">
        <f ca="1">Dashboard!C$8* Dashboard!$F$4+Dashboard!C$10*SQRT(Dashboard!$F$4) * _xlfn.NORM.S.INV(RAND())</f>
        <v>-1.3550793230862695E-2</v>
      </c>
      <c r="U9664" s="59">
        <f ca="1">Dashboard!D$8* Dashboard!$F$4+Dashboard!D$10*SQRT(Dashboard!$F$4) * _xlfn.NORM.S.INV(RAND())</f>
        <v>-6.1296004391248798E-2</v>
      </c>
    </row>
    <row r="9665" spans="18:21" x14ac:dyDescent="0.2">
      <c r="R9665" s="49">
        <v>9663</v>
      </c>
      <c r="S9665" s="59">
        <f ca="1">Dashboard!B$8* Dashboard!$F$4+Dashboard!B$10*SQRT(Dashboard!$F$4) * _xlfn.NORM.S.INV(RAND())</f>
        <v>-2.75372080083765E-3</v>
      </c>
      <c r="T9665" s="59">
        <f ca="1">Dashboard!C$8* Dashboard!$F$4+Dashboard!C$10*SQRT(Dashboard!$F$4) * _xlfn.NORM.S.INV(RAND())</f>
        <v>-1.8322818746957913E-2</v>
      </c>
      <c r="U9665" s="59">
        <f ca="1">Dashboard!D$8* Dashboard!$F$4+Dashboard!D$10*SQRT(Dashboard!$F$4) * _xlfn.NORM.S.INV(RAND())</f>
        <v>-2.3440532317366283E-2</v>
      </c>
    </row>
    <row r="9666" spans="18:21" x14ac:dyDescent="0.2">
      <c r="R9666" s="49">
        <v>9664</v>
      </c>
      <c r="S9666" s="59">
        <f ca="1">Dashboard!B$8* Dashboard!$F$4+Dashboard!B$10*SQRT(Dashboard!$F$4) * _xlfn.NORM.S.INV(RAND())</f>
        <v>-4.2225602661071025E-2</v>
      </c>
      <c r="T9666" s="59">
        <f ca="1">Dashboard!C$8* Dashboard!$F$4+Dashboard!C$10*SQRT(Dashboard!$F$4) * _xlfn.NORM.S.INV(RAND())</f>
        <v>1.5308429114455638E-2</v>
      </c>
      <c r="U9666" s="59">
        <f ca="1">Dashboard!D$8* Dashboard!$F$4+Dashboard!D$10*SQRT(Dashboard!$F$4) * _xlfn.NORM.S.INV(RAND())</f>
        <v>1.5842791771361626E-2</v>
      </c>
    </row>
    <row r="9667" spans="18:21" x14ac:dyDescent="0.2">
      <c r="R9667" s="49">
        <v>9665</v>
      </c>
      <c r="S9667" s="59">
        <f ca="1">Dashboard!B$8* Dashboard!$F$4+Dashboard!B$10*SQRT(Dashboard!$F$4) * _xlfn.NORM.S.INV(RAND())</f>
        <v>1.6559950966372819E-2</v>
      </c>
      <c r="T9667" s="59">
        <f ca="1">Dashboard!C$8* Dashboard!$F$4+Dashboard!C$10*SQRT(Dashboard!$F$4) * _xlfn.NORM.S.INV(RAND())</f>
        <v>5.0726569036688056E-3</v>
      </c>
      <c r="U9667" s="59">
        <f ca="1">Dashboard!D$8* Dashboard!$F$4+Dashboard!D$10*SQRT(Dashboard!$F$4) * _xlfn.NORM.S.INV(RAND())</f>
        <v>2.5347325165907243E-2</v>
      </c>
    </row>
    <row r="9668" spans="18:21" x14ac:dyDescent="0.2">
      <c r="R9668" s="49">
        <v>9666</v>
      </c>
      <c r="S9668" s="59">
        <f ca="1">Dashboard!B$8* Dashboard!$F$4+Dashboard!B$10*SQRT(Dashboard!$F$4) * _xlfn.NORM.S.INV(RAND())</f>
        <v>4.9910564798111123E-2</v>
      </c>
      <c r="T9668" s="59">
        <f ca="1">Dashboard!C$8* Dashboard!$F$4+Dashboard!C$10*SQRT(Dashboard!$F$4) * _xlfn.NORM.S.INV(RAND())</f>
        <v>1.8340947285895821E-2</v>
      </c>
      <c r="U9668" s="59">
        <f ca="1">Dashboard!D$8* Dashboard!$F$4+Dashboard!D$10*SQRT(Dashboard!$F$4) * _xlfn.NORM.S.INV(RAND())</f>
        <v>-1.6647062470088632E-2</v>
      </c>
    </row>
    <row r="9669" spans="18:21" x14ac:dyDescent="0.2">
      <c r="R9669" s="49">
        <v>9667</v>
      </c>
      <c r="S9669" s="59">
        <f ca="1">Dashboard!B$8* Dashboard!$F$4+Dashboard!B$10*SQRT(Dashboard!$F$4) * _xlfn.NORM.S.INV(RAND())</f>
        <v>3.8196151289804123E-2</v>
      </c>
      <c r="T9669" s="59">
        <f ca="1">Dashboard!C$8* Dashboard!$F$4+Dashboard!C$10*SQRT(Dashboard!$F$4) * _xlfn.NORM.S.INV(RAND())</f>
        <v>2.5225501202119794E-2</v>
      </c>
      <c r="U9669" s="59">
        <f ca="1">Dashboard!D$8* Dashboard!$F$4+Dashboard!D$10*SQRT(Dashboard!$F$4) * _xlfn.NORM.S.INV(RAND())</f>
        <v>-1.9264183234729674E-2</v>
      </c>
    </row>
    <row r="9670" spans="18:21" x14ac:dyDescent="0.2">
      <c r="R9670" s="49">
        <v>9668</v>
      </c>
      <c r="S9670" s="59">
        <f ca="1">Dashboard!B$8* Dashboard!$F$4+Dashboard!B$10*SQRT(Dashboard!$F$4) * _xlfn.NORM.S.INV(RAND())</f>
        <v>3.314940227731468E-3</v>
      </c>
      <c r="T9670" s="59">
        <f ca="1">Dashboard!C$8* Dashboard!$F$4+Dashboard!C$10*SQRT(Dashboard!$F$4) * _xlfn.NORM.S.INV(RAND())</f>
        <v>-1.355137170947685E-3</v>
      </c>
      <c r="U9670" s="59">
        <f ca="1">Dashboard!D$8* Dashboard!$F$4+Dashboard!D$10*SQRT(Dashboard!$F$4) * _xlfn.NORM.S.INV(RAND())</f>
        <v>-2.2831317339974979E-2</v>
      </c>
    </row>
    <row r="9671" spans="18:21" x14ac:dyDescent="0.2">
      <c r="R9671" s="49">
        <v>9669</v>
      </c>
      <c r="S9671" s="59">
        <f ca="1">Dashboard!B$8* Dashboard!$F$4+Dashboard!B$10*SQRT(Dashboard!$F$4) * _xlfn.NORM.S.INV(RAND())</f>
        <v>4.9284072626201304E-2</v>
      </c>
      <c r="T9671" s="59">
        <f ca="1">Dashboard!C$8* Dashboard!$F$4+Dashboard!C$10*SQRT(Dashboard!$F$4) * _xlfn.NORM.S.INV(RAND())</f>
        <v>4.1968483803886993E-3</v>
      </c>
      <c r="U9671" s="59">
        <f ca="1">Dashboard!D$8* Dashboard!$F$4+Dashboard!D$10*SQRT(Dashboard!$F$4) * _xlfn.NORM.S.INV(RAND())</f>
        <v>-3.0187503251336335E-2</v>
      </c>
    </row>
    <row r="9672" spans="18:21" x14ac:dyDescent="0.2">
      <c r="R9672" s="49">
        <v>9670</v>
      </c>
      <c r="S9672" s="59">
        <f ca="1">Dashboard!B$8* Dashboard!$F$4+Dashboard!B$10*SQRT(Dashboard!$F$4) * _xlfn.NORM.S.INV(RAND())</f>
        <v>-4.4629869229411444E-2</v>
      </c>
      <c r="T9672" s="59">
        <f ca="1">Dashboard!C$8* Dashboard!$F$4+Dashboard!C$10*SQRT(Dashboard!$F$4) * _xlfn.NORM.S.INV(RAND())</f>
        <v>-5.3646211912208558E-2</v>
      </c>
      <c r="U9672" s="59">
        <f ca="1">Dashboard!D$8* Dashboard!$F$4+Dashboard!D$10*SQRT(Dashboard!$F$4) * _xlfn.NORM.S.INV(RAND())</f>
        <v>2.5097737975504329E-2</v>
      </c>
    </row>
    <row r="9673" spans="18:21" x14ac:dyDescent="0.2">
      <c r="R9673" s="49">
        <v>9671</v>
      </c>
      <c r="S9673" s="59">
        <f ca="1">Dashboard!B$8* Dashboard!$F$4+Dashboard!B$10*SQRT(Dashboard!$F$4) * _xlfn.NORM.S.INV(RAND())</f>
        <v>-6.707550968086921E-3</v>
      </c>
      <c r="T9673" s="59">
        <f ca="1">Dashboard!C$8* Dashboard!$F$4+Dashboard!C$10*SQRT(Dashboard!$F$4) * _xlfn.NORM.S.INV(RAND())</f>
        <v>2.236886251279626E-2</v>
      </c>
      <c r="U9673" s="59">
        <f ca="1">Dashboard!D$8* Dashboard!$F$4+Dashboard!D$10*SQRT(Dashboard!$F$4) * _xlfn.NORM.S.INV(RAND())</f>
        <v>4.5465411101326E-2</v>
      </c>
    </row>
    <row r="9674" spans="18:21" x14ac:dyDescent="0.2">
      <c r="R9674" s="49">
        <v>9672</v>
      </c>
      <c r="S9674" s="59">
        <f ca="1">Dashboard!B$8* Dashboard!$F$4+Dashboard!B$10*SQRT(Dashboard!$F$4) * _xlfn.NORM.S.INV(RAND())</f>
        <v>-4.7286850386244549E-2</v>
      </c>
      <c r="T9674" s="59">
        <f ca="1">Dashboard!C$8* Dashboard!$F$4+Dashboard!C$10*SQRT(Dashboard!$F$4) * _xlfn.NORM.S.INV(RAND())</f>
        <v>1.2888091366086298E-2</v>
      </c>
      <c r="U9674" s="59">
        <f ca="1">Dashboard!D$8* Dashboard!$F$4+Dashboard!D$10*SQRT(Dashboard!$F$4) * _xlfn.NORM.S.INV(RAND())</f>
        <v>-1.8213182979884796E-2</v>
      </c>
    </row>
    <row r="9675" spans="18:21" x14ac:dyDescent="0.2">
      <c r="R9675" s="49">
        <v>9673</v>
      </c>
      <c r="S9675" s="59">
        <f ca="1">Dashboard!B$8* Dashboard!$F$4+Dashboard!B$10*SQRT(Dashboard!$F$4) * _xlfn.NORM.S.INV(RAND())</f>
        <v>-7.5319753136058515E-2</v>
      </c>
      <c r="T9675" s="59">
        <f ca="1">Dashboard!C$8* Dashboard!$F$4+Dashboard!C$10*SQRT(Dashboard!$F$4) * _xlfn.NORM.S.INV(RAND())</f>
        <v>2.6732868946870089E-3</v>
      </c>
      <c r="U9675" s="59">
        <f ca="1">Dashboard!D$8* Dashboard!$F$4+Dashboard!D$10*SQRT(Dashboard!$F$4) * _xlfn.NORM.S.INV(RAND())</f>
        <v>-9.6817902342515132E-3</v>
      </c>
    </row>
    <row r="9676" spans="18:21" x14ac:dyDescent="0.2">
      <c r="R9676" s="49">
        <v>9674</v>
      </c>
      <c r="S9676" s="59">
        <f ca="1">Dashboard!B$8* Dashboard!$F$4+Dashboard!B$10*SQRT(Dashboard!$F$4) * _xlfn.NORM.S.INV(RAND())</f>
        <v>-2.2803901353095672E-2</v>
      </c>
      <c r="T9676" s="59">
        <f ca="1">Dashboard!C$8* Dashboard!$F$4+Dashboard!C$10*SQRT(Dashboard!$F$4) * _xlfn.NORM.S.INV(RAND())</f>
        <v>-2.6623948174495222E-2</v>
      </c>
      <c r="U9676" s="59">
        <f ca="1">Dashboard!D$8* Dashboard!$F$4+Dashboard!D$10*SQRT(Dashboard!$F$4) * _xlfn.NORM.S.INV(RAND())</f>
        <v>1.3507569752276393E-2</v>
      </c>
    </row>
    <row r="9677" spans="18:21" x14ac:dyDescent="0.2">
      <c r="R9677" s="49">
        <v>9675</v>
      </c>
      <c r="S9677" s="59">
        <f ca="1">Dashboard!B$8* Dashboard!$F$4+Dashboard!B$10*SQRT(Dashboard!$F$4) * _xlfn.NORM.S.INV(RAND())</f>
        <v>-5.4126206635466564E-2</v>
      </c>
      <c r="T9677" s="59">
        <f ca="1">Dashboard!C$8* Dashboard!$F$4+Dashboard!C$10*SQRT(Dashboard!$F$4) * _xlfn.NORM.S.INV(RAND())</f>
        <v>5.9079502291968997E-2</v>
      </c>
      <c r="U9677" s="59">
        <f ca="1">Dashboard!D$8* Dashboard!$F$4+Dashboard!D$10*SQRT(Dashboard!$F$4) * _xlfn.NORM.S.INV(RAND())</f>
        <v>1.7174763991850604E-2</v>
      </c>
    </row>
    <row r="9678" spans="18:21" x14ac:dyDescent="0.2">
      <c r="R9678" s="49">
        <v>9676</v>
      </c>
      <c r="S9678" s="59">
        <f ca="1">Dashboard!B$8* Dashboard!$F$4+Dashboard!B$10*SQRT(Dashboard!$F$4) * _xlfn.NORM.S.INV(RAND())</f>
        <v>-2.3880637610443768E-2</v>
      </c>
      <c r="T9678" s="59">
        <f ca="1">Dashboard!C$8* Dashboard!$F$4+Dashboard!C$10*SQRT(Dashboard!$F$4) * _xlfn.NORM.S.INV(RAND())</f>
        <v>1.1733794986410744E-2</v>
      </c>
      <c r="U9678" s="59">
        <f ca="1">Dashboard!D$8* Dashboard!$F$4+Dashboard!D$10*SQRT(Dashboard!$F$4) * _xlfn.NORM.S.INV(RAND())</f>
        <v>2.0104140409192867E-2</v>
      </c>
    </row>
    <row r="9679" spans="18:21" x14ac:dyDescent="0.2">
      <c r="R9679" s="49">
        <v>9677</v>
      </c>
      <c r="S9679" s="59">
        <f ca="1">Dashboard!B$8* Dashboard!$F$4+Dashboard!B$10*SQRT(Dashboard!$F$4) * _xlfn.NORM.S.INV(RAND())</f>
        <v>3.7538063681793618E-2</v>
      </c>
      <c r="T9679" s="59">
        <f ca="1">Dashboard!C$8* Dashboard!$F$4+Dashboard!C$10*SQRT(Dashboard!$F$4) * _xlfn.NORM.S.INV(RAND())</f>
        <v>3.3819347056314501E-2</v>
      </c>
      <c r="U9679" s="59">
        <f ca="1">Dashboard!D$8* Dashboard!$F$4+Dashboard!D$10*SQRT(Dashboard!$F$4) * _xlfn.NORM.S.INV(RAND())</f>
        <v>-2.6884090791463928E-2</v>
      </c>
    </row>
    <row r="9680" spans="18:21" x14ac:dyDescent="0.2">
      <c r="R9680" s="49">
        <v>9678</v>
      </c>
      <c r="S9680" s="59">
        <f ca="1">Dashboard!B$8* Dashboard!$F$4+Dashboard!B$10*SQRT(Dashboard!$F$4) * _xlfn.NORM.S.INV(RAND())</f>
        <v>6.0182713980235669E-2</v>
      </c>
      <c r="T9680" s="59">
        <f ca="1">Dashboard!C$8* Dashboard!$F$4+Dashboard!C$10*SQRT(Dashboard!$F$4) * _xlfn.NORM.S.INV(RAND())</f>
        <v>-1.0261168559061836E-2</v>
      </c>
      <c r="U9680" s="59">
        <f ca="1">Dashboard!D$8* Dashboard!$F$4+Dashboard!D$10*SQRT(Dashboard!$F$4) * _xlfn.NORM.S.INV(RAND())</f>
        <v>6.7702584388140877E-2</v>
      </c>
    </row>
    <row r="9681" spans="18:21" x14ac:dyDescent="0.2">
      <c r="R9681" s="49">
        <v>9679</v>
      </c>
      <c r="S9681" s="59">
        <f ca="1">Dashboard!B$8* Dashboard!$F$4+Dashboard!B$10*SQRT(Dashboard!$F$4) * _xlfn.NORM.S.INV(RAND())</f>
        <v>-1.6189913056414624E-3</v>
      </c>
      <c r="T9681" s="59">
        <f ca="1">Dashboard!C$8* Dashboard!$F$4+Dashboard!C$10*SQRT(Dashboard!$F$4) * _xlfn.NORM.S.INV(RAND())</f>
        <v>-2.4306212978979606E-2</v>
      </c>
      <c r="U9681" s="59">
        <f ca="1">Dashboard!D$8* Dashboard!$F$4+Dashboard!D$10*SQRT(Dashboard!$F$4) * _xlfn.NORM.S.INV(RAND())</f>
        <v>2.7262976223814E-2</v>
      </c>
    </row>
    <row r="9682" spans="18:21" x14ac:dyDescent="0.2">
      <c r="R9682" s="49">
        <v>9680</v>
      </c>
      <c r="S9682" s="59">
        <f ca="1">Dashboard!B$8* Dashboard!$F$4+Dashboard!B$10*SQRT(Dashboard!$F$4) * _xlfn.NORM.S.INV(RAND())</f>
        <v>1.8527580699221689E-2</v>
      </c>
      <c r="T9682" s="59">
        <f ca="1">Dashboard!C$8* Dashboard!$F$4+Dashboard!C$10*SQRT(Dashboard!$F$4) * _xlfn.NORM.S.INV(RAND())</f>
        <v>-5.1779037708681787E-2</v>
      </c>
      <c r="U9682" s="59">
        <f ca="1">Dashboard!D$8* Dashboard!$F$4+Dashboard!D$10*SQRT(Dashboard!$F$4) * _xlfn.NORM.S.INV(RAND())</f>
        <v>-2.4726236289681965E-2</v>
      </c>
    </row>
    <row r="9683" spans="18:21" x14ac:dyDescent="0.2">
      <c r="R9683" s="49">
        <v>9681</v>
      </c>
      <c r="S9683" s="59">
        <f ca="1">Dashboard!B$8* Dashboard!$F$4+Dashboard!B$10*SQRT(Dashboard!$F$4) * _xlfn.NORM.S.INV(RAND())</f>
        <v>-1.8144655342978943E-2</v>
      </c>
      <c r="T9683" s="59">
        <f ca="1">Dashboard!C$8* Dashboard!$F$4+Dashboard!C$10*SQRT(Dashboard!$F$4) * _xlfn.NORM.S.INV(RAND())</f>
        <v>-1.4070009160629973E-2</v>
      </c>
      <c r="U9683" s="59">
        <f ca="1">Dashboard!D$8* Dashboard!$F$4+Dashboard!D$10*SQRT(Dashboard!$F$4) * _xlfn.NORM.S.INV(RAND())</f>
        <v>-1.5048279080147088E-2</v>
      </c>
    </row>
    <row r="9684" spans="18:21" x14ac:dyDescent="0.2">
      <c r="R9684" s="49">
        <v>9682</v>
      </c>
      <c r="S9684" s="59">
        <f ca="1">Dashboard!B$8* Dashboard!$F$4+Dashboard!B$10*SQRT(Dashboard!$F$4) * _xlfn.NORM.S.INV(RAND())</f>
        <v>-5.4045474397969029E-3</v>
      </c>
      <c r="T9684" s="59">
        <f ca="1">Dashboard!C$8* Dashboard!$F$4+Dashboard!C$10*SQRT(Dashboard!$F$4) * _xlfn.NORM.S.INV(RAND())</f>
        <v>1.4260746352493546E-2</v>
      </c>
      <c r="U9684" s="59">
        <f ca="1">Dashboard!D$8* Dashboard!$F$4+Dashboard!D$10*SQRT(Dashboard!$F$4) * _xlfn.NORM.S.INV(RAND())</f>
        <v>4.517580174915348E-3</v>
      </c>
    </row>
    <row r="9685" spans="18:21" x14ac:dyDescent="0.2">
      <c r="R9685" s="49">
        <v>9683</v>
      </c>
      <c r="S9685" s="59">
        <f ca="1">Dashboard!B$8* Dashboard!$F$4+Dashboard!B$10*SQRT(Dashboard!$F$4) * _xlfn.NORM.S.INV(RAND())</f>
        <v>1.6732354758307848E-3</v>
      </c>
      <c r="T9685" s="59">
        <f ca="1">Dashboard!C$8* Dashboard!$F$4+Dashboard!C$10*SQRT(Dashboard!$F$4) * _xlfn.NORM.S.INV(RAND())</f>
        <v>3.887909750840552E-2</v>
      </c>
      <c r="U9685" s="59">
        <f ca="1">Dashboard!D$8* Dashboard!$F$4+Dashboard!D$10*SQRT(Dashboard!$F$4) * _xlfn.NORM.S.INV(RAND())</f>
        <v>3.000633231094376E-2</v>
      </c>
    </row>
    <row r="9686" spans="18:21" x14ac:dyDescent="0.2">
      <c r="R9686" s="49">
        <v>9684</v>
      </c>
      <c r="S9686" s="59">
        <f ca="1">Dashboard!B$8* Dashboard!$F$4+Dashboard!B$10*SQRT(Dashboard!$F$4) * _xlfn.NORM.S.INV(RAND())</f>
        <v>2.0574949463463818E-2</v>
      </c>
      <c r="T9686" s="59">
        <f ca="1">Dashboard!C$8* Dashboard!$F$4+Dashboard!C$10*SQRT(Dashboard!$F$4) * _xlfn.NORM.S.INV(RAND())</f>
        <v>7.1235609750704129E-2</v>
      </c>
      <c r="U9686" s="59">
        <f ca="1">Dashboard!D$8* Dashboard!$F$4+Dashboard!D$10*SQRT(Dashboard!$F$4) * _xlfn.NORM.S.INV(RAND())</f>
        <v>-3.0964498410983466E-2</v>
      </c>
    </row>
    <row r="9687" spans="18:21" x14ac:dyDescent="0.2">
      <c r="R9687" s="49">
        <v>9685</v>
      </c>
      <c r="S9687" s="59">
        <f ca="1">Dashboard!B$8* Dashboard!$F$4+Dashboard!B$10*SQRT(Dashboard!$F$4) * _xlfn.NORM.S.INV(RAND())</f>
        <v>-4.4716874691276887E-2</v>
      </c>
      <c r="T9687" s="59">
        <f ca="1">Dashboard!C$8* Dashboard!$F$4+Dashboard!C$10*SQRT(Dashboard!$F$4) * _xlfn.NORM.S.INV(RAND())</f>
        <v>-7.7032415303624702E-2</v>
      </c>
      <c r="U9687" s="59">
        <f ca="1">Dashboard!D$8* Dashboard!$F$4+Dashboard!D$10*SQRT(Dashboard!$F$4) * _xlfn.NORM.S.INV(RAND())</f>
        <v>-2.839097467407441E-2</v>
      </c>
    </row>
    <row r="9688" spans="18:21" x14ac:dyDescent="0.2">
      <c r="R9688" s="49">
        <v>9686</v>
      </c>
      <c r="S9688" s="59">
        <f ca="1">Dashboard!B$8* Dashboard!$F$4+Dashboard!B$10*SQRT(Dashboard!$F$4) * _xlfn.NORM.S.INV(RAND())</f>
        <v>8.5987821919789702E-3</v>
      </c>
      <c r="T9688" s="59">
        <f ca="1">Dashboard!C$8* Dashboard!$F$4+Dashboard!C$10*SQRT(Dashboard!$F$4) * _xlfn.NORM.S.INV(RAND())</f>
        <v>-6.5594994953519061E-3</v>
      </c>
      <c r="U9688" s="59">
        <f ca="1">Dashboard!D$8* Dashboard!$F$4+Dashboard!D$10*SQRT(Dashboard!$F$4) * _xlfn.NORM.S.INV(RAND())</f>
        <v>3.944558096046305E-2</v>
      </c>
    </row>
    <row r="9689" spans="18:21" x14ac:dyDescent="0.2">
      <c r="R9689" s="49">
        <v>9687</v>
      </c>
      <c r="S9689" s="59">
        <f ca="1">Dashboard!B$8* Dashboard!$F$4+Dashboard!B$10*SQRT(Dashboard!$F$4) * _xlfn.NORM.S.INV(RAND())</f>
        <v>-2.2005992232419828E-2</v>
      </c>
      <c r="T9689" s="59">
        <f ca="1">Dashboard!C$8* Dashboard!$F$4+Dashboard!C$10*SQRT(Dashboard!$F$4) * _xlfn.NORM.S.INV(RAND())</f>
        <v>5.687611151284927E-2</v>
      </c>
      <c r="U9689" s="59">
        <f ca="1">Dashboard!D$8* Dashboard!$F$4+Dashboard!D$10*SQRT(Dashboard!$F$4) * _xlfn.NORM.S.INV(RAND())</f>
        <v>-9.1070032912408862E-4</v>
      </c>
    </row>
    <row r="9690" spans="18:21" x14ac:dyDescent="0.2">
      <c r="R9690" s="49">
        <v>9688</v>
      </c>
      <c r="S9690" s="59">
        <f ca="1">Dashboard!B$8* Dashboard!$F$4+Dashboard!B$10*SQRT(Dashboard!$F$4) * _xlfn.NORM.S.INV(RAND())</f>
        <v>-4.6235033912315912E-2</v>
      </c>
      <c r="T9690" s="59">
        <f ca="1">Dashboard!C$8* Dashboard!$F$4+Dashboard!C$10*SQRT(Dashboard!$F$4) * _xlfn.NORM.S.INV(RAND())</f>
        <v>4.1138961763921858E-2</v>
      </c>
      <c r="U9690" s="59">
        <f ca="1">Dashboard!D$8* Dashboard!$F$4+Dashboard!D$10*SQRT(Dashboard!$F$4) * _xlfn.NORM.S.INV(RAND())</f>
        <v>-1.806382603966606E-2</v>
      </c>
    </row>
    <row r="9691" spans="18:21" x14ac:dyDescent="0.2">
      <c r="R9691" s="49">
        <v>9689</v>
      </c>
      <c r="S9691" s="59">
        <f ca="1">Dashboard!B$8* Dashboard!$F$4+Dashboard!B$10*SQRT(Dashboard!$F$4) * _xlfn.NORM.S.INV(RAND())</f>
        <v>-2.733991356705298E-3</v>
      </c>
      <c r="T9691" s="59">
        <f ca="1">Dashboard!C$8* Dashboard!$F$4+Dashboard!C$10*SQRT(Dashboard!$F$4) * _xlfn.NORM.S.INV(RAND())</f>
        <v>1.3218256136274146E-2</v>
      </c>
      <c r="U9691" s="59">
        <f ca="1">Dashboard!D$8* Dashboard!$F$4+Dashboard!D$10*SQRT(Dashboard!$F$4) * _xlfn.NORM.S.INV(RAND())</f>
        <v>3.1210219743407253E-2</v>
      </c>
    </row>
    <row r="9692" spans="18:21" x14ac:dyDescent="0.2">
      <c r="R9692" s="49">
        <v>9690</v>
      </c>
      <c r="S9692" s="59">
        <f ca="1">Dashboard!B$8* Dashboard!$F$4+Dashboard!B$10*SQRT(Dashboard!$F$4) * _xlfn.NORM.S.INV(RAND())</f>
        <v>3.9854570397221629E-2</v>
      </c>
      <c r="T9692" s="59">
        <f ca="1">Dashboard!C$8* Dashboard!$F$4+Dashboard!C$10*SQRT(Dashboard!$F$4) * _xlfn.NORM.S.INV(RAND())</f>
        <v>1.4296798813074732E-2</v>
      </c>
      <c r="U9692" s="59">
        <f ca="1">Dashboard!D$8* Dashboard!$F$4+Dashboard!D$10*SQRT(Dashboard!$F$4) * _xlfn.NORM.S.INV(RAND())</f>
        <v>-1.6806103470990322E-2</v>
      </c>
    </row>
    <row r="9693" spans="18:21" x14ac:dyDescent="0.2">
      <c r="R9693" s="49">
        <v>9691</v>
      </c>
      <c r="S9693" s="59">
        <f ca="1">Dashboard!B$8* Dashboard!$F$4+Dashboard!B$10*SQRT(Dashboard!$F$4) * _xlfn.NORM.S.INV(RAND())</f>
        <v>-4.7850377466992652E-2</v>
      </c>
      <c r="T9693" s="59">
        <f ca="1">Dashboard!C$8* Dashboard!$F$4+Dashboard!C$10*SQRT(Dashboard!$F$4) * _xlfn.NORM.S.INV(RAND())</f>
        <v>-7.6406284066874311E-3</v>
      </c>
      <c r="U9693" s="59">
        <f ca="1">Dashboard!D$8* Dashboard!$F$4+Dashboard!D$10*SQRT(Dashboard!$F$4) * _xlfn.NORM.S.INV(RAND())</f>
        <v>4.1299534775662394E-2</v>
      </c>
    </row>
    <row r="9694" spans="18:21" x14ac:dyDescent="0.2">
      <c r="R9694" s="49">
        <v>9692</v>
      </c>
      <c r="S9694" s="59">
        <f ca="1">Dashboard!B$8* Dashboard!$F$4+Dashboard!B$10*SQRT(Dashboard!$F$4) * _xlfn.NORM.S.INV(RAND())</f>
        <v>-3.5791125147555593E-2</v>
      </c>
      <c r="T9694" s="59">
        <f ca="1">Dashboard!C$8* Dashboard!$F$4+Dashboard!C$10*SQRT(Dashboard!$F$4) * _xlfn.NORM.S.INV(RAND())</f>
        <v>3.4654431638269215E-2</v>
      </c>
      <c r="U9694" s="59">
        <f ca="1">Dashboard!D$8* Dashboard!$F$4+Dashboard!D$10*SQRT(Dashboard!$F$4) * _xlfn.NORM.S.INV(RAND())</f>
        <v>-2.5018121649050845E-2</v>
      </c>
    </row>
    <row r="9695" spans="18:21" x14ac:dyDescent="0.2">
      <c r="R9695" s="49">
        <v>9693</v>
      </c>
      <c r="S9695" s="59">
        <f ca="1">Dashboard!B$8* Dashboard!$F$4+Dashboard!B$10*SQRT(Dashboard!$F$4) * _xlfn.NORM.S.INV(RAND())</f>
        <v>3.0219449994562275E-2</v>
      </c>
      <c r="T9695" s="59">
        <f ca="1">Dashboard!C$8* Dashboard!$F$4+Dashboard!C$10*SQRT(Dashboard!$F$4) * _xlfn.NORM.S.INV(RAND())</f>
        <v>1.6428857717655353E-2</v>
      </c>
      <c r="U9695" s="59">
        <f ca="1">Dashboard!D$8* Dashboard!$F$4+Dashboard!D$10*SQRT(Dashboard!$F$4) * _xlfn.NORM.S.INV(RAND())</f>
        <v>3.8429936538066166E-2</v>
      </c>
    </row>
    <row r="9696" spans="18:21" x14ac:dyDescent="0.2">
      <c r="R9696" s="49">
        <v>9694</v>
      </c>
      <c r="S9696" s="59">
        <f ca="1">Dashboard!B$8* Dashboard!$F$4+Dashboard!B$10*SQRT(Dashboard!$F$4) * _xlfn.NORM.S.INV(RAND())</f>
        <v>-1.3797624385979156E-2</v>
      </c>
      <c r="T9696" s="59">
        <f ca="1">Dashboard!C$8* Dashboard!$F$4+Dashboard!C$10*SQRT(Dashboard!$F$4) * _xlfn.NORM.S.INV(RAND())</f>
        <v>2.0878780325357473E-2</v>
      </c>
      <c r="U9696" s="59">
        <f ca="1">Dashboard!D$8* Dashboard!$F$4+Dashboard!D$10*SQRT(Dashboard!$F$4) * _xlfn.NORM.S.INV(RAND())</f>
        <v>2.5428780236287925E-2</v>
      </c>
    </row>
    <row r="9697" spans="18:21" x14ac:dyDescent="0.2">
      <c r="R9697" s="49">
        <v>9695</v>
      </c>
      <c r="S9697" s="59">
        <f ca="1">Dashboard!B$8* Dashboard!$F$4+Dashboard!B$10*SQRT(Dashboard!$F$4) * _xlfn.NORM.S.INV(RAND())</f>
        <v>-1.2403818862342176E-2</v>
      </c>
      <c r="T9697" s="59">
        <f ca="1">Dashboard!C$8* Dashboard!$F$4+Dashboard!C$10*SQRT(Dashboard!$F$4) * _xlfn.NORM.S.INV(RAND())</f>
        <v>1.8471759316506017E-2</v>
      </c>
      <c r="U9697" s="59">
        <f ca="1">Dashboard!D$8* Dashboard!$F$4+Dashboard!D$10*SQRT(Dashboard!$F$4) * _xlfn.NORM.S.INV(RAND())</f>
        <v>-2.9319803410339688E-2</v>
      </c>
    </row>
    <row r="9698" spans="18:21" x14ac:dyDescent="0.2">
      <c r="R9698" s="49">
        <v>9696</v>
      </c>
      <c r="S9698" s="59">
        <f ca="1">Dashboard!B$8* Dashboard!$F$4+Dashboard!B$10*SQRT(Dashboard!$F$4) * _xlfn.NORM.S.INV(RAND())</f>
        <v>2.0488625530777321E-2</v>
      </c>
      <c r="T9698" s="59">
        <f ca="1">Dashboard!C$8* Dashboard!$F$4+Dashboard!C$10*SQRT(Dashboard!$F$4) * _xlfn.NORM.S.INV(RAND())</f>
        <v>-2.5269481574234427E-2</v>
      </c>
      <c r="U9698" s="59">
        <f ca="1">Dashboard!D$8* Dashboard!$F$4+Dashboard!D$10*SQRT(Dashboard!$F$4) * _xlfn.NORM.S.INV(RAND())</f>
        <v>3.1417406556627094E-2</v>
      </c>
    </row>
    <row r="9699" spans="18:21" x14ac:dyDescent="0.2">
      <c r="R9699" s="49">
        <v>9697</v>
      </c>
      <c r="S9699" s="59">
        <f ca="1">Dashboard!B$8* Dashboard!$F$4+Dashboard!B$10*SQRT(Dashboard!$F$4) * _xlfn.NORM.S.INV(RAND())</f>
        <v>3.8245171962028403E-2</v>
      </c>
      <c r="T9699" s="59">
        <f ca="1">Dashboard!C$8* Dashboard!$F$4+Dashboard!C$10*SQRT(Dashboard!$F$4) * _xlfn.NORM.S.INV(RAND())</f>
        <v>7.974708372603502E-2</v>
      </c>
      <c r="U9699" s="59">
        <f ca="1">Dashboard!D$8* Dashboard!$F$4+Dashboard!D$10*SQRT(Dashboard!$F$4) * _xlfn.NORM.S.INV(RAND())</f>
        <v>8.8577776636563875E-3</v>
      </c>
    </row>
    <row r="9700" spans="18:21" x14ac:dyDescent="0.2">
      <c r="R9700" s="49">
        <v>9698</v>
      </c>
      <c r="S9700" s="59">
        <f ca="1">Dashboard!B$8* Dashboard!$F$4+Dashboard!B$10*SQRT(Dashboard!$F$4) * _xlfn.NORM.S.INV(RAND())</f>
        <v>1.947457360004981E-2</v>
      </c>
      <c r="T9700" s="59">
        <f ca="1">Dashboard!C$8* Dashboard!$F$4+Dashboard!C$10*SQRT(Dashboard!$F$4) * _xlfn.NORM.S.INV(RAND())</f>
        <v>7.7133866743369306E-2</v>
      </c>
      <c r="U9700" s="59">
        <f ca="1">Dashboard!D$8* Dashboard!$F$4+Dashboard!D$10*SQRT(Dashboard!$F$4) * _xlfn.NORM.S.INV(RAND())</f>
        <v>1.3912189110181711E-2</v>
      </c>
    </row>
    <row r="9701" spans="18:21" x14ac:dyDescent="0.2">
      <c r="R9701" s="49">
        <v>9699</v>
      </c>
      <c r="S9701" s="59">
        <f ca="1">Dashboard!B$8* Dashboard!$F$4+Dashboard!B$10*SQRT(Dashboard!$F$4) * _xlfn.NORM.S.INV(RAND())</f>
        <v>3.8017702392441385E-2</v>
      </c>
      <c r="T9701" s="59">
        <f ca="1">Dashboard!C$8* Dashboard!$F$4+Dashboard!C$10*SQRT(Dashboard!$F$4) * _xlfn.NORM.S.INV(RAND())</f>
        <v>-1.5894050756626685E-2</v>
      </c>
      <c r="U9701" s="59">
        <f ca="1">Dashboard!D$8* Dashboard!$F$4+Dashboard!D$10*SQRT(Dashboard!$F$4) * _xlfn.NORM.S.INV(RAND())</f>
        <v>-4.2518718697602265E-3</v>
      </c>
    </row>
    <row r="9702" spans="18:21" x14ac:dyDescent="0.2">
      <c r="R9702" s="49">
        <v>9700</v>
      </c>
      <c r="S9702" s="59">
        <f ca="1">Dashboard!B$8* Dashboard!$F$4+Dashboard!B$10*SQRT(Dashboard!$F$4) * _xlfn.NORM.S.INV(RAND())</f>
        <v>-1.3020106639762568E-2</v>
      </c>
      <c r="T9702" s="59">
        <f ca="1">Dashboard!C$8* Dashboard!$F$4+Dashboard!C$10*SQRT(Dashboard!$F$4) * _xlfn.NORM.S.INV(RAND())</f>
        <v>1.5271706042470183E-2</v>
      </c>
      <c r="U9702" s="59">
        <f ca="1">Dashboard!D$8* Dashboard!$F$4+Dashboard!D$10*SQRT(Dashboard!$F$4) * _xlfn.NORM.S.INV(RAND())</f>
        <v>3.0513338462879475E-3</v>
      </c>
    </row>
    <row r="9703" spans="18:21" x14ac:dyDescent="0.2">
      <c r="R9703" s="49">
        <v>9701</v>
      </c>
      <c r="S9703" s="59">
        <f ca="1">Dashboard!B$8* Dashboard!$F$4+Dashboard!B$10*SQRT(Dashboard!$F$4) * _xlfn.NORM.S.INV(RAND())</f>
        <v>-8.3811436542548121E-2</v>
      </c>
      <c r="T9703" s="59">
        <f ca="1">Dashboard!C$8* Dashboard!$F$4+Dashboard!C$10*SQRT(Dashboard!$F$4) * _xlfn.NORM.S.INV(RAND())</f>
        <v>-1.517381817324414E-2</v>
      </c>
      <c r="U9703" s="59">
        <f ca="1">Dashboard!D$8* Dashboard!$F$4+Dashboard!D$10*SQRT(Dashboard!$F$4) * _xlfn.NORM.S.INV(RAND())</f>
        <v>-2.0390104039386469E-2</v>
      </c>
    </row>
    <row r="9704" spans="18:21" x14ac:dyDescent="0.2">
      <c r="R9704" s="49">
        <v>9702</v>
      </c>
      <c r="S9704" s="59">
        <f ca="1">Dashboard!B$8* Dashboard!$F$4+Dashboard!B$10*SQRT(Dashboard!$F$4) * _xlfn.NORM.S.INV(RAND())</f>
        <v>2.1720429819353203E-2</v>
      </c>
      <c r="T9704" s="59">
        <f ca="1">Dashboard!C$8* Dashboard!$F$4+Dashboard!C$10*SQRT(Dashboard!$F$4) * _xlfn.NORM.S.INV(RAND())</f>
        <v>-1.8061259935549658E-2</v>
      </c>
      <c r="U9704" s="59">
        <f ca="1">Dashboard!D$8* Dashboard!$F$4+Dashboard!D$10*SQRT(Dashboard!$F$4) * _xlfn.NORM.S.INV(RAND())</f>
        <v>-9.6743668071010511E-3</v>
      </c>
    </row>
    <row r="9705" spans="18:21" x14ac:dyDescent="0.2">
      <c r="R9705" s="49">
        <v>9703</v>
      </c>
      <c r="S9705" s="59">
        <f ca="1">Dashboard!B$8* Dashboard!$F$4+Dashboard!B$10*SQRT(Dashboard!$F$4) * _xlfn.NORM.S.INV(RAND())</f>
        <v>-4.5494156729492245E-2</v>
      </c>
      <c r="T9705" s="59">
        <f ca="1">Dashboard!C$8* Dashboard!$F$4+Dashboard!C$10*SQRT(Dashboard!$F$4) * _xlfn.NORM.S.INV(RAND())</f>
        <v>-3.5654458479595268E-3</v>
      </c>
      <c r="U9705" s="59">
        <f ca="1">Dashboard!D$8* Dashboard!$F$4+Dashboard!D$10*SQRT(Dashboard!$F$4) * _xlfn.NORM.S.INV(RAND())</f>
        <v>7.4310805412660691E-2</v>
      </c>
    </row>
    <row r="9706" spans="18:21" x14ac:dyDescent="0.2">
      <c r="R9706" s="49">
        <v>9704</v>
      </c>
      <c r="S9706" s="59">
        <f ca="1">Dashboard!B$8* Dashboard!$F$4+Dashboard!B$10*SQRT(Dashboard!$F$4) * _xlfn.NORM.S.INV(RAND())</f>
        <v>-2.4118267565456014E-2</v>
      </c>
      <c r="T9706" s="59">
        <f ca="1">Dashboard!C$8* Dashboard!$F$4+Dashboard!C$10*SQRT(Dashboard!$F$4) * _xlfn.NORM.S.INV(RAND())</f>
        <v>-4.3681065657889102E-2</v>
      </c>
      <c r="U9706" s="59">
        <f ca="1">Dashboard!D$8* Dashboard!$F$4+Dashboard!D$10*SQRT(Dashboard!$F$4) * _xlfn.NORM.S.INV(RAND())</f>
        <v>-1.2525168011820647E-2</v>
      </c>
    </row>
    <row r="9707" spans="18:21" x14ac:dyDescent="0.2">
      <c r="R9707" s="49">
        <v>9705</v>
      </c>
      <c r="S9707" s="59">
        <f ca="1">Dashboard!B$8* Dashboard!$F$4+Dashboard!B$10*SQRT(Dashboard!$F$4) * _xlfn.NORM.S.INV(RAND())</f>
        <v>-8.3905267004823952E-2</v>
      </c>
      <c r="T9707" s="59">
        <f ca="1">Dashboard!C$8* Dashboard!$F$4+Dashboard!C$10*SQRT(Dashboard!$F$4) * _xlfn.NORM.S.INV(RAND())</f>
        <v>1.7899375026606691E-2</v>
      </c>
      <c r="U9707" s="59">
        <f ca="1">Dashboard!D$8* Dashboard!$F$4+Dashboard!D$10*SQRT(Dashboard!$F$4) * _xlfn.NORM.S.INV(RAND())</f>
        <v>-2.9273682287751804E-2</v>
      </c>
    </row>
    <row r="9708" spans="18:21" x14ac:dyDescent="0.2">
      <c r="R9708" s="49">
        <v>9706</v>
      </c>
      <c r="S9708" s="59">
        <f ca="1">Dashboard!B$8* Dashboard!$F$4+Dashboard!B$10*SQRT(Dashboard!$F$4) * _xlfn.NORM.S.INV(RAND())</f>
        <v>7.1346160551768404E-3</v>
      </c>
      <c r="T9708" s="59">
        <f ca="1">Dashboard!C$8* Dashboard!$F$4+Dashboard!C$10*SQRT(Dashboard!$F$4) * _xlfn.NORM.S.INV(RAND())</f>
        <v>6.1439435078238739E-3</v>
      </c>
      <c r="U9708" s="59">
        <f ca="1">Dashboard!D$8* Dashboard!$F$4+Dashboard!D$10*SQRT(Dashboard!$F$4) * _xlfn.NORM.S.INV(RAND())</f>
        <v>-2.8093825329755042E-2</v>
      </c>
    </row>
    <row r="9709" spans="18:21" x14ac:dyDescent="0.2">
      <c r="R9709" s="49">
        <v>9707</v>
      </c>
      <c r="S9709" s="59">
        <f ca="1">Dashboard!B$8* Dashboard!$F$4+Dashboard!B$10*SQRT(Dashboard!$F$4) * _xlfn.NORM.S.INV(RAND())</f>
        <v>4.5817450558887446E-2</v>
      </c>
      <c r="T9709" s="59">
        <f ca="1">Dashboard!C$8* Dashboard!$F$4+Dashboard!C$10*SQRT(Dashboard!$F$4) * _xlfn.NORM.S.INV(RAND())</f>
        <v>-4.5584359583555854E-2</v>
      </c>
      <c r="U9709" s="59">
        <f ca="1">Dashboard!D$8* Dashboard!$F$4+Dashboard!D$10*SQRT(Dashboard!$F$4) * _xlfn.NORM.S.INV(RAND())</f>
        <v>-1.5741688490919538E-2</v>
      </c>
    </row>
    <row r="9710" spans="18:21" x14ac:dyDescent="0.2">
      <c r="R9710" s="49">
        <v>9708</v>
      </c>
      <c r="S9710" s="59">
        <f ca="1">Dashboard!B$8* Dashboard!$F$4+Dashboard!B$10*SQRT(Dashboard!$F$4) * _xlfn.NORM.S.INV(RAND())</f>
        <v>-2.8414391634403617E-2</v>
      </c>
      <c r="T9710" s="59">
        <f ca="1">Dashboard!C$8* Dashboard!$F$4+Dashboard!C$10*SQRT(Dashboard!$F$4) * _xlfn.NORM.S.INV(RAND())</f>
        <v>5.0852665070023707E-2</v>
      </c>
      <c r="U9710" s="59">
        <f ca="1">Dashboard!D$8* Dashboard!$F$4+Dashboard!D$10*SQRT(Dashboard!$F$4) * _xlfn.NORM.S.INV(RAND())</f>
        <v>3.4791354409417823E-2</v>
      </c>
    </row>
    <row r="9711" spans="18:21" x14ac:dyDescent="0.2">
      <c r="R9711" s="49">
        <v>9709</v>
      </c>
      <c r="S9711" s="59">
        <f ca="1">Dashboard!B$8* Dashboard!$F$4+Dashboard!B$10*SQRT(Dashboard!$F$4) * _xlfn.NORM.S.INV(RAND())</f>
        <v>-6.4214757262351322E-3</v>
      </c>
      <c r="T9711" s="59">
        <f ca="1">Dashboard!C$8* Dashboard!$F$4+Dashboard!C$10*SQRT(Dashboard!$F$4) * _xlfn.NORM.S.INV(RAND())</f>
        <v>3.4914294204983487E-2</v>
      </c>
      <c r="U9711" s="59">
        <f ca="1">Dashboard!D$8* Dashboard!$F$4+Dashboard!D$10*SQRT(Dashboard!$F$4) * _xlfn.NORM.S.INV(RAND())</f>
        <v>-1.9381928017436694E-2</v>
      </c>
    </row>
    <row r="9712" spans="18:21" x14ac:dyDescent="0.2">
      <c r="R9712" s="49">
        <v>9710</v>
      </c>
      <c r="S9712" s="59">
        <f ca="1">Dashboard!B$8* Dashboard!$F$4+Dashboard!B$10*SQRT(Dashboard!$F$4) * _xlfn.NORM.S.INV(RAND())</f>
        <v>-2.17206005182334E-2</v>
      </c>
      <c r="T9712" s="59">
        <f ca="1">Dashboard!C$8* Dashboard!$F$4+Dashboard!C$10*SQRT(Dashboard!$F$4) * _xlfn.NORM.S.INV(RAND())</f>
        <v>5.4625616238521635E-2</v>
      </c>
      <c r="U9712" s="59">
        <f ca="1">Dashboard!D$8* Dashboard!$F$4+Dashboard!D$10*SQRT(Dashboard!$F$4) * _xlfn.NORM.S.INV(RAND())</f>
        <v>-5.6064260799770976E-2</v>
      </c>
    </row>
    <row r="9713" spans="18:21" x14ac:dyDescent="0.2">
      <c r="R9713" s="49">
        <v>9711</v>
      </c>
      <c r="S9713" s="59">
        <f ca="1">Dashboard!B$8* Dashboard!$F$4+Dashboard!B$10*SQRT(Dashboard!$F$4) * _xlfn.NORM.S.INV(RAND())</f>
        <v>2.1404652342895576E-2</v>
      </c>
      <c r="T9713" s="59">
        <f ca="1">Dashboard!C$8* Dashboard!$F$4+Dashboard!C$10*SQRT(Dashboard!$F$4) * _xlfn.NORM.S.INV(RAND())</f>
        <v>-1.8504930947466247E-2</v>
      </c>
      <c r="U9713" s="59">
        <f ca="1">Dashboard!D$8* Dashboard!$F$4+Dashboard!D$10*SQRT(Dashboard!$F$4) * _xlfn.NORM.S.INV(RAND())</f>
        <v>-3.7209842953693485E-2</v>
      </c>
    </row>
    <row r="9714" spans="18:21" x14ac:dyDescent="0.2">
      <c r="R9714" s="49">
        <v>9712</v>
      </c>
      <c r="S9714" s="59">
        <f ca="1">Dashboard!B$8* Dashboard!$F$4+Dashboard!B$10*SQRT(Dashboard!$F$4) * _xlfn.NORM.S.INV(RAND())</f>
        <v>-1.396139414433638E-2</v>
      </c>
      <c r="T9714" s="59">
        <f ca="1">Dashboard!C$8* Dashboard!$F$4+Dashboard!C$10*SQRT(Dashboard!$F$4) * _xlfn.NORM.S.INV(RAND())</f>
        <v>-1.5972725803639207E-2</v>
      </c>
      <c r="U9714" s="59">
        <f ca="1">Dashboard!D$8* Dashboard!$F$4+Dashboard!D$10*SQRT(Dashboard!$F$4) * _xlfn.NORM.S.INV(RAND())</f>
        <v>1.9307419448510894E-2</v>
      </c>
    </row>
    <row r="9715" spans="18:21" x14ac:dyDescent="0.2">
      <c r="R9715" s="49">
        <v>9713</v>
      </c>
      <c r="S9715" s="59">
        <f ca="1">Dashboard!B$8* Dashboard!$F$4+Dashboard!B$10*SQRT(Dashboard!$F$4) * _xlfn.NORM.S.INV(RAND())</f>
        <v>2.0492813056351866E-2</v>
      </c>
      <c r="T9715" s="59">
        <f ca="1">Dashboard!C$8* Dashboard!$F$4+Dashboard!C$10*SQRT(Dashboard!$F$4) * _xlfn.NORM.S.INV(RAND())</f>
        <v>-5.0679081010812581E-2</v>
      </c>
      <c r="U9715" s="59">
        <f ca="1">Dashboard!D$8* Dashboard!$F$4+Dashboard!D$10*SQRT(Dashboard!$F$4) * _xlfn.NORM.S.INV(RAND())</f>
        <v>-2.6174805504198161E-2</v>
      </c>
    </row>
    <row r="9716" spans="18:21" x14ac:dyDescent="0.2">
      <c r="R9716" s="49">
        <v>9714</v>
      </c>
      <c r="S9716" s="59">
        <f ca="1">Dashboard!B$8* Dashboard!$F$4+Dashboard!B$10*SQRT(Dashboard!$F$4) * _xlfn.NORM.S.INV(RAND())</f>
        <v>-5.0606313240070906E-4</v>
      </c>
      <c r="T9716" s="59">
        <f ca="1">Dashboard!C$8* Dashboard!$F$4+Dashboard!C$10*SQRT(Dashboard!$F$4) * _xlfn.NORM.S.INV(RAND())</f>
        <v>2.9181581663242352E-2</v>
      </c>
      <c r="U9716" s="59">
        <f ca="1">Dashboard!D$8* Dashboard!$F$4+Dashboard!D$10*SQRT(Dashboard!$F$4) * _xlfn.NORM.S.INV(RAND())</f>
        <v>2.1871347612977713E-2</v>
      </c>
    </row>
    <row r="9717" spans="18:21" x14ac:dyDescent="0.2">
      <c r="R9717" s="49">
        <v>9715</v>
      </c>
      <c r="S9717" s="59">
        <f ca="1">Dashboard!B$8* Dashboard!$F$4+Dashboard!B$10*SQRT(Dashboard!$F$4) * _xlfn.NORM.S.INV(RAND())</f>
        <v>-1.885923050307424E-2</v>
      </c>
      <c r="T9717" s="59">
        <f ca="1">Dashboard!C$8* Dashboard!$F$4+Dashboard!C$10*SQRT(Dashboard!$F$4) * _xlfn.NORM.S.INV(RAND())</f>
        <v>-2.0497015927542783E-2</v>
      </c>
      <c r="U9717" s="59">
        <f ca="1">Dashboard!D$8* Dashboard!$F$4+Dashboard!D$10*SQRT(Dashboard!$F$4) * _xlfn.NORM.S.INV(RAND())</f>
        <v>7.089317326325506E-3</v>
      </c>
    </row>
    <row r="9718" spans="18:21" x14ac:dyDescent="0.2">
      <c r="R9718" s="49">
        <v>9716</v>
      </c>
      <c r="S9718" s="59">
        <f ca="1">Dashboard!B$8* Dashboard!$F$4+Dashboard!B$10*SQRT(Dashboard!$F$4) * _xlfn.NORM.S.INV(RAND())</f>
        <v>4.6632923095812698E-3</v>
      </c>
      <c r="T9718" s="59">
        <f ca="1">Dashboard!C$8* Dashboard!$F$4+Dashboard!C$10*SQRT(Dashboard!$F$4) * _xlfn.NORM.S.INV(RAND())</f>
        <v>3.3366860397360275E-2</v>
      </c>
      <c r="U9718" s="59">
        <f ca="1">Dashboard!D$8* Dashboard!$F$4+Dashboard!D$10*SQRT(Dashboard!$F$4) * _xlfn.NORM.S.INV(RAND())</f>
        <v>-4.1700356602493889E-3</v>
      </c>
    </row>
    <row r="9719" spans="18:21" x14ac:dyDescent="0.2">
      <c r="R9719" s="49">
        <v>9717</v>
      </c>
      <c r="S9719" s="59">
        <f ca="1">Dashboard!B$8* Dashboard!$F$4+Dashboard!B$10*SQRT(Dashboard!$F$4) * _xlfn.NORM.S.INV(RAND())</f>
        <v>-1.5052741136211027E-2</v>
      </c>
      <c r="T9719" s="59">
        <f ca="1">Dashboard!C$8* Dashboard!$F$4+Dashboard!C$10*SQRT(Dashboard!$F$4) * _xlfn.NORM.S.INV(RAND())</f>
        <v>8.3177796507489007E-2</v>
      </c>
      <c r="U9719" s="59">
        <f ca="1">Dashboard!D$8* Dashboard!$F$4+Dashboard!D$10*SQRT(Dashboard!$F$4) * _xlfn.NORM.S.INV(RAND())</f>
        <v>2.1033710955187933E-2</v>
      </c>
    </row>
    <row r="9720" spans="18:21" x14ac:dyDescent="0.2">
      <c r="R9720" s="49">
        <v>9718</v>
      </c>
      <c r="S9720" s="59">
        <f ca="1">Dashboard!B$8* Dashboard!$F$4+Dashboard!B$10*SQRT(Dashboard!$F$4) * _xlfn.NORM.S.INV(RAND())</f>
        <v>-2.9605459044124573E-2</v>
      </c>
      <c r="T9720" s="59">
        <f ca="1">Dashboard!C$8* Dashboard!$F$4+Dashboard!C$10*SQRT(Dashboard!$F$4) * _xlfn.NORM.S.INV(RAND())</f>
        <v>-1.983712111171745E-2</v>
      </c>
      <c r="U9720" s="59">
        <f ca="1">Dashboard!D$8* Dashboard!$F$4+Dashboard!D$10*SQRT(Dashboard!$F$4) * _xlfn.NORM.S.INV(RAND())</f>
        <v>4.3929514424119784E-2</v>
      </c>
    </row>
    <row r="9721" spans="18:21" x14ac:dyDescent="0.2">
      <c r="R9721" s="49">
        <v>9719</v>
      </c>
      <c r="S9721" s="59">
        <f ca="1">Dashboard!B$8* Dashboard!$F$4+Dashboard!B$10*SQRT(Dashboard!$F$4) * _xlfn.NORM.S.INV(RAND())</f>
        <v>-1.899288595457875E-2</v>
      </c>
      <c r="T9721" s="59">
        <f ca="1">Dashboard!C$8* Dashboard!$F$4+Dashboard!C$10*SQRT(Dashboard!$F$4) * _xlfn.NORM.S.INV(RAND())</f>
        <v>-5.147681848063685E-2</v>
      </c>
      <c r="U9721" s="59">
        <f ca="1">Dashboard!D$8* Dashboard!$F$4+Dashboard!D$10*SQRT(Dashboard!$F$4) * _xlfn.NORM.S.INV(RAND())</f>
        <v>-4.0252476494991182E-2</v>
      </c>
    </row>
    <row r="9722" spans="18:21" x14ac:dyDescent="0.2">
      <c r="R9722" s="49">
        <v>9720</v>
      </c>
      <c r="S9722" s="59">
        <f ca="1">Dashboard!B$8* Dashboard!$F$4+Dashboard!B$10*SQRT(Dashboard!$F$4) * _xlfn.NORM.S.INV(RAND())</f>
        <v>-1.2962546405523922E-2</v>
      </c>
      <c r="T9722" s="59">
        <f ca="1">Dashboard!C$8* Dashboard!$F$4+Dashboard!C$10*SQRT(Dashboard!$F$4) * _xlfn.NORM.S.INV(RAND())</f>
        <v>3.2458628871550835E-2</v>
      </c>
      <c r="U9722" s="59">
        <f ca="1">Dashboard!D$8* Dashboard!$F$4+Dashboard!D$10*SQRT(Dashboard!$F$4) * _xlfn.NORM.S.INV(RAND())</f>
        <v>-4.3528956943460706E-2</v>
      </c>
    </row>
    <row r="9723" spans="18:21" x14ac:dyDescent="0.2">
      <c r="R9723" s="49">
        <v>9721</v>
      </c>
      <c r="S9723" s="59">
        <f ca="1">Dashboard!B$8* Dashboard!$F$4+Dashboard!B$10*SQRT(Dashboard!$F$4) * _xlfn.NORM.S.INV(RAND())</f>
        <v>-2.4774218437964082E-3</v>
      </c>
      <c r="T9723" s="59">
        <f ca="1">Dashboard!C$8* Dashboard!$F$4+Dashboard!C$10*SQRT(Dashboard!$F$4) * _xlfn.NORM.S.INV(RAND())</f>
        <v>1.8973190076622851E-2</v>
      </c>
      <c r="U9723" s="59">
        <f ca="1">Dashboard!D$8* Dashboard!$F$4+Dashboard!D$10*SQRT(Dashboard!$F$4) * _xlfn.NORM.S.INV(RAND())</f>
        <v>3.195421720757699E-2</v>
      </c>
    </row>
    <row r="9724" spans="18:21" x14ac:dyDescent="0.2">
      <c r="R9724" s="49">
        <v>9722</v>
      </c>
      <c r="S9724" s="59">
        <f ca="1">Dashboard!B$8* Dashboard!$F$4+Dashboard!B$10*SQRT(Dashboard!$F$4) * _xlfn.NORM.S.INV(RAND())</f>
        <v>8.3970164111466065E-3</v>
      </c>
      <c r="T9724" s="59">
        <f ca="1">Dashboard!C$8* Dashboard!$F$4+Dashboard!C$10*SQRT(Dashboard!$F$4) * _xlfn.NORM.S.INV(RAND())</f>
        <v>-3.1998346604777107E-2</v>
      </c>
      <c r="U9724" s="59">
        <f ca="1">Dashboard!D$8* Dashboard!$F$4+Dashboard!D$10*SQRT(Dashboard!$F$4) * _xlfn.NORM.S.INV(RAND())</f>
        <v>5.0625136504578463E-2</v>
      </c>
    </row>
    <row r="9725" spans="18:21" x14ac:dyDescent="0.2">
      <c r="R9725" s="49">
        <v>9723</v>
      </c>
      <c r="S9725" s="59">
        <f ca="1">Dashboard!B$8* Dashboard!$F$4+Dashboard!B$10*SQRT(Dashboard!$F$4) * _xlfn.NORM.S.INV(RAND())</f>
        <v>-3.5758288645021848E-2</v>
      </c>
      <c r="T9725" s="59">
        <f ca="1">Dashboard!C$8* Dashboard!$F$4+Dashboard!C$10*SQRT(Dashboard!$F$4) * _xlfn.NORM.S.INV(RAND())</f>
        <v>-9.6532910780356123E-4</v>
      </c>
      <c r="U9725" s="59">
        <f ca="1">Dashboard!D$8* Dashboard!$F$4+Dashboard!D$10*SQRT(Dashboard!$F$4) * _xlfn.NORM.S.INV(RAND())</f>
        <v>3.1754880747959804E-2</v>
      </c>
    </row>
    <row r="9726" spans="18:21" x14ac:dyDescent="0.2">
      <c r="R9726" s="49">
        <v>9724</v>
      </c>
      <c r="S9726" s="59">
        <f ca="1">Dashboard!B$8* Dashboard!$F$4+Dashboard!B$10*SQRT(Dashboard!$F$4) * _xlfn.NORM.S.INV(RAND())</f>
        <v>-3.7020139598992557E-2</v>
      </c>
      <c r="T9726" s="59">
        <f ca="1">Dashboard!C$8* Dashboard!$F$4+Dashboard!C$10*SQRT(Dashboard!$F$4) * _xlfn.NORM.S.INV(RAND())</f>
        <v>-3.8650754716465521E-2</v>
      </c>
      <c r="U9726" s="59">
        <f ca="1">Dashboard!D$8* Dashboard!$F$4+Dashboard!D$10*SQRT(Dashboard!$F$4) * _xlfn.NORM.S.INV(RAND())</f>
        <v>5.1348280894556446E-2</v>
      </c>
    </row>
    <row r="9727" spans="18:21" x14ac:dyDescent="0.2">
      <c r="R9727" s="49">
        <v>9725</v>
      </c>
      <c r="S9727" s="59">
        <f ca="1">Dashboard!B$8* Dashboard!$F$4+Dashboard!B$10*SQRT(Dashboard!$F$4) * _xlfn.NORM.S.INV(RAND())</f>
        <v>-6.3249910253162248E-2</v>
      </c>
      <c r="T9727" s="59">
        <f ca="1">Dashboard!C$8* Dashboard!$F$4+Dashboard!C$10*SQRT(Dashboard!$F$4) * _xlfn.NORM.S.INV(RAND())</f>
        <v>2.0364114790173971E-2</v>
      </c>
      <c r="U9727" s="59">
        <f ca="1">Dashboard!D$8* Dashboard!$F$4+Dashboard!D$10*SQRT(Dashboard!$F$4) * _xlfn.NORM.S.INV(RAND())</f>
        <v>-3.4692561038167681E-2</v>
      </c>
    </row>
    <row r="9728" spans="18:21" x14ac:dyDescent="0.2">
      <c r="R9728" s="49">
        <v>9726</v>
      </c>
      <c r="S9728" s="59">
        <f ca="1">Dashboard!B$8* Dashboard!$F$4+Dashboard!B$10*SQRT(Dashboard!$F$4) * _xlfn.NORM.S.INV(RAND())</f>
        <v>1.6569371760837323E-2</v>
      </c>
      <c r="T9728" s="59">
        <f ca="1">Dashboard!C$8* Dashboard!$F$4+Dashboard!C$10*SQRT(Dashboard!$F$4) * _xlfn.NORM.S.INV(RAND())</f>
        <v>1.2278973042477962E-2</v>
      </c>
      <c r="U9728" s="59">
        <f ca="1">Dashboard!D$8* Dashboard!$F$4+Dashboard!D$10*SQRT(Dashboard!$F$4) * _xlfn.NORM.S.INV(RAND())</f>
        <v>2.0383102681155892E-2</v>
      </c>
    </row>
    <row r="9729" spans="18:21" x14ac:dyDescent="0.2">
      <c r="R9729" s="49">
        <v>9727</v>
      </c>
      <c r="S9729" s="59">
        <f ca="1">Dashboard!B$8* Dashboard!$F$4+Dashboard!B$10*SQRT(Dashboard!$F$4) * _xlfn.NORM.S.INV(RAND())</f>
        <v>-4.42251721921047E-2</v>
      </c>
      <c r="T9729" s="59">
        <f ca="1">Dashboard!C$8* Dashboard!$F$4+Dashboard!C$10*SQRT(Dashboard!$F$4) * _xlfn.NORM.S.INV(RAND())</f>
        <v>1.570633107234252E-3</v>
      </c>
      <c r="U9729" s="59">
        <f ca="1">Dashboard!D$8* Dashboard!$F$4+Dashboard!D$10*SQRT(Dashboard!$F$4) * _xlfn.NORM.S.INV(RAND())</f>
        <v>1.7146025968973893E-2</v>
      </c>
    </row>
    <row r="9730" spans="18:21" x14ac:dyDescent="0.2">
      <c r="R9730" s="49">
        <v>9728</v>
      </c>
      <c r="S9730" s="59">
        <f ca="1">Dashboard!B$8* Dashboard!$F$4+Dashboard!B$10*SQRT(Dashboard!$F$4) * _xlfn.NORM.S.INV(RAND())</f>
        <v>-1.8269831234698122E-2</v>
      </c>
      <c r="T9730" s="59">
        <f ca="1">Dashboard!C$8* Dashboard!$F$4+Dashboard!C$10*SQRT(Dashboard!$F$4) * _xlfn.NORM.S.INV(RAND())</f>
        <v>4.3955329938040509E-3</v>
      </c>
      <c r="U9730" s="59">
        <f ca="1">Dashboard!D$8* Dashboard!$F$4+Dashboard!D$10*SQRT(Dashboard!$F$4) * _xlfn.NORM.S.INV(RAND())</f>
        <v>1.295442565763741E-2</v>
      </c>
    </row>
    <row r="9731" spans="18:21" x14ac:dyDescent="0.2">
      <c r="R9731" s="49">
        <v>9729</v>
      </c>
      <c r="S9731" s="59">
        <f ca="1">Dashboard!B$8* Dashboard!$F$4+Dashboard!B$10*SQRT(Dashboard!$F$4) * _xlfn.NORM.S.INV(RAND())</f>
        <v>-9.6912809330519933E-3</v>
      </c>
      <c r="T9731" s="59">
        <f ca="1">Dashboard!C$8* Dashboard!$F$4+Dashboard!C$10*SQRT(Dashboard!$F$4) * _xlfn.NORM.S.INV(RAND())</f>
        <v>7.4848692001514422E-2</v>
      </c>
      <c r="U9731" s="59">
        <f ca="1">Dashboard!D$8* Dashboard!$F$4+Dashboard!D$10*SQRT(Dashboard!$F$4) * _xlfn.NORM.S.INV(RAND())</f>
        <v>-8.3805448404694113E-3</v>
      </c>
    </row>
    <row r="9732" spans="18:21" x14ac:dyDescent="0.2">
      <c r="R9732" s="49">
        <v>9730</v>
      </c>
      <c r="S9732" s="59">
        <f ca="1">Dashboard!B$8* Dashboard!$F$4+Dashboard!B$10*SQRT(Dashboard!$F$4) * _xlfn.NORM.S.INV(RAND())</f>
        <v>1.5388784862679855E-3</v>
      </c>
      <c r="T9732" s="59">
        <f ca="1">Dashboard!C$8* Dashboard!$F$4+Dashboard!C$10*SQRT(Dashboard!$F$4) * _xlfn.NORM.S.INV(RAND())</f>
        <v>3.4757967093800792E-3</v>
      </c>
      <c r="U9732" s="59">
        <f ca="1">Dashboard!D$8* Dashboard!$F$4+Dashboard!D$10*SQRT(Dashboard!$F$4) * _xlfn.NORM.S.INV(RAND())</f>
        <v>-4.0736743614161415E-2</v>
      </c>
    </row>
    <row r="9733" spans="18:21" x14ac:dyDescent="0.2">
      <c r="R9733" s="49">
        <v>9731</v>
      </c>
      <c r="S9733" s="59">
        <f ca="1">Dashboard!B$8* Dashboard!$F$4+Dashboard!B$10*SQRT(Dashboard!$F$4) * _xlfn.NORM.S.INV(RAND())</f>
        <v>-9.9331334218790202E-2</v>
      </c>
      <c r="T9733" s="59">
        <f ca="1">Dashboard!C$8* Dashboard!$F$4+Dashboard!C$10*SQRT(Dashboard!$F$4) * _xlfn.NORM.S.INV(RAND())</f>
        <v>3.0827399986774931E-2</v>
      </c>
      <c r="U9733" s="59">
        <f ca="1">Dashboard!D$8* Dashboard!$F$4+Dashboard!D$10*SQRT(Dashboard!$F$4) * _xlfn.NORM.S.INV(RAND())</f>
        <v>1.6846051278295235E-2</v>
      </c>
    </row>
    <row r="9734" spans="18:21" x14ac:dyDescent="0.2">
      <c r="R9734" s="49">
        <v>9732</v>
      </c>
      <c r="S9734" s="59">
        <f ca="1">Dashboard!B$8* Dashboard!$F$4+Dashboard!B$10*SQRT(Dashboard!$F$4) * _xlfn.NORM.S.INV(RAND())</f>
        <v>-3.7136765929272078E-2</v>
      </c>
      <c r="T9734" s="59">
        <f ca="1">Dashboard!C$8* Dashboard!$F$4+Dashboard!C$10*SQRT(Dashboard!$F$4) * _xlfn.NORM.S.INV(RAND())</f>
        <v>-9.1972092112707973E-4</v>
      </c>
      <c r="U9734" s="59">
        <f ca="1">Dashboard!D$8* Dashboard!$F$4+Dashboard!D$10*SQRT(Dashboard!$F$4) * _xlfn.NORM.S.INV(RAND())</f>
        <v>-9.9156210979454776E-3</v>
      </c>
    </row>
    <row r="9735" spans="18:21" x14ac:dyDescent="0.2">
      <c r="R9735" s="49">
        <v>9733</v>
      </c>
      <c r="S9735" s="59">
        <f ca="1">Dashboard!B$8* Dashboard!$F$4+Dashboard!B$10*SQRT(Dashboard!$F$4) * _xlfn.NORM.S.INV(RAND())</f>
        <v>-7.6993792637492578E-2</v>
      </c>
      <c r="T9735" s="59">
        <f ca="1">Dashboard!C$8* Dashboard!$F$4+Dashboard!C$10*SQRT(Dashboard!$F$4) * _xlfn.NORM.S.INV(RAND())</f>
        <v>1.1306243183915741E-2</v>
      </c>
      <c r="U9735" s="59">
        <f ca="1">Dashboard!D$8* Dashboard!$F$4+Dashboard!D$10*SQRT(Dashboard!$F$4) * _xlfn.NORM.S.INV(RAND())</f>
        <v>4.8253123443209776E-2</v>
      </c>
    </row>
    <row r="9736" spans="18:21" x14ac:dyDescent="0.2">
      <c r="R9736" s="49">
        <v>9734</v>
      </c>
      <c r="S9736" s="59">
        <f ca="1">Dashboard!B$8* Dashboard!$F$4+Dashboard!B$10*SQRT(Dashboard!$F$4) * _xlfn.NORM.S.INV(RAND())</f>
        <v>-8.2232189484133023E-2</v>
      </c>
      <c r="T9736" s="59">
        <f ca="1">Dashboard!C$8* Dashboard!$F$4+Dashboard!C$10*SQRT(Dashboard!$F$4) * _xlfn.NORM.S.INV(RAND())</f>
        <v>6.3721850863165718E-3</v>
      </c>
      <c r="U9736" s="59">
        <f ca="1">Dashboard!D$8* Dashboard!$F$4+Dashboard!D$10*SQRT(Dashboard!$F$4) * _xlfn.NORM.S.INV(RAND())</f>
        <v>4.9353068818208973E-2</v>
      </c>
    </row>
    <row r="9737" spans="18:21" x14ac:dyDescent="0.2">
      <c r="R9737" s="49">
        <v>9735</v>
      </c>
      <c r="S9737" s="59">
        <f ca="1">Dashboard!B$8* Dashboard!$F$4+Dashboard!B$10*SQRT(Dashboard!$F$4) * _xlfn.NORM.S.INV(RAND())</f>
        <v>1.3740367802881273E-2</v>
      </c>
      <c r="T9737" s="59">
        <f ca="1">Dashboard!C$8* Dashboard!$F$4+Dashboard!C$10*SQRT(Dashboard!$F$4) * _xlfn.NORM.S.INV(RAND())</f>
        <v>-2.7519631197954825E-2</v>
      </c>
      <c r="U9737" s="59">
        <f ca="1">Dashboard!D$8* Dashboard!$F$4+Dashboard!D$10*SQRT(Dashboard!$F$4) * _xlfn.NORM.S.INV(RAND())</f>
        <v>6.7345066442047663E-3</v>
      </c>
    </row>
    <row r="9738" spans="18:21" x14ac:dyDescent="0.2">
      <c r="R9738" s="49">
        <v>9736</v>
      </c>
      <c r="S9738" s="59">
        <f ca="1">Dashboard!B$8* Dashboard!$F$4+Dashboard!B$10*SQRT(Dashboard!$F$4) * _xlfn.NORM.S.INV(RAND())</f>
        <v>-2.6820035748129044E-2</v>
      </c>
      <c r="T9738" s="59">
        <f ca="1">Dashboard!C$8* Dashboard!$F$4+Dashboard!C$10*SQRT(Dashboard!$F$4) * _xlfn.NORM.S.INV(RAND())</f>
        <v>2.1747948813319019E-2</v>
      </c>
      <c r="U9738" s="59">
        <f ca="1">Dashboard!D$8* Dashboard!$F$4+Dashboard!D$10*SQRT(Dashboard!$F$4) * _xlfn.NORM.S.INV(RAND())</f>
        <v>2.6145385761481087E-2</v>
      </c>
    </row>
    <row r="9739" spans="18:21" x14ac:dyDescent="0.2">
      <c r="R9739" s="49">
        <v>9737</v>
      </c>
      <c r="S9739" s="59">
        <f ca="1">Dashboard!B$8* Dashboard!$F$4+Dashboard!B$10*SQRT(Dashboard!$F$4) * _xlfn.NORM.S.INV(RAND())</f>
        <v>-6.3669736945347333E-2</v>
      </c>
      <c r="T9739" s="59">
        <f ca="1">Dashboard!C$8* Dashboard!$F$4+Dashboard!C$10*SQRT(Dashboard!$F$4) * _xlfn.NORM.S.INV(RAND())</f>
        <v>2.1031897644626252E-2</v>
      </c>
      <c r="U9739" s="59">
        <f ca="1">Dashboard!D$8* Dashboard!$F$4+Dashboard!D$10*SQRT(Dashboard!$F$4) * _xlfn.NORM.S.INV(RAND())</f>
        <v>3.1773516094403001E-2</v>
      </c>
    </row>
    <row r="9740" spans="18:21" x14ac:dyDescent="0.2">
      <c r="R9740" s="49">
        <v>9738</v>
      </c>
      <c r="S9740" s="59">
        <f ca="1">Dashboard!B$8* Dashboard!$F$4+Dashboard!B$10*SQRT(Dashboard!$F$4) * _xlfn.NORM.S.INV(RAND())</f>
        <v>-1.4358242466395686E-2</v>
      </c>
      <c r="T9740" s="59">
        <f ca="1">Dashboard!C$8* Dashboard!$F$4+Dashboard!C$10*SQRT(Dashboard!$F$4) * _xlfn.NORM.S.INV(RAND())</f>
        <v>-5.5979188934391209E-2</v>
      </c>
      <c r="U9740" s="59">
        <f ca="1">Dashboard!D$8* Dashboard!$F$4+Dashboard!D$10*SQRT(Dashboard!$F$4) * _xlfn.NORM.S.INV(RAND())</f>
        <v>9.1690650884947902E-3</v>
      </c>
    </row>
    <row r="9741" spans="18:21" x14ac:dyDescent="0.2">
      <c r="R9741" s="49">
        <v>9739</v>
      </c>
      <c r="S9741" s="59">
        <f ca="1">Dashboard!B$8* Dashboard!$F$4+Dashboard!B$10*SQRT(Dashboard!$F$4) * _xlfn.NORM.S.INV(RAND())</f>
        <v>1.3887563348282709E-2</v>
      </c>
      <c r="T9741" s="59">
        <f ca="1">Dashboard!C$8* Dashboard!$F$4+Dashboard!C$10*SQRT(Dashboard!$F$4) * _xlfn.NORM.S.INV(RAND())</f>
        <v>1.5793220312547373E-3</v>
      </c>
      <c r="U9741" s="59">
        <f ca="1">Dashboard!D$8* Dashboard!$F$4+Dashboard!D$10*SQRT(Dashboard!$F$4) * _xlfn.NORM.S.INV(RAND())</f>
        <v>1.443514441042096E-2</v>
      </c>
    </row>
    <row r="9742" spans="18:21" x14ac:dyDescent="0.2">
      <c r="R9742" s="49">
        <v>9740</v>
      </c>
      <c r="S9742" s="59">
        <f ca="1">Dashboard!B$8* Dashboard!$F$4+Dashboard!B$10*SQRT(Dashboard!$F$4) * _xlfn.NORM.S.INV(RAND())</f>
        <v>-8.2251388798515249E-3</v>
      </c>
      <c r="T9742" s="59">
        <f ca="1">Dashboard!C$8* Dashboard!$F$4+Dashboard!C$10*SQRT(Dashboard!$F$4) * _xlfn.NORM.S.INV(RAND())</f>
        <v>-1.2908801440160572E-2</v>
      </c>
      <c r="U9742" s="59">
        <f ca="1">Dashboard!D$8* Dashboard!$F$4+Dashboard!D$10*SQRT(Dashboard!$F$4) * _xlfn.NORM.S.INV(RAND())</f>
        <v>-1.0657501366212954E-2</v>
      </c>
    </row>
    <row r="9743" spans="18:21" x14ac:dyDescent="0.2">
      <c r="R9743" s="49">
        <v>9741</v>
      </c>
      <c r="S9743" s="59">
        <f ca="1">Dashboard!B$8* Dashboard!$F$4+Dashboard!B$10*SQRT(Dashboard!$F$4) * _xlfn.NORM.S.INV(RAND())</f>
        <v>1.9374972234926381E-2</v>
      </c>
      <c r="T9743" s="59">
        <f ca="1">Dashboard!C$8* Dashboard!$F$4+Dashboard!C$10*SQRT(Dashboard!$F$4) * _xlfn.NORM.S.INV(RAND())</f>
        <v>5.5696753309040163E-2</v>
      </c>
      <c r="U9743" s="59">
        <f ca="1">Dashboard!D$8* Dashboard!$F$4+Dashboard!D$10*SQRT(Dashboard!$F$4) * _xlfn.NORM.S.INV(RAND())</f>
        <v>4.0433264138440327E-3</v>
      </c>
    </row>
    <row r="9744" spans="18:21" x14ac:dyDescent="0.2">
      <c r="R9744" s="49">
        <v>9742</v>
      </c>
      <c r="S9744" s="59">
        <f ca="1">Dashboard!B$8* Dashboard!$F$4+Dashboard!B$10*SQRT(Dashboard!$F$4) * _xlfn.NORM.S.INV(RAND())</f>
        <v>2.5442105220187163E-4</v>
      </c>
      <c r="T9744" s="59">
        <f ca="1">Dashboard!C$8* Dashboard!$F$4+Dashboard!C$10*SQRT(Dashboard!$F$4) * _xlfn.NORM.S.INV(RAND())</f>
        <v>-1.6834521101858922E-2</v>
      </c>
      <c r="U9744" s="59">
        <f ca="1">Dashboard!D$8* Dashboard!$F$4+Dashboard!D$10*SQRT(Dashboard!$F$4) * _xlfn.NORM.S.INV(RAND())</f>
        <v>-3.3398608749502269E-2</v>
      </c>
    </row>
    <row r="9745" spans="18:21" x14ac:dyDescent="0.2">
      <c r="R9745" s="49">
        <v>9743</v>
      </c>
      <c r="S9745" s="59">
        <f ca="1">Dashboard!B$8* Dashboard!$F$4+Dashboard!B$10*SQRT(Dashboard!$F$4) * _xlfn.NORM.S.INV(RAND())</f>
        <v>2.5385908593840163E-2</v>
      </c>
      <c r="T9745" s="59">
        <f ca="1">Dashboard!C$8* Dashboard!$F$4+Dashboard!C$10*SQRT(Dashboard!$F$4) * _xlfn.NORM.S.INV(RAND())</f>
        <v>-3.9601901194484562E-2</v>
      </c>
      <c r="U9745" s="59">
        <f ca="1">Dashboard!D$8* Dashboard!$F$4+Dashboard!D$10*SQRT(Dashboard!$F$4) * _xlfn.NORM.S.INV(RAND())</f>
        <v>-4.7826932645616133E-2</v>
      </c>
    </row>
    <row r="9746" spans="18:21" x14ac:dyDescent="0.2">
      <c r="R9746" s="49">
        <v>9744</v>
      </c>
      <c r="S9746" s="59">
        <f ca="1">Dashboard!B$8* Dashboard!$F$4+Dashboard!B$10*SQRT(Dashboard!$F$4) * _xlfn.NORM.S.INV(RAND())</f>
        <v>3.7185059304091026E-3</v>
      </c>
      <c r="T9746" s="59">
        <f ca="1">Dashboard!C$8* Dashboard!$F$4+Dashboard!C$10*SQRT(Dashboard!$F$4) * _xlfn.NORM.S.INV(RAND())</f>
        <v>6.5123855744724596E-2</v>
      </c>
      <c r="U9746" s="59">
        <f ca="1">Dashboard!D$8* Dashboard!$F$4+Dashboard!D$10*SQRT(Dashboard!$F$4) * _xlfn.NORM.S.INV(RAND())</f>
        <v>1.5324303968751712E-2</v>
      </c>
    </row>
    <row r="9747" spans="18:21" x14ac:dyDescent="0.2">
      <c r="R9747" s="49">
        <v>9745</v>
      </c>
      <c r="S9747" s="59">
        <f ca="1">Dashboard!B$8* Dashboard!$F$4+Dashboard!B$10*SQRT(Dashboard!$F$4) * _xlfn.NORM.S.INV(RAND())</f>
        <v>-1.8165060999591996E-2</v>
      </c>
      <c r="T9747" s="59">
        <f ca="1">Dashboard!C$8* Dashboard!$F$4+Dashboard!C$10*SQRT(Dashboard!$F$4) * _xlfn.NORM.S.INV(RAND())</f>
        <v>1.7889290321151205E-2</v>
      </c>
      <c r="U9747" s="59">
        <f ca="1">Dashboard!D$8* Dashboard!$F$4+Dashboard!D$10*SQRT(Dashboard!$F$4) * _xlfn.NORM.S.INV(RAND())</f>
        <v>-3.090669500674249E-2</v>
      </c>
    </row>
    <row r="9748" spans="18:21" x14ac:dyDescent="0.2">
      <c r="R9748" s="49">
        <v>9746</v>
      </c>
      <c r="S9748" s="59">
        <f ca="1">Dashboard!B$8* Dashboard!$F$4+Dashboard!B$10*SQRT(Dashboard!$F$4) * _xlfn.NORM.S.INV(RAND())</f>
        <v>1.4305932139329182E-2</v>
      </c>
      <c r="T9748" s="59">
        <f ca="1">Dashboard!C$8* Dashboard!$F$4+Dashboard!C$10*SQRT(Dashboard!$F$4) * _xlfn.NORM.S.INV(RAND())</f>
        <v>-2.3165774394303406E-2</v>
      </c>
      <c r="U9748" s="59">
        <f ca="1">Dashboard!D$8* Dashboard!$F$4+Dashboard!D$10*SQRT(Dashboard!$F$4) * _xlfn.NORM.S.INV(RAND())</f>
        <v>-2.946112721391838E-2</v>
      </c>
    </row>
    <row r="9749" spans="18:21" x14ac:dyDescent="0.2">
      <c r="R9749" s="49">
        <v>9747</v>
      </c>
      <c r="S9749" s="59">
        <f ca="1">Dashboard!B$8* Dashboard!$F$4+Dashboard!B$10*SQRT(Dashboard!$F$4) * _xlfn.NORM.S.INV(RAND())</f>
        <v>-3.6038144343419259E-2</v>
      </c>
      <c r="T9749" s="59">
        <f ca="1">Dashboard!C$8* Dashboard!$F$4+Dashboard!C$10*SQRT(Dashboard!$F$4) * _xlfn.NORM.S.INV(RAND())</f>
        <v>2.5565040513966408E-2</v>
      </c>
      <c r="U9749" s="59">
        <f ca="1">Dashboard!D$8* Dashboard!$F$4+Dashboard!D$10*SQRT(Dashboard!$F$4) * _xlfn.NORM.S.INV(RAND())</f>
        <v>-4.6851547548550615E-2</v>
      </c>
    </row>
    <row r="9750" spans="18:21" x14ac:dyDescent="0.2">
      <c r="R9750" s="49">
        <v>9748</v>
      </c>
      <c r="S9750" s="59">
        <f ca="1">Dashboard!B$8* Dashboard!$F$4+Dashboard!B$10*SQRT(Dashboard!$F$4) * _xlfn.NORM.S.INV(RAND())</f>
        <v>4.0097194789085626E-2</v>
      </c>
      <c r="T9750" s="59">
        <f ca="1">Dashboard!C$8* Dashboard!$F$4+Dashboard!C$10*SQRT(Dashboard!$F$4) * _xlfn.NORM.S.INV(RAND())</f>
        <v>-8.3137877573551747E-3</v>
      </c>
      <c r="U9750" s="59">
        <f ca="1">Dashboard!D$8* Dashboard!$F$4+Dashboard!D$10*SQRT(Dashboard!$F$4) * _xlfn.NORM.S.INV(RAND())</f>
        <v>-2.6025054441858878E-2</v>
      </c>
    </row>
    <row r="9751" spans="18:21" x14ac:dyDescent="0.2">
      <c r="R9751" s="49">
        <v>9749</v>
      </c>
      <c r="S9751" s="59">
        <f ca="1">Dashboard!B$8* Dashboard!$F$4+Dashboard!B$10*SQRT(Dashboard!$F$4) * _xlfn.NORM.S.INV(RAND())</f>
        <v>-8.8863918688995569E-3</v>
      </c>
      <c r="T9751" s="59">
        <f ca="1">Dashboard!C$8* Dashboard!$F$4+Dashboard!C$10*SQRT(Dashboard!$F$4) * _xlfn.NORM.S.INV(RAND())</f>
        <v>3.2206332805318386E-2</v>
      </c>
      <c r="U9751" s="59">
        <f ca="1">Dashboard!D$8* Dashboard!$F$4+Dashboard!D$10*SQRT(Dashboard!$F$4) * _xlfn.NORM.S.INV(RAND())</f>
        <v>1.1947513820599311E-2</v>
      </c>
    </row>
    <row r="9752" spans="18:21" x14ac:dyDescent="0.2">
      <c r="R9752" s="49">
        <v>9750</v>
      </c>
      <c r="S9752" s="59">
        <f ca="1">Dashboard!B$8* Dashboard!$F$4+Dashboard!B$10*SQRT(Dashboard!$F$4) * _xlfn.NORM.S.INV(RAND())</f>
        <v>-6.275527545933593E-2</v>
      </c>
      <c r="T9752" s="59">
        <f ca="1">Dashboard!C$8* Dashboard!$F$4+Dashboard!C$10*SQRT(Dashboard!$F$4) * _xlfn.NORM.S.INV(RAND())</f>
        <v>-1.4865228381265895E-2</v>
      </c>
      <c r="U9752" s="59">
        <f ca="1">Dashboard!D$8* Dashboard!$F$4+Dashboard!D$10*SQRT(Dashboard!$F$4) * _xlfn.NORM.S.INV(RAND())</f>
        <v>1.5423066184357464E-2</v>
      </c>
    </row>
    <row r="9753" spans="18:21" x14ac:dyDescent="0.2">
      <c r="R9753" s="49">
        <v>9751</v>
      </c>
      <c r="S9753" s="59">
        <f ca="1">Dashboard!B$8* Dashboard!$F$4+Dashboard!B$10*SQRT(Dashboard!$F$4) * _xlfn.NORM.S.INV(RAND())</f>
        <v>-8.4522097928091088E-3</v>
      </c>
      <c r="T9753" s="59">
        <f ca="1">Dashboard!C$8* Dashboard!$F$4+Dashboard!C$10*SQRT(Dashboard!$F$4) * _xlfn.NORM.S.INV(RAND())</f>
        <v>-1.3071565931549012E-2</v>
      </c>
      <c r="U9753" s="59">
        <f ca="1">Dashboard!D$8* Dashboard!$F$4+Dashboard!D$10*SQRT(Dashboard!$F$4) * _xlfn.NORM.S.INV(RAND())</f>
        <v>-7.564532980456834E-2</v>
      </c>
    </row>
    <row r="9754" spans="18:21" x14ac:dyDescent="0.2">
      <c r="R9754" s="49">
        <v>9752</v>
      </c>
      <c r="S9754" s="59">
        <f ca="1">Dashboard!B$8* Dashboard!$F$4+Dashboard!B$10*SQRT(Dashboard!$F$4) * _xlfn.NORM.S.INV(RAND())</f>
        <v>3.0648775411565394E-3</v>
      </c>
      <c r="T9754" s="59">
        <f ca="1">Dashboard!C$8* Dashboard!$F$4+Dashboard!C$10*SQRT(Dashboard!$F$4) * _xlfn.NORM.S.INV(RAND())</f>
        <v>-7.3259776025067494E-3</v>
      </c>
      <c r="U9754" s="59">
        <f ca="1">Dashboard!D$8* Dashboard!$F$4+Dashboard!D$10*SQRT(Dashboard!$F$4) * _xlfn.NORM.S.INV(RAND())</f>
        <v>-1.4084526491228802E-2</v>
      </c>
    </row>
    <row r="9755" spans="18:21" x14ac:dyDescent="0.2">
      <c r="R9755" s="49">
        <v>9753</v>
      </c>
      <c r="S9755" s="59">
        <f ca="1">Dashboard!B$8* Dashboard!$F$4+Dashboard!B$10*SQRT(Dashboard!$F$4) * _xlfn.NORM.S.INV(RAND())</f>
        <v>3.296297969582241E-2</v>
      </c>
      <c r="T9755" s="59">
        <f ca="1">Dashboard!C$8* Dashboard!$F$4+Dashboard!C$10*SQRT(Dashboard!$F$4) * _xlfn.NORM.S.INV(RAND())</f>
        <v>6.5977418409127082E-3</v>
      </c>
      <c r="U9755" s="59">
        <f ca="1">Dashboard!D$8* Dashboard!$F$4+Dashboard!D$10*SQRT(Dashboard!$F$4) * _xlfn.NORM.S.INV(RAND())</f>
        <v>-3.4597918065965336E-2</v>
      </c>
    </row>
    <row r="9756" spans="18:21" x14ac:dyDescent="0.2">
      <c r="R9756" s="49">
        <v>9754</v>
      </c>
      <c r="S9756" s="59">
        <f ca="1">Dashboard!B$8* Dashboard!$F$4+Dashboard!B$10*SQRT(Dashboard!$F$4) * _xlfn.NORM.S.INV(RAND())</f>
        <v>2.1605820812409915E-2</v>
      </c>
      <c r="T9756" s="59">
        <f ca="1">Dashboard!C$8* Dashboard!$F$4+Dashboard!C$10*SQRT(Dashboard!$F$4) * _xlfn.NORM.S.INV(RAND())</f>
        <v>2.9242743771526282E-2</v>
      </c>
      <c r="U9756" s="59">
        <f ca="1">Dashboard!D$8* Dashboard!$F$4+Dashboard!D$10*SQRT(Dashboard!$F$4) * _xlfn.NORM.S.INV(RAND())</f>
        <v>1.9958832801137128E-2</v>
      </c>
    </row>
    <row r="9757" spans="18:21" x14ac:dyDescent="0.2">
      <c r="R9757" s="49">
        <v>9755</v>
      </c>
      <c r="S9757" s="59">
        <f ca="1">Dashboard!B$8* Dashboard!$F$4+Dashboard!B$10*SQRT(Dashboard!$F$4) * _xlfn.NORM.S.INV(RAND())</f>
        <v>-2.6023721962987613E-2</v>
      </c>
      <c r="T9757" s="59">
        <f ca="1">Dashboard!C$8* Dashboard!$F$4+Dashboard!C$10*SQRT(Dashboard!$F$4) * _xlfn.NORM.S.INV(RAND())</f>
        <v>1.076803932553335E-2</v>
      </c>
      <c r="U9757" s="59">
        <f ca="1">Dashboard!D$8* Dashboard!$F$4+Dashboard!D$10*SQRT(Dashboard!$F$4) * _xlfn.NORM.S.INV(RAND())</f>
        <v>-1.3397755615134089E-2</v>
      </c>
    </row>
    <row r="9758" spans="18:21" x14ac:dyDescent="0.2">
      <c r="R9758" s="49">
        <v>9756</v>
      </c>
      <c r="S9758" s="59">
        <f ca="1">Dashboard!B$8* Dashboard!$F$4+Dashboard!B$10*SQRT(Dashboard!$F$4) * _xlfn.NORM.S.INV(RAND())</f>
        <v>2.0131531484947904E-3</v>
      </c>
      <c r="T9758" s="59">
        <f ca="1">Dashboard!C$8* Dashboard!$F$4+Dashboard!C$10*SQRT(Dashboard!$F$4) * _xlfn.NORM.S.INV(RAND())</f>
        <v>3.3223614254291704E-3</v>
      </c>
      <c r="U9758" s="59">
        <f ca="1">Dashboard!D$8* Dashboard!$F$4+Dashboard!D$10*SQRT(Dashboard!$F$4) * _xlfn.NORM.S.INV(RAND())</f>
        <v>-7.4554597093315538E-3</v>
      </c>
    </row>
    <row r="9759" spans="18:21" x14ac:dyDescent="0.2">
      <c r="R9759" s="49">
        <v>9757</v>
      </c>
      <c r="S9759" s="59">
        <f ca="1">Dashboard!B$8* Dashboard!$F$4+Dashboard!B$10*SQRT(Dashboard!$F$4) * _xlfn.NORM.S.INV(RAND())</f>
        <v>2.6003384425236996E-2</v>
      </c>
      <c r="T9759" s="59">
        <f ca="1">Dashboard!C$8* Dashboard!$F$4+Dashboard!C$10*SQRT(Dashboard!$F$4) * _xlfn.NORM.S.INV(RAND())</f>
        <v>2.7920102029816395E-4</v>
      </c>
      <c r="U9759" s="59">
        <f ca="1">Dashboard!D$8* Dashboard!$F$4+Dashboard!D$10*SQRT(Dashboard!$F$4) * _xlfn.NORM.S.INV(RAND())</f>
        <v>2.381106136274444E-2</v>
      </c>
    </row>
    <row r="9760" spans="18:21" x14ac:dyDescent="0.2">
      <c r="R9760" s="49">
        <v>9758</v>
      </c>
      <c r="S9760" s="59">
        <f ca="1">Dashboard!B$8* Dashboard!$F$4+Dashboard!B$10*SQRT(Dashboard!$F$4) * _xlfn.NORM.S.INV(RAND())</f>
        <v>9.7186425840858383E-4</v>
      </c>
      <c r="T9760" s="59">
        <f ca="1">Dashboard!C$8* Dashboard!$F$4+Dashboard!C$10*SQRT(Dashboard!$F$4) * _xlfn.NORM.S.INV(RAND())</f>
        <v>-2.2383232363329623E-2</v>
      </c>
      <c r="U9760" s="59">
        <f ca="1">Dashboard!D$8* Dashboard!$F$4+Dashboard!D$10*SQRT(Dashboard!$F$4) * _xlfn.NORM.S.INV(RAND())</f>
        <v>5.3070776529091153E-2</v>
      </c>
    </row>
    <row r="9761" spans="18:21" x14ac:dyDescent="0.2">
      <c r="R9761" s="49">
        <v>9759</v>
      </c>
      <c r="S9761" s="59">
        <f ca="1">Dashboard!B$8* Dashboard!$F$4+Dashboard!B$10*SQRT(Dashboard!$F$4) * _xlfn.NORM.S.INV(RAND())</f>
        <v>-4.4064464821830809E-2</v>
      </c>
      <c r="T9761" s="59">
        <f ca="1">Dashboard!C$8* Dashboard!$F$4+Dashboard!C$10*SQRT(Dashboard!$F$4) * _xlfn.NORM.S.INV(RAND())</f>
        <v>5.3501806290946188E-3</v>
      </c>
      <c r="U9761" s="59">
        <f ca="1">Dashboard!D$8* Dashboard!$F$4+Dashboard!D$10*SQRT(Dashboard!$F$4) * _xlfn.NORM.S.INV(RAND())</f>
        <v>3.373169019318259E-2</v>
      </c>
    </row>
    <row r="9762" spans="18:21" x14ac:dyDescent="0.2">
      <c r="R9762" s="49">
        <v>9760</v>
      </c>
      <c r="S9762" s="59">
        <f ca="1">Dashboard!B$8* Dashboard!$F$4+Dashboard!B$10*SQRT(Dashboard!$F$4) * _xlfn.NORM.S.INV(RAND())</f>
        <v>-8.3661774074851158E-4</v>
      </c>
      <c r="T9762" s="59">
        <f ca="1">Dashboard!C$8* Dashboard!$F$4+Dashboard!C$10*SQRT(Dashboard!$F$4) * _xlfn.NORM.S.INV(RAND())</f>
        <v>1.3162210250210696E-2</v>
      </c>
      <c r="U9762" s="59">
        <f ca="1">Dashboard!D$8* Dashboard!$F$4+Dashboard!D$10*SQRT(Dashboard!$F$4) * _xlfn.NORM.S.INV(RAND())</f>
        <v>-8.4101526114022172E-4</v>
      </c>
    </row>
    <row r="9763" spans="18:21" x14ac:dyDescent="0.2">
      <c r="R9763" s="49">
        <v>9761</v>
      </c>
      <c r="S9763" s="59">
        <f ca="1">Dashboard!B$8* Dashboard!$F$4+Dashboard!B$10*SQRT(Dashboard!$F$4) * _xlfn.NORM.S.INV(RAND())</f>
        <v>1.9250722920921837E-2</v>
      </c>
      <c r="T9763" s="59">
        <f ca="1">Dashboard!C$8* Dashboard!$F$4+Dashboard!C$10*SQRT(Dashboard!$F$4) * _xlfn.NORM.S.INV(RAND())</f>
        <v>-6.2452096403568261E-2</v>
      </c>
      <c r="U9763" s="59">
        <f ca="1">Dashboard!D$8* Dashboard!$F$4+Dashboard!D$10*SQRT(Dashboard!$F$4) * _xlfn.NORM.S.INV(RAND())</f>
        <v>-5.6491737434489061E-3</v>
      </c>
    </row>
    <row r="9764" spans="18:21" x14ac:dyDescent="0.2">
      <c r="R9764" s="49">
        <v>9762</v>
      </c>
      <c r="S9764" s="59">
        <f ca="1">Dashboard!B$8* Dashboard!$F$4+Dashboard!B$10*SQRT(Dashboard!$F$4) * _xlfn.NORM.S.INV(RAND())</f>
        <v>-4.039621807915502E-3</v>
      </c>
      <c r="T9764" s="59">
        <f ca="1">Dashboard!C$8* Dashboard!$F$4+Dashboard!C$10*SQRT(Dashboard!$F$4) * _xlfn.NORM.S.INV(RAND())</f>
        <v>-5.7843540388650911E-3</v>
      </c>
      <c r="U9764" s="59">
        <f ca="1">Dashboard!D$8* Dashboard!$F$4+Dashboard!D$10*SQRT(Dashboard!$F$4) * _xlfn.NORM.S.INV(RAND())</f>
        <v>4.1270646621296155E-2</v>
      </c>
    </row>
    <row r="9765" spans="18:21" x14ac:dyDescent="0.2">
      <c r="R9765" s="49">
        <v>9763</v>
      </c>
      <c r="S9765" s="59">
        <f ca="1">Dashboard!B$8* Dashboard!$F$4+Dashboard!B$10*SQRT(Dashboard!$F$4) * _xlfn.NORM.S.INV(RAND())</f>
        <v>-5.3555855184321377E-2</v>
      </c>
      <c r="T9765" s="59">
        <f ca="1">Dashboard!C$8* Dashboard!$F$4+Dashboard!C$10*SQRT(Dashboard!$F$4) * _xlfn.NORM.S.INV(RAND())</f>
        <v>5.4994722732144966E-2</v>
      </c>
      <c r="U9765" s="59">
        <f ca="1">Dashboard!D$8* Dashboard!$F$4+Dashboard!D$10*SQRT(Dashboard!$F$4) * _xlfn.NORM.S.INV(RAND())</f>
        <v>2.6352863259106307E-3</v>
      </c>
    </row>
    <row r="9766" spans="18:21" x14ac:dyDescent="0.2">
      <c r="R9766" s="49">
        <v>9764</v>
      </c>
      <c r="S9766" s="59">
        <f ca="1">Dashboard!B$8* Dashboard!$F$4+Dashboard!B$10*SQRT(Dashboard!$F$4) * _xlfn.NORM.S.INV(RAND())</f>
        <v>2.3055374302335535E-2</v>
      </c>
      <c r="T9766" s="59">
        <f ca="1">Dashboard!C$8* Dashboard!$F$4+Dashboard!C$10*SQRT(Dashboard!$F$4) * _xlfn.NORM.S.INV(RAND())</f>
        <v>-4.6313703482310432E-2</v>
      </c>
      <c r="U9766" s="59">
        <f ca="1">Dashboard!D$8* Dashboard!$F$4+Dashboard!D$10*SQRT(Dashboard!$F$4) * _xlfn.NORM.S.INV(RAND())</f>
        <v>-7.3219398751074678E-3</v>
      </c>
    </row>
    <row r="9767" spans="18:21" x14ac:dyDescent="0.2">
      <c r="R9767" s="49">
        <v>9765</v>
      </c>
      <c r="S9767" s="59">
        <f ca="1">Dashboard!B$8* Dashboard!$F$4+Dashboard!B$10*SQRT(Dashboard!$F$4) * _xlfn.NORM.S.INV(RAND())</f>
        <v>-1.0289785490266447E-3</v>
      </c>
      <c r="T9767" s="59">
        <f ca="1">Dashboard!C$8* Dashboard!$F$4+Dashboard!C$10*SQRT(Dashboard!$F$4) * _xlfn.NORM.S.INV(RAND())</f>
        <v>1.5817812436116796E-2</v>
      </c>
      <c r="U9767" s="59">
        <f ca="1">Dashboard!D$8* Dashboard!$F$4+Dashboard!D$10*SQRT(Dashboard!$F$4) * _xlfn.NORM.S.INV(RAND())</f>
        <v>5.4109039216718981E-2</v>
      </c>
    </row>
    <row r="9768" spans="18:21" x14ac:dyDescent="0.2">
      <c r="R9768" s="49">
        <v>9766</v>
      </c>
      <c r="S9768" s="59">
        <f ca="1">Dashboard!B$8* Dashboard!$F$4+Dashboard!B$10*SQRT(Dashboard!$F$4) * _xlfn.NORM.S.INV(RAND())</f>
        <v>-2.1509778100244521E-2</v>
      </c>
      <c r="T9768" s="59">
        <f ca="1">Dashboard!C$8* Dashboard!$F$4+Dashboard!C$10*SQRT(Dashboard!$F$4) * _xlfn.NORM.S.INV(RAND())</f>
        <v>4.3826606717979673E-2</v>
      </c>
      <c r="U9768" s="59">
        <f ca="1">Dashboard!D$8* Dashboard!$F$4+Dashboard!D$10*SQRT(Dashboard!$F$4) * _xlfn.NORM.S.INV(RAND())</f>
        <v>-1.1027098314523689E-2</v>
      </c>
    </row>
    <row r="9769" spans="18:21" x14ac:dyDescent="0.2">
      <c r="R9769" s="49">
        <v>9767</v>
      </c>
      <c r="S9769" s="59">
        <f ca="1">Dashboard!B$8* Dashboard!$F$4+Dashboard!B$10*SQRT(Dashboard!$F$4) * _xlfn.NORM.S.INV(RAND())</f>
        <v>2.1173003985964403E-2</v>
      </c>
      <c r="T9769" s="59">
        <f ca="1">Dashboard!C$8* Dashboard!$F$4+Dashboard!C$10*SQRT(Dashboard!$F$4) * _xlfn.NORM.S.INV(RAND())</f>
        <v>4.3658539427763279E-2</v>
      </c>
      <c r="U9769" s="59">
        <f ca="1">Dashboard!D$8* Dashboard!$F$4+Dashboard!D$10*SQRT(Dashboard!$F$4) * _xlfn.NORM.S.INV(RAND())</f>
        <v>1.1385262657062569E-3</v>
      </c>
    </row>
    <row r="9770" spans="18:21" x14ac:dyDescent="0.2">
      <c r="R9770" s="49">
        <v>9768</v>
      </c>
      <c r="S9770" s="59">
        <f ca="1">Dashboard!B$8* Dashboard!$F$4+Dashboard!B$10*SQRT(Dashboard!$F$4) * _xlfn.NORM.S.INV(RAND())</f>
        <v>1.9658233994143598E-2</v>
      </c>
      <c r="T9770" s="59">
        <f ca="1">Dashboard!C$8* Dashboard!$F$4+Dashboard!C$10*SQRT(Dashboard!$F$4) * _xlfn.NORM.S.INV(RAND())</f>
        <v>4.3202361796487081E-3</v>
      </c>
      <c r="U9770" s="59">
        <f ca="1">Dashboard!D$8* Dashboard!$F$4+Dashboard!D$10*SQRT(Dashboard!$F$4) * _xlfn.NORM.S.INV(RAND())</f>
        <v>-7.422535562201682E-2</v>
      </c>
    </row>
    <row r="9771" spans="18:21" x14ac:dyDescent="0.2">
      <c r="R9771" s="49">
        <v>9769</v>
      </c>
      <c r="S9771" s="59">
        <f ca="1">Dashboard!B$8* Dashboard!$F$4+Dashboard!B$10*SQRT(Dashboard!$F$4) * _xlfn.NORM.S.INV(RAND())</f>
        <v>-3.2939398192306631E-2</v>
      </c>
      <c r="T9771" s="59">
        <f ca="1">Dashboard!C$8* Dashboard!$F$4+Dashboard!C$10*SQRT(Dashboard!$F$4) * _xlfn.NORM.S.INV(RAND())</f>
        <v>8.1198304943909894E-2</v>
      </c>
      <c r="U9771" s="59">
        <f ca="1">Dashboard!D$8* Dashboard!$F$4+Dashboard!D$10*SQRT(Dashboard!$F$4) * _xlfn.NORM.S.INV(RAND())</f>
        <v>-2.5216029441579888E-2</v>
      </c>
    </row>
    <row r="9772" spans="18:21" x14ac:dyDescent="0.2">
      <c r="R9772" s="49">
        <v>9770</v>
      </c>
      <c r="S9772" s="59">
        <f ca="1">Dashboard!B$8* Dashboard!$F$4+Dashboard!B$10*SQRT(Dashboard!$F$4) * _xlfn.NORM.S.INV(RAND())</f>
        <v>-1.8016391717641456E-2</v>
      </c>
      <c r="T9772" s="59">
        <f ca="1">Dashboard!C$8* Dashboard!$F$4+Dashboard!C$10*SQRT(Dashboard!$F$4) * _xlfn.NORM.S.INV(RAND())</f>
        <v>-7.9181956086888904E-3</v>
      </c>
      <c r="U9772" s="59">
        <f ca="1">Dashboard!D$8* Dashboard!$F$4+Dashboard!D$10*SQRT(Dashboard!$F$4) * _xlfn.NORM.S.INV(RAND())</f>
        <v>-5.9347343626576631E-3</v>
      </c>
    </row>
    <row r="9773" spans="18:21" x14ac:dyDescent="0.2">
      <c r="R9773" s="49">
        <v>9771</v>
      </c>
      <c r="S9773" s="59">
        <f ca="1">Dashboard!B$8* Dashboard!$F$4+Dashboard!B$10*SQRT(Dashboard!$F$4) * _xlfn.NORM.S.INV(RAND())</f>
        <v>4.5548149573919713E-2</v>
      </c>
      <c r="T9773" s="59">
        <f ca="1">Dashboard!C$8* Dashboard!$F$4+Dashboard!C$10*SQRT(Dashboard!$F$4) * _xlfn.NORM.S.INV(RAND())</f>
        <v>-1.6209768019977346E-2</v>
      </c>
      <c r="U9773" s="59">
        <f ca="1">Dashboard!D$8* Dashboard!$F$4+Dashboard!D$10*SQRT(Dashboard!$F$4) * _xlfn.NORM.S.INV(RAND())</f>
        <v>3.890418379787354E-2</v>
      </c>
    </row>
    <row r="9774" spans="18:21" x14ac:dyDescent="0.2">
      <c r="R9774" s="49">
        <v>9772</v>
      </c>
      <c r="S9774" s="59">
        <f ca="1">Dashboard!B$8* Dashboard!$F$4+Dashboard!B$10*SQRT(Dashboard!$F$4) * _xlfn.NORM.S.INV(RAND())</f>
        <v>-2.4637950507831109E-2</v>
      </c>
      <c r="T9774" s="59">
        <f ca="1">Dashboard!C$8* Dashboard!$F$4+Dashboard!C$10*SQRT(Dashboard!$F$4) * _xlfn.NORM.S.INV(RAND())</f>
        <v>-1.4874820554658826E-2</v>
      </c>
      <c r="U9774" s="59">
        <f ca="1">Dashboard!D$8* Dashboard!$F$4+Dashboard!D$10*SQRT(Dashboard!$F$4) * _xlfn.NORM.S.INV(RAND())</f>
        <v>-2.734236187887553E-2</v>
      </c>
    </row>
    <row r="9775" spans="18:21" x14ac:dyDescent="0.2">
      <c r="R9775" s="49">
        <v>9773</v>
      </c>
      <c r="S9775" s="59">
        <f ca="1">Dashboard!B$8* Dashboard!$F$4+Dashboard!B$10*SQRT(Dashboard!$F$4) * _xlfn.NORM.S.INV(RAND())</f>
        <v>-2.9969440361540894E-2</v>
      </c>
      <c r="T9775" s="59">
        <f ca="1">Dashboard!C$8* Dashboard!$F$4+Dashboard!C$10*SQRT(Dashboard!$F$4) * _xlfn.NORM.S.INV(RAND())</f>
        <v>-1.1786365495567695E-2</v>
      </c>
      <c r="U9775" s="59">
        <f ca="1">Dashboard!D$8* Dashboard!$F$4+Dashboard!D$10*SQRT(Dashboard!$F$4) * _xlfn.NORM.S.INV(RAND())</f>
        <v>2.6237917385865811E-2</v>
      </c>
    </row>
    <row r="9776" spans="18:21" x14ac:dyDescent="0.2">
      <c r="R9776" s="49">
        <v>9774</v>
      </c>
      <c r="S9776" s="59">
        <f ca="1">Dashboard!B$8* Dashboard!$F$4+Dashboard!B$10*SQRT(Dashboard!$F$4) * _xlfn.NORM.S.INV(RAND())</f>
        <v>-2.0837011155647123E-2</v>
      </c>
      <c r="T9776" s="59">
        <f ca="1">Dashboard!C$8* Dashboard!$F$4+Dashboard!C$10*SQRT(Dashboard!$F$4) * _xlfn.NORM.S.INV(RAND())</f>
        <v>1.9053435585728046E-2</v>
      </c>
      <c r="U9776" s="59">
        <f ca="1">Dashboard!D$8* Dashboard!$F$4+Dashboard!D$10*SQRT(Dashboard!$F$4) * _xlfn.NORM.S.INV(RAND())</f>
        <v>3.079962062617128E-3</v>
      </c>
    </row>
    <row r="9777" spans="18:21" x14ac:dyDescent="0.2">
      <c r="R9777" s="49">
        <v>9775</v>
      </c>
      <c r="S9777" s="59">
        <f ca="1">Dashboard!B$8* Dashboard!$F$4+Dashboard!B$10*SQRT(Dashboard!$F$4) * _xlfn.NORM.S.INV(RAND())</f>
        <v>-1.6357780851256731E-2</v>
      </c>
      <c r="T9777" s="59">
        <f ca="1">Dashboard!C$8* Dashboard!$F$4+Dashboard!C$10*SQRT(Dashboard!$F$4) * _xlfn.NORM.S.INV(RAND())</f>
        <v>-2.055295564304542E-2</v>
      </c>
      <c r="U9777" s="59">
        <f ca="1">Dashboard!D$8* Dashboard!$F$4+Dashboard!D$10*SQRT(Dashboard!$F$4) * _xlfn.NORM.S.INV(RAND())</f>
        <v>1.4797461736544349E-2</v>
      </c>
    </row>
    <row r="9778" spans="18:21" x14ac:dyDescent="0.2">
      <c r="R9778" s="49">
        <v>9776</v>
      </c>
      <c r="S9778" s="59">
        <f ca="1">Dashboard!B$8* Dashboard!$F$4+Dashboard!B$10*SQRT(Dashboard!$F$4) * _xlfn.NORM.S.INV(RAND())</f>
        <v>-1.1169257222621028E-2</v>
      </c>
      <c r="T9778" s="59">
        <f ca="1">Dashboard!C$8* Dashboard!$F$4+Dashboard!C$10*SQRT(Dashboard!$F$4) * _xlfn.NORM.S.INV(RAND())</f>
        <v>5.7728768315681599E-2</v>
      </c>
      <c r="U9778" s="59">
        <f ca="1">Dashboard!D$8* Dashboard!$F$4+Dashboard!D$10*SQRT(Dashboard!$F$4) * _xlfn.NORM.S.INV(RAND())</f>
        <v>2.9570603430372589E-2</v>
      </c>
    </row>
    <row r="9779" spans="18:21" x14ac:dyDescent="0.2">
      <c r="R9779" s="49">
        <v>9777</v>
      </c>
      <c r="S9779" s="59">
        <f ca="1">Dashboard!B$8* Dashboard!$F$4+Dashboard!B$10*SQRT(Dashboard!$F$4) * _xlfn.NORM.S.INV(RAND())</f>
        <v>4.1010329058141521E-3</v>
      </c>
      <c r="T9779" s="59">
        <f ca="1">Dashboard!C$8* Dashboard!$F$4+Dashboard!C$10*SQRT(Dashboard!$F$4) * _xlfn.NORM.S.INV(RAND())</f>
        <v>5.9855794542770617E-2</v>
      </c>
      <c r="U9779" s="59">
        <f ca="1">Dashboard!D$8* Dashboard!$F$4+Dashboard!D$10*SQRT(Dashboard!$F$4) * _xlfn.NORM.S.INV(RAND())</f>
        <v>3.2816220138697557E-3</v>
      </c>
    </row>
    <row r="9780" spans="18:21" x14ac:dyDescent="0.2">
      <c r="R9780" s="49">
        <v>9778</v>
      </c>
      <c r="S9780" s="59">
        <f ca="1">Dashboard!B$8* Dashboard!$F$4+Dashboard!B$10*SQRT(Dashboard!$F$4) * _xlfn.NORM.S.INV(RAND())</f>
        <v>2.6056553234136491E-2</v>
      </c>
      <c r="T9780" s="59">
        <f ca="1">Dashboard!C$8* Dashboard!$F$4+Dashboard!C$10*SQRT(Dashboard!$F$4) * _xlfn.NORM.S.INV(RAND())</f>
        <v>-4.4953550893556668E-2</v>
      </c>
      <c r="U9780" s="59">
        <f ca="1">Dashboard!D$8* Dashboard!$F$4+Dashboard!D$10*SQRT(Dashboard!$F$4) * _xlfn.NORM.S.INV(RAND())</f>
        <v>7.1138466918109066E-4</v>
      </c>
    </row>
    <row r="9781" spans="18:21" x14ac:dyDescent="0.2">
      <c r="R9781" s="49">
        <v>9779</v>
      </c>
      <c r="S9781" s="59">
        <f ca="1">Dashboard!B$8* Dashboard!$F$4+Dashboard!B$10*SQRT(Dashboard!$F$4) * _xlfn.NORM.S.INV(RAND())</f>
        <v>-3.603061099626944E-2</v>
      </c>
      <c r="T9781" s="59">
        <f ca="1">Dashboard!C$8* Dashboard!$F$4+Dashboard!C$10*SQRT(Dashboard!$F$4) * _xlfn.NORM.S.INV(RAND())</f>
        <v>3.0194455096293867E-2</v>
      </c>
      <c r="U9781" s="59">
        <f ca="1">Dashboard!D$8* Dashboard!$F$4+Dashboard!D$10*SQRT(Dashboard!$F$4) * _xlfn.NORM.S.INV(RAND())</f>
        <v>4.1358390911239051E-2</v>
      </c>
    </row>
    <row r="9782" spans="18:21" x14ac:dyDescent="0.2">
      <c r="R9782" s="49">
        <v>9780</v>
      </c>
      <c r="S9782" s="59">
        <f ca="1">Dashboard!B$8* Dashboard!$F$4+Dashboard!B$10*SQRT(Dashboard!$F$4) * _xlfn.NORM.S.INV(RAND())</f>
        <v>-3.9463644430938999E-2</v>
      </c>
      <c r="T9782" s="59">
        <f ca="1">Dashboard!C$8* Dashboard!$F$4+Dashboard!C$10*SQRT(Dashboard!$F$4) * _xlfn.NORM.S.INV(RAND())</f>
        <v>8.8239548560647363E-2</v>
      </c>
      <c r="U9782" s="59">
        <f ca="1">Dashboard!D$8* Dashboard!$F$4+Dashboard!D$10*SQRT(Dashboard!$F$4) * _xlfn.NORM.S.INV(RAND())</f>
        <v>-2.8755394484274867E-2</v>
      </c>
    </row>
    <row r="9783" spans="18:21" x14ac:dyDescent="0.2">
      <c r="R9783" s="49">
        <v>9781</v>
      </c>
      <c r="S9783" s="59">
        <f ca="1">Dashboard!B$8* Dashboard!$F$4+Dashboard!B$10*SQRT(Dashboard!$F$4) * _xlfn.NORM.S.INV(RAND())</f>
        <v>-3.9692350068425532E-3</v>
      </c>
      <c r="T9783" s="59">
        <f ca="1">Dashboard!C$8* Dashboard!$F$4+Dashboard!C$10*SQRT(Dashboard!$F$4) * _xlfn.NORM.S.INV(RAND())</f>
        <v>5.6343196321872006E-2</v>
      </c>
      <c r="U9783" s="59">
        <f ca="1">Dashboard!D$8* Dashboard!$F$4+Dashboard!D$10*SQRT(Dashboard!$F$4) * _xlfn.NORM.S.INV(RAND())</f>
        <v>3.6157927610782965E-2</v>
      </c>
    </row>
    <row r="9784" spans="18:21" x14ac:dyDescent="0.2">
      <c r="R9784" s="49">
        <v>9782</v>
      </c>
      <c r="S9784" s="59">
        <f ca="1">Dashboard!B$8* Dashboard!$F$4+Dashboard!B$10*SQRT(Dashboard!$F$4) * _xlfn.NORM.S.INV(RAND())</f>
        <v>-2.9055085151629745E-2</v>
      </c>
      <c r="T9784" s="59">
        <f ca="1">Dashboard!C$8* Dashboard!$F$4+Dashboard!C$10*SQRT(Dashboard!$F$4) * _xlfn.NORM.S.INV(RAND())</f>
        <v>3.9929047498570805E-2</v>
      </c>
      <c r="U9784" s="59">
        <f ca="1">Dashboard!D$8* Dashboard!$F$4+Dashboard!D$10*SQRT(Dashboard!$F$4) * _xlfn.NORM.S.INV(RAND())</f>
        <v>6.4892617997005977E-2</v>
      </c>
    </row>
    <row r="9785" spans="18:21" x14ac:dyDescent="0.2">
      <c r="R9785" s="49">
        <v>9783</v>
      </c>
      <c r="S9785" s="59">
        <f ca="1">Dashboard!B$8* Dashboard!$F$4+Dashboard!B$10*SQRT(Dashboard!$F$4) * _xlfn.NORM.S.INV(RAND())</f>
        <v>-7.2990949956434036E-3</v>
      </c>
      <c r="T9785" s="59">
        <f ca="1">Dashboard!C$8* Dashboard!$F$4+Dashboard!C$10*SQRT(Dashboard!$F$4) * _xlfn.NORM.S.INV(RAND())</f>
        <v>3.0821199476961939E-2</v>
      </c>
      <c r="U9785" s="59">
        <f ca="1">Dashboard!D$8* Dashboard!$F$4+Dashboard!D$10*SQRT(Dashboard!$F$4) * _xlfn.NORM.S.INV(RAND())</f>
        <v>-2.8271066107432609E-2</v>
      </c>
    </row>
    <row r="9786" spans="18:21" x14ac:dyDescent="0.2">
      <c r="R9786" s="49">
        <v>9784</v>
      </c>
      <c r="S9786" s="59">
        <f ca="1">Dashboard!B$8* Dashboard!$F$4+Dashboard!B$10*SQRT(Dashboard!$F$4) * _xlfn.NORM.S.INV(RAND())</f>
        <v>-1.8424567606649518E-2</v>
      </c>
      <c r="T9786" s="59">
        <f ca="1">Dashboard!C$8* Dashboard!$F$4+Dashboard!C$10*SQRT(Dashboard!$F$4) * _xlfn.NORM.S.INV(RAND())</f>
        <v>-3.2591590553195778E-2</v>
      </c>
      <c r="U9786" s="59">
        <f ca="1">Dashboard!D$8* Dashboard!$F$4+Dashboard!D$10*SQRT(Dashboard!$F$4) * _xlfn.NORM.S.INV(RAND())</f>
        <v>-4.5009787898553311E-2</v>
      </c>
    </row>
    <row r="9787" spans="18:21" x14ac:dyDescent="0.2">
      <c r="R9787" s="49">
        <v>9785</v>
      </c>
      <c r="S9787" s="59">
        <f ca="1">Dashboard!B$8* Dashboard!$F$4+Dashboard!B$10*SQRT(Dashboard!$F$4) * _xlfn.NORM.S.INV(RAND())</f>
        <v>-2.7890016470594817E-2</v>
      </c>
      <c r="T9787" s="59">
        <f ca="1">Dashboard!C$8* Dashboard!$F$4+Dashboard!C$10*SQRT(Dashboard!$F$4) * _xlfn.NORM.S.INV(RAND())</f>
        <v>-3.8927766994855161E-3</v>
      </c>
      <c r="U9787" s="59">
        <f ca="1">Dashboard!D$8* Dashboard!$F$4+Dashboard!D$10*SQRT(Dashboard!$F$4) * _xlfn.NORM.S.INV(RAND())</f>
        <v>5.3724999190971484E-3</v>
      </c>
    </row>
    <row r="9788" spans="18:21" x14ac:dyDescent="0.2">
      <c r="R9788" s="49">
        <v>9786</v>
      </c>
      <c r="S9788" s="59">
        <f ca="1">Dashboard!B$8* Dashboard!$F$4+Dashboard!B$10*SQRT(Dashboard!$F$4) * _xlfn.NORM.S.INV(RAND())</f>
        <v>3.2500049691913911E-2</v>
      </c>
      <c r="T9788" s="59">
        <f ca="1">Dashboard!C$8* Dashboard!$F$4+Dashboard!C$10*SQRT(Dashboard!$F$4) * _xlfn.NORM.S.INV(RAND())</f>
        <v>3.3697592416556191E-2</v>
      </c>
      <c r="U9788" s="59">
        <f ca="1">Dashboard!D$8* Dashboard!$F$4+Dashboard!D$10*SQRT(Dashboard!$F$4) * _xlfn.NORM.S.INV(RAND())</f>
        <v>2.0792196446287308E-2</v>
      </c>
    </row>
    <row r="9789" spans="18:21" x14ac:dyDescent="0.2">
      <c r="R9789" s="49">
        <v>9787</v>
      </c>
      <c r="S9789" s="59">
        <f ca="1">Dashboard!B$8* Dashboard!$F$4+Dashboard!B$10*SQRT(Dashboard!$F$4) * _xlfn.NORM.S.INV(RAND())</f>
        <v>1.2500762788209429E-2</v>
      </c>
      <c r="T9789" s="59">
        <f ca="1">Dashboard!C$8* Dashboard!$F$4+Dashboard!C$10*SQRT(Dashboard!$F$4) * _xlfn.NORM.S.INV(RAND())</f>
        <v>8.3936419173544392E-3</v>
      </c>
      <c r="U9789" s="59">
        <f ca="1">Dashboard!D$8* Dashboard!$F$4+Dashboard!D$10*SQRT(Dashboard!$F$4) * _xlfn.NORM.S.INV(RAND())</f>
        <v>-2.1516815519988051E-2</v>
      </c>
    </row>
    <row r="9790" spans="18:21" x14ac:dyDescent="0.2">
      <c r="R9790" s="49">
        <v>9788</v>
      </c>
      <c r="S9790" s="59">
        <f ca="1">Dashboard!B$8* Dashboard!$F$4+Dashboard!B$10*SQRT(Dashboard!$F$4) * _xlfn.NORM.S.INV(RAND())</f>
        <v>-4.7003783556293512E-2</v>
      </c>
      <c r="T9790" s="59">
        <f ca="1">Dashboard!C$8* Dashboard!$F$4+Dashboard!C$10*SQRT(Dashboard!$F$4) * _xlfn.NORM.S.INV(RAND())</f>
        <v>3.6147221300133418E-2</v>
      </c>
      <c r="U9790" s="59">
        <f ca="1">Dashboard!D$8* Dashboard!$F$4+Dashboard!D$10*SQRT(Dashboard!$F$4) * _xlfn.NORM.S.INV(RAND())</f>
        <v>2.4492155016578698E-2</v>
      </c>
    </row>
    <row r="9791" spans="18:21" x14ac:dyDescent="0.2">
      <c r="R9791" s="49">
        <v>9789</v>
      </c>
      <c r="S9791" s="59">
        <f ca="1">Dashboard!B$8* Dashboard!$F$4+Dashboard!B$10*SQRT(Dashboard!$F$4) * _xlfn.NORM.S.INV(RAND())</f>
        <v>-3.1995542025077636E-2</v>
      </c>
      <c r="T9791" s="59">
        <f ca="1">Dashboard!C$8* Dashboard!$F$4+Dashboard!C$10*SQRT(Dashboard!$F$4) * _xlfn.NORM.S.INV(RAND())</f>
        <v>-1.3783502528132208E-2</v>
      </c>
      <c r="U9791" s="59">
        <f ca="1">Dashboard!D$8* Dashboard!$F$4+Dashboard!D$10*SQRT(Dashboard!$F$4) * _xlfn.NORM.S.INV(RAND())</f>
        <v>-2.1121737667578716E-2</v>
      </c>
    </row>
    <row r="9792" spans="18:21" x14ac:dyDescent="0.2">
      <c r="R9792" s="49">
        <v>9790</v>
      </c>
      <c r="S9792" s="59">
        <f ca="1">Dashboard!B$8* Dashboard!$F$4+Dashboard!B$10*SQRT(Dashboard!$F$4) * _xlfn.NORM.S.INV(RAND())</f>
        <v>-2.5783416503461803E-2</v>
      </c>
      <c r="T9792" s="59">
        <f ca="1">Dashboard!C$8* Dashboard!$F$4+Dashboard!C$10*SQRT(Dashboard!$F$4) * _xlfn.NORM.S.INV(RAND())</f>
        <v>3.4790853501359194E-2</v>
      </c>
      <c r="U9792" s="59">
        <f ca="1">Dashboard!D$8* Dashboard!$F$4+Dashboard!D$10*SQRT(Dashboard!$F$4) * _xlfn.NORM.S.INV(RAND())</f>
        <v>3.8176043514179334E-3</v>
      </c>
    </row>
    <row r="9793" spans="18:21" x14ac:dyDescent="0.2">
      <c r="R9793" s="49">
        <v>9791</v>
      </c>
      <c r="S9793" s="59">
        <f ca="1">Dashboard!B$8* Dashboard!$F$4+Dashboard!B$10*SQRT(Dashboard!$F$4) * _xlfn.NORM.S.INV(RAND())</f>
        <v>-4.5511835811353339E-2</v>
      </c>
      <c r="T9793" s="59">
        <f ca="1">Dashboard!C$8* Dashboard!$F$4+Dashboard!C$10*SQRT(Dashboard!$F$4) * _xlfn.NORM.S.INV(RAND())</f>
        <v>-1.5669959580063456E-2</v>
      </c>
      <c r="U9793" s="59">
        <f ca="1">Dashboard!D$8* Dashboard!$F$4+Dashboard!D$10*SQRT(Dashboard!$F$4) * _xlfn.NORM.S.INV(RAND())</f>
        <v>1.1346175583468884E-2</v>
      </c>
    </row>
    <row r="9794" spans="18:21" x14ac:dyDescent="0.2">
      <c r="R9794" s="49">
        <v>9792</v>
      </c>
      <c r="S9794" s="59">
        <f ca="1">Dashboard!B$8* Dashboard!$F$4+Dashboard!B$10*SQRT(Dashboard!$F$4) * _xlfn.NORM.S.INV(RAND())</f>
        <v>3.2484814021386726E-2</v>
      </c>
      <c r="T9794" s="59">
        <f ca="1">Dashboard!C$8* Dashboard!$F$4+Dashboard!C$10*SQRT(Dashboard!$F$4) * _xlfn.NORM.S.INV(RAND())</f>
        <v>2.732895231571127E-2</v>
      </c>
      <c r="U9794" s="59">
        <f ca="1">Dashboard!D$8* Dashboard!$F$4+Dashboard!D$10*SQRT(Dashboard!$F$4) * _xlfn.NORM.S.INV(RAND())</f>
        <v>-1.9784252070840662E-2</v>
      </c>
    </row>
    <row r="9795" spans="18:21" x14ac:dyDescent="0.2">
      <c r="R9795" s="49">
        <v>9793</v>
      </c>
      <c r="S9795" s="59">
        <f ca="1">Dashboard!B$8* Dashboard!$F$4+Dashboard!B$10*SQRT(Dashboard!$F$4) * _xlfn.NORM.S.INV(RAND())</f>
        <v>-2.0221651216061141E-2</v>
      </c>
      <c r="T9795" s="59">
        <f ca="1">Dashboard!C$8* Dashboard!$F$4+Dashboard!C$10*SQRT(Dashboard!$F$4) * _xlfn.NORM.S.INV(RAND())</f>
        <v>-4.9582338503334739E-2</v>
      </c>
      <c r="U9795" s="59">
        <f ca="1">Dashboard!D$8* Dashboard!$F$4+Dashboard!D$10*SQRT(Dashboard!$F$4) * _xlfn.NORM.S.INV(RAND())</f>
        <v>-8.5664021129283532E-3</v>
      </c>
    </row>
    <row r="9796" spans="18:21" x14ac:dyDescent="0.2">
      <c r="R9796" s="49">
        <v>9794</v>
      </c>
      <c r="S9796" s="59">
        <f ca="1">Dashboard!B$8* Dashboard!$F$4+Dashboard!B$10*SQRT(Dashboard!$F$4) * _xlfn.NORM.S.INV(RAND())</f>
        <v>2.4480364667748916E-2</v>
      </c>
      <c r="T9796" s="59">
        <f ca="1">Dashboard!C$8* Dashboard!$F$4+Dashboard!C$10*SQRT(Dashboard!$F$4) * _xlfn.NORM.S.INV(RAND())</f>
        <v>2.0758453171631188E-2</v>
      </c>
      <c r="U9796" s="59">
        <f ca="1">Dashboard!D$8* Dashboard!$F$4+Dashboard!D$10*SQRT(Dashboard!$F$4) * _xlfn.NORM.S.INV(RAND())</f>
        <v>-5.5953208807327424E-2</v>
      </c>
    </row>
    <row r="9797" spans="18:21" x14ac:dyDescent="0.2">
      <c r="R9797" s="49">
        <v>9795</v>
      </c>
      <c r="S9797" s="59">
        <f ca="1">Dashboard!B$8* Dashboard!$F$4+Dashboard!B$10*SQRT(Dashboard!$F$4) * _xlfn.NORM.S.INV(RAND())</f>
        <v>9.349225395106648E-3</v>
      </c>
      <c r="T9797" s="59">
        <f ca="1">Dashboard!C$8* Dashboard!$F$4+Dashboard!C$10*SQRT(Dashboard!$F$4) * _xlfn.NORM.S.INV(RAND())</f>
        <v>1.8810803131318558E-2</v>
      </c>
      <c r="U9797" s="59">
        <f ca="1">Dashboard!D$8* Dashboard!$F$4+Dashboard!D$10*SQRT(Dashboard!$F$4) * _xlfn.NORM.S.INV(RAND())</f>
        <v>7.5730862961514165E-3</v>
      </c>
    </row>
    <row r="9798" spans="18:21" x14ac:dyDescent="0.2">
      <c r="R9798" s="49">
        <v>9796</v>
      </c>
      <c r="S9798" s="59">
        <f ca="1">Dashboard!B$8* Dashboard!$F$4+Dashboard!B$10*SQRT(Dashboard!$F$4) * _xlfn.NORM.S.INV(RAND())</f>
        <v>1.3908630098105593E-2</v>
      </c>
      <c r="T9798" s="59">
        <f ca="1">Dashboard!C$8* Dashboard!$F$4+Dashboard!C$10*SQRT(Dashboard!$F$4) * _xlfn.NORM.S.INV(RAND())</f>
        <v>2.0894090051286597E-2</v>
      </c>
      <c r="U9798" s="59">
        <f ca="1">Dashboard!D$8* Dashboard!$F$4+Dashboard!D$10*SQRT(Dashboard!$F$4) * _xlfn.NORM.S.INV(RAND())</f>
        <v>-5.4511903345840003E-2</v>
      </c>
    </row>
    <row r="9799" spans="18:21" x14ac:dyDescent="0.2">
      <c r="R9799" s="49">
        <v>9797</v>
      </c>
      <c r="S9799" s="59">
        <f ca="1">Dashboard!B$8* Dashboard!$F$4+Dashboard!B$10*SQRT(Dashboard!$F$4) * _xlfn.NORM.S.INV(RAND())</f>
        <v>1.730000482171206E-2</v>
      </c>
      <c r="T9799" s="59">
        <f ca="1">Dashboard!C$8* Dashboard!$F$4+Dashboard!C$10*SQRT(Dashboard!$F$4) * _xlfn.NORM.S.INV(RAND())</f>
        <v>1.8496158779079393E-2</v>
      </c>
      <c r="U9799" s="59">
        <f ca="1">Dashboard!D$8* Dashboard!$F$4+Dashboard!D$10*SQRT(Dashboard!$F$4) * _xlfn.NORM.S.INV(RAND())</f>
        <v>-3.8028977136392028E-2</v>
      </c>
    </row>
    <row r="9800" spans="18:21" x14ac:dyDescent="0.2">
      <c r="R9800" s="49">
        <v>9798</v>
      </c>
      <c r="S9800" s="59">
        <f ca="1">Dashboard!B$8* Dashboard!$F$4+Dashboard!B$10*SQRT(Dashboard!$F$4) * _xlfn.NORM.S.INV(RAND())</f>
        <v>-3.235476028946805E-2</v>
      </c>
      <c r="T9800" s="59">
        <f ca="1">Dashboard!C$8* Dashboard!$F$4+Dashboard!C$10*SQRT(Dashboard!$F$4) * _xlfn.NORM.S.INV(RAND())</f>
        <v>2.1890988676990197E-2</v>
      </c>
      <c r="U9800" s="59">
        <f ca="1">Dashboard!D$8* Dashboard!$F$4+Dashboard!D$10*SQRT(Dashboard!$F$4) * _xlfn.NORM.S.INV(RAND())</f>
        <v>-4.1989682747767043E-2</v>
      </c>
    </row>
    <row r="9801" spans="18:21" x14ac:dyDescent="0.2">
      <c r="R9801" s="49">
        <v>9799</v>
      </c>
      <c r="S9801" s="59">
        <f ca="1">Dashboard!B$8* Dashboard!$F$4+Dashboard!B$10*SQRT(Dashboard!$F$4) * _xlfn.NORM.S.INV(RAND())</f>
        <v>5.1637668440107573E-3</v>
      </c>
      <c r="T9801" s="59">
        <f ca="1">Dashboard!C$8* Dashboard!$F$4+Dashboard!C$10*SQRT(Dashboard!$F$4) * _xlfn.NORM.S.INV(RAND())</f>
        <v>2.6836287595403165E-2</v>
      </c>
      <c r="U9801" s="59">
        <f ca="1">Dashboard!D$8* Dashboard!$F$4+Dashboard!D$10*SQRT(Dashboard!$F$4) * _xlfn.NORM.S.INV(RAND())</f>
        <v>7.3079560251757278E-3</v>
      </c>
    </row>
    <row r="9802" spans="18:21" x14ac:dyDescent="0.2">
      <c r="R9802" s="49">
        <v>9800</v>
      </c>
      <c r="S9802" s="59">
        <f ca="1">Dashboard!B$8* Dashboard!$F$4+Dashboard!B$10*SQRT(Dashboard!$F$4) * _xlfn.NORM.S.INV(RAND())</f>
        <v>6.45542231825494E-2</v>
      </c>
      <c r="T9802" s="59">
        <f ca="1">Dashboard!C$8* Dashboard!$F$4+Dashboard!C$10*SQRT(Dashboard!$F$4) * _xlfn.NORM.S.INV(RAND())</f>
        <v>1.9947848242905623E-2</v>
      </c>
      <c r="U9802" s="59">
        <f ca="1">Dashboard!D$8* Dashboard!$F$4+Dashboard!D$10*SQRT(Dashboard!$F$4) * _xlfn.NORM.S.INV(RAND())</f>
        <v>-3.5506760744332268E-2</v>
      </c>
    </row>
    <row r="9803" spans="18:21" x14ac:dyDescent="0.2">
      <c r="R9803" s="49">
        <v>9801</v>
      </c>
      <c r="S9803" s="59">
        <f ca="1">Dashboard!B$8* Dashboard!$F$4+Dashboard!B$10*SQRT(Dashboard!$F$4) * _xlfn.NORM.S.INV(RAND())</f>
        <v>9.6490732513903263E-3</v>
      </c>
      <c r="T9803" s="59">
        <f ca="1">Dashboard!C$8* Dashboard!$F$4+Dashboard!C$10*SQRT(Dashboard!$F$4) * _xlfn.NORM.S.INV(RAND())</f>
        <v>-4.1616173215206108E-3</v>
      </c>
      <c r="U9803" s="59">
        <f ca="1">Dashboard!D$8* Dashboard!$F$4+Dashboard!D$10*SQRT(Dashboard!$F$4) * _xlfn.NORM.S.INV(RAND())</f>
        <v>-2.8857912255697206E-2</v>
      </c>
    </row>
    <row r="9804" spans="18:21" x14ac:dyDescent="0.2">
      <c r="R9804" s="49">
        <v>9802</v>
      </c>
      <c r="S9804" s="59">
        <f ca="1">Dashboard!B$8* Dashboard!$F$4+Dashboard!B$10*SQRT(Dashboard!$F$4) * _xlfn.NORM.S.INV(RAND())</f>
        <v>3.6430756773621648E-2</v>
      </c>
      <c r="T9804" s="59">
        <f ca="1">Dashboard!C$8* Dashboard!$F$4+Dashboard!C$10*SQRT(Dashboard!$F$4) * _xlfn.NORM.S.INV(RAND())</f>
        <v>-4.7708323790236961E-3</v>
      </c>
      <c r="U9804" s="59">
        <f ca="1">Dashboard!D$8* Dashboard!$F$4+Dashboard!D$10*SQRT(Dashboard!$F$4) * _xlfn.NORM.S.INV(RAND())</f>
        <v>-4.4612136920838888E-2</v>
      </c>
    </row>
    <row r="9805" spans="18:21" x14ac:dyDescent="0.2">
      <c r="R9805" s="49">
        <v>9803</v>
      </c>
      <c r="S9805" s="59">
        <f ca="1">Dashboard!B$8* Dashboard!$F$4+Dashboard!B$10*SQRT(Dashboard!$F$4) * _xlfn.NORM.S.INV(RAND())</f>
        <v>-2.8246069783842122E-2</v>
      </c>
      <c r="T9805" s="59">
        <f ca="1">Dashboard!C$8* Dashboard!$F$4+Dashboard!C$10*SQRT(Dashboard!$F$4) * _xlfn.NORM.S.INV(RAND())</f>
        <v>-7.5556347201008886E-2</v>
      </c>
      <c r="U9805" s="59">
        <f ca="1">Dashboard!D$8* Dashboard!$F$4+Dashboard!D$10*SQRT(Dashboard!$F$4) * _xlfn.NORM.S.INV(RAND())</f>
        <v>5.739175182460602E-2</v>
      </c>
    </row>
    <row r="9806" spans="18:21" x14ac:dyDescent="0.2">
      <c r="R9806" s="49">
        <v>9804</v>
      </c>
      <c r="S9806" s="59">
        <f ca="1">Dashboard!B$8* Dashboard!$F$4+Dashboard!B$10*SQRT(Dashboard!$F$4) * _xlfn.NORM.S.INV(RAND())</f>
        <v>-6.9909825170791792E-2</v>
      </c>
      <c r="T9806" s="59">
        <f ca="1">Dashboard!C$8* Dashboard!$F$4+Dashboard!C$10*SQRT(Dashboard!$F$4) * _xlfn.NORM.S.INV(RAND())</f>
        <v>3.1853012876462854E-2</v>
      </c>
      <c r="U9806" s="59">
        <f ca="1">Dashboard!D$8* Dashboard!$F$4+Dashboard!D$10*SQRT(Dashboard!$F$4) * _xlfn.NORM.S.INV(RAND())</f>
        <v>-7.9532069650919152E-3</v>
      </c>
    </row>
    <row r="9807" spans="18:21" x14ac:dyDescent="0.2">
      <c r="R9807" s="49">
        <v>9805</v>
      </c>
      <c r="S9807" s="59">
        <f ca="1">Dashboard!B$8* Dashboard!$F$4+Dashboard!B$10*SQRT(Dashboard!$F$4) * _xlfn.NORM.S.INV(RAND())</f>
        <v>1.1033552958042819E-2</v>
      </c>
      <c r="T9807" s="59">
        <f ca="1">Dashboard!C$8* Dashboard!$F$4+Dashboard!C$10*SQRT(Dashboard!$F$4) * _xlfn.NORM.S.INV(RAND())</f>
        <v>2.8733569734864465E-3</v>
      </c>
      <c r="U9807" s="59">
        <f ca="1">Dashboard!D$8* Dashboard!$F$4+Dashboard!D$10*SQRT(Dashboard!$F$4) * _xlfn.NORM.S.INV(RAND())</f>
        <v>6.4944874167247674E-2</v>
      </c>
    </row>
    <row r="9808" spans="18:21" x14ac:dyDescent="0.2">
      <c r="R9808" s="49">
        <v>9806</v>
      </c>
      <c r="S9808" s="59">
        <f ca="1">Dashboard!B$8* Dashboard!$F$4+Dashboard!B$10*SQRT(Dashboard!$F$4) * _xlfn.NORM.S.INV(RAND())</f>
        <v>-5.1124711991336273E-2</v>
      </c>
      <c r="T9808" s="59">
        <f ca="1">Dashboard!C$8* Dashboard!$F$4+Dashboard!C$10*SQRT(Dashboard!$F$4) * _xlfn.NORM.S.INV(RAND())</f>
        <v>1.2567683306977995E-2</v>
      </c>
      <c r="U9808" s="59">
        <f ca="1">Dashboard!D$8* Dashboard!$F$4+Dashboard!D$10*SQRT(Dashboard!$F$4) * _xlfn.NORM.S.INV(RAND())</f>
        <v>5.2608051664481154E-2</v>
      </c>
    </row>
    <row r="9809" spans="18:21" x14ac:dyDescent="0.2">
      <c r="R9809" s="49">
        <v>9807</v>
      </c>
      <c r="S9809" s="59">
        <f ca="1">Dashboard!B$8* Dashboard!$F$4+Dashboard!B$10*SQRT(Dashboard!$F$4) * _xlfn.NORM.S.INV(RAND())</f>
        <v>2.8022456167467798E-2</v>
      </c>
      <c r="T9809" s="59">
        <f ca="1">Dashboard!C$8* Dashboard!$F$4+Dashboard!C$10*SQRT(Dashboard!$F$4) * _xlfn.NORM.S.INV(RAND())</f>
        <v>3.1411287322801636E-2</v>
      </c>
      <c r="U9809" s="59">
        <f ca="1">Dashboard!D$8* Dashboard!$F$4+Dashboard!D$10*SQRT(Dashboard!$F$4) * _xlfn.NORM.S.INV(RAND())</f>
        <v>-1.2103038983827272E-3</v>
      </c>
    </row>
    <row r="9810" spans="18:21" x14ac:dyDescent="0.2">
      <c r="R9810" s="49">
        <v>9808</v>
      </c>
      <c r="S9810" s="59">
        <f ca="1">Dashboard!B$8* Dashboard!$F$4+Dashboard!B$10*SQRT(Dashboard!$F$4) * _xlfn.NORM.S.INV(RAND())</f>
        <v>-2.7163454976905456E-2</v>
      </c>
      <c r="T9810" s="59">
        <f ca="1">Dashboard!C$8* Dashboard!$F$4+Dashboard!C$10*SQRT(Dashboard!$F$4) * _xlfn.NORM.S.INV(RAND())</f>
        <v>-1.9674023069924291E-2</v>
      </c>
      <c r="U9810" s="59">
        <f ca="1">Dashboard!D$8* Dashboard!$F$4+Dashboard!D$10*SQRT(Dashboard!$F$4) * _xlfn.NORM.S.INV(RAND())</f>
        <v>-4.672956939298429E-2</v>
      </c>
    </row>
    <row r="9811" spans="18:21" x14ac:dyDescent="0.2">
      <c r="R9811" s="49">
        <v>9809</v>
      </c>
      <c r="S9811" s="59">
        <f ca="1">Dashboard!B$8* Dashboard!$F$4+Dashboard!B$10*SQRT(Dashboard!$F$4) * _xlfn.NORM.S.INV(RAND())</f>
        <v>-2.6297337473589005E-2</v>
      </c>
      <c r="T9811" s="59">
        <f ca="1">Dashboard!C$8* Dashboard!$F$4+Dashboard!C$10*SQRT(Dashboard!$F$4) * _xlfn.NORM.S.INV(RAND())</f>
        <v>2.8567653439392045E-2</v>
      </c>
      <c r="U9811" s="59">
        <f ca="1">Dashboard!D$8* Dashboard!$F$4+Dashboard!D$10*SQRT(Dashboard!$F$4) * _xlfn.NORM.S.INV(RAND())</f>
        <v>-3.2396487362553072E-2</v>
      </c>
    </row>
    <row r="9812" spans="18:21" x14ac:dyDescent="0.2">
      <c r="R9812" s="49">
        <v>9810</v>
      </c>
      <c r="S9812" s="59">
        <f ca="1">Dashboard!B$8* Dashboard!$F$4+Dashboard!B$10*SQRT(Dashboard!$F$4) * _xlfn.NORM.S.INV(RAND())</f>
        <v>2.2662308866404239E-2</v>
      </c>
      <c r="T9812" s="59">
        <f ca="1">Dashboard!C$8* Dashboard!$F$4+Dashboard!C$10*SQRT(Dashboard!$F$4) * _xlfn.NORM.S.INV(RAND())</f>
        <v>-1.7372703007626621E-2</v>
      </c>
      <c r="U9812" s="59">
        <f ca="1">Dashboard!D$8* Dashboard!$F$4+Dashboard!D$10*SQRT(Dashboard!$F$4) * _xlfn.NORM.S.INV(RAND())</f>
        <v>3.1710776815285613E-2</v>
      </c>
    </row>
    <row r="9813" spans="18:21" x14ac:dyDescent="0.2">
      <c r="R9813" s="49">
        <v>9811</v>
      </c>
      <c r="S9813" s="59">
        <f ca="1">Dashboard!B$8* Dashboard!$F$4+Dashboard!B$10*SQRT(Dashboard!$F$4) * _xlfn.NORM.S.INV(RAND())</f>
        <v>-6.3694031567937875E-2</v>
      </c>
      <c r="T9813" s="59">
        <f ca="1">Dashboard!C$8* Dashboard!$F$4+Dashboard!C$10*SQRT(Dashboard!$F$4) * _xlfn.NORM.S.INV(RAND())</f>
        <v>3.5869985699304496E-2</v>
      </c>
      <c r="U9813" s="59">
        <f ca="1">Dashboard!D$8* Dashboard!$F$4+Dashboard!D$10*SQRT(Dashboard!$F$4) * _xlfn.NORM.S.INV(RAND())</f>
        <v>4.4836904626675604E-2</v>
      </c>
    </row>
    <row r="9814" spans="18:21" x14ac:dyDescent="0.2">
      <c r="R9814" s="49">
        <v>9812</v>
      </c>
      <c r="S9814" s="59">
        <f ca="1">Dashboard!B$8* Dashboard!$F$4+Dashboard!B$10*SQRT(Dashboard!$F$4) * _xlfn.NORM.S.INV(RAND())</f>
        <v>5.0893153218707528E-3</v>
      </c>
      <c r="T9814" s="59">
        <f ca="1">Dashboard!C$8* Dashboard!$F$4+Dashboard!C$10*SQRT(Dashboard!$F$4) * _xlfn.NORM.S.INV(RAND())</f>
        <v>-8.7067806645873998E-3</v>
      </c>
      <c r="U9814" s="59">
        <f ca="1">Dashboard!D$8* Dashboard!$F$4+Dashboard!D$10*SQRT(Dashboard!$F$4) * _xlfn.NORM.S.INV(RAND())</f>
        <v>-3.0635543702776477E-2</v>
      </c>
    </row>
    <row r="9815" spans="18:21" x14ac:dyDescent="0.2">
      <c r="R9815" s="49">
        <v>9813</v>
      </c>
      <c r="S9815" s="59">
        <f ca="1">Dashboard!B$8* Dashboard!$F$4+Dashboard!B$10*SQRT(Dashboard!$F$4) * _xlfn.NORM.S.INV(RAND())</f>
        <v>1.8493416895519622E-2</v>
      </c>
      <c r="T9815" s="59">
        <f ca="1">Dashboard!C$8* Dashboard!$F$4+Dashboard!C$10*SQRT(Dashboard!$F$4) * _xlfn.NORM.S.INV(RAND())</f>
        <v>-4.7521275801747614E-2</v>
      </c>
      <c r="U9815" s="59">
        <f ca="1">Dashboard!D$8* Dashboard!$F$4+Dashboard!D$10*SQRT(Dashboard!$F$4) * _xlfn.NORM.S.INV(RAND())</f>
        <v>-2.845718867448856E-2</v>
      </c>
    </row>
    <row r="9816" spans="18:21" x14ac:dyDescent="0.2">
      <c r="R9816" s="49">
        <v>9814</v>
      </c>
      <c r="S9816" s="59">
        <f ca="1">Dashboard!B$8* Dashboard!$F$4+Dashboard!B$10*SQRT(Dashboard!$F$4) * _xlfn.NORM.S.INV(RAND())</f>
        <v>-5.2551643596336031E-2</v>
      </c>
      <c r="T9816" s="59">
        <f ca="1">Dashboard!C$8* Dashboard!$F$4+Dashboard!C$10*SQRT(Dashboard!$F$4) * _xlfn.NORM.S.INV(RAND())</f>
        <v>4.2716747506849173E-2</v>
      </c>
      <c r="U9816" s="59">
        <f ca="1">Dashboard!D$8* Dashboard!$F$4+Dashboard!D$10*SQRT(Dashboard!$F$4) * _xlfn.NORM.S.INV(RAND())</f>
        <v>-2.2479612946909339E-2</v>
      </c>
    </row>
    <row r="9817" spans="18:21" x14ac:dyDescent="0.2">
      <c r="R9817" s="49">
        <v>9815</v>
      </c>
      <c r="S9817" s="59">
        <f ca="1">Dashboard!B$8* Dashboard!$F$4+Dashboard!B$10*SQRT(Dashboard!$F$4) * _xlfn.NORM.S.INV(RAND())</f>
        <v>1.4130215675457582E-2</v>
      </c>
      <c r="T9817" s="59">
        <f ca="1">Dashboard!C$8* Dashboard!$F$4+Dashboard!C$10*SQRT(Dashboard!$F$4) * _xlfn.NORM.S.INV(RAND())</f>
        <v>-4.3215420899141793E-2</v>
      </c>
      <c r="U9817" s="59">
        <f ca="1">Dashboard!D$8* Dashboard!$F$4+Dashboard!D$10*SQRT(Dashboard!$F$4) * _xlfn.NORM.S.INV(RAND())</f>
        <v>4.2368731104918775E-2</v>
      </c>
    </row>
    <row r="9818" spans="18:21" x14ac:dyDescent="0.2">
      <c r="R9818" s="49">
        <v>9816</v>
      </c>
      <c r="S9818" s="59">
        <f ca="1">Dashboard!B$8* Dashboard!$F$4+Dashboard!B$10*SQRT(Dashboard!$F$4) * _xlfn.NORM.S.INV(RAND())</f>
        <v>6.587348535824282E-2</v>
      </c>
      <c r="T9818" s="59">
        <f ca="1">Dashboard!C$8* Dashboard!$F$4+Dashboard!C$10*SQRT(Dashboard!$F$4) * _xlfn.NORM.S.INV(RAND())</f>
        <v>-6.2267662978021153E-3</v>
      </c>
      <c r="U9818" s="59">
        <f ca="1">Dashboard!D$8* Dashboard!$F$4+Dashboard!D$10*SQRT(Dashboard!$F$4) * _xlfn.NORM.S.INV(RAND())</f>
        <v>-2.1233390471684061E-2</v>
      </c>
    </row>
    <row r="9819" spans="18:21" x14ac:dyDescent="0.2">
      <c r="R9819" s="49">
        <v>9817</v>
      </c>
      <c r="S9819" s="59">
        <f ca="1">Dashboard!B$8* Dashboard!$F$4+Dashboard!B$10*SQRT(Dashboard!$F$4) * _xlfn.NORM.S.INV(RAND())</f>
        <v>2.2853415074980728E-3</v>
      </c>
      <c r="T9819" s="59">
        <f ca="1">Dashboard!C$8* Dashboard!$F$4+Dashboard!C$10*SQRT(Dashboard!$F$4) * _xlfn.NORM.S.INV(RAND())</f>
        <v>2.2786674919484846E-2</v>
      </c>
      <c r="U9819" s="59">
        <f ca="1">Dashboard!D$8* Dashboard!$F$4+Dashboard!D$10*SQRT(Dashboard!$F$4) * _xlfn.NORM.S.INV(RAND())</f>
        <v>-1.0624246295947224E-2</v>
      </c>
    </row>
    <row r="9820" spans="18:21" x14ac:dyDescent="0.2">
      <c r="R9820" s="49">
        <v>9818</v>
      </c>
      <c r="S9820" s="59">
        <f ca="1">Dashboard!B$8* Dashboard!$F$4+Dashboard!B$10*SQRT(Dashboard!$F$4) * _xlfn.NORM.S.INV(RAND())</f>
        <v>-4.0973399353819981E-2</v>
      </c>
      <c r="T9820" s="59">
        <f ca="1">Dashboard!C$8* Dashboard!$F$4+Dashboard!C$10*SQRT(Dashboard!$F$4) * _xlfn.NORM.S.INV(RAND())</f>
        <v>-1.9449859288796393E-2</v>
      </c>
      <c r="U9820" s="59">
        <f ca="1">Dashboard!D$8* Dashboard!$F$4+Dashboard!D$10*SQRT(Dashboard!$F$4) * _xlfn.NORM.S.INV(RAND())</f>
        <v>-6.496029240911398E-3</v>
      </c>
    </row>
    <row r="9821" spans="18:21" x14ac:dyDescent="0.2">
      <c r="R9821" s="49">
        <v>9819</v>
      </c>
      <c r="S9821" s="59">
        <f ca="1">Dashboard!B$8* Dashboard!$F$4+Dashboard!B$10*SQRT(Dashboard!$F$4) * _xlfn.NORM.S.INV(RAND())</f>
        <v>3.2852081331867129E-2</v>
      </c>
      <c r="T9821" s="59">
        <f ca="1">Dashboard!C$8* Dashboard!$F$4+Dashboard!C$10*SQRT(Dashboard!$F$4) * _xlfn.NORM.S.INV(RAND())</f>
        <v>-1.4683443653483085E-2</v>
      </c>
      <c r="U9821" s="59">
        <f ca="1">Dashboard!D$8* Dashboard!$F$4+Dashboard!D$10*SQRT(Dashboard!$F$4) * _xlfn.NORM.S.INV(RAND())</f>
        <v>-2.4917942126001225E-2</v>
      </c>
    </row>
    <row r="9822" spans="18:21" x14ac:dyDescent="0.2">
      <c r="R9822" s="49">
        <v>9820</v>
      </c>
      <c r="S9822" s="59">
        <f ca="1">Dashboard!B$8* Dashboard!$F$4+Dashboard!B$10*SQRT(Dashboard!$F$4) * _xlfn.NORM.S.INV(RAND())</f>
        <v>-2.0792382761854689E-2</v>
      </c>
      <c r="T9822" s="59">
        <f ca="1">Dashboard!C$8* Dashboard!$F$4+Dashboard!C$10*SQRT(Dashboard!$F$4) * _xlfn.NORM.S.INV(RAND())</f>
        <v>-5.7060732015494942E-2</v>
      </c>
      <c r="U9822" s="59">
        <f ca="1">Dashboard!D$8* Dashboard!$F$4+Dashboard!D$10*SQRT(Dashboard!$F$4) * _xlfn.NORM.S.INV(RAND())</f>
        <v>-4.9652147526051439E-2</v>
      </c>
    </row>
    <row r="9823" spans="18:21" x14ac:dyDescent="0.2">
      <c r="R9823" s="49">
        <v>9821</v>
      </c>
      <c r="S9823" s="59">
        <f ca="1">Dashboard!B$8* Dashboard!$F$4+Dashboard!B$10*SQRT(Dashboard!$F$4) * _xlfn.NORM.S.INV(RAND())</f>
        <v>1.9622375417753114E-2</v>
      </c>
      <c r="T9823" s="59">
        <f ca="1">Dashboard!C$8* Dashboard!$F$4+Dashboard!C$10*SQRT(Dashboard!$F$4) * _xlfn.NORM.S.INV(RAND())</f>
        <v>4.1232445139620599E-2</v>
      </c>
      <c r="U9823" s="59">
        <f ca="1">Dashboard!D$8* Dashboard!$F$4+Dashboard!D$10*SQRT(Dashboard!$F$4) * _xlfn.NORM.S.INV(RAND())</f>
        <v>-1.9453712472374075E-2</v>
      </c>
    </row>
    <row r="9824" spans="18:21" x14ac:dyDescent="0.2">
      <c r="R9824" s="49">
        <v>9822</v>
      </c>
      <c r="S9824" s="59">
        <f ca="1">Dashboard!B$8* Dashboard!$F$4+Dashboard!B$10*SQRT(Dashboard!$F$4) * _xlfn.NORM.S.INV(RAND())</f>
        <v>-3.0333673980713668E-2</v>
      </c>
      <c r="T9824" s="59">
        <f ca="1">Dashboard!C$8* Dashboard!$F$4+Dashboard!C$10*SQRT(Dashboard!$F$4) * _xlfn.NORM.S.INV(RAND())</f>
        <v>-2.3421368902173785E-2</v>
      </c>
      <c r="U9824" s="59">
        <f ca="1">Dashboard!D$8* Dashboard!$F$4+Dashboard!D$10*SQRT(Dashboard!$F$4) * _xlfn.NORM.S.INV(RAND())</f>
        <v>-5.3536448328057498E-2</v>
      </c>
    </row>
    <row r="9825" spans="18:21" x14ac:dyDescent="0.2">
      <c r="R9825" s="49">
        <v>9823</v>
      </c>
      <c r="S9825" s="59">
        <f ca="1">Dashboard!B$8* Dashboard!$F$4+Dashboard!B$10*SQRT(Dashboard!$F$4) * _xlfn.NORM.S.INV(RAND())</f>
        <v>-3.4955245156330882E-2</v>
      </c>
      <c r="T9825" s="59">
        <f ca="1">Dashboard!C$8* Dashboard!$F$4+Dashboard!C$10*SQRT(Dashboard!$F$4) * _xlfn.NORM.S.INV(RAND())</f>
        <v>3.5072136593596565E-2</v>
      </c>
      <c r="U9825" s="59">
        <f ca="1">Dashboard!D$8* Dashboard!$F$4+Dashboard!D$10*SQRT(Dashboard!$F$4) * _xlfn.NORM.S.INV(RAND())</f>
        <v>3.6805130392482774E-2</v>
      </c>
    </row>
    <row r="9826" spans="18:21" x14ac:dyDescent="0.2">
      <c r="R9826" s="49">
        <v>9824</v>
      </c>
      <c r="S9826" s="59">
        <f ca="1">Dashboard!B$8* Dashboard!$F$4+Dashboard!B$10*SQRT(Dashboard!$F$4) * _xlfn.NORM.S.INV(RAND())</f>
        <v>-4.9075766300557946E-2</v>
      </c>
      <c r="T9826" s="59">
        <f ca="1">Dashboard!C$8* Dashboard!$F$4+Dashboard!C$10*SQRT(Dashboard!$F$4) * _xlfn.NORM.S.INV(RAND())</f>
        <v>-9.3486616375711255E-3</v>
      </c>
      <c r="U9826" s="59">
        <f ca="1">Dashboard!D$8* Dashboard!$F$4+Dashboard!D$10*SQRT(Dashboard!$F$4) * _xlfn.NORM.S.INV(RAND())</f>
        <v>1.4314168285652507E-2</v>
      </c>
    </row>
    <row r="9827" spans="18:21" x14ac:dyDescent="0.2">
      <c r="R9827" s="49">
        <v>9825</v>
      </c>
      <c r="S9827" s="59">
        <f ca="1">Dashboard!B$8* Dashboard!$F$4+Dashboard!B$10*SQRT(Dashboard!$F$4) * _xlfn.NORM.S.INV(RAND())</f>
        <v>4.6254875209167483E-3</v>
      </c>
      <c r="T9827" s="59">
        <f ca="1">Dashboard!C$8* Dashboard!$F$4+Dashboard!C$10*SQRT(Dashboard!$F$4) * _xlfn.NORM.S.INV(RAND())</f>
        <v>-3.8675417697395763E-2</v>
      </c>
      <c r="U9827" s="59">
        <f ca="1">Dashboard!D$8* Dashboard!$F$4+Dashboard!D$10*SQRT(Dashboard!$F$4) * _xlfn.NORM.S.INV(RAND())</f>
        <v>1.2205775483473732E-2</v>
      </c>
    </row>
    <row r="9828" spans="18:21" x14ac:dyDescent="0.2">
      <c r="R9828" s="49">
        <v>9826</v>
      </c>
      <c r="S9828" s="59">
        <f ca="1">Dashboard!B$8* Dashboard!$F$4+Dashboard!B$10*SQRT(Dashboard!$F$4) * _xlfn.NORM.S.INV(RAND())</f>
        <v>-5.6944837842018634E-2</v>
      </c>
      <c r="T9828" s="59">
        <f ca="1">Dashboard!C$8* Dashboard!$F$4+Dashboard!C$10*SQRT(Dashboard!$F$4) * _xlfn.NORM.S.INV(RAND())</f>
        <v>-5.4844823154171799E-3</v>
      </c>
      <c r="U9828" s="59">
        <f ca="1">Dashboard!D$8* Dashboard!$F$4+Dashboard!D$10*SQRT(Dashboard!$F$4) * _xlfn.NORM.S.INV(RAND())</f>
        <v>-1.4493461719227746E-3</v>
      </c>
    </row>
    <row r="9829" spans="18:21" x14ac:dyDescent="0.2">
      <c r="R9829" s="49">
        <v>9827</v>
      </c>
      <c r="S9829" s="59">
        <f ca="1">Dashboard!B$8* Dashboard!$F$4+Dashboard!B$10*SQRT(Dashboard!$F$4) * _xlfn.NORM.S.INV(RAND())</f>
        <v>5.7969527348259643E-2</v>
      </c>
      <c r="T9829" s="59">
        <f ca="1">Dashboard!C$8* Dashboard!$F$4+Dashboard!C$10*SQRT(Dashboard!$F$4) * _xlfn.NORM.S.INV(RAND())</f>
        <v>-1.7618593878620685E-2</v>
      </c>
      <c r="U9829" s="59">
        <f ca="1">Dashboard!D$8* Dashboard!$F$4+Dashboard!D$10*SQRT(Dashboard!$F$4) * _xlfn.NORM.S.INV(RAND())</f>
        <v>-2.0462645383470115E-2</v>
      </c>
    </row>
    <row r="9830" spans="18:21" x14ac:dyDescent="0.2">
      <c r="R9830" s="49">
        <v>9828</v>
      </c>
      <c r="S9830" s="59">
        <f ca="1">Dashboard!B$8* Dashboard!$F$4+Dashboard!B$10*SQRT(Dashboard!$F$4) * _xlfn.NORM.S.INV(RAND())</f>
        <v>2.6425119800890268E-2</v>
      </c>
      <c r="T9830" s="59">
        <f ca="1">Dashboard!C$8* Dashboard!$F$4+Dashboard!C$10*SQRT(Dashboard!$F$4) * _xlfn.NORM.S.INV(RAND())</f>
        <v>-3.3777718030617975E-4</v>
      </c>
      <c r="U9830" s="59">
        <f ca="1">Dashboard!D$8* Dashboard!$F$4+Dashboard!D$10*SQRT(Dashboard!$F$4) * _xlfn.NORM.S.INV(RAND())</f>
        <v>8.6689654730898024E-3</v>
      </c>
    </row>
    <row r="9831" spans="18:21" x14ac:dyDescent="0.2">
      <c r="R9831" s="49">
        <v>9829</v>
      </c>
      <c r="S9831" s="59">
        <f ca="1">Dashboard!B$8* Dashboard!$F$4+Dashboard!B$10*SQRT(Dashboard!$F$4) * _xlfn.NORM.S.INV(RAND())</f>
        <v>1.7358698086418267E-2</v>
      </c>
      <c r="T9831" s="59">
        <f ca="1">Dashboard!C$8* Dashboard!$F$4+Dashboard!C$10*SQRT(Dashboard!$F$4) * _xlfn.NORM.S.INV(RAND())</f>
        <v>-8.1231726427382252E-3</v>
      </c>
      <c r="U9831" s="59">
        <f ca="1">Dashboard!D$8* Dashboard!$F$4+Dashboard!D$10*SQRT(Dashboard!$F$4) * _xlfn.NORM.S.INV(RAND())</f>
        <v>-3.4484063938491648E-2</v>
      </c>
    </row>
    <row r="9832" spans="18:21" x14ac:dyDescent="0.2">
      <c r="R9832" s="49">
        <v>9830</v>
      </c>
      <c r="S9832" s="59">
        <f ca="1">Dashboard!B$8* Dashboard!$F$4+Dashboard!B$10*SQRT(Dashboard!$F$4) * _xlfn.NORM.S.INV(RAND())</f>
        <v>3.873986432069168E-2</v>
      </c>
      <c r="T9832" s="59">
        <f ca="1">Dashboard!C$8* Dashboard!$F$4+Dashboard!C$10*SQRT(Dashboard!$F$4) * _xlfn.NORM.S.INV(RAND())</f>
        <v>-3.5906149594301393E-3</v>
      </c>
      <c r="U9832" s="59">
        <f ca="1">Dashboard!D$8* Dashboard!$F$4+Dashboard!D$10*SQRT(Dashboard!$F$4) * _xlfn.NORM.S.INV(RAND())</f>
        <v>6.2132168212842027E-3</v>
      </c>
    </row>
    <row r="9833" spans="18:21" x14ac:dyDescent="0.2">
      <c r="R9833" s="49">
        <v>9831</v>
      </c>
      <c r="S9833" s="59">
        <f ca="1">Dashboard!B$8* Dashboard!$F$4+Dashboard!B$10*SQRT(Dashboard!$F$4) * _xlfn.NORM.S.INV(RAND())</f>
        <v>2.0799768723996928E-2</v>
      </c>
      <c r="T9833" s="59">
        <f ca="1">Dashboard!C$8* Dashboard!$F$4+Dashboard!C$10*SQRT(Dashboard!$F$4) * _xlfn.NORM.S.INV(RAND())</f>
        <v>6.9624696550592627E-2</v>
      </c>
      <c r="U9833" s="59">
        <f ca="1">Dashboard!D$8* Dashboard!$F$4+Dashboard!D$10*SQRT(Dashboard!$F$4) * _xlfn.NORM.S.INV(RAND())</f>
        <v>-1.9990649847255033E-2</v>
      </c>
    </row>
    <row r="9834" spans="18:21" x14ac:dyDescent="0.2">
      <c r="R9834" s="49">
        <v>9832</v>
      </c>
      <c r="S9834" s="59">
        <f ca="1">Dashboard!B$8* Dashboard!$F$4+Dashboard!B$10*SQRT(Dashboard!$F$4) * _xlfn.NORM.S.INV(RAND())</f>
        <v>3.4911274400897634E-2</v>
      </c>
      <c r="T9834" s="59">
        <f ca="1">Dashboard!C$8* Dashboard!$F$4+Dashboard!C$10*SQRT(Dashboard!$F$4) * _xlfn.NORM.S.INV(RAND())</f>
        <v>-1.7402835583371752E-2</v>
      </c>
      <c r="U9834" s="59">
        <f ca="1">Dashboard!D$8* Dashboard!$F$4+Dashboard!D$10*SQRT(Dashboard!$F$4) * _xlfn.NORM.S.INV(RAND())</f>
        <v>-4.4677740681529299E-2</v>
      </c>
    </row>
    <row r="9835" spans="18:21" x14ac:dyDescent="0.2">
      <c r="R9835" s="49">
        <v>9833</v>
      </c>
      <c r="S9835" s="59">
        <f ca="1">Dashboard!B$8* Dashboard!$F$4+Dashboard!B$10*SQRT(Dashboard!$F$4) * _xlfn.NORM.S.INV(RAND())</f>
        <v>3.1006010639036248E-2</v>
      </c>
      <c r="T9835" s="59">
        <f ca="1">Dashboard!C$8* Dashboard!$F$4+Dashboard!C$10*SQRT(Dashboard!$F$4) * _xlfn.NORM.S.INV(RAND())</f>
        <v>6.0319942296851177E-2</v>
      </c>
      <c r="U9835" s="59">
        <f ca="1">Dashboard!D$8* Dashboard!$F$4+Dashboard!D$10*SQRT(Dashboard!$F$4) * _xlfn.NORM.S.INV(RAND())</f>
        <v>-4.1182849833355205E-2</v>
      </c>
    </row>
    <row r="9836" spans="18:21" x14ac:dyDescent="0.2">
      <c r="R9836" s="49">
        <v>9834</v>
      </c>
      <c r="S9836" s="59">
        <f ca="1">Dashboard!B$8* Dashboard!$F$4+Dashboard!B$10*SQRT(Dashboard!$F$4) * _xlfn.NORM.S.INV(RAND())</f>
        <v>-5.6982241263086958E-2</v>
      </c>
      <c r="T9836" s="59">
        <f ca="1">Dashboard!C$8* Dashboard!$F$4+Dashboard!C$10*SQRT(Dashboard!$F$4) * _xlfn.NORM.S.INV(RAND())</f>
        <v>7.1886407226346941E-2</v>
      </c>
      <c r="U9836" s="59">
        <f ca="1">Dashboard!D$8* Dashboard!$F$4+Dashboard!D$10*SQRT(Dashboard!$F$4) * _xlfn.NORM.S.INV(RAND())</f>
        <v>-4.0295259950920558E-2</v>
      </c>
    </row>
    <row r="9837" spans="18:21" x14ac:dyDescent="0.2">
      <c r="R9837" s="49">
        <v>9835</v>
      </c>
      <c r="S9837" s="59">
        <f ca="1">Dashboard!B$8* Dashboard!$F$4+Dashboard!B$10*SQRT(Dashboard!$F$4) * _xlfn.NORM.S.INV(RAND())</f>
        <v>-4.7378634730828326E-3</v>
      </c>
      <c r="T9837" s="59">
        <f ca="1">Dashboard!C$8* Dashboard!$F$4+Dashboard!C$10*SQRT(Dashboard!$F$4) * _xlfn.NORM.S.INV(RAND())</f>
        <v>1.8233820853027381E-3</v>
      </c>
      <c r="U9837" s="59">
        <f ca="1">Dashboard!D$8* Dashboard!$F$4+Dashboard!D$10*SQRT(Dashboard!$F$4) * _xlfn.NORM.S.INV(RAND())</f>
        <v>-5.5091041919492836E-2</v>
      </c>
    </row>
    <row r="9838" spans="18:21" x14ac:dyDescent="0.2">
      <c r="R9838" s="49">
        <v>9836</v>
      </c>
      <c r="S9838" s="59">
        <f ca="1">Dashboard!B$8* Dashboard!$F$4+Dashboard!B$10*SQRT(Dashboard!$F$4) * _xlfn.NORM.S.INV(RAND())</f>
        <v>-3.1771755055065062E-2</v>
      </c>
      <c r="T9838" s="59">
        <f ca="1">Dashboard!C$8* Dashboard!$F$4+Dashboard!C$10*SQRT(Dashboard!$F$4) * _xlfn.NORM.S.INV(RAND())</f>
        <v>9.2214766172583909E-2</v>
      </c>
      <c r="U9838" s="59">
        <f ca="1">Dashboard!D$8* Dashboard!$F$4+Dashboard!D$10*SQRT(Dashboard!$F$4) * _xlfn.NORM.S.INV(RAND())</f>
        <v>6.8997328928991266E-3</v>
      </c>
    </row>
    <row r="9839" spans="18:21" x14ac:dyDescent="0.2">
      <c r="R9839" s="49">
        <v>9837</v>
      </c>
      <c r="S9839" s="59">
        <f ca="1">Dashboard!B$8* Dashboard!$F$4+Dashboard!B$10*SQRT(Dashboard!$F$4) * _xlfn.NORM.S.INV(RAND())</f>
        <v>3.3574473627540902E-2</v>
      </c>
      <c r="T9839" s="59">
        <f ca="1">Dashboard!C$8* Dashboard!$F$4+Dashboard!C$10*SQRT(Dashboard!$F$4) * _xlfn.NORM.S.INV(RAND())</f>
        <v>-1.7821253641100442E-2</v>
      </c>
      <c r="U9839" s="59">
        <f ca="1">Dashboard!D$8* Dashboard!$F$4+Dashboard!D$10*SQRT(Dashboard!$F$4) * _xlfn.NORM.S.INV(RAND())</f>
        <v>2.0975108948583119E-3</v>
      </c>
    </row>
    <row r="9840" spans="18:21" x14ac:dyDescent="0.2">
      <c r="R9840" s="49">
        <v>9838</v>
      </c>
      <c r="S9840" s="59">
        <f ca="1">Dashboard!B$8* Dashboard!$F$4+Dashboard!B$10*SQRT(Dashboard!$F$4) * _xlfn.NORM.S.INV(RAND())</f>
        <v>-5.6087611585210889E-2</v>
      </c>
      <c r="T9840" s="59">
        <f ca="1">Dashboard!C$8* Dashboard!$F$4+Dashboard!C$10*SQRT(Dashboard!$F$4) * _xlfn.NORM.S.INV(RAND())</f>
        <v>8.0358751725943985E-3</v>
      </c>
      <c r="U9840" s="59">
        <f ca="1">Dashboard!D$8* Dashboard!$F$4+Dashboard!D$10*SQRT(Dashboard!$F$4) * _xlfn.NORM.S.INV(RAND())</f>
        <v>-2.8325647759459997E-2</v>
      </c>
    </row>
    <row r="9841" spans="18:21" x14ac:dyDescent="0.2">
      <c r="R9841" s="49">
        <v>9839</v>
      </c>
      <c r="S9841" s="59">
        <f ca="1">Dashboard!B$8* Dashboard!$F$4+Dashboard!B$10*SQRT(Dashboard!$F$4) * _xlfn.NORM.S.INV(RAND())</f>
        <v>4.1717545982992918E-3</v>
      </c>
      <c r="T9841" s="59">
        <f ca="1">Dashboard!C$8* Dashboard!$F$4+Dashboard!C$10*SQRT(Dashboard!$F$4) * _xlfn.NORM.S.INV(RAND())</f>
        <v>3.7396841098927082E-2</v>
      </c>
      <c r="U9841" s="59">
        <f ca="1">Dashboard!D$8* Dashboard!$F$4+Dashboard!D$10*SQRT(Dashboard!$F$4) * _xlfn.NORM.S.INV(RAND())</f>
        <v>-9.4567610685994449E-3</v>
      </c>
    </row>
    <row r="9842" spans="18:21" x14ac:dyDescent="0.2">
      <c r="R9842" s="49">
        <v>9840</v>
      </c>
      <c r="S9842" s="59">
        <f ca="1">Dashboard!B$8* Dashboard!$F$4+Dashboard!B$10*SQRT(Dashboard!$F$4) * _xlfn.NORM.S.INV(RAND())</f>
        <v>-4.3765895369343936E-2</v>
      </c>
      <c r="T9842" s="59">
        <f ca="1">Dashboard!C$8* Dashboard!$F$4+Dashboard!C$10*SQRT(Dashboard!$F$4) * _xlfn.NORM.S.INV(RAND())</f>
        <v>1.4629500278788173E-2</v>
      </c>
      <c r="U9842" s="59">
        <f ca="1">Dashboard!D$8* Dashboard!$F$4+Dashboard!D$10*SQRT(Dashboard!$F$4) * _xlfn.NORM.S.INV(RAND())</f>
        <v>6.0062323926438774E-2</v>
      </c>
    </row>
    <row r="9843" spans="18:21" x14ac:dyDescent="0.2">
      <c r="R9843" s="49">
        <v>9841</v>
      </c>
      <c r="S9843" s="59">
        <f ca="1">Dashboard!B$8* Dashboard!$F$4+Dashboard!B$10*SQRT(Dashboard!$F$4) * _xlfn.NORM.S.INV(RAND())</f>
        <v>-1.608771349077789E-3</v>
      </c>
      <c r="T9843" s="59">
        <f ca="1">Dashboard!C$8* Dashboard!$F$4+Dashboard!C$10*SQRT(Dashboard!$F$4) * _xlfn.NORM.S.INV(RAND())</f>
        <v>3.4264960622086942E-2</v>
      </c>
      <c r="U9843" s="59">
        <f ca="1">Dashboard!D$8* Dashboard!$F$4+Dashboard!D$10*SQRT(Dashboard!$F$4) * _xlfn.NORM.S.INV(RAND())</f>
        <v>-1.4863645346545284E-2</v>
      </c>
    </row>
    <row r="9844" spans="18:21" x14ac:dyDescent="0.2">
      <c r="R9844" s="49">
        <v>9842</v>
      </c>
      <c r="S9844" s="59">
        <f ca="1">Dashboard!B$8* Dashboard!$F$4+Dashboard!B$10*SQRT(Dashboard!$F$4) * _xlfn.NORM.S.INV(RAND())</f>
        <v>5.3203317603227815E-3</v>
      </c>
      <c r="T9844" s="59">
        <f ca="1">Dashboard!C$8* Dashboard!$F$4+Dashboard!C$10*SQRT(Dashboard!$F$4) * _xlfn.NORM.S.INV(RAND())</f>
        <v>-4.5809322963150816E-2</v>
      </c>
      <c r="U9844" s="59">
        <f ca="1">Dashboard!D$8* Dashboard!$F$4+Dashboard!D$10*SQRT(Dashboard!$F$4) * _xlfn.NORM.S.INV(RAND())</f>
        <v>-1.9300433413904011E-2</v>
      </c>
    </row>
    <row r="9845" spans="18:21" x14ac:dyDescent="0.2">
      <c r="R9845" s="49">
        <v>9843</v>
      </c>
      <c r="S9845" s="59">
        <f ca="1">Dashboard!B$8* Dashboard!$F$4+Dashboard!B$10*SQRT(Dashboard!$F$4) * _xlfn.NORM.S.INV(RAND())</f>
        <v>-5.9836042885650358E-2</v>
      </c>
      <c r="T9845" s="59">
        <f ca="1">Dashboard!C$8* Dashboard!$F$4+Dashboard!C$10*SQRT(Dashboard!$F$4) * _xlfn.NORM.S.INV(RAND())</f>
        <v>3.2058713551152328E-2</v>
      </c>
      <c r="U9845" s="59">
        <f ca="1">Dashboard!D$8* Dashboard!$F$4+Dashboard!D$10*SQRT(Dashboard!$F$4) * _xlfn.NORM.S.INV(RAND())</f>
        <v>-4.4453441705982526E-2</v>
      </c>
    </row>
    <row r="9846" spans="18:21" x14ac:dyDescent="0.2">
      <c r="R9846" s="49">
        <v>9844</v>
      </c>
      <c r="S9846" s="59">
        <f ca="1">Dashboard!B$8* Dashboard!$F$4+Dashboard!B$10*SQRT(Dashboard!$F$4) * _xlfn.NORM.S.INV(RAND())</f>
        <v>3.2361853260474534E-2</v>
      </c>
      <c r="T9846" s="59">
        <f ca="1">Dashboard!C$8* Dashboard!$F$4+Dashboard!C$10*SQRT(Dashboard!$F$4) * _xlfn.NORM.S.INV(RAND())</f>
        <v>-1.5466561042258315E-2</v>
      </c>
      <c r="U9846" s="59">
        <f ca="1">Dashboard!D$8* Dashboard!$F$4+Dashboard!D$10*SQRT(Dashboard!$F$4) * _xlfn.NORM.S.INV(RAND())</f>
        <v>-2.3341130476563075E-2</v>
      </c>
    </row>
    <row r="9847" spans="18:21" x14ac:dyDescent="0.2">
      <c r="R9847" s="49">
        <v>9845</v>
      </c>
      <c r="S9847" s="59">
        <f ca="1">Dashboard!B$8* Dashboard!$F$4+Dashboard!B$10*SQRT(Dashboard!$F$4) * _xlfn.NORM.S.INV(RAND())</f>
        <v>3.8771834162976589E-3</v>
      </c>
      <c r="T9847" s="59">
        <f ca="1">Dashboard!C$8* Dashboard!$F$4+Dashboard!C$10*SQRT(Dashboard!$F$4) * _xlfn.NORM.S.INV(RAND())</f>
        <v>-2.7546988487325067E-2</v>
      </c>
      <c r="U9847" s="59">
        <f ca="1">Dashboard!D$8* Dashboard!$F$4+Dashboard!D$10*SQRT(Dashboard!$F$4) * _xlfn.NORM.S.INV(RAND())</f>
        <v>-2.7762288737211819E-2</v>
      </c>
    </row>
    <row r="9848" spans="18:21" x14ac:dyDescent="0.2">
      <c r="R9848" s="49">
        <v>9846</v>
      </c>
      <c r="S9848" s="59">
        <f ca="1">Dashboard!B$8* Dashboard!$F$4+Dashboard!B$10*SQRT(Dashboard!$F$4) * _xlfn.NORM.S.INV(RAND())</f>
        <v>-5.2559156551305095E-2</v>
      </c>
      <c r="T9848" s="59">
        <f ca="1">Dashboard!C$8* Dashboard!$F$4+Dashboard!C$10*SQRT(Dashboard!$F$4) * _xlfn.NORM.S.INV(RAND())</f>
        <v>5.5518786389272753E-2</v>
      </c>
      <c r="U9848" s="59">
        <f ca="1">Dashboard!D$8* Dashboard!$F$4+Dashboard!D$10*SQRT(Dashboard!$F$4) * _xlfn.NORM.S.INV(RAND())</f>
        <v>-2.258928838165181E-2</v>
      </c>
    </row>
    <row r="9849" spans="18:21" x14ac:dyDescent="0.2">
      <c r="R9849" s="49">
        <v>9847</v>
      </c>
      <c r="S9849" s="59">
        <f ca="1">Dashboard!B$8* Dashboard!$F$4+Dashboard!B$10*SQRT(Dashboard!$F$4) * _xlfn.NORM.S.INV(RAND())</f>
        <v>2.6128514899352841E-2</v>
      </c>
      <c r="T9849" s="59">
        <f ca="1">Dashboard!C$8* Dashboard!$F$4+Dashboard!C$10*SQRT(Dashboard!$F$4) * _xlfn.NORM.S.INV(RAND())</f>
        <v>-4.8894180610583012E-3</v>
      </c>
      <c r="U9849" s="59">
        <f ca="1">Dashboard!D$8* Dashboard!$F$4+Dashboard!D$10*SQRT(Dashboard!$F$4) * _xlfn.NORM.S.INV(RAND())</f>
        <v>-2.7987779350470265E-3</v>
      </c>
    </row>
    <row r="9850" spans="18:21" x14ac:dyDescent="0.2">
      <c r="R9850" s="49">
        <v>9848</v>
      </c>
      <c r="S9850" s="59">
        <f ca="1">Dashboard!B$8* Dashboard!$F$4+Dashboard!B$10*SQRT(Dashboard!$F$4) * _xlfn.NORM.S.INV(RAND())</f>
        <v>4.0448280860948694E-3</v>
      </c>
      <c r="T9850" s="59">
        <f ca="1">Dashboard!C$8* Dashboard!$F$4+Dashboard!C$10*SQRT(Dashboard!$F$4) * _xlfn.NORM.S.INV(RAND())</f>
        <v>-1.2962113504038163E-2</v>
      </c>
      <c r="U9850" s="59">
        <f ca="1">Dashboard!D$8* Dashboard!$F$4+Dashboard!D$10*SQRT(Dashboard!$F$4) * _xlfn.NORM.S.INV(RAND())</f>
        <v>-5.7922037580790467E-3</v>
      </c>
    </row>
    <row r="9851" spans="18:21" x14ac:dyDescent="0.2">
      <c r="R9851" s="49">
        <v>9849</v>
      </c>
      <c r="S9851" s="59">
        <f ca="1">Dashboard!B$8* Dashboard!$F$4+Dashboard!B$10*SQRT(Dashboard!$F$4) * _xlfn.NORM.S.INV(RAND())</f>
        <v>4.5753402990027659E-4</v>
      </c>
      <c r="T9851" s="59">
        <f ca="1">Dashboard!C$8* Dashboard!$F$4+Dashboard!C$10*SQRT(Dashboard!$F$4) * _xlfn.NORM.S.INV(RAND())</f>
        <v>-1.5565344883151769E-2</v>
      </c>
      <c r="U9851" s="59">
        <f ca="1">Dashboard!D$8* Dashboard!$F$4+Dashboard!D$10*SQRT(Dashboard!$F$4) * _xlfn.NORM.S.INV(RAND())</f>
        <v>6.4621483933812235E-3</v>
      </c>
    </row>
    <row r="9852" spans="18:21" x14ac:dyDescent="0.2">
      <c r="R9852" s="49">
        <v>9850</v>
      </c>
      <c r="S9852" s="59">
        <f ca="1">Dashboard!B$8* Dashboard!$F$4+Dashboard!B$10*SQRT(Dashboard!$F$4) * _xlfn.NORM.S.INV(RAND())</f>
        <v>2.1848890655738397E-2</v>
      </c>
      <c r="T9852" s="59">
        <f ca="1">Dashboard!C$8* Dashboard!$F$4+Dashboard!C$10*SQRT(Dashboard!$F$4) * _xlfn.NORM.S.INV(RAND())</f>
        <v>1.7691200462604469E-2</v>
      </c>
      <c r="U9852" s="59">
        <f ca="1">Dashboard!D$8* Dashboard!$F$4+Dashboard!D$10*SQRT(Dashboard!$F$4) * _xlfn.NORM.S.INV(RAND())</f>
        <v>-3.1284239002084706E-2</v>
      </c>
    </row>
    <row r="9853" spans="18:21" x14ac:dyDescent="0.2">
      <c r="R9853" s="49">
        <v>9851</v>
      </c>
      <c r="S9853" s="59">
        <f ca="1">Dashboard!B$8* Dashboard!$F$4+Dashboard!B$10*SQRT(Dashboard!$F$4) * _xlfn.NORM.S.INV(RAND())</f>
        <v>-7.0254788387264823E-5</v>
      </c>
      <c r="T9853" s="59">
        <f ca="1">Dashboard!C$8* Dashboard!$F$4+Dashboard!C$10*SQRT(Dashboard!$F$4) * _xlfn.NORM.S.INV(RAND())</f>
        <v>2.5935259883452966E-2</v>
      </c>
      <c r="U9853" s="59">
        <f ca="1">Dashboard!D$8* Dashboard!$F$4+Dashboard!D$10*SQRT(Dashboard!$F$4) * _xlfn.NORM.S.INV(RAND())</f>
        <v>-7.2194213111878278E-2</v>
      </c>
    </row>
    <row r="9854" spans="18:21" x14ac:dyDescent="0.2">
      <c r="R9854" s="49">
        <v>9852</v>
      </c>
      <c r="S9854" s="59">
        <f ca="1">Dashboard!B$8* Dashboard!$F$4+Dashboard!B$10*SQRT(Dashboard!$F$4) * _xlfn.NORM.S.INV(RAND())</f>
        <v>-1.4382007057260979E-2</v>
      </c>
      <c r="T9854" s="59">
        <f ca="1">Dashboard!C$8* Dashboard!$F$4+Dashboard!C$10*SQRT(Dashboard!$F$4) * _xlfn.NORM.S.INV(RAND())</f>
        <v>1.1066041795991837E-2</v>
      </c>
      <c r="U9854" s="59">
        <f ca="1">Dashboard!D$8* Dashboard!$F$4+Dashboard!D$10*SQRT(Dashboard!$F$4) * _xlfn.NORM.S.INV(RAND())</f>
        <v>3.6455857924885648E-2</v>
      </c>
    </row>
    <row r="9855" spans="18:21" x14ac:dyDescent="0.2">
      <c r="R9855" s="49">
        <v>9853</v>
      </c>
      <c r="S9855" s="59">
        <f ca="1">Dashboard!B$8* Dashboard!$F$4+Dashboard!B$10*SQRT(Dashboard!$F$4) * _xlfn.NORM.S.INV(RAND())</f>
        <v>4.6251756174907843E-2</v>
      </c>
      <c r="T9855" s="59">
        <f ca="1">Dashboard!C$8* Dashboard!$F$4+Dashboard!C$10*SQRT(Dashboard!$F$4) * _xlfn.NORM.S.INV(RAND())</f>
        <v>-4.2720138338057214E-3</v>
      </c>
      <c r="U9855" s="59">
        <f ca="1">Dashboard!D$8* Dashboard!$F$4+Dashboard!D$10*SQRT(Dashboard!$F$4) * _xlfn.NORM.S.INV(RAND())</f>
        <v>2.2504596543801603E-2</v>
      </c>
    </row>
    <row r="9856" spans="18:21" x14ac:dyDescent="0.2">
      <c r="R9856" s="49">
        <v>9854</v>
      </c>
      <c r="S9856" s="59">
        <f ca="1">Dashboard!B$8* Dashboard!$F$4+Dashboard!B$10*SQRT(Dashboard!$F$4) * _xlfn.NORM.S.INV(RAND())</f>
        <v>2.2335335499528791E-2</v>
      </c>
      <c r="T9856" s="59">
        <f ca="1">Dashboard!C$8* Dashboard!$F$4+Dashboard!C$10*SQRT(Dashboard!$F$4) * _xlfn.NORM.S.INV(RAND())</f>
        <v>-1.3494337726661136E-2</v>
      </c>
      <c r="U9856" s="59">
        <f ca="1">Dashboard!D$8* Dashboard!$F$4+Dashboard!D$10*SQRT(Dashboard!$F$4) * _xlfn.NORM.S.INV(RAND())</f>
        <v>2.3792127048174749E-2</v>
      </c>
    </row>
    <row r="9857" spans="18:21" x14ac:dyDescent="0.2">
      <c r="R9857" s="49">
        <v>9855</v>
      </c>
      <c r="S9857" s="59">
        <f ca="1">Dashboard!B$8* Dashboard!$F$4+Dashboard!B$10*SQRT(Dashboard!$F$4) * _xlfn.NORM.S.INV(RAND())</f>
        <v>3.7420768020057775E-2</v>
      </c>
      <c r="T9857" s="59">
        <f ca="1">Dashboard!C$8* Dashboard!$F$4+Dashboard!C$10*SQRT(Dashboard!$F$4) * _xlfn.NORM.S.INV(RAND())</f>
        <v>2.3866953152393827E-2</v>
      </c>
      <c r="U9857" s="59">
        <f ca="1">Dashboard!D$8* Dashboard!$F$4+Dashboard!D$10*SQRT(Dashboard!$F$4) * _xlfn.NORM.S.INV(RAND())</f>
        <v>-2.0067337326277974E-2</v>
      </c>
    </row>
    <row r="9858" spans="18:21" x14ac:dyDescent="0.2">
      <c r="R9858" s="49">
        <v>9856</v>
      </c>
      <c r="S9858" s="59">
        <f ca="1">Dashboard!B$8* Dashboard!$F$4+Dashboard!B$10*SQRT(Dashboard!$F$4) * _xlfn.NORM.S.INV(RAND())</f>
        <v>-2.2988011232405341E-2</v>
      </c>
      <c r="T9858" s="59">
        <f ca="1">Dashboard!C$8* Dashboard!$F$4+Dashboard!C$10*SQRT(Dashboard!$F$4) * _xlfn.NORM.S.INV(RAND())</f>
        <v>-1.9907653899418776E-2</v>
      </c>
      <c r="U9858" s="59">
        <f ca="1">Dashboard!D$8* Dashboard!$F$4+Dashboard!D$10*SQRT(Dashboard!$F$4) * _xlfn.NORM.S.INV(RAND())</f>
        <v>2.5606057778729551E-2</v>
      </c>
    </row>
    <row r="9859" spans="18:21" x14ac:dyDescent="0.2">
      <c r="R9859" s="49">
        <v>9857</v>
      </c>
      <c r="S9859" s="59">
        <f ca="1">Dashboard!B$8* Dashboard!$F$4+Dashboard!B$10*SQRT(Dashboard!$F$4) * _xlfn.NORM.S.INV(RAND())</f>
        <v>-3.6444780679885186E-2</v>
      </c>
      <c r="T9859" s="59">
        <f ca="1">Dashboard!C$8* Dashboard!$F$4+Dashboard!C$10*SQRT(Dashboard!$F$4) * _xlfn.NORM.S.INV(RAND())</f>
        <v>-1.3272913185062511E-2</v>
      </c>
      <c r="U9859" s="59">
        <f ca="1">Dashboard!D$8* Dashboard!$F$4+Dashboard!D$10*SQRT(Dashboard!$F$4) * _xlfn.NORM.S.INV(RAND())</f>
        <v>3.4003027065823616E-2</v>
      </c>
    </row>
    <row r="9860" spans="18:21" x14ac:dyDescent="0.2">
      <c r="R9860" s="49">
        <v>9858</v>
      </c>
      <c r="S9860" s="59">
        <f ca="1">Dashboard!B$8* Dashboard!$F$4+Dashboard!B$10*SQRT(Dashboard!$F$4) * _xlfn.NORM.S.INV(RAND())</f>
        <v>-4.7722334133442389E-3</v>
      </c>
      <c r="T9860" s="59">
        <f ca="1">Dashboard!C$8* Dashboard!$F$4+Dashboard!C$10*SQRT(Dashboard!$F$4) * _xlfn.NORM.S.INV(RAND())</f>
        <v>1.2646719278201771E-2</v>
      </c>
      <c r="U9860" s="59">
        <f ca="1">Dashboard!D$8* Dashboard!$F$4+Dashboard!D$10*SQRT(Dashboard!$F$4) * _xlfn.NORM.S.INV(RAND())</f>
        <v>-8.9893672907203487E-3</v>
      </c>
    </row>
    <row r="9861" spans="18:21" x14ac:dyDescent="0.2">
      <c r="R9861" s="49">
        <v>9859</v>
      </c>
      <c r="S9861" s="59">
        <f ca="1">Dashboard!B$8* Dashboard!$F$4+Dashboard!B$10*SQRT(Dashboard!$F$4) * _xlfn.NORM.S.INV(RAND())</f>
        <v>-6.9529811578850895E-2</v>
      </c>
      <c r="T9861" s="59">
        <f ca="1">Dashboard!C$8* Dashboard!$F$4+Dashboard!C$10*SQRT(Dashboard!$F$4) * _xlfn.NORM.S.INV(RAND())</f>
        <v>-2.8083214333857454E-2</v>
      </c>
      <c r="U9861" s="59">
        <f ca="1">Dashboard!D$8* Dashboard!$F$4+Dashboard!D$10*SQRT(Dashboard!$F$4) * _xlfn.NORM.S.INV(RAND())</f>
        <v>3.5063762882285882E-2</v>
      </c>
    </row>
    <row r="9862" spans="18:21" x14ac:dyDescent="0.2">
      <c r="R9862" s="49">
        <v>9860</v>
      </c>
      <c r="S9862" s="59">
        <f ca="1">Dashboard!B$8* Dashboard!$F$4+Dashboard!B$10*SQRT(Dashboard!$F$4) * _xlfn.NORM.S.INV(RAND())</f>
        <v>-2.6422938267688961E-2</v>
      </c>
      <c r="T9862" s="59">
        <f ca="1">Dashboard!C$8* Dashboard!$F$4+Dashboard!C$10*SQRT(Dashboard!$F$4) * _xlfn.NORM.S.INV(RAND())</f>
        <v>9.9939200984130762E-3</v>
      </c>
      <c r="U9862" s="59">
        <f ca="1">Dashboard!D$8* Dashboard!$F$4+Dashboard!D$10*SQRT(Dashboard!$F$4) * _xlfn.NORM.S.INV(RAND())</f>
        <v>1.8051539127529629E-3</v>
      </c>
    </row>
    <row r="9863" spans="18:21" x14ac:dyDescent="0.2">
      <c r="R9863" s="49">
        <v>9861</v>
      </c>
      <c r="S9863" s="59">
        <f ca="1">Dashboard!B$8* Dashboard!$F$4+Dashboard!B$10*SQRT(Dashboard!$F$4) * _xlfn.NORM.S.INV(RAND())</f>
        <v>9.1356733798803151E-3</v>
      </c>
      <c r="T9863" s="59">
        <f ca="1">Dashboard!C$8* Dashboard!$F$4+Dashboard!C$10*SQRT(Dashboard!$F$4) * _xlfn.NORM.S.INV(RAND())</f>
        <v>-2.0748734438583551E-3</v>
      </c>
      <c r="U9863" s="59">
        <f ca="1">Dashboard!D$8* Dashboard!$F$4+Dashboard!D$10*SQRT(Dashboard!$F$4) * _xlfn.NORM.S.INV(RAND())</f>
        <v>3.421892314950721E-2</v>
      </c>
    </row>
    <row r="9864" spans="18:21" x14ac:dyDescent="0.2">
      <c r="R9864" s="49">
        <v>9862</v>
      </c>
      <c r="S9864" s="59">
        <f ca="1">Dashboard!B$8* Dashboard!$F$4+Dashboard!B$10*SQRT(Dashboard!$F$4) * _xlfn.NORM.S.INV(RAND())</f>
        <v>-1.8869074685341696E-2</v>
      </c>
      <c r="T9864" s="59">
        <f ca="1">Dashboard!C$8* Dashboard!$F$4+Dashboard!C$10*SQRT(Dashboard!$F$4) * _xlfn.NORM.S.INV(RAND())</f>
        <v>-1.5980701199436873E-2</v>
      </c>
      <c r="U9864" s="59">
        <f ca="1">Dashboard!D$8* Dashboard!$F$4+Dashboard!D$10*SQRT(Dashboard!$F$4) * _xlfn.NORM.S.INV(RAND())</f>
        <v>-4.0596989737095406E-3</v>
      </c>
    </row>
    <row r="9865" spans="18:21" x14ac:dyDescent="0.2">
      <c r="R9865" s="49">
        <v>9863</v>
      </c>
      <c r="S9865" s="59">
        <f ca="1">Dashboard!B$8* Dashboard!$F$4+Dashboard!B$10*SQRT(Dashboard!$F$4) * _xlfn.NORM.S.INV(RAND())</f>
        <v>-3.8552100122491023E-2</v>
      </c>
      <c r="T9865" s="59">
        <f ca="1">Dashboard!C$8* Dashboard!$F$4+Dashboard!C$10*SQRT(Dashboard!$F$4) * _xlfn.NORM.S.INV(RAND())</f>
        <v>-4.7117531153769085E-2</v>
      </c>
      <c r="U9865" s="59">
        <f ca="1">Dashboard!D$8* Dashboard!$F$4+Dashboard!D$10*SQRT(Dashboard!$F$4) * _xlfn.NORM.S.INV(RAND())</f>
        <v>-3.1129176402419894E-2</v>
      </c>
    </row>
    <row r="9866" spans="18:21" x14ac:dyDescent="0.2">
      <c r="R9866" s="49">
        <v>9864</v>
      </c>
      <c r="S9866" s="59">
        <f ca="1">Dashboard!B$8* Dashboard!$F$4+Dashboard!B$10*SQRT(Dashboard!$F$4) * _xlfn.NORM.S.INV(RAND())</f>
        <v>1.0812118764343291E-3</v>
      </c>
      <c r="T9866" s="59">
        <f ca="1">Dashboard!C$8* Dashboard!$F$4+Dashboard!C$10*SQRT(Dashboard!$F$4) * _xlfn.NORM.S.INV(RAND())</f>
        <v>-8.800313010120759E-3</v>
      </c>
      <c r="U9866" s="59">
        <f ca="1">Dashboard!D$8* Dashboard!$F$4+Dashboard!D$10*SQRT(Dashboard!$F$4) * _xlfn.NORM.S.INV(RAND())</f>
        <v>2.8666562974590748E-2</v>
      </c>
    </row>
    <row r="9867" spans="18:21" x14ac:dyDescent="0.2">
      <c r="R9867" s="49">
        <v>9865</v>
      </c>
      <c r="S9867" s="59">
        <f ca="1">Dashboard!B$8* Dashboard!$F$4+Dashboard!B$10*SQRT(Dashboard!$F$4) * _xlfn.NORM.S.INV(RAND())</f>
        <v>-6.9793190381159775E-2</v>
      </c>
      <c r="T9867" s="59">
        <f ca="1">Dashboard!C$8* Dashboard!$F$4+Dashboard!C$10*SQRT(Dashboard!$F$4) * _xlfn.NORM.S.INV(RAND())</f>
        <v>-1.3226354990989279E-3</v>
      </c>
      <c r="U9867" s="59">
        <f ca="1">Dashboard!D$8* Dashboard!$F$4+Dashboard!D$10*SQRT(Dashboard!$F$4) * _xlfn.NORM.S.INV(RAND())</f>
        <v>3.3937135670718425E-2</v>
      </c>
    </row>
    <row r="9868" spans="18:21" x14ac:dyDescent="0.2">
      <c r="R9868" s="49">
        <v>9866</v>
      </c>
      <c r="S9868" s="59">
        <f ca="1">Dashboard!B$8* Dashboard!$F$4+Dashboard!B$10*SQRT(Dashboard!$F$4) * _xlfn.NORM.S.INV(RAND())</f>
        <v>-6.0130606847714096E-2</v>
      </c>
      <c r="T9868" s="59">
        <f ca="1">Dashboard!C$8* Dashboard!$F$4+Dashboard!C$10*SQRT(Dashboard!$F$4) * _xlfn.NORM.S.INV(RAND())</f>
        <v>2.0178312639189514E-2</v>
      </c>
      <c r="U9868" s="59">
        <f ca="1">Dashboard!D$8* Dashboard!$F$4+Dashboard!D$10*SQRT(Dashboard!$F$4) * _xlfn.NORM.S.INV(RAND())</f>
        <v>-7.7178311996824326E-3</v>
      </c>
    </row>
    <row r="9869" spans="18:21" x14ac:dyDescent="0.2">
      <c r="R9869" s="49">
        <v>9867</v>
      </c>
      <c r="S9869" s="59">
        <f ca="1">Dashboard!B$8* Dashboard!$F$4+Dashboard!B$10*SQRT(Dashboard!$F$4) * _xlfn.NORM.S.INV(RAND())</f>
        <v>-2.0862512832001565E-2</v>
      </c>
      <c r="T9869" s="59">
        <f ca="1">Dashboard!C$8* Dashboard!$F$4+Dashboard!C$10*SQRT(Dashboard!$F$4) * _xlfn.NORM.S.INV(RAND())</f>
        <v>8.1528667499591451E-3</v>
      </c>
      <c r="U9869" s="59">
        <f ca="1">Dashboard!D$8* Dashboard!$F$4+Dashboard!D$10*SQRT(Dashboard!$F$4) * _xlfn.NORM.S.INV(RAND())</f>
        <v>8.0686753552085544E-3</v>
      </c>
    </row>
    <row r="9870" spans="18:21" x14ac:dyDescent="0.2">
      <c r="R9870" s="49">
        <v>9868</v>
      </c>
      <c r="S9870" s="59">
        <f ca="1">Dashboard!B$8* Dashboard!$F$4+Dashboard!B$10*SQRT(Dashboard!$F$4) * _xlfn.NORM.S.INV(RAND())</f>
        <v>-1.7954065511445641E-2</v>
      </c>
      <c r="T9870" s="59">
        <f ca="1">Dashboard!C$8* Dashboard!$F$4+Dashboard!C$10*SQRT(Dashboard!$F$4) * _xlfn.NORM.S.INV(RAND())</f>
        <v>1.3807421719789437E-2</v>
      </c>
      <c r="U9870" s="59">
        <f ca="1">Dashboard!D$8* Dashboard!$F$4+Dashboard!D$10*SQRT(Dashboard!$F$4) * _xlfn.NORM.S.INV(RAND())</f>
        <v>-3.1184892447837047E-2</v>
      </c>
    </row>
    <row r="9871" spans="18:21" x14ac:dyDescent="0.2">
      <c r="R9871" s="49">
        <v>9869</v>
      </c>
      <c r="S9871" s="59">
        <f ca="1">Dashboard!B$8* Dashboard!$F$4+Dashboard!B$10*SQRT(Dashboard!$F$4) * _xlfn.NORM.S.INV(RAND())</f>
        <v>1.305313232496357E-2</v>
      </c>
      <c r="T9871" s="59">
        <f ca="1">Dashboard!C$8* Dashboard!$F$4+Dashboard!C$10*SQRT(Dashboard!$F$4) * _xlfn.NORM.S.INV(RAND())</f>
        <v>-7.4070847607054652E-2</v>
      </c>
      <c r="U9871" s="59">
        <f ca="1">Dashboard!D$8* Dashboard!$F$4+Dashboard!D$10*SQRT(Dashboard!$F$4) * _xlfn.NORM.S.INV(RAND())</f>
        <v>9.7427601396027803E-3</v>
      </c>
    </row>
    <row r="9872" spans="18:21" x14ac:dyDescent="0.2">
      <c r="R9872" s="49">
        <v>9870</v>
      </c>
      <c r="S9872" s="59">
        <f ca="1">Dashboard!B$8* Dashboard!$F$4+Dashboard!B$10*SQRT(Dashboard!$F$4) * _xlfn.NORM.S.INV(RAND())</f>
        <v>4.7066811322211917E-2</v>
      </c>
      <c r="T9872" s="59">
        <f ca="1">Dashboard!C$8* Dashboard!$F$4+Dashboard!C$10*SQRT(Dashboard!$F$4) * _xlfn.NORM.S.INV(RAND())</f>
        <v>-4.1434515989019751E-3</v>
      </c>
      <c r="U9872" s="59">
        <f ca="1">Dashboard!D$8* Dashboard!$F$4+Dashboard!D$10*SQRT(Dashboard!$F$4) * _xlfn.NORM.S.INV(RAND())</f>
        <v>-1.8553419098966951E-2</v>
      </c>
    </row>
    <row r="9873" spans="18:21" x14ac:dyDescent="0.2">
      <c r="R9873" s="49">
        <v>9871</v>
      </c>
      <c r="S9873" s="59">
        <f ca="1">Dashboard!B$8* Dashboard!$F$4+Dashboard!B$10*SQRT(Dashboard!$F$4) * _xlfn.NORM.S.INV(RAND())</f>
        <v>9.7185893238171169E-3</v>
      </c>
      <c r="T9873" s="59">
        <f ca="1">Dashboard!C$8* Dashboard!$F$4+Dashboard!C$10*SQRT(Dashboard!$F$4) * _xlfn.NORM.S.INV(RAND())</f>
        <v>3.4669018248953014E-2</v>
      </c>
      <c r="U9873" s="59">
        <f ca="1">Dashboard!D$8* Dashboard!$F$4+Dashboard!D$10*SQRT(Dashboard!$F$4) * _xlfn.NORM.S.INV(RAND())</f>
        <v>1.5827080897543092E-2</v>
      </c>
    </row>
    <row r="9874" spans="18:21" x14ac:dyDescent="0.2">
      <c r="R9874" s="49">
        <v>9872</v>
      </c>
      <c r="S9874" s="59">
        <f ca="1">Dashboard!B$8* Dashboard!$F$4+Dashboard!B$10*SQRT(Dashboard!$F$4) * _xlfn.NORM.S.INV(RAND())</f>
        <v>-5.4481986263951558E-3</v>
      </c>
      <c r="T9874" s="59">
        <f ca="1">Dashboard!C$8* Dashboard!$F$4+Dashboard!C$10*SQRT(Dashboard!$F$4) * _xlfn.NORM.S.INV(RAND())</f>
        <v>-1.5104560543612925E-2</v>
      </c>
      <c r="U9874" s="59">
        <f ca="1">Dashboard!D$8* Dashboard!$F$4+Dashboard!D$10*SQRT(Dashboard!$F$4) * _xlfn.NORM.S.INV(RAND())</f>
        <v>-3.0124155070575778E-2</v>
      </c>
    </row>
    <row r="9875" spans="18:21" x14ac:dyDescent="0.2">
      <c r="R9875" s="49">
        <v>9873</v>
      </c>
      <c r="S9875" s="59">
        <f ca="1">Dashboard!B$8* Dashboard!$F$4+Dashboard!B$10*SQRT(Dashboard!$F$4) * _xlfn.NORM.S.INV(RAND())</f>
        <v>-3.4552739156720413E-2</v>
      </c>
      <c r="T9875" s="59">
        <f ca="1">Dashboard!C$8* Dashboard!$F$4+Dashboard!C$10*SQRT(Dashboard!$F$4) * _xlfn.NORM.S.INV(RAND())</f>
        <v>7.5298958268437161E-2</v>
      </c>
      <c r="U9875" s="59">
        <f ca="1">Dashboard!D$8* Dashboard!$F$4+Dashboard!D$10*SQRT(Dashboard!$F$4) * _xlfn.NORM.S.INV(RAND())</f>
        <v>-3.1178358138432904E-2</v>
      </c>
    </row>
    <row r="9876" spans="18:21" x14ac:dyDescent="0.2">
      <c r="R9876" s="49">
        <v>9874</v>
      </c>
      <c r="S9876" s="59">
        <f ca="1">Dashboard!B$8* Dashboard!$F$4+Dashboard!B$10*SQRT(Dashboard!$F$4) * _xlfn.NORM.S.INV(RAND())</f>
        <v>-3.8147618583131385E-2</v>
      </c>
      <c r="T9876" s="59">
        <f ca="1">Dashboard!C$8* Dashboard!$F$4+Dashboard!C$10*SQRT(Dashboard!$F$4) * _xlfn.NORM.S.INV(RAND())</f>
        <v>-3.7064478919929686E-2</v>
      </c>
      <c r="U9876" s="59">
        <f ca="1">Dashboard!D$8* Dashboard!$F$4+Dashboard!D$10*SQRT(Dashboard!$F$4) * _xlfn.NORM.S.INV(RAND())</f>
        <v>3.9232209355886228E-4</v>
      </c>
    </row>
    <row r="9877" spans="18:21" x14ac:dyDescent="0.2">
      <c r="R9877" s="49">
        <v>9875</v>
      </c>
      <c r="S9877" s="59">
        <f ca="1">Dashboard!B$8* Dashboard!$F$4+Dashboard!B$10*SQRT(Dashboard!$F$4) * _xlfn.NORM.S.INV(RAND())</f>
        <v>1.5700236548486561E-2</v>
      </c>
      <c r="T9877" s="59">
        <f ca="1">Dashboard!C$8* Dashboard!$F$4+Dashboard!C$10*SQRT(Dashboard!$F$4) * _xlfn.NORM.S.INV(RAND())</f>
        <v>6.3428150840887682E-2</v>
      </c>
      <c r="U9877" s="59">
        <f ca="1">Dashboard!D$8* Dashboard!$F$4+Dashboard!D$10*SQRT(Dashboard!$F$4) * _xlfn.NORM.S.INV(RAND())</f>
        <v>-2.2355994064564885E-2</v>
      </c>
    </row>
    <row r="9878" spans="18:21" x14ac:dyDescent="0.2">
      <c r="R9878" s="49">
        <v>9876</v>
      </c>
      <c r="S9878" s="59">
        <f ca="1">Dashboard!B$8* Dashboard!$F$4+Dashboard!B$10*SQRT(Dashboard!$F$4) * _xlfn.NORM.S.INV(RAND())</f>
        <v>7.015033642985646E-3</v>
      </c>
      <c r="T9878" s="59">
        <f ca="1">Dashboard!C$8* Dashboard!$F$4+Dashboard!C$10*SQRT(Dashboard!$F$4) * _xlfn.NORM.S.INV(RAND())</f>
        <v>3.9330231174842432E-2</v>
      </c>
      <c r="U9878" s="59">
        <f ca="1">Dashboard!D$8* Dashboard!$F$4+Dashboard!D$10*SQRT(Dashboard!$F$4) * _xlfn.NORM.S.INV(RAND())</f>
        <v>2.0459576714969605E-2</v>
      </c>
    </row>
    <row r="9879" spans="18:21" x14ac:dyDescent="0.2">
      <c r="R9879" s="49">
        <v>9877</v>
      </c>
      <c r="S9879" s="59">
        <f ca="1">Dashboard!B$8* Dashboard!$F$4+Dashboard!B$10*SQRT(Dashboard!$F$4) * _xlfn.NORM.S.INV(RAND())</f>
        <v>-9.5238879951260666E-3</v>
      </c>
      <c r="T9879" s="59">
        <f ca="1">Dashboard!C$8* Dashboard!$F$4+Dashboard!C$10*SQRT(Dashboard!$F$4) * _xlfn.NORM.S.INV(RAND())</f>
        <v>-2.9422548797218718E-2</v>
      </c>
      <c r="U9879" s="59">
        <f ca="1">Dashboard!D$8* Dashboard!$F$4+Dashboard!D$10*SQRT(Dashboard!$F$4) * _xlfn.NORM.S.INV(RAND())</f>
        <v>5.2789125350941206E-2</v>
      </c>
    </row>
    <row r="9880" spans="18:21" x14ac:dyDescent="0.2">
      <c r="R9880" s="49">
        <v>9878</v>
      </c>
      <c r="S9880" s="59">
        <f ca="1">Dashboard!B$8* Dashboard!$F$4+Dashboard!B$10*SQRT(Dashboard!$F$4) * _xlfn.NORM.S.INV(RAND())</f>
        <v>1.1915951226806878E-2</v>
      </c>
      <c r="T9880" s="59">
        <f ca="1">Dashboard!C$8* Dashboard!$F$4+Dashboard!C$10*SQRT(Dashboard!$F$4) * _xlfn.NORM.S.INV(RAND())</f>
        <v>1.4034950953958625E-2</v>
      </c>
      <c r="U9880" s="59">
        <f ca="1">Dashboard!D$8* Dashboard!$F$4+Dashboard!D$10*SQRT(Dashboard!$F$4) * _xlfn.NORM.S.INV(RAND())</f>
        <v>3.3485916767907513E-2</v>
      </c>
    </row>
    <row r="9881" spans="18:21" x14ac:dyDescent="0.2">
      <c r="R9881" s="49">
        <v>9879</v>
      </c>
      <c r="S9881" s="59">
        <f ca="1">Dashboard!B$8* Dashboard!$F$4+Dashboard!B$10*SQRT(Dashboard!$F$4) * _xlfn.NORM.S.INV(RAND())</f>
        <v>-2.9206431970744642E-2</v>
      </c>
      <c r="T9881" s="59">
        <f ca="1">Dashboard!C$8* Dashboard!$F$4+Dashboard!C$10*SQRT(Dashboard!$F$4) * _xlfn.NORM.S.INV(RAND())</f>
        <v>1.8493117839306388E-2</v>
      </c>
      <c r="U9881" s="59">
        <f ca="1">Dashboard!D$8* Dashboard!$F$4+Dashboard!D$10*SQRT(Dashboard!$F$4) * _xlfn.NORM.S.INV(RAND())</f>
        <v>4.7559907690553675E-2</v>
      </c>
    </row>
    <row r="9882" spans="18:21" x14ac:dyDescent="0.2">
      <c r="R9882" s="49">
        <v>9880</v>
      </c>
      <c r="S9882" s="59">
        <f ca="1">Dashboard!B$8* Dashboard!$F$4+Dashboard!B$10*SQRT(Dashboard!$F$4) * _xlfn.NORM.S.INV(RAND())</f>
        <v>3.5641524942845136E-2</v>
      </c>
      <c r="T9882" s="59">
        <f ca="1">Dashboard!C$8* Dashboard!$F$4+Dashboard!C$10*SQRT(Dashboard!$F$4) * _xlfn.NORM.S.INV(RAND())</f>
        <v>-2.1477164659917936E-2</v>
      </c>
      <c r="U9882" s="59">
        <f ca="1">Dashboard!D$8* Dashboard!$F$4+Dashboard!D$10*SQRT(Dashboard!$F$4) * _xlfn.NORM.S.INV(RAND())</f>
        <v>3.9284800384086244E-2</v>
      </c>
    </row>
    <row r="9883" spans="18:21" x14ac:dyDescent="0.2">
      <c r="R9883" s="49">
        <v>9881</v>
      </c>
      <c r="S9883" s="59">
        <f ca="1">Dashboard!B$8* Dashboard!$F$4+Dashboard!B$10*SQRT(Dashboard!$F$4) * _xlfn.NORM.S.INV(RAND())</f>
        <v>5.1326278233657485E-2</v>
      </c>
      <c r="T9883" s="59">
        <f ca="1">Dashboard!C$8* Dashboard!$F$4+Dashboard!C$10*SQRT(Dashboard!$F$4) * _xlfn.NORM.S.INV(RAND())</f>
        <v>7.0683398995907308E-4</v>
      </c>
      <c r="U9883" s="59">
        <f ca="1">Dashboard!D$8* Dashboard!$F$4+Dashboard!D$10*SQRT(Dashboard!$F$4) * _xlfn.NORM.S.INV(RAND())</f>
        <v>1.698429700480808E-2</v>
      </c>
    </row>
    <row r="9884" spans="18:21" x14ac:dyDescent="0.2">
      <c r="R9884" s="49">
        <v>9882</v>
      </c>
      <c r="S9884" s="59">
        <f ca="1">Dashboard!B$8* Dashboard!$F$4+Dashboard!B$10*SQRT(Dashboard!$F$4) * _xlfn.NORM.S.INV(RAND())</f>
        <v>3.8754673868053577E-2</v>
      </c>
      <c r="T9884" s="59">
        <f ca="1">Dashboard!C$8* Dashboard!$F$4+Dashboard!C$10*SQRT(Dashboard!$F$4) * _xlfn.NORM.S.INV(RAND())</f>
        <v>-9.064038475000126E-3</v>
      </c>
      <c r="U9884" s="59">
        <f ca="1">Dashboard!D$8* Dashboard!$F$4+Dashboard!D$10*SQRT(Dashboard!$F$4) * _xlfn.NORM.S.INV(RAND())</f>
        <v>9.4281508384973494E-3</v>
      </c>
    </row>
    <row r="9885" spans="18:21" x14ac:dyDescent="0.2">
      <c r="R9885" s="49">
        <v>9883</v>
      </c>
      <c r="S9885" s="59">
        <f ca="1">Dashboard!B$8* Dashboard!$F$4+Dashboard!B$10*SQRT(Dashboard!$F$4) * _xlfn.NORM.S.INV(RAND())</f>
        <v>-1.8596529583265277E-2</v>
      </c>
      <c r="T9885" s="59">
        <f ca="1">Dashboard!C$8* Dashboard!$F$4+Dashboard!C$10*SQRT(Dashboard!$F$4) * _xlfn.NORM.S.INV(RAND())</f>
        <v>1.5052579131437871E-2</v>
      </c>
      <c r="U9885" s="59">
        <f ca="1">Dashboard!D$8* Dashboard!$F$4+Dashboard!D$10*SQRT(Dashboard!$F$4) * _xlfn.NORM.S.INV(RAND())</f>
        <v>-7.9920665972579245E-4</v>
      </c>
    </row>
    <row r="9886" spans="18:21" x14ac:dyDescent="0.2">
      <c r="R9886" s="49">
        <v>9884</v>
      </c>
      <c r="S9886" s="59">
        <f ca="1">Dashboard!B$8* Dashboard!$F$4+Dashboard!B$10*SQRT(Dashboard!$F$4) * _xlfn.NORM.S.INV(RAND())</f>
        <v>-2.82288066607757E-2</v>
      </c>
      <c r="T9886" s="59">
        <f ca="1">Dashboard!C$8* Dashboard!$F$4+Dashboard!C$10*SQRT(Dashboard!$F$4) * _xlfn.NORM.S.INV(RAND())</f>
        <v>-1.5440816977189142E-2</v>
      </c>
      <c r="U9886" s="59">
        <f ca="1">Dashboard!D$8* Dashboard!$F$4+Dashboard!D$10*SQRT(Dashboard!$F$4) * _xlfn.NORM.S.INV(RAND())</f>
        <v>-4.7301783848034198E-2</v>
      </c>
    </row>
    <row r="9887" spans="18:21" x14ac:dyDescent="0.2">
      <c r="R9887" s="49">
        <v>9885</v>
      </c>
      <c r="S9887" s="59">
        <f ca="1">Dashboard!B$8* Dashboard!$F$4+Dashboard!B$10*SQRT(Dashboard!$F$4) * _xlfn.NORM.S.INV(RAND())</f>
        <v>1.5695752230915905E-2</v>
      </c>
      <c r="T9887" s="59">
        <f ca="1">Dashboard!C$8* Dashboard!$F$4+Dashboard!C$10*SQRT(Dashboard!$F$4) * _xlfn.NORM.S.INV(RAND())</f>
        <v>-4.6718665089885605E-2</v>
      </c>
      <c r="U9887" s="59">
        <f ca="1">Dashboard!D$8* Dashboard!$F$4+Dashboard!D$10*SQRT(Dashboard!$F$4) * _xlfn.NORM.S.INV(RAND())</f>
        <v>-9.5490285900072872E-3</v>
      </c>
    </row>
    <row r="9888" spans="18:21" x14ac:dyDescent="0.2">
      <c r="R9888" s="49">
        <v>9886</v>
      </c>
      <c r="S9888" s="59">
        <f ca="1">Dashboard!B$8* Dashboard!$F$4+Dashboard!B$10*SQRT(Dashboard!$F$4) * _xlfn.NORM.S.INV(RAND())</f>
        <v>-4.9201436904530937E-2</v>
      </c>
      <c r="T9888" s="59">
        <f ca="1">Dashboard!C$8* Dashboard!$F$4+Dashboard!C$10*SQRT(Dashboard!$F$4) * _xlfn.NORM.S.INV(RAND())</f>
        <v>3.7420563421025704E-2</v>
      </c>
      <c r="U9888" s="59">
        <f ca="1">Dashboard!D$8* Dashboard!$F$4+Dashboard!D$10*SQRT(Dashboard!$F$4) * _xlfn.NORM.S.INV(RAND())</f>
        <v>-4.0157668857170772E-2</v>
      </c>
    </row>
    <row r="9889" spans="18:21" x14ac:dyDescent="0.2">
      <c r="R9889" s="49">
        <v>9887</v>
      </c>
      <c r="S9889" s="59">
        <f ca="1">Dashboard!B$8* Dashboard!$F$4+Dashboard!B$10*SQRT(Dashboard!$F$4) * _xlfn.NORM.S.INV(RAND())</f>
        <v>-4.6858510424237646E-3</v>
      </c>
      <c r="T9889" s="59">
        <f ca="1">Dashboard!C$8* Dashboard!$F$4+Dashboard!C$10*SQRT(Dashboard!$F$4) * _xlfn.NORM.S.INV(RAND())</f>
        <v>-2.6117914407058759E-3</v>
      </c>
      <c r="U9889" s="59">
        <f ca="1">Dashboard!D$8* Dashboard!$F$4+Dashboard!D$10*SQRT(Dashboard!$F$4) * _xlfn.NORM.S.INV(RAND())</f>
        <v>4.8522478566430473E-2</v>
      </c>
    </row>
    <row r="9890" spans="18:21" x14ac:dyDescent="0.2">
      <c r="R9890" s="49">
        <v>9888</v>
      </c>
      <c r="S9890" s="59">
        <f ca="1">Dashboard!B$8* Dashboard!$F$4+Dashboard!B$10*SQRT(Dashboard!$F$4) * _xlfn.NORM.S.INV(RAND())</f>
        <v>-1.1236126381335983E-2</v>
      </c>
      <c r="T9890" s="59">
        <f ca="1">Dashboard!C$8* Dashboard!$F$4+Dashboard!C$10*SQRT(Dashboard!$F$4) * _xlfn.NORM.S.INV(RAND())</f>
        <v>4.3570521674885614E-2</v>
      </c>
      <c r="U9890" s="59">
        <f ca="1">Dashboard!D$8* Dashboard!$F$4+Dashboard!D$10*SQRT(Dashboard!$F$4) * _xlfn.NORM.S.INV(RAND())</f>
        <v>-1.7139549733563061E-2</v>
      </c>
    </row>
    <row r="9891" spans="18:21" x14ac:dyDescent="0.2">
      <c r="R9891" s="49">
        <v>9889</v>
      </c>
      <c r="S9891" s="59">
        <f ca="1">Dashboard!B$8* Dashboard!$F$4+Dashboard!B$10*SQRT(Dashboard!$F$4) * _xlfn.NORM.S.INV(RAND())</f>
        <v>6.7862221340412032E-3</v>
      </c>
      <c r="T9891" s="59">
        <f ca="1">Dashboard!C$8* Dashboard!$F$4+Dashboard!C$10*SQRT(Dashboard!$F$4) * _xlfn.NORM.S.INV(RAND())</f>
        <v>7.4852431655359292E-2</v>
      </c>
      <c r="U9891" s="59">
        <f ca="1">Dashboard!D$8* Dashboard!$F$4+Dashboard!D$10*SQRT(Dashboard!$F$4) * _xlfn.NORM.S.INV(RAND())</f>
        <v>1.2258970480527296E-2</v>
      </c>
    </row>
    <row r="9892" spans="18:21" x14ac:dyDescent="0.2">
      <c r="R9892" s="49">
        <v>9890</v>
      </c>
      <c r="S9892" s="59">
        <f ca="1">Dashboard!B$8* Dashboard!$F$4+Dashboard!B$10*SQRT(Dashboard!$F$4) * _xlfn.NORM.S.INV(RAND())</f>
        <v>-9.5655122978060142E-2</v>
      </c>
      <c r="T9892" s="59">
        <f ca="1">Dashboard!C$8* Dashboard!$F$4+Dashboard!C$10*SQRT(Dashboard!$F$4) * _xlfn.NORM.S.INV(RAND())</f>
        <v>6.5242406730948818E-2</v>
      </c>
      <c r="U9892" s="59">
        <f ca="1">Dashboard!D$8* Dashboard!$F$4+Dashboard!D$10*SQRT(Dashboard!$F$4) * _xlfn.NORM.S.INV(RAND())</f>
        <v>-2.9380773809046738E-2</v>
      </c>
    </row>
    <row r="9893" spans="18:21" x14ac:dyDescent="0.2">
      <c r="R9893" s="49">
        <v>9891</v>
      </c>
      <c r="S9893" s="59">
        <f ca="1">Dashboard!B$8* Dashboard!$F$4+Dashboard!B$10*SQRT(Dashboard!$F$4) * _xlfn.NORM.S.INV(RAND())</f>
        <v>-8.4964234684600896E-3</v>
      </c>
      <c r="T9893" s="59">
        <f ca="1">Dashboard!C$8* Dashboard!$F$4+Dashboard!C$10*SQRT(Dashboard!$F$4) * _xlfn.NORM.S.INV(RAND())</f>
        <v>1.2587047865280736E-2</v>
      </c>
      <c r="U9893" s="59">
        <f ca="1">Dashboard!D$8* Dashboard!$F$4+Dashboard!D$10*SQRT(Dashboard!$F$4) * _xlfn.NORM.S.INV(RAND())</f>
        <v>-3.2730295981336088E-2</v>
      </c>
    </row>
    <row r="9894" spans="18:21" x14ac:dyDescent="0.2">
      <c r="R9894" s="49">
        <v>9892</v>
      </c>
      <c r="S9894" s="59">
        <f ca="1">Dashboard!B$8* Dashboard!$F$4+Dashboard!B$10*SQRT(Dashboard!$F$4) * _xlfn.NORM.S.INV(RAND())</f>
        <v>-5.4129110483864089E-3</v>
      </c>
      <c r="T9894" s="59">
        <f ca="1">Dashboard!C$8* Dashboard!$F$4+Dashboard!C$10*SQRT(Dashboard!$F$4) * _xlfn.NORM.S.INV(RAND())</f>
        <v>-1.1943366263661794E-2</v>
      </c>
      <c r="U9894" s="59">
        <f ca="1">Dashboard!D$8* Dashboard!$F$4+Dashboard!D$10*SQRT(Dashboard!$F$4) * _xlfn.NORM.S.INV(RAND())</f>
        <v>-1.5120014304224643E-2</v>
      </c>
    </row>
    <row r="9895" spans="18:21" x14ac:dyDescent="0.2">
      <c r="R9895" s="49">
        <v>9893</v>
      </c>
      <c r="S9895" s="59">
        <f ca="1">Dashboard!B$8* Dashboard!$F$4+Dashboard!B$10*SQRT(Dashboard!$F$4) * _xlfn.NORM.S.INV(RAND())</f>
        <v>-5.8283046747464092E-3</v>
      </c>
      <c r="T9895" s="59">
        <f ca="1">Dashboard!C$8* Dashboard!$F$4+Dashboard!C$10*SQRT(Dashboard!$F$4) * _xlfn.NORM.S.INV(RAND())</f>
        <v>-4.7169519844646846E-2</v>
      </c>
      <c r="U9895" s="59">
        <f ca="1">Dashboard!D$8* Dashboard!$F$4+Dashboard!D$10*SQRT(Dashboard!$F$4) * _xlfn.NORM.S.INV(RAND())</f>
        <v>-5.9006556788130911E-4</v>
      </c>
    </row>
    <row r="9896" spans="18:21" x14ac:dyDescent="0.2">
      <c r="R9896" s="49">
        <v>9894</v>
      </c>
      <c r="S9896" s="59">
        <f ca="1">Dashboard!B$8* Dashboard!$F$4+Dashboard!B$10*SQRT(Dashboard!$F$4) * _xlfn.NORM.S.INV(RAND())</f>
        <v>-1.0013297929050534E-2</v>
      </c>
      <c r="T9896" s="59">
        <f ca="1">Dashboard!C$8* Dashboard!$F$4+Dashboard!C$10*SQRT(Dashboard!$F$4) * _xlfn.NORM.S.INV(RAND())</f>
        <v>-9.4211854011272134E-3</v>
      </c>
      <c r="U9896" s="59">
        <f ca="1">Dashboard!D$8* Dashboard!$F$4+Dashboard!D$10*SQRT(Dashboard!$F$4) * _xlfn.NORM.S.INV(RAND())</f>
        <v>1.4496770041621828E-2</v>
      </c>
    </row>
    <row r="9897" spans="18:21" x14ac:dyDescent="0.2">
      <c r="R9897" s="49">
        <v>9895</v>
      </c>
      <c r="S9897" s="59">
        <f ca="1">Dashboard!B$8* Dashboard!$F$4+Dashboard!B$10*SQRT(Dashboard!$F$4) * _xlfn.NORM.S.INV(RAND())</f>
        <v>-4.9320465655140186E-2</v>
      </c>
      <c r="T9897" s="59">
        <f ca="1">Dashboard!C$8* Dashboard!$F$4+Dashboard!C$10*SQRT(Dashboard!$F$4) * _xlfn.NORM.S.INV(RAND())</f>
        <v>1.1647390761196641E-2</v>
      </c>
      <c r="U9897" s="59">
        <f ca="1">Dashboard!D$8* Dashboard!$F$4+Dashboard!D$10*SQRT(Dashboard!$F$4) * _xlfn.NORM.S.INV(RAND())</f>
        <v>4.3106160796046088E-2</v>
      </c>
    </row>
    <row r="9898" spans="18:21" x14ac:dyDescent="0.2">
      <c r="R9898" s="49">
        <v>9896</v>
      </c>
      <c r="S9898" s="59">
        <f ca="1">Dashboard!B$8* Dashboard!$F$4+Dashboard!B$10*SQRT(Dashboard!$F$4) * _xlfn.NORM.S.INV(RAND())</f>
        <v>2.8297427835550143E-2</v>
      </c>
      <c r="T9898" s="59">
        <f ca="1">Dashboard!C$8* Dashboard!$F$4+Dashboard!C$10*SQRT(Dashboard!$F$4) * _xlfn.NORM.S.INV(RAND())</f>
        <v>5.225061031096738E-2</v>
      </c>
      <c r="U9898" s="59">
        <f ca="1">Dashboard!D$8* Dashboard!$F$4+Dashboard!D$10*SQRT(Dashboard!$F$4) * _xlfn.NORM.S.INV(RAND())</f>
        <v>1.4286872308428728E-2</v>
      </c>
    </row>
    <row r="9899" spans="18:21" x14ac:dyDescent="0.2">
      <c r="R9899" s="49">
        <v>9897</v>
      </c>
      <c r="S9899" s="59">
        <f ca="1">Dashboard!B$8* Dashboard!$F$4+Dashboard!B$10*SQRT(Dashboard!$F$4) * _xlfn.NORM.S.INV(RAND())</f>
        <v>-5.8058661908473148E-2</v>
      </c>
      <c r="T9899" s="59">
        <f ca="1">Dashboard!C$8* Dashboard!$F$4+Dashboard!C$10*SQRT(Dashboard!$F$4) * _xlfn.NORM.S.INV(RAND())</f>
        <v>-6.5311252606087217E-3</v>
      </c>
      <c r="U9899" s="59">
        <f ca="1">Dashboard!D$8* Dashboard!$F$4+Dashboard!D$10*SQRT(Dashboard!$F$4) * _xlfn.NORM.S.INV(RAND())</f>
        <v>-3.2554643417476471E-3</v>
      </c>
    </row>
    <row r="9900" spans="18:21" x14ac:dyDescent="0.2">
      <c r="R9900" s="49">
        <v>9898</v>
      </c>
      <c r="S9900" s="59">
        <f ca="1">Dashboard!B$8* Dashboard!$F$4+Dashboard!B$10*SQRT(Dashboard!$F$4) * _xlfn.NORM.S.INV(RAND())</f>
        <v>1.5876398344662384E-3</v>
      </c>
      <c r="T9900" s="59">
        <f ca="1">Dashboard!C$8* Dashboard!$F$4+Dashboard!C$10*SQRT(Dashboard!$F$4) * _xlfn.NORM.S.INV(RAND())</f>
        <v>3.7375703730359346E-2</v>
      </c>
      <c r="U9900" s="59">
        <f ca="1">Dashboard!D$8* Dashboard!$F$4+Dashboard!D$10*SQRT(Dashboard!$F$4) * _xlfn.NORM.S.INV(RAND())</f>
        <v>-4.8099347457707603E-3</v>
      </c>
    </row>
    <row r="9901" spans="18:21" x14ac:dyDescent="0.2">
      <c r="R9901" s="49">
        <v>9899</v>
      </c>
      <c r="S9901" s="59">
        <f ca="1">Dashboard!B$8* Dashboard!$F$4+Dashboard!B$10*SQRT(Dashboard!$F$4) * _xlfn.NORM.S.INV(RAND())</f>
        <v>-3.7264833969719319E-3</v>
      </c>
      <c r="T9901" s="59">
        <f ca="1">Dashboard!C$8* Dashboard!$F$4+Dashboard!C$10*SQRT(Dashboard!$F$4) * _xlfn.NORM.S.INV(RAND())</f>
        <v>1.7438072167218568E-2</v>
      </c>
      <c r="U9901" s="59">
        <f ca="1">Dashboard!D$8* Dashboard!$F$4+Dashboard!D$10*SQRT(Dashboard!$F$4) * _xlfn.NORM.S.INV(RAND())</f>
        <v>1.7661292862868939E-3</v>
      </c>
    </row>
    <row r="9902" spans="18:21" x14ac:dyDescent="0.2">
      <c r="R9902" s="49">
        <v>9900</v>
      </c>
      <c r="S9902" s="59">
        <f ca="1">Dashboard!B$8* Dashboard!$F$4+Dashboard!B$10*SQRT(Dashboard!$F$4) * _xlfn.NORM.S.INV(RAND())</f>
        <v>-3.3916736317106615E-2</v>
      </c>
      <c r="T9902" s="59">
        <f ca="1">Dashboard!C$8* Dashboard!$F$4+Dashboard!C$10*SQRT(Dashboard!$F$4) * _xlfn.NORM.S.INV(RAND())</f>
        <v>-3.3127702215022814E-2</v>
      </c>
      <c r="U9902" s="59">
        <f ca="1">Dashboard!D$8* Dashboard!$F$4+Dashboard!D$10*SQRT(Dashboard!$F$4) * _xlfn.NORM.S.INV(RAND())</f>
        <v>2.6569802216604007E-3</v>
      </c>
    </row>
    <row r="9903" spans="18:21" x14ac:dyDescent="0.2">
      <c r="R9903" s="49">
        <v>9901</v>
      </c>
      <c r="S9903" s="59">
        <f ca="1">Dashboard!B$8* Dashboard!$F$4+Dashboard!B$10*SQRT(Dashboard!$F$4) * _xlfn.NORM.S.INV(RAND())</f>
        <v>6.5464664761979794E-3</v>
      </c>
      <c r="T9903" s="59">
        <f ca="1">Dashboard!C$8* Dashboard!$F$4+Dashboard!C$10*SQRT(Dashboard!$F$4) * _xlfn.NORM.S.INV(RAND())</f>
        <v>-5.1423706033536319E-2</v>
      </c>
      <c r="U9903" s="59">
        <f ca="1">Dashboard!D$8* Dashboard!$F$4+Dashboard!D$10*SQRT(Dashboard!$F$4) * _xlfn.NORM.S.INV(RAND())</f>
        <v>2.5388559890461616E-2</v>
      </c>
    </row>
    <row r="9904" spans="18:21" x14ac:dyDescent="0.2">
      <c r="R9904" s="49">
        <v>9902</v>
      </c>
      <c r="S9904" s="59">
        <f ca="1">Dashboard!B$8* Dashboard!$F$4+Dashboard!B$10*SQRT(Dashboard!$F$4) * _xlfn.NORM.S.INV(RAND())</f>
        <v>-7.4540750996773698E-3</v>
      </c>
      <c r="T9904" s="59">
        <f ca="1">Dashboard!C$8* Dashboard!$F$4+Dashboard!C$10*SQRT(Dashboard!$F$4) * _xlfn.NORM.S.INV(RAND())</f>
        <v>5.2454633016122541E-2</v>
      </c>
      <c r="U9904" s="59">
        <f ca="1">Dashboard!D$8* Dashboard!$F$4+Dashboard!D$10*SQRT(Dashboard!$F$4) * _xlfn.NORM.S.INV(RAND())</f>
        <v>5.8191412252602735E-2</v>
      </c>
    </row>
    <row r="9905" spans="18:21" x14ac:dyDescent="0.2">
      <c r="R9905" s="49">
        <v>9903</v>
      </c>
      <c r="S9905" s="59">
        <f ca="1">Dashboard!B$8* Dashboard!$F$4+Dashboard!B$10*SQRT(Dashboard!$F$4) * _xlfn.NORM.S.INV(RAND())</f>
        <v>3.6918796390631628E-2</v>
      </c>
      <c r="T9905" s="59">
        <f ca="1">Dashboard!C$8* Dashboard!$F$4+Dashboard!C$10*SQRT(Dashboard!$F$4) * _xlfn.NORM.S.INV(RAND())</f>
        <v>-4.388887727418677E-2</v>
      </c>
      <c r="U9905" s="59">
        <f ca="1">Dashboard!D$8* Dashboard!$F$4+Dashboard!D$10*SQRT(Dashboard!$F$4) * _xlfn.NORM.S.INV(RAND())</f>
        <v>6.8120418399287133E-2</v>
      </c>
    </row>
    <row r="9906" spans="18:21" x14ac:dyDescent="0.2">
      <c r="R9906" s="49">
        <v>9904</v>
      </c>
      <c r="S9906" s="59">
        <f ca="1">Dashboard!B$8* Dashboard!$F$4+Dashboard!B$10*SQRT(Dashboard!$F$4) * _xlfn.NORM.S.INV(RAND())</f>
        <v>-2.3227823570156722E-2</v>
      </c>
      <c r="T9906" s="59">
        <f ca="1">Dashboard!C$8* Dashboard!$F$4+Dashboard!C$10*SQRT(Dashboard!$F$4) * _xlfn.NORM.S.INV(RAND())</f>
        <v>3.4140012365170565E-2</v>
      </c>
      <c r="U9906" s="59">
        <f ca="1">Dashboard!D$8* Dashboard!$F$4+Dashboard!D$10*SQRT(Dashboard!$F$4) * _xlfn.NORM.S.INV(RAND())</f>
        <v>-7.0891112629541259E-2</v>
      </c>
    </row>
    <row r="9907" spans="18:21" x14ac:dyDescent="0.2">
      <c r="R9907" s="49">
        <v>9905</v>
      </c>
      <c r="S9907" s="59">
        <f ca="1">Dashboard!B$8* Dashboard!$F$4+Dashboard!B$10*SQRT(Dashboard!$F$4) * _xlfn.NORM.S.INV(RAND())</f>
        <v>-9.9424888642565129E-3</v>
      </c>
      <c r="T9907" s="59">
        <f ca="1">Dashboard!C$8* Dashboard!$F$4+Dashboard!C$10*SQRT(Dashboard!$F$4) * _xlfn.NORM.S.INV(RAND())</f>
        <v>-5.0893852791084555E-2</v>
      </c>
      <c r="U9907" s="59">
        <f ca="1">Dashboard!D$8* Dashboard!$F$4+Dashboard!D$10*SQRT(Dashboard!$F$4) * _xlfn.NORM.S.INV(RAND())</f>
        <v>5.2085545942087289E-3</v>
      </c>
    </row>
    <row r="9908" spans="18:21" x14ac:dyDescent="0.2">
      <c r="R9908" s="49">
        <v>9906</v>
      </c>
      <c r="S9908" s="59">
        <f ca="1">Dashboard!B$8* Dashboard!$F$4+Dashboard!B$10*SQRT(Dashboard!$F$4) * _xlfn.NORM.S.INV(RAND())</f>
        <v>4.9799295174149404E-2</v>
      </c>
      <c r="T9908" s="59">
        <f ca="1">Dashboard!C$8* Dashboard!$F$4+Dashboard!C$10*SQRT(Dashboard!$F$4) * _xlfn.NORM.S.INV(RAND())</f>
        <v>-4.2810832281800553E-3</v>
      </c>
      <c r="U9908" s="59">
        <f ca="1">Dashboard!D$8* Dashboard!$F$4+Dashboard!D$10*SQRT(Dashboard!$F$4) * _xlfn.NORM.S.INV(RAND())</f>
        <v>-2.5940166244054704E-2</v>
      </c>
    </row>
    <row r="9909" spans="18:21" x14ac:dyDescent="0.2">
      <c r="R9909" s="49">
        <v>9907</v>
      </c>
      <c r="S9909" s="59">
        <f ca="1">Dashboard!B$8* Dashboard!$F$4+Dashboard!B$10*SQRT(Dashboard!$F$4) * _xlfn.NORM.S.INV(RAND())</f>
        <v>-1.0431043122444421E-3</v>
      </c>
      <c r="T9909" s="59">
        <f ca="1">Dashboard!C$8* Dashboard!$F$4+Dashboard!C$10*SQRT(Dashboard!$F$4) * _xlfn.NORM.S.INV(RAND())</f>
        <v>-1.4712755024167825E-2</v>
      </c>
      <c r="U9909" s="59">
        <f ca="1">Dashboard!D$8* Dashboard!$F$4+Dashboard!D$10*SQRT(Dashboard!$F$4) * _xlfn.NORM.S.INV(RAND())</f>
        <v>-1.9265809317240878E-2</v>
      </c>
    </row>
    <row r="9910" spans="18:21" x14ac:dyDescent="0.2">
      <c r="R9910" s="49">
        <v>9908</v>
      </c>
      <c r="S9910" s="59">
        <f ca="1">Dashboard!B$8* Dashboard!$F$4+Dashboard!B$10*SQRT(Dashboard!$F$4) * _xlfn.NORM.S.INV(RAND())</f>
        <v>-1.0032360029906658E-2</v>
      </c>
      <c r="T9910" s="59">
        <f ca="1">Dashboard!C$8* Dashboard!$F$4+Dashboard!C$10*SQRT(Dashboard!$F$4) * _xlfn.NORM.S.INV(RAND())</f>
        <v>3.2683006323003708E-2</v>
      </c>
      <c r="U9910" s="59">
        <f ca="1">Dashboard!D$8* Dashboard!$F$4+Dashboard!D$10*SQRT(Dashboard!$F$4) * _xlfn.NORM.S.INV(RAND())</f>
        <v>6.5360579746917636E-3</v>
      </c>
    </row>
    <row r="9911" spans="18:21" x14ac:dyDescent="0.2">
      <c r="R9911" s="49">
        <v>9909</v>
      </c>
      <c r="S9911" s="59">
        <f ca="1">Dashboard!B$8* Dashboard!$F$4+Dashboard!B$10*SQRT(Dashboard!$F$4) * _xlfn.NORM.S.INV(RAND())</f>
        <v>-4.1658936648290304E-2</v>
      </c>
      <c r="T9911" s="59">
        <f ca="1">Dashboard!C$8* Dashboard!$F$4+Dashboard!C$10*SQRT(Dashboard!$F$4) * _xlfn.NORM.S.INV(RAND())</f>
        <v>4.3143135181560807E-2</v>
      </c>
      <c r="U9911" s="59">
        <f ca="1">Dashboard!D$8* Dashboard!$F$4+Dashboard!D$10*SQRT(Dashboard!$F$4) * _xlfn.NORM.S.INV(RAND())</f>
        <v>4.3594472876805089E-2</v>
      </c>
    </row>
    <row r="9912" spans="18:21" x14ac:dyDescent="0.2">
      <c r="R9912" s="49">
        <v>9910</v>
      </c>
      <c r="S9912" s="59">
        <f ca="1">Dashboard!B$8* Dashboard!$F$4+Dashboard!B$10*SQRT(Dashboard!$F$4) * _xlfn.NORM.S.INV(RAND())</f>
        <v>-7.2577023263391272E-3</v>
      </c>
      <c r="T9912" s="59">
        <f ca="1">Dashboard!C$8* Dashboard!$F$4+Dashboard!C$10*SQRT(Dashboard!$F$4) * _xlfn.NORM.S.INV(RAND())</f>
        <v>-8.8101999495015411E-3</v>
      </c>
      <c r="U9912" s="59">
        <f ca="1">Dashboard!D$8* Dashboard!$F$4+Dashboard!D$10*SQRT(Dashboard!$F$4) * _xlfn.NORM.S.INV(RAND())</f>
        <v>-2.7861431769148706E-2</v>
      </c>
    </row>
    <row r="9913" spans="18:21" x14ac:dyDescent="0.2">
      <c r="R9913" s="49">
        <v>9911</v>
      </c>
      <c r="S9913" s="59">
        <f ca="1">Dashboard!B$8* Dashboard!$F$4+Dashboard!B$10*SQRT(Dashboard!$F$4) * _xlfn.NORM.S.INV(RAND())</f>
        <v>-1.1321076897944895E-2</v>
      </c>
      <c r="T9913" s="59">
        <f ca="1">Dashboard!C$8* Dashboard!$F$4+Dashboard!C$10*SQRT(Dashboard!$F$4) * _xlfn.NORM.S.INV(RAND())</f>
        <v>-2.0518772264126954E-2</v>
      </c>
      <c r="U9913" s="59">
        <f ca="1">Dashboard!D$8* Dashboard!$F$4+Dashboard!D$10*SQRT(Dashboard!$F$4) * _xlfn.NORM.S.INV(RAND())</f>
        <v>-4.9807807705030075E-3</v>
      </c>
    </row>
    <row r="9914" spans="18:21" x14ac:dyDescent="0.2">
      <c r="R9914" s="49">
        <v>9912</v>
      </c>
      <c r="S9914" s="59">
        <f ca="1">Dashboard!B$8* Dashboard!$F$4+Dashboard!B$10*SQRT(Dashboard!$F$4) * _xlfn.NORM.S.INV(RAND())</f>
        <v>8.0733717049116544E-3</v>
      </c>
      <c r="T9914" s="59">
        <f ca="1">Dashboard!C$8* Dashboard!$F$4+Dashboard!C$10*SQRT(Dashboard!$F$4) * _xlfn.NORM.S.INV(RAND())</f>
        <v>1.0415249265366324E-2</v>
      </c>
      <c r="U9914" s="59">
        <f ca="1">Dashboard!D$8* Dashboard!$F$4+Dashboard!D$10*SQRT(Dashboard!$F$4) * _xlfn.NORM.S.INV(RAND())</f>
        <v>2.2291872270685829E-2</v>
      </c>
    </row>
    <row r="9915" spans="18:21" x14ac:dyDescent="0.2">
      <c r="R9915" s="49">
        <v>9913</v>
      </c>
      <c r="S9915" s="59">
        <f ca="1">Dashboard!B$8* Dashboard!$F$4+Dashboard!B$10*SQRT(Dashboard!$F$4) * _xlfn.NORM.S.INV(RAND())</f>
        <v>-1.743094757050109E-2</v>
      </c>
      <c r="T9915" s="59">
        <f ca="1">Dashboard!C$8* Dashboard!$F$4+Dashboard!C$10*SQRT(Dashboard!$F$4) * _xlfn.NORM.S.INV(RAND())</f>
        <v>-6.1410446063368346E-2</v>
      </c>
      <c r="U9915" s="59">
        <f ca="1">Dashboard!D$8* Dashboard!$F$4+Dashboard!D$10*SQRT(Dashboard!$F$4) * _xlfn.NORM.S.INV(RAND())</f>
        <v>2.2071866870070657E-2</v>
      </c>
    </row>
    <row r="9916" spans="18:21" x14ac:dyDescent="0.2">
      <c r="R9916" s="49">
        <v>9914</v>
      </c>
      <c r="S9916" s="59">
        <f ca="1">Dashboard!B$8* Dashboard!$F$4+Dashboard!B$10*SQRT(Dashboard!$F$4) * _xlfn.NORM.S.INV(RAND())</f>
        <v>-3.2980897693834395E-2</v>
      </c>
      <c r="T9916" s="59">
        <f ca="1">Dashboard!C$8* Dashboard!$F$4+Dashboard!C$10*SQRT(Dashboard!$F$4) * _xlfn.NORM.S.INV(RAND())</f>
        <v>3.6401898607338452E-2</v>
      </c>
      <c r="U9916" s="59">
        <f ca="1">Dashboard!D$8* Dashboard!$F$4+Dashboard!D$10*SQRT(Dashboard!$F$4) * _xlfn.NORM.S.INV(RAND())</f>
        <v>-5.3010176091113262E-2</v>
      </c>
    </row>
    <row r="9917" spans="18:21" x14ac:dyDescent="0.2">
      <c r="R9917" s="49">
        <v>9915</v>
      </c>
      <c r="S9917" s="59">
        <f ca="1">Dashboard!B$8* Dashboard!$F$4+Dashboard!B$10*SQRT(Dashboard!$F$4) * _xlfn.NORM.S.INV(RAND())</f>
        <v>6.1655965635718322E-3</v>
      </c>
      <c r="T9917" s="59">
        <f ca="1">Dashboard!C$8* Dashboard!$F$4+Dashboard!C$10*SQRT(Dashboard!$F$4) * _xlfn.NORM.S.INV(RAND())</f>
        <v>-3.7622462346625597E-3</v>
      </c>
      <c r="U9917" s="59">
        <f ca="1">Dashboard!D$8* Dashboard!$F$4+Dashboard!D$10*SQRT(Dashboard!$F$4) * _xlfn.NORM.S.INV(RAND())</f>
        <v>-2.7308922911108601E-2</v>
      </c>
    </row>
    <row r="9918" spans="18:21" x14ac:dyDescent="0.2">
      <c r="R9918" s="49">
        <v>9916</v>
      </c>
      <c r="S9918" s="59">
        <f ca="1">Dashboard!B$8* Dashboard!$F$4+Dashboard!B$10*SQRT(Dashboard!$F$4) * _xlfn.NORM.S.INV(RAND())</f>
        <v>1.9239254731639101E-2</v>
      </c>
      <c r="T9918" s="59">
        <f ca="1">Dashboard!C$8* Dashboard!$F$4+Dashboard!C$10*SQRT(Dashboard!$F$4) * _xlfn.NORM.S.INV(RAND())</f>
        <v>-1.6086675799316278E-2</v>
      </c>
      <c r="U9918" s="59">
        <f ca="1">Dashboard!D$8* Dashboard!$F$4+Dashboard!D$10*SQRT(Dashboard!$F$4) * _xlfn.NORM.S.INV(RAND())</f>
        <v>9.793811782188775E-3</v>
      </c>
    </row>
    <row r="9919" spans="18:21" x14ac:dyDescent="0.2">
      <c r="R9919" s="49">
        <v>9917</v>
      </c>
      <c r="S9919" s="59">
        <f ca="1">Dashboard!B$8* Dashboard!$F$4+Dashboard!B$10*SQRT(Dashboard!$F$4) * _xlfn.NORM.S.INV(RAND())</f>
        <v>3.3780100740743203E-2</v>
      </c>
      <c r="T9919" s="59">
        <f ca="1">Dashboard!C$8* Dashboard!$F$4+Dashboard!C$10*SQRT(Dashboard!$F$4) * _xlfn.NORM.S.INV(RAND())</f>
        <v>-4.1229466207992138E-3</v>
      </c>
      <c r="U9919" s="59">
        <f ca="1">Dashboard!D$8* Dashboard!$F$4+Dashboard!D$10*SQRT(Dashboard!$F$4) * _xlfn.NORM.S.INV(RAND())</f>
        <v>1.353282702360081E-2</v>
      </c>
    </row>
    <row r="9920" spans="18:21" x14ac:dyDescent="0.2">
      <c r="R9920" s="49">
        <v>9918</v>
      </c>
      <c r="S9920" s="59">
        <f ca="1">Dashboard!B$8* Dashboard!$F$4+Dashboard!B$10*SQRT(Dashboard!$F$4) * _xlfn.NORM.S.INV(RAND())</f>
        <v>-4.802455190640903E-2</v>
      </c>
      <c r="T9920" s="59">
        <f ca="1">Dashboard!C$8* Dashboard!$F$4+Dashboard!C$10*SQRT(Dashboard!$F$4) * _xlfn.NORM.S.INV(RAND())</f>
        <v>-4.9318115788693856E-2</v>
      </c>
      <c r="U9920" s="59">
        <f ca="1">Dashboard!D$8* Dashboard!$F$4+Dashboard!D$10*SQRT(Dashboard!$F$4) * _xlfn.NORM.S.INV(RAND())</f>
        <v>3.9403263207320377E-2</v>
      </c>
    </row>
    <row r="9921" spans="18:21" x14ac:dyDescent="0.2">
      <c r="R9921" s="49">
        <v>9919</v>
      </c>
      <c r="S9921" s="59">
        <f ca="1">Dashboard!B$8* Dashboard!$F$4+Dashboard!B$10*SQRT(Dashboard!$F$4) * _xlfn.NORM.S.INV(RAND())</f>
        <v>-3.7342213688983539E-4</v>
      </c>
      <c r="T9921" s="59">
        <f ca="1">Dashboard!C$8* Dashboard!$F$4+Dashboard!C$10*SQRT(Dashboard!$F$4) * _xlfn.NORM.S.INV(RAND())</f>
        <v>3.8858623868730124E-2</v>
      </c>
      <c r="U9921" s="59">
        <f ca="1">Dashboard!D$8* Dashboard!$F$4+Dashboard!D$10*SQRT(Dashboard!$F$4) * _xlfn.NORM.S.INV(RAND())</f>
        <v>7.8174255566620752E-3</v>
      </c>
    </row>
    <row r="9922" spans="18:21" x14ac:dyDescent="0.2">
      <c r="R9922" s="49">
        <v>9920</v>
      </c>
      <c r="S9922" s="59">
        <f ca="1">Dashboard!B$8* Dashboard!$F$4+Dashboard!B$10*SQRT(Dashboard!$F$4) * _xlfn.NORM.S.INV(RAND())</f>
        <v>1.5715605263439278E-2</v>
      </c>
      <c r="T9922" s="59">
        <f ca="1">Dashboard!C$8* Dashboard!$F$4+Dashboard!C$10*SQRT(Dashboard!$F$4) * _xlfn.NORM.S.INV(RAND())</f>
        <v>1.4512226319633895E-2</v>
      </c>
      <c r="U9922" s="59">
        <f ca="1">Dashboard!D$8* Dashboard!$F$4+Dashboard!D$10*SQRT(Dashboard!$F$4) * _xlfn.NORM.S.INV(RAND())</f>
        <v>5.3244296046159045E-2</v>
      </c>
    </row>
    <row r="9923" spans="18:21" x14ac:dyDescent="0.2">
      <c r="R9923" s="49">
        <v>9921</v>
      </c>
      <c r="S9923" s="59">
        <f ca="1">Dashboard!B$8* Dashboard!$F$4+Dashboard!B$10*SQRT(Dashboard!$F$4) * _xlfn.NORM.S.INV(RAND())</f>
        <v>-1.1122584581541403E-2</v>
      </c>
      <c r="T9923" s="59">
        <f ca="1">Dashboard!C$8* Dashboard!$F$4+Dashboard!C$10*SQRT(Dashboard!$F$4) * _xlfn.NORM.S.INV(RAND())</f>
        <v>1.6773770957536072E-2</v>
      </c>
      <c r="U9923" s="59">
        <f ca="1">Dashboard!D$8* Dashboard!$F$4+Dashboard!D$10*SQRT(Dashboard!$F$4) * _xlfn.NORM.S.INV(RAND())</f>
        <v>1.4760761425155533E-2</v>
      </c>
    </row>
    <row r="9924" spans="18:21" x14ac:dyDescent="0.2">
      <c r="R9924" s="49">
        <v>9922</v>
      </c>
      <c r="S9924" s="59">
        <f ca="1">Dashboard!B$8* Dashboard!$F$4+Dashboard!B$10*SQRT(Dashboard!$F$4) * _xlfn.NORM.S.INV(RAND())</f>
        <v>-3.8169486458277516E-2</v>
      </c>
      <c r="T9924" s="59">
        <f ca="1">Dashboard!C$8* Dashboard!$F$4+Dashboard!C$10*SQRT(Dashboard!$F$4) * _xlfn.NORM.S.INV(RAND())</f>
        <v>-3.5417493323103184E-2</v>
      </c>
      <c r="U9924" s="59">
        <f ca="1">Dashboard!D$8* Dashboard!$F$4+Dashboard!D$10*SQRT(Dashboard!$F$4) * _xlfn.NORM.S.INV(RAND())</f>
        <v>1.8713418188234736E-2</v>
      </c>
    </row>
    <row r="9925" spans="18:21" x14ac:dyDescent="0.2">
      <c r="R9925" s="49">
        <v>9923</v>
      </c>
      <c r="S9925" s="59">
        <f ca="1">Dashboard!B$8* Dashboard!$F$4+Dashboard!B$10*SQRT(Dashboard!$F$4) * _xlfn.NORM.S.INV(RAND())</f>
        <v>-1.1523385119006919E-2</v>
      </c>
      <c r="T9925" s="59">
        <f ca="1">Dashboard!C$8* Dashboard!$F$4+Dashboard!C$10*SQRT(Dashboard!$F$4) * _xlfn.NORM.S.INV(RAND())</f>
        <v>2.9350453066731074E-2</v>
      </c>
      <c r="U9925" s="59">
        <f ca="1">Dashboard!D$8* Dashboard!$F$4+Dashboard!D$10*SQRT(Dashboard!$F$4) * _xlfn.NORM.S.INV(RAND())</f>
        <v>3.2459461270082937E-2</v>
      </c>
    </row>
    <row r="9926" spans="18:21" x14ac:dyDescent="0.2">
      <c r="R9926" s="49">
        <v>9924</v>
      </c>
      <c r="S9926" s="59">
        <f ca="1">Dashboard!B$8* Dashboard!$F$4+Dashboard!B$10*SQRT(Dashboard!$F$4) * _xlfn.NORM.S.INV(RAND())</f>
        <v>-3.3406524650560702E-2</v>
      </c>
      <c r="T9926" s="59">
        <f ca="1">Dashboard!C$8* Dashboard!$F$4+Dashboard!C$10*SQRT(Dashboard!$F$4) * _xlfn.NORM.S.INV(RAND())</f>
        <v>3.9224915651935449E-2</v>
      </c>
      <c r="U9926" s="59">
        <f ca="1">Dashboard!D$8* Dashboard!$F$4+Dashboard!D$10*SQRT(Dashboard!$F$4) * _xlfn.NORM.S.INV(RAND())</f>
        <v>-1.5909492572279591E-3</v>
      </c>
    </row>
    <row r="9927" spans="18:21" x14ac:dyDescent="0.2">
      <c r="R9927" s="49">
        <v>9925</v>
      </c>
      <c r="S9927" s="59">
        <f ca="1">Dashboard!B$8* Dashboard!$F$4+Dashboard!B$10*SQRT(Dashboard!$F$4) * _xlfn.NORM.S.INV(RAND())</f>
        <v>1.1304857004349309E-2</v>
      </c>
      <c r="T9927" s="59">
        <f ca="1">Dashboard!C$8* Dashboard!$F$4+Dashboard!C$10*SQRT(Dashboard!$F$4) * _xlfn.NORM.S.INV(RAND())</f>
        <v>-3.5869891847329187E-2</v>
      </c>
      <c r="U9927" s="59">
        <f ca="1">Dashboard!D$8* Dashboard!$F$4+Dashboard!D$10*SQRT(Dashboard!$F$4) * _xlfn.NORM.S.INV(RAND())</f>
        <v>7.0919542345667004E-3</v>
      </c>
    </row>
    <row r="9928" spans="18:21" x14ac:dyDescent="0.2">
      <c r="R9928" s="49">
        <v>9926</v>
      </c>
      <c r="S9928" s="59">
        <f ca="1">Dashboard!B$8* Dashboard!$F$4+Dashboard!B$10*SQRT(Dashboard!$F$4) * _xlfn.NORM.S.INV(RAND())</f>
        <v>-3.3411262323796299E-2</v>
      </c>
      <c r="T9928" s="59">
        <f ca="1">Dashboard!C$8* Dashboard!$F$4+Dashboard!C$10*SQRT(Dashboard!$F$4) * _xlfn.NORM.S.INV(RAND())</f>
        <v>2.7035475571858254E-3</v>
      </c>
      <c r="U9928" s="59">
        <f ca="1">Dashboard!D$8* Dashboard!$F$4+Dashboard!D$10*SQRT(Dashboard!$F$4) * _xlfn.NORM.S.INV(RAND())</f>
        <v>-5.0430807970727881E-2</v>
      </c>
    </row>
    <row r="9929" spans="18:21" x14ac:dyDescent="0.2">
      <c r="R9929" s="49">
        <v>9927</v>
      </c>
      <c r="S9929" s="59">
        <f ca="1">Dashboard!B$8* Dashboard!$F$4+Dashboard!B$10*SQRT(Dashboard!$F$4) * _xlfn.NORM.S.INV(RAND())</f>
        <v>-2.4380290933748251E-2</v>
      </c>
      <c r="T9929" s="59">
        <f ca="1">Dashboard!C$8* Dashboard!$F$4+Dashboard!C$10*SQRT(Dashboard!$F$4) * _xlfn.NORM.S.INV(RAND())</f>
        <v>1.1453249757346431E-2</v>
      </c>
      <c r="U9929" s="59">
        <f ca="1">Dashboard!D$8* Dashboard!$F$4+Dashboard!D$10*SQRT(Dashboard!$F$4) * _xlfn.NORM.S.INV(RAND())</f>
        <v>-5.2935242196819048E-2</v>
      </c>
    </row>
    <row r="9930" spans="18:21" x14ac:dyDescent="0.2">
      <c r="R9930" s="49">
        <v>9928</v>
      </c>
      <c r="S9930" s="59">
        <f ca="1">Dashboard!B$8* Dashboard!$F$4+Dashboard!B$10*SQRT(Dashboard!$F$4) * _xlfn.NORM.S.INV(RAND())</f>
        <v>-5.2380460638156892E-2</v>
      </c>
      <c r="T9930" s="59">
        <f ca="1">Dashboard!C$8* Dashboard!$F$4+Dashboard!C$10*SQRT(Dashboard!$F$4) * _xlfn.NORM.S.INV(RAND())</f>
        <v>1.9802965538737342E-2</v>
      </c>
      <c r="U9930" s="59">
        <f ca="1">Dashboard!D$8* Dashboard!$F$4+Dashboard!D$10*SQRT(Dashboard!$F$4) * _xlfn.NORM.S.INV(RAND())</f>
        <v>2.6857762319455806E-2</v>
      </c>
    </row>
    <row r="9931" spans="18:21" x14ac:dyDescent="0.2">
      <c r="R9931" s="49">
        <v>9929</v>
      </c>
      <c r="S9931" s="59">
        <f ca="1">Dashboard!B$8* Dashboard!$F$4+Dashboard!B$10*SQRT(Dashboard!$F$4) * _xlfn.NORM.S.INV(RAND())</f>
        <v>-3.616105601863602E-2</v>
      </c>
      <c r="T9931" s="59">
        <f ca="1">Dashboard!C$8* Dashboard!$F$4+Dashboard!C$10*SQRT(Dashboard!$F$4) * _xlfn.NORM.S.INV(RAND())</f>
        <v>3.1912006294916181E-2</v>
      </c>
      <c r="U9931" s="59">
        <f ca="1">Dashboard!D$8* Dashboard!$F$4+Dashboard!D$10*SQRT(Dashboard!$F$4) * _xlfn.NORM.S.INV(RAND())</f>
        <v>7.7625862910468413E-3</v>
      </c>
    </row>
    <row r="9932" spans="18:21" x14ac:dyDescent="0.2">
      <c r="R9932" s="49">
        <v>9930</v>
      </c>
      <c r="S9932" s="59">
        <f ca="1">Dashboard!B$8* Dashboard!$F$4+Dashboard!B$10*SQRT(Dashboard!$F$4) * _xlfn.NORM.S.INV(RAND())</f>
        <v>6.5334487080585257E-2</v>
      </c>
      <c r="T9932" s="59">
        <f ca="1">Dashboard!C$8* Dashboard!$F$4+Dashboard!C$10*SQRT(Dashboard!$F$4) * _xlfn.NORM.S.INV(RAND())</f>
        <v>1.5279467180492178E-2</v>
      </c>
      <c r="U9932" s="59">
        <f ca="1">Dashboard!D$8* Dashboard!$F$4+Dashboard!D$10*SQRT(Dashboard!$F$4) * _xlfn.NORM.S.INV(RAND())</f>
        <v>7.0938566391489481E-3</v>
      </c>
    </row>
    <row r="9933" spans="18:21" x14ac:dyDescent="0.2">
      <c r="R9933" s="49">
        <v>9931</v>
      </c>
      <c r="S9933" s="59">
        <f ca="1">Dashboard!B$8* Dashboard!$F$4+Dashboard!B$10*SQRT(Dashboard!$F$4) * _xlfn.NORM.S.INV(RAND())</f>
        <v>2.3110161181333438E-2</v>
      </c>
      <c r="T9933" s="59">
        <f ca="1">Dashboard!C$8* Dashboard!$F$4+Dashboard!C$10*SQRT(Dashboard!$F$4) * _xlfn.NORM.S.INV(RAND())</f>
        <v>5.9378281657677785E-2</v>
      </c>
      <c r="U9933" s="59">
        <f ca="1">Dashboard!D$8* Dashboard!$F$4+Dashboard!D$10*SQRT(Dashboard!$F$4) * _xlfn.NORM.S.INV(RAND())</f>
        <v>1.1175346387192172E-2</v>
      </c>
    </row>
    <row r="9934" spans="18:21" x14ac:dyDescent="0.2">
      <c r="R9934" s="49">
        <v>9932</v>
      </c>
      <c r="S9934" s="59">
        <f ca="1">Dashboard!B$8* Dashboard!$F$4+Dashboard!B$10*SQRT(Dashboard!$F$4) * _xlfn.NORM.S.INV(RAND())</f>
        <v>1.7850372066460278E-2</v>
      </c>
      <c r="T9934" s="59">
        <f ca="1">Dashboard!C$8* Dashboard!$F$4+Dashboard!C$10*SQRT(Dashboard!$F$4) * _xlfn.NORM.S.INV(RAND())</f>
        <v>-1.363966721288835E-2</v>
      </c>
      <c r="U9934" s="59">
        <f ca="1">Dashboard!D$8* Dashboard!$F$4+Dashboard!D$10*SQRT(Dashboard!$F$4) * _xlfn.NORM.S.INV(RAND())</f>
        <v>3.9096439139803818E-2</v>
      </c>
    </row>
    <row r="9935" spans="18:21" x14ac:dyDescent="0.2">
      <c r="R9935" s="49">
        <v>9933</v>
      </c>
      <c r="S9935" s="59">
        <f ca="1">Dashboard!B$8* Dashboard!$F$4+Dashboard!B$10*SQRT(Dashboard!$F$4) * _xlfn.NORM.S.INV(RAND())</f>
        <v>2.6798476228641604E-3</v>
      </c>
      <c r="T9935" s="59">
        <f ca="1">Dashboard!C$8* Dashboard!$F$4+Dashboard!C$10*SQRT(Dashboard!$F$4) * _xlfn.NORM.S.INV(RAND())</f>
        <v>-7.7475770364761687E-3</v>
      </c>
      <c r="U9935" s="59">
        <f ca="1">Dashboard!D$8* Dashboard!$F$4+Dashboard!D$10*SQRT(Dashboard!$F$4) * _xlfn.NORM.S.INV(RAND())</f>
        <v>-6.1985793842037347E-2</v>
      </c>
    </row>
    <row r="9936" spans="18:21" x14ac:dyDescent="0.2">
      <c r="R9936" s="49">
        <v>9934</v>
      </c>
      <c r="S9936" s="59">
        <f ca="1">Dashboard!B$8* Dashboard!$F$4+Dashboard!B$10*SQRT(Dashboard!$F$4) * _xlfn.NORM.S.INV(RAND())</f>
        <v>-2.8655373606692389E-2</v>
      </c>
      <c r="T9936" s="59">
        <f ca="1">Dashboard!C$8* Dashboard!$F$4+Dashboard!C$10*SQRT(Dashboard!$F$4) * _xlfn.NORM.S.INV(RAND())</f>
        <v>-5.8282722871812159E-2</v>
      </c>
      <c r="U9936" s="59">
        <f ca="1">Dashboard!D$8* Dashboard!$F$4+Dashboard!D$10*SQRT(Dashboard!$F$4) * _xlfn.NORM.S.INV(RAND())</f>
        <v>3.7374487225810847E-2</v>
      </c>
    </row>
    <row r="9937" spans="18:21" x14ac:dyDescent="0.2">
      <c r="R9937" s="49">
        <v>9935</v>
      </c>
      <c r="S9937" s="59">
        <f ca="1">Dashboard!B$8* Dashboard!$F$4+Dashboard!B$10*SQRT(Dashboard!$F$4) * _xlfn.NORM.S.INV(RAND())</f>
        <v>5.3211395474081057E-4</v>
      </c>
      <c r="T9937" s="59">
        <f ca="1">Dashboard!C$8* Dashboard!$F$4+Dashboard!C$10*SQRT(Dashboard!$F$4) * _xlfn.NORM.S.INV(RAND())</f>
        <v>2.6914481663113433E-2</v>
      </c>
      <c r="U9937" s="59">
        <f ca="1">Dashboard!D$8* Dashboard!$F$4+Dashboard!D$10*SQRT(Dashboard!$F$4) * _xlfn.NORM.S.INV(RAND())</f>
        <v>1.6511608767067185E-3</v>
      </c>
    </row>
    <row r="9938" spans="18:21" x14ac:dyDescent="0.2">
      <c r="R9938" s="49">
        <v>9936</v>
      </c>
      <c r="S9938" s="59">
        <f ca="1">Dashboard!B$8* Dashboard!$F$4+Dashboard!B$10*SQRT(Dashboard!$F$4) * _xlfn.NORM.S.INV(RAND())</f>
        <v>-2.4113296271330582E-2</v>
      </c>
      <c r="T9938" s="59">
        <f ca="1">Dashboard!C$8* Dashboard!$F$4+Dashboard!C$10*SQRT(Dashboard!$F$4) * _xlfn.NORM.S.INV(RAND())</f>
        <v>2.9103388526351887E-2</v>
      </c>
      <c r="U9938" s="59">
        <f ca="1">Dashboard!D$8* Dashboard!$F$4+Dashboard!D$10*SQRT(Dashboard!$F$4) * _xlfn.NORM.S.INV(RAND())</f>
        <v>3.3508227908123469E-3</v>
      </c>
    </row>
    <row r="9939" spans="18:21" x14ac:dyDescent="0.2">
      <c r="R9939" s="49">
        <v>9937</v>
      </c>
      <c r="S9939" s="59">
        <f ca="1">Dashboard!B$8* Dashboard!$F$4+Dashboard!B$10*SQRT(Dashboard!$F$4) * _xlfn.NORM.S.INV(RAND())</f>
        <v>3.2356846383372277E-3</v>
      </c>
      <c r="T9939" s="59">
        <f ca="1">Dashboard!C$8* Dashboard!$F$4+Dashboard!C$10*SQRT(Dashboard!$F$4) * _xlfn.NORM.S.INV(RAND())</f>
        <v>-1.7982747568142259E-2</v>
      </c>
      <c r="U9939" s="59">
        <f ca="1">Dashboard!D$8* Dashboard!$F$4+Dashboard!D$10*SQRT(Dashboard!$F$4) * _xlfn.NORM.S.INV(RAND())</f>
        <v>1.5199772547483193E-2</v>
      </c>
    </row>
    <row r="9940" spans="18:21" x14ac:dyDescent="0.2">
      <c r="R9940" s="49">
        <v>9938</v>
      </c>
      <c r="S9940" s="59">
        <f ca="1">Dashboard!B$8* Dashboard!$F$4+Dashboard!B$10*SQRT(Dashboard!$F$4) * _xlfn.NORM.S.INV(RAND())</f>
        <v>-1.7527507898991008E-2</v>
      </c>
      <c r="T9940" s="59">
        <f ca="1">Dashboard!C$8* Dashboard!$F$4+Dashboard!C$10*SQRT(Dashboard!$F$4) * _xlfn.NORM.S.INV(RAND())</f>
        <v>4.732475593190183E-2</v>
      </c>
      <c r="U9940" s="59">
        <f ca="1">Dashboard!D$8* Dashboard!$F$4+Dashboard!D$10*SQRT(Dashboard!$F$4) * _xlfn.NORM.S.INV(RAND())</f>
        <v>-1.7344456304595818E-2</v>
      </c>
    </row>
    <row r="9941" spans="18:21" x14ac:dyDescent="0.2">
      <c r="R9941" s="49">
        <v>9939</v>
      </c>
      <c r="S9941" s="59">
        <f ca="1">Dashboard!B$8* Dashboard!$F$4+Dashboard!B$10*SQRT(Dashboard!$F$4) * _xlfn.NORM.S.INV(RAND())</f>
        <v>4.1130834931667012E-2</v>
      </c>
      <c r="T9941" s="59">
        <f ca="1">Dashboard!C$8* Dashboard!$F$4+Dashboard!C$10*SQRT(Dashboard!$F$4) * _xlfn.NORM.S.INV(RAND())</f>
        <v>3.139688234333627E-2</v>
      </c>
      <c r="U9941" s="59">
        <f ca="1">Dashboard!D$8* Dashboard!$F$4+Dashboard!D$10*SQRT(Dashboard!$F$4) * _xlfn.NORM.S.INV(RAND())</f>
        <v>-3.9058655504037983E-2</v>
      </c>
    </row>
    <row r="9942" spans="18:21" x14ac:dyDescent="0.2">
      <c r="R9942" s="49">
        <v>9940</v>
      </c>
      <c r="S9942" s="59">
        <f ca="1">Dashboard!B$8* Dashboard!$F$4+Dashboard!B$10*SQRT(Dashboard!$F$4) * _xlfn.NORM.S.INV(RAND())</f>
        <v>4.8181239836220531E-2</v>
      </c>
      <c r="T9942" s="59">
        <f ca="1">Dashboard!C$8* Dashboard!$F$4+Dashboard!C$10*SQRT(Dashboard!$F$4) * _xlfn.NORM.S.INV(RAND())</f>
        <v>4.2484562591964023E-2</v>
      </c>
      <c r="U9942" s="59">
        <f ca="1">Dashboard!D$8* Dashboard!$F$4+Dashboard!D$10*SQRT(Dashboard!$F$4) * _xlfn.NORM.S.INV(RAND())</f>
        <v>-7.7197987710052483E-3</v>
      </c>
    </row>
    <row r="9943" spans="18:21" x14ac:dyDescent="0.2">
      <c r="R9943" s="49">
        <v>9941</v>
      </c>
      <c r="S9943" s="59">
        <f ca="1">Dashboard!B$8* Dashboard!$F$4+Dashboard!B$10*SQRT(Dashboard!$F$4) * _xlfn.NORM.S.INV(RAND())</f>
        <v>-2.3981908777667753E-2</v>
      </c>
      <c r="T9943" s="59">
        <f ca="1">Dashboard!C$8* Dashboard!$F$4+Dashboard!C$10*SQRT(Dashboard!$F$4) * _xlfn.NORM.S.INV(RAND())</f>
        <v>5.9976708649963337E-2</v>
      </c>
      <c r="U9943" s="59">
        <f ca="1">Dashboard!D$8* Dashboard!$F$4+Dashboard!D$10*SQRT(Dashboard!$F$4) * _xlfn.NORM.S.INV(RAND())</f>
        <v>1.4446066569492553E-2</v>
      </c>
    </row>
    <row r="9944" spans="18:21" x14ac:dyDescent="0.2">
      <c r="R9944" s="49">
        <v>9942</v>
      </c>
      <c r="S9944" s="59">
        <f ca="1">Dashboard!B$8* Dashboard!$F$4+Dashboard!B$10*SQRT(Dashboard!$F$4) * _xlfn.NORM.S.INV(RAND())</f>
        <v>-2.244958581194835E-2</v>
      </c>
      <c r="T9944" s="59">
        <f ca="1">Dashboard!C$8* Dashboard!$F$4+Dashboard!C$10*SQRT(Dashboard!$F$4) * _xlfn.NORM.S.INV(RAND())</f>
        <v>-2.2261693166377921E-2</v>
      </c>
      <c r="U9944" s="59">
        <f ca="1">Dashboard!D$8* Dashboard!$F$4+Dashboard!D$10*SQRT(Dashboard!$F$4) * _xlfn.NORM.S.INV(RAND())</f>
        <v>-5.2991528531553499E-2</v>
      </c>
    </row>
    <row r="9945" spans="18:21" x14ac:dyDescent="0.2">
      <c r="R9945" s="49">
        <v>9943</v>
      </c>
      <c r="S9945" s="59">
        <f ca="1">Dashboard!B$8* Dashboard!$F$4+Dashboard!B$10*SQRT(Dashboard!$F$4) * _xlfn.NORM.S.INV(RAND())</f>
        <v>-6.5369181607744895E-2</v>
      </c>
      <c r="T9945" s="59">
        <f ca="1">Dashboard!C$8* Dashboard!$F$4+Dashboard!C$10*SQRT(Dashboard!$F$4) * _xlfn.NORM.S.INV(RAND())</f>
        <v>1.1119604824970684E-2</v>
      </c>
      <c r="U9945" s="59">
        <f ca="1">Dashboard!D$8* Dashboard!$F$4+Dashboard!D$10*SQRT(Dashboard!$F$4) * _xlfn.NORM.S.INV(RAND())</f>
        <v>-1.2146145787731112E-2</v>
      </c>
    </row>
    <row r="9946" spans="18:21" x14ac:dyDescent="0.2">
      <c r="R9946" s="49">
        <v>9944</v>
      </c>
      <c r="S9946" s="59">
        <f ca="1">Dashboard!B$8* Dashboard!$F$4+Dashboard!B$10*SQRT(Dashboard!$F$4) * _xlfn.NORM.S.INV(RAND())</f>
        <v>-3.0985060882341986E-2</v>
      </c>
      <c r="T9946" s="59">
        <f ca="1">Dashboard!C$8* Dashboard!$F$4+Dashboard!C$10*SQRT(Dashboard!$F$4) * _xlfn.NORM.S.INV(RAND())</f>
        <v>2.0031688539458862E-2</v>
      </c>
      <c r="U9946" s="59">
        <f ca="1">Dashboard!D$8* Dashboard!$F$4+Dashboard!D$10*SQRT(Dashboard!$F$4) * _xlfn.NORM.S.INV(RAND())</f>
        <v>3.4310371096051728E-2</v>
      </c>
    </row>
    <row r="9947" spans="18:21" x14ac:dyDescent="0.2">
      <c r="R9947" s="49">
        <v>9945</v>
      </c>
      <c r="S9947" s="59">
        <f ca="1">Dashboard!B$8* Dashboard!$F$4+Dashboard!B$10*SQRT(Dashboard!$F$4) * _xlfn.NORM.S.INV(RAND())</f>
        <v>-6.2292191808333681E-2</v>
      </c>
      <c r="T9947" s="59">
        <f ca="1">Dashboard!C$8* Dashboard!$F$4+Dashboard!C$10*SQRT(Dashboard!$F$4) * _xlfn.NORM.S.INV(RAND())</f>
        <v>1.4770551973633004E-2</v>
      </c>
      <c r="U9947" s="59">
        <f ca="1">Dashboard!D$8* Dashboard!$F$4+Dashboard!D$10*SQRT(Dashboard!$F$4) * _xlfn.NORM.S.INV(RAND())</f>
        <v>-1.5238588877983419E-2</v>
      </c>
    </row>
    <row r="9948" spans="18:21" x14ac:dyDescent="0.2">
      <c r="R9948" s="49">
        <v>9946</v>
      </c>
      <c r="S9948" s="59">
        <f ca="1">Dashboard!B$8* Dashboard!$F$4+Dashboard!B$10*SQRT(Dashboard!$F$4) * _xlfn.NORM.S.INV(RAND())</f>
        <v>-6.4868346137103003E-2</v>
      </c>
      <c r="T9948" s="59">
        <f ca="1">Dashboard!C$8* Dashboard!$F$4+Dashboard!C$10*SQRT(Dashboard!$F$4) * _xlfn.NORM.S.INV(RAND())</f>
        <v>1.8091533938494025E-2</v>
      </c>
      <c r="U9948" s="59">
        <f ca="1">Dashboard!D$8* Dashboard!$F$4+Dashboard!D$10*SQRT(Dashboard!$F$4) * _xlfn.NORM.S.INV(RAND())</f>
        <v>2.2302022227088221E-2</v>
      </c>
    </row>
    <row r="9949" spans="18:21" x14ac:dyDescent="0.2">
      <c r="R9949" s="49">
        <v>9947</v>
      </c>
      <c r="S9949" s="59">
        <f ca="1">Dashboard!B$8* Dashboard!$F$4+Dashboard!B$10*SQRT(Dashboard!$F$4) * _xlfn.NORM.S.INV(RAND())</f>
        <v>7.3009613513085464E-3</v>
      </c>
      <c r="T9949" s="59">
        <f ca="1">Dashboard!C$8* Dashboard!$F$4+Dashboard!C$10*SQRT(Dashboard!$F$4) * _xlfn.NORM.S.INV(RAND())</f>
        <v>3.119768162960414E-3</v>
      </c>
      <c r="U9949" s="59">
        <f ca="1">Dashboard!D$8* Dashboard!$F$4+Dashboard!D$10*SQRT(Dashboard!$F$4) * _xlfn.NORM.S.INV(RAND())</f>
        <v>5.1235376334215398E-2</v>
      </c>
    </row>
    <row r="9950" spans="18:21" x14ac:dyDescent="0.2">
      <c r="R9950" s="49">
        <v>9948</v>
      </c>
      <c r="S9950" s="59">
        <f ca="1">Dashboard!B$8* Dashboard!$F$4+Dashboard!B$10*SQRT(Dashboard!$F$4) * _xlfn.NORM.S.INV(RAND())</f>
        <v>8.7272243263952526E-2</v>
      </c>
      <c r="T9950" s="59">
        <f ca="1">Dashboard!C$8* Dashboard!$F$4+Dashboard!C$10*SQRT(Dashboard!$F$4) * _xlfn.NORM.S.INV(RAND())</f>
        <v>0.10324158021388405</v>
      </c>
      <c r="U9950" s="59">
        <f ca="1">Dashboard!D$8* Dashboard!$F$4+Dashboard!D$10*SQRT(Dashboard!$F$4) * _xlfn.NORM.S.INV(RAND())</f>
        <v>3.8438000487936184E-2</v>
      </c>
    </row>
    <row r="9951" spans="18:21" x14ac:dyDescent="0.2">
      <c r="R9951" s="49">
        <v>9949</v>
      </c>
      <c r="S9951" s="59">
        <f ca="1">Dashboard!B$8* Dashboard!$F$4+Dashboard!B$10*SQRT(Dashboard!$F$4) * _xlfn.NORM.S.INV(RAND())</f>
        <v>3.429711141533366E-3</v>
      </c>
      <c r="T9951" s="59">
        <f ca="1">Dashboard!C$8* Dashboard!$F$4+Dashboard!C$10*SQRT(Dashboard!$F$4) * _xlfn.NORM.S.INV(RAND())</f>
        <v>-4.894144704892852E-2</v>
      </c>
      <c r="U9951" s="59">
        <f ca="1">Dashboard!D$8* Dashboard!$F$4+Dashboard!D$10*SQRT(Dashboard!$F$4) * _xlfn.NORM.S.INV(RAND())</f>
        <v>2.8541739873654548E-2</v>
      </c>
    </row>
    <row r="9952" spans="18:21" x14ac:dyDescent="0.2">
      <c r="R9952" s="49">
        <v>9950</v>
      </c>
      <c r="S9952" s="59">
        <f ca="1">Dashboard!B$8* Dashboard!$F$4+Dashboard!B$10*SQRT(Dashboard!$F$4) * _xlfn.NORM.S.INV(RAND())</f>
        <v>1.148097849741473E-2</v>
      </c>
      <c r="T9952" s="59">
        <f ca="1">Dashboard!C$8* Dashboard!$F$4+Dashboard!C$10*SQRT(Dashboard!$F$4) * _xlfn.NORM.S.INV(RAND())</f>
        <v>1.7228952976649815E-2</v>
      </c>
      <c r="U9952" s="59">
        <f ca="1">Dashboard!D$8* Dashboard!$F$4+Dashboard!D$10*SQRT(Dashboard!$F$4) * _xlfn.NORM.S.INV(RAND())</f>
        <v>5.3178063251651461E-3</v>
      </c>
    </row>
    <row r="9953" spans="18:21" x14ac:dyDescent="0.2">
      <c r="R9953" s="49">
        <v>9951</v>
      </c>
      <c r="S9953" s="59">
        <f ca="1">Dashboard!B$8* Dashboard!$F$4+Dashboard!B$10*SQRT(Dashboard!$F$4) * _xlfn.NORM.S.INV(RAND())</f>
        <v>3.6311903889512344E-3</v>
      </c>
      <c r="T9953" s="59">
        <f ca="1">Dashboard!C$8* Dashboard!$F$4+Dashboard!C$10*SQRT(Dashboard!$F$4) * _xlfn.NORM.S.INV(RAND())</f>
        <v>-3.2001129167558671E-3</v>
      </c>
      <c r="U9953" s="59">
        <f ca="1">Dashboard!D$8* Dashboard!$F$4+Dashboard!D$10*SQRT(Dashboard!$F$4) * _xlfn.NORM.S.INV(RAND())</f>
        <v>4.4092428829400149E-2</v>
      </c>
    </row>
    <row r="9954" spans="18:21" x14ac:dyDescent="0.2">
      <c r="R9954" s="49">
        <v>9952</v>
      </c>
      <c r="S9954" s="59">
        <f ca="1">Dashboard!B$8* Dashboard!$F$4+Dashboard!B$10*SQRT(Dashboard!$F$4) * _xlfn.NORM.S.INV(RAND())</f>
        <v>2.0571305061519121E-2</v>
      </c>
      <c r="T9954" s="59">
        <f ca="1">Dashboard!C$8* Dashboard!$F$4+Dashboard!C$10*SQRT(Dashboard!$F$4) * _xlfn.NORM.S.INV(RAND())</f>
        <v>5.0916038436303476E-2</v>
      </c>
      <c r="U9954" s="59">
        <f ca="1">Dashboard!D$8* Dashboard!$F$4+Dashboard!D$10*SQRT(Dashboard!$F$4) * _xlfn.NORM.S.INV(RAND())</f>
        <v>-3.5028451762549824E-2</v>
      </c>
    </row>
    <row r="9955" spans="18:21" x14ac:dyDescent="0.2">
      <c r="R9955" s="49">
        <v>9953</v>
      </c>
      <c r="S9955" s="59">
        <f ca="1">Dashboard!B$8* Dashboard!$F$4+Dashboard!B$10*SQRT(Dashboard!$F$4) * _xlfn.NORM.S.INV(RAND())</f>
        <v>4.6130264984489862E-4</v>
      </c>
      <c r="T9955" s="59">
        <f ca="1">Dashboard!C$8* Dashboard!$F$4+Dashboard!C$10*SQRT(Dashboard!$F$4) * _xlfn.NORM.S.INV(RAND())</f>
        <v>2.2374926031537068E-2</v>
      </c>
      <c r="U9955" s="59">
        <f ca="1">Dashboard!D$8* Dashboard!$F$4+Dashboard!D$10*SQRT(Dashboard!$F$4) * _xlfn.NORM.S.INV(RAND())</f>
        <v>1.6455112388098683E-2</v>
      </c>
    </row>
    <row r="9956" spans="18:21" x14ac:dyDescent="0.2">
      <c r="R9956" s="49">
        <v>9954</v>
      </c>
      <c r="S9956" s="59">
        <f ca="1">Dashboard!B$8* Dashboard!$F$4+Dashboard!B$10*SQRT(Dashboard!$F$4) * _xlfn.NORM.S.INV(RAND())</f>
        <v>-5.3681197078659905E-2</v>
      </c>
      <c r="T9956" s="59">
        <f ca="1">Dashboard!C$8* Dashboard!$F$4+Dashboard!C$10*SQRT(Dashboard!$F$4) * _xlfn.NORM.S.INV(RAND())</f>
        <v>-4.679953452771321E-4</v>
      </c>
      <c r="U9956" s="59">
        <f ca="1">Dashboard!D$8* Dashboard!$F$4+Dashboard!D$10*SQRT(Dashboard!$F$4) * _xlfn.NORM.S.INV(RAND())</f>
        <v>-2.5363176851895618E-2</v>
      </c>
    </row>
    <row r="9957" spans="18:21" x14ac:dyDescent="0.2">
      <c r="R9957" s="49">
        <v>9955</v>
      </c>
      <c r="S9957" s="59">
        <f ca="1">Dashboard!B$8* Dashboard!$F$4+Dashboard!B$10*SQRT(Dashboard!$F$4) * _xlfn.NORM.S.INV(RAND())</f>
        <v>-1.5493583257480807E-3</v>
      </c>
      <c r="T9957" s="59">
        <f ca="1">Dashboard!C$8* Dashboard!$F$4+Dashboard!C$10*SQRT(Dashboard!$F$4) * _xlfn.NORM.S.INV(RAND())</f>
        <v>-3.350124167883755E-2</v>
      </c>
      <c r="U9957" s="59">
        <f ca="1">Dashboard!D$8* Dashboard!$F$4+Dashboard!D$10*SQRT(Dashboard!$F$4) * _xlfn.NORM.S.INV(RAND())</f>
        <v>-1.4137088645003675E-2</v>
      </c>
    </row>
    <row r="9958" spans="18:21" x14ac:dyDescent="0.2">
      <c r="R9958" s="49">
        <v>9956</v>
      </c>
      <c r="S9958" s="59">
        <f ca="1">Dashboard!B$8* Dashboard!$F$4+Dashboard!B$10*SQRT(Dashboard!$F$4) * _xlfn.NORM.S.INV(RAND())</f>
        <v>2.3355634365581895E-3</v>
      </c>
      <c r="T9958" s="59">
        <f ca="1">Dashboard!C$8* Dashboard!$F$4+Dashboard!C$10*SQRT(Dashboard!$F$4) * _xlfn.NORM.S.INV(RAND())</f>
        <v>-1.6674328912945225E-2</v>
      </c>
      <c r="U9958" s="59">
        <f ca="1">Dashboard!D$8* Dashboard!$F$4+Dashboard!D$10*SQRT(Dashboard!$F$4) * _xlfn.NORM.S.INV(RAND())</f>
        <v>8.2197511778238468E-3</v>
      </c>
    </row>
    <row r="9959" spans="18:21" x14ac:dyDescent="0.2">
      <c r="R9959" s="49">
        <v>9957</v>
      </c>
      <c r="S9959" s="59">
        <f ca="1">Dashboard!B$8* Dashboard!$F$4+Dashboard!B$10*SQRT(Dashboard!$F$4) * _xlfn.NORM.S.INV(RAND())</f>
        <v>1.2975729923782811E-2</v>
      </c>
      <c r="T9959" s="59">
        <f ca="1">Dashboard!C$8* Dashboard!$F$4+Dashboard!C$10*SQRT(Dashboard!$F$4) * _xlfn.NORM.S.INV(RAND())</f>
        <v>-6.4452702317009192E-3</v>
      </c>
      <c r="U9959" s="59">
        <f ca="1">Dashboard!D$8* Dashboard!$F$4+Dashboard!D$10*SQRT(Dashboard!$F$4) * _xlfn.NORM.S.INV(RAND())</f>
        <v>-2.7196494354979513E-2</v>
      </c>
    </row>
    <row r="9960" spans="18:21" x14ac:dyDescent="0.2">
      <c r="R9960" s="49">
        <v>9958</v>
      </c>
      <c r="S9960" s="59">
        <f ca="1">Dashboard!B$8* Dashboard!$F$4+Dashboard!B$10*SQRT(Dashboard!$F$4) * _xlfn.NORM.S.INV(RAND())</f>
        <v>-1.3690829120827827E-2</v>
      </c>
      <c r="T9960" s="59">
        <f ca="1">Dashboard!C$8* Dashboard!$F$4+Dashboard!C$10*SQRT(Dashboard!$F$4) * _xlfn.NORM.S.INV(RAND())</f>
        <v>2.4831538760234646E-2</v>
      </c>
      <c r="U9960" s="59">
        <f ca="1">Dashboard!D$8* Dashboard!$F$4+Dashboard!D$10*SQRT(Dashboard!$F$4) * _xlfn.NORM.S.INV(RAND())</f>
        <v>-2.4585614598920228E-2</v>
      </c>
    </row>
    <row r="9961" spans="18:21" x14ac:dyDescent="0.2">
      <c r="R9961" s="49">
        <v>9959</v>
      </c>
      <c r="S9961" s="59">
        <f ca="1">Dashboard!B$8* Dashboard!$F$4+Dashboard!B$10*SQRT(Dashboard!$F$4) * _xlfn.NORM.S.INV(RAND())</f>
        <v>-3.7249980155298644E-2</v>
      </c>
      <c r="T9961" s="59">
        <f ca="1">Dashboard!C$8* Dashboard!$F$4+Dashboard!C$10*SQRT(Dashboard!$F$4) * _xlfn.NORM.S.INV(RAND())</f>
        <v>-9.8098378392016752E-3</v>
      </c>
      <c r="U9961" s="59">
        <f ca="1">Dashboard!D$8* Dashboard!$F$4+Dashboard!D$10*SQRT(Dashboard!$F$4) * _xlfn.NORM.S.INV(RAND())</f>
        <v>-4.9094507582572486E-2</v>
      </c>
    </row>
    <row r="9962" spans="18:21" x14ac:dyDescent="0.2">
      <c r="R9962" s="49">
        <v>9960</v>
      </c>
      <c r="S9962" s="59">
        <f ca="1">Dashboard!B$8* Dashboard!$F$4+Dashboard!B$10*SQRT(Dashboard!$F$4) * _xlfn.NORM.S.INV(RAND())</f>
        <v>-7.113505634336709E-3</v>
      </c>
      <c r="T9962" s="59">
        <f ca="1">Dashboard!C$8* Dashboard!$F$4+Dashboard!C$10*SQRT(Dashboard!$F$4) * _xlfn.NORM.S.INV(RAND())</f>
        <v>2.173126670119143E-3</v>
      </c>
      <c r="U9962" s="59">
        <f ca="1">Dashboard!D$8* Dashboard!$F$4+Dashboard!D$10*SQRT(Dashboard!$F$4) * _xlfn.NORM.S.INV(RAND())</f>
        <v>4.8210406534520564E-2</v>
      </c>
    </row>
    <row r="9963" spans="18:21" x14ac:dyDescent="0.2">
      <c r="R9963" s="49">
        <v>9961</v>
      </c>
      <c r="S9963" s="59">
        <f ca="1">Dashboard!B$8* Dashboard!$F$4+Dashboard!B$10*SQRT(Dashboard!$F$4) * _xlfn.NORM.S.INV(RAND())</f>
        <v>-2.2546107228322769E-3</v>
      </c>
      <c r="T9963" s="59">
        <f ca="1">Dashboard!C$8* Dashboard!$F$4+Dashboard!C$10*SQRT(Dashboard!$F$4) * _xlfn.NORM.S.INV(RAND())</f>
        <v>1.3110763297270601E-2</v>
      </c>
      <c r="U9963" s="59">
        <f ca="1">Dashboard!D$8* Dashboard!$F$4+Dashboard!D$10*SQRT(Dashboard!$F$4) * _xlfn.NORM.S.INV(RAND())</f>
        <v>-1.5629861933054823E-2</v>
      </c>
    </row>
    <row r="9964" spans="18:21" x14ac:dyDescent="0.2">
      <c r="R9964" s="49">
        <v>9962</v>
      </c>
      <c r="S9964" s="59">
        <f ca="1">Dashboard!B$8* Dashboard!$F$4+Dashboard!B$10*SQRT(Dashboard!$F$4) * _xlfn.NORM.S.INV(RAND())</f>
        <v>-3.7610468303119239E-2</v>
      </c>
      <c r="T9964" s="59">
        <f ca="1">Dashboard!C$8* Dashboard!$F$4+Dashboard!C$10*SQRT(Dashboard!$F$4) * _xlfn.NORM.S.INV(RAND())</f>
        <v>1.6404190631421234E-2</v>
      </c>
      <c r="U9964" s="59">
        <f ca="1">Dashboard!D$8* Dashboard!$F$4+Dashboard!D$10*SQRT(Dashboard!$F$4) * _xlfn.NORM.S.INV(RAND())</f>
        <v>-7.1532325885030085E-2</v>
      </c>
    </row>
    <row r="9965" spans="18:21" x14ac:dyDescent="0.2">
      <c r="R9965" s="49">
        <v>9963</v>
      </c>
      <c r="S9965" s="59">
        <f ca="1">Dashboard!B$8* Dashboard!$F$4+Dashboard!B$10*SQRT(Dashboard!$F$4) * _xlfn.NORM.S.INV(RAND())</f>
        <v>-6.15956016162593E-2</v>
      </c>
      <c r="T9965" s="59">
        <f ca="1">Dashboard!C$8* Dashboard!$F$4+Dashboard!C$10*SQRT(Dashboard!$F$4) * _xlfn.NORM.S.INV(RAND())</f>
        <v>3.4405049282702944E-2</v>
      </c>
      <c r="U9965" s="59">
        <f ca="1">Dashboard!D$8* Dashboard!$F$4+Dashboard!D$10*SQRT(Dashboard!$F$4) * _xlfn.NORM.S.INV(RAND())</f>
        <v>-5.4879389769857088E-2</v>
      </c>
    </row>
    <row r="9966" spans="18:21" x14ac:dyDescent="0.2">
      <c r="R9966" s="49">
        <v>9964</v>
      </c>
      <c r="S9966" s="59">
        <f ca="1">Dashboard!B$8* Dashboard!$F$4+Dashboard!B$10*SQRT(Dashboard!$F$4) * _xlfn.NORM.S.INV(RAND())</f>
        <v>4.2357551435009702E-2</v>
      </c>
      <c r="T9966" s="59">
        <f ca="1">Dashboard!C$8* Dashboard!$F$4+Dashboard!C$10*SQRT(Dashboard!$F$4) * _xlfn.NORM.S.INV(RAND())</f>
        <v>-2.2605832206012727E-2</v>
      </c>
      <c r="U9966" s="59">
        <f ca="1">Dashboard!D$8* Dashboard!$F$4+Dashboard!D$10*SQRT(Dashboard!$F$4) * _xlfn.NORM.S.INV(RAND())</f>
        <v>-3.1428634722379549E-2</v>
      </c>
    </row>
    <row r="9967" spans="18:21" x14ac:dyDescent="0.2">
      <c r="R9967" s="49">
        <v>9965</v>
      </c>
      <c r="S9967" s="59">
        <f ca="1">Dashboard!B$8* Dashboard!$F$4+Dashboard!B$10*SQRT(Dashboard!$F$4) * _xlfn.NORM.S.INV(RAND())</f>
        <v>1.2213320381490719E-2</v>
      </c>
      <c r="T9967" s="59">
        <f ca="1">Dashboard!C$8* Dashboard!$F$4+Dashboard!C$10*SQRT(Dashboard!$F$4) * _xlfn.NORM.S.INV(RAND())</f>
        <v>3.7182783755982172E-3</v>
      </c>
      <c r="U9967" s="59">
        <f ca="1">Dashboard!D$8* Dashboard!$F$4+Dashboard!D$10*SQRT(Dashboard!$F$4) * _xlfn.NORM.S.INV(RAND())</f>
        <v>1.40481369437318E-2</v>
      </c>
    </row>
    <row r="9968" spans="18:21" x14ac:dyDescent="0.2">
      <c r="R9968" s="49">
        <v>9966</v>
      </c>
      <c r="S9968" s="59">
        <f ca="1">Dashboard!B$8* Dashboard!$F$4+Dashboard!B$10*SQRT(Dashboard!$F$4) * _xlfn.NORM.S.INV(RAND())</f>
        <v>2.9074709445420788E-2</v>
      </c>
      <c r="T9968" s="59">
        <f ca="1">Dashboard!C$8* Dashboard!$F$4+Dashboard!C$10*SQRT(Dashboard!$F$4) * _xlfn.NORM.S.INV(RAND())</f>
        <v>-4.6828997262568534E-2</v>
      </c>
      <c r="U9968" s="59">
        <f ca="1">Dashboard!D$8* Dashboard!$F$4+Dashboard!D$10*SQRT(Dashboard!$F$4) * _xlfn.NORM.S.INV(RAND())</f>
        <v>-5.5582095204321849E-3</v>
      </c>
    </row>
    <row r="9969" spans="18:21" x14ac:dyDescent="0.2">
      <c r="R9969" s="49">
        <v>9967</v>
      </c>
      <c r="S9969" s="59">
        <f ca="1">Dashboard!B$8* Dashboard!$F$4+Dashboard!B$10*SQRT(Dashboard!$F$4) * _xlfn.NORM.S.INV(RAND())</f>
        <v>1.2532485873398109E-2</v>
      </c>
      <c r="T9969" s="59">
        <f ca="1">Dashboard!C$8* Dashboard!$F$4+Dashboard!C$10*SQRT(Dashboard!$F$4) * _xlfn.NORM.S.INV(RAND())</f>
        <v>-2.6908729258026187E-2</v>
      </c>
      <c r="U9969" s="59">
        <f ca="1">Dashboard!D$8* Dashboard!$F$4+Dashboard!D$10*SQRT(Dashboard!$F$4) * _xlfn.NORM.S.INV(RAND())</f>
        <v>-4.2065141919989474E-2</v>
      </c>
    </row>
    <row r="9970" spans="18:21" x14ac:dyDescent="0.2">
      <c r="R9970" s="49">
        <v>9968</v>
      </c>
      <c r="S9970" s="59">
        <f ca="1">Dashboard!B$8* Dashboard!$F$4+Dashboard!B$10*SQRT(Dashboard!$F$4) * _xlfn.NORM.S.INV(RAND())</f>
        <v>2.7438469662593834E-2</v>
      </c>
      <c r="T9970" s="59">
        <f ca="1">Dashboard!C$8* Dashboard!$F$4+Dashboard!C$10*SQRT(Dashboard!$F$4) * _xlfn.NORM.S.INV(RAND())</f>
        <v>-1.8935654711053806E-2</v>
      </c>
      <c r="U9970" s="59">
        <f ca="1">Dashboard!D$8* Dashboard!$F$4+Dashboard!D$10*SQRT(Dashboard!$F$4) * _xlfn.NORM.S.INV(RAND())</f>
        <v>-5.9299625077067425E-3</v>
      </c>
    </row>
    <row r="9971" spans="18:21" x14ac:dyDescent="0.2">
      <c r="R9971" s="49">
        <v>9969</v>
      </c>
      <c r="S9971" s="59">
        <f ca="1">Dashboard!B$8* Dashboard!$F$4+Dashboard!B$10*SQRT(Dashboard!$F$4) * _xlfn.NORM.S.INV(RAND())</f>
        <v>2.3494466195246408E-2</v>
      </c>
      <c r="T9971" s="59">
        <f ca="1">Dashboard!C$8* Dashboard!$F$4+Dashboard!C$10*SQRT(Dashboard!$F$4) * _xlfn.NORM.S.INV(RAND())</f>
        <v>2.4012398933892093E-2</v>
      </c>
      <c r="U9971" s="59">
        <f ca="1">Dashboard!D$8* Dashboard!$F$4+Dashboard!D$10*SQRT(Dashboard!$F$4) * _xlfn.NORM.S.INV(RAND())</f>
        <v>-3.2994821152396783E-2</v>
      </c>
    </row>
    <row r="9972" spans="18:21" x14ac:dyDescent="0.2">
      <c r="R9972" s="49">
        <v>9970</v>
      </c>
      <c r="S9972" s="59">
        <f ca="1">Dashboard!B$8* Dashboard!$F$4+Dashboard!B$10*SQRT(Dashboard!$F$4) * _xlfn.NORM.S.INV(RAND())</f>
        <v>2.6092642027388278E-2</v>
      </c>
      <c r="T9972" s="59">
        <f ca="1">Dashboard!C$8* Dashboard!$F$4+Dashboard!C$10*SQRT(Dashboard!$F$4) * _xlfn.NORM.S.INV(RAND())</f>
        <v>-6.3518179354731891E-2</v>
      </c>
      <c r="U9972" s="59">
        <f ca="1">Dashboard!D$8* Dashboard!$F$4+Dashboard!D$10*SQRT(Dashboard!$F$4) * _xlfn.NORM.S.INV(RAND())</f>
        <v>1.4659145985003274E-3</v>
      </c>
    </row>
    <row r="9973" spans="18:21" x14ac:dyDescent="0.2">
      <c r="R9973" s="49">
        <v>9971</v>
      </c>
      <c r="S9973" s="59">
        <f ca="1">Dashboard!B$8* Dashboard!$F$4+Dashboard!B$10*SQRT(Dashboard!$F$4) * _xlfn.NORM.S.INV(RAND())</f>
        <v>2.1994085499611488E-2</v>
      </c>
      <c r="T9973" s="59">
        <f ca="1">Dashboard!C$8* Dashboard!$F$4+Dashboard!C$10*SQRT(Dashboard!$F$4) * _xlfn.NORM.S.INV(RAND())</f>
        <v>4.4896238283686135E-2</v>
      </c>
      <c r="U9973" s="59">
        <f ca="1">Dashboard!D$8* Dashboard!$F$4+Dashboard!D$10*SQRT(Dashboard!$F$4) * _xlfn.NORM.S.INV(RAND())</f>
        <v>2.3523432049649507E-2</v>
      </c>
    </row>
    <row r="9974" spans="18:21" x14ac:dyDescent="0.2">
      <c r="R9974" s="49">
        <v>9972</v>
      </c>
      <c r="S9974" s="59">
        <f ca="1">Dashboard!B$8* Dashboard!$F$4+Dashboard!B$10*SQRT(Dashboard!$F$4) * _xlfn.NORM.S.INV(RAND())</f>
        <v>-1.9909787676101853E-2</v>
      </c>
      <c r="T9974" s="59">
        <f ca="1">Dashboard!C$8* Dashboard!$F$4+Dashboard!C$10*SQRT(Dashboard!$F$4) * _xlfn.NORM.S.INV(RAND())</f>
        <v>-8.8150651062862077E-4</v>
      </c>
      <c r="U9974" s="59">
        <f ca="1">Dashboard!D$8* Dashboard!$F$4+Dashboard!D$10*SQRT(Dashboard!$F$4) * _xlfn.NORM.S.INV(RAND())</f>
        <v>1.6695065815561877E-2</v>
      </c>
    </row>
    <row r="9975" spans="18:21" x14ac:dyDescent="0.2">
      <c r="R9975" s="49">
        <v>9973</v>
      </c>
      <c r="S9975" s="59">
        <f ca="1">Dashboard!B$8* Dashboard!$F$4+Dashboard!B$10*SQRT(Dashboard!$F$4) * _xlfn.NORM.S.INV(RAND())</f>
        <v>-8.3925710683656826E-2</v>
      </c>
      <c r="T9975" s="59">
        <f ca="1">Dashboard!C$8* Dashboard!$F$4+Dashboard!C$10*SQRT(Dashboard!$F$4) * _xlfn.NORM.S.INV(RAND())</f>
        <v>1.911350125285418E-2</v>
      </c>
      <c r="U9975" s="59">
        <f ca="1">Dashboard!D$8* Dashboard!$F$4+Dashboard!D$10*SQRT(Dashboard!$F$4) * _xlfn.NORM.S.INV(RAND())</f>
        <v>-7.8989989048197824E-3</v>
      </c>
    </row>
    <row r="9976" spans="18:21" x14ac:dyDescent="0.2">
      <c r="R9976" s="49">
        <v>9974</v>
      </c>
      <c r="S9976" s="59">
        <f ca="1">Dashboard!B$8* Dashboard!$F$4+Dashboard!B$10*SQRT(Dashboard!$F$4) * _xlfn.NORM.S.INV(RAND())</f>
        <v>2.8500300048924093E-2</v>
      </c>
      <c r="T9976" s="59">
        <f ca="1">Dashboard!C$8* Dashboard!$F$4+Dashboard!C$10*SQRT(Dashboard!$F$4) * _xlfn.NORM.S.INV(RAND())</f>
        <v>3.9201653166343498E-2</v>
      </c>
      <c r="U9976" s="59">
        <f ca="1">Dashboard!D$8* Dashboard!$F$4+Dashboard!D$10*SQRT(Dashboard!$F$4) * _xlfn.NORM.S.INV(RAND())</f>
        <v>4.0552342332910316E-2</v>
      </c>
    </row>
    <row r="9977" spans="18:21" x14ac:dyDescent="0.2">
      <c r="R9977" s="49">
        <v>9975</v>
      </c>
      <c r="S9977" s="59">
        <f ca="1">Dashboard!B$8* Dashboard!$F$4+Dashboard!B$10*SQRT(Dashboard!$F$4) * _xlfn.NORM.S.INV(RAND())</f>
        <v>2.0128036109302479E-2</v>
      </c>
      <c r="T9977" s="59">
        <f ca="1">Dashboard!C$8* Dashboard!$F$4+Dashboard!C$10*SQRT(Dashboard!$F$4) * _xlfn.NORM.S.INV(RAND())</f>
        <v>6.6112798780144973E-3</v>
      </c>
      <c r="U9977" s="59">
        <f ca="1">Dashboard!D$8* Dashboard!$F$4+Dashboard!D$10*SQRT(Dashboard!$F$4) * _xlfn.NORM.S.INV(RAND())</f>
        <v>2.6922456661246472E-4</v>
      </c>
    </row>
    <row r="9978" spans="18:21" x14ac:dyDescent="0.2">
      <c r="R9978" s="49">
        <v>9976</v>
      </c>
      <c r="S9978" s="59">
        <f ca="1">Dashboard!B$8* Dashboard!$F$4+Dashboard!B$10*SQRT(Dashboard!$F$4) * _xlfn.NORM.S.INV(RAND())</f>
        <v>-6.0609806123929487E-2</v>
      </c>
      <c r="T9978" s="59">
        <f ca="1">Dashboard!C$8* Dashboard!$F$4+Dashboard!C$10*SQRT(Dashboard!$F$4) * _xlfn.NORM.S.INV(RAND())</f>
        <v>-5.5372031202186528E-3</v>
      </c>
      <c r="U9978" s="59">
        <f ca="1">Dashboard!D$8* Dashboard!$F$4+Dashboard!D$10*SQRT(Dashboard!$F$4) * _xlfn.NORM.S.INV(RAND())</f>
        <v>8.780349492053233E-3</v>
      </c>
    </row>
    <row r="9979" spans="18:21" x14ac:dyDescent="0.2">
      <c r="R9979" s="49">
        <v>9977</v>
      </c>
      <c r="S9979" s="59">
        <f ca="1">Dashboard!B$8* Dashboard!$F$4+Dashboard!B$10*SQRT(Dashboard!$F$4) * _xlfn.NORM.S.INV(RAND())</f>
        <v>2.2767335826838368E-2</v>
      </c>
      <c r="T9979" s="59">
        <f ca="1">Dashboard!C$8* Dashboard!$F$4+Dashboard!C$10*SQRT(Dashboard!$F$4) * _xlfn.NORM.S.INV(RAND())</f>
        <v>2.0944435476876338E-2</v>
      </c>
      <c r="U9979" s="59">
        <f ca="1">Dashboard!D$8* Dashboard!$F$4+Dashboard!D$10*SQRT(Dashboard!$F$4) * _xlfn.NORM.S.INV(RAND())</f>
        <v>-2.7526888247740095E-2</v>
      </c>
    </row>
    <row r="9980" spans="18:21" x14ac:dyDescent="0.2">
      <c r="R9980" s="49">
        <v>9978</v>
      </c>
      <c r="S9980" s="59">
        <f ca="1">Dashboard!B$8* Dashboard!$F$4+Dashboard!B$10*SQRT(Dashboard!$F$4) * _xlfn.NORM.S.INV(RAND())</f>
        <v>2.299669211405142E-2</v>
      </c>
      <c r="T9980" s="59">
        <f ca="1">Dashboard!C$8* Dashboard!$F$4+Dashboard!C$10*SQRT(Dashboard!$F$4) * _xlfn.NORM.S.INV(RAND())</f>
        <v>2.5558951480824715E-3</v>
      </c>
      <c r="U9980" s="59">
        <f ca="1">Dashboard!D$8* Dashboard!$F$4+Dashboard!D$10*SQRT(Dashboard!$F$4) * _xlfn.NORM.S.INV(RAND())</f>
        <v>-2.3154570093523213E-2</v>
      </c>
    </row>
    <row r="9981" spans="18:21" x14ac:dyDescent="0.2">
      <c r="R9981" s="49">
        <v>9979</v>
      </c>
      <c r="S9981" s="59">
        <f ca="1">Dashboard!B$8* Dashboard!$F$4+Dashboard!B$10*SQRT(Dashboard!$F$4) * _xlfn.NORM.S.INV(RAND())</f>
        <v>2.1615617088744439E-2</v>
      </c>
      <c r="T9981" s="59">
        <f ca="1">Dashboard!C$8* Dashboard!$F$4+Dashboard!C$10*SQRT(Dashboard!$F$4) * _xlfn.NORM.S.INV(RAND())</f>
        <v>1.8750285917029881E-2</v>
      </c>
      <c r="U9981" s="59">
        <f ca="1">Dashboard!D$8* Dashboard!$F$4+Dashboard!D$10*SQRT(Dashboard!$F$4) * _xlfn.NORM.S.INV(RAND())</f>
        <v>-2.8269460201199886E-2</v>
      </c>
    </row>
    <row r="9982" spans="18:21" x14ac:dyDescent="0.2">
      <c r="R9982" s="49">
        <v>9980</v>
      </c>
      <c r="S9982" s="59">
        <f ca="1">Dashboard!B$8* Dashboard!$F$4+Dashboard!B$10*SQRT(Dashboard!$F$4) * _xlfn.NORM.S.INV(RAND())</f>
        <v>-1.7063458155813012E-2</v>
      </c>
      <c r="T9982" s="59">
        <f ca="1">Dashboard!C$8* Dashboard!$F$4+Dashboard!C$10*SQRT(Dashboard!$F$4) * _xlfn.NORM.S.INV(RAND())</f>
        <v>3.181571910559227E-2</v>
      </c>
      <c r="U9982" s="59">
        <f ca="1">Dashboard!D$8* Dashboard!$F$4+Dashboard!D$10*SQRT(Dashboard!$F$4) * _xlfn.NORM.S.INV(RAND())</f>
        <v>-1.8763836130339617E-2</v>
      </c>
    </row>
    <row r="9983" spans="18:21" x14ac:dyDescent="0.2">
      <c r="R9983" s="49">
        <v>9981</v>
      </c>
      <c r="S9983" s="59">
        <f ca="1">Dashboard!B$8* Dashboard!$F$4+Dashboard!B$10*SQRT(Dashboard!$F$4) * _xlfn.NORM.S.INV(RAND())</f>
        <v>-2.4156654727993679E-2</v>
      </c>
      <c r="T9983" s="59">
        <f ca="1">Dashboard!C$8* Dashboard!$F$4+Dashboard!C$10*SQRT(Dashboard!$F$4) * _xlfn.NORM.S.INV(RAND())</f>
        <v>1.9924536327078281E-2</v>
      </c>
      <c r="U9983" s="59">
        <f ca="1">Dashboard!D$8* Dashboard!$F$4+Dashboard!D$10*SQRT(Dashboard!$F$4) * _xlfn.NORM.S.INV(RAND())</f>
        <v>-9.483336441893777E-3</v>
      </c>
    </row>
    <row r="9984" spans="18:21" x14ac:dyDescent="0.2">
      <c r="R9984" s="49">
        <v>9982</v>
      </c>
      <c r="S9984" s="59">
        <f ca="1">Dashboard!B$8* Dashboard!$F$4+Dashboard!B$10*SQRT(Dashboard!$F$4) * _xlfn.NORM.S.INV(RAND())</f>
        <v>-2.1065388613763877E-2</v>
      </c>
      <c r="T9984" s="59">
        <f ca="1">Dashboard!C$8* Dashboard!$F$4+Dashboard!C$10*SQRT(Dashboard!$F$4) * _xlfn.NORM.S.INV(RAND())</f>
        <v>3.5799693400763076E-2</v>
      </c>
      <c r="U9984" s="59">
        <f ca="1">Dashboard!D$8* Dashboard!$F$4+Dashboard!D$10*SQRT(Dashboard!$F$4) * _xlfn.NORM.S.INV(RAND())</f>
        <v>-5.5517157170481678E-3</v>
      </c>
    </row>
    <row r="9985" spans="18:21" x14ac:dyDescent="0.2">
      <c r="R9985" s="49">
        <v>9983</v>
      </c>
      <c r="S9985" s="59">
        <f ca="1">Dashboard!B$8* Dashboard!$F$4+Dashboard!B$10*SQRT(Dashboard!$F$4) * _xlfn.NORM.S.INV(RAND())</f>
        <v>8.9871847800209823E-3</v>
      </c>
      <c r="T9985" s="59">
        <f ca="1">Dashboard!C$8* Dashboard!$F$4+Dashboard!C$10*SQRT(Dashboard!$F$4) * _xlfn.NORM.S.INV(RAND())</f>
        <v>1.5919300840530809E-2</v>
      </c>
      <c r="U9985" s="59">
        <f ca="1">Dashboard!D$8* Dashboard!$F$4+Dashboard!D$10*SQRT(Dashboard!$F$4) * _xlfn.NORM.S.INV(RAND())</f>
        <v>2.7876694443429814E-2</v>
      </c>
    </row>
    <row r="9986" spans="18:21" x14ac:dyDescent="0.2">
      <c r="R9986" s="49">
        <v>9984</v>
      </c>
      <c r="S9986" s="59">
        <f ca="1">Dashboard!B$8* Dashboard!$F$4+Dashboard!B$10*SQRT(Dashboard!$F$4) * _xlfn.NORM.S.INV(RAND())</f>
        <v>-2.1508976521113131E-2</v>
      </c>
      <c r="T9986" s="59">
        <f ca="1">Dashboard!C$8* Dashboard!$F$4+Dashboard!C$10*SQRT(Dashboard!$F$4) * _xlfn.NORM.S.INV(RAND())</f>
        <v>-1.9797418707658051E-2</v>
      </c>
      <c r="U9986" s="59">
        <f ca="1">Dashboard!D$8* Dashboard!$F$4+Dashboard!D$10*SQRT(Dashboard!$F$4) * _xlfn.NORM.S.INV(RAND())</f>
        <v>-3.467856292402656E-2</v>
      </c>
    </row>
    <row r="9987" spans="18:21" x14ac:dyDescent="0.2">
      <c r="R9987" s="49">
        <v>9985</v>
      </c>
      <c r="S9987" s="59">
        <f ca="1">Dashboard!B$8* Dashboard!$F$4+Dashboard!B$10*SQRT(Dashboard!$F$4) * _xlfn.NORM.S.INV(RAND())</f>
        <v>7.6409083699127966E-2</v>
      </c>
      <c r="T9987" s="59">
        <f ca="1">Dashboard!C$8* Dashboard!$F$4+Dashboard!C$10*SQRT(Dashboard!$F$4) * _xlfn.NORM.S.INV(RAND())</f>
        <v>-1.4712469452210587E-2</v>
      </c>
      <c r="U9987" s="59">
        <f ca="1">Dashboard!D$8* Dashboard!$F$4+Dashboard!D$10*SQRT(Dashboard!$F$4) * _xlfn.NORM.S.INV(RAND())</f>
        <v>-2.4929928992273909E-2</v>
      </c>
    </row>
    <row r="9988" spans="18:21" x14ac:dyDescent="0.2">
      <c r="R9988" s="49">
        <v>9986</v>
      </c>
      <c r="S9988" s="59">
        <f ca="1">Dashboard!B$8* Dashboard!$F$4+Dashboard!B$10*SQRT(Dashboard!$F$4) * _xlfn.NORM.S.INV(RAND())</f>
        <v>2.3156520723198605E-2</v>
      </c>
      <c r="T9988" s="59">
        <f ca="1">Dashboard!C$8* Dashboard!$F$4+Dashboard!C$10*SQRT(Dashboard!$F$4) * _xlfn.NORM.S.INV(RAND())</f>
        <v>-9.6551419757030174E-3</v>
      </c>
      <c r="U9988" s="59">
        <f ca="1">Dashboard!D$8* Dashboard!$F$4+Dashboard!D$10*SQRT(Dashboard!$F$4) * _xlfn.NORM.S.INV(RAND())</f>
        <v>3.5548418520570703E-2</v>
      </c>
    </row>
    <row r="9989" spans="18:21" x14ac:dyDescent="0.2">
      <c r="R9989" s="49">
        <v>9987</v>
      </c>
      <c r="S9989" s="59">
        <f ca="1">Dashboard!B$8* Dashboard!$F$4+Dashboard!B$10*SQRT(Dashboard!$F$4) * _xlfn.NORM.S.INV(RAND())</f>
        <v>1.0323092850347998E-2</v>
      </c>
      <c r="T9989" s="59">
        <f ca="1">Dashboard!C$8* Dashboard!$F$4+Dashboard!C$10*SQRT(Dashboard!$F$4) * _xlfn.NORM.S.INV(RAND())</f>
        <v>-3.4480993514828855E-2</v>
      </c>
      <c r="U9989" s="59">
        <f ca="1">Dashboard!D$8* Dashboard!$F$4+Dashboard!D$10*SQRT(Dashboard!$F$4) * _xlfn.NORM.S.INV(RAND())</f>
        <v>1.1964644747613461E-2</v>
      </c>
    </row>
    <row r="9990" spans="18:21" x14ac:dyDescent="0.2">
      <c r="R9990" s="49">
        <v>9988</v>
      </c>
      <c r="S9990" s="59">
        <f ca="1">Dashboard!B$8* Dashboard!$F$4+Dashboard!B$10*SQRT(Dashboard!$F$4) * _xlfn.NORM.S.INV(RAND())</f>
        <v>4.0489326147965549E-2</v>
      </c>
      <c r="T9990" s="59">
        <f ca="1">Dashboard!C$8* Dashboard!$F$4+Dashboard!C$10*SQRT(Dashboard!$F$4) * _xlfn.NORM.S.INV(RAND())</f>
        <v>-7.2812673044673815E-2</v>
      </c>
      <c r="U9990" s="59">
        <f ca="1">Dashboard!D$8* Dashboard!$F$4+Dashboard!D$10*SQRT(Dashboard!$F$4) * _xlfn.NORM.S.INV(RAND())</f>
        <v>-8.6068190151117937E-3</v>
      </c>
    </row>
    <row r="9991" spans="18:21" x14ac:dyDescent="0.2">
      <c r="R9991" s="49">
        <v>9989</v>
      </c>
      <c r="S9991" s="59">
        <f ca="1">Dashboard!B$8* Dashboard!$F$4+Dashboard!B$10*SQRT(Dashboard!$F$4) * _xlfn.NORM.S.INV(RAND())</f>
        <v>2.4051683117271176E-2</v>
      </c>
      <c r="T9991" s="59">
        <f ca="1">Dashboard!C$8* Dashboard!$F$4+Dashboard!C$10*SQRT(Dashboard!$F$4) * _xlfn.NORM.S.INV(RAND())</f>
        <v>-2.83645012954862E-3</v>
      </c>
      <c r="U9991" s="59">
        <f ca="1">Dashboard!D$8* Dashboard!$F$4+Dashboard!D$10*SQRT(Dashboard!$F$4) * _xlfn.NORM.S.INV(RAND())</f>
        <v>1.8163482156435477E-3</v>
      </c>
    </row>
    <row r="9992" spans="18:21" x14ac:dyDescent="0.2">
      <c r="R9992" s="49">
        <v>9990</v>
      </c>
      <c r="S9992" s="59">
        <f ca="1">Dashboard!B$8* Dashboard!$F$4+Dashboard!B$10*SQRT(Dashboard!$F$4) * _xlfn.NORM.S.INV(RAND())</f>
        <v>-2.7597473175979471E-2</v>
      </c>
      <c r="T9992" s="59">
        <f ca="1">Dashboard!C$8* Dashboard!$F$4+Dashboard!C$10*SQRT(Dashboard!$F$4) * _xlfn.NORM.S.INV(RAND())</f>
        <v>-7.5801574034762608E-3</v>
      </c>
      <c r="U9992" s="59">
        <f ca="1">Dashboard!D$8* Dashboard!$F$4+Dashboard!D$10*SQRT(Dashboard!$F$4) * _xlfn.NORM.S.INV(RAND())</f>
        <v>4.4786766768821644E-2</v>
      </c>
    </row>
    <row r="9993" spans="18:21" x14ac:dyDescent="0.2">
      <c r="R9993" s="49">
        <v>9991</v>
      </c>
      <c r="S9993" s="59">
        <f ca="1">Dashboard!B$8* Dashboard!$F$4+Dashboard!B$10*SQRT(Dashboard!$F$4) * _xlfn.NORM.S.INV(RAND())</f>
        <v>-5.6891259812996635E-2</v>
      </c>
      <c r="T9993" s="59">
        <f ca="1">Dashboard!C$8* Dashboard!$F$4+Dashboard!C$10*SQRT(Dashboard!$F$4) * _xlfn.NORM.S.INV(RAND())</f>
        <v>8.7498888860085434E-3</v>
      </c>
      <c r="U9993" s="59">
        <f ca="1">Dashboard!D$8* Dashboard!$F$4+Dashboard!D$10*SQRT(Dashboard!$F$4) * _xlfn.NORM.S.INV(RAND())</f>
        <v>6.1546833537592287E-3</v>
      </c>
    </row>
    <row r="9994" spans="18:21" x14ac:dyDescent="0.2">
      <c r="R9994" s="49">
        <v>9992</v>
      </c>
      <c r="S9994" s="59">
        <f ca="1">Dashboard!B$8* Dashboard!$F$4+Dashboard!B$10*SQRT(Dashboard!$F$4) * _xlfn.NORM.S.INV(RAND())</f>
        <v>5.1556946356255559E-2</v>
      </c>
      <c r="T9994" s="59">
        <f ca="1">Dashboard!C$8* Dashboard!$F$4+Dashboard!C$10*SQRT(Dashboard!$F$4) * _xlfn.NORM.S.INV(RAND())</f>
        <v>7.4431102270205676E-2</v>
      </c>
      <c r="U9994" s="59">
        <f ca="1">Dashboard!D$8* Dashboard!$F$4+Dashboard!D$10*SQRT(Dashboard!$F$4) * _xlfn.NORM.S.INV(RAND())</f>
        <v>-2.4927759938480343E-2</v>
      </c>
    </row>
    <row r="9995" spans="18:21" x14ac:dyDescent="0.2">
      <c r="R9995" s="49">
        <v>9993</v>
      </c>
      <c r="S9995" s="59">
        <f ca="1">Dashboard!B$8* Dashboard!$F$4+Dashboard!B$10*SQRT(Dashboard!$F$4) * _xlfn.NORM.S.INV(RAND())</f>
        <v>-4.8477070329108396E-3</v>
      </c>
      <c r="T9995" s="59">
        <f ca="1">Dashboard!C$8* Dashboard!$F$4+Dashboard!C$10*SQRT(Dashboard!$F$4) * _xlfn.NORM.S.INV(RAND())</f>
        <v>2.9988871747741692E-2</v>
      </c>
      <c r="U9995" s="59">
        <f ca="1">Dashboard!D$8* Dashboard!$F$4+Dashboard!D$10*SQRT(Dashboard!$F$4) * _xlfn.NORM.S.INV(RAND())</f>
        <v>-1.2630613865943252E-2</v>
      </c>
    </row>
    <row r="9996" spans="18:21" x14ac:dyDescent="0.2">
      <c r="R9996" s="49">
        <v>9994</v>
      </c>
      <c r="S9996" s="59">
        <f ca="1">Dashboard!B$8* Dashboard!$F$4+Dashboard!B$10*SQRT(Dashboard!$F$4) * _xlfn.NORM.S.INV(RAND())</f>
        <v>3.0075329681260934E-2</v>
      </c>
      <c r="T9996" s="59">
        <f ca="1">Dashboard!C$8* Dashboard!$F$4+Dashboard!C$10*SQRT(Dashboard!$F$4) * _xlfn.NORM.S.INV(RAND())</f>
        <v>-3.0941191839540996E-2</v>
      </c>
      <c r="U9996" s="59">
        <f ca="1">Dashboard!D$8* Dashboard!$F$4+Dashboard!D$10*SQRT(Dashboard!$F$4) * _xlfn.NORM.S.INV(RAND())</f>
        <v>-5.1890383480437778E-2</v>
      </c>
    </row>
    <row r="9997" spans="18:21" x14ac:dyDescent="0.2">
      <c r="R9997" s="49">
        <v>9995</v>
      </c>
      <c r="S9997" s="59">
        <f ca="1">Dashboard!B$8* Dashboard!$F$4+Dashboard!B$10*SQRT(Dashboard!$F$4) * _xlfn.NORM.S.INV(RAND())</f>
        <v>2.6253575688058889E-2</v>
      </c>
      <c r="T9997" s="59">
        <f ca="1">Dashboard!C$8* Dashboard!$F$4+Dashboard!C$10*SQRT(Dashboard!$F$4) * _xlfn.NORM.S.INV(RAND())</f>
        <v>2.3509944690987251E-2</v>
      </c>
      <c r="U9997" s="59">
        <f ca="1">Dashboard!D$8* Dashboard!$F$4+Dashboard!D$10*SQRT(Dashboard!$F$4) * _xlfn.NORM.S.INV(RAND())</f>
        <v>-4.790944508504414E-2</v>
      </c>
    </row>
    <row r="9998" spans="18:21" x14ac:dyDescent="0.2">
      <c r="R9998" s="49">
        <v>9996</v>
      </c>
      <c r="S9998" s="59">
        <f ca="1">Dashboard!B$8* Dashboard!$F$4+Dashboard!B$10*SQRT(Dashboard!$F$4) * _xlfn.NORM.S.INV(RAND())</f>
        <v>8.5335235899248602E-3</v>
      </c>
      <c r="T9998" s="59">
        <f ca="1">Dashboard!C$8* Dashboard!$F$4+Dashboard!C$10*SQRT(Dashboard!$F$4) * _xlfn.NORM.S.INV(RAND())</f>
        <v>-1.8902448605080401E-2</v>
      </c>
      <c r="U9998" s="59">
        <f ca="1">Dashboard!D$8* Dashboard!$F$4+Dashboard!D$10*SQRT(Dashboard!$F$4) * _xlfn.NORM.S.INV(RAND())</f>
        <v>8.1095013699297881E-3</v>
      </c>
    </row>
    <row r="9999" spans="18:21" x14ac:dyDescent="0.2">
      <c r="R9999" s="49">
        <v>9997</v>
      </c>
      <c r="S9999" s="59">
        <f ca="1">Dashboard!B$8* Dashboard!$F$4+Dashboard!B$10*SQRT(Dashboard!$F$4) * _xlfn.NORM.S.INV(RAND())</f>
        <v>1.0044730881995567E-2</v>
      </c>
      <c r="T9999" s="59">
        <f ca="1">Dashboard!C$8* Dashboard!$F$4+Dashboard!C$10*SQRT(Dashboard!$F$4) * _xlfn.NORM.S.INV(RAND())</f>
        <v>1.4123922414195869E-2</v>
      </c>
      <c r="U9999" s="59">
        <f ca="1">Dashboard!D$8* Dashboard!$F$4+Dashboard!D$10*SQRT(Dashboard!$F$4) * _xlfn.NORM.S.INV(RAND())</f>
        <v>8.9097245830923651E-3</v>
      </c>
    </row>
    <row r="10000" spans="18:21" x14ac:dyDescent="0.2">
      <c r="R10000" s="49">
        <v>9998</v>
      </c>
      <c r="S10000" s="59">
        <f ca="1">Dashboard!B$8* Dashboard!$F$4+Dashboard!B$10*SQRT(Dashboard!$F$4) * _xlfn.NORM.S.INV(RAND())</f>
        <v>-7.4173540136577565E-2</v>
      </c>
      <c r="T10000" s="59">
        <f ca="1">Dashboard!C$8* Dashboard!$F$4+Dashboard!C$10*SQRT(Dashboard!$F$4) * _xlfn.NORM.S.INV(RAND())</f>
        <v>4.3043154483905541E-2</v>
      </c>
      <c r="U10000" s="59">
        <f ca="1">Dashboard!D$8* Dashboard!$F$4+Dashboard!D$10*SQRT(Dashboard!$F$4) * _xlfn.NORM.S.INV(RAND())</f>
        <v>-4.8832713070299252E-2</v>
      </c>
    </row>
    <row r="10001" spans="18:21" x14ac:dyDescent="0.2">
      <c r="R10001" s="49">
        <v>9999</v>
      </c>
      <c r="S10001" s="59">
        <f ca="1">Dashboard!B$8* Dashboard!$F$4+Dashboard!B$10*SQRT(Dashboard!$F$4) * _xlfn.NORM.S.INV(RAND())</f>
        <v>1.090988655832275E-2</v>
      </c>
      <c r="T10001" s="59">
        <f ca="1">Dashboard!C$8* Dashboard!$F$4+Dashboard!C$10*SQRT(Dashboard!$F$4) * _xlfn.NORM.S.INV(RAND())</f>
        <v>-1.6279716770172273E-2</v>
      </c>
      <c r="U10001" s="59">
        <f ca="1">Dashboard!D$8* Dashboard!$F$4+Dashboard!D$10*SQRT(Dashboard!$F$4) * _xlfn.NORM.S.INV(RAND())</f>
        <v>-2.9988816974658355E-2</v>
      </c>
    </row>
    <row r="10002" spans="18:21" x14ac:dyDescent="0.2">
      <c r="R10002" s="49">
        <v>10000</v>
      </c>
      <c r="S10002" s="59">
        <f ca="1">Dashboard!B$8* Dashboard!$F$4+Dashboard!B$10*SQRT(Dashboard!$F$4) * _xlfn.NORM.S.INV(RAND())</f>
        <v>-4.6241813154721187E-3</v>
      </c>
      <c r="T10002" s="59">
        <f ca="1">Dashboard!C$8* Dashboard!$F$4+Dashboard!C$10*SQRT(Dashboard!$F$4) * _xlfn.NORM.S.INV(RAND())</f>
        <v>-2.0090823850465046E-2</v>
      </c>
      <c r="U10002" s="59">
        <f ca="1">Dashboard!D$8* Dashboard!$F$4+Dashboard!D$10*SQRT(Dashboard!$F$4) * _xlfn.NORM.S.INV(RAND())</f>
        <v>-4.7967529113517642E-2</v>
      </c>
    </row>
  </sheetData>
  <sortState xmlns:xlrd2="http://schemas.microsoft.com/office/spreadsheetml/2017/richdata2" ref="A3:C126">
    <sortCondition ref="A3:A126"/>
  </sortState>
  <mergeCells count="4">
    <mergeCell ref="N1:P1"/>
    <mergeCell ref="R1:U1"/>
    <mergeCell ref="A1:F1"/>
    <mergeCell ref="H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0471-80B0-C146-ACC2-64158DCD883C}">
  <dimension ref="A1:N18"/>
  <sheetViews>
    <sheetView showGridLines="0" tabSelected="1" zoomScale="190" zoomScaleNormal="190" workbookViewId="0">
      <selection activeCell="O20" sqref="O20"/>
    </sheetView>
  </sheetViews>
  <sheetFormatPr baseColWidth="10" defaultRowHeight="16" x14ac:dyDescent="0.2"/>
  <cols>
    <col min="1" max="1" width="16.6640625" bestFit="1" customWidth="1"/>
    <col min="2" max="2" width="15.1640625" bestFit="1" customWidth="1"/>
    <col min="5" max="5" width="11.83203125" customWidth="1"/>
    <col min="6" max="6" width="12.83203125" bestFit="1" customWidth="1"/>
    <col min="7" max="7" width="12.6640625" bestFit="1" customWidth="1"/>
    <col min="8" max="8" width="13.5" bestFit="1" customWidth="1"/>
    <col min="9" max="9" width="11.5" bestFit="1" customWidth="1"/>
    <col min="10" max="10" width="11.83203125" customWidth="1"/>
    <col min="11" max="11" width="16.6640625" bestFit="1" customWidth="1"/>
    <col min="12" max="12" width="23.6640625" bestFit="1" customWidth="1"/>
    <col min="13" max="13" width="13.5" bestFit="1" customWidth="1"/>
    <col min="14" max="14" width="11.5" bestFit="1" customWidth="1"/>
  </cols>
  <sheetData>
    <row r="1" spans="1:14" ht="19" x14ac:dyDescent="0.25">
      <c r="A1" s="94" t="s">
        <v>83</v>
      </c>
      <c r="B1" s="95"/>
      <c r="C1" s="95"/>
      <c r="D1" s="95"/>
      <c r="E1" s="97"/>
      <c r="F1" s="98"/>
    </row>
    <row r="2" spans="1:14" x14ac:dyDescent="0.2">
      <c r="A2" s="72"/>
      <c r="B2" s="102" t="s">
        <v>82</v>
      </c>
      <c r="C2" s="102"/>
      <c r="D2" s="103"/>
      <c r="E2" s="72" t="s">
        <v>63</v>
      </c>
      <c r="F2" s="80">
        <v>0.94</v>
      </c>
    </row>
    <row r="3" spans="1:14" x14ac:dyDescent="0.2">
      <c r="A3" s="81">
        <v>1</v>
      </c>
      <c r="B3" s="107" t="s">
        <v>2</v>
      </c>
      <c r="C3" s="108"/>
      <c r="D3" s="109"/>
      <c r="E3" s="72" t="s">
        <v>65</v>
      </c>
      <c r="F3" s="82">
        <v>10000</v>
      </c>
    </row>
    <row r="4" spans="1:14" ht="17" thickBot="1" x14ac:dyDescent="0.25">
      <c r="A4" s="83">
        <v>2</v>
      </c>
      <c r="B4" s="104" t="s">
        <v>1</v>
      </c>
      <c r="C4" s="105"/>
      <c r="D4" s="106"/>
      <c r="E4" s="75" t="s">
        <v>62</v>
      </c>
      <c r="F4" s="84">
        <v>10</v>
      </c>
    </row>
    <row r="5" spans="1:14" ht="17" thickBot="1" x14ac:dyDescent="0.25"/>
    <row r="6" spans="1:14" ht="19" x14ac:dyDescent="0.25">
      <c r="A6" s="94" t="s">
        <v>93</v>
      </c>
      <c r="B6" s="95"/>
      <c r="C6" s="95"/>
      <c r="D6" s="96"/>
      <c r="F6" s="94" t="s">
        <v>90</v>
      </c>
      <c r="G6" s="95"/>
      <c r="H6" s="95"/>
      <c r="I6" s="96"/>
      <c r="K6" s="99" t="s">
        <v>92</v>
      </c>
      <c r="L6" s="100"/>
      <c r="M6" s="100"/>
      <c r="N6" s="101"/>
    </row>
    <row r="7" spans="1:14" x14ac:dyDescent="0.2">
      <c r="A7" s="72"/>
      <c r="B7" s="49" t="s">
        <v>70</v>
      </c>
      <c r="C7" s="49" t="s">
        <v>71</v>
      </c>
      <c r="D7" s="73" t="s">
        <v>58</v>
      </c>
      <c r="F7" s="72"/>
      <c r="G7" s="49" t="s">
        <v>70</v>
      </c>
      <c r="H7" s="49" t="s">
        <v>71</v>
      </c>
      <c r="I7" s="73" t="s">
        <v>58</v>
      </c>
      <c r="K7" s="72"/>
      <c r="L7" s="49" t="s">
        <v>70</v>
      </c>
      <c r="M7" s="49" t="s">
        <v>71</v>
      </c>
      <c r="N7" s="73" t="s">
        <v>58</v>
      </c>
    </row>
    <row r="8" spans="1:14" x14ac:dyDescent="0.2">
      <c r="A8" s="72" t="s">
        <v>59</v>
      </c>
      <c r="B8" s="59">
        <f>AVERAGE(VaR_Model!D4:D128)</f>
        <v>-4.1396351950120247E-4</v>
      </c>
      <c r="C8" s="59">
        <f>AVERAGE(VaR_Model!E4:E128)</f>
        <v>4.5416073547872832E-4</v>
      </c>
      <c r="D8" s="74">
        <f>AVERAGE(VaR_Model!F4:F128)</f>
        <v>2.0098607988762864E-5</v>
      </c>
      <c r="F8" s="78">
        <v>0.95</v>
      </c>
      <c r="G8" s="59">
        <f ca="1">-_xlfn.PERCENTILE.INC(VaR_Model!$S$3:$S$10002, 0.05)</f>
        <v>5.6892356263343505E-2</v>
      </c>
      <c r="H8" s="59">
        <f ca="1">-_xlfn.PERCENTILE.INC(VaR_Model!$T$3:$T$10002, 0.05)</f>
        <v>5.0680243404106221E-2</v>
      </c>
      <c r="I8" s="74">
        <f ca="1">-_xlfn.PERCENTILE.INC(VaR_Model!$U$3:$U$10002, 0.05)</f>
        <v>5.1355166283971965E-2</v>
      </c>
      <c r="K8" s="78">
        <v>0.95</v>
      </c>
      <c r="L8" s="59">
        <f>G14*SQRT(Dashboard!$F$4)</f>
        <v>5.5029031751272023E-2</v>
      </c>
      <c r="M8" s="59">
        <f>H14*SQRT(Dashboard!$F$4)</f>
        <v>5.5392704242871731E-2</v>
      </c>
      <c r="N8" s="74">
        <f>I14*SQRT(Dashboard!$F$4)</f>
        <v>5.1632507518721608E-2</v>
      </c>
    </row>
    <row r="9" spans="1:14" x14ac:dyDescent="0.2">
      <c r="A9" s="72" t="s">
        <v>60</v>
      </c>
      <c r="B9" s="59">
        <f>_xlfn.VAR.S(VaR_Model!D4:D126)</f>
        <v>1.0205539083106309E-4</v>
      </c>
      <c r="C9" s="59">
        <f>_xlfn.VAR.S(VaR_Model!E4:E126)</f>
        <v>1.111226190026808E-4</v>
      </c>
      <c r="D9" s="74">
        <f>_xlfn.VAR.S(VaR_Model!F4:F126)</f>
        <v>9.7110105028946949E-5</v>
      </c>
      <c r="F9" s="78">
        <v>0.99</v>
      </c>
      <c r="G9" s="59">
        <f ca="1">-_xlfn.PERCENTILE.INC(VaR_Model!$S$3:$S$10002, 0.01)</f>
        <v>7.8440636595925955E-2</v>
      </c>
      <c r="H9" s="59">
        <f ca="1">-_xlfn.PERCENTILE.INC(VaR_Model!$T$3:$T$10002, 0.01)</f>
        <v>7.347585899973072E-2</v>
      </c>
      <c r="I9" s="74">
        <f ca="1">-_xlfn.PERCENTILE.INC(VaR_Model!$U$3:$U$10002, 0.01)</f>
        <v>7.3418843713374898E-2</v>
      </c>
      <c r="K9" s="78">
        <v>0.99</v>
      </c>
      <c r="L9" s="59">
        <f>G15*SQRT(Dashboard!$F$4)</f>
        <v>8.8562287461461331E-2</v>
      </c>
      <c r="M9" s="59">
        <f>H15*SQRT(Dashboard!$F$4)</f>
        <v>7.2929515552956084E-2</v>
      </c>
      <c r="N9" s="74">
        <f>I15*SQRT(Dashboard!$F$4)</f>
        <v>8.0202855329188194E-2</v>
      </c>
    </row>
    <row r="10" spans="1:14" ht="17" thickBot="1" x14ac:dyDescent="0.25">
      <c r="A10" s="72" t="s">
        <v>61</v>
      </c>
      <c r="B10" s="59">
        <f>_xlfn.STDEV.S(VaR_Model!D4:D126)</f>
        <v>1.0102246820933603E-2</v>
      </c>
      <c r="C10" s="59">
        <f>_xlfn.STDEV.S(VaR_Model!E4:E126)</f>
        <v>1.054147138698772E-2</v>
      </c>
      <c r="D10" s="74">
        <f>_xlfn.STDEV.S(VaR_Model!F4:F126)</f>
        <v>9.8544459524088392E-3</v>
      </c>
      <c r="F10" s="79">
        <v>0.995</v>
      </c>
      <c r="G10" s="76">
        <f ca="1">-_xlfn.PERCENTILE.INC(VaR_Model!$S$3:$S$10002, 0.005)</f>
        <v>8.5198368644582093E-2</v>
      </c>
      <c r="H10" s="76">
        <f ca="1">-_xlfn.PERCENTILE.INC(VaR_Model!$T$3:$T$10002, 0.005)</f>
        <v>8.0500652197441444E-2</v>
      </c>
      <c r="I10" s="77">
        <f ca="1">-_xlfn.PERCENTILE.INC(VaR_Model!$U$3:$U$10002, 0.005)</f>
        <v>8.029386159871725E-2</v>
      </c>
      <c r="K10" s="79">
        <v>0.995</v>
      </c>
      <c r="L10" s="76">
        <f>G16*SQRT(Dashboard!$F$4)</f>
        <v>9.8334818395284337E-2</v>
      </c>
      <c r="M10" s="76">
        <f>H16*SQRT(Dashboard!$F$4)</f>
        <v>9.4621933592427515E-2</v>
      </c>
      <c r="N10" s="77">
        <f>I16*SQRT(Dashboard!$F$4)</f>
        <v>9.6478375993855905E-2</v>
      </c>
    </row>
    <row r="11" spans="1:14" ht="17" thickBot="1" x14ac:dyDescent="0.25">
      <c r="A11" s="87" t="s">
        <v>64</v>
      </c>
      <c r="B11" s="88">
        <f>SQRT(VaR_Model!N126)</f>
        <v>1.4117546438674832E-2</v>
      </c>
      <c r="C11" s="88">
        <f>SQRT(VaR_Model!O126)</f>
        <v>1.4138632251478895E-2</v>
      </c>
      <c r="D11" s="89">
        <f>SQRT(VaR_Model!P126)</f>
        <v>1.3869573516346625E-2</v>
      </c>
    </row>
    <row r="12" spans="1:14" ht="20" thickTop="1" x14ac:dyDescent="0.25">
      <c r="A12" s="85" t="s">
        <v>84</v>
      </c>
      <c r="B12" s="60">
        <f>-(B$8+_xlfn.NORM.S.INV(0.05)*B$10)*SQRT($F$4)</f>
        <v>5.3855741568139229E-2</v>
      </c>
      <c r="C12" s="60">
        <f>-(C$8+_xlfn.NORM.S.INV(0.05)*C$10)*SQRT($F$4)</f>
        <v>5.3395111129849779E-2</v>
      </c>
      <c r="D12" s="60">
        <f>-(D$8+_xlfn.NORM.S.INV(0.05)*D$10)*SQRT($F$4)</f>
        <v>5.1194184376479365E-2</v>
      </c>
      <c r="F12" s="94" t="s">
        <v>91</v>
      </c>
      <c r="G12" s="95"/>
      <c r="H12" s="95"/>
      <c r="I12" s="96"/>
      <c r="K12" s="99" t="s">
        <v>94</v>
      </c>
      <c r="L12" s="100"/>
      <c r="M12" s="100"/>
      <c r="N12" s="101"/>
    </row>
    <row r="13" spans="1:14" x14ac:dyDescent="0.2">
      <c r="A13" s="72" t="s">
        <v>85</v>
      </c>
      <c r="B13" s="59">
        <f>-(B$8+_xlfn.NORM.S.INV(0.01)*B$10)*SQRT($F$4)</f>
        <v>7.5626831367940461E-2</v>
      </c>
      <c r="C13" s="59">
        <f>-(C$8+_xlfn.NORM.S.INV(0.01)*C$10)*SQRT($F$4)</f>
        <v>7.6112762386655597E-2</v>
      </c>
      <c r="D13" s="74">
        <f>-(D$8+_xlfn.NORM.S.INV(0.01)*D$10)*SQRT($F$4)</f>
        <v>7.2431244959142257E-2</v>
      </c>
      <c r="F13" s="72"/>
      <c r="G13" s="49" t="s">
        <v>70</v>
      </c>
      <c r="H13" s="49" t="s">
        <v>71</v>
      </c>
      <c r="I13" s="73" t="s">
        <v>58</v>
      </c>
      <c r="K13" s="72" t="s">
        <v>95</v>
      </c>
      <c r="L13" s="49" t="s">
        <v>96</v>
      </c>
      <c r="M13" s="49" t="s">
        <v>97</v>
      </c>
      <c r="N13" s="73" t="s">
        <v>98</v>
      </c>
    </row>
    <row r="14" spans="1:14" ht="17" thickBot="1" x14ac:dyDescent="0.25">
      <c r="A14" s="87" t="s">
        <v>86</v>
      </c>
      <c r="B14" s="88">
        <f>-(B$8+_xlfn.NORM.S.INV(0.005)*B$10)*SQRT($F$4)</f>
        <v>8.3596792418089233E-2</v>
      </c>
      <c r="C14" s="88">
        <f>-(C$8+_xlfn.NORM.S.INV(0.005)*C$10)*SQRT($F$4)</f>
        <v>8.4429240676559991E-2</v>
      </c>
      <c r="D14" s="89">
        <f>-(D$8+_xlfn.NORM.S.INV(0.005)*D$10)*SQRT($F$4)</f>
        <v>8.0205708581308682E-2</v>
      </c>
      <c r="F14" s="78">
        <v>0.95</v>
      </c>
      <c r="G14" s="59">
        <f>-_xlfn.PERCENTILE.INC(VaR_Model!$D$4:$D$126, 0.05)</f>
        <v>1.7401707776774394E-2</v>
      </c>
      <c r="H14" s="59">
        <f>-_xlfn.PERCENTILE.INC(VaR_Model!$E$4:$E$126, 0.05)</f>
        <v>1.7516711116354746E-2</v>
      </c>
      <c r="I14" s="74">
        <f>-_xlfn.PERCENTILE.INC(VaR_Model!$F$4:$F$126, 0.05)</f>
        <v>1.6327632506492922E-2</v>
      </c>
      <c r="K14" s="72" t="s">
        <v>99</v>
      </c>
      <c r="L14" s="59">
        <f>0.5*B13+0.5*C13</f>
        <v>7.5869796877298029E-2</v>
      </c>
      <c r="M14" s="59">
        <f>D13</f>
        <v>7.2431244959142257E-2</v>
      </c>
      <c r="N14" s="90" t="str">
        <f>IF(M14 &lt; L14, "YES", "NO")</f>
        <v>YES</v>
      </c>
    </row>
    <row r="15" spans="1:14" ht="17" thickTop="1" x14ac:dyDescent="0.2">
      <c r="A15" s="85" t="s">
        <v>87</v>
      </c>
      <c r="B15" s="60">
        <f>-(B$8 + _xlfn.NORM.S.INV(0.05)*B$11)*SQRT($F$4)</f>
        <v>7.4741257798193669E-2</v>
      </c>
      <c r="C15" s="60">
        <f>-(C$8 + _xlfn.NORM.S.INV(0.05)*C$11)*SQRT($F$4)</f>
        <v>7.2105685375791095E-2</v>
      </c>
      <c r="D15" s="86">
        <f>-(D$8 + _xlfn.NORM.S.INV(0.05)*D$11)*SQRT($F$4)</f>
        <v>7.2078805671448906E-2</v>
      </c>
      <c r="F15" s="78">
        <v>0.99</v>
      </c>
      <c r="G15" s="59">
        <f>-_xlfn.PERCENTILE.INC(VaR_Model!$D$4:$D$126, 0.01)</f>
        <v>2.8005854317278932E-2</v>
      </c>
      <c r="H15" s="59">
        <f>-_xlfn.PERCENTILE.INC(VaR_Model!$E$4:$E$126, 0.01)</f>
        <v>2.3062337780001538E-2</v>
      </c>
      <c r="I15" s="74">
        <f>-_xlfn.PERCENTILE.INC(VaR_Model!$F$4:$F$126, 0.01)</f>
        <v>2.5362369768920826E-2</v>
      </c>
      <c r="K15" s="72" t="s">
        <v>100</v>
      </c>
      <c r="L15" s="59">
        <f>0.5*B16 + 0.5*C16</f>
        <v>0.10387055007194052</v>
      </c>
      <c r="M15" s="59">
        <f>D16</f>
        <v>0.10196876340675416</v>
      </c>
      <c r="N15" s="90" t="str">
        <f>IF(M15 &lt; L15, "YES","NO")</f>
        <v>YES</v>
      </c>
    </row>
    <row r="16" spans="1:14" ht="17" thickBot="1" x14ac:dyDescent="0.25">
      <c r="A16" s="72" t="s">
        <v>88</v>
      </c>
      <c r="B16" s="59">
        <f>-(B$8 + _xlfn.NORM.S.INV(0.01)*B$11)*SQRT($F$4)</f>
        <v>0.10516561553932134</v>
      </c>
      <c r="C16" s="59">
        <f>-(C$8 + _xlfn.NORM.S.INV(0.01)*C$11)*SQRT($F$4)</f>
        <v>0.10257548460455969</v>
      </c>
      <c r="D16" s="74">
        <f>-(D$8 + _xlfn.NORM.S.INV(0.01)*D$11)*SQRT($F$4)</f>
        <v>0.10196876340675416</v>
      </c>
      <c r="F16" s="79">
        <v>0.995</v>
      </c>
      <c r="G16" s="76">
        <f>-_xlfn.PERCENTILE.INC(VaR_Model!$D$4:$D$126, 0.005)</f>
        <v>3.1096199942812222E-2</v>
      </c>
      <c r="H16" s="76">
        <f>-_xlfn.PERCENTILE.INC(VaR_Model!$E$4:$E$126, 0.005)</f>
        <v>2.9922082676126942E-2</v>
      </c>
      <c r="I16" s="77">
        <f>-_xlfn.PERCENTILE.INC(VaR_Model!$F$4:$F$126, 0.005)</f>
        <v>3.0509141309469578E-2</v>
      </c>
      <c r="K16" s="72" t="s">
        <v>101</v>
      </c>
      <c r="L16" s="59">
        <f ca="1">0.5*G9+0.5*H9</f>
        <v>7.5958247797828338E-2</v>
      </c>
      <c r="M16" s="59">
        <f ca="1">I9</f>
        <v>7.3418843713374898E-2</v>
      </c>
      <c r="N16" s="90" t="str">
        <f ca="1">IF(M16&lt;L16, "YES", "NO")</f>
        <v>YES</v>
      </c>
    </row>
    <row r="17" spans="1:14" ht="17" thickBot="1" x14ac:dyDescent="0.25">
      <c r="A17" s="75" t="s">
        <v>89</v>
      </c>
      <c r="B17" s="76">
        <f>-(B$8 + _xlfn.NORM.S.INV(0.005)*B$11)*SQRT($F$4)</f>
        <v>0.11630336511466846</v>
      </c>
      <c r="C17" s="76">
        <f>-(C$8 + _xlfn.NORM.S.INV(0.005)*C$11)*SQRT($F$4)</f>
        <v>0.11372986940073819</v>
      </c>
      <c r="D17" s="77">
        <f>-(D$8 + _xlfn.NORM.S.INV(0.005)*D$11)*SQRT($F$4)</f>
        <v>0.11291087981578901</v>
      </c>
      <c r="K17" s="75" t="s">
        <v>102</v>
      </c>
      <c r="L17" s="76">
        <f>0.5*L9+0.5*M9</f>
        <v>8.0745901507208701E-2</v>
      </c>
      <c r="M17" s="76">
        <f>N9</f>
        <v>8.0202855329188194E-2</v>
      </c>
      <c r="N17" s="91" t="str">
        <f>IF(M17&lt;L17,"YES", "NO")</f>
        <v>YES</v>
      </c>
    </row>
    <row r="18" spans="1:14" x14ac:dyDescent="0.2">
      <c r="B18" s="71"/>
      <c r="C18" s="71"/>
      <c r="D18" s="71"/>
    </row>
  </sheetData>
  <mergeCells count="9">
    <mergeCell ref="F12:I12"/>
    <mergeCell ref="F6:I6"/>
    <mergeCell ref="A1:F1"/>
    <mergeCell ref="K12:N12"/>
    <mergeCell ref="B2:D2"/>
    <mergeCell ref="B4:D4"/>
    <mergeCell ref="B3:D3"/>
    <mergeCell ref="K6:N6"/>
    <mergeCell ref="A6:D6"/>
  </mergeCells>
  <conditionalFormatting sqref="N14:N17">
    <cfRule type="containsText" dxfId="1" priority="1" operator="containsText" text="NO">
      <formula>NOT(ISERROR(SEARCH("NO",N14)))</formula>
    </cfRule>
    <cfRule type="containsText" dxfId="0" priority="2" operator="containsText" text="YES">
      <formula>NOT(ISERROR(SEARCH("YES",N14)))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4552-8D31-ED40-B7EC-6F2F9B231E1D}">
  <dimension ref="A1:P153"/>
  <sheetViews>
    <sheetView topLeftCell="A9" workbookViewId="0">
      <selection activeCell="A30" sqref="A30:B153"/>
    </sheetView>
  </sheetViews>
  <sheetFormatPr baseColWidth="10" defaultColWidth="9.1640625" defaultRowHeight="14" x14ac:dyDescent="0.2"/>
  <cols>
    <col min="1" max="1" width="20.6640625" style="2" customWidth="1"/>
    <col min="2" max="2" width="13" style="2" customWidth="1"/>
    <col min="3" max="3" width="11.33203125" style="2" customWidth="1"/>
    <col min="4" max="4" width="8.1640625" style="2" customWidth="1"/>
    <col min="5" max="5" width="11.5" style="2" customWidth="1"/>
    <col min="6" max="6" width="12" style="2" customWidth="1"/>
    <col min="7" max="7" width="9.83203125" style="2" customWidth="1"/>
    <col min="8" max="8" width="13" style="2" customWidth="1"/>
    <col min="9" max="9" width="16.33203125" style="2" customWidth="1"/>
    <col min="10" max="10" width="17.83203125" style="2" customWidth="1"/>
    <col min="11" max="11" width="6.33203125" style="2" customWidth="1"/>
    <col min="12" max="12" width="8.5" style="2" customWidth="1"/>
    <col min="13" max="13" width="11.5" style="2" customWidth="1"/>
    <col min="14" max="14" width="5.1640625" style="2" customWidth="1"/>
    <col min="15" max="15" width="17.33203125" style="2" customWidth="1"/>
    <col min="16" max="16" width="12" style="2" customWidth="1"/>
    <col min="17" max="16384" width="9.1640625" style="2"/>
  </cols>
  <sheetData>
    <row r="1" spans="1:5" x14ac:dyDescent="0.2">
      <c r="A1" s="1" t="s">
        <v>45</v>
      </c>
    </row>
    <row r="4" spans="1:5" x14ac:dyDescent="0.2">
      <c r="A4" s="2" t="s">
        <v>3</v>
      </c>
    </row>
    <row r="5" spans="1:5" x14ac:dyDescent="0.2">
      <c r="A5" s="2" t="s">
        <v>4</v>
      </c>
    </row>
    <row r="6" spans="1:5" x14ac:dyDescent="0.2">
      <c r="A6" s="2" t="s">
        <v>5</v>
      </c>
    </row>
    <row r="9" spans="1:5" x14ac:dyDescent="0.2">
      <c r="A9" s="1" t="s">
        <v>6</v>
      </c>
      <c r="B9" s="3">
        <v>7453161181</v>
      </c>
    </row>
    <row r="10" spans="1:5" x14ac:dyDescent="0.2">
      <c r="A10" s="4" t="s">
        <v>0</v>
      </c>
      <c r="B10" s="5" t="s">
        <v>7</v>
      </c>
      <c r="C10" s="5" t="s">
        <v>8</v>
      </c>
      <c r="D10" s="5" t="s">
        <v>9</v>
      </c>
      <c r="E10" s="5" t="s">
        <v>10</v>
      </c>
    </row>
    <row r="11" spans="1:5" x14ac:dyDescent="0.2">
      <c r="A11" s="6" t="s">
        <v>11</v>
      </c>
      <c r="B11" s="7">
        <v>900424835</v>
      </c>
      <c r="C11" s="8">
        <v>0.120811131429092</v>
      </c>
      <c r="D11" s="6">
        <v>15</v>
      </c>
      <c r="E11" s="8">
        <v>0.120967741935484</v>
      </c>
    </row>
    <row r="12" spans="1:5" x14ac:dyDescent="0.2">
      <c r="A12" s="6" t="s">
        <v>12</v>
      </c>
      <c r="B12" s="7">
        <v>1676134573</v>
      </c>
      <c r="C12" s="8">
        <v>0.22488908159840901</v>
      </c>
      <c r="D12" s="6">
        <v>27</v>
      </c>
      <c r="E12" s="8">
        <v>0.217741935483871</v>
      </c>
    </row>
    <row r="13" spans="1:5" x14ac:dyDescent="0.2">
      <c r="A13" s="6" t="s">
        <v>13</v>
      </c>
      <c r="B13" s="7">
        <v>1951719932</v>
      </c>
      <c r="C13" s="8">
        <v>0.26186471546803902</v>
      </c>
      <c r="D13" s="6">
        <v>38</v>
      </c>
      <c r="E13" s="8">
        <v>0.30645161290322598</v>
      </c>
    </row>
    <row r="14" spans="1:5" x14ac:dyDescent="0.2">
      <c r="A14" s="6" t="s">
        <v>14</v>
      </c>
      <c r="B14" s="7">
        <v>1497057916</v>
      </c>
      <c r="C14" s="8">
        <v>0.20086214153215701</v>
      </c>
      <c r="D14" s="6">
        <v>25</v>
      </c>
      <c r="E14" s="8">
        <v>0.20161290322580599</v>
      </c>
    </row>
    <row r="15" spans="1:5" x14ac:dyDescent="0.2">
      <c r="A15" s="6" t="s">
        <v>15</v>
      </c>
      <c r="B15" s="7">
        <v>681806551</v>
      </c>
      <c r="C15" s="8">
        <v>9.1478841587123896E-2</v>
      </c>
      <c r="D15" s="6">
        <v>10</v>
      </c>
      <c r="E15" s="8">
        <v>8.0645161290322606E-2</v>
      </c>
    </row>
    <row r="16" spans="1:5" x14ac:dyDescent="0.2">
      <c r="A16" s="6" t="s">
        <v>16</v>
      </c>
      <c r="B16" s="7">
        <v>512533910</v>
      </c>
      <c r="C16" s="8">
        <v>6.8767318665612504E-2</v>
      </c>
      <c r="D16" s="6">
        <v>7</v>
      </c>
      <c r="E16" s="8">
        <v>5.6451612903225798E-2</v>
      </c>
    </row>
    <row r="17" spans="1:16" x14ac:dyDescent="0.2">
      <c r="A17" s="6" t="s">
        <v>17</v>
      </c>
      <c r="B17" s="7">
        <v>233483464</v>
      </c>
      <c r="C17" s="8">
        <v>3.1326769719566598E-2</v>
      </c>
      <c r="D17" s="6">
        <v>2</v>
      </c>
      <c r="E17" s="8">
        <v>1.6129032258064498E-2</v>
      </c>
    </row>
    <row r="20" spans="1:16" x14ac:dyDescent="0.2">
      <c r="A20" s="1" t="s">
        <v>18</v>
      </c>
    </row>
    <row r="21" spans="1:16" x14ac:dyDescent="0.2">
      <c r="A21" s="112" t="s">
        <v>0</v>
      </c>
      <c r="B21" s="113"/>
      <c r="C21" s="114"/>
      <c r="D21" s="112" t="s">
        <v>7</v>
      </c>
      <c r="E21" s="113"/>
      <c r="F21" s="113"/>
      <c r="G21" s="113"/>
      <c r="H21" s="114"/>
      <c r="I21" s="112" t="s">
        <v>19</v>
      </c>
      <c r="J21" s="114"/>
      <c r="K21" s="112" t="s">
        <v>20</v>
      </c>
      <c r="L21" s="113"/>
      <c r="M21" s="113"/>
      <c r="N21" s="112" t="s">
        <v>21</v>
      </c>
      <c r="O21" s="113"/>
      <c r="P21" s="114"/>
    </row>
    <row r="22" spans="1:16" x14ac:dyDescent="0.2">
      <c r="A22" s="9" t="s">
        <v>22</v>
      </c>
      <c r="B22" s="10">
        <v>25507.79</v>
      </c>
      <c r="C22" s="11">
        <v>46035</v>
      </c>
      <c r="D22" s="9" t="s">
        <v>23</v>
      </c>
      <c r="E22" s="12">
        <v>174292198</v>
      </c>
      <c r="F22" s="13">
        <v>46101</v>
      </c>
      <c r="G22" s="14" t="s">
        <v>24</v>
      </c>
      <c r="H22" s="15">
        <v>3602025876</v>
      </c>
      <c r="I22" s="9" t="s">
        <v>25</v>
      </c>
      <c r="J22" s="16">
        <v>64</v>
      </c>
      <c r="K22" s="9" t="s">
        <v>25</v>
      </c>
      <c r="L22" s="17">
        <v>2.7286107079176201E-2</v>
      </c>
      <c r="M22" s="11">
        <v>46113</v>
      </c>
      <c r="N22" s="9" t="s">
        <v>23</v>
      </c>
      <c r="O22" s="10">
        <v>11502187000</v>
      </c>
      <c r="P22" s="11">
        <v>46101</v>
      </c>
    </row>
    <row r="23" spans="1:16" x14ac:dyDescent="0.2">
      <c r="A23" s="18" t="s">
        <v>26</v>
      </c>
      <c r="B23" s="19">
        <v>21863.81</v>
      </c>
      <c r="C23" s="20">
        <v>46104</v>
      </c>
      <c r="D23" s="18" t="s">
        <v>27</v>
      </c>
      <c r="E23" s="21">
        <v>23179269</v>
      </c>
      <c r="F23" s="22">
        <v>46021</v>
      </c>
      <c r="G23" s="23" t="s">
        <v>28</v>
      </c>
      <c r="H23" s="24">
        <v>3807721930</v>
      </c>
      <c r="I23" s="18" t="s">
        <v>29</v>
      </c>
      <c r="J23" s="25">
        <v>59</v>
      </c>
      <c r="K23" s="18" t="s">
        <v>29</v>
      </c>
      <c r="L23" s="26">
        <v>-3.4391996103579799E-2</v>
      </c>
      <c r="M23" s="20">
        <v>46084</v>
      </c>
      <c r="N23" s="18" t="s">
        <v>27</v>
      </c>
      <c r="O23" s="19">
        <v>1568813000</v>
      </c>
      <c r="P23" s="20">
        <v>46021</v>
      </c>
    </row>
    <row r="24" spans="1:16" x14ac:dyDescent="0.2">
      <c r="A24" s="18" t="s">
        <v>30</v>
      </c>
      <c r="B24" s="19">
        <v>24188.169596774202</v>
      </c>
      <c r="C24" s="25"/>
      <c r="D24" s="27" t="s">
        <v>31</v>
      </c>
      <c r="E24" s="28">
        <v>60106138.556451596</v>
      </c>
      <c r="F24" s="29"/>
      <c r="G24" s="29" t="s">
        <v>32</v>
      </c>
      <c r="H24" s="30">
        <v>7453161181</v>
      </c>
      <c r="I24" s="27" t="s">
        <v>33</v>
      </c>
      <c r="J24" s="31">
        <v>0</v>
      </c>
      <c r="K24" s="27" t="s">
        <v>34</v>
      </c>
      <c r="L24" s="32">
        <v>-4.9642940501569199E-2</v>
      </c>
      <c r="M24" s="33" t="s">
        <v>35</v>
      </c>
      <c r="N24" s="27" t="s">
        <v>31</v>
      </c>
      <c r="O24" s="34">
        <v>4160422645.1612902</v>
      </c>
      <c r="P24" s="31"/>
    </row>
    <row r="25" spans="1:16" x14ac:dyDescent="0.2">
      <c r="A25" s="27" t="s">
        <v>36</v>
      </c>
      <c r="B25" s="34">
        <v>23685.8</v>
      </c>
      <c r="C25" s="31"/>
    </row>
    <row r="28" spans="1:16" x14ac:dyDescent="0.2">
      <c r="A28" s="1" t="s">
        <v>37</v>
      </c>
    </row>
    <row r="29" spans="1:16" x14ac:dyDescent="0.2">
      <c r="A29" s="35" t="s">
        <v>38</v>
      </c>
      <c r="B29" s="35" t="s">
        <v>39</v>
      </c>
      <c r="C29" s="35" t="s">
        <v>40</v>
      </c>
      <c r="D29" s="35" t="s">
        <v>41</v>
      </c>
      <c r="E29" s="35" t="s">
        <v>42</v>
      </c>
      <c r="F29" s="35" t="s">
        <v>26</v>
      </c>
      <c r="G29" s="35" t="s">
        <v>22</v>
      </c>
      <c r="H29" s="35" t="s">
        <v>7</v>
      </c>
      <c r="I29" s="35" t="s">
        <v>43</v>
      </c>
      <c r="J29" s="5" t="s">
        <v>44</v>
      </c>
    </row>
    <row r="30" spans="1:16" x14ac:dyDescent="0.2">
      <c r="A30" s="36">
        <v>46114</v>
      </c>
      <c r="B30" s="37">
        <v>23168.080000000002</v>
      </c>
      <c r="C30" s="38">
        <v>-130.80999999999801</v>
      </c>
      <c r="D30" s="39">
        <v>-5.6144305587089204E-3</v>
      </c>
      <c r="E30" s="37">
        <v>22935.23</v>
      </c>
      <c r="F30" s="37">
        <v>22677.919999999998</v>
      </c>
      <c r="G30" s="37">
        <v>23235.16</v>
      </c>
      <c r="H30" s="7">
        <v>62864686</v>
      </c>
      <c r="I30" s="37">
        <v>4092574000</v>
      </c>
      <c r="J30" s="37">
        <v>-14254792000</v>
      </c>
    </row>
    <row r="31" spans="1:16" x14ac:dyDescent="0.2">
      <c r="A31" s="36">
        <v>46113</v>
      </c>
      <c r="B31" s="37">
        <v>23298.89</v>
      </c>
      <c r="C31" s="38">
        <v>618.849999999999</v>
      </c>
      <c r="D31" s="39">
        <v>2.7286107079176201E-2</v>
      </c>
      <c r="E31" s="37">
        <v>23326.89</v>
      </c>
      <c r="F31" s="37">
        <v>23027.040000000001</v>
      </c>
      <c r="G31" s="37">
        <v>23377.65</v>
      </c>
      <c r="H31" s="7">
        <v>75335338</v>
      </c>
      <c r="I31" s="37">
        <v>5497869000</v>
      </c>
      <c r="J31" s="37">
        <v>-10162218000</v>
      </c>
    </row>
    <row r="32" spans="1:16" x14ac:dyDescent="0.2">
      <c r="A32" s="36">
        <v>46112</v>
      </c>
      <c r="B32" s="37">
        <v>22680.04</v>
      </c>
      <c r="C32" s="38">
        <v>117.16</v>
      </c>
      <c r="D32" s="39">
        <v>5.1925995263016004E-3</v>
      </c>
      <c r="E32" s="37">
        <v>22578.84</v>
      </c>
      <c r="F32" s="37">
        <v>22491.51</v>
      </c>
      <c r="G32" s="37">
        <v>22850.7</v>
      </c>
      <c r="H32" s="7">
        <v>68664398</v>
      </c>
      <c r="I32" s="37">
        <v>4840843000</v>
      </c>
      <c r="J32" s="37">
        <v>-15660087000</v>
      </c>
    </row>
    <row r="33" spans="1:10" x14ac:dyDescent="0.2">
      <c r="A33" s="36">
        <v>46111</v>
      </c>
      <c r="B33" s="37">
        <v>22562.880000000001</v>
      </c>
      <c r="C33" s="38">
        <v>262.13000000000102</v>
      </c>
      <c r="D33" s="39">
        <v>1.17543131957446E-2</v>
      </c>
      <c r="E33" s="37">
        <v>22213.86</v>
      </c>
      <c r="F33" s="37">
        <v>22209.45</v>
      </c>
      <c r="G33" s="37">
        <v>22562.880000000001</v>
      </c>
      <c r="H33" s="7">
        <v>56253886</v>
      </c>
      <c r="I33" s="37">
        <v>3908929000</v>
      </c>
      <c r="J33" s="37">
        <v>-20500930000</v>
      </c>
    </row>
    <row r="34" spans="1:10" x14ac:dyDescent="0.2">
      <c r="A34" s="36">
        <v>46108</v>
      </c>
      <c r="B34" s="37">
        <v>22300.75</v>
      </c>
      <c r="C34" s="38">
        <v>-312.22000000000099</v>
      </c>
      <c r="D34" s="39">
        <v>-1.38071204269055E-2</v>
      </c>
      <c r="E34" s="37">
        <v>22612.93</v>
      </c>
      <c r="F34" s="37">
        <v>22215.86</v>
      </c>
      <c r="G34" s="37">
        <v>22631.759999999998</v>
      </c>
      <c r="H34" s="7">
        <v>59191266</v>
      </c>
      <c r="I34" s="37">
        <v>4049169000</v>
      </c>
      <c r="J34" s="37">
        <v>-24409859000</v>
      </c>
    </row>
    <row r="35" spans="1:10" x14ac:dyDescent="0.2">
      <c r="A35" s="36">
        <v>46107</v>
      </c>
      <c r="B35" s="37">
        <v>22612.97</v>
      </c>
      <c r="C35" s="38">
        <v>-344.11000000000098</v>
      </c>
      <c r="D35" s="39">
        <v>-1.49892756395849E-2</v>
      </c>
      <c r="E35" s="37">
        <v>22740.71</v>
      </c>
      <c r="F35" s="37">
        <v>22557.1</v>
      </c>
      <c r="G35" s="37">
        <v>22813.41</v>
      </c>
      <c r="H35" s="7">
        <v>57623544</v>
      </c>
      <c r="I35" s="37">
        <v>3887337000</v>
      </c>
      <c r="J35" s="37">
        <v>-20360690000</v>
      </c>
    </row>
    <row r="36" spans="1:10" x14ac:dyDescent="0.2">
      <c r="A36" s="36">
        <v>46106</v>
      </c>
      <c r="B36" s="37">
        <v>22957.08</v>
      </c>
      <c r="C36" s="38">
        <v>320.17000000000201</v>
      </c>
      <c r="D36" s="39">
        <v>1.4143714844473101E-2</v>
      </c>
      <c r="E36" s="37">
        <v>22961.89</v>
      </c>
      <c r="F36" s="37">
        <v>22815.71</v>
      </c>
      <c r="G36" s="37">
        <v>23079.37</v>
      </c>
      <c r="H36" s="7">
        <v>60498827</v>
      </c>
      <c r="I36" s="37">
        <v>4072363000</v>
      </c>
      <c r="J36" s="37">
        <v>-16473353000</v>
      </c>
    </row>
    <row r="37" spans="1:10" x14ac:dyDescent="0.2">
      <c r="A37" s="36">
        <v>46105</v>
      </c>
      <c r="B37" s="37">
        <v>22636.91</v>
      </c>
      <c r="C37" s="38">
        <v>-16.950000000000699</v>
      </c>
      <c r="D37" s="39">
        <v>-7.4821686017308901E-4</v>
      </c>
      <c r="E37" s="37">
        <v>22677.09</v>
      </c>
      <c r="F37" s="37">
        <v>22350.34</v>
      </c>
      <c r="G37" s="37">
        <v>22730.83</v>
      </c>
      <c r="H37" s="7">
        <v>57868506</v>
      </c>
      <c r="I37" s="37">
        <v>3982240000</v>
      </c>
      <c r="J37" s="37">
        <v>-20545716000</v>
      </c>
    </row>
    <row r="38" spans="1:10" x14ac:dyDescent="0.2">
      <c r="A38" s="36">
        <v>46104</v>
      </c>
      <c r="B38" s="37">
        <v>22653.86</v>
      </c>
      <c r="C38" s="38">
        <v>273.67000000000201</v>
      </c>
      <c r="D38" s="39">
        <v>1.2228225050815099E-2</v>
      </c>
      <c r="E38" s="37">
        <v>21947.82</v>
      </c>
      <c r="F38" s="37">
        <v>21863.81</v>
      </c>
      <c r="G38" s="37">
        <v>23178.7</v>
      </c>
      <c r="H38" s="7">
        <v>104927226</v>
      </c>
      <c r="I38" s="37">
        <v>6864219000</v>
      </c>
      <c r="J38" s="37">
        <v>-16563476000</v>
      </c>
    </row>
    <row r="39" spans="1:10" x14ac:dyDescent="0.2">
      <c r="A39" s="36">
        <v>46101</v>
      </c>
      <c r="B39" s="37">
        <v>22380.19</v>
      </c>
      <c r="C39" s="38">
        <v>-459.37000000000302</v>
      </c>
      <c r="D39" s="39">
        <v>-2.0112909355521898E-2</v>
      </c>
      <c r="E39" s="37">
        <v>23083.89</v>
      </c>
      <c r="F39" s="37">
        <v>22369.47</v>
      </c>
      <c r="G39" s="37">
        <v>23176.17</v>
      </c>
      <c r="H39" s="7">
        <v>174292198</v>
      </c>
      <c r="I39" s="37">
        <v>11502187000</v>
      </c>
      <c r="J39" s="37">
        <v>-23427695000</v>
      </c>
    </row>
    <row r="40" spans="1:10" x14ac:dyDescent="0.2">
      <c r="A40" s="36">
        <v>46100</v>
      </c>
      <c r="B40" s="37">
        <v>22839.56</v>
      </c>
      <c r="C40" s="38">
        <v>-662.68999999999903</v>
      </c>
      <c r="D40" s="39">
        <v>-2.8196874767309501E-2</v>
      </c>
      <c r="E40" s="37">
        <v>23160.58</v>
      </c>
      <c r="F40" s="37">
        <v>22759.42</v>
      </c>
      <c r="G40" s="37">
        <v>23180.14</v>
      </c>
      <c r="H40" s="7">
        <v>106697523</v>
      </c>
      <c r="I40" s="37">
        <v>6342784000</v>
      </c>
      <c r="J40" s="37">
        <v>-11925508000</v>
      </c>
    </row>
    <row r="41" spans="1:10" x14ac:dyDescent="0.2">
      <c r="A41" s="36">
        <v>46099</v>
      </c>
      <c r="B41" s="37">
        <v>23502.25</v>
      </c>
      <c r="C41" s="38">
        <v>-228.669999999998</v>
      </c>
      <c r="D41" s="39">
        <v>-9.6359517456549599E-3</v>
      </c>
      <c r="E41" s="37">
        <v>23837.200000000001</v>
      </c>
      <c r="F41" s="37">
        <v>23449.56</v>
      </c>
      <c r="G41" s="37">
        <v>23957.1</v>
      </c>
      <c r="H41" s="7">
        <v>76027486</v>
      </c>
      <c r="I41" s="37">
        <v>5276166000</v>
      </c>
      <c r="J41" s="37">
        <v>-5582724000</v>
      </c>
    </row>
    <row r="42" spans="1:10" x14ac:dyDescent="0.2">
      <c r="A42" s="36">
        <v>46098</v>
      </c>
      <c r="B42" s="37">
        <v>23730.92</v>
      </c>
      <c r="C42" s="38">
        <v>166.91</v>
      </c>
      <c r="D42" s="39">
        <v>7.0832595980055996E-3</v>
      </c>
      <c r="E42" s="37">
        <v>23500.34</v>
      </c>
      <c r="F42" s="37">
        <v>23464.84</v>
      </c>
      <c r="G42" s="37">
        <v>23820.58</v>
      </c>
      <c r="H42" s="7">
        <v>62737294</v>
      </c>
      <c r="I42" s="37">
        <v>4290045000</v>
      </c>
      <c r="J42" s="37">
        <v>-306558000</v>
      </c>
    </row>
    <row r="43" spans="1:10" x14ac:dyDescent="0.2">
      <c r="A43" s="36">
        <v>46097</v>
      </c>
      <c r="B43" s="37">
        <v>23564.01</v>
      </c>
      <c r="C43" s="38">
        <v>116.719999999998</v>
      </c>
      <c r="D43" s="39">
        <v>4.9779740004067602E-3</v>
      </c>
      <c r="E43" s="37">
        <v>23480.5</v>
      </c>
      <c r="F43" s="37">
        <v>23334.97</v>
      </c>
      <c r="G43" s="37">
        <v>23699.5</v>
      </c>
      <c r="H43" s="7">
        <v>63879188</v>
      </c>
      <c r="I43" s="37">
        <v>3995116000</v>
      </c>
      <c r="J43" s="37">
        <v>-4596603000</v>
      </c>
    </row>
    <row r="44" spans="1:10" x14ac:dyDescent="0.2">
      <c r="A44" s="36">
        <v>46094</v>
      </c>
      <c r="B44" s="37">
        <v>23447.29</v>
      </c>
      <c r="C44" s="38">
        <v>-142.36000000000101</v>
      </c>
      <c r="D44" s="39">
        <v>-6.0348500295680802E-3</v>
      </c>
      <c r="E44" s="37">
        <v>23381.91</v>
      </c>
      <c r="F44" s="37">
        <v>23293.52</v>
      </c>
      <c r="G44" s="37">
        <v>23762.12</v>
      </c>
      <c r="H44" s="7">
        <v>62331701</v>
      </c>
      <c r="I44" s="37">
        <v>4152640000</v>
      </c>
      <c r="J44" s="37">
        <v>-8591719000</v>
      </c>
    </row>
    <row r="45" spans="1:10" x14ac:dyDescent="0.2">
      <c r="A45" s="36">
        <v>46093</v>
      </c>
      <c r="B45" s="37">
        <v>23589.65</v>
      </c>
      <c r="C45" s="38">
        <v>-50.379999999997402</v>
      </c>
      <c r="D45" s="39">
        <v>-2.13113096726178E-3</v>
      </c>
      <c r="E45" s="37">
        <v>23577.82</v>
      </c>
      <c r="F45" s="37">
        <v>23368.07</v>
      </c>
      <c r="G45" s="37">
        <v>23703.55</v>
      </c>
      <c r="H45" s="7">
        <v>78258530</v>
      </c>
      <c r="I45" s="37">
        <v>5078013000</v>
      </c>
      <c r="J45" s="37">
        <v>-4439079000</v>
      </c>
    </row>
    <row r="46" spans="1:10" x14ac:dyDescent="0.2">
      <c r="A46" s="36">
        <v>46092</v>
      </c>
      <c r="B46" s="37">
        <v>23640.03</v>
      </c>
      <c r="C46" s="38">
        <v>-328.60000000000201</v>
      </c>
      <c r="D46" s="39">
        <v>-1.3709586238345801E-2</v>
      </c>
      <c r="E46" s="37">
        <v>23725.21</v>
      </c>
      <c r="F46" s="37">
        <v>23533.7</v>
      </c>
      <c r="G46" s="37">
        <v>23824.73</v>
      </c>
      <c r="H46" s="7">
        <v>59774617</v>
      </c>
      <c r="I46" s="37">
        <v>5129256000</v>
      </c>
      <c r="J46" s="37">
        <v>638934000</v>
      </c>
    </row>
    <row r="47" spans="1:10" x14ac:dyDescent="0.2">
      <c r="A47" s="36">
        <v>46091</v>
      </c>
      <c r="B47" s="37">
        <v>23968.63</v>
      </c>
      <c r="C47" s="38">
        <v>559.26000000000204</v>
      </c>
      <c r="D47" s="39">
        <v>2.38904336169663E-2</v>
      </c>
      <c r="E47" s="37">
        <v>23886.38</v>
      </c>
      <c r="F47" s="37">
        <v>23765.24</v>
      </c>
      <c r="G47" s="37">
        <v>24061.15</v>
      </c>
      <c r="H47" s="7">
        <v>76588641</v>
      </c>
      <c r="I47" s="37">
        <v>5215900000</v>
      </c>
      <c r="J47" s="37">
        <v>5768190000</v>
      </c>
    </row>
    <row r="48" spans="1:10" x14ac:dyDescent="0.2">
      <c r="A48" s="36">
        <v>46090</v>
      </c>
      <c r="B48" s="37">
        <v>23409.37</v>
      </c>
      <c r="C48" s="38">
        <v>-181.66</v>
      </c>
      <c r="D48" s="39">
        <v>-7.7003844257753796E-3</v>
      </c>
      <c r="E48" s="37">
        <v>22998.94</v>
      </c>
      <c r="F48" s="37">
        <v>22927.55</v>
      </c>
      <c r="G48" s="37">
        <v>23470.799999999999</v>
      </c>
      <c r="H48" s="7">
        <v>71514593</v>
      </c>
      <c r="I48" s="37">
        <v>4696791000</v>
      </c>
      <c r="J48" s="37">
        <v>552290000</v>
      </c>
    </row>
    <row r="49" spans="1:10" x14ac:dyDescent="0.2">
      <c r="A49" s="36">
        <v>46087</v>
      </c>
      <c r="B49" s="37">
        <v>23591.03</v>
      </c>
      <c r="C49" s="38">
        <v>-224.72000000000099</v>
      </c>
      <c r="D49" s="39">
        <v>-9.4357725454794102E-3</v>
      </c>
      <c r="E49" s="37">
        <v>23942.89</v>
      </c>
      <c r="F49" s="37">
        <v>23342.880000000001</v>
      </c>
      <c r="G49" s="37">
        <v>24028.44</v>
      </c>
      <c r="H49" s="7">
        <v>88258188</v>
      </c>
      <c r="I49" s="37">
        <v>6084594000</v>
      </c>
      <c r="J49" s="37">
        <v>5249081000</v>
      </c>
    </row>
    <row r="50" spans="1:10" x14ac:dyDescent="0.2">
      <c r="A50" s="36">
        <v>46086</v>
      </c>
      <c r="B50" s="37">
        <v>23815.75</v>
      </c>
      <c r="C50" s="38">
        <v>-389.61000000000098</v>
      </c>
      <c r="D50" s="39">
        <v>-1.6096021707588799E-2</v>
      </c>
      <c r="E50" s="37">
        <v>24145.439999999999</v>
      </c>
      <c r="F50" s="37">
        <v>23754.65</v>
      </c>
      <c r="G50" s="37">
        <v>24366.81</v>
      </c>
      <c r="H50" s="7">
        <v>77027599</v>
      </c>
      <c r="I50" s="37">
        <v>5603621000</v>
      </c>
      <c r="J50" s="37">
        <v>11333675000</v>
      </c>
    </row>
    <row r="51" spans="1:10" x14ac:dyDescent="0.2">
      <c r="A51" s="36">
        <v>46085</v>
      </c>
      <c r="B51" s="37">
        <v>24205.360000000001</v>
      </c>
      <c r="C51" s="38">
        <v>414.70999999999901</v>
      </c>
      <c r="D51" s="39">
        <v>1.7431638059489701E-2</v>
      </c>
      <c r="E51" s="37">
        <v>23901.32</v>
      </c>
      <c r="F51" s="37">
        <v>23814.89</v>
      </c>
      <c r="G51" s="37">
        <v>24242.49</v>
      </c>
      <c r="H51" s="7">
        <v>74830902</v>
      </c>
      <c r="I51" s="37">
        <v>5295440000</v>
      </c>
      <c r="J51" s="37">
        <v>16937296000</v>
      </c>
    </row>
    <row r="52" spans="1:10" x14ac:dyDescent="0.2">
      <c r="A52" s="36">
        <v>46084</v>
      </c>
      <c r="B52" s="37">
        <v>23790.65</v>
      </c>
      <c r="C52" s="38">
        <v>-847.349999999999</v>
      </c>
      <c r="D52" s="39">
        <v>-3.4391996103579799E-2</v>
      </c>
      <c r="E52" s="37">
        <v>24207.439999999999</v>
      </c>
      <c r="F52" s="37">
        <v>23601.11</v>
      </c>
      <c r="G52" s="37">
        <v>24239.52</v>
      </c>
      <c r="H52" s="7">
        <v>105227536</v>
      </c>
      <c r="I52" s="37">
        <v>7314023000</v>
      </c>
      <c r="J52" s="37">
        <v>11641856000</v>
      </c>
    </row>
    <row r="53" spans="1:10" x14ac:dyDescent="0.2">
      <c r="A53" s="36">
        <v>46083</v>
      </c>
      <c r="B53" s="37">
        <v>24638</v>
      </c>
      <c r="C53" s="38">
        <v>-646.25999999999794</v>
      </c>
      <c r="D53" s="39">
        <v>-2.5559775132829601E-2</v>
      </c>
      <c r="E53" s="37">
        <v>24695.439999999999</v>
      </c>
      <c r="F53" s="37">
        <v>24577.42</v>
      </c>
      <c r="G53" s="37">
        <v>24897.61</v>
      </c>
      <c r="H53" s="7">
        <v>78323135</v>
      </c>
      <c r="I53" s="37">
        <v>5673918000</v>
      </c>
      <c r="J53" s="37">
        <v>18955879000</v>
      </c>
    </row>
    <row r="54" spans="1:10" x14ac:dyDescent="0.2">
      <c r="A54" s="36">
        <v>46080</v>
      </c>
      <c r="B54" s="37">
        <v>25284.26</v>
      </c>
      <c r="C54" s="38">
        <v>-4.7600000000020399</v>
      </c>
      <c r="D54" s="39">
        <v>-1.8822398020967301E-4</v>
      </c>
      <c r="E54" s="37">
        <v>25294.37</v>
      </c>
      <c r="F54" s="37">
        <v>25188.3</v>
      </c>
      <c r="G54" s="37">
        <v>25405.97</v>
      </c>
      <c r="H54" s="7">
        <v>95182377</v>
      </c>
      <c r="I54" s="37">
        <v>6703252000</v>
      </c>
      <c r="J54" s="37">
        <v>24629797000</v>
      </c>
    </row>
    <row r="55" spans="1:10" x14ac:dyDescent="0.2">
      <c r="A55" s="36">
        <v>46079</v>
      </c>
      <c r="B55" s="37">
        <v>25289.02</v>
      </c>
      <c r="C55" s="38">
        <v>113.080000000002</v>
      </c>
      <c r="D55" s="39">
        <v>4.4915899863123996E-3</v>
      </c>
      <c r="E55" s="37">
        <v>25095.86</v>
      </c>
      <c r="F55" s="37">
        <v>25088.49</v>
      </c>
      <c r="G55" s="37">
        <v>25318.95</v>
      </c>
      <c r="H55" s="7">
        <v>57060911</v>
      </c>
      <c r="I55" s="37">
        <v>4318273000</v>
      </c>
      <c r="J55" s="37">
        <v>31333049000</v>
      </c>
    </row>
    <row r="56" spans="1:10" x14ac:dyDescent="0.2">
      <c r="A56" s="36">
        <v>46078</v>
      </c>
      <c r="B56" s="37">
        <v>25175.94</v>
      </c>
      <c r="C56" s="38">
        <v>189.689999999999</v>
      </c>
      <c r="D56" s="39">
        <v>7.5917754765120297E-3</v>
      </c>
      <c r="E56" s="37">
        <v>25051.84</v>
      </c>
      <c r="F56" s="37">
        <v>24988.61</v>
      </c>
      <c r="G56" s="37">
        <v>25184.41</v>
      </c>
      <c r="H56" s="7">
        <v>55136365</v>
      </c>
      <c r="I56" s="37">
        <v>4065037000</v>
      </c>
      <c r="J56" s="37">
        <v>27014776000</v>
      </c>
    </row>
    <row r="57" spans="1:10" x14ac:dyDescent="0.2">
      <c r="A57" s="36">
        <v>46077</v>
      </c>
      <c r="B57" s="37">
        <v>24986.25</v>
      </c>
      <c r="C57" s="38">
        <v>-5.7200000000011597</v>
      </c>
      <c r="D57" s="39">
        <v>-2.28873514172799E-4</v>
      </c>
      <c r="E57" s="37">
        <v>24952.16</v>
      </c>
      <c r="F57" s="37">
        <v>24878.1</v>
      </c>
      <c r="G57" s="37">
        <v>25091.95</v>
      </c>
      <c r="H57" s="7">
        <v>60638920</v>
      </c>
      <c r="I57" s="37">
        <v>4412503000</v>
      </c>
      <c r="J57" s="37">
        <v>22949739000</v>
      </c>
    </row>
    <row r="58" spans="1:10" x14ac:dyDescent="0.2">
      <c r="A58" s="36">
        <v>46076</v>
      </c>
      <c r="B58" s="37">
        <v>24991.97</v>
      </c>
      <c r="C58" s="38">
        <v>-268.71999999999798</v>
      </c>
      <c r="D58" s="39">
        <v>-1.06378725205051E-2</v>
      </c>
      <c r="E58" s="37">
        <v>25114.39</v>
      </c>
      <c r="F58" s="37">
        <v>24937.56</v>
      </c>
      <c r="G58" s="37">
        <v>25194.93</v>
      </c>
      <c r="H58" s="7">
        <v>51822091</v>
      </c>
      <c r="I58" s="37">
        <v>3679834000</v>
      </c>
      <c r="J58" s="37">
        <v>27362242000</v>
      </c>
    </row>
    <row r="59" spans="1:10" x14ac:dyDescent="0.2">
      <c r="A59" s="36">
        <v>46073</v>
      </c>
      <c r="B59" s="37">
        <v>25260.69</v>
      </c>
      <c r="C59" s="38">
        <v>217.11999999999901</v>
      </c>
      <c r="D59" s="39">
        <v>8.6696904634602397E-3</v>
      </c>
      <c r="E59" s="37">
        <v>25070</v>
      </c>
      <c r="F59" s="37">
        <v>25004.81</v>
      </c>
      <c r="G59" s="37">
        <v>25331.06</v>
      </c>
      <c r="H59" s="7">
        <v>61961924</v>
      </c>
      <c r="I59" s="37">
        <v>4528723000</v>
      </c>
      <c r="J59" s="37">
        <v>31042076000</v>
      </c>
    </row>
    <row r="60" spans="1:10" x14ac:dyDescent="0.2">
      <c r="A60" s="36">
        <v>46072</v>
      </c>
      <c r="B60" s="37">
        <v>25043.57</v>
      </c>
      <c r="C60" s="38">
        <v>-234.63999999999899</v>
      </c>
      <c r="D60" s="39">
        <v>-9.2823028212835994E-3</v>
      </c>
      <c r="E60" s="37">
        <v>25198.38</v>
      </c>
      <c r="F60" s="37">
        <v>24983.89</v>
      </c>
      <c r="G60" s="37">
        <v>25228.94</v>
      </c>
      <c r="H60" s="7">
        <v>57785478</v>
      </c>
      <c r="I60" s="37">
        <v>3988192000</v>
      </c>
      <c r="J60" s="37">
        <v>26513353000</v>
      </c>
    </row>
    <row r="61" spans="1:10" x14ac:dyDescent="0.2">
      <c r="A61" s="36">
        <v>46071</v>
      </c>
      <c r="B61" s="37">
        <v>25278.21</v>
      </c>
      <c r="C61" s="38">
        <v>279.80999999999801</v>
      </c>
      <c r="D61" s="39">
        <v>1.1193116359446901E-2</v>
      </c>
      <c r="E61" s="37">
        <v>25127.13</v>
      </c>
      <c r="F61" s="37">
        <v>25100.92</v>
      </c>
      <c r="G61" s="37">
        <v>25315.01</v>
      </c>
      <c r="H61" s="7">
        <v>67595495</v>
      </c>
      <c r="I61" s="37">
        <v>4599379000</v>
      </c>
      <c r="J61" s="37">
        <v>30501545000</v>
      </c>
    </row>
    <row r="62" spans="1:10" x14ac:dyDescent="0.2">
      <c r="A62" s="36">
        <v>46070</v>
      </c>
      <c r="B62" s="37">
        <v>24998.400000000001</v>
      </c>
      <c r="C62" s="38">
        <v>197.490000000002</v>
      </c>
      <c r="D62" s="39">
        <v>7.9630142603638997E-3</v>
      </c>
      <c r="E62" s="37">
        <v>24796.82</v>
      </c>
      <c r="F62" s="37">
        <v>24734.04</v>
      </c>
      <c r="G62" s="37">
        <v>25020.639999999999</v>
      </c>
      <c r="H62" s="7">
        <v>64747736</v>
      </c>
      <c r="I62" s="37">
        <v>4270015000</v>
      </c>
      <c r="J62" s="37">
        <v>25902166000</v>
      </c>
    </row>
    <row r="63" spans="1:10" x14ac:dyDescent="0.2">
      <c r="A63" s="36">
        <v>46069</v>
      </c>
      <c r="B63" s="37">
        <v>24800.91</v>
      </c>
      <c r="C63" s="38">
        <v>-113.97000000000099</v>
      </c>
      <c r="D63" s="39">
        <v>-4.5743748314260903E-3</v>
      </c>
      <c r="E63" s="37">
        <v>24988.61</v>
      </c>
      <c r="F63" s="37">
        <v>24793.58</v>
      </c>
      <c r="G63" s="37">
        <v>25020.83</v>
      </c>
      <c r="H63" s="7">
        <v>47144400</v>
      </c>
      <c r="I63" s="37">
        <v>3306852000</v>
      </c>
      <c r="J63" s="37">
        <v>21632151000</v>
      </c>
    </row>
    <row r="64" spans="1:10" x14ac:dyDescent="0.2">
      <c r="A64" s="36">
        <v>46066</v>
      </c>
      <c r="B64" s="37">
        <v>24914.880000000001</v>
      </c>
      <c r="C64" s="38">
        <v>62.1900000000023</v>
      </c>
      <c r="D64" s="39">
        <v>2.50234481659741E-3</v>
      </c>
      <c r="E64" s="37">
        <v>24822.3</v>
      </c>
      <c r="F64" s="37">
        <v>24750.47</v>
      </c>
      <c r="G64" s="37">
        <v>24953.15</v>
      </c>
      <c r="H64" s="7">
        <v>83096014</v>
      </c>
      <c r="I64" s="37">
        <v>5748791000</v>
      </c>
      <c r="J64" s="37">
        <v>24939003000</v>
      </c>
    </row>
    <row r="65" spans="1:10" x14ac:dyDescent="0.2">
      <c r="A65" s="36">
        <v>46065</v>
      </c>
      <c r="B65" s="37">
        <v>24852.69</v>
      </c>
      <c r="C65" s="38">
        <v>-3.46000000000276</v>
      </c>
      <c r="D65" s="39">
        <v>-1.392009623374E-4</v>
      </c>
      <c r="E65" s="37">
        <v>25060.799999999999</v>
      </c>
      <c r="F65" s="37">
        <v>24813.23</v>
      </c>
      <c r="G65" s="37">
        <v>25239.01</v>
      </c>
      <c r="H65" s="7">
        <v>83192881</v>
      </c>
      <c r="I65" s="37">
        <v>5905206000</v>
      </c>
      <c r="J65" s="37">
        <v>19190212000</v>
      </c>
    </row>
    <row r="66" spans="1:10" x14ac:dyDescent="0.2">
      <c r="A66" s="36">
        <v>46064</v>
      </c>
      <c r="B66" s="37">
        <v>24856.15</v>
      </c>
      <c r="C66" s="38">
        <v>-131.699999999997</v>
      </c>
      <c r="D66" s="39">
        <v>-5.2705614928854304E-3</v>
      </c>
      <c r="E66" s="37">
        <v>24956.46</v>
      </c>
      <c r="F66" s="37">
        <v>24834.79</v>
      </c>
      <c r="G66" s="37">
        <v>25001.52</v>
      </c>
      <c r="H66" s="7">
        <v>81183467</v>
      </c>
      <c r="I66" s="37">
        <v>5469596000</v>
      </c>
      <c r="J66" s="37">
        <v>25095418000</v>
      </c>
    </row>
    <row r="67" spans="1:10" x14ac:dyDescent="0.2">
      <c r="A67" s="36">
        <v>46063</v>
      </c>
      <c r="B67" s="37">
        <v>24987.85</v>
      </c>
      <c r="C67" s="38">
        <v>-27.020000000000401</v>
      </c>
      <c r="D67" s="39">
        <v>-1.0801575223057501E-3</v>
      </c>
      <c r="E67" s="37">
        <v>24960.59</v>
      </c>
      <c r="F67" s="37">
        <v>24935.34</v>
      </c>
      <c r="G67" s="37">
        <v>25075.75</v>
      </c>
      <c r="H67" s="7">
        <v>61265031</v>
      </c>
      <c r="I67" s="37">
        <v>4553844000</v>
      </c>
      <c r="J67" s="37">
        <v>30565014000</v>
      </c>
    </row>
    <row r="68" spans="1:10" x14ac:dyDescent="0.2">
      <c r="A68" s="36">
        <v>46062</v>
      </c>
      <c r="B68" s="37">
        <v>25014.87</v>
      </c>
      <c r="C68" s="38">
        <v>293.41000000000003</v>
      </c>
      <c r="D68" s="39">
        <v>1.18686355902928E-2</v>
      </c>
      <c r="E68" s="37">
        <v>24860.67</v>
      </c>
      <c r="F68" s="37">
        <v>24714.89</v>
      </c>
      <c r="G68" s="37">
        <v>25016.01</v>
      </c>
      <c r="H68" s="7">
        <v>50674686</v>
      </c>
      <c r="I68" s="37">
        <v>3666659000</v>
      </c>
      <c r="J68" s="37">
        <v>35118858000</v>
      </c>
    </row>
    <row r="69" spans="1:10" x14ac:dyDescent="0.2">
      <c r="A69" s="36">
        <v>46059</v>
      </c>
      <c r="B69" s="37">
        <v>24721.46</v>
      </c>
      <c r="C69" s="38">
        <v>230.39999999999799</v>
      </c>
      <c r="D69" s="39">
        <v>9.4075144154641705E-3</v>
      </c>
      <c r="E69" s="37">
        <v>24452.15</v>
      </c>
      <c r="F69" s="37">
        <v>24393.11</v>
      </c>
      <c r="G69" s="37">
        <v>24737.97</v>
      </c>
      <c r="H69" s="7">
        <v>57335974</v>
      </c>
      <c r="I69" s="37">
        <v>4381436000</v>
      </c>
      <c r="J69" s="37">
        <v>31452199000</v>
      </c>
    </row>
    <row r="70" spans="1:10" x14ac:dyDescent="0.2">
      <c r="A70" s="36">
        <v>46058</v>
      </c>
      <c r="B70" s="37">
        <v>24491.06</v>
      </c>
      <c r="C70" s="38">
        <v>-111.98</v>
      </c>
      <c r="D70" s="39">
        <v>-4.5514700622361903E-3</v>
      </c>
      <c r="E70" s="37">
        <v>24607.47</v>
      </c>
      <c r="F70" s="37">
        <v>24272.62</v>
      </c>
      <c r="G70" s="37">
        <v>24663.81</v>
      </c>
      <c r="H70" s="7">
        <v>77749278</v>
      </c>
      <c r="I70" s="37">
        <v>6027789000</v>
      </c>
      <c r="J70" s="37">
        <v>27070763000</v>
      </c>
    </row>
    <row r="71" spans="1:10" x14ac:dyDescent="0.2">
      <c r="A71" s="36">
        <v>46057</v>
      </c>
      <c r="B71" s="37">
        <v>24603.040000000001</v>
      </c>
      <c r="C71" s="38">
        <v>-177.75</v>
      </c>
      <c r="D71" s="39">
        <v>-7.1728948108595401E-3</v>
      </c>
      <c r="E71" s="37">
        <v>24845.59</v>
      </c>
      <c r="F71" s="37">
        <v>24602.880000000001</v>
      </c>
      <c r="G71" s="37">
        <v>24877.91</v>
      </c>
      <c r="H71" s="7">
        <v>89332161</v>
      </c>
      <c r="I71" s="37">
        <v>6582428000</v>
      </c>
      <c r="J71" s="37">
        <v>33098552000</v>
      </c>
    </row>
    <row r="72" spans="1:10" x14ac:dyDescent="0.2">
      <c r="A72" s="36">
        <v>46056</v>
      </c>
      <c r="B72" s="37">
        <v>24780.79</v>
      </c>
      <c r="C72" s="38">
        <v>-16.729999999999599</v>
      </c>
      <c r="D72" s="39">
        <v>-6.7466424061759297E-4</v>
      </c>
      <c r="E72" s="37">
        <v>24956.76</v>
      </c>
      <c r="F72" s="37">
        <v>24703.62</v>
      </c>
      <c r="G72" s="37">
        <v>25098.71</v>
      </c>
      <c r="H72" s="7">
        <v>69043836</v>
      </c>
      <c r="I72" s="37">
        <v>4854946000</v>
      </c>
      <c r="J72" s="37">
        <v>39680980000</v>
      </c>
    </row>
    <row r="73" spans="1:10" x14ac:dyDescent="0.2">
      <c r="A73" s="36">
        <v>46055</v>
      </c>
      <c r="B73" s="37">
        <v>24797.52</v>
      </c>
      <c r="C73" s="38">
        <v>258.70999999999901</v>
      </c>
      <c r="D73" s="39">
        <v>1.0542891036688399E-2</v>
      </c>
      <c r="E73" s="37">
        <v>24392.09</v>
      </c>
      <c r="F73" s="37">
        <v>24384.21</v>
      </c>
      <c r="G73" s="37">
        <v>24851.7</v>
      </c>
      <c r="H73" s="7">
        <v>57354682</v>
      </c>
      <c r="I73" s="37">
        <v>3871251000</v>
      </c>
      <c r="J73" s="37">
        <v>44535926000</v>
      </c>
    </row>
    <row r="74" spans="1:10" x14ac:dyDescent="0.2">
      <c r="A74" s="36">
        <v>46052</v>
      </c>
      <c r="B74" s="37">
        <v>24538.81</v>
      </c>
      <c r="C74" s="38">
        <v>229.35000000000201</v>
      </c>
      <c r="D74" s="39">
        <v>9.43459871177732E-3</v>
      </c>
      <c r="E74" s="37">
        <v>24376.15</v>
      </c>
      <c r="F74" s="37">
        <v>24366.39</v>
      </c>
      <c r="G74" s="37">
        <v>24585.45</v>
      </c>
      <c r="H74" s="7">
        <v>65548937</v>
      </c>
      <c r="I74" s="37">
        <v>4806971000</v>
      </c>
      <c r="J74" s="37">
        <v>40664675000</v>
      </c>
    </row>
    <row r="75" spans="1:10" x14ac:dyDescent="0.2">
      <c r="A75" s="36">
        <v>46051</v>
      </c>
      <c r="B75" s="37">
        <v>24309.46</v>
      </c>
      <c r="C75" s="38">
        <v>-513.33000000000197</v>
      </c>
      <c r="D75" s="39">
        <v>-2.0679786599330799E-2</v>
      </c>
      <c r="E75" s="37">
        <v>24697.38</v>
      </c>
      <c r="F75" s="37">
        <v>24266.33</v>
      </c>
      <c r="G75" s="37">
        <v>24758.73</v>
      </c>
      <c r="H75" s="7">
        <v>72600730</v>
      </c>
      <c r="I75" s="37">
        <v>6467349000</v>
      </c>
      <c r="J75" s="37">
        <v>35857704000</v>
      </c>
    </row>
    <row r="76" spans="1:10" x14ac:dyDescent="0.2">
      <c r="A76" s="36">
        <v>46050</v>
      </c>
      <c r="B76" s="37">
        <v>24822.79</v>
      </c>
      <c r="C76" s="38">
        <v>-71.649999999997803</v>
      </c>
      <c r="D76" s="39">
        <v>-2.8781527120111099E-3</v>
      </c>
      <c r="E76" s="37">
        <v>24878.23</v>
      </c>
      <c r="F76" s="37">
        <v>24707.19</v>
      </c>
      <c r="G76" s="37">
        <v>24926.03</v>
      </c>
      <c r="H76" s="7">
        <v>64684471</v>
      </c>
      <c r="I76" s="37">
        <v>4113256000</v>
      </c>
      <c r="J76" s="37">
        <v>42325053000</v>
      </c>
    </row>
    <row r="77" spans="1:10" x14ac:dyDescent="0.2">
      <c r="A77" s="36">
        <v>46049</v>
      </c>
      <c r="B77" s="37">
        <v>24894.44</v>
      </c>
      <c r="C77" s="38">
        <v>-38.640000000003099</v>
      </c>
      <c r="D77" s="39">
        <v>-1.5497483664273701E-3</v>
      </c>
      <c r="E77" s="37">
        <v>25008.03</v>
      </c>
      <c r="F77" s="37">
        <v>24848.53</v>
      </c>
      <c r="G77" s="37">
        <v>25020.22</v>
      </c>
      <c r="H77" s="7">
        <v>54946353</v>
      </c>
      <c r="I77" s="37">
        <v>3754439000</v>
      </c>
      <c r="J77" s="37">
        <v>46438309000</v>
      </c>
    </row>
    <row r="78" spans="1:10" x14ac:dyDescent="0.2">
      <c r="A78" s="36">
        <v>46048</v>
      </c>
      <c r="B78" s="37">
        <v>24933.08</v>
      </c>
      <c r="C78" s="38">
        <v>32.370000000002598</v>
      </c>
      <c r="D78" s="39">
        <v>1.2999629327839499E-3</v>
      </c>
      <c r="E78" s="37">
        <v>24890.3</v>
      </c>
      <c r="F78" s="37">
        <v>24790.74</v>
      </c>
      <c r="G78" s="37">
        <v>24985.15</v>
      </c>
      <c r="H78" s="7">
        <v>46857014</v>
      </c>
      <c r="I78" s="37">
        <v>3405197000</v>
      </c>
      <c r="J78" s="37">
        <v>50192748000</v>
      </c>
    </row>
    <row r="79" spans="1:10" x14ac:dyDescent="0.2">
      <c r="A79" s="36">
        <v>46045</v>
      </c>
      <c r="B79" s="37">
        <v>24900.71</v>
      </c>
      <c r="C79" s="38">
        <v>44.239999999997998</v>
      </c>
      <c r="D79" s="39">
        <v>1.7798182927824401E-3</v>
      </c>
      <c r="E79" s="37">
        <v>24819.94</v>
      </c>
      <c r="F79" s="37">
        <v>24796.93</v>
      </c>
      <c r="G79" s="37">
        <v>24930.15</v>
      </c>
      <c r="H79" s="7">
        <v>51850248</v>
      </c>
      <c r="I79" s="37">
        <v>4403134000</v>
      </c>
      <c r="J79" s="37">
        <v>46787551000</v>
      </c>
    </row>
    <row r="80" spans="1:10" x14ac:dyDescent="0.2">
      <c r="A80" s="36">
        <v>46044</v>
      </c>
      <c r="B80" s="37">
        <v>24856.47</v>
      </c>
      <c r="C80" s="38">
        <v>295.490000000002</v>
      </c>
      <c r="D80" s="39">
        <v>1.20308717323169E-2</v>
      </c>
      <c r="E80" s="37">
        <v>24877.63</v>
      </c>
      <c r="F80" s="37">
        <v>24772.54</v>
      </c>
      <c r="G80" s="37">
        <v>24937.08</v>
      </c>
      <c r="H80" s="7">
        <v>68312481</v>
      </c>
      <c r="I80" s="37">
        <v>5441566000</v>
      </c>
      <c r="J80" s="37">
        <v>42384417000</v>
      </c>
    </row>
    <row r="81" spans="1:10" x14ac:dyDescent="0.2">
      <c r="A81" s="36">
        <v>46043</v>
      </c>
      <c r="B81" s="37">
        <v>24560.98</v>
      </c>
      <c r="C81" s="38">
        <v>-142.13999999999899</v>
      </c>
      <c r="D81" s="39">
        <v>-5.7539290583537399E-3</v>
      </c>
      <c r="E81" s="37">
        <v>24636.55</v>
      </c>
      <c r="F81" s="37">
        <v>24349.54</v>
      </c>
      <c r="G81" s="37">
        <v>24656.73</v>
      </c>
      <c r="H81" s="7">
        <v>60768097</v>
      </c>
      <c r="I81" s="37">
        <v>4368653000</v>
      </c>
      <c r="J81" s="37">
        <v>36942851000</v>
      </c>
    </row>
    <row r="82" spans="1:10" x14ac:dyDescent="0.2">
      <c r="A82" s="36">
        <v>46042</v>
      </c>
      <c r="B82" s="37">
        <v>24703.119999999999</v>
      </c>
      <c r="C82" s="38">
        <v>-255.94000000000199</v>
      </c>
      <c r="D82" s="39">
        <v>-1.02543925933109E-2</v>
      </c>
      <c r="E82" s="37">
        <v>24747.35</v>
      </c>
      <c r="F82" s="37">
        <v>24507.11</v>
      </c>
      <c r="G82" s="37">
        <v>24758.32</v>
      </c>
      <c r="H82" s="7">
        <v>61367550</v>
      </c>
      <c r="I82" s="37">
        <v>4479545000</v>
      </c>
      <c r="J82" s="37">
        <v>41311504000</v>
      </c>
    </row>
    <row r="83" spans="1:10" x14ac:dyDescent="0.2">
      <c r="A83" s="36">
        <v>46041</v>
      </c>
      <c r="B83" s="37">
        <v>24959.06</v>
      </c>
      <c r="C83" s="38">
        <v>-338.07</v>
      </c>
      <c r="D83" s="39">
        <v>-1.33639665843517E-2</v>
      </c>
      <c r="E83" s="37">
        <v>24940.47</v>
      </c>
      <c r="F83" s="37">
        <v>24911.59</v>
      </c>
      <c r="G83" s="37">
        <v>25070.61</v>
      </c>
      <c r="H83" s="7">
        <v>59771526</v>
      </c>
      <c r="I83" s="37">
        <v>4221904000</v>
      </c>
      <c r="J83" s="37">
        <v>45791049000</v>
      </c>
    </row>
    <row r="84" spans="1:10" x14ac:dyDescent="0.2">
      <c r="A84" s="36">
        <v>46038</v>
      </c>
      <c r="B84" s="37">
        <v>25297.13</v>
      </c>
      <c r="C84" s="38">
        <v>-55.259999999998399</v>
      </c>
      <c r="D84" s="39">
        <v>-2.1796761567646401E-3</v>
      </c>
      <c r="E84" s="37">
        <v>25336.01</v>
      </c>
      <c r="F84" s="37">
        <v>25198.53</v>
      </c>
      <c r="G84" s="37">
        <v>25354.11</v>
      </c>
      <c r="H84" s="7">
        <v>62816838</v>
      </c>
      <c r="I84" s="37">
        <v>4386176000</v>
      </c>
      <c r="J84" s="37">
        <v>50012953000</v>
      </c>
    </row>
    <row r="85" spans="1:10" x14ac:dyDescent="0.2">
      <c r="A85" s="36">
        <v>46037</v>
      </c>
      <c r="B85" s="37">
        <v>25352.39</v>
      </c>
      <c r="C85" s="38">
        <v>66.149999999997803</v>
      </c>
      <c r="D85" s="39">
        <v>2.6160473047791102E-3</v>
      </c>
      <c r="E85" s="37">
        <v>25275.83</v>
      </c>
      <c r="F85" s="37">
        <v>25233.32</v>
      </c>
      <c r="G85" s="37">
        <v>25378.55</v>
      </c>
      <c r="H85" s="7">
        <v>58304504</v>
      </c>
      <c r="I85" s="37">
        <v>4051322000</v>
      </c>
      <c r="J85" s="37">
        <v>54399129000</v>
      </c>
    </row>
    <row r="86" spans="1:10" x14ac:dyDescent="0.2">
      <c r="A86" s="36">
        <v>46036</v>
      </c>
      <c r="B86" s="37">
        <v>25286.240000000002</v>
      </c>
      <c r="C86" s="38">
        <v>-134.419999999998</v>
      </c>
      <c r="D86" s="39">
        <v>-5.2878249423893098E-3</v>
      </c>
      <c r="E86" s="37">
        <v>25429.75</v>
      </c>
      <c r="F86" s="37">
        <v>25268.27</v>
      </c>
      <c r="G86" s="37">
        <v>25461.360000000001</v>
      </c>
      <c r="H86" s="7">
        <v>64450026</v>
      </c>
      <c r="I86" s="37">
        <v>4576444000</v>
      </c>
      <c r="J86" s="37">
        <v>50347807000</v>
      </c>
    </row>
    <row r="87" spans="1:10" x14ac:dyDescent="0.2">
      <c r="A87" s="36">
        <v>46035</v>
      </c>
      <c r="B87" s="37">
        <v>25420.66</v>
      </c>
      <c r="C87" s="38">
        <v>15.3199999999997</v>
      </c>
      <c r="D87" s="39">
        <v>6.0302282905876103E-4</v>
      </c>
      <c r="E87" s="37">
        <v>25408.37</v>
      </c>
      <c r="F87" s="37">
        <v>25338.3</v>
      </c>
      <c r="G87" s="37">
        <v>25507.79</v>
      </c>
      <c r="H87" s="7">
        <v>51667417</v>
      </c>
      <c r="I87" s="37">
        <v>3794893000</v>
      </c>
      <c r="J87" s="37">
        <v>54924251000</v>
      </c>
    </row>
    <row r="88" spans="1:10" x14ac:dyDescent="0.2">
      <c r="A88" s="36">
        <v>46034</v>
      </c>
      <c r="B88" s="37">
        <v>25405.34</v>
      </c>
      <c r="C88" s="38">
        <v>143.70000000000101</v>
      </c>
      <c r="D88" s="39">
        <v>5.6884667820458496E-3</v>
      </c>
      <c r="E88" s="37">
        <v>25248.37</v>
      </c>
      <c r="F88" s="37">
        <v>25236.880000000001</v>
      </c>
      <c r="G88" s="37">
        <v>25421.42</v>
      </c>
      <c r="H88" s="7">
        <v>47081706</v>
      </c>
      <c r="I88" s="37">
        <v>3482826000</v>
      </c>
      <c r="J88" s="37">
        <v>51129358000</v>
      </c>
    </row>
    <row r="89" spans="1:10" x14ac:dyDescent="0.2">
      <c r="A89" s="36">
        <v>46031</v>
      </c>
      <c r="B89" s="37">
        <v>25261.64</v>
      </c>
      <c r="C89" s="38">
        <v>134.18</v>
      </c>
      <c r="D89" s="39">
        <v>5.3399746731265397E-3</v>
      </c>
      <c r="E89" s="37">
        <v>25124.02</v>
      </c>
      <c r="F89" s="37">
        <v>25107.919999999998</v>
      </c>
      <c r="G89" s="37">
        <v>25281.18</v>
      </c>
      <c r="H89" s="7">
        <v>55242248</v>
      </c>
      <c r="I89" s="37">
        <v>4108380000</v>
      </c>
      <c r="J89" s="37">
        <v>47646532000</v>
      </c>
    </row>
    <row r="90" spans="1:10" x14ac:dyDescent="0.2">
      <c r="A90" s="36">
        <v>46030</v>
      </c>
      <c r="B90" s="37">
        <v>25127.46</v>
      </c>
      <c r="C90" s="38">
        <v>5.2000000000007303</v>
      </c>
      <c r="D90" s="39">
        <v>2.0698774712150599E-4</v>
      </c>
      <c r="E90" s="37">
        <v>25128.46</v>
      </c>
      <c r="F90" s="37">
        <v>25024.65</v>
      </c>
      <c r="G90" s="37">
        <v>25217.52</v>
      </c>
      <c r="H90" s="7">
        <v>57576597</v>
      </c>
      <c r="I90" s="37">
        <v>4270400000</v>
      </c>
      <c r="J90" s="37">
        <v>43538152000</v>
      </c>
    </row>
    <row r="91" spans="1:10" x14ac:dyDescent="0.2">
      <c r="A91" s="36">
        <v>46029</v>
      </c>
      <c r="B91" s="37">
        <v>25122.26</v>
      </c>
      <c r="C91" s="38">
        <v>230.05999999999801</v>
      </c>
      <c r="D91" s="39">
        <v>9.2422525931817098E-3</v>
      </c>
      <c r="E91" s="37">
        <v>24995</v>
      </c>
      <c r="F91" s="37">
        <v>24982.62</v>
      </c>
      <c r="G91" s="37">
        <v>25122.46</v>
      </c>
      <c r="H91" s="7">
        <v>57888263</v>
      </c>
      <c r="I91" s="37">
        <v>4504039000</v>
      </c>
      <c r="J91" s="37">
        <v>39267752000</v>
      </c>
    </row>
    <row r="92" spans="1:10" x14ac:dyDescent="0.2">
      <c r="A92" s="36">
        <v>46028</v>
      </c>
      <c r="B92" s="37">
        <v>24892.2</v>
      </c>
      <c r="C92" s="38">
        <v>23.510000000002002</v>
      </c>
      <c r="D92" s="39">
        <v>9.4536543742360503E-4</v>
      </c>
      <c r="E92" s="37">
        <v>24904.68</v>
      </c>
      <c r="F92" s="37">
        <v>24836.33</v>
      </c>
      <c r="G92" s="37">
        <v>24969.17</v>
      </c>
      <c r="H92" s="7">
        <v>57402580</v>
      </c>
      <c r="I92" s="37">
        <v>4133958000</v>
      </c>
      <c r="J92" s="37">
        <v>34763713000</v>
      </c>
    </row>
    <row r="93" spans="1:10" x14ac:dyDescent="0.2">
      <c r="A93" s="36">
        <v>46027</v>
      </c>
      <c r="B93" s="37">
        <v>24868.69</v>
      </c>
      <c r="C93" s="38">
        <v>329.349999999999</v>
      </c>
      <c r="D93" s="39">
        <v>1.3421306359502699E-2</v>
      </c>
      <c r="E93" s="37">
        <v>24681.35</v>
      </c>
      <c r="F93" s="37">
        <v>24639.68</v>
      </c>
      <c r="G93" s="37">
        <v>24872.92</v>
      </c>
      <c r="H93" s="7">
        <v>53503019</v>
      </c>
      <c r="I93" s="37">
        <v>3982579000</v>
      </c>
      <c r="J93" s="37">
        <v>30629755000</v>
      </c>
    </row>
    <row r="94" spans="1:10" x14ac:dyDescent="0.2">
      <c r="A94" s="36">
        <v>46024</v>
      </c>
      <c r="B94" s="37">
        <v>24539.34</v>
      </c>
      <c r="C94" s="38">
        <v>48.930000000000298</v>
      </c>
      <c r="D94" s="39">
        <v>1.99792490203309E-3</v>
      </c>
      <c r="E94" s="37">
        <v>24499.51</v>
      </c>
      <c r="F94" s="37">
        <v>24448.98</v>
      </c>
      <c r="G94" s="37">
        <v>24676.79</v>
      </c>
      <c r="H94" s="7">
        <v>48783508</v>
      </c>
      <c r="I94" s="37">
        <v>3440550000</v>
      </c>
      <c r="J94" s="37">
        <v>26647176000</v>
      </c>
    </row>
    <row r="95" spans="1:10" x14ac:dyDescent="0.2">
      <c r="A95" s="36">
        <v>46021</v>
      </c>
      <c r="B95" s="37">
        <v>24490.41</v>
      </c>
      <c r="C95" s="38">
        <v>139.29000000000099</v>
      </c>
      <c r="D95" s="39">
        <v>5.7200654425751604E-3</v>
      </c>
      <c r="E95" s="37">
        <v>24343.19</v>
      </c>
      <c r="F95" s="37">
        <v>24328.42</v>
      </c>
      <c r="G95" s="37">
        <v>24527.94</v>
      </c>
      <c r="H95" s="7">
        <v>23179269</v>
      </c>
      <c r="I95" s="37">
        <v>1568813000</v>
      </c>
      <c r="J95" s="37">
        <v>23206626000</v>
      </c>
    </row>
    <row r="96" spans="1:10" x14ac:dyDescent="0.2">
      <c r="A96" s="36">
        <v>46020</v>
      </c>
      <c r="B96" s="37">
        <v>24351.119999999999</v>
      </c>
      <c r="C96" s="38">
        <v>11.0599999999977</v>
      </c>
      <c r="D96" s="39">
        <v>4.5439493575601998E-4</v>
      </c>
      <c r="E96" s="37">
        <v>24370.94</v>
      </c>
      <c r="F96" s="37">
        <v>24253.73</v>
      </c>
      <c r="G96" s="37">
        <v>24389.15</v>
      </c>
      <c r="H96" s="7">
        <v>35363562</v>
      </c>
      <c r="I96" s="37">
        <v>2340720000</v>
      </c>
      <c r="J96" s="37">
        <v>21637813000</v>
      </c>
    </row>
    <row r="97" spans="1:10" x14ac:dyDescent="0.2">
      <c r="A97" s="36">
        <v>46014</v>
      </c>
      <c r="B97" s="37">
        <v>24340.06</v>
      </c>
      <c r="C97" s="38">
        <v>56.090000000000103</v>
      </c>
      <c r="D97" s="39">
        <v>2.3097541299878098E-3</v>
      </c>
      <c r="E97" s="37">
        <v>24297.62</v>
      </c>
      <c r="F97" s="37">
        <v>24257.47</v>
      </c>
      <c r="G97" s="37">
        <v>24362.01</v>
      </c>
      <c r="H97" s="7">
        <v>28277961</v>
      </c>
      <c r="I97" s="37">
        <v>1798041000</v>
      </c>
      <c r="J97" s="37">
        <v>19297093000</v>
      </c>
    </row>
    <row r="98" spans="1:10" x14ac:dyDescent="0.2">
      <c r="A98" s="36">
        <v>46013</v>
      </c>
      <c r="B98" s="37">
        <v>24283.97</v>
      </c>
      <c r="C98" s="38">
        <v>-4.4300000000002902</v>
      </c>
      <c r="D98" s="39">
        <v>-1.82391594341344E-4</v>
      </c>
      <c r="E98" s="37">
        <v>24291.85</v>
      </c>
      <c r="F98" s="37">
        <v>24203.37</v>
      </c>
      <c r="G98" s="37">
        <v>24356.11</v>
      </c>
      <c r="H98" s="7">
        <v>32248879</v>
      </c>
      <c r="I98" s="37">
        <v>2127722000</v>
      </c>
      <c r="J98" s="37">
        <v>17499052000</v>
      </c>
    </row>
    <row r="99" spans="1:10" x14ac:dyDescent="0.2">
      <c r="A99" s="36">
        <v>46010</v>
      </c>
      <c r="B99" s="37">
        <v>24288.400000000001</v>
      </c>
      <c r="C99" s="38">
        <v>88.900000000001498</v>
      </c>
      <c r="D99" s="39">
        <v>3.6736296204467598E-3</v>
      </c>
      <c r="E99" s="37">
        <v>24196.19</v>
      </c>
      <c r="F99" s="37">
        <v>24153.23</v>
      </c>
      <c r="G99" s="37">
        <v>24305.82</v>
      </c>
      <c r="H99" s="7">
        <v>131435246</v>
      </c>
      <c r="I99" s="37">
        <v>8575206000</v>
      </c>
      <c r="J99" s="37">
        <v>19626774000</v>
      </c>
    </row>
    <row r="100" spans="1:10" x14ac:dyDescent="0.2">
      <c r="A100" s="36">
        <v>46009</v>
      </c>
      <c r="B100" s="37">
        <v>24199.5</v>
      </c>
      <c r="C100" s="38">
        <v>238.91</v>
      </c>
      <c r="D100" s="39">
        <v>9.9709564747779492E-3</v>
      </c>
      <c r="E100" s="37">
        <v>23947.03</v>
      </c>
      <c r="F100" s="37">
        <v>23923.97</v>
      </c>
      <c r="G100" s="37">
        <v>24215.98</v>
      </c>
      <c r="H100" s="7">
        <v>51634461</v>
      </c>
      <c r="I100" s="37">
        <v>3523088000</v>
      </c>
      <c r="J100" s="37">
        <v>11051568000</v>
      </c>
    </row>
    <row r="101" spans="1:10" x14ac:dyDescent="0.2">
      <c r="A101" s="36">
        <v>46008</v>
      </c>
      <c r="B101" s="37">
        <v>23960.59</v>
      </c>
      <c r="C101" s="38">
        <v>-116.27999999999901</v>
      </c>
      <c r="D101" s="39">
        <v>-4.8295314133439604E-3</v>
      </c>
      <c r="E101" s="37">
        <v>24159.62</v>
      </c>
      <c r="F101" s="37">
        <v>23949.17</v>
      </c>
      <c r="G101" s="37">
        <v>24185.47</v>
      </c>
      <c r="H101" s="7">
        <v>52400884</v>
      </c>
      <c r="I101" s="37">
        <v>3341163000</v>
      </c>
      <c r="J101" s="37">
        <v>7528480000</v>
      </c>
    </row>
    <row r="102" spans="1:10" x14ac:dyDescent="0.2">
      <c r="A102" s="36">
        <v>46007</v>
      </c>
      <c r="B102" s="37">
        <v>24076.87</v>
      </c>
      <c r="C102" s="38">
        <v>-153.04000000000099</v>
      </c>
      <c r="D102" s="39">
        <v>-6.3161604809923296E-3</v>
      </c>
      <c r="E102" s="37">
        <v>24124.11</v>
      </c>
      <c r="F102" s="37">
        <v>24011.8</v>
      </c>
      <c r="G102" s="37">
        <v>24191.599999999999</v>
      </c>
      <c r="H102" s="7">
        <v>53272058</v>
      </c>
      <c r="I102" s="37">
        <v>3624463000</v>
      </c>
      <c r="J102" s="37">
        <v>10869643000</v>
      </c>
    </row>
    <row r="103" spans="1:10" x14ac:dyDescent="0.2">
      <c r="A103" s="36">
        <v>46006</v>
      </c>
      <c r="B103" s="37">
        <v>24229.91</v>
      </c>
      <c r="C103" s="38">
        <v>43.419999999998304</v>
      </c>
      <c r="D103" s="39">
        <v>1.79521708193286E-3</v>
      </c>
      <c r="E103" s="37">
        <v>24297.64</v>
      </c>
      <c r="F103" s="37">
        <v>24170.45</v>
      </c>
      <c r="G103" s="37">
        <v>24318.3</v>
      </c>
      <c r="H103" s="7">
        <v>47049788</v>
      </c>
      <c r="I103" s="37">
        <v>3014618000</v>
      </c>
      <c r="J103" s="37">
        <v>14494106000</v>
      </c>
    </row>
    <row r="104" spans="1:10" x14ac:dyDescent="0.2">
      <c r="A104" s="36">
        <v>46003</v>
      </c>
      <c r="B104" s="37">
        <v>24186.49</v>
      </c>
      <c r="C104" s="38">
        <v>-108.119999999999</v>
      </c>
      <c r="D104" s="39">
        <v>-4.4503698557004602E-3</v>
      </c>
      <c r="E104" s="37">
        <v>24368.94</v>
      </c>
      <c r="F104" s="37">
        <v>24173.279999999999</v>
      </c>
      <c r="G104" s="37">
        <v>24474.62</v>
      </c>
      <c r="H104" s="7">
        <v>45458537</v>
      </c>
      <c r="I104" s="37">
        <v>3057378000</v>
      </c>
      <c r="J104" s="37">
        <v>11479488000</v>
      </c>
    </row>
    <row r="105" spans="1:10" x14ac:dyDescent="0.2">
      <c r="A105" s="36">
        <v>46002</v>
      </c>
      <c r="B105" s="37">
        <v>24294.61</v>
      </c>
      <c r="C105" s="38">
        <v>164.47000000000099</v>
      </c>
      <c r="D105" s="39">
        <v>6.8159571390800497E-3</v>
      </c>
      <c r="E105" s="37">
        <v>24055.17</v>
      </c>
      <c r="F105" s="37">
        <v>24007.98</v>
      </c>
      <c r="G105" s="37">
        <v>24364.01</v>
      </c>
      <c r="H105" s="7">
        <v>52081425</v>
      </c>
      <c r="I105" s="37">
        <v>3645158000</v>
      </c>
      <c r="J105" s="37">
        <v>14536866000</v>
      </c>
    </row>
    <row r="106" spans="1:10" x14ac:dyDescent="0.2">
      <c r="A106" s="36">
        <v>46001</v>
      </c>
      <c r="B106" s="37">
        <v>24130.14</v>
      </c>
      <c r="C106" s="38">
        <v>-32.510000000002002</v>
      </c>
      <c r="D106" s="39">
        <v>-1.34546500487331E-3</v>
      </c>
      <c r="E106" s="37">
        <v>24131.39</v>
      </c>
      <c r="F106" s="37">
        <v>24001.43</v>
      </c>
      <c r="G106" s="37">
        <v>24168.720000000001</v>
      </c>
      <c r="H106" s="7">
        <v>47489520</v>
      </c>
      <c r="I106" s="37">
        <v>3477576000</v>
      </c>
      <c r="J106" s="37">
        <v>10891708000</v>
      </c>
    </row>
    <row r="107" spans="1:10" x14ac:dyDescent="0.2">
      <c r="A107" s="36">
        <v>46000</v>
      </c>
      <c r="B107" s="37">
        <v>24162.65</v>
      </c>
      <c r="C107" s="38">
        <v>116.640000000003</v>
      </c>
      <c r="D107" s="39">
        <v>4.8507008023369802E-3</v>
      </c>
      <c r="E107" s="37">
        <v>24094.99</v>
      </c>
      <c r="F107" s="37">
        <v>24092.5</v>
      </c>
      <c r="G107" s="37">
        <v>24186.92</v>
      </c>
      <c r="H107" s="7">
        <v>49094660</v>
      </c>
      <c r="I107" s="37">
        <v>3313322000</v>
      </c>
      <c r="J107" s="37">
        <v>14369284000</v>
      </c>
    </row>
    <row r="108" spans="1:10" x14ac:dyDescent="0.2">
      <c r="A108" s="36">
        <v>45999</v>
      </c>
      <c r="B108" s="37">
        <v>24046.01</v>
      </c>
      <c r="C108" s="38">
        <v>17.869999999998999</v>
      </c>
      <c r="D108" s="39">
        <v>7.4371133179675899E-4</v>
      </c>
      <c r="E108" s="37">
        <v>24015.97</v>
      </c>
      <c r="F108" s="37">
        <v>23985.279999999999</v>
      </c>
      <c r="G108" s="37">
        <v>24116.99</v>
      </c>
      <c r="H108" s="7">
        <v>46441398</v>
      </c>
      <c r="I108" s="37">
        <v>2935273000</v>
      </c>
      <c r="J108" s="37">
        <v>11055962000</v>
      </c>
    </row>
    <row r="109" spans="1:10" x14ac:dyDescent="0.2">
      <c r="A109" s="36">
        <v>45996</v>
      </c>
      <c r="B109" s="37">
        <v>24028.14</v>
      </c>
      <c r="C109" s="38">
        <v>146.11000000000101</v>
      </c>
      <c r="D109" s="39">
        <v>6.1179891324146503E-3</v>
      </c>
      <c r="E109" s="37">
        <v>23942.73</v>
      </c>
      <c r="F109" s="37">
        <v>23929.26</v>
      </c>
      <c r="G109" s="37">
        <v>24130.92</v>
      </c>
      <c r="H109" s="7">
        <v>46882140</v>
      </c>
      <c r="I109" s="37">
        <v>3238369000</v>
      </c>
      <c r="J109" s="37">
        <v>8120689000</v>
      </c>
    </row>
    <row r="110" spans="1:10" x14ac:dyDescent="0.2">
      <c r="A110" s="36">
        <v>45995</v>
      </c>
      <c r="B110" s="37">
        <v>23882.03</v>
      </c>
      <c r="C110" s="38">
        <v>188.32</v>
      </c>
      <c r="D110" s="39">
        <v>7.9481009938924593E-3</v>
      </c>
      <c r="E110" s="37">
        <v>23836.23</v>
      </c>
      <c r="F110" s="37">
        <v>23797.71</v>
      </c>
      <c r="G110" s="37">
        <v>23930.52</v>
      </c>
      <c r="H110" s="7">
        <v>52980812</v>
      </c>
      <c r="I110" s="37">
        <v>3648030000</v>
      </c>
      <c r="J110" s="37">
        <v>4882320000</v>
      </c>
    </row>
    <row r="111" spans="1:10" x14ac:dyDescent="0.2">
      <c r="A111" s="36">
        <v>45994</v>
      </c>
      <c r="B111" s="37">
        <v>23693.71</v>
      </c>
      <c r="C111" s="38">
        <v>-17.150000000001501</v>
      </c>
      <c r="D111" s="39">
        <v>-7.2329725703755403E-4</v>
      </c>
      <c r="E111" s="37">
        <v>23788.82</v>
      </c>
      <c r="F111" s="37">
        <v>23646.43</v>
      </c>
      <c r="G111" s="37">
        <v>23838.05</v>
      </c>
      <c r="H111" s="7">
        <v>51709661</v>
      </c>
      <c r="I111" s="37">
        <v>3367949000</v>
      </c>
      <c r="J111" s="37">
        <v>1234290000</v>
      </c>
    </row>
    <row r="112" spans="1:10" x14ac:dyDescent="0.2">
      <c r="A112" s="36">
        <v>45993</v>
      </c>
      <c r="B112" s="37">
        <v>23710.86</v>
      </c>
      <c r="C112" s="38">
        <v>121.42000000000201</v>
      </c>
      <c r="D112" s="39">
        <v>5.1472184163762202E-3</v>
      </c>
      <c r="E112" s="37">
        <v>23637.49</v>
      </c>
      <c r="F112" s="37">
        <v>23607.7</v>
      </c>
      <c r="G112" s="37">
        <v>23792.05</v>
      </c>
      <c r="H112" s="7">
        <v>50944639</v>
      </c>
      <c r="I112" s="37">
        <v>3228181000</v>
      </c>
      <c r="J112" s="37">
        <v>4602239000</v>
      </c>
    </row>
    <row r="113" spans="1:10" x14ac:dyDescent="0.2">
      <c r="A113" s="36">
        <v>45992</v>
      </c>
      <c r="B113" s="37">
        <v>23589.439999999999</v>
      </c>
      <c r="C113" s="38">
        <v>-247.35000000000201</v>
      </c>
      <c r="D113" s="39">
        <v>-1.0376816677077801E-2</v>
      </c>
      <c r="E113" s="37">
        <v>23731.29</v>
      </c>
      <c r="F113" s="37">
        <v>23433.48</v>
      </c>
      <c r="G113" s="37">
        <v>23734.2</v>
      </c>
      <c r="H113" s="7">
        <v>48987220</v>
      </c>
      <c r="I113" s="37">
        <v>3474466000</v>
      </c>
      <c r="J113" s="37">
        <v>1374058000</v>
      </c>
    </row>
    <row r="114" spans="1:10" x14ac:dyDescent="0.2">
      <c r="A114" s="36">
        <v>45989</v>
      </c>
      <c r="B114" s="37">
        <v>23836.79</v>
      </c>
      <c r="C114" s="38">
        <v>68.830000000001704</v>
      </c>
      <c r="D114" s="39">
        <v>2.8959153414934101E-3</v>
      </c>
      <c r="E114" s="37">
        <v>23780.75</v>
      </c>
      <c r="F114" s="37">
        <v>23720.560000000001</v>
      </c>
      <c r="G114" s="37">
        <v>23883.98</v>
      </c>
      <c r="H114" s="7">
        <v>37179105</v>
      </c>
      <c r="I114" s="37">
        <v>2551973000</v>
      </c>
      <c r="J114" s="37">
        <v>4848524000</v>
      </c>
    </row>
    <row r="115" spans="1:10" x14ac:dyDescent="0.2">
      <c r="A115" s="36">
        <v>45988</v>
      </c>
      <c r="B115" s="37">
        <v>23767.96</v>
      </c>
      <c r="C115" s="38">
        <v>41.739999999997998</v>
      </c>
      <c r="D115" s="39">
        <v>1.7592351415437401E-3</v>
      </c>
      <c r="E115" s="37">
        <v>23732.81</v>
      </c>
      <c r="F115" s="37">
        <v>23708.42</v>
      </c>
      <c r="G115" s="37">
        <v>23830.97</v>
      </c>
      <c r="H115" s="7">
        <v>31160024</v>
      </c>
      <c r="I115" s="37">
        <v>2112316000</v>
      </c>
      <c r="J115" s="37">
        <v>2296551000</v>
      </c>
    </row>
    <row r="116" spans="1:10" x14ac:dyDescent="0.2">
      <c r="A116" s="36">
        <v>45987</v>
      </c>
      <c r="B116" s="37">
        <v>23726.22</v>
      </c>
      <c r="C116" s="38">
        <v>261.58999999999997</v>
      </c>
      <c r="D116" s="39">
        <v>1.11482686920697E-2</v>
      </c>
      <c r="E116" s="37">
        <v>23585.26</v>
      </c>
      <c r="F116" s="37">
        <v>23445.279999999999</v>
      </c>
      <c r="G116" s="37">
        <v>23727.25</v>
      </c>
      <c r="H116" s="7">
        <v>45525255</v>
      </c>
      <c r="I116" s="37">
        <v>3024355000</v>
      </c>
      <c r="J116" s="37">
        <v>184235000</v>
      </c>
    </row>
    <row r="117" spans="1:10" x14ac:dyDescent="0.2">
      <c r="A117" s="36">
        <v>45986</v>
      </c>
      <c r="B117" s="37">
        <v>23464.63</v>
      </c>
      <c r="C117" s="38">
        <v>225.45000000000101</v>
      </c>
      <c r="D117" s="39">
        <v>9.7012889439300701E-3</v>
      </c>
      <c r="E117" s="37">
        <v>23254.46</v>
      </c>
      <c r="F117" s="37">
        <v>23139.27</v>
      </c>
      <c r="G117" s="37">
        <v>23487.23</v>
      </c>
      <c r="H117" s="7">
        <v>50045539</v>
      </c>
      <c r="I117" s="37">
        <v>3515926000</v>
      </c>
      <c r="J117" s="37">
        <v>-2840120000</v>
      </c>
    </row>
    <row r="118" spans="1:10" x14ac:dyDescent="0.2">
      <c r="A118" s="36">
        <v>45985</v>
      </c>
      <c r="B118" s="37">
        <v>23239.18</v>
      </c>
      <c r="C118" s="38">
        <v>147.310000000001</v>
      </c>
      <c r="D118" s="39">
        <v>6.3793014597778898E-3</v>
      </c>
      <c r="E118" s="37">
        <v>23280.32</v>
      </c>
      <c r="F118" s="37">
        <v>23149.7</v>
      </c>
      <c r="G118" s="37">
        <v>23392.22</v>
      </c>
      <c r="H118" s="7">
        <v>129335852</v>
      </c>
      <c r="I118" s="37">
        <v>8187674000</v>
      </c>
      <c r="J118" s="37">
        <v>-6356046000</v>
      </c>
    </row>
    <row r="119" spans="1:10" x14ac:dyDescent="0.2">
      <c r="A119" s="36">
        <v>45982</v>
      </c>
      <c r="B119" s="37">
        <v>23091.87</v>
      </c>
      <c r="C119" s="38">
        <v>-186.98</v>
      </c>
      <c r="D119" s="39">
        <v>-8.0321837204157202E-3</v>
      </c>
      <c r="E119" s="37">
        <v>22963.17</v>
      </c>
      <c r="F119" s="37">
        <v>22943.06</v>
      </c>
      <c r="G119" s="37">
        <v>23256.27</v>
      </c>
      <c r="H119" s="7">
        <v>68913242</v>
      </c>
      <c r="I119" s="37">
        <v>4950400000</v>
      </c>
      <c r="J119" s="37">
        <v>-14543720000</v>
      </c>
    </row>
    <row r="120" spans="1:10" x14ac:dyDescent="0.2">
      <c r="A120" s="36">
        <v>45981</v>
      </c>
      <c r="B120" s="37">
        <v>23278.85</v>
      </c>
      <c r="C120" s="38">
        <v>115.93</v>
      </c>
      <c r="D120" s="39">
        <v>5.0049821007023404E-3</v>
      </c>
      <c r="E120" s="37">
        <v>23387.42</v>
      </c>
      <c r="F120" s="37">
        <v>23277.09</v>
      </c>
      <c r="G120" s="37">
        <v>23512.49</v>
      </c>
      <c r="H120" s="7">
        <v>47727162</v>
      </c>
      <c r="I120" s="37">
        <v>3423213000</v>
      </c>
      <c r="J120" s="37">
        <v>-9593320000</v>
      </c>
    </row>
    <row r="121" spans="1:10" x14ac:dyDescent="0.2">
      <c r="A121" s="36">
        <v>45980</v>
      </c>
      <c r="B121" s="37">
        <v>23162.92</v>
      </c>
      <c r="C121" s="38">
        <v>-17.6100000000006</v>
      </c>
      <c r="D121" s="39">
        <v>-7.5968927371378398E-4</v>
      </c>
      <c r="E121" s="37">
        <v>23180.93</v>
      </c>
      <c r="F121" s="37">
        <v>23105.55</v>
      </c>
      <c r="G121" s="37">
        <v>23379.360000000001</v>
      </c>
      <c r="H121" s="7">
        <v>52349067</v>
      </c>
      <c r="I121" s="37">
        <v>4079626000</v>
      </c>
      <c r="J121" s="37">
        <v>-13016533000</v>
      </c>
    </row>
    <row r="122" spans="1:10" x14ac:dyDescent="0.2">
      <c r="A122" s="36">
        <v>45979</v>
      </c>
      <c r="B122" s="37">
        <v>23180.53</v>
      </c>
      <c r="C122" s="38">
        <v>-409.990000000002</v>
      </c>
      <c r="D122" s="39">
        <v>-1.73794388593385E-2</v>
      </c>
      <c r="E122" s="37">
        <v>23238.33</v>
      </c>
      <c r="F122" s="37">
        <v>23085.38</v>
      </c>
      <c r="G122" s="37">
        <v>23358.75</v>
      </c>
      <c r="H122" s="7">
        <v>61389371</v>
      </c>
      <c r="I122" s="37">
        <v>4134519000</v>
      </c>
      <c r="J122" s="37">
        <v>-8936907000</v>
      </c>
    </row>
    <row r="123" spans="1:10" x14ac:dyDescent="0.2">
      <c r="A123" s="36">
        <v>45978</v>
      </c>
      <c r="B123" s="37">
        <v>23590.52</v>
      </c>
      <c r="C123" s="38">
        <v>-286.02999999999901</v>
      </c>
      <c r="D123" s="39">
        <v>-1.19795364070604E-2</v>
      </c>
      <c r="E123" s="37">
        <v>23890.48</v>
      </c>
      <c r="F123" s="37">
        <v>23529.73</v>
      </c>
      <c r="G123" s="37">
        <v>23928.48</v>
      </c>
      <c r="H123" s="7">
        <v>46448254</v>
      </c>
      <c r="I123" s="37">
        <v>3092491000</v>
      </c>
      <c r="J123" s="37">
        <v>-4802388000</v>
      </c>
    </row>
    <row r="124" spans="1:10" x14ac:dyDescent="0.2">
      <c r="A124" s="36">
        <v>45975</v>
      </c>
      <c r="B124" s="37">
        <v>23876.55</v>
      </c>
      <c r="C124" s="38">
        <v>-165.07</v>
      </c>
      <c r="D124" s="39">
        <v>-6.8660098612323001E-3</v>
      </c>
      <c r="E124" s="37">
        <v>23977.72</v>
      </c>
      <c r="F124" s="37">
        <v>23609.06</v>
      </c>
      <c r="G124" s="37">
        <v>23992.12</v>
      </c>
      <c r="H124" s="7">
        <v>64035987</v>
      </c>
      <c r="I124" s="37">
        <v>4511439000</v>
      </c>
      <c r="J124" s="37">
        <v>-1709897000</v>
      </c>
    </row>
    <row r="125" spans="1:10" x14ac:dyDescent="0.2">
      <c r="A125" s="36">
        <v>45974</v>
      </c>
      <c r="B125" s="37">
        <v>24041.62</v>
      </c>
      <c r="C125" s="38">
        <v>-339.84</v>
      </c>
      <c r="D125" s="39">
        <v>-1.3938459796911299E-2</v>
      </c>
      <c r="E125" s="37">
        <v>24367.7</v>
      </c>
      <c r="F125" s="37">
        <v>24027.919999999998</v>
      </c>
      <c r="G125" s="37">
        <v>24416.33</v>
      </c>
      <c r="H125" s="7">
        <v>60792870</v>
      </c>
      <c r="I125" s="37">
        <v>3788013000</v>
      </c>
      <c r="J125" s="37">
        <v>2801542000</v>
      </c>
    </row>
    <row r="126" spans="1:10" x14ac:dyDescent="0.2">
      <c r="A126" s="36">
        <v>45973</v>
      </c>
      <c r="B126" s="37">
        <v>24381.46</v>
      </c>
      <c r="C126" s="38">
        <v>293.39999999999799</v>
      </c>
      <c r="D126" s="39">
        <v>1.2180308418361501E-2</v>
      </c>
      <c r="E126" s="37">
        <v>24245.89</v>
      </c>
      <c r="F126" s="37">
        <v>24234.94</v>
      </c>
      <c r="G126" s="37">
        <v>24441.279999999999</v>
      </c>
      <c r="H126" s="7">
        <v>75344609</v>
      </c>
      <c r="I126" s="37">
        <v>4031192000</v>
      </c>
      <c r="J126" s="37">
        <v>6589555000</v>
      </c>
    </row>
    <row r="127" spans="1:10" x14ac:dyDescent="0.2">
      <c r="A127" s="36">
        <v>45972</v>
      </c>
      <c r="B127" s="37">
        <v>24088.06</v>
      </c>
      <c r="C127" s="38">
        <v>128.07</v>
      </c>
      <c r="D127" s="39">
        <v>5.34516082853122E-3</v>
      </c>
      <c r="E127" s="37">
        <v>23990.14</v>
      </c>
      <c r="F127" s="37">
        <v>23952.41</v>
      </c>
      <c r="G127" s="37">
        <v>24108.43</v>
      </c>
      <c r="H127" s="7">
        <v>47222485</v>
      </c>
      <c r="I127" s="37">
        <v>3089200000</v>
      </c>
      <c r="J127" s="37">
        <v>2558363000</v>
      </c>
    </row>
    <row r="128" spans="1:10" x14ac:dyDescent="0.2">
      <c r="A128" s="36">
        <v>45971</v>
      </c>
      <c r="B128" s="37">
        <v>23959.99</v>
      </c>
      <c r="C128" s="38">
        <v>390.03000000000202</v>
      </c>
      <c r="D128" s="39">
        <v>1.6547758248211E-2</v>
      </c>
      <c r="E128" s="37">
        <v>23925.360000000001</v>
      </c>
      <c r="F128" s="37">
        <v>23854.49</v>
      </c>
      <c r="G128" s="37">
        <v>24022.69</v>
      </c>
      <c r="H128" s="7">
        <v>52658873</v>
      </c>
      <c r="I128" s="37">
        <v>3325130000</v>
      </c>
      <c r="J128" s="37">
        <v>-530837000</v>
      </c>
    </row>
    <row r="129" spans="1:10" x14ac:dyDescent="0.2">
      <c r="A129" s="36">
        <v>45968</v>
      </c>
      <c r="B129" s="37">
        <v>23569.96</v>
      </c>
      <c r="C129" s="38">
        <v>-164.060000000001</v>
      </c>
      <c r="D129" s="39">
        <v>-6.91244045467229E-3</v>
      </c>
      <c r="E129" s="37">
        <v>23801.97</v>
      </c>
      <c r="F129" s="37">
        <v>23452.89</v>
      </c>
      <c r="G129" s="37">
        <v>23837.119999999999</v>
      </c>
      <c r="H129" s="7">
        <v>53123255</v>
      </c>
      <c r="I129" s="37">
        <v>3449644000</v>
      </c>
      <c r="J129" s="37">
        <v>-3855967000</v>
      </c>
    </row>
    <row r="130" spans="1:10" x14ac:dyDescent="0.2">
      <c r="A130" s="36">
        <v>45967</v>
      </c>
      <c r="B130" s="37">
        <v>23734.02</v>
      </c>
      <c r="C130" s="38">
        <v>-315.72000000000099</v>
      </c>
      <c r="D130" s="39">
        <v>-1.3127792649733501E-2</v>
      </c>
      <c r="E130" s="37">
        <v>23996.240000000002</v>
      </c>
      <c r="F130" s="37">
        <v>23721.99</v>
      </c>
      <c r="G130" s="37">
        <v>24058.73</v>
      </c>
      <c r="H130" s="7">
        <v>58266991</v>
      </c>
      <c r="I130" s="37">
        <v>3872164000</v>
      </c>
      <c r="J130" s="37">
        <v>-406323000</v>
      </c>
    </row>
    <row r="131" spans="1:10" x14ac:dyDescent="0.2">
      <c r="A131" s="36">
        <v>45966</v>
      </c>
      <c r="B131" s="37">
        <v>24049.74</v>
      </c>
      <c r="C131" s="38">
        <v>100.630000000001</v>
      </c>
      <c r="D131" s="39">
        <v>4.2018262891606803E-3</v>
      </c>
      <c r="E131" s="37">
        <v>23774.55</v>
      </c>
      <c r="F131" s="37">
        <v>23732.38</v>
      </c>
      <c r="G131" s="37">
        <v>24103.53</v>
      </c>
      <c r="H131" s="7">
        <v>55196776</v>
      </c>
      <c r="I131" s="37">
        <v>3417128000</v>
      </c>
      <c r="J131" s="37">
        <v>3465841000</v>
      </c>
    </row>
    <row r="132" spans="1:10" x14ac:dyDescent="0.2">
      <c r="A132" s="36">
        <v>45965</v>
      </c>
      <c r="B132" s="37">
        <v>23949.11</v>
      </c>
      <c r="C132" s="38">
        <v>-183.29999999999899</v>
      </c>
      <c r="D132" s="39">
        <v>-7.5955944723299198E-3</v>
      </c>
      <c r="E132" s="37">
        <v>23801.24</v>
      </c>
      <c r="F132" s="37">
        <v>23674.65</v>
      </c>
      <c r="G132" s="37">
        <v>23974.31</v>
      </c>
      <c r="H132" s="7">
        <v>51570118</v>
      </c>
      <c r="I132" s="37">
        <v>3179748000</v>
      </c>
      <c r="J132" s="37">
        <v>48713000</v>
      </c>
    </row>
    <row r="133" spans="1:10" x14ac:dyDescent="0.2">
      <c r="A133" s="36">
        <v>45964</v>
      </c>
      <c r="B133" s="37">
        <v>24132.41</v>
      </c>
      <c r="C133" s="38">
        <v>174.11000000000101</v>
      </c>
      <c r="D133" s="39">
        <v>7.2672101109010501E-3</v>
      </c>
      <c r="E133" s="37">
        <v>23990.34</v>
      </c>
      <c r="F133" s="37">
        <v>23982.28</v>
      </c>
      <c r="G133" s="37">
        <v>24248.67</v>
      </c>
      <c r="H133" s="7">
        <v>48002517</v>
      </c>
      <c r="I133" s="37">
        <v>3123904000</v>
      </c>
      <c r="J133" s="37">
        <v>3228461000</v>
      </c>
    </row>
    <row r="134" spans="1:10" x14ac:dyDescent="0.2">
      <c r="A134" s="36">
        <v>45961</v>
      </c>
      <c r="B134" s="37">
        <v>23958.3</v>
      </c>
      <c r="C134" s="38">
        <v>-160.59</v>
      </c>
      <c r="D134" s="39">
        <v>-6.6582666117719399E-3</v>
      </c>
      <c r="E134" s="37">
        <v>24115.31</v>
      </c>
      <c r="F134" s="37">
        <v>23922.95</v>
      </c>
      <c r="G134" s="37">
        <v>24119.66</v>
      </c>
      <c r="H134" s="7">
        <v>42904351</v>
      </c>
      <c r="I134" s="37">
        <v>2821998000</v>
      </c>
      <c r="J134" s="37">
        <v>104557000</v>
      </c>
    </row>
    <row r="135" spans="1:10" x14ac:dyDescent="0.2">
      <c r="A135" s="36">
        <v>45960</v>
      </c>
      <c r="B135" s="37">
        <v>24118.89</v>
      </c>
      <c r="C135" s="38">
        <v>-5.3199999999997098</v>
      </c>
      <c r="D135" s="39">
        <v>-2.20525356063461E-4</v>
      </c>
      <c r="E135" s="37">
        <v>24187.82</v>
      </c>
      <c r="F135" s="37">
        <v>24034.75</v>
      </c>
      <c r="G135" s="37">
        <v>24215.3</v>
      </c>
      <c r="H135" s="7">
        <v>53909372</v>
      </c>
      <c r="I135" s="37">
        <v>3296124000</v>
      </c>
      <c r="J135" s="37">
        <v>2926555000</v>
      </c>
    </row>
    <row r="136" spans="1:10" x14ac:dyDescent="0.2">
      <c r="A136" s="36">
        <v>45959</v>
      </c>
      <c r="B136" s="37">
        <v>24124.21</v>
      </c>
      <c r="C136" s="38">
        <v>-154.42000000000201</v>
      </c>
      <c r="D136" s="39">
        <v>-6.3603259327236301E-3</v>
      </c>
      <c r="E136" s="37">
        <v>24261.09</v>
      </c>
      <c r="F136" s="37">
        <v>24090.58</v>
      </c>
      <c r="G136" s="37">
        <v>24322.9</v>
      </c>
      <c r="H136" s="7">
        <v>63568214</v>
      </c>
      <c r="I136" s="37">
        <v>3916038000</v>
      </c>
      <c r="J136" s="37">
        <v>6222679000</v>
      </c>
    </row>
    <row r="137" spans="1:10" x14ac:dyDescent="0.2">
      <c r="A137" s="36">
        <v>45958</v>
      </c>
      <c r="B137" s="37">
        <v>24278.63</v>
      </c>
      <c r="C137" s="38">
        <v>-30.149999999997799</v>
      </c>
      <c r="D137" s="39">
        <v>-1.2402926020967701E-3</v>
      </c>
      <c r="E137" s="37">
        <v>24228.18</v>
      </c>
      <c r="F137" s="37">
        <v>24188.37</v>
      </c>
      <c r="G137" s="37">
        <v>24339.94</v>
      </c>
      <c r="H137" s="7">
        <v>41976163</v>
      </c>
      <c r="I137" s="37">
        <v>2785611000</v>
      </c>
      <c r="J137" s="37">
        <v>10138717000</v>
      </c>
    </row>
    <row r="138" spans="1:10" x14ac:dyDescent="0.2">
      <c r="A138" s="36">
        <v>45957</v>
      </c>
      <c r="B138" s="37">
        <v>24308.78</v>
      </c>
      <c r="C138" s="38">
        <v>68.889999999999404</v>
      </c>
      <c r="D138" s="39">
        <v>2.84200959657818E-3</v>
      </c>
      <c r="E138" s="37">
        <v>24332.85</v>
      </c>
      <c r="F138" s="37">
        <v>24185.84</v>
      </c>
      <c r="G138" s="37">
        <v>24348.59</v>
      </c>
      <c r="H138" s="7">
        <v>43352745</v>
      </c>
      <c r="I138" s="37">
        <v>2716852000</v>
      </c>
      <c r="J138" s="37">
        <v>12924328000</v>
      </c>
    </row>
    <row r="139" spans="1:10" x14ac:dyDescent="0.2">
      <c r="A139" s="36">
        <v>45954</v>
      </c>
      <c r="B139" s="37">
        <v>24239.89</v>
      </c>
      <c r="C139" s="38">
        <v>32.099999999998502</v>
      </c>
      <c r="D139" s="39">
        <v>1.32601943423991E-3</v>
      </c>
      <c r="E139" s="37">
        <v>24275.99</v>
      </c>
      <c r="F139" s="37">
        <v>24145.26</v>
      </c>
      <c r="G139" s="37">
        <v>24275.99</v>
      </c>
      <c r="H139" s="7">
        <v>43268897</v>
      </c>
      <c r="I139" s="37">
        <v>2881856000</v>
      </c>
      <c r="J139" s="37">
        <v>10207476000</v>
      </c>
    </row>
    <row r="140" spans="1:10" x14ac:dyDescent="0.2">
      <c r="A140" s="36">
        <v>45953</v>
      </c>
      <c r="B140" s="37">
        <v>24207.79</v>
      </c>
      <c r="C140" s="38">
        <v>56.659999999999897</v>
      </c>
      <c r="D140" s="39">
        <v>2.3460599980207899E-3</v>
      </c>
      <c r="E140" s="37">
        <v>24202.78</v>
      </c>
      <c r="F140" s="37">
        <v>24035.21</v>
      </c>
      <c r="G140" s="37">
        <v>24222.84</v>
      </c>
      <c r="H140" s="7">
        <v>51148153</v>
      </c>
      <c r="I140" s="37">
        <v>3514431000</v>
      </c>
      <c r="J140" s="37">
        <v>7325620000</v>
      </c>
    </row>
    <row r="141" spans="1:10" x14ac:dyDescent="0.2">
      <c r="A141" s="36">
        <v>45952</v>
      </c>
      <c r="B141" s="37">
        <v>24151.13</v>
      </c>
      <c r="C141" s="38">
        <v>-178.89999999999799</v>
      </c>
      <c r="D141" s="39">
        <v>-7.3530529966464404E-3</v>
      </c>
      <c r="E141" s="37">
        <v>24296.16</v>
      </c>
      <c r="F141" s="37">
        <v>24138.25</v>
      </c>
      <c r="G141" s="37">
        <v>24342.18</v>
      </c>
      <c r="H141" s="7">
        <v>57734329</v>
      </c>
      <c r="I141" s="37">
        <v>3938258000</v>
      </c>
      <c r="J141" s="37">
        <v>3811189000</v>
      </c>
    </row>
    <row r="142" spans="1:10" x14ac:dyDescent="0.2">
      <c r="A142" s="36">
        <v>45951</v>
      </c>
      <c r="B142" s="37">
        <v>24330.03</v>
      </c>
      <c r="C142" s="38">
        <v>71.229999999999606</v>
      </c>
      <c r="D142" s="39">
        <v>2.9362540603821898E-3</v>
      </c>
      <c r="E142" s="37">
        <v>24310.44</v>
      </c>
      <c r="F142" s="37">
        <v>24201.29</v>
      </c>
      <c r="G142" s="37">
        <v>24384.240000000002</v>
      </c>
      <c r="H142" s="7">
        <v>42704192</v>
      </c>
      <c r="I142" s="37">
        <v>2969485000</v>
      </c>
      <c r="J142" s="37">
        <v>7749447000</v>
      </c>
    </row>
    <row r="143" spans="1:10" x14ac:dyDescent="0.2">
      <c r="A143" s="36">
        <v>45950</v>
      </c>
      <c r="B143" s="37">
        <v>24258.799999999999</v>
      </c>
      <c r="C143" s="38">
        <v>427.80999999999801</v>
      </c>
      <c r="D143" s="39">
        <v>1.7951834984614501E-2</v>
      </c>
      <c r="E143" s="37">
        <v>24035.19</v>
      </c>
      <c r="F143" s="37">
        <v>24026.59</v>
      </c>
      <c r="G143" s="37">
        <v>24296.39</v>
      </c>
      <c r="H143" s="7">
        <v>46610279</v>
      </c>
      <c r="I143" s="37">
        <v>3327417000</v>
      </c>
      <c r="J143" s="37">
        <v>4779962000</v>
      </c>
    </row>
    <row r="144" spans="1:10" x14ac:dyDescent="0.2">
      <c r="A144" s="36">
        <v>45947</v>
      </c>
      <c r="B144" s="37">
        <v>23830.99</v>
      </c>
      <c r="C144" s="38">
        <v>-441.19999999999698</v>
      </c>
      <c r="D144" s="39">
        <v>-1.81771813750633E-2</v>
      </c>
      <c r="E144" s="37">
        <v>23833.11</v>
      </c>
      <c r="F144" s="37">
        <v>23684.37</v>
      </c>
      <c r="G144" s="37">
        <v>23987.75</v>
      </c>
      <c r="H144" s="7">
        <v>69383408</v>
      </c>
      <c r="I144" s="37">
        <v>4651528000</v>
      </c>
      <c r="J144" s="37">
        <v>1452545000</v>
      </c>
    </row>
    <row r="145" spans="1:10" x14ac:dyDescent="0.2">
      <c r="A145" s="36">
        <v>45946</v>
      </c>
      <c r="B145" s="37">
        <v>24272.19</v>
      </c>
      <c r="C145" s="38">
        <v>90.819999999999695</v>
      </c>
      <c r="D145" s="39">
        <v>3.7557838947917198E-3</v>
      </c>
      <c r="E145" s="37">
        <v>24188.15</v>
      </c>
      <c r="F145" s="37">
        <v>24051.85</v>
      </c>
      <c r="G145" s="37">
        <v>24283.57</v>
      </c>
      <c r="H145" s="7">
        <v>45218299</v>
      </c>
      <c r="I145" s="37">
        <v>3509308000</v>
      </c>
      <c r="J145" s="37">
        <v>6104073000</v>
      </c>
    </row>
    <row r="146" spans="1:10" x14ac:dyDescent="0.2">
      <c r="A146" s="36">
        <v>45945</v>
      </c>
      <c r="B146" s="37">
        <v>24181.37</v>
      </c>
      <c r="C146" s="38">
        <v>-55.569999999999702</v>
      </c>
      <c r="D146" s="39">
        <v>-2.2927811844234299E-3</v>
      </c>
      <c r="E146" s="37">
        <v>24263.71</v>
      </c>
      <c r="F146" s="37">
        <v>24179.99</v>
      </c>
      <c r="G146" s="37">
        <v>24339.27</v>
      </c>
      <c r="H146" s="7">
        <v>43493522</v>
      </c>
      <c r="I146" s="37">
        <v>3092035000</v>
      </c>
      <c r="J146" s="37">
        <v>2594765000</v>
      </c>
    </row>
    <row r="147" spans="1:10" x14ac:dyDescent="0.2">
      <c r="A147" s="36">
        <v>45944</v>
      </c>
      <c r="B147" s="37">
        <v>24236.94</v>
      </c>
      <c r="C147" s="38">
        <v>-150.990000000002</v>
      </c>
      <c r="D147" s="39">
        <v>-6.1911773569959198E-3</v>
      </c>
      <c r="E147" s="37">
        <v>24169.03</v>
      </c>
      <c r="F147" s="37">
        <v>23986.93</v>
      </c>
      <c r="G147" s="37">
        <v>24242.85</v>
      </c>
      <c r="H147" s="7">
        <v>45092491</v>
      </c>
      <c r="I147" s="37">
        <v>3233491000</v>
      </c>
      <c r="J147" s="37">
        <v>5686800000</v>
      </c>
    </row>
    <row r="148" spans="1:10" x14ac:dyDescent="0.2">
      <c r="A148" s="36">
        <v>45943</v>
      </c>
      <c r="B148" s="37">
        <v>24387.93</v>
      </c>
      <c r="C148" s="38">
        <v>146.47000000000099</v>
      </c>
      <c r="D148" s="39">
        <v>6.0421278256343096E-3</v>
      </c>
      <c r="E148" s="37">
        <v>24372.9</v>
      </c>
      <c r="F148" s="37">
        <v>24260.77</v>
      </c>
      <c r="G148" s="37">
        <v>24448.77</v>
      </c>
      <c r="H148" s="7">
        <v>36838548</v>
      </c>
      <c r="I148" s="37">
        <v>2458048000</v>
      </c>
      <c r="J148" s="37">
        <v>8920291000</v>
      </c>
    </row>
    <row r="149" spans="1:10" x14ac:dyDescent="0.2">
      <c r="A149" s="36">
        <v>45940</v>
      </c>
      <c r="B149" s="37">
        <v>24241.46</v>
      </c>
      <c r="C149" s="38">
        <v>-369.79000000000099</v>
      </c>
      <c r="D149" s="39">
        <v>-1.5025242521204799E-2</v>
      </c>
      <c r="E149" s="37">
        <v>24664.23</v>
      </c>
      <c r="F149" s="37">
        <v>24241.46</v>
      </c>
      <c r="G149" s="37">
        <v>24690.720000000001</v>
      </c>
      <c r="H149" s="7">
        <v>50177547</v>
      </c>
      <c r="I149" s="37">
        <v>3424072000</v>
      </c>
      <c r="J149" s="37">
        <v>6462243000</v>
      </c>
    </row>
    <row r="150" spans="1:10" x14ac:dyDescent="0.2">
      <c r="A150" s="36">
        <v>45939</v>
      </c>
      <c r="B150" s="37">
        <v>24611.25</v>
      </c>
      <c r="C150" s="38">
        <v>14.119999999998999</v>
      </c>
      <c r="D150" s="39">
        <v>5.7405071242047298E-4</v>
      </c>
      <c r="E150" s="37">
        <v>24674.65</v>
      </c>
      <c r="F150" s="37">
        <v>24602.12</v>
      </c>
      <c r="G150" s="37">
        <v>24771.34</v>
      </c>
      <c r="H150" s="7">
        <v>41008517</v>
      </c>
      <c r="I150" s="37">
        <v>2885408000</v>
      </c>
      <c r="J150" s="37">
        <v>9886315000</v>
      </c>
    </row>
    <row r="151" spans="1:10" x14ac:dyDescent="0.2">
      <c r="A151" s="36">
        <v>45938</v>
      </c>
      <c r="B151" s="37">
        <v>24597.13</v>
      </c>
      <c r="C151" s="38">
        <v>211.35000000000201</v>
      </c>
      <c r="D151" s="39">
        <v>8.6669362226675598E-3</v>
      </c>
      <c r="E151" s="37">
        <v>24382.66</v>
      </c>
      <c r="F151" s="37">
        <v>24360.65</v>
      </c>
      <c r="G151" s="37">
        <v>24630.97</v>
      </c>
      <c r="H151" s="7">
        <v>56849944</v>
      </c>
      <c r="I151" s="37">
        <v>3927193000</v>
      </c>
      <c r="J151" s="37">
        <v>7000907000</v>
      </c>
    </row>
    <row r="152" spans="1:10" x14ac:dyDescent="0.2">
      <c r="A152" s="36">
        <v>45937</v>
      </c>
      <c r="B152" s="37">
        <v>24385.78</v>
      </c>
      <c r="C152" s="38">
        <v>7.4899999999979601</v>
      </c>
      <c r="D152" s="39">
        <v>3.0724058168140402E-4</v>
      </c>
      <c r="E152" s="37">
        <v>24400.77</v>
      </c>
      <c r="F152" s="37">
        <v>24308.04</v>
      </c>
      <c r="G152" s="37">
        <v>24452.93</v>
      </c>
      <c r="H152" s="7">
        <v>41564735</v>
      </c>
      <c r="I152" s="37">
        <v>3073714000</v>
      </c>
      <c r="J152" s="37">
        <v>3073714000</v>
      </c>
    </row>
    <row r="153" spans="1:10" x14ac:dyDescent="0.2">
      <c r="A153" s="36">
        <v>45936</v>
      </c>
      <c r="B153" s="37">
        <v>24378.29</v>
      </c>
      <c r="C153" s="38"/>
      <c r="D153" s="39"/>
      <c r="E153" s="37">
        <v>24357.59</v>
      </c>
      <c r="F153" s="37">
        <v>24269.94</v>
      </c>
      <c r="G153" s="37">
        <v>24482.9</v>
      </c>
      <c r="H153" s="7">
        <v>43413375</v>
      </c>
      <c r="I153" s="37">
        <v>3336326000</v>
      </c>
      <c r="J153" s="37">
        <v>0</v>
      </c>
    </row>
  </sheetData>
  <mergeCells count="5">
    <mergeCell ref="A21:C21"/>
    <mergeCell ref="D21:H21"/>
    <mergeCell ref="I21:J21"/>
    <mergeCell ref="K21:M21"/>
    <mergeCell ref="N21:P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4ECD-3A5D-954A-B5C3-04E5EB21037F}">
  <dimension ref="A1:P153"/>
  <sheetViews>
    <sheetView topLeftCell="A9" workbookViewId="0">
      <selection activeCell="B30" sqref="B30:B153"/>
    </sheetView>
  </sheetViews>
  <sheetFormatPr baseColWidth="10" defaultColWidth="9.1640625" defaultRowHeight="14" x14ac:dyDescent="0.2"/>
  <cols>
    <col min="1" max="1" width="20.6640625" style="2" customWidth="1"/>
    <col min="2" max="2" width="13.83203125" style="2" customWidth="1"/>
    <col min="3" max="3" width="11.6640625" style="2" customWidth="1"/>
    <col min="4" max="4" width="6.5" style="2" customWidth="1"/>
    <col min="5" max="5" width="13" style="2" customWidth="1"/>
    <col min="6" max="6" width="11.6640625" style="2" customWidth="1"/>
    <col min="7" max="7" width="9.83203125" style="2" customWidth="1"/>
    <col min="8" max="8" width="13.83203125" style="2" customWidth="1"/>
    <col min="9" max="9" width="13.6640625" style="2" customWidth="1"/>
    <col min="10" max="10" width="10.1640625" style="2" customWidth="1"/>
    <col min="11" max="11" width="6.33203125" style="2" customWidth="1"/>
    <col min="12" max="12" width="7.5" style="2" customWidth="1"/>
    <col min="13" max="13" width="11.5" style="2" customWidth="1"/>
    <col min="14" max="14" width="5.1640625" style="2" customWidth="1"/>
    <col min="15" max="15" width="8.6640625" style="2" customWidth="1"/>
    <col min="16" max="16" width="12" style="2" customWidth="1"/>
    <col min="17" max="16384" width="9.1640625" style="2"/>
  </cols>
  <sheetData>
    <row r="1" spans="1:5" x14ac:dyDescent="0.2">
      <c r="A1" s="1" t="s">
        <v>46</v>
      </c>
    </row>
    <row r="4" spans="1:5" x14ac:dyDescent="0.2">
      <c r="A4" s="2" t="s">
        <v>47</v>
      </c>
    </row>
    <row r="5" spans="1:5" x14ac:dyDescent="0.2">
      <c r="A5" s="2" t="s">
        <v>4</v>
      </c>
    </row>
    <row r="6" spans="1:5" x14ac:dyDescent="0.2">
      <c r="A6" s="2" t="s">
        <v>5</v>
      </c>
    </row>
    <row r="9" spans="1:5" x14ac:dyDescent="0.2">
      <c r="A9" s="1" t="s">
        <v>6</v>
      </c>
      <c r="B9" s="3">
        <v>60666125222</v>
      </c>
    </row>
    <row r="10" spans="1:5" x14ac:dyDescent="0.2">
      <c r="A10" s="4" t="s">
        <v>0</v>
      </c>
      <c r="B10" s="5" t="s">
        <v>7</v>
      </c>
      <c r="C10" s="5" t="s">
        <v>8</v>
      </c>
      <c r="D10" s="5" t="s">
        <v>9</v>
      </c>
      <c r="E10" s="5" t="s">
        <v>10</v>
      </c>
    </row>
    <row r="11" spans="1:5" x14ac:dyDescent="0.2">
      <c r="A11" s="6" t="s">
        <v>48</v>
      </c>
      <c r="B11" s="7">
        <v>2060795279</v>
      </c>
      <c r="C11" s="8">
        <v>3.3969456124958997E-2</v>
      </c>
      <c r="D11" s="6">
        <v>3</v>
      </c>
      <c r="E11" s="8">
        <v>2.4390243902439001E-2</v>
      </c>
    </row>
    <row r="12" spans="1:5" x14ac:dyDescent="0.2">
      <c r="A12" s="6" t="s">
        <v>49</v>
      </c>
      <c r="B12" s="7">
        <v>5565456723</v>
      </c>
      <c r="C12" s="8">
        <v>9.1739116395417E-2</v>
      </c>
      <c r="D12" s="6">
        <v>12</v>
      </c>
      <c r="E12" s="8">
        <v>9.7560975609756101E-2</v>
      </c>
    </row>
    <row r="13" spans="1:5" x14ac:dyDescent="0.2">
      <c r="A13" s="6" t="s">
        <v>50</v>
      </c>
      <c r="B13" s="7">
        <v>13857053295</v>
      </c>
      <c r="C13" s="8">
        <v>0.228415004984938</v>
      </c>
      <c r="D13" s="6">
        <v>27</v>
      </c>
      <c r="E13" s="8">
        <v>0.219512195121951</v>
      </c>
    </row>
    <row r="14" spans="1:5" x14ac:dyDescent="0.2">
      <c r="A14" s="6" t="s">
        <v>51</v>
      </c>
      <c r="B14" s="7">
        <v>14480525897</v>
      </c>
      <c r="C14" s="8">
        <v>0.23869211761935299</v>
      </c>
      <c r="D14" s="6">
        <v>27</v>
      </c>
      <c r="E14" s="8">
        <v>0.219512195121951</v>
      </c>
    </row>
    <row r="15" spans="1:5" x14ac:dyDescent="0.2">
      <c r="A15" s="6" t="s">
        <v>52</v>
      </c>
      <c r="B15" s="7">
        <v>14438526590</v>
      </c>
      <c r="C15" s="8">
        <v>0.23799981517138299</v>
      </c>
      <c r="D15" s="6">
        <v>33</v>
      </c>
      <c r="E15" s="8">
        <v>0.26829268292682901</v>
      </c>
    </row>
    <row r="16" spans="1:5" x14ac:dyDescent="0.2">
      <c r="A16" s="6" t="s">
        <v>53</v>
      </c>
      <c r="B16" s="7">
        <v>9163929093</v>
      </c>
      <c r="C16" s="8">
        <v>0.15105512441194799</v>
      </c>
      <c r="D16" s="6">
        <v>19</v>
      </c>
      <c r="E16" s="8">
        <v>0.154471544715447</v>
      </c>
    </row>
    <row r="17" spans="1:16" x14ac:dyDescent="0.2">
      <c r="A17" s="6" t="s">
        <v>54</v>
      </c>
      <c r="B17" s="7">
        <v>1099838345</v>
      </c>
      <c r="C17" s="8">
        <v>1.8129365292002399E-2</v>
      </c>
      <c r="D17" s="6">
        <v>2</v>
      </c>
      <c r="E17" s="8">
        <v>1.6260162601626001E-2</v>
      </c>
    </row>
    <row r="20" spans="1:16" x14ac:dyDescent="0.2">
      <c r="A20" s="1" t="s">
        <v>55</v>
      </c>
    </row>
    <row r="21" spans="1:16" x14ac:dyDescent="0.2">
      <c r="A21" s="112" t="s">
        <v>0</v>
      </c>
      <c r="B21" s="113"/>
      <c r="C21" s="114"/>
      <c r="D21" s="112" t="s">
        <v>7</v>
      </c>
      <c r="E21" s="113"/>
      <c r="F21" s="113"/>
      <c r="G21" s="113"/>
      <c r="H21" s="114"/>
      <c r="I21" s="112" t="s">
        <v>19</v>
      </c>
      <c r="J21" s="114"/>
      <c r="K21" s="112" t="s">
        <v>20</v>
      </c>
      <c r="L21" s="113"/>
      <c r="M21" s="113"/>
      <c r="N21" s="112" t="s">
        <v>21</v>
      </c>
      <c r="O21" s="113"/>
      <c r="P21" s="114"/>
    </row>
    <row r="22" spans="1:16" x14ac:dyDescent="0.2">
      <c r="A22" s="9" t="s">
        <v>22</v>
      </c>
      <c r="B22" s="40">
        <v>47650.97</v>
      </c>
      <c r="C22" s="11">
        <v>46080</v>
      </c>
      <c r="D22" s="9" t="s">
        <v>23</v>
      </c>
      <c r="E22" s="12">
        <v>1355524001</v>
      </c>
      <c r="F22" s="13">
        <v>46013</v>
      </c>
      <c r="G22" s="14" t="s">
        <v>24</v>
      </c>
      <c r="H22" s="15">
        <v>30162806379</v>
      </c>
      <c r="I22" s="9" t="s">
        <v>25</v>
      </c>
      <c r="J22" s="16">
        <v>65</v>
      </c>
      <c r="K22" s="9" t="s">
        <v>25</v>
      </c>
      <c r="L22" s="41">
        <v>3.1714041910903899E-2</v>
      </c>
      <c r="M22" s="11">
        <v>46113</v>
      </c>
      <c r="N22" s="9" t="s">
        <v>23</v>
      </c>
      <c r="O22" s="40">
        <v>8050.3</v>
      </c>
      <c r="P22" s="11">
        <v>46101</v>
      </c>
    </row>
    <row r="23" spans="1:16" x14ac:dyDescent="0.2">
      <c r="A23" s="18" t="s">
        <v>26</v>
      </c>
      <c r="B23" s="42">
        <v>41360.080000000002</v>
      </c>
      <c r="C23" s="20">
        <v>45947</v>
      </c>
      <c r="D23" s="18" t="s">
        <v>27</v>
      </c>
      <c r="E23" s="21">
        <v>3439908</v>
      </c>
      <c r="F23" s="22">
        <v>46083</v>
      </c>
      <c r="G23" s="23" t="s">
        <v>28</v>
      </c>
      <c r="H23" s="24">
        <v>30026429078</v>
      </c>
      <c r="I23" s="18" t="s">
        <v>29</v>
      </c>
      <c r="J23" s="25">
        <v>58</v>
      </c>
      <c r="K23" s="18" t="s">
        <v>29</v>
      </c>
      <c r="L23" s="43">
        <v>-3.91513470065082E-2</v>
      </c>
      <c r="M23" s="20">
        <v>46084</v>
      </c>
      <c r="N23" s="18" t="s">
        <v>27</v>
      </c>
      <c r="O23" s="42">
        <v>6.45</v>
      </c>
      <c r="P23" s="20">
        <v>46083</v>
      </c>
    </row>
    <row r="24" spans="1:16" x14ac:dyDescent="0.2">
      <c r="A24" s="18" t="s">
        <v>30</v>
      </c>
      <c r="B24" s="42">
        <v>44357.162499999999</v>
      </c>
      <c r="C24" s="25"/>
      <c r="D24" s="27" t="s">
        <v>31</v>
      </c>
      <c r="E24" s="28">
        <v>489242945.33871001</v>
      </c>
      <c r="F24" s="29"/>
      <c r="G24" s="29" t="s">
        <v>32</v>
      </c>
      <c r="H24" s="30">
        <v>60666125222</v>
      </c>
      <c r="I24" s="27" t="s">
        <v>33</v>
      </c>
      <c r="J24" s="31">
        <v>0</v>
      </c>
      <c r="K24" s="27" t="s">
        <v>34</v>
      </c>
      <c r="L24" s="44">
        <v>5.7451502602898698E-2</v>
      </c>
      <c r="M24" s="33" t="s">
        <v>35</v>
      </c>
      <c r="N24" s="27" t="s">
        <v>31</v>
      </c>
      <c r="O24" s="45">
        <v>3374.3931451612898</v>
      </c>
      <c r="P24" s="31"/>
    </row>
    <row r="25" spans="1:16" x14ac:dyDescent="0.2">
      <c r="A25" s="27" t="s">
        <v>36</v>
      </c>
      <c r="B25" s="45">
        <v>44505.525000000001</v>
      </c>
      <c r="C25" s="31"/>
    </row>
    <row r="28" spans="1:16" x14ac:dyDescent="0.2">
      <c r="A28" s="1" t="s">
        <v>56</v>
      </c>
    </row>
    <row r="29" spans="1:16" x14ac:dyDescent="0.2">
      <c r="A29" s="35" t="s">
        <v>38</v>
      </c>
      <c r="B29" s="35" t="s">
        <v>39</v>
      </c>
      <c r="C29" s="35" t="s">
        <v>40</v>
      </c>
      <c r="D29" s="35" t="s">
        <v>41</v>
      </c>
      <c r="E29" s="35" t="s">
        <v>42</v>
      </c>
      <c r="F29" s="35" t="s">
        <v>26</v>
      </c>
      <c r="G29" s="35" t="s">
        <v>22</v>
      </c>
      <c r="H29" s="35" t="s">
        <v>7</v>
      </c>
      <c r="I29" s="35" t="s">
        <v>43</v>
      </c>
      <c r="J29" s="5" t="s">
        <v>44</v>
      </c>
    </row>
    <row r="30" spans="1:16" x14ac:dyDescent="0.2">
      <c r="A30" s="36">
        <v>46114</v>
      </c>
      <c r="B30" s="46">
        <v>45624.94</v>
      </c>
      <c r="C30" s="47">
        <v>-90.009999999994804</v>
      </c>
      <c r="D30" s="48">
        <v>-1.9689401388384899E-3</v>
      </c>
      <c r="E30" s="46">
        <v>45002.32</v>
      </c>
      <c r="F30" s="46">
        <v>44779.18</v>
      </c>
      <c r="G30" s="46">
        <v>45703.39</v>
      </c>
      <c r="H30" s="7">
        <v>466721039</v>
      </c>
      <c r="I30" s="46">
        <v>3636.04</v>
      </c>
      <c r="J30" s="46">
        <v>1018.5599999999901</v>
      </c>
    </row>
    <row r="31" spans="1:16" x14ac:dyDescent="0.2">
      <c r="A31" s="36">
        <v>46113</v>
      </c>
      <c r="B31" s="46">
        <v>45714.95</v>
      </c>
      <c r="C31" s="47">
        <v>1405.24</v>
      </c>
      <c r="D31" s="48">
        <v>3.1714041910903899E-2</v>
      </c>
      <c r="E31" s="46">
        <v>45230.11</v>
      </c>
      <c r="F31" s="46">
        <v>45075.77</v>
      </c>
      <c r="G31" s="46">
        <v>45914.68</v>
      </c>
      <c r="H31" s="7">
        <v>562736724</v>
      </c>
      <c r="I31" s="46">
        <v>4776.95</v>
      </c>
      <c r="J31" s="46">
        <v>4654.5999999999904</v>
      </c>
    </row>
    <row r="32" spans="1:16" x14ac:dyDescent="0.2">
      <c r="A32" s="36">
        <v>46112</v>
      </c>
      <c r="B32" s="46">
        <v>44309.71</v>
      </c>
      <c r="C32" s="47">
        <v>486.47000000000099</v>
      </c>
      <c r="D32" s="48">
        <v>1.1100731027646501E-2</v>
      </c>
      <c r="E32" s="46">
        <v>43821.26</v>
      </c>
      <c r="F32" s="46">
        <v>43644.959999999999</v>
      </c>
      <c r="G32" s="46">
        <v>44435.8</v>
      </c>
      <c r="H32" s="7">
        <v>484656106</v>
      </c>
      <c r="I32" s="46">
        <v>3787.9</v>
      </c>
      <c r="J32" s="46">
        <v>-122.350000000009</v>
      </c>
    </row>
    <row r="33" spans="1:10" x14ac:dyDescent="0.2">
      <c r="A33" s="36">
        <v>46111</v>
      </c>
      <c r="B33" s="46">
        <v>43823.24</v>
      </c>
      <c r="C33" s="47">
        <v>444.13999999999902</v>
      </c>
      <c r="D33" s="48">
        <v>1.02385711091286E-2</v>
      </c>
      <c r="E33" s="46">
        <v>43268.480000000003</v>
      </c>
      <c r="F33" s="46">
        <v>43188.06</v>
      </c>
      <c r="G33" s="46">
        <v>43883.88</v>
      </c>
      <c r="H33" s="7">
        <v>386381271</v>
      </c>
      <c r="I33" s="46">
        <v>3178.84</v>
      </c>
      <c r="J33" s="46">
        <v>-3910.25000000001</v>
      </c>
    </row>
    <row r="34" spans="1:10" x14ac:dyDescent="0.2">
      <c r="A34" s="36">
        <v>46108</v>
      </c>
      <c r="B34" s="46">
        <v>43379.1</v>
      </c>
      <c r="C34" s="47">
        <v>-322.73999999999802</v>
      </c>
      <c r="D34" s="48">
        <v>-7.3850437418652897E-3</v>
      </c>
      <c r="E34" s="46">
        <v>43779.89</v>
      </c>
      <c r="F34" s="46">
        <v>43002.59</v>
      </c>
      <c r="G34" s="46">
        <v>43881.48</v>
      </c>
      <c r="H34" s="7">
        <v>438571545</v>
      </c>
      <c r="I34" s="46">
        <v>3158.86</v>
      </c>
      <c r="J34" s="46">
        <v>-7089.0900000000101</v>
      </c>
    </row>
    <row r="35" spans="1:10" x14ac:dyDescent="0.2">
      <c r="A35" s="36">
        <v>46107</v>
      </c>
      <c r="B35" s="46">
        <v>43701.84</v>
      </c>
      <c r="C35" s="47">
        <v>-311.45000000000402</v>
      </c>
      <c r="D35" s="48">
        <v>-7.07627173519645E-3</v>
      </c>
      <c r="E35" s="46">
        <v>43737.54</v>
      </c>
      <c r="F35" s="46">
        <v>43383.06</v>
      </c>
      <c r="G35" s="46">
        <v>43916.12</v>
      </c>
      <c r="H35" s="7">
        <v>463388117</v>
      </c>
      <c r="I35" s="46">
        <v>3340.55</v>
      </c>
      <c r="J35" s="46">
        <v>-3930.23000000001</v>
      </c>
    </row>
    <row r="36" spans="1:10" x14ac:dyDescent="0.2">
      <c r="A36" s="36">
        <v>46106</v>
      </c>
      <c r="B36" s="46">
        <v>44013.29</v>
      </c>
      <c r="C36" s="47">
        <v>643.76000000000204</v>
      </c>
      <c r="D36" s="48">
        <v>1.48436010258816E-2</v>
      </c>
      <c r="E36" s="46">
        <v>43895.98</v>
      </c>
      <c r="F36" s="46">
        <v>43749.08</v>
      </c>
      <c r="G36" s="46">
        <v>44240.97</v>
      </c>
      <c r="H36" s="7">
        <v>556325115</v>
      </c>
      <c r="I36" s="46">
        <v>3552.75</v>
      </c>
      <c r="J36" s="46">
        <v>-589.68000000000904</v>
      </c>
    </row>
    <row r="37" spans="1:10" x14ac:dyDescent="0.2">
      <c r="A37" s="36">
        <v>46105</v>
      </c>
      <c r="B37" s="46">
        <v>43369.53</v>
      </c>
      <c r="C37" s="47">
        <v>179.72999999999601</v>
      </c>
      <c r="D37" s="48">
        <v>4.16139921926001E-3</v>
      </c>
      <c r="E37" s="46">
        <v>43246.79</v>
      </c>
      <c r="F37" s="46">
        <v>42785.81</v>
      </c>
      <c r="G37" s="46">
        <v>43453.54</v>
      </c>
      <c r="H37" s="7">
        <v>523838700</v>
      </c>
      <c r="I37" s="46">
        <v>3345.28</v>
      </c>
      <c r="J37" s="46">
        <v>-4142.4300000000103</v>
      </c>
    </row>
    <row r="38" spans="1:10" x14ac:dyDescent="0.2">
      <c r="A38" s="36">
        <v>46104</v>
      </c>
      <c r="B38" s="46">
        <v>43189.8</v>
      </c>
      <c r="C38" s="47">
        <v>348.900000000001</v>
      </c>
      <c r="D38" s="48">
        <v>8.1440866088247806E-3</v>
      </c>
      <c r="E38" s="46">
        <v>41929.199999999997</v>
      </c>
      <c r="F38" s="46">
        <v>41616.11</v>
      </c>
      <c r="G38" s="46">
        <v>44008.39</v>
      </c>
      <c r="H38" s="7">
        <v>902890615</v>
      </c>
      <c r="I38" s="46">
        <v>5566.46</v>
      </c>
      <c r="J38" s="46">
        <v>-7487.71000000001</v>
      </c>
    </row>
    <row r="39" spans="1:10" x14ac:dyDescent="0.2">
      <c r="A39" s="36">
        <v>46101</v>
      </c>
      <c r="B39" s="46">
        <v>42840.9</v>
      </c>
      <c r="C39" s="47">
        <v>-860.47999999999604</v>
      </c>
      <c r="D39" s="48">
        <v>-1.96899960596209E-2</v>
      </c>
      <c r="E39" s="46">
        <v>44077.96</v>
      </c>
      <c r="F39" s="46">
        <v>42784.94</v>
      </c>
      <c r="G39" s="46">
        <v>44382.92</v>
      </c>
      <c r="H39" s="7">
        <v>1011796289</v>
      </c>
      <c r="I39" s="46">
        <v>8050.3</v>
      </c>
      <c r="J39" s="46">
        <v>-13054.17</v>
      </c>
    </row>
    <row r="40" spans="1:10" x14ac:dyDescent="0.2">
      <c r="A40" s="36">
        <v>46100</v>
      </c>
      <c r="B40" s="46">
        <v>43701.38</v>
      </c>
      <c r="C40" s="47">
        <v>-1039.96</v>
      </c>
      <c r="D40" s="48">
        <v>-2.3243827744095301E-2</v>
      </c>
      <c r="E40" s="46">
        <v>44217.34</v>
      </c>
      <c r="F40" s="46">
        <v>43426.64</v>
      </c>
      <c r="G40" s="46">
        <v>44253.13</v>
      </c>
      <c r="H40" s="7">
        <v>556411205</v>
      </c>
      <c r="I40" s="46">
        <v>4361.97</v>
      </c>
      <c r="J40" s="46">
        <v>-5003.8700000000099</v>
      </c>
    </row>
    <row r="41" spans="1:10" x14ac:dyDescent="0.2">
      <c r="A41" s="36">
        <v>46099</v>
      </c>
      <c r="B41" s="46">
        <v>44741.34</v>
      </c>
      <c r="C41" s="47">
        <v>-146.200000000004</v>
      </c>
      <c r="D41" s="48">
        <v>-3.2570285651654001E-3</v>
      </c>
      <c r="E41" s="46">
        <v>45131.95</v>
      </c>
      <c r="F41" s="46">
        <v>44517.440000000002</v>
      </c>
      <c r="G41" s="46">
        <v>45402.26</v>
      </c>
      <c r="H41" s="7">
        <v>430048930</v>
      </c>
      <c r="I41" s="46">
        <v>3385.27</v>
      </c>
      <c r="J41" s="46">
        <v>-641.90000000000998</v>
      </c>
    </row>
    <row r="42" spans="1:10" x14ac:dyDescent="0.2">
      <c r="A42" s="36">
        <v>46098</v>
      </c>
      <c r="B42" s="46">
        <v>44887.54</v>
      </c>
      <c r="C42" s="47">
        <v>539.98000000000297</v>
      </c>
      <c r="D42" s="48">
        <v>1.21760926643992E-2</v>
      </c>
      <c r="E42" s="46">
        <v>44211.4</v>
      </c>
      <c r="F42" s="46">
        <v>44203.65</v>
      </c>
      <c r="G42" s="46">
        <v>45128.61</v>
      </c>
      <c r="H42" s="7">
        <v>419828567</v>
      </c>
      <c r="I42" s="46">
        <v>2981.38</v>
      </c>
      <c r="J42" s="46">
        <v>2743.3699999999899</v>
      </c>
    </row>
    <row r="43" spans="1:10" x14ac:dyDescent="0.2">
      <c r="A43" s="36">
        <v>46097</v>
      </c>
      <c r="B43" s="46">
        <v>44347.56</v>
      </c>
      <c r="C43" s="47">
        <v>30.6399999999994</v>
      </c>
      <c r="D43" s="48">
        <v>6.9138378750146503E-4</v>
      </c>
      <c r="E43" s="46">
        <v>44287.96</v>
      </c>
      <c r="F43" s="46">
        <v>43828.65</v>
      </c>
      <c r="G43" s="46">
        <v>44594.01</v>
      </c>
      <c r="H43" s="7">
        <v>357938142</v>
      </c>
      <c r="I43" s="46">
        <v>2806.89</v>
      </c>
      <c r="J43" s="46">
        <v>-238.01000000001</v>
      </c>
    </row>
    <row r="44" spans="1:10" x14ac:dyDescent="0.2">
      <c r="A44" s="36">
        <v>46094</v>
      </c>
      <c r="B44" s="46">
        <v>44316.92</v>
      </c>
      <c r="C44" s="47">
        <v>-139.26000000000201</v>
      </c>
      <c r="D44" s="48">
        <v>-3.13252285733957E-3</v>
      </c>
      <c r="E44" s="46">
        <v>44141.71</v>
      </c>
      <c r="F44" s="46">
        <v>43833.29</v>
      </c>
      <c r="G44" s="46">
        <v>44899.86</v>
      </c>
      <c r="H44" s="7">
        <v>452004511</v>
      </c>
      <c r="I44" s="46">
        <v>3292</v>
      </c>
      <c r="J44" s="46">
        <v>-3044.9000000000101</v>
      </c>
    </row>
    <row r="45" spans="1:10" x14ac:dyDescent="0.2">
      <c r="A45" s="36">
        <v>46093</v>
      </c>
      <c r="B45" s="46">
        <v>44456.18</v>
      </c>
      <c r="C45" s="47">
        <v>-316.77999999999901</v>
      </c>
      <c r="D45" s="48">
        <v>-7.0752525631541602E-3</v>
      </c>
      <c r="E45" s="46">
        <v>44609.14</v>
      </c>
      <c r="F45" s="46">
        <v>43987.66</v>
      </c>
      <c r="G45" s="46">
        <v>44836.480000000003</v>
      </c>
      <c r="H45" s="7">
        <v>487981929</v>
      </c>
      <c r="I45" s="46">
        <v>4037.38</v>
      </c>
      <c r="J45" s="46">
        <v>247.09999999998999</v>
      </c>
    </row>
    <row r="46" spans="1:10" x14ac:dyDescent="0.2">
      <c r="A46" s="36">
        <v>46092</v>
      </c>
      <c r="B46" s="46">
        <v>44772.959999999999</v>
      </c>
      <c r="C46" s="47">
        <v>-428.73000000000297</v>
      </c>
      <c r="D46" s="48">
        <v>-9.4848223595180407E-3</v>
      </c>
      <c r="E46" s="46">
        <v>44812.160000000003</v>
      </c>
      <c r="F46" s="46">
        <v>44594.62</v>
      </c>
      <c r="G46" s="46">
        <v>45121.83</v>
      </c>
      <c r="H46" s="7">
        <v>437249808</v>
      </c>
      <c r="I46" s="46">
        <v>3599.06</v>
      </c>
      <c r="J46" s="46">
        <v>4284.4799999999896</v>
      </c>
    </row>
    <row r="47" spans="1:10" x14ac:dyDescent="0.2">
      <c r="A47" s="36">
        <v>46091</v>
      </c>
      <c r="B47" s="46">
        <v>45201.69</v>
      </c>
      <c r="C47" s="47">
        <v>1176.73</v>
      </c>
      <c r="D47" s="48">
        <v>2.6728701173152802E-2</v>
      </c>
      <c r="E47" s="46">
        <v>45038.84</v>
      </c>
      <c r="F47" s="46">
        <v>44797.2</v>
      </c>
      <c r="G47" s="46">
        <v>45406.55</v>
      </c>
      <c r="H47" s="7">
        <v>513134677</v>
      </c>
      <c r="I47" s="46">
        <v>4034.45</v>
      </c>
      <c r="J47" s="46">
        <v>7883.53999999999</v>
      </c>
    </row>
    <row r="48" spans="1:10" x14ac:dyDescent="0.2">
      <c r="A48" s="36">
        <v>46090</v>
      </c>
      <c r="B48" s="46">
        <v>44024.959999999999</v>
      </c>
      <c r="C48" s="47">
        <v>-127.300000000003</v>
      </c>
      <c r="D48" s="48">
        <v>-2.88320461965034E-3</v>
      </c>
      <c r="E48" s="46">
        <v>42883.68</v>
      </c>
      <c r="F48" s="46">
        <v>42862.1</v>
      </c>
      <c r="G48" s="46">
        <v>44052.75</v>
      </c>
      <c r="H48" s="7">
        <v>593485320</v>
      </c>
      <c r="I48" s="46">
        <v>4533.32</v>
      </c>
      <c r="J48" s="46">
        <v>3849.0899999999901</v>
      </c>
    </row>
    <row r="49" spans="1:10" x14ac:dyDescent="0.2">
      <c r="A49" s="36">
        <v>46087</v>
      </c>
      <c r="B49" s="46">
        <v>44152.26</v>
      </c>
      <c r="C49" s="47">
        <v>-456.29000000000099</v>
      </c>
      <c r="D49" s="48">
        <v>-1.0228756594868001E-2</v>
      </c>
      <c r="E49" s="46">
        <v>44858.21</v>
      </c>
      <c r="F49" s="46">
        <v>43670.52</v>
      </c>
      <c r="G49" s="46">
        <v>45054.1</v>
      </c>
      <c r="H49" s="7">
        <v>695214327</v>
      </c>
      <c r="I49" s="46">
        <v>4410.1499999999996</v>
      </c>
      <c r="J49" s="46">
        <v>8382.4099999999908</v>
      </c>
    </row>
    <row r="50" spans="1:10" x14ac:dyDescent="0.2">
      <c r="A50" s="36">
        <v>46086</v>
      </c>
      <c r="B50" s="46">
        <v>44608.55</v>
      </c>
      <c r="C50" s="47">
        <v>-728.32999999999402</v>
      </c>
      <c r="D50" s="48">
        <v>-1.6064846103216499E-2</v>
      </c>
      <c r="E50" s="46">
        <v>45226.42</v>
      </c>
      <c r="F50" s="46">
        <v>44545.120000000003</v>
      </c>
      <c r="G50" s="46">
        <v>45656.95</v>
      </c>
      <c r="H50" s="7">
        <v>622376973</v>
      </c>
      <c r="I50" s="46">
        <v>4612.03</v>
      </c>
      <c r="J50" s="46">
        <v>12792.56</v>
      </c>
    </row>
    <row r="51" spans="1:10" x14ac:dyDescent="0.2">
      <c r="A51" s="36">
        <v>46085</v>
      </c>
      <c r="B51" s="46">
        <v>45336.88</v>
      </c>
      <c r="C51" s="47">
        <v>868.41999999999803</v>
      </c>
      <c r="D51" s="48">
        <v>1.95288975602033E-2</v>
      </c>
      <c r="E51" s="46">
        <v>44446.2</v>
      </c>
      <c r="F51" s="46">
        <v>44327.5</v>
      </c>
      <c r="G51" s="46">
        <v>45517.33</v>
      </c>
      <c r="H51" s="7">
        <v>573520357</v>
      </c>
      <c r="I51" s="46">
        <v>4650.6499999999996</v>
      </c>
      <c r="J51" s="46">
        <v>17404.59</v>
      </c>
    </row>
    <row r="52" spans="1:10" x14ac:dyDescent="0.2">
      <c r="A52" s="36">
        <v>46084</v>
      </c>
      <c r="B52" s="46">
        <v>44468.46</v>
      </c>
      <c r="C52" s="47">
        <v>-1811.94</v>
      </c>
      <c r="D52" s="48">
        <v>-3.91513470065082E-2</v>
      </c>
      <c r="E52" s="46">
        <v>45593.36</v>
      </c>
      <c r="F52" s="46">
        <v>44036.05</v>
      </c>
      <c r="G52" s="46">
        <v>45648.41</v>
      </c>
      <c r="H52" s="7">
        <v>863152470</v>
      </c>
      <c r="I52" s="46">
        <v>5932.5</v>
      </c>
      <c r="J52" s="46">
        <v>12753.94</v>
      </c>
    </row>
    <row r="53" spans="1:10" x14ac:dyDescent="0.2">
      <c r="A53" s="36">
        <v>46083</v>
      </c>
      <c r="B53" s="46">
        <v>46280.4</v>
      </c>
      <c r="C53" s="47">
        <v>-929.48999999999796</v>
      </c>
      <c r="D53" s="48">
        <v>-1.9688459346124301E-2</v>
      </c>
      <c r="E53" s="46">
        <v>46325.09</v>
      </c>
      <c r="F53" s="46">
        <v>45970.35</v>
      </c>
      <c r="G53" s="46">
        <v>46519.12</v>
      </c>
      <c r="H53" s="7">
        <v>3439908</v>
      </c>
      <c r="I53" s="46">
        <v>6.45</v>
      </c>
      <c r="J53" s="46">
        <v>18686.439999999999</v>
      </c>
    </row>
    <row r="54" spans="1:10" x14ac:dyDescent="0.2">
      <c r="A54" s="36">
        <v>46080</v>
      </c>
      <c r="B54" s="46">
        <v>47209.89</v>
      </c>
      <c r="C54" s="47">
        <v>-216.050000000003</v>
      </c>
      <c r="D54" s="48">
        <v>-4.5555238335814301E-3</v>
      </c>
      <c r="E54" s="46">
        <v>47449.35</v>
      </c>
      <c r="F54" s="46">
        <v>47115.74</v>
      </c>
      <c r="G54" s="46">
        <v>47650.97</v>
      </c>
      <c r="H54" s="7">
        <v>847276010</v>
      </c>
      <c r="I54" s="46">
        <v>6314.81</v>
      </c>
      <c r="J54" s="46">
        <v>18692.89</v>
      </c>
    </row>
    <row r="55" spans="1:10" x14ac:dyDescent="0.2">
      <c r="A55" s="36">
        <v>46079</v>
      </c>
      <c r="B55" s="46">
        <v>47425.94</v>
      </c>
      <c r="C55" s="47">
        <v>255.5</v>
      </c>
      <c r="D55" s="48">
        <v>5.4165278085173702E-3</v>
      </c>
      <c r="E55" s="46">
        <v>47095.13</v>
      </c>
      <c r="F55" s="46">
        <v>47055.03</v>
      </c>
      <c r="G55" s="46">
        <v>47453.87</v>
      </c>
      <c r="H55" s="7">
        <v>570961802</v>
      </c>
      <c r="I55" s="46">
        <v>3793.52</v>
      </c>
      <c r="J55" s="46">
        <v>25007.7</v>
      </c>
    </row>
    <row r="56" spans="1:10" x14ac:dyDescent="0.2">
      <c r="A56" s="36">
        <v>46078</v>
      </c>
      <c r="B56" s="46">
        <v>47170.44</v>
      </c>
      <c r="C56" s="47">
        <v>518.72000000000105</v>
      </c>
      <c r="D56" s="48">
        <v>1.11189898250268E-2</v>
      </c>
      <c r="E56" s="46">
        <v>46903.360000000001</v>
      </c>
      <c r="F56" s="46">
        <v>46859.33</v>
      </c>
      <c r="G56" s="46">
        <v>47171.41</v>
      </c>
      <c r="H56" s="7">
        <v>642557467</v>
      </c>
      <c r="I56" s="46">
        <v>3359.49</v>
      </c>
      <c r="J56" s="46">
        <v>21214.18</v>
      </c>
    </row>
    <row r="57" spans="1:10" x14ac:dyDescent="0.2">
      <c r="A57" s="36">
        <v>46077</v>
      </c>
      <c r="B57" s="46">
        <v>46651.72</v>
      </c>
      <c r="C57" s="47">
        <v>-47.569999999999702</v>
      </c>
      <c r="D57" s="48">
        <v>-1.0186450372157601E-3</v>
      </c>
      <c r="E57" s="46">
        <v>46579.64</v>
      </c>
      <c r="F57" s="46">
        <v>46383.22</v>
      </c>
      <c r="G57" s="46">
        <v>46742.61</v>
      </c>
      <c r="H57" s="7">
        <v>461577334</v>
      </c>
      <c r="I57" s="46">
        <v>3395.5</v>
      </c>
      <c r="J57" s="46">
        <v>17854.689999999999</v>
      </c>
    </row>
    <row r="58" spans="1:10" x14ac:dyDescent="0.2">
      <c r="A58" s="36">
        <v>46076</v>
      </c>
      <c r="B58" s="46">
        <v>46699.29</v>
      </c>
      <c r="C58" s="47">
        <v>226.30999999999801</v>
      </c>
      <c r="D58" s="48">
        <v>4.8697113892846502E-3</v>
      </c>
      <c r="E58" s="46">
        <v>46638.69</v>
      </c>
      <c r="F58" s="46">
        <v>46457.48</v>
      </c>
      <c r="G58" s="46">
        <v>47103.98</v>
      </c>
      <c r="H58" s="7">
        <v>421082212</v>
      </c>
      <c r="I58" s="46">
        <v>3368.36</v>
      </c>
      <c r="J58" s="46">
        <v>21250.19</v>
      </c>
    </row>
    <row r="59" spans="1:10" x14ac:dyDescent="0.2">
      <c r="A59" s="36">
        <v>46073</v>
      </c>
      <c r="B59" s="46">
        <v>46472.98</v>
      </c>
      <c r="C59" s="47">
        <v>678.76000000000204</v>
      </c>
      <c r="D59" s="48">
        <v>1.4821957880274E-2</v>
      </c>
      <c r="E59" s="46">
        <v>45900.1</v>
      </c>
      <c r="F59" s="46">
        <v>45803.22</v>
      </c>
      <c r="G59" s="46">
        <v>46713.45</v>
      </c>
      <c r="H59" s="7">
        <v>542772476</v>
      </c>
      <c r="I59" s="46">
        <v>4126.4799999999996</v>
      </c>
      <c r="J59" s="46">
        <v>17881.830000000002</v>
      </c>
    </row>
    <row r="60" spans="1:10" x14ac:dyDescent="0.2">
      <c r="A60" s="36">
        <v>46072</v>
      </c>
      <c r="B60" s="46">
        <v>45794.22</v>
      </c>
      <c r="C60" s="47">
        <v>-566.869999999995</v>
      </c>
      <c r="D60" s="48">
        <v>-1.2227279384500999E-2</v>
      </c>
      <c r="E60" s="46">
        <v>46254.74</v>
      </c>
      <c r="F60" s="46">
        <v>45563.03</v>
      </c>
      <c r="G60" s="46">
        <v>46282.17</v>
      </c>
      <c r="H60" s="7">
        <v>527050756</v>
      </c>
      <c r="I60" s="46">
        <v>4384.82</v>
      </c>
      <c r="J60" s="46">
        <v>13755.35</v>
      </c>
    </row>
    <row r="61" spans="1:10" x14ac:dyDescent="0.2">
      <c r="A61" s="36">
        <v>46071</v>
      </c>
      <c r="B61" s="46">
        <v>46361.09</v>
      </c>
      <c r="C61" s="47">
        <v>597.01999999999703</v>
      </c>
      <c r="D61" s="48">
        <v>1.3045605428013699E-2</v>
      </c>
      <c r="E61" s="46">
        <v>45952.34</v>
      </c>
      <c r="F61" s="46">
        <v>45952.34</v>
      </c>
      <c r="G61" s="46">
        <v>46418.74</v>
      </c>
      <c r="H61" s="7">
        <v>495799616</v>
      </c>
      <c r="I61" s="46">
        <v>3447.11</v>
      </c>
      <c r="J61" s="46">
        <v>18140.169999999998</v>
      </c>
    </row>
    <row r="62" spans="1:10" x14ac:dyDescent="0.2">
      <c r="A62" s="36">
        <v>46070</v>
      </c>
      <c r="B62" s="46">
        <v>45764.07</v>
      </c>
      <c r="C62" s="47">
        <v>344.87000000000302</v>
      </c>
      <c r="D62" s="48">
        <v>7.5930443512876198E-3</v>
      </c>
      <c r="E62" s="46">
        <v>45295.41</v>
      </c>
      <c r="F62" s="46">
        <v>45293.56</v>
      </c>
      <c r="G62" s="46">
        <v>45799.31</v>
      </c>
      <c r="H62" s="7">
        <v>451311388</v>
      </c>
      <c r="I62" s="46">
        <v>2828.74</v>
      </c>
      <c r="J62" s="46">
        <v>14693.06</v>
      </c>
    </row>
    <row r="63" spans="1:10" x14ac:dyDescent="0.2">
      <c r="A63" s="36">
        <v>46069</v>
      </c>
      <c r="B63" s="46">
        <v>45419.199999999997</v>
      </c>
      <c r="C63" s="47">
        <v>-11.4200000000055</v>
      </c>
      <c r="D63" s="48">
        <v>-2.5137231233044003E-4</v>
      </c>
      <c r="E63" s="46">
        <v>45487.99</v>
      </c>
      <c r="F63" s="46">
        <v>45409.88</v>
      </c>
      <c r="G63" s="46">
        <v>45759.02</v>
      </c>
      <c r="H63" s="7">
        <v>372549311</v>
      </c>
      <c r="I63" s="46">
        <v>2714.79</v>
      </c>
      <c r="J63" s="46">
        <v>11864.32</v>
      </c>
    </row>
    <row r="64" spans="1:10" x14ac:dyDescent="0.2">
      <c r="A64" s="36">
        <v>46066</v>
      </c>
      <c r="B64" s="46">
        <v>45430.62</v>
      </c>
      <c r="C64" s="47">
        <v>-792.32999999999402</v>
      </c>
      <c r="D64" s="48">
        <v>-1.7141484911715799E-2</v>
      </c>
      <c r="E64" s="46">
        <v>46218.14</v>
      </c>
      <c r="F64" s="46">
        <v>45114.84</v>
      </c>
      <c r="G64" s="46">
        <v>46229.08</v>
      </c>
      <c r="H64" s="7">
        <v>627641727</v>
      </c>
      <c r="I64" s="46">
        <v>4460.33</v>
      </c>
      <c r="J64" s="46">
        <v>14579.11</v>
      </c>
    </row>
    <row r="65" spans="1:10" x14ac:dyDescent="0.2">
      <c r="A65" s="36">
        <v>46065</v>
      </c>
      <c r="B65" s="46">
        <v>46222.95</v>
      </c>
      <c r="C65" s="47">
        <v>-287.880000000005</v>
      </c>
      <c r="D65" s="48">
        <v>-6.1895261813217396E-3</v>
      </c>
      <c r="E65" s="46">
        <v>46713.22</v>
      </c>
      <c r="F65" s="46">
        <v>46117.32</v>
      </c>
      <c r="G65" s="46">
        <v>46947.73</v>
      </c>
      <c r="H65" s="7">
        <v>589110950</v>
      </c>
      <c r="I65" s="46">
        <v>4042.79</v>
      </c>
      <c r="J65" s="46">
        <v>19039.439999999999</v>
      </c>
    </row>
    <row r="66" spans="1:10" x14ac:dyDescent="0.2">
      <c r="A66" s="36">
        <v>46064</v>
      </c>
      <c r="B66" s="46">
        <v>46510.83</v>
      </c>
      <c r="C66" s="47">
        <v>-292.15999999999599</v>
      </c>
      <c r="D66" s="48">
        <v>-6.2423362268093597E-3</v>
      </c>
      <c r="E66" s="46">
        <v>46854.11</v>
      </c>
      <c r="F66" s="46">
        <v>46225.99</v>
      </c>
      <c r="G66" s="46">
        <v>46858.22</v>
      </c>
      <c r="H66" s="7">
        <v>590830022</v>
      </c>
      <c r="I66" s="46">
        <v>4778</v>
      </c>
      <c r="J66" s="46">
        <v>23082.23</v>
      </c>
    </row>
    <row r="67" spans="1:10" x14ac:dyDescent="0.2">
      <c r="A67" s="36">
        <v>46063</v>
      </c>
      <c r="B67" s="46">
        <v>46802.99</v>
      </c>
      <c r="C67" s="47">
        <v>-19.819999999999698</v>
      </c>
      <c r="D67" s="48">
        <v>-4.23297960972434E-4</v>
      </c>
      <c r="E67" s="46">
        <v>46906.09</v>
      </c>
      <c r="F67" s="46">
        <v>46633.42</v>
      </c>
      <c r="G67" s="46">
        <v>46997.16</v>
      </c>
      <c r="H67" s="7">
        <v>486345001</v>
      </c>
      <c r="I67" s="46">
        <v>4364.8500000000004</v>
      </c>
      <c r="J67" s="46">
        <v>27860.23</v>
      </c>
    </row>
    <row r="68" spans="1:10" x14ac:dyDescent="0.2">
      <c r="A68" s="36">
        <v>46062</v>
      </c>
      <c r="B68" s="46">
        <v>46822.81</v>
      </c>
      <c r="C68" s="47">
        <v>945.61000000000104</v>
      </c>
      <c r="D68" s="48">
        <v>2.0611763577550499E-2</v>
      </c>
      <c r="E68" s="46">
        <v>46152.62</v>
      </c>
      <c r="F68" s="46">
        <v>46145.7</v>
      </c>
      <c r="G68" s="46">
        <v>46839.02</v>
      </c>
      <c r="H68" s="7">
        <v>496345640</v>
      </c>
      <c r="I68" s="46">
        <v>4229.62</v>
      </c>
      <c r="J68" s="46">
        <v>32225.08</v>
      </c>
    </row>
    <row r="69" spans="1:10" x14ac:dyDescent="0.2">
      <c r="A69" s="36">
        <v>46059</v>
      </c>
      <c r="B69" s="46">
        <v>45877.2</v>
      </c>
      <c r="C69" s="47">
        <v>57.629999999997402</v>
      </c>
      <c r="D69" s="48">
        <v>1.25775951192902E-3</v>
      </c>
      <c r="E69" s="46">
        <v>45723.9</v>
      </c>
      <c r="F69" s="46">
        <v>45420.24</v>
      </c>
      <c r="G69" s="46">
        <v>45970.15</v>
      </c>
      <c r="H69" s="7">
        <v>699928799</v>
      </c>
      <c r="I69" s="46">
        <v>4564.16</v>
      </c>
      <c r="J69" s="46">
        <v>27995.46</v>
      </c>
    </row>
    <row r="70" spans="1:10" x14ac:dyDescent="0.2">
      <c r="A70" s="36">
        <v>46058</v>
      </c>
      <c r="B70" s="46">
        <v>45819.57</v>
      </c>
      <c r="C70" s="47">
        <v>-816.86000000000104</v>
      </c>
      <c r="D70" s="48">
        <v>-1.7515491644621999E-2</v>
      </c>
      <c r="E70" s="46">
        <v>46640.08</v>
      </c>
      <c r="F70" s="46">
        <v>45587.43</v>
      </c>
      <c r="G70" s="46">
        <v>46776.38</v>
      </c>
      <c r="H70" s="7">
        <v>516523411</v>
      </c>
      <c r="I70" s="46">
        <v>4027.29</v>
      </c>
      <c r="J70" s="46">
        <v>23431.3</v>
      </c>
    </row>
    <row r="71" spans="1:10" x14ac:dyDescent="0.2">
      <c r="A71" s="36">
        <v>46057</v>
      </c>
      <c r="B71" s="46">
        <v>46636.43</v>
      </c>
      <c r="C71" s="47">
        <v>215.91000000000301</v>
      </c>
      <c r="D71" s="48">
        <v>4.6511758162123898E-3</v>
      </c>
      <c r="E71" s="46">
        <v>46557.38</v>
      </c>
      <c r="F71" s="46">
        <v>46493.64</v>
      </c>
      <c r="G71" s="46">
        <v>47093.98</v>
      </c>
      <c r="H71" s="7">
        <v>610488795</v>
      </c>
      <c r="I71" s="46">
        <v>4270.2299999999996</v>
      </c>
      <c r="J71" s="46">
        <v>27458.59</v>
      </c>
    </row>
    <row r="72" spans="1:10" x14ac:dyDescent="0.2">
      <c r="A72" s="36">
        <v>46056</v>
      </c>
      <c r="B72" s="46">
        <v>46420.52</v>
      </c>
      <c r="C72" s="47">
        <v>415.30999999999801</v>
      </c>
      <c r="D72" s="48">
        <v>9.0274558033752606E-3</v>
      </c>
      <c r="E72" s="46">
        <v>46275.02</v>
      </c>
      <c r="F72" s="46">
        <v>46214.19</v>
      </c>
      <c r="G72" s="46">
        <v>46528.480000000003</v>
      </c>
      <c r="H72" s="7">
        <v>443852762</v>
      </c>
      <c r="I72" s="46">
        <v>3435.77</v>
      </c>
      <c r="J72" s="46">
        <v>23188.36</v>
      </c>
    </row>
    <row r="73" spans="1:10" x14ac:dyDescent="0.2">
      <c r="A73" s="36">
        <v>46055</v>
      </c>
      <c r="B73" s="46">
        <v>46005.21</v>
      </c>
      <c r="C73" s="47">
        <v>477.79000000000099</v>
      </c>
      <c r="D73" s="48">
        <v>1.04945547101066E-2</v>
      </c>
      <c r="E73" s="46">
        <v>45188.43</v>
      </c>
      <c r="F73" s="46">
        <v>45104.47</v>
      </c>
      <c r="G73" s="46">
        <v>46105.3</v>
      </c>
      <c r="H73" s="7">
        <v>423812007</v>
      </c>
      <c r="I73" s="46">
        <v>3245.68</v>
      </c>
      <c r="J73" s="46">
        <v>19752.59</v>
      </c>
    </row>
    <row r="74" spans="1:10" x14ac:dyDescent="0.2">
      <c r="A74" s="36">
        <v>46052</v>
      </c>
      <c r="B74" s="46">
        <v>45527.42</v>
      </c>
      <c r="C74" s="47">
        <v>451.82</v>
      </c>
      <c r="D74" s="48">
        <v>1.0023604788399899E-2</v>
      </c>
      <c r="E74" s="46">
        <v>45140.93</v>
      </c>
      <c r="F74" s="46">
        <v>45138.54</v>
      </c>
      <c r="G74" s="46">
        <v>45583.54</v>
      </c>
      <c r="H74" s="7">
        <v>365409675</v>
      </c>
      <c r="I74" s="46">
        <v>2726.5</v>
      </c>
      <c r="J74" s="46">
        <v>16506.91</v>
      </c>
    </row>
    <row r="75" spans="1:10" x14ac:dyDescent="0.2">
      <c r="A75" s="36">
        <v>46051</v>
      </c>
      <c r="B75" s="46">
        <v>45075.6</v>
      </c>
      <c r="C75" s="47">
        <v>-63.130000000004699</v>
      </c>
      <c r="D75" s="48">
        <v>-1.3985772306842599E-3</v>
      </c>
      <c r="E75" s="46">
        <v>45374.76</v>
      </c>
      <c r="F75" s="46">
        <v>44985.18</v>
      </c>
      <c r="G75" s="46">
        <v>45578.19</v>
      </c>
      <c r="H75" s="7">
        <v>516137271</v>
      </c>
      <c r="I75" s="46">
        <v>3318.89</v>
      </c>
      <c r="J75" s="46">
        <v>13780.41</v>
      </c>
    </row>
    <row r="76" spans="1:10" x14ac:dyDescent="0.2">
      <c r="A76" s="36">
        <v>46050</v>
      </c>
      <c r="B76" s="46">
        <v>45138.73</v>
      </c>
      <c r="C76" s="47">
        <v>-301.70999999999901</v>
      </c>
      <c r="D76" s="48">
        <v>-6.6396804256296602E-3</v>
      </c>
      <c r="E76" s="46">
        <v>45452.43</v>
      </c>
      <c r="F76" s="46">
        <v>44904.05</v>
      </c>
      <c r="G76" s="46">
        <v>45473.06</v>
      </c>
      <c r="H76" s="7">
        <v>403647537</v>
      </c>
      <c r="I76" s="46">
        <v>2831</v>
      </c>
      <c r="J76" s="46">
        <v>17099.3</v>
      </c>
    </row>
    <row r="77" spans="1:10" x14ac:dyDescent="0.2">
      <c r="A77" s="36">
        <v>46049</v>
      </c>
      <c r="B77" s="46">
        <v>45440.44</v>
      </c>
      <c r="C77" s="47">
        <v>490.12000000000302</v>
      </c>
      <c r="D77" s="48">
        <v>1.0903593122362699E-2</v>
      </c>
      <c r="E77" s="46">
        <v>45146.92</v>
      </c>
      <c r="F77" s="46">
        <v>44990.29</v>
      </c>
      <c r="G77" s="46">
        <v>45524</v>
      </c>
      <c r="H77" s="7">
        <v>374525621</v>
      </c>
      <c r="I77" s="46">
        <v>2774.29</v>
      </c>
      <c r="J77" s="46">
        <v>19930.3</v>
      </c>
    </row>
    <row r="78" spans="1:10" x14ac:dyDescent="0.2">
      <c r="A78" s="36">
        <v>46048</v>
      </c>
      <c r="B78" s="46">
        <v>44950.32</v>
      </c>
      <c r="C78" s="47">
        <v>118.72000000000099</v>
      </c>
      <c r="D78" s="48">
        <v>2.6481321210931798E-3</v>
      </c>
      <c r="E78" s="46">
        <v>44933.54</v>
      </c>
      <c r="F78" s="46">
        <v>44848.47</v>
      </c>
      <c r="G78" s="46">
        <v>45092.639999999999</v>
      </c>
      <c r="H78" s="7">
        <v>379073183</v>
      </c>
      <c r="I78" s="46">
        <v>2420.2800000000002</v>
      </c>
      <c r="J78" s="46">
        <v>17156.009999999998</v>
      </c>
    </row>
    <row r="79" spans="1:10" x14ac:dyDescent="0.2">
      <c r="A79" s="36">
        <v>46045</v>
      </c>
      <c r="B79" s="46">
        <v>44831.6</v>
      </c>
      <c r="C79" s="47">
        <v>-259.630000000005</v>
      </c>
      <c r="D79" s="48">
        <v>-5.7578824086192502E-3</v>
      </c>
      <c r="E79" s="46">
        <v>44904.78</v>
      </c>
      <c r="F79" s="46">
        <v>44626.62</v>
      </c>
      <c r="G79" s="46">
        <v>44984.94</v>
      </c>
      <c r="H79" s="7">
        <v>423316256</v>
      </c>
      <c r="I79" s="46">
        <v>2796.24</v>
      </c>
      <c r="J79" s="46">
        <v>14735.73</v>
      </c>
    </row>
    <row r="80" spans="1:10" x14ac:dyDescent="0.2">
      <c r="A80" s="36">
        <v>46044</v>
      </c>
      <c r="B80" s="46">
        <v>45091.23</v>
      </c>
      <c r="C80" s="47">
        <v>602.87000000000296</v>
      </c>
      <c r="D80" s="48">
        <v>1.35511850740284E-2</v>
      </c>
      <c r="E80" s="46">
        <v>44963.78</v>
      </c>
      <c r="F80" s="46">
        <v>44771.76</v>
      </c>
      <c r="G80" s="46">
        <v>45187.55</v>
      </c>
      <c r="H80" s="7">
        <v>488089582</v>
      </c>
      <c r="I80" s="46">
        <v>3428.03</v>
      </c>
      <c r="J80" s="46">
        <v>17531.97</v>
      </c>
    </row>
    <row r="81" spans="1:10" x14ac:dyDescent="0.2">
      <c r="A81" s="36">
        <v>46043</v>
      </c>
      <c r="B81" s="46">
        <v>44488.36</v>
      </c>
      <c r="C81" s="47">
        <v>-225.099999999999</v>
      </c>
      <c r="D81" s="48">
        <v>-5.0342782687807803E-3</v>
      </c>
      <c r="E81" s="46">
        <v>44611.199999999997</v>
      </c>
      <c r="F81" s="46">
        <v>44063.48</v>
      </c>
      <c r="G81" s="46">
        <v>44675.09</v>
      </c>
      <c r="H81" s="7">
        <v>439491725</v>
      </c>
      <c r="I81" s="46">
        <v>3320.27</v>
      </c>
      <c r="J81" s="46">
        <v>14103.94</v>
      </c>
    </row>
    <row r="82" spans="1:10" x14ac:dyDescent="0.2">
      <c r="A82" s="36">
        <v>46042</v>
      </c>
      <c r="B82" s="46">
        <v>44713.46</v>
      </c>
      <c r="C82" s="47">
        <v>-482.43</v>
      </c>
      <c r="D82" s="48">
        <v>-1.06742006850623E-2</v>
      </c>
      <c r="E82" s="46">
        <v>44906.03</v>
      </c>
      <c r="F82" s="46">
        <v>44452.67</v>
      </c>
      <c r="G82" s="46">
        <v>44930.57</v>
      </c>
      <c r="H82" s="7">
        <v>481728071</v>
      </c>
      <c r="I82" s="46">
        <v>3087.87</v>
      </c>
      <c r="J82" s="46">
        <v>17424.21</v>
      </c>
    </row>
    <row r="83" spans="1:10" x14ac:dyDescent="0.2">
      <c r="A83" s="36">
        <v>46041</v>
      </c>
      <c r="B83" s="46">
        <v>45195.89</v>
      </c>
      <c r="C83" s="47">
        <v>-603.80000000000302</v>
      </c>
      <c r="D83" s="48">
        <v>-1.31834953468026E-2</v>
      </c>
      <c r="E83" s="46">
        <v>45052.480000000003</v>
      </c>
      <c r="F83" s="46">
        <v>44944.39</v>
      </c>
      <c r="G83" s="46">
        <v>45394.2</v>
      </c>
      <c r="H83" s="7">
        <v>400028453</v>
      </c>
      <c r="I83" s="46">
        <v>3029.72</v>
      </c>
      <c r="J83" s="46">
        <v>20512.080000000002</v>
      </c>
    </row>
    <row r="84" spans="1:10" x14ac:dyDescent="0.2">
      <c r="A84" s="36">
        <v>46038</v>
      </c>
      <c r="B84" s="46">
        <v>45799.69</v>
      </c>
      <c r="C84" s="47">
        <v>-50.079999999994499</v>
      </c>
      <c r="D84" s="48">
        <v>-1.0922628401406299E-3</v>
      </c>
      <c r="E84" s="46">
        <v>45761.84</v>
      </c>
      <c r="F84" s="46">
        <v>45643.83</v>
      </c>
      <c r="G84" s="46">
        <v>45822.64</v>
      </c>
      <c r="H84" s="7">
        <v>499998298</v>
      </c>
      <c r="I84" s="46">
        <v>3399.66</v>
      </c>
      <c r="J84" s="46">
        <v>23541.8</v>
      </c>
    </row>
    <row r="85" spans="1:10" x14ac:dyDescent="0.2">
      <c r="A85" s="36">
        <v>46037</v>
      </c>
      <c r="B85" s="46">
        <v>45849.77</v>
      </c>
      <c r="C85" s="47">
        <v>202.369999999995</v>
      </c>
      <c r="D85" s="48">
        <v>4.43333026634585E-3</v>
      </c>
      <c r="E85" s="46">
        <v>45751.63</v>
      </c>
      <c r="F85" s="46">
        <v>45713.9</v>
      </c>
      <c r="G85" s="46">
        <v>45926.36</v>
      </c>
      <c r="H85" s="7">
        <v>612572849</v>
      </c>
      <c r="I85" s="46">
        <v>3243.91</v>
      </c>
      <c r="J85" s="46">
        <v>26941.46</v>
      </c>
    </row>
    <row r="86" spans="1:10" x14ac:dyDescent="0.2">
      <c r="A86" s="36">
        <v>46036</v>
      </c>
      <c r="B86" s="46">
        <v>45647.4</v>
      </c>
      <c r="C86" s="47">
        <v>122.300000000003</v>
      </c>
      <c r="D86" s="48">
        <v>2.6864301231628901E-3</v>
      </c>
      <c r="E86" s="46">
        <v>45612.76</v>
      </c>
      <c r="F86" s="46">
        <v>45523.58</v>
      </c>
      <c r="G86" s="46">
        <v>45791.31</v>
      </c>
      <c r="H86" s="7">
        <v>716732039</v>
      </c>
      <c r="I86" s="46">
        <v>3569.08</v>
      </c>
      <c r="J86" s="46">
        <v>23697.55</v>
      </c>
    </row>
    <row r="87" spans="1:10" x14ac:dyDescent="0.2">
      <c r="A87" s="36">
        <v>46035</v>
      </c>
      <c r="B87" s="46">
        <v>45525.1</v>
      </c>
      <c r="C87" s="47">
        <v>-207.099999999999</v>
      </c>
      <c r="D87" s="48">
        <v>-4.5285378792185504E-3</v>
      </c>
      <c r="E87" s="46">
        <v>45759.93</v>
      </c>
      <c r="F87" s="46">
        <v>45479.93</v>
      </c>
      <c r="G87" s="46">
        <v>45782</v>
      </c>
      <c r="H87" s="7">
        <v>531097465</v>
      </c>
      <c r="I87" s="46">
        <v>3367.93</v>
      </c>
      <c r="J87" s="46">
        <v>20128.47</v>
      </c>
    </row>
    <row r="88" spans="1:10" x14ac:dyDescent="0.2">
      <c r="A88" s="36">
        <v>46034</v>
      </c>
      <c r="B88" s="46">
        <v>45732.2</v>
      </c>
      <c r="C88" s="47">
        <v>12.9399999999951</v>
      </c>
      <c r="D88" s="48">
        <v>2.8303170261275101E-4</v>
      </c>
      <c r="E88" s="46">
        <v>45547.05</v>
      </c>
      <c r="F88" s="46">
        <v>45378.080000000002</v>
      </c>
      <c r="G88" s="46">
        <v>45769.89</v>
      </c>
      <c r="H88" s="7">
        <v>421432248</v>
      </c>
      <c r="I88" s="46">
        <v>2934.27</v>
      </c>
      <c r="J88" s="46">
        <v>23496.400000000001</v>
      </c>
    </row>
    <row r="89" spans="1:10" x14ac:dyDescent="0.2">
      <c r="A89" s="36">
        <v>46031</v>
      </c>
      <c r="B89" s="46">
        <v>45719.26</v>
      </c>
      <c r="C89" s="47">
        <v>47.560000000004898</v>
      </c>
      <c r="D89" s="48">
        <v>1.0413450780243599E-3</v>
      </c>
      <c r="E89" s="46">
        <v>45757.04</v>
      </c>
      <c r="F89" s="46">
        <v>45577.19</v>
      </c>
      <c r="G89" s="46">
        <v>45779.9</v>
      </c>
      <c r="H89" s="7">
        <v>459365516</v>
      </c>
      <c r="I89" s="46">
        <v>3051.18</v>
      </c>
      <c r="J89" s="46">
        <v>20562.13</v>
      </c>
    </row>
    <row r="90" spans="1:10" x14ac:dyDescent="0.2">
      <c r="A90" s="36">
        <v>46030</v>
      </c>
      <c r="B90" s="46">
        <v>45671.7</v>
      </c>
      <c r="C90" s="47">
        <v>113.019999999997</v>
      </c>
      <c r="D90" s="48">
        <v>2.4807566856633401E-3</v>
      </c>
      <c r="E90" s="46">
        <v>45426.46</v>
      </c>
      <c r="F90" s="46">
        <v>45419.75</v>
      </c>
      <c r="G90" s="46">
        <v>45715.15</v>
      </c>
      <c r="H90" s="7">
        <v>470245982</v>
      </c>
      <c r="I90" s="46">
        <v>3054.23</v>
      </c>
      <c r="J90" s="46">
        <v>17510.95</v>
      </c>
    </row>
    <row r="91" spans="1:10" x14ac:dyDescent="0.2">
      <c r="A91" s="36">
        <v>46029</v>
      </c>
      <c r="B91" s="46">
        <v>45558.68</v>
      </c>
      <c r="C91" s="47">
        <v>-194.75</v>
      </c>
      <c r="D91" s="48">
        <v>-4.2565114790300996E-3</v>
      </c>
      <c r="E91" s="46">
        <v>45778.400000000001</v>
      </c>
      <c r="F91" s="46">
        <v>45558.68</v>
      </c>
      <c r="G91" s="46">
        <v>45978.1</v>
      </c>
      <c r="H91" s="7">
        <v>712757869</v>
      </c>
      <c r="I91" s="46">
        <v>3959.86</v>
      </c>
      <c r="J91" s="46">
        <v>14456.72</v>
      </c>
    </row>
    <row r="92" spans="1:10" x14ac:dyDescent="0.2">
      <c r="A92" s="36">
        <v>46028</v>
      </c>
      <c r="B92" s="46">
        <v>45753.43</v>
      </c>
      <c r="C92" s="47">
        <v>-93.889999999999404</v>
      </c>
      <c r="D92" s="48">
        <v>-2.0478841511346701E-3</v>
      </c>
      <c r="E92" s="46">
        <v>45990.75</v>
      </c>
      <c r="F92" s="46">
        <v>45753.35</v>
      </c>
      <c r="G92" s="46">
        <v>46193.75</v>
      </c>
      <c r="H92" s="7">
        <v>565038806</v>
      </c>
      <c r="I92" s="46">
        <v>3223.86</v>
      </c>
      <c r="J92" s="46">
        <v>18416.580000000002</v>
      </c>
    </row>
    <row r="93" spans="1:10" x14ac:dyDescent="0.2">
      <c r="A93" s="36">
        <v>46027</v>
      </c>
      <c r="B93" s="46">
        <v>45847.32</v>
      </c>
      <c r="C93" s="47">
        <v>473.29000000000099</v>
      </c>
      <c r="D93" s="48">
        <v>1.04308565935184E-2</v>
      </c>
      <c r="E93" s="46">
        <v>45682.8</v>
      </c>
      <c r="F93" s="46">
        <v>45547.46</v>
      </c>
      <c r="G93" s="46">
        <v>45849.760000000002</v>
      </c>
      <c r="H93" s="7">
        <v>549809041</v>
      </c>
      <c r="I93" s="46">
        <v>3813.88</v>
      </c>
      <c r="J93" s="46">
        <v>21640.44</v>
      </c>
    </row>
    <row r="94" spans="1:10" x14ac:dyDescent="0.2">
      <c r="A94" s="36">
        <v>46024</v>
      </c>
      <c r="B94" s="46">
        <v>45374.03</v>
      </c>
      <c r="C94" s="47">
        <v>429.48999999999802</v>
      </c>
      <c r="D94" s="48">
        <v>9.5559994606685909E-3</v>
      </c>
      <c r="E94" s="46">
        <v>45000.27</v>
      </c>
      <c r="F94" s="46">
        <v>44957.01</v>
      </c>
      <c r="G94" s="46">
        <v>45404.68</v>
      </c>
      <c r="H94" s="7">
        <v>459046854</v>
      </c>
      <c r="I94" s="46">
        <v>2867.52</v>
      </c>
      <c r="J94" s="46">
        <v>17826.560000000001</v>
      </c>
    </row>
    <row r="95" spans="1:10" x14ac:dyDescent="0.2">
      <c r="A95" s="36">
        <v>46021</v>
      </c>
      <c r="B95" s="46">
        <v>44944.54</v>
      </c>
      <c r="C95" s="47">
        <v>508.52999999999901</v>
      </c>
      <c r="D95" s="48">
        <v>1.14440968034709E-2</v>
      </c>
      <c r="E95" s="46">
        <v>44431.68</v>
      </c>
      <c r="F95" s="46">
        <v>44413.16</v>
      </c>
      <c r="G95" s="46">
        <v>45005.02</v>
      </c>
      <c r="H95" s="7">
        <v>342759191</v>
      </c>
      <c r="I95" s="46">
        <v>2329.4299999999998</v>
      </c>
      <c r="J95" s="46">
        <v>14959.04</v>
      </c>
    </row>
    <row r="96" spans="1:10" x14ac:dyDescent="0.2">
      <c r="A96" s="36">
        <v>46020</v>
      </c>
      <c r="B96" s="46">
        <v>44436.01</v>
      </c>
      <c r="C96" s="47">
        <v>-170.57</v>
      </c>
      <c r="D96" s="48">
        <v>-3.8238753116692599E-3</v>
      </c>
      <c r="E96" s="46">
        <v>44659.66</v>
      </c>
      <c r="F96" s="46">
        <v>44418.38</v>
      </c>
      <c r="G96" s="46">
        <v>44660.11</v>
      </c>
      <c r="H96" s="7">
        <v>355507165</v>
      </c>
      <c r="I96" s="46">
        <v>1987.62</v>
      </c>
      <c r="J96" s="46">
        <v>12629.61</v>
      </c>
    </row>
    <row r="97" spans="1:10" x14ac:dyDescent="0.2">
      <c r="A97" s="36">
        <v>46014</v>
      </c>
      <c r="B97" s="46">
        <v>44606.58</v>
      </c>
      <c r="C97" s="47">
        <v>12.9800000000032</v>
      </c>
      <c r="D97" s="48">
        <v>2.9107315848021201E-4</v>
      </c>
      <c r="E97" s="46">
        <v>44552.08</v>
      </c>
      <c r="F97" s="46">
        <v>44456.59</v>
      </c>
      <c r="G97" s="46">
        <v>44724.21</v>
      </c>
      <c r="H97" s="7">
        <v>594699390</v>
      </c>
      <c r="I97" s="46">
        <v>1956.44</v>
      </c>
      <c r="J97" s="46">
        <v>14617.23</v>
      </c>
    </row>
    <row r="98" spans="1:10" x14ac:dyDescent="0.2">
      <c r="A98" s="36">
        <v>46013</v>
      </c>
      <c r="B98" s="46">
        <v>44593.599999999999</v>
      </c>
      <c r="C98" s="47">
        <v>-163.950000000004</v>
      </c>
      <c r="D98" s="48">
        <v>-3.6630691358218699E-3</v>
      </c>
      <c r="E98" s="46">
        <v>44733.7</v>
      </c>
      <c r="F98" s="46">
        <v>44501.15</v>
      </c>
      <c r="G98" s="46">
        <v>44797.72</v>
      </c>
      <c r="H98" s="7">
        <v>1355524001</v>
      </c>
      <c r="I98" s="46">
        <v>2873.38</v>
      </c>
      <c r="J98" s="46">
        <v>12660.79</v>
      </c>
    </row>
    <row r="99" spans="1:10" x14ac:dyDescent="0.2">
      <c r="A99" s="36">
        <v>46010</v>
      </c>
      <c r="B99" s="46">
        <v>44757.55</v>
      </c>
      <c r="C99" s="47">
        <v>294.27000000000402</v>
      </c>
      <c r="D99" s="48">
        <v>6.6182701770990402E-3</v>
      </c>
      <c r="E99" s="46">
        <v>44412.23</v>
      </c>
      <c r="F99" s="46">
        <v>44411.75</v>
      </c>
      <c r="G99" s="46">
        <v>44788.75</v>
      </c>
      <c r="H99" s="7">
        <v>837344373</v>
      </c>
      <c r="I99" s="46">
        <v>6165.64</v>
      </c>
      <c r="J99" s="46">
        <v>15534.17</v>
      </c>
    </row>
    <row r="100" spans="1:10" x14ac:dyDescent="0.2">
      <c r="A100" s="36">
        <v>46009</v>
      </c>
      <c r="B100" s="46">
        <v>44463.28</v>
      </c>
      <c r="C100" s="47">
        <v>363.79999999999598</v>
      </c>
      <c r="D100" s="48">
        <v>8.2495303799499601E-3</v>
      </c>
      <c r="E100" s="46">
        <v>44108.69</v>
      </c>
      <c r="F100" s="46">
        <v>44068.14</v>
      </c>
      <c r="G100" s="46">
        <v>44465.65</v>
      </c>
      <c r="H100" s="7">
        <v>426221004</v>
      </c>
      <c r="I100" s="46">
        <v>3348.45</v>
      </c>
      <c r="J100" s="46">
        <v>9368.5300000000007</v>
      </c>
    </row>
    <row r="101" spans="1:10" x14ac:dyDescent="0.2">
      <c r="A101" s="36">
        <v>46008</v>
      </c>
      <c r="B101" s="46">
        <v>44099.48</v>
      </c>
      <c r="C101" s="47">
        <v>109</v>
      </c>
      <c r="D101" s="48">
        <v>2.4778088350024801E-3</v>
      </c>
      <c r="E101" s="46">
        <v>44224.08</v>
      </c>
      <c r="F101" s="46">
        <v>44069.75</v>
      </c>
      <c r="G101" s="46">
        <v>44297.55</v>
      </c>
      <c r="H101" s="7">
        <v>391120811</v>
      </c>
      <c r="I101" s="46">
        <v>2908.44</v>
      </c>
      <c r="J101" s="46">
        <v>6020.08</v>
      </c>
    </row>
    <row r="102" spans="1:10" x14ac:dyDescent="0.2">
      <c r="A102" s="36">
        <v>46007</v>
      </c>
      <c r="B102" s="46">
        <v>43990.48</v>
      </c>
      <c r="C102" s="47">
        <v>-126.479999999996</v>
      </c>
      <c r="D102" s="48">
        <v>-2.8669246475730901E-3</v>
      </c>
      <c r="E102" s="46">
        <v>44069.51</v>
      </c>
      <c r="F102" s="46">
        <v>43984.3</v>
      </c>
      <c r="G102" s="46">
        <v>44366.53</v>
      </c>
      <c r="H102" s="7">
        <v>537306452</v>
      </c>
      <c r="I102" s="46">
        <v>3369.17</v>
      </c>
      <c r="J102" s="46">
        <v>3111.64</v>
      </c>
    </row>
    <row r="103" spans="1:10" x14ac:dyDescent="0.2">
      <c r="A103" s="36">
        <v>46006</v>
      </c>
      <c r="B103" s="46">
        <v>44116.959999999999</v>
      </c>
      <c r="C103" s="47">
        <v>603.01000000000204</v>
      </c>
      <c r="D103" s="48">
        <v>1.3857854779904E-2</v>
      </c>
      <c r="E103" s="46">
        <v>43754.61</v>
      </c>
      <c r="F103" s="46">
        <v>43724.6</v>
      </c>
      <c r="G103" s="46">
        <v>44201.95</v>
      </c>
      <c r="H103" s="7">
        <v>542786249</v>
      </c>
      <c r="I103" s="46">
        <v>3089.5</v>
      </c>
      <c r="J103" s="46">
        <v>6480.81</v>
      </c>
    </row>
    <row r="104" spans="1:10" x14ac:dyDescent="0.2">
      <c r="A104" s="36">
        <v>46003</v>
      </c>
      <c r="B104" s="46">
        <v>43513.95</v>
      </c>
      <c r="C104" s="47">
        <v>-188.060000000005</v>
      </c>
      <c r="D104" s="48">
        <v>-4.3032345651837301E-3</v>
      </c>
      <c r="E104" s="46">
        <v>43828.45</v>
      </c>
      <c r="F104" s="46">
        <v>43491.519999999997</v>
      </c>
      <c r="G104" s="46">
        <v>44049.63</v>
      </c>
      <c r="H104" s="7">
        <v>424287138</v>
      </c>
      <c r="I104" s="46">
        <v>2757.6</v>
      </c>
      <c r="J104" s="46">
        <v>3391.31</v>
      </c>
    </row>
    <row r="105" spans="1:10" x14ac:dyDescent="0.2">
      <c r="A105" s="36">
        <v>46002</v>
      </c>
      <c r="B105" s="46">
        <v>43702.01</v>
      </c>
      <c r="C105" s="47">
        <v>236.67000000000601</v>
      </c>
      <c r="D105" s="48">
        <v>5.4450281534667803E-3</v>
      </c>
      <c r="E105" s="46">
        <v>43436.68</v>
      </c>
      <c r="F105" s="46">
        <v>43309.599999999999</v>
      </c>
      <c r="G105" s="46">
        <v>43852.81</v>
      </c>
      <c r="H105" s="7">
        <v>330381780</v>
      </c>
      <c r="I105" s="46">
        <v>3046.56</v>
      </c>
      <c r="J105" s="46">
        <v>6148.91</v>
      </c>
    </row>
    <row r="106" spans="1:10" x14ac:dyDescent="0.2">
      <c r="A106" s="36">
        <v>46001</v>
      </c>
      <c r="B106" s="46">
        <v>43465.34</v>
      </c>
      <c r="C106" s="47">
        <v>-109.160000000003</v>
      </c>
      <c r="D106" s="48">
        <v>-2.5051348839344898E-3</v>
      </c>
      <c r="E106" s="46">
        <v>43393.14</v>
      </c>
      <c r="F106" s="46">
        <v>43213.46</v>
      </c>
      <c r="G106" s="46">
        <v>43495.24</v>
      </c>
      <c r="H106" s="7">
        <v>268706550</v>
      </c>
      <c r="I106" s="46">
        <v>2625.98</v>
      </c>
      <c r="J106" s="46">
        <v>3102.35</v>
      </c>
    </row>
    <row r="107" spans="1:10" x14ac:dyDescent="0.2">
      <c r="A107" s="36">
        <v>46000</v>
      </c>
      <c r="B107" s="46">
        <v>43574.5</v>
      </c>
      <c r="C107" s="47">
        <v>141.68</v>
      </c>
      <c r="D107" s="48">
        <v>3.2620492982035299E-3</v>
      </c>
      <c r="E107" s="46">
        <v>43560.78</v>
      </c>
      <c r="F107" s="46">
        <v>43461.9</v>
      </c>
      <c r="G107" s="46">
        <v>43824.29</v>
      </c>
      <c r="H107" s="7">
        <v>331988505</v>
      </c>
      <c r="I107" s="46">
        <v>2481.88</v>
      </c>
      <c r="J107" s="46">
        <v>5728.33</v>
      </c>
    </row>
    <row r="108" spans="1:10" x14ac:dyDescent="0.2">
      <c r="A108" s="36">
        <v>45999</v>
      </c>
      <c r="B108" s="46">
        <v>43432.82</v>
      </c>
      <c r="C108" s="47">
        <v>5.0000000002910397E-2</v>
      </c>
      <c r="D108" s="48">
        <v>1.1512044938167699E-6</v>
      </c>
      <c r="E108" s="46">
        <v>43395.35</v>
      </c>
      <c r="F108" s="46">
        <v>43301.67</v>
      </c>
      <c r="G108" s="46">
        <v>43492.63</v>
      </c>
      <c r="H108" s="7">
        <v>313546915</v>
      </c>
      <c r="I108" s="46">
        <v>2220.15</v>
      </c>
      <c r="J108" s="46">
        <v>3246.45</v>
      </c>
    </row>
    <row r="109" spans="1:10" x14ac:dyDescent="0.2">
      <c r="A109" s="36">
        <v>45996</v>
      </c>
      <c r="B109" s="46">
        <v>43432.77</v>
      </c>
      <c r="C109" s="47">
        <v>-86.300000000002896</v>
      </c>
      <c r="D109" s="48">
        <v>-1.9830387000458198E-3</v>
      </c>
      <c r="E109" s="46">
        <v>43594.21</v>
      </c>
      <c r="F109" s="46">
        <v>43422.16</v>
      </c>
      <c r="G109" s="46">
        <v>43675.76</v>
      </c>
      <c r="H109" s="7">
        <v>502877288</v>
      </c>
      <c r="I109" s="46">
        <v>2797.06</v>
      </c>
      <c r="J109" s="46">
        <v>1026.3</v>
      </c>
    </row>
    <row r="110" spans="1:10" x14ac:dyDescent="0.2">
      <c r="A110" s="36">
        <v>45995</v>
      </c>
      <c r="B110" s="46">
        <v>43519.07</v>
      </c>
      <c r="C110" s="47">
        <v>138.43</v>
      </c>
      <c r="D110" s="48">
        <v>3.1910548115472799E-3</v>
      </c>
      <c r="E110" s="46">
        <v>43522.96</v>
      </c>
      <c r="F110" s="46">
        <v>43249.26</v>
      </c>
      <c r="G110" s="46">
        <v>43547.77</v>
      </c>
      <c r="H110" s="7">
        <v>386504399</v>
      </c>
      <c r="I110" s="46">
        <v>2939.08</v>
      </c>
      <c r="J110" s="46">
        <v>3823.36</v>
      </c>
    </row>
    <row r="111" spans="1:10" x14ac:dyDescent="0.2">
      <c r="A111" s="36">
        <v>45994</v>
      </c>
      <c r="B111" s="46">
        <v>43380.639999999999</v>
      </c>
      <c r="C111" s="47">
        <v>25.8099999999977</v>
      </c>
      <c r="D111" s="48">
        <v>5.9532006007168405E-4</v>
      </c>
      <c r="E111" s="46">
        <v>43442.85</v>
      </c>
      <c r="F111" s="46">
        <v>43313.9</v>
      </c>
      <c r="G111" s="46">
        <v>43714.49</v>
      </c>
      <c r="H111" s="7">
        <v>494094700</v>
      </c>
      <c r="I111" s="46">
        <v>3507.09</v>
      </c>
      <c r="J111" s="46">
        <v>884.27999999999895</v>
      </c>
    </row>
    <row r="112" spans="1:10" x14ac:dyDescent="0.2">
      <c r="A112" s="36">
        <v>45993</v>
      </c>
      <c r="B112" s="46">
        <v>43354.83</v>
      </c>
      <c r="C112" s="47">
        <v>95.349999999998502</v>
      </c>
      <c r="D112" s="48">
        <v>2.2041411501016301E-3</v>
      </c>
      <c r="E112" s="46">
        <v>43349.31</v>
      </c>
      <c r="F112" s="46">
        <v>43277.15</v>
      </c>
      <c r="G112" s="46">
        <v>43599.31</v>
      </c>
      <c r="H112" s="7">
        <v>432762895</v>
      </c>
      <c r="I112" s="46">
        <v>2937.63</v>
      </c>
      <c r="J112" s="46">
        <v>-2622.81</v>
      </c>
    </row>
    <row r="113" spans="1:10" x14ac:dyDescent="0.2">
      <c r="A113" s="36">
        <v>45992</v>
      </c>
      <c r="B113" s="46">
        <v>43259.48</v>
      </c>
      <c r="C113" s="47">
        <v>-97.529999999998793</v>
      </c>
      <c r="D113" s="48">
        <v>-2.2494632355874798E-3</v>
      </c>
      <c r="E113" s="46">
        <v>43168.13</v>
      </c>
      <c r="F113" s="46">
        <v>42857.94</v>
      </c>
      <c r="G113" s="46">
        <v>43267.519999999997</v>
      </c>
      <c r="H113" s="7">
        <v>337908007</v>
      </c>
      <c r="I113" s="46">
        <v>2518.94</v>
      </c>
      <c r="J113" s="46">
        <v>-5560.44</v>
      </c>
    </row>
    <row r="114" spans="1:10" x14ac:dyDescent="0.2">
      <c r="A114" s="36">
        <v>45989</v>
      </c>
      <c r="B114" s="46">
        <v>43357.01</v>
      </c>
      <c r="C114" s="47">
        <v>137.13999999999899</v>
      </c>
      <c r="D114" s="48">
        <v>3.1730775682573598E-3</v>
      </c>
      <c r="E114" s="46">
        <v>43235.81</v>
      </c>
      <c r="F114" s="46">
        <v>43104.25</v>
      </c>
      <c r="G114" s="46">
        <v>43393.52</v>
      </c>
      <c r="H114" s="7">
        <v>326905496</v>
      </c>
      <c r="I114" s="46">
        <v>2357.06</v>
      </c>
      <c r="J114" s="46">
        <v>-3041.5</v>
      </c>
    </row>
    <row r="115" spans="1:10" x14ac:dyDescent="0.2">
      <c r="A115" s="36">
        <v>45988</v>
      </c>
      <c r="B115" s="46">
        <v>43219.87</v>
      </c>
      <c r="C115" s="47">
        <v>89.550000000002896</v>
      </c>
      <c r="D115" s="48">
        <v>2.0762656061907902E-3</v>
      </c>
      <c r="E115" s="46">
        <v>43117.39</v>
      </c>
      <c r="F115" s="46">
        <v>43065</v>
      </c>
      <c r="G115" s="46">
        <v>43278.11</v>
      </c>
      <c r="H115" s="7">
        <v>285689467</v>
      </c>
      <c r="I115" s="46">
        <v>2278.27</v>
      </c>
      <c r="J115" s="46">
        <v>-5398.56</v>
      </c>
    </row>
    <row r="116" spans="1:10" x14ac:dyDescent="0.2">
      <c r="A116" s="36">
        <v>45987</v>
      </c>
      <c r="B116" s="46">
        <v>43130.32</v>
      </c>
      <c r="C116" s="47">
        <v>431.65999999999599</v>
      </c>
      <c r="D116" s="48">
        <v>1.01094507415454E-2</v>
      </c>
      <c r="E116" s="46">
        <v>42862.6</v>
      </c>
      <c r="F116" s="46">
        <v>42644.01</v>
      </c>
      <c r="G116" s="46">
        <v>43155.99</v>
      </c>
      <c r="H116" s="7">
        <v>319286500</v>
      </c>
      <c r="I116" s="46">
        <v>2416.75</v>
      </c>
      <c r="J116" s="46">
        <v>-7676.83</v>
      </c>
    </row>
    <row r="117" spans="1:10" x14ac:dyDescent="0.2">
      <c r="A117" s="36">
        <v>45986</v>
      </c>
      <c r="B117" s="46">
        <v>42698.66</v>
      </c>
      <c r="C117" s="47">
        <v>400.49000000000501</v>
      </c>
      <c r="D117" s="48">
        <v>9.46825831944988E-3</v>
      </c>
      <c r="E117" s="46">
        <v>42352.17</v>
      </c>
      <c r="F117" s="46">
        <v>42018.31</v>
      </c>
      <c r="G117" s="46">
        <v>42783.02</v>
      </c>
      <c r="H117" s="7">
        <v>368415258</v>
      </c>
      <c r="I117" s="46">
        <v>2957.27</v>
      </c>
      <c r="J117" s="46">
        <v>-10093.58</v>
      </c>
    </row>
    <row r="118" spans="1:10" x14ac:dyDescent="0.2">
      <c r="A118" s="36">
        <v>45985</v>
      </c>
      <c r="B118" s="46">
        <v>42298.17</v>
      </c>
      <c r="C118" s="47">
        <v>-363.5</v>
      </c>
      <c r="D118" s="48">
        <v>-8.5205290838356804E-3</v>
      </c>
      <c r="E118" s="46">
        <v>42571.55</v>
      </c>
      <c r="F118" s="46">
        <v>42159.58</v>
      </c>
      <c r="G118" s="46">
        <v>42625.48</v>
      </c>
      <c r="H118" s="7">
        <v>582829532</v>
      </c>
      <c r="I118" s="46">
        <v>4442.38</v>
      </c>
      <c r="J118" s="46">
        <v>-13050.85</v>
      </c>
    </row>
    <row r="119" spans="1:10" x14ac:dyDescent="0.2">
      <c r="A119" s="36">
        <v>45982</v>
      </c>
      <c r="B119" s="46">
        <v>42661.67</v>
      </c>
      <c r="C119" s="47">
        <v>-255.97000000000099</v>
      </c>
      <c r="D119" s="48">
        <v>-5.9642142485001803E-3</v>
      </c>
      <c r="E119" s="46">
        <v>42294.85</v>
      </c>
      <c r="F119" s="46">
        <v>42251.7</v>
      </c>
      <c r="G119" s="46">
        <v>42819</v>
      </c>
      <c r="H119" s="7">
        <v>440571135</v>
      </c>
      <c r="I119" s="46">
        <v>3160.64</v>
      </c>
      <c r="J119" s="46">
        <v>-8608.4699999999993</v>
      </c>
    </row>
    <row r="120" spans="1:10" x14ac:dyDescent="0.2">
      <c r="A120" s="36">
        <v>45981</v>
      </c>
      <c r="B120" s="46">
        <v>42917.64</v>
      </c>
      <c r="C120" s="47">
        <v>266.150000000001</v>
      </c>
      <c r="D120" s="48">
        <v>6.2401102517169096E-3</v>
      </c>
      <c r="E120" s="46">
        <v>43052.11</v>
      </c>
      <c r="F120" s="46">
        <v>42881.11</v>
      </c>
      <c r="G120" s="46">
        <v>43292.25</v>
      </c>
      <c r="H120" s="7">
        <v>455757830</v>
      </c>
      <c r="I120" s="46">
        <v>2763.95</v>
      </c>
      <c r="J120" s="46">
        <v>-5447.83</v>
      </c>
    </row>
    <row r="121" spans="1:10" x14ac:dyDescent="0.2">
      <c r="A121" s="36">
        <v>45980</v>
      </c>
      <c r="B121" s="46">
        <v>42651.49</v>
      </c>
      <c r="C121" s="47">
        <v>-187.150000000001</v>
      </c>
      <c r="D121" s="48">
        <v>-4.3687194551461396E-3</v>
      </c>
      <c r="E121" s="46">
        <v>42835.26</v>
      </c>
      <c r="F121" s="46">
        <v>42450.07</v>
      </c>
      <c r="G121" s="46">
        <v>43028.85</v>
      </c>
      <c r="H121" s="7">
        <v>416995947</v>
      </c>
      <c r="I121" s="46">
        <v>2820.96</v>
      </c>
      <c r="J121" s="46">
        <v>-8211.7800000000007</v>
      </c>
    </row>
    <row r="122" spans="1:10" x14ac:dyDescent="0.2">
      <c r="A122" s="36">
        <v>45979</v>
      </c>
      <c r="B122" s="46">
        <v>42838.64</v>
      </c>
      <c r="C122" s="47">
        <v>-928.63999999999896</v>
      </c>
      <c r="D122" s="48">
        <v>-2.1217676766753599E-2</v>
      </c>
      <c r="E122" s="46">
        <v>43061.59</v>
      </c>
      <c r="F122" s="46">
        <v>42651.41</v>
      </c>
      <c r="G122" s="46">
        <v>43178.6</v>
      </c>
      <c r="H122" s="7">
        <v>573329647</v>
      </c>
      <c r="I122" s="46">
        <v>3498.75</v>
      </c>
      <c r="J122" s="46">
        <v>-5390.82</v>
      </c>
    </row>
    <row r="123" spans="1:10" x14ac:dyDescent="0.2">
      <c r="A123" s="36">
        <v>45978</v>
      </c>
      <c r="B123" s="46">
        <v>43767.28</v>
      </c>
      <c r="C123" s="47">
        <v>-227.41000000000301</v>
      </c>
      <c r="D123" s="48">
        <v>-5.1690328991976899E-3</v>
      </c>
      <c r="E123" s="46">
        <v>43997.86</v>
      </c>
      <c r="F123" s="46">
        <v>43656.24</v>
      </c>
      <c r="G123" s="46">
        <v>44146.16</v>
      </c>
      <c r="H123" s="7">
        <v>367926612</v>
      </c>
      <c r="I123" s="46">
        <v>2545.9499999999998</v>
      </c>
      <c r="J123" s="46">
        <v>-1892.07</v>
      </c>
    </row>
    <row r="124" spans="1:10" x14ac:dyDescent="0.2">
      <c r="A124" s="36">
        <v>45975</v>
      </c>
      <c r="B124" s="46">
        <v>43994.69</v>
      </c>
      <c r="C124" s="47">
        <v>-760.66999999999803</v>
      </c>
      <c r="D124" s="48">
        <v>-1.69961765473454E-2</v>
      </c>
      <c r="E124" s="46">
        <v>44370.92</v>
      </c>
      <c r="F124" s="46">
        <v>43635.82</v>
      </c>
      <c r="G124" s="46">
        <v>44470.03</v>
      </c>
      <c r="H124" s="7">
        <v>454411646</v>
      </c>
      <c r="I124" s="46">
        <v>3814.92</v>
      </c>
      <c r="J124" s="46">
        <v>653.87999999999897</v>
      </c>
    </row>
    <row r="125" spans="1:10" x14ac:dyDescent="0.2">
      <c r="A125" s="36">
        <v>45974</v>
      </c>
      <c r="B125" s="46">
        <v>44755.360000000001</v>
      </c>
      <c r="C125" s="47">
        <v>-37.2799999999988</v>
      </c>
      <c r="D125" s="48">
        <v>-8.3227958878956095E-4</v>
      </c>
      <c r="E125" s="46">
        <v>44956.09</v>
      </c>
      <c r="F125" s="46">
        <v>44755.360000000001</v>
      </c>
      <c r="G125" s="46">
        <v>45056.42</v>
      </c>
      <c r="H125" s="7">
        <v>452990536</v>
      </c>
      <c r="I125" s="46">
        <v>3740.27</v>
      </c>
      <c r="J125" s="46">
        <v>4468.8</v>
      </c>
    </row>
    <row r="126" spans="1:10" x14ac:dyDescent="0.2">
      <c r="A126" s="36">
        <v>45973</v>
      </c>
      <c r="B126" s="46">
        <v>44792.639999999999</v>
      </c>
      <c r="C126" s="47">
        <v>353.76000000000198</v>
      </c>
      <c r="D126" s="48">
        <v>7.9605966667027194E-3</v>
      </c>
      <c r="E126" s="46">
        <v>44617.27</v>
      </c>
      <c r="F126" s="46">
        <v>44594.32</v>
      </c>
      <c r="G126" s="46">
        <v>45071.839999999997</v>
      </c>
      <c r="H126" s="7">
        <v>553899361</v>
      </c>
      <c r="I126" s="46">
        <v>4106.53</v>
      </c>
      <c r="J126" s="46">
        <v>8209.07</v>
      </c>
    </row>
    <row r="127" spans="1:10" x14ac:dyDescent="0.2">
      <c r="A127" s="36">
        <v>45972</v>
      </c>
      <c r="B127" s="46">
        <v>44438.879999999997</v>
      </c>
      <c r="C127" s="47">
        <v>543.20999999999901</v>
      </c>
      <c r="D127" s="48">
        <v>1.23750246892233E-2</v>
      </c>
      <c r="E127" s="46">
        <v>43928.38</v>
      </c>
      <c r="F127" s="46">
        <v>43928.38</v>
      </c>
      <c r="G127" s="46">
        <v>44450.16</v>
      </c>
      <c r="H127" s="7">
        <v>503802383</v>
      </c>
      <c r="I127" s="46">
        <v>3471.84</v>
      </c>
      <c r="J127" s="46">
        <v>4102.54</v>
      </c>
    </row>
    <row r="128" spans="1:10" x14ac:dyDescent="0.2">
      <c r="A128" s="36">
        <v>45971</v>
      </c>
      <c r="B128" s="46">
        <v>43895.67</v>
      </c>
      <c r="C128" s="47">
        <v>978</v>
      </c>
      <c r="D128" s="48">
        <v>2.2787816766380802E-2</v>
      </c>
      <c r="E128" s="46">
        <v>43415</v>
      </c>
      <c r="F128" s="46">
        <v>43390.79</v>
      </c>
      <c r="G128" s="46">
        <v>43984.77</v>
      </c>
      <c r="H128" s="7">
        <v>480271714</v>
      </c>
      <c r="I128" s="46">
        <v>3558.35</v>
      </c>
      <c r="J128" s="46">
        <v>630.69999999999902</v>
      </c>
    </row>
    <row r="129" spans="1:10" x14ac:dyDescent="0.2">
      <c r="A129" s="36">
        <v>45968</v>
      </c>
      <c r="B129" s="46">
        <v>42917.67</v>
      </c>
      <c r="C129" s="47">
        <v>-151.02000000000399</v>
      </c>
      <c r="D129" s="48">
        <v>-3.5064916067798699E-3</v>
      </c>
      <c r="E129" s="46">
        <v>43259.73</v>
      </c>
      <c r="F129" s="46">
        <v>42695.29</v>
      </c>
      <c r="G129" s="46">
        <v>43341.38</v>
      </c>
      <c r="H129" s="7">
        <v>473160318</v>
      </c>
      <c r="I129" s="46">
        <v>3130.58</v>
      </c>
      <c r="J129" s="46">
        <v>-2927.65</v>
      </c>
    </row>
    <row r="130" spans="1:10" x14ac:dyDescent="0.2">
      <c r="A130" s="36">
        <v>45967</v>
      </c>
      <c r="B130" s="46">
        <v>43068.69</v>
      </c>
      <c r="C130" s="47">
        <v>-369.79999999999598</v>
      </c>
      <c r="D130" s="48">
        <v>-8.5131872677893707E-3</v>
      </c>
      <c r="E130" s="46">
        <v>43498.27</v>
      </c>
      <c r="F130" s="46">
        <v>43011.08</v>
      </c>
      <c r="G130" s="46">
        <v>43498.27</v>
      </c>
      <c r="H130" s="7">
        <v>573964779</v>
      </c>
      <c r="I130" s="46">
        <v>3225.48</v>
      </c>
      <c r="J130" s="46">
        <v>202.92999999999901</v>
      </c>
    </row>
    <row r="131" spans="1:10" x14ac:dyDescent="0.2">
      <c r="A131" s="36">
        <v>45966</v>
      </c>
      <c r="B131" s="46">
        <v>43438.49</v>
      </c>
      <c r="C131" s="47">
        <v>176.13999999999899</v>
      </c>
      <c r="D131" s="48">
        <v>4.0714385603185998E-3</v>
      </c>
      <c r="E131" s="46">
        <v>43000.160000000003</v>
      </c>
      <c r="F131" s="46">
        <v>42940.11</v>
      </c>
      <c r="G131" s="46">
        <v>43478.83</v>
      </c>
      <c r="H131" s="7">
        <v>410472783</v>
      </c>
      <c r="I131" s="46">
        <v>2916.92</v>
      </c>
      <c r="J131" s="46">
        <v>3428.41</v>
      </c>
    </row>
    <row r="132" spans="1:10" x14ac:dyDescent="0.2">
      <c r="A132" s="36">
        <v>45965</v>
      </c>
      <c r="B132" s="46">
        <v>43262.35</v>
      </c>
      <c r="C132" s="47">
        <v>39.349999999998502</v>
      </c>
      <c r="D132" s="48">
        <v>9.10394928625929E-4</v>
      </c>
      <c r="E132" s="46">
        <v>42779.95</v>
      </c>
      <c r="F132" s="46">
        <v>42510.11</v>
      </c>
      <c r="G132" s="46">
        <v>43262.35</v>
      </c>
      <c r="H132" s="7">
        <v>388424534</v>
      </c>
      <c r="I132" s="46">
        <v>2930.41</v>
      </c>
      <c r="J132" s="46">
        <v>511.48999999999899</v>
      </c>
    </row>
    <row r="133" spans="1:10" x14ac:dyDescent="0.2">
      <c r="A133" s="36">
        <v>45964</v>
      </c>
      <c r="B133" s="46">
        <v>43223</v>
      </c>
      <c r="C133" s="47">
        <v>47.680000000000298</v>
      </c>
      <c r="D133" s="48">
        <v>1.10433460597398E-3</v>
      </c>
      <c r="E133" s="46">
        <v>43143.45</v>
      </c>
      <c r="F133" s="46">
        <v>43109.17</v>
      </c>
      <c r="G133" s="46">
        <v>43543.42</v>
      </c>
      <c r="H133" s="7"/>
      <c r="I133" s="46"/>
      <c r="J133" s="46">
        <v>-2418.92</v>
      </c>
    </row>
    <row r="134" spans="1:10" x14ac:dyDescent="0.2">
      <c r="A134" s="36">
        <v>45961</v>
      </c>
      <c r="B134" s="46">
        <v>43175.32</v>
      </c>
      <c r="C134" s="47">
        <v>-27.0800000000017</v>
      </c>
      <c r="D134" s="48">
        <v>-6.2681702868363197E-4</v>
      </c>
      <c r="E134" s="46">
        <v>43259.38</v>
      </c>
      <c r="F134" s="46">
        <v>43029.43</v>
      </c>
      <c r="G134" s="46">
        <v>43493.43</v>
      </c>
      <c r="H134" s="7">
        <v>484843766</v>
      </c>
      <c r="I134" s="46">
        <v>3172.1</v>
      </c>
      <c r="J134" s="46">
        <v>-2418.92</v>
      </c>
    </row>
    <row r="135" spans="1:10" x14ac:dyDescent="0.2">
      <c r="A135" s="36">
        <v>45960</v>
      </c>
      <c r="B135" s="46">
        <v>43202.400000000001</v>
      </c>
      <c r="C135" s="47">
        <v>-40.129999999997402</v>
      </c>
      <c r="D135" s="48">
        <v>-9.2802155655548801E-4</v>
      </c>
      <c r="E135" s="46">
        <v>43263.01</v>
      </c>
      <c r="F135" s="46">
        <v>42825.72</v>
      </c>
      <c r="G135" s="46">
        <v>43277.21</v>
      </c>
      <c r="H135" s="7">
        <v>684139875</v>
      </c>
      <c r="I135" s="46">
        <v>3680.61</v>
      </c>
      <c r="J135" s="46">
        <v>753.17999999999904</v>
      </c>
    </row>
    <row r="136" spans="1:10" x14ac:dyDescent="0.2">
      <c r="A136" s="36">
        <v>45959</v>
      </c>
      <c r="B136" s="46">
        <v>43242.53</v>
      </c>
      <c r="C136" s="47">
        <v>114</v>
      </c>
      <c r="D136" s="48">
        <v>2.6432618964754898E-3</v>
      </c>
      <c r="E136" s="46">
        <v>43122.19</v>
      </c>
      <c r="F136" s="46">
        <v>43054.22</v>
      </c>
      <c r="G136" s="46">
        <v>43395.26</v>
      </c>
      <c r="H136" s="7">
        <v>361386503</v>
      </c>
      <c r="I136" s="46">
        <v>3008.29</v>
      </c>
      <c r="J136" s="46">
        <v>4433.79</v>
      </c>
    </row>
    <row r="137" spans="1:10" x14ac:dyDescent="0.2">
      <c r="A137" s="36">
        <v>45958</v>
      </c>
      <c r="B137" s="46">
        <v>43128.53</v>
      </c>
      <c r="C137" s="47">
        <v>216.95999999999901</v>
      </c>
      <c r="D137" s="48">
        <v>5.0559790751072298E-3</v>
      </c>
      <c r="E137" s="46">
        <v>42914.15</v>
      </c>
      <c r="F137" s="46">
        <v>42796.11</v>
      </c>
      <c r="G137" s="46">
        <v>43128.72</v>
      </c>
      <c r="H137" s="7">
        <v>327204358</v>
      </c>
      <c r="I137" s="46">
        <v>2491.4499999999998</v>
      </c>
      <c r="J137" s="46">
        <v>1425.5</v>
      </c>
    </row>
    <row r="138" spans="1:10" x14ac:dyDescent="0.2">
      <c r="A138" s="36">
        <v>45957</v>
      </c>
      <c r="B138" s="46">
        <v>42911.57</v>
      </c>
      <c r="C138" s="47">
        <v>424.900000000001</v>
      </c>
      <c r="D138" s="48">
        <v>1.00007837752406E-2</v>
      </c>
      <c r="E138" s="46">
        <v>42651.6</v>
      </c>
      <c r="F138" s="46">
        <v>42626.74</v>
      </c>
      <c r="G138" s="46">
        <v>42975.42</v>
      </c>
      <c r="H138" s="7">
        <v>349754381</v>
      </c>
      <c r="I138" s="46">
        <v>2760.01</v>
      </c>
      <c r="J138" s="46">
        <v>-1065.95</v>
      </c>
    </row>
    <row r="139" spans="1:10" x14ac:dyDescent="0.2">
      <c r="A139" s="36">
        <v>45954</v>
      </c>
      <c r="B139" s="46">
        <v>42486.67</v>
      </c>
      <c r="C139" s="47">
        <v>104.73999999999801</v>
      </c>
      <c r="D139" s="48">
        <v>2.4713362510862102E-3</v>
      </c>
      <c r="E139" s="46">
        <v>42569.46</v>
      </c>
      <c r="F139" s="46">
        <v>42199.11</v>
      </c>
      <c r="G139" s="46">
        <v>42570.09</v>
      </c>
      <c r="H139" s="7">
        <v>317252636</v>
      </c>
      <c r="I139" s="46">
        <v>2647.4</v>
      </c>
      <c r="J139" s="46">
        <v>-3825.96</v>
      </c>
    </row>
    <row r="140" spans="1:10" x14ac:dyDescent="0.2">
      <c r="A140" s="36">
        <v>45953</v>
      </c>
      <c r="B140" s="46">
        <v>42381.93</v>
      </c>
      <c r="C140" s="47">
        <v>172.29000000000099</v>
      </c>
      <c r="D140" s="48">
        <v>4.0817689987405897E-3</v>
      </c>
      <c r="E140" s="46">
        <v>42248.71</v>
      </c>
      <c r="F140" s="46">
        <v>42204.480000000003</v>
      </c>
      <c r="G140" s="46">
        <v>42476.45</v>
      </c>
      <c r="H140" s="7">
        <v>460004414</v>
      </c>
      <c r="I140" s="46">
        <v>3275.65</v>
      </c>
      <c r="J140" s="46">
        <v>-6473.36</v>
      </c>
    </row>
    <row r="141" spans="1:10" x14ac:dyDescent="0.2">
      <c r="A141" s="36">
        <v>45952</v>
      </c>
      <c r="B141" s="46">
        <v>42209.64</v>
      </c>
      <c r="C141" s="47">
        <v>-438.63999999999902</v>
      </c>
      <c r="D141" s="48">
        <v>-1.02850572168444E-2</v>
      </c>
      <c r="E141" s="46">
        <v>42764.29</v>
      </c>
      <c r="F141" s="46">
        <v>42185.77</v>
      </c>
      <c r="G141" s="46">
        <v>42764.74</v>
      </c>
      <c r="H141" s="7">
        <v>354396421</v>
      </c>
      <c r="I141" s="46">
        <v>3010.94</v>
      </c>
      <c r="J141" s="46">
        <v>-9749.01</v>
      </c>
    </row>
    <row r="142" spans="1:10" x14ac:dyDescent="0.2">
      <c r="A142" s="36">
        <v>45951</v>
      </c>
      <c r="B142" s="46">
        <v>42648.28</v>
      </c>
      <c r="C142" s="47">
        <v>255.919999999998</v>
      </c>
      <c r="D142" s="48">
        <v>6.0369368442803901E-3</v>
      </c>
      <c r="E142" s="46">
        <v>42547.040000000001</v>
      </c>
      <c r="F142" s="46">
        <v>42499.63</v>
      </c>
      <c r="G142" s="46">
        <v>42838.400000000001</v>
      </c>
      <c r="H142" s="7">
        <v>473488344</v>
      </c>
      <c r="I142" s="46">
        <v>2957.95</v>
      </c>
      <c r="J142" s="46">
        <v>-6738.07</v>
      </c>
    </row>
    <row r="143" spans="1:10" x14ac:dyDescent="0.2">
      <c r="A143" s="36">
        <v>45950</v>
      </c>
      <c r="B143" s="46">
        <v>42392.36</v>
      </c>
      <c r="C143" s="47">
        <v>634.25</v>
      </c>
      <c r="D143" s="48">
        <v>1.5188666345292E-2</v>
      </c>
      <c r="E143" s="46">
        <v>42128.33</v>
      </c>
      <c r="F143" s="46">
        <v>42093.83</v>
      </c>
      <c r="G143" s="46">
        <v>42496.14</v>
      </c>
      <c r="H143" s="7">
        <v>384364188</v>
      </c>
      <c r="I143" s="46">
        <v>2581.42</v>
      </c>
      <c r="J143" s="46">
        <v>-9696.02</v>
      </c>
    </row>
    <row r="144" spans="1:10" x14ac:dyDescent="0.2">
      <c r="A144" s="36">
        <v>45947</v>
      </c>
      <c r="B144" s="46">
        <v>41758.11</v>
      </c>
      <c r="C144" s="47">
        <v>-616.07000000000005</v>
      </c>
      <c r="D144" s="48">
        <v>-1.4538806414661E-2</v>
      </c>
      <c r="E144" s="46">
        <v>41681.78</v>
      </c>
      <c r="F144" s="46">
        <v>41360.080000000002</v>
      </c>
      <c r="G144" s="46">
        <v>42013.32</v>
      </c>
      <c r="H144" s="7">
        <v>583424876</v>
      </c>
      <c r="I144" s="46">
        <v>3617.6</v>
      </c>
      <c r="J144" s="46">
        <v>-12277.44</v>
      </c>
    </row>
    <row r="145" spans="1:10" x14ac:dyDescent="0.2">
      <c r="A145" s="36">
        <v>45946</v>
      </c>
      <c r="B145" s="46">
        <v>42374.18</v>
      </c>
      <c r="C145" s="47">
        <v>467.27999999999901</v>
      </c>
      <c r="D145" s="48">
        <v>1.11504310745963E-2</v>
      </c>
      <c r="E145" s="46">
        <v>42083.75</v>
      </c>
      <c r="F145" s="46">
        <v>41711.120000000003</v>
      </c>
      <c r="G145" s="46">
        <v>42375</v>
      </c>
      <c r="H145" s="7">
        <v>710471612</v>
      </c>
      <c r="I145" s="46">
        <v>2826.71</v>
      </c>
      <c r="J145" s="46">
        <v>-8659.84</v>
      </c>
    </row>
    <row r="146" spans="1:10" x14ac:dyDescent="0.2">
      <c r="A146" s="36">
        <v>45945</v>
      </c>
      <c r="B146" s="46">
        <v>41906.9</v>
      </c>
      <c r="C146" s="47">
        <v>-168.76000000000201</v>
      </c>
      <c r="D146" s="48">
        <v>-4.0108699423847902E-3</v>
      </c>
      <c r="E146" s="46">
        <v>42344.53</v>
      </c>
      <c r="F146" s="46">
        <v>41880.69</v>
      </c>
      <c r="G146" s="46">
        <v>42457.56</v>
      </c>
      <c r="H146" s="7">
        <v>516413469</v>
      </c>
      <c r="I146" s="46">
        <v>2936.26</v>
      </c>
      <c r="J146" s="46">
        <v>-11486.55</v>
      </c>
    </row>
    <row r="147" spans="1:10" x14ac:dyDescent="0.2">
      <c r="A147" s="36">
        <v>45944</v>
      </c>
      <c r="B147" s="46">
        <v>42075.66</v>
      </c>
      <c r="C147" s="47">
        <v>-91.929999999993001</v>
      </c>
      <c r="D147" s="48">
        <v>-2.1801103643815799E-3</v>
      </c>
      <c r="E147" s="46">
        <v>41710.720000000001</v>
      </c>
      <c r="F147" s="46">
        <v>41523.81</v>
      </c>
      <c r="G147" s="46">
        <v>42080.19</v>
      </c>
      <c r="H147" s="7">
        <v>411605298</v>
      </c>
      <c r="I147" s="46">
        <v>3192.33</v>
      </c>
      <c r="J147" s="46">
        <v>-8550.2900000000009</v>
      </c>
    </row>
    <row r="148" spans="1:10" x14ac:dyDescent="0.2">
      <c r="A148" s="36">
        <v>45943</v>
      </c>
      <c r="B148" s="46">
        <v>42167.59</v>
      </c>
      <c r="C148" s="47">
        <v>120.089999999997</v>
      </c>
      <c r="D148" s="48">
        <v>2.85605565134661E-3</v>
      </c>
      <c r="E148" s="46">
        <v>42225.73</v>
      </c>
      <c r="F148" s="46">
        <v>42012.959999999999</v>
      </c>
      <c r="G148" s="46">
        <v>42450.89</v>
      </c>
      <c r="H148" s="7">
        <v>408864367</v>
      </c>
      <c r="I148" s="46">
        <v>2603.59</v>
      </c>
      <c r="J148" s="46">
        <v>-5357.96</v>
      </c>
    </row>
    <row r="149" spans="1:10" x14ac:dyDescent="0.2">
      <c r="A149" s="36">
        <v>45940</v>
      </c>
      <c r="B149" s="46">
        <v>42047.5</v>
      </c>
      <c r="C149" s="47">
        <v>-744.099999999999</v>
      </c>
      <c r="D149" s="48">
        <v>-1.7388926798717501E-2</v>
      </c>
      <c r="E149" s="46">
        <v>42897.63</v>
      </c>
      <c r="F149" s="46">
        <v>42043.8</v>
      </c>
      <c r="G149" s="46">
        <v>43051.73</v>
      </c>
      <c r="H149" s="7">
        <v>470033120</v>
      </c>
      <c r="I149" s="46">
        <v>3854.23</v>
      </c>
      <c r="J149" s="46">
        <v>-7961.55</v>
      </c>
    </row>
    <row r="150" spans="1:10" x14ac:dyDescent="0.2">
      <c r="A150" s="36">
        <v>45939</v>
      </c>
      <c r="B150" s="46">
        <v>42791.6</v>
      </c>
      <c r="C150" s="47">
        <v>-692.63999999999896</v>
      </c>
      <c r="D150" s="48">
        <v>-1.5928529508621999E-2</v>
      </c>
      <c r="E150" s="46">
        <v>43450.81</v>
      </c>
      <c r="F150" s="46">
        <v>42791.6</v>
      </c>
      <c r="G150" s="46">
        <v>43455.67</v>
      </c>
      <c r="H150" s="7">
        <v>500838356</v>
      </c>
      <c r="I150" s="46">
        <v>4489.21</v>
      </c>
      <c r="J150" s="46">
        <v>-4107.32</v>
      </c>
    </row>
    <row r="151" spans="1:10" x14ac:dyDescent="0.2">
      <c r="A151" s="36">
        <v>45938</v>
      </c>
      <c r="B151" s="46">
        <v>43484.24</v>
      </c>
      <c r="C151" s="47">
        <v>413.29000000000099</v>
      </c>
      <c r="D151" s="48">
        <v>9.5955626704310199E-3</v>
      </c>
      <c r="E151" s="46">
        <v>43151.5</v>
      </c>
      <c r="F151" s="46">
        <v>43149.45</v>
      </c>
      <c r="G151" s="46">
        <v>43540.41</v>
      </c>
      <c r="H151" s="7">
        <v>476414210</v>
      </c>
      <c r="I151" s="46">
        <v>3025.75</v>
      </c>
      <c r="J151" s="46">
        <v>381.89</v>
      </c>
    </row>
    <row r="152" spans="1:10" x14ac:dyDescent="0.2">
      <c r="A152" s="36">
        <v>45937</v>
      </c>
      <c r="B152" s="46">
        <v>43070.95</v>
      </c>
      <c r="C152" s="47">
        <v>-75.180000000000305</v>
      </c>
      <c r="D152" s="48">
        <v>-1.74245059753911E-3</v>
      </c>
      <c r="E152" s="46">
        <v>43058.12</v>
      </c>
      <c r="F152" s="46">
        <v>42967.86</v>
      </c>
      <c r="G152" s="46">
        <v>43415.28</v>
      </c>
      <c r="H152" s="7">
        <v>388448500</v>
      </c>
      <c r="I152" s="46">
        <v>2643.86</v>
      </c>
      <c r="J152" s="46">
        <v>-2643.86</v>
      </c>
    </row>
    <row r="153" spans="1:10" x14ac:dyDescent="0.2">
      <c r="A153" s="36">
        <v>45936</v>
      </c>
      <c r="B153" s="46">
        <v>43146.13</v>
      </c>
      <c r="C153" s="47"/>
      <c r="D153" s="48"/>
      <c r="E153" s="46">
        <v>43262.78</v>
      </c>
      <c r="F153" s="46">
        <v>42811</v>
      </c>
      <c r="G153" s="46">
        <v>43355.6</v>
      </c>
      <c r="H153" s="7">
        <v>476889765</v>
      </c>
      <c r="I153" s="46">
        <v>3243.83</v>
      </c>
      <c r="J153" s="46">
        <v>0</v>
      </c>
    </row>
  </sheetData>
  <mergeCells count="5">
    <mergeCell ref="A21:C21"/>
    <mergeCell ref="D21:H21"/>
    <mergeCell ref="I21:J21"/>
    <mergeCell ref="K21:M21"/>
    <mergeCell ref="N21:P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88355-8C66-9A49-9661-9E9CAC8307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VaR_Model</vt:lpstr>
      <vt:lpstr>Dashboard</vt:lpstr>
      <vt:lpstr>DAX</vt:lpstr>
      <vt:lpstr>FTSE MIB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Quartucci Davide</dc:creator>
  <cp:lastModifiedBy>Quartucci Davide</cp:lastModifiedBy>
  <dcterms:created xsi:type="dcterms:W3CDTF">2026-04-06T17:24:11Z</dcterms:created>
  <dcterms:modified xsi:type="dcterms:W3CDTF">2026-04-07T13:03:17Z</dcterms:modified>
</cp:coreProperties>
</file>