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quartucci/Desktop/Unipd MSc/First year/Second semester/SM for Finance/Report2/"/>
    </mc:Choice>
  </mc:AlternateContent>
  <xr:revisionPtr revIDLastSave="0" documentId="13_ncr:1_{B0E3F521-7355-BB44-9960-A8BF69EAF3CA}" xr6:coauthVersionLast="47" xr6:coauthVersionMax="47" xr10:uidLastSave="{00000000-0000-0000-0000-000000000000}"/>
  <bookViews>
    <workbookView xWindow="0" yWindow="660" windowWidth="30240" windowHeight="17760" xr2:uid="{D8394067-10DA-BD4F-AFDD-56619E5AC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G2" i="1"/>
  <c r="H25" i="1"/>
  <c r="G25" i="1"/>
  <c r="H24" i="1"/>
  <c r="G24" i="1"/>
  <c r="H2" i="1" s="1"/>
  <c r="H3" i="1" s="1"/>
  <c r="H4" i="1" s="1"/>
  <c r="H23" i="1"/>
  <c r="G23" i="1"/>
  <c r="H20" i="1"/>
  <c r="G20" i="1"/>
  <c r="H19" i="1"/>
  <c r="G19" i="1"/>
  <c r="H18" i="1"/>
  <c r="G18" i="1"/>
  <c r="G3" i="1" s="1"/>
  <c r="G4" i="1" s="1"/>
  <c r="H15" i="1"/>
  <c r="G15" i="1"/>
  <c r="H14" i="1"/>
  <c r="G14" i="1"/>
  <c r="H13" i="1"/>
  <c r="G13" i="1"/>
  <c r="H9" i="1"/>
  <c r="H10" i="1"/>
  <c r="G9" i="1"/>
  <c r="E2" i="1" s="1"/>
  <c r="G10" i="1"/>
  <c r="H8" i="1"/>
  <c r="G8" i="1"/>
  <c r="B4" i="1"/>
  <c r="E3" i="1" l="1"/>
  <c r="F2" i="1"/>
  <c r="F3" i="1" s="1"/>
  <c r="F4" i="1" s="1"/>
</calcChain>
</file>

<file path=xl/sharedStrings.xml><?xml version="1.0" encoding="utf-8"?>
<sst xmlns="http://schemas.openxmlformats.org/spreadsheetml/2006/main" count="60" uniqueCount="30">
  <si>
    <t>Spot Price (S0):</t>
  </si>
  <si>
    <t>Currency:</t>
  </si>
  <si>
    <t>Asset:</t>
  </si>
  <si>
    <t>K(ATM)</t>
  </si>
  <si>
    <t>K2</t>
  </si>
  <si>
    <t>K1</t>
  </si>
  <si>
    <t>Date:</t>
  </si>
  <si>
    <t>EUR</t>
  </si>
  <si>
    <t>C_bid</t>
  </si>
  <si>
    <t>C_ask</t>
  </si>
  <si>
    <t>P_bid</t>
  </si>
  <si>
    <t>P_ask</t>
  </si>
  <si>
    <t>C_mid</t>
  </si>
  <si>
    <t>P_mid</t>
  </si>
  <si>
    <t>Strike Price</t>
  </si>
  <si>
    <t>Forward Implicit F(0,T)</t>
  </si>
  <si>
    <t xml:space="preserve">Implicit Dividend </t>
  </si>
  <si>
    <t>EURO STOXX 50 (OESX)</t>
  </si>
  <si>
    <t>17/04/26</t>
  </si>
  <si>
    <t>19/06/26</t>
  </si>
  <si>
    <t>18/09/26</t>
  </si>
  <si>
    <t>19/03/27</t>
  </si>
  <si>
    <t xml:space="preserve">Eurex </t>
  </si>
  <si>
    <t>Exchange:</t>
  </si>
  <si>
    <t>Maturity (T)</t>
  </si>
  <si>
    <t>19/06/26 (3m)</t>
  </si>
  <si>
    <t>17/04/26 (1m)</t>
  </si>
  <si>
    <t>18/09/26 (6m)</t>
  </si>
  <si>
    <t>19/03/27 (1y)</t>
  </si>
  <si>
    <t>Discount Factor D(0,T)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</si>
</sst>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d/m/yyyy;@"/>
    <numFmt numFmtId="165" formatCode="0.000000"/>
    <numFmt numFmtId="166" formatCode="_([$€-2]\ * #,##0.00_);_([$€-2]\ * \(#,##0.00\);_([$€-2]\ * &quot;-&quot;??_);_(@_)"/>
    <numFmt numFmtId="167" formatCode="0.000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164" fontId="0" fillId="0" borderId="0" xfId="0" applyNumberFormat="1"/>
    <xf numFmtId="166" fontId="0" fillId="0" borderId="0" xfId="1" applyNumberFormat="1" applyFont="1"/>
    <xf numFmtId="2" fontId="0" fillId="0" borderId="0" xfId="0" applyNumberFormat="1"/>
    <xf numFmtId="167" fontId="0" fillId="0" borderId="0" xfId="0" applyNumberFormat="1"/>
    <xf numFmtId="165" fontId="0" fillId="0" borderId="0" xfId="0" applyNumberFormat="1"/>
    <xf numFmtId="2" fontId="0" fillId="0" borderId="2" xfId="0" applyNumberFormat="1" applyBorder="1"/>
    <xf numFmtId="2" fontId="0" fillId="0" borderId="3" xfId="0" applyNumberFormat="1" applyBorder="1"/>
    <xf numFmtId="2" fontId="0" fillId="0" borderId="0" xfId="1" applyNumberFormat="1" applyFont="1"/>
  </cellXfs>
  <cellStyles count="2">
    <cellStyle name="Currency" xfId="1" builtinId="4"/>
    <cellStyle name="Normal" xfId="0" builtinId="0"/>
  </cellStyles>
  <dxfs count="5">
    <dxf>
      <numFmt numFmtId="165" formatCode="0.00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Term Structure of Implicit Dividends - EURO STOXX 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3.3611111111111112E-3"/>
                  <c:y val="2.77777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5CD-9F4D-8077-DE1453EC5D4E}"/>
                </c:ext>
              </c:extLst>
            </c:dLbl>
            <c:dLbl>
              <c:idx val="1"/>
              <c:layout>
                <c:manualLayout>
                  <c:x val="-0.1224166666666667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5CD-9F4D-8077-DE1453EC5D4E}"/>
                </c:ext>
              </c:extLst>
            </c:dLbl>
            <c:dLbl>
              <c:idx val="2"/>
              <c:layout>
                <c:manualLayout>
                  <c:x val="2.5833333333333333E-3"/>
                  <c:y val="3.7037037037036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5CD-9F4D-8077-DE1453EC5D4E}"/>
                </c:ext>
              </c:extLst>
            </c:dLbl>
            <c:dLbl>
              <c:idx val="3"/>
              <c:layout>
                <c:manualLayout>
                  <c:x val="-0.13352777777777777"/>
                  <c:y val="-3.70370370370370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5CD-9F4D-8077-DE1453EC5D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Sheet1!$E$1:$H$1</c:f>
              <c:strCache>
                <c:ptCount val="4"/>
                <c:pt idx="0">
                  <c:v>17/04/26</c:v>
                </c:pt>
                <c:pt idx="1">
                  <c:v>19/06/26</c:v>
                </c:pt>
                <c:pt idx="2">
                  <c:v>18/09/26</c:v>
                </c:pt>
                <c:pt idx="3">
                  <c:v>19/03/27</c:v>
                </c:pt>
              </c:strCache>
            </c:strRef>
          </c:cat>
          <c:val>
            <c:numRef>
              <c:f>Sheet1!$E$4:$H$4</c:f>
              <c:numCache>
                <c:formatCode>0.00</c:formatCode>
                <c:ptCount val="4"/>
                <c:pt idx="0">
                  <c:v>21.526153846153647</c:v>
                </c:pt>
                <c:pt idx="1">
                  <c:v>100.93384615384639</c:v>
                </c:pt>
                <c:pt idx="2">
                  <c:v>110.47999999999683</c:v>
                </c:pt>
                <c:pt idx="3">
                  <c:v>142.48000000000047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CD-9F4D-8077-DE1453EC5D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57867007"/>
        <c:axId val="1257875519"/>
      </c:lineChart>
      <c:catAx>
        <c:axId val="1257867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875519"/>
        <c:crosses val="autoZero"/>
        <c:auto val="1"/>
        <c:lblAlgn val="ctr"/>
        <c:lblOffset val="100"/>
        <c:noMultiLvlLbl val="0"/>
      </c:catAx>
      <c:valAx>
        <c:axId val="125787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86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72571</xdr:colOff>
      <xdr:row>0</xdr:row>
      <xdr:rowOff>43544</xdr:rowOff>
    </xdr:from>
    <xdr:to>
      <xdr:col>12</xdr:col>
      <xdr:colOff>444500</xdr:colOff>
      <xdr:row>13</xdr:row>
      <xdr:rowOff>156030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A6A304-5C7D-767D-A36C-D5ED36409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6C6C91-337E-E44D-A6D5-FDA867EFA81F}" name="Table1" displayName="Table1" ref="A7:H10" totalsRowShown="0">
  <autoFilter ref="A7:H10" xr:uid="{386C6C91-337E-E44D-A6D5-FDA867EFA8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420DE6B-39C3-1E4F-A3EF-D5DCD5FDE1A8}" name="17/04/26 (1m)"/>
    <tableColumn id="2" xr3:uid="{88EA23C4-4EEB-FA48-B4C5-EC397BAF3CC7}" name="Strike Price" dataDxfId="4"/>
    <tableColumn id="3" xr3:uid="{7ED7C241-19C4-5440-B119-D1DCB6D3029C}" name="C_bid"/>
    <tableColumn id="4" xr3:uid="{F2EF1D17-353A-394B-9C46-D50C5CFCD14D}" name="C_ask"/>
    <tableColumn id="5" xr3:uid="{456AE8A8-0346-394A-BC92-6D95468272B6}" name="P_bid"/>
    <tableColumn id="6" xr3:uid="{CB3F3263-DF2D-0647-91E9-05F1D05C1FCC}" name="P_ask"/>
    <tableColumn id="7" xr3:uid="{CCB1BFFE-E143-5448-8D16-B7AE59C7E592}" name="C_mid">
      <calculatedColumnFormula>(C8+D8)/2</calculatedColumnFormula>
    </tableColumn>
    <tableColumn id="8" xr3:uid="{3C519811-0B13-094C-B51B-DF24FF9D18FB}" name="P_mid">
      <calculatedColumnFormula>(E8+F8)/2</calculatedColumnFormula>
    </tableColumn>
  </tableColumns>
  <tableStyleInfo name="TableStyleLight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611E7-2FDE-1949-AA8D-A58365A2AB6C}" name="Table13" displayName="Table13" ref="A12:H15" totalsRowShown="0">
  <autoFilter ref="A12:H15" xr:uid="{726611E7-2FDE-1949-AA8D-A58365A2AB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40DDB4C-7926-BE4D-8F19-1F95BD0AA64D}" name="19/06/26 (3m)"/>
    <tableColumn id="2" xr3:uid="{30E687FB-657F-9C4A-B0F6-A29ABBB78026}" name="Strike Price" dataDxfId="3"/>
    <tableColumn id="3" xr3:uid="{C7AB2CA4-A3EA-6144-B46A-50D186550FC0}" name="C_bid"/>
    <tableColumn id="4" xr3:uid="{1528F5AC-501E-8042-A86B-E00A1490FADF}" name="C_ask"/>
    <tableColumn id="5" xr3:uid="{ECB0F46D-A5DA-EC40-AAB7-4512C35B0C22}" name="P_bid"/>
    <tableColumn id="6" xr3:uid="{4CBCAFFB-BC75-B14D-80D7-702D3A843840}" name="P_ask"/>
    <tableColumn id="7" xr3:uid="{48ACDDB7-7AC7-A84E-9601-9B38E296B232}" name="C_mid">
      <calculatedColumnFormula>(C13+D13)/2</calculatedColumnFormula>
    </tableColumn>
    <tableColumn id="8" xr3:uid="{405FC8DB-AC19-C541-9224-53D2ABE09DAA}" name="P_mid">
      <calculatedColumnFormula>(E13+F13)/2</calculatedColumnFormula>
    </tableColumn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F2BA3F-9F82-E24A-B7E7-F9901443F78C}" name="Table134" displayName="Table134" ref="A17:H20" totalsRowShown="0">
  <autoFilter ref="A17:H20" xr:uid="{29F2BA3F-9F82-E24A-B7E7-F9901443F7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96A007D-2B13-5744-8EDA-1CF5B15C6351}" name="18/09/26 (6m)"/>
    <tableColumn id="2" xr3:uid="{AB7EA6E5-C3EC-2A46-8D56-B2FD06909CD4}" name="Strike Price" dataDxfId="2"/>
    <tableColumn id="3" xr3:uid="{61886226-5051-9047-B81B-CFB3AD730943}" name="C_bid"/>
    <tableColumn id="4" xr3:uid="{6B824AC5-0DAF-204D-86B8-64047F5D0E5B}" name="C_ask"/>
    <tableColumn id="5" xr3:uid="{F1B6A6A8-F3E2-7840-8AEF-D43D67F2D0B0}" name="P_bid"/>
    <tableColumn id="6" xr3:uid="{6E6F8900-E15C-1649-8052-1A0E3384D401}" name="P_ask"/>
    <tableColumn id="7" xr3:uid="{B605CB55-272D-4343-A16A-B2072A5F290F}" name="C_mid">
      <calculatedColumnFormula>(C18+D18)/2</calculatedColumnFormula>
    </tableColumn>
    <tableColumn id="8" xr3:uid="{200566E3-D15E-D947-9566-EDC443C4D595}" name="P_mid">
      <calculatedColumnFormula>(E18+F18)/2</calculatedColumnFormula>
    </tableColumn>
  </tableColumns>
  <tableStyleInfo name="TableStyleLight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DA4A29-C816-7746-842B-893ECCD8E65C}" name="Table1345" displayName="Table1345" ref="A22:H25" totalsRowShown="0">
  <autoFilter ref="A22:H25" xr:uid="{E9DA4A29-C816-7746-842B-893ECCD8E6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86CFCD7-A094-CD40-A2AA-2B81A42FE4C3}" name="19/03/27 (1y)"/>
    <tableColumn id="2" xr3:uid="{57EF637D-EF14-EA41-84E3-B26F128EF65F}" name="Strike Price" dataDxfId="1"/>
    <tableColumn id="3" xr3:uid="{A0A7EA9B-AF84-164A-BF45-9FEF7187D0A1}" name="C_bid"/>
    <tableColumn id="4" xr3:uid="{F4D8087C-335F-D147-BA2D-3CE3DA6C8498}" name="C_ask"/>
    <tableColumn id="5" xr3:uid="{C35CEF86-B462-BD42-B66F-F19DC2A394AA}" name="P_bid"/>
    <tableColumn id="6" xr3:uid="{EECC66BD-35F3-CC42-B8F9-991375D9CB34}" name="P_ask"/>
    <tableColumn id="7" xr3:uid="{1F833600-564E-3D40-9302-4529D284E81C}" name="C_mid">
      <calculatedColumnFormula>(C23+D23)/2</calculatedColumnFormula>
    </tableColumn>
    <tableColumn id="8" xr3:uid="{A76452B8-7AFB-3143-89CC-60DCB48F6CA9}" name="P_mid">
      <calculatedColumnFormula>(E23+F23)/2</calculatedColumnFormula>
    </tableColumn>
  </tableColumns>
  <tableStyleInfo name="TableStyleLight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47159D-2442-914C-9E78-770814EC3394}" name="Table5" displayName="Table5" ref="D1:H4" totalsRowShown="0" headerRowDxfId="0">
  <autoFilter ref="D1:H4" xr:uid="{5F47159D-2442-914C-9E78-770814EC339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29CBB83-22C8-3E42-A5F1-487DEBA0346B}" name="Maturity (T)"/>
    <tableColumn id="2" xr3:uid="{22227767-BE28-914C-A1FD-F94468B822C2}" name="17/04/26"/>
    <tableColumn id="3" xr3:uid="{5FC44B14-3532-CC44-B505-76E578AEC7EF}" name="19/06/26"/>
    <tableColumn id="4" xr3:uid="{DC9F1761-B9C1-9648-9C16-175653C53A79}" name="18/09/26"/>
    <tableColumn id="5" xr3:uid="{557C8F09-3DE3-4548-A015-357C77888A69}" name="19/03/27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375F3E-F11E-7149-86C5-EE8D4FA91B56}" name="Table6" displayName="Table6" ref="A1:B5" totalsRowShown="0">
  <autoFilter ref="A1:B5" xr:uid="{59375F3E-F11E-7149-86C5-EE8D4FA91B56}">
    <filterColumn colId="0" hiddenButton="1"/>
    <filterColumn colId="1" hiddenButton="1"/>
  </autoFilter>
  <tableColumns count="2">
    <tableColumn id="1" xr3:uid="{6FDDAD7F-6C6A-B744-BF07-98A9C913089B}" name="Asset:"/>
    <tableColumn id="2" xr3:uid="{442BB6F8-C2B2-BA40-81B3-64B67ECFE9C6}" name="EURO STOXX 50 (OESX)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6E3E5-C6C4-3442-923D-314208585D7E}">
  <dimension ref="A1:H43"/>
  <sheetViews>
    <sheetView tabSelected="1" zoomScale="140" zoomScaleNormal="140" workbookViewId="0">
      <selection activeCell="E4" sqref="E4"/>
    </sheetView>
  </sheetViews>
  <sheetFormatPr baseColWidth="10" defaultRowHeight="16" x14ac:dyDescent="0.2"/>
  <cols>
    <col min="1" max="1" width="13.5" bestFit="1" customWidth="1"/>
    <col min="2" max="2" width="20.5" bestFit="1" customWidth="1"/>
    <col min="3" max="3" width="9.6640625" customWidth="1"/>
    <col min="4" max="4" width="19.6640625" bestFit="1" customWidth="1"/>
    <col min="5" max="8" width="9" bestFit="1" customWidth="1"/>
    <col min="9" max="9" width="22.6640625" bestFit="1" customWidth="1"/>
  </cols>
  <sheetData>
    <row r="1" spans="1:8" x14ac:dyDescent="0.2">
      <c r="A1" t="s">
        <v>2</v>
      </c>
      <c r="B1" s="1" t="s">
        <v>17</v>
      </c>
      <c r="D1" t="s">
        <v>24</v>
      </c>
      <c r="E1" s="7" t="s">
        <v>18</v>
      </c>
      <c r="F1" s="7" t="s">
        <v>19</v>
      </c>
      <c r="G1" s="7" t="s">
        <v>20</v>
      </c>
      <c r="H1" s="7" t="s">
        <v>21</v>
      </c>
    </row>
    <row r="2" spans="1:8" x14ac:dyDescent="0.2">
      <c r="A2" t="s">
        <v>23</v>
      </c>
      <c r="B2" s="1" t="s">
        <v>22</v>
      </c>
      <c r="D2" t="s">
        <v>29</v>
      </c>
      <c r="E2" s="6">
        <f>(G9-G10+H10-H9)/(B10-B9)</f>
        <v>0.99684615384615394</v>
      </c>
      <c r="F2" s="6">
        <f>(G14-G15+H15-H14)/(B15-B14)</f>
        <v>0.99315384615384605</v>
      </c>
      <c r="G2" s="6">
        <f>(G19-G20+H20-H19)/(B20-B19)</f>
        <v>0.98700000000000043</v>
      </c>
      <c r="H2" s="6">
        <f>(G24-G25+H25-H24)/(B25-B24)</f>
        <v>0.97299999999999986</v>
      </c>
    </row>
    <row r="3" spans="1:8" ht="17" thickBot="1" x14ac:dyDescent="0.25">
      <c r="A3" t="s">
        <v>1</v>
      </c>
      <c r="B3" s="1" t="s">
        <v>7</v>
      </c>
      <c r="D3" t="s">
        <v>15</v>
      </c>
      <c r="E3" s="5">
        <f>(G8-H8)/E2+B8</f>
        <v>5497.0908249093291</v>
      </c>
      <c r="F3" s="5">
        <f>(G13-H13)/F2+B13</f>
        <v>5437.5726125009678</v>
      </c>
      <c r="G3" s="5">
        <f>(G18-H18)/G2+B18</f>
        <v>5461.8034447821683</v>
      </c>
      <c r="H3" s="5">
        <f>(G23-H23)/H2+B23</f>
        <v>5507.5025693730731</v>
      </c>
    </row>
    <row r="4" spans="1:8" ht="17" thickBot="1" x14ac:dyDescent="0.25">
      <c r="A4" t="s">
        <v>6</v>
      </c>
      <c r="B4" s="3">
        <f>DATE(2026,3,22)</f>
        <v>46103</v>
      </c>
      <c r="D4" s="2" t="s">
        <v>16</v>
      </c>
      <c r="E4" s="8">
        <f>$B$5-(E3*E2)</f>
        <v>21.526153846153647</v>
      </c>
      <c r="F4" s="8">
        <f>$B$5-(F3*F2)</f>
        <v>100.93384615384639</v>
      </c>
      <c r="G4" s="8">
        <f>$B$5-(G3*G2)</f>
        <v>110.47999999999683</v>
      </c>
      <c r="H4" s="9">
        <f>$B$5-(H3*H2)</f>
        <v>142.48000000000047</v>
      </c>
    </row>
    <row r="5" spans="1:8" x14ac:dyDescent="0.2">
      <c r="A5" t="s">
        <v>0</v>
      </c>
      <c r="B5" s="10">
        <v>5501.28</v>
      </c>
    </row>
    <row r="6" spans="1:8" x14ac:dyDescent="0.2">
      <c r="B6" s="4"/>
    </row>
    <row r="7" spans="1:8" x14ac:dyDescent="0.2">
      <c r="A7" t="s">
        <v>26</v>
      </c>
      <c r="B7" t="s">
        <v>14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</row>
    <row r="8" spans="1:8" x14ac:dyDescent="0.2">
      <c r="A8" t="s">
        <v>3</v>
      </c>
      <c r="B8" s="5">
        <v>5500</v>
      </c>
      <c r="C8">
        <v>164.3</v>
      </c>
      <c r="D8">
        <v>175.7</v>
      </c>
      <c r="E8">
        <v>160.69999999999999</v>
      </c>
      <c r="F8">
        <v>185.1</v>
      </c>
      <c r="G8">
        <f>(C8+D8)/2</f>
        <v>170</v>
      </c>
      <c r="H8">
        <f>(E8+F8)/2</f>
        <v>172.89999999999998</v>
      </c>
    </row>
    <row r="9" spans="1:8" x14ac:dyDescent="0.2">
      <c r="A9" t="s">
        <v>5</v>
      </c>
      <c r="B9" s="5">
        <v>5150</v>
      </c>
      <c r="C9">
        <v>408.6</v>
      </c>
      <c r="D9">
        <v>419</v>
      </c>
      <c r="E9">
        <v>69.7</v>
      </c>
      <c r="F9">
        <v>77.099999999999994</v>
      </c>
      <c r="G9">
        <f t="shared" ref="G9:G10" si="0">(C9+D9)/2</f>
        <v>413.8</v>
      </c>
      <c r="H9">
        <f t="shared" ref="H9:H10" si="1">(E9+F9)/2</f>
        <v>73.400000000000006</v>
      </c>
    </row>
    <row r="10" spans="1:8" x14ac:dyDescent="0.2">
      <c r="A10" t="s">
        <v>4</v>
      </c>
      <c r="B10" s="5">
        <v>5800</v>
      </c>
      <c r="C10">
        <v>38.6</v>
      </c>
      <c r="D10">
        <v>42.7</v>
      </c>
      <c r="E10">
        <v>331.1</v>
      </c>
      <c r="F10">
        <v>365.3</v>
      </c>
      <c r="G10">
        <f t="shared" si="0"/>
        <v>40.650000000000006</v>
      </c>
      <c r="H10">
        <f t="shared" si="1"/>
        <v>348.20000000000005</v>
      </c>
    </row>
    <row r="12" spans="1:8" x14ac:dyDescent="0.2">
      <c r="A12" t="s">
        <v>25</v>
      </c>
      <c r="B12" t="s">
        <v>14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13</v>
      </c>
    </row>
    <row r="13" spans="1:8" x14ac:dyDescent="0.2">
      <c r="A13" t="s">
        <v>3</v>
      </c>
      <c r="B13" s="5">
        <v>5500</v>
      </c>
      <c r="C13">
        <v>225.8</v>
      </c>
      <c r="D13">
        <v>231.5</v>
      </c>
      <c r="E13">
        <v>288</v>
      </c>
      <c r="F13">
        <v>293.3</v>
      </c>
      <c r="G13">
        <f>(C13+D13)/2</f>
        <v>228.65</v>
      </c>
      <c r="H13">
        <f>(E13+F13)/2</f>
        <v>290.64999999999998</v>
      </c>
    </row>
    <row r="14" spans="1:8" x14ac:dyDescent="0.2">
      <c r="A14" t="s">
        <v>5</v>
      </c>
      <c r="B14" s="5">
        <v>5150</v>
      </c>
      <c r="C14">
        <v>449.4</v>
      </c>
      <c r="D14">
        <v>460.5</v>
      </c>
      <c r="E14">
        <v>164.5</v>
      </c>
      <c r="F14">
        <v>173.8</v>
      </c>
      <c r="G14">
        <f t="shared" ref="G14:G15" si="2">(C14+D14)/2</f>
        <v>454.95</v>
      </c>
      <c r="H14">
        <f t="shared" ref="H14:H15" si="3">(E14+F14)/2</f>
        <v>169.15</v>
      </c>
    </row>
    <row r="15" spans="1:8" x14ac:dyDescent="0.2">
      <c r="A15" t="s">
        <v>4</v>
      </c>
      <c r="B15" s="5">
        <v>5800</v>
      </c>
      <c r="C15">
        <v>93.3</v>
      </c>
      <c r="D15">
        <v>97.8</v>
      </c>
      <c r="E15">
        <v>438.2</v>
      </c>
      <c r="F15">
        <v>472.4</v>
      </c>
      <c r="G15">
        <f t="shared" si="2"/>
        <v>95.55</v>
      </c>
      <c r="H15">
        <f t="shared" si="3"/>
        <v>455.29999999999995</v>
      </c>
    </row>
    <row r="17" spans="1:8" x14ac:dyDescent="0.2">
      <c r="A17" t="s">
        <v>27</v>
      </c>
      <c r="B17" t="s">
        <v>14</v>
      </c>
      <c r="C17" t="s">
        <v>8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</row>
    <row r="18" spans="1:8" x14ac:dyDescent="0.2">
      <c r="A18" t="s">
        <v>3</v>
      </c>
      <c r="B18" s="5">
        <v>5600</v>
      </c>
      <c r="C18">
        <v>250.5</v>
      </c>
      <c r="D18">
        <v>284.7</v>
      </c>
      <c r="E18">
        <v>386.9</v>
      </c>
      <c r="F18">
        <v>421.1</v>
      </c>
      <c r="G18">
        <f>(C18+D18)/2</f>
        <v>267.60000000000002</v>
      </c>
      <c r="H18">
        <f>(E18+F18)/2</f>
        <v>404</v>
      </c>
    </row>
    <row r="19" spans="1:8" x14ac:dyDescent="0.2">
      <c r="A19" t="s">
        <v>5</v>
      </c>
      <c r="B19" s="5">
        <v>5600</v>
      </c>
      <c r="C19">
        <v>250.5</v>
      </c>
      <c r="D19">
        <v>284.7</v>
      </c>
      <c r="E19">
        <v>386.9</v>
      </c>
      <c r="F19">
        <v>421.1</v>
      </c>
      <c r="G19">
        <f t="shared" ref="G19:G20" si="4">(C19+D19)/2</f>
        <v>267.60000000000002</v>
      </c>
      <c r="H19">
        <f t="shared" ref="H19:H20" si="5">(E19+F19)/2</f>
        <v>404</v>
      </c>
    </row>
    <row r="20" spans="1:8" x14ac:dyDescent="0.2">
      <c r="A20" t="s">
        <v>4</v>
      </c>
      <c r="B20" s="5">
        <v>5700</v>
      </c>
      <c r="C20">
        <v>204</v>
      </c>
      <c r="D20">
        <v>235</v>
      </c>
      <c r="E20">
        <v>437.5</v>
      </c>
      <c r="F20">
        <v>471.7</v>
      </c>
      <c r="G20">
        <f t="shared" si="4"/>
        <v>219.5</v>
      </c>
      <c r="H20">
        <f t="shared" si="5"/>
        <v>454.6</v>
      </c>
    </row>
    <row r="21" spans="1:8" x14ac:dyDescent="0.2">
      <c r="B21" s="7"/>
    </row>
    <row r="22" spans="1:8" x14ac:dyDescent="0.2">
      <c r="A22" t="s">
        <v>28</v>
      </c>
      <c r="B22" t="s">
        <v>14</v>
      </c>
      <c r="C22" t="s">
        <v>8</v>
      </c>
      <c r="D22" t="s">
        <v>9</v>
      </c>
      <c r="E22" t="s">
        <v>10</v>
      </c>
      <c r="F22" t="s">
        <v>11</v>
      </c>
      <c r="G22" t="s">
        <v>12</v>
      </c>
      <c r="H22" t="s">
        <v>13</v>
      </c>
    </row>
    <row r="23" spans="1:8" x14ac:dyDescent="0.2">
      <c r="A23" t="s">
        <v>3</v>
      </c>
      <c r="B23" s="5">
        <v>5500</v>
      </c>
      <c r="C23">
        <v>438.1</v>
      </c>
      <c r="D23">
        <v>472.3</v>
      </c>
      <c r="E23">
        <v>430.8</v>
      </c>
      <c r="F23">
        <v>465</v>
      </c>
      <c r="G23">
        <f>(C23+D23)/2</f>
        <v>455.20000000000005</v>
      </c>
      <c r="H23">
        <f>(E23+F23)/2</f>
        <v>447.9</v>
      </c>
    </row>
    <row r="24" spans="1:8" x14ac:dyDescent="0.2">
      <c r="A24" t="s">
        <v>5</v>
      </c>
      <c r="B24" s="5">
        <v>5100</v>
      </c>
      <c r="C24">
        <v>688</v>
      </c>
      <c r="D24">
        <v>722.2</v>
      </c>
      <c r="E24">
        <v>299.60000000000002</v>
      </c>
      <c r="F24">
        <v>318</v>
      </c>
      <c r="G24">
        <f t="shared" ref="G24:G25" si="6">(C24+D24)/2</f>
        <v>705.1</v>
      </c>
      <c r="H24">
        <f t="shared" ref="H24:H25" si="7">(E24+F24)/2</f>
        <v>308.8</v>
      </c>
    </row>
    <row r="25" spans="1:8" x14ac:dyDescent="0.2">
      <c r="A25" t="s">
        <v>4</v>
      </c>
      <c r="B25" s="5">
        <v>5800</v>
      </c>
      <c r="C25">
        <v>286.5</v>
      </c>
      <c r="D25">
        <v>320.7</v>
      </c>
      <c r="E25">
        <v>571.29999999999995</v>
      </c>
      <c r="F25">
        <v>605.5</v>
      </c>
      <c r="G25">
        <f t="shared" si="6"/>
        <v>303.60000000000002</v>
      </c>
      <c r="H25">
        <f t="shared" si="7"/>
        <v>588.4</v>
      </c>
    </row>
    <row r="32" spans="1:8" x14ac:dyDescent="0.2">
      <c r="B32" s="7"/>
    </row>
    <row r="33" spans="2:2" x14ac:dyDescent="0.2">
      <c r="B33" s="5"/>
    </row>
    <row r="34" spans="2:2" x14ac:dyDescent="0.2">
      <c r="B34" s="5"/>
    </row>
    <row r="41" spans="2:2" x14ac:dyDescent="0.2">
      <c r="B41" s="7"/>
    </row>
    <row r="42" spans="2:2" x14ac:dyDescent="0.2">
      <c r="B42" s="5"/>
    </row>
    <row r="43" spans="2:2" x14ac:dyDescent="0.2">
      <c r="B43" s="5"/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Quartucci Davide</dc:creator>
  <cp:lastModifiedBy>Quartucci Davide</cp:lastModifiedBy>
  <dcterms:created xsi:type="dcterms:W3CDTF">2026-03-21T17:28:35Z</dcterms:created>
  <dcterms:modified xsi:type="dcterms:W3CDTF">2026-03-24T12:08:44Z</dcterms:modified>
</cp:coreProperties>
</file>